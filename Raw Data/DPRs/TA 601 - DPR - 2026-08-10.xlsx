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B729C78C-3306-4121-B43E-53FE7FC0080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2" r:id="rId4"/>
    <sheet name="SUPPLY" sheetId="18" r:id="rId5"/>
    <sheet name="X-ing Details " sheetId="7" r:id="rId6"/>
    <sheet name="Striging_Stretch" sheetId="20" r:id="rId7"/>
    <sheet name="Visual Chart" sheetId="17" r:id="rId8"/>
    <sheet name="Foundation &amp; Erection" sheetId="14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'!$A$12:$CX$199</definedName>
    <definedName name="_xlnm._FilterDatabase" localSheetId="6" hidden="1">Striging_Stretch!$A$1:$W$77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Erection'!$A$1:$S$300</definedName>
    <definedName name="_xlnm.Print_Area" localSheetId="1">'Master Sheet'!$A$1:$O$54</definedName>
    <definedName name="_xlnm.Print_Area" localSheetId="2">'Progress Sheet '!$A$12:$P$144</definedName>
    <definedName name="_xlnm.Print_Area" localSheetId="7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6">Striging_Stretch!$1:$1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7" i="12" l="1"/>
  <c r="B469" i="2"/>
  <c r="L10" i="2" l="1"/>
  <c r="AC85" i="20" l="1"/>
  <c r="AB85" i="20"/>
  <c r="AA85" i="20"/>
  <c r="Z85" i="20"/>
  <c r="AE84" i="20"/>
  <c r="AD84" i="20"/>
  <c r="AE83" i="20"/>
  <c r="AE85" i="20" s="1"/>
  <c r="AD83" i="20"/>
  <c r="AD85" i="20" s="1"/>
  <c r="W77" i="20"/>
  <c r="V77" i="20"/>
  <c r="U77" i="20"/>
  <c r="T77" i="20"/>
  <c r="R77" i="20"/>
  <c r="Q77" i="20"/>
  <c r="P77" i="20"/>
  <c r="O77" i="20"/>
  <c r="N77" i="20"/>
  <c r="L77" i="20"/>
  <c r="J77" i="20"/>
  <c r="H77" i="20"/>
  <c r="G77" i="20"/>
  <c r="E77" i="20"/>
  <c r="K76" i="20"/>
  <c r="M76" i="20" s="1"/>
  <c r="I76" i="20"/>
  <c r="B76" i="20"/>
  <c r="M75" i="20"/>
  <c r="K75" i="20"/>
  <c r="I75" i="20"/>
  <c r="B75" i="20"/>
  <c r="K74" i="20"/>
  <c r="M74" i="20" s="1"/>
  <c r="I74" i="20"/>
  <c r="B74" i="20"/>
  <c r="K73" i="20"/>
  <c r="M73" i="20" s="1"/>
  <c r="I73" i="20"/>
  <c r="B73" i="20"/>
  <c r="M72" i="20"/>
  <c r="K72" i="20"/>
  <c r="I72" i="20"/>
  <c r="B72" i="20"/>
  <c r="K71" i="20"/>
  <c r="M71" i="20" s="1"/>
  <c r="I71" i="20"/>
  <c r="B71" i="20"/>
  <c r="K70" i="20"/>
  <c r="M70" i="20" s="1"/>
  <c r="I70" i="20"/>
  <c r="B70" i="20"/>
  <c r="M69" i="20"/>
  <c r="K69" i="20"/>
  <c r="I69" i="20"/>
  <c r="B69" i="20"/>
  <c r="K68" i="20"/>
  <c r="M68" i="20" s="1"/>
  <c r="I68" i="20"/>
  <c r="B68" i="20"/>
  <c r="K67" i="20"/>
  <c r="M67" i="20" s="1"/>
  <c r="I67" i="20"/>
  <c r="B67" i="20"/>
  <c r="K66" i="20"/>
  <c r="M66" i="20" s="1"/>
  <c r="I66" i="20"/>
  <c r="B66" i="20"/>
  <c r="K65" i="20"/>
  <c r="I65" i="20"/>
  <c r="B65" i="20"/>
  <c r="K64" i="20"/>
  <c r="M64" i="20" s="1"/>
  <c r="I64" i="20"/>
  <c r="B64" i="20"/>
  <c r="K63" i="20"/>
  <c r="M63" i="20" s="1"/>
  <c r="I63" i="20"/>
  <c r="B63" i="20"/>
  <c r="K62" i="20"/>
  <c r="M62" i="20" s="1"/>
  <c r="I62" i="20"/>
  <c r="B62" i="20"/>
  <c r="K61" i="20"/>
  <c r="M61" i="20" s="1"/>
  <c r="I61" i="20"/>
  <c r="B61" i="20"/>
  <c r="K60" i="20"/>
  <c r="M60" i="20" s="1"/>
  <c r="I60" i="20"/>
  <c r="B60" i="20"/>
  <c r="M59" i="20"/>
  <c r="K59" i="20"/>
  <c r="I59" i="20"/>
  <c r="B59" i="20"/>
  <c r="K58" i="20"/>
  <c r="M58" i="20" s="1"/>
  <c r="I58" i="20"/>
  <c r="B58" i="20"/>
  <c r="K57" i="20"/>
  <c r="M57" i="20" s="1"/>
  <c r="I57" i="20"/>
  <c r="B57" i="20"/>
  <c r="M56" i="20"/>
  <c r="K56" i="20"/>
  <c r="I56" i="20"/>
  <c r="B56" i="20"/>
  <c r="K55" i="20"/>
  <c r="M55" i="20" s="1"/>
  <c r="I55" i="20"/>
  <c r="B55" i="20"/>
  <c r="K54" i="20"/>
  <c r="M54" i="20" s="1"/>
  <c r="I54" i="20"/>
  <c r="B54" i="20"/>
  <c r="K53" i="20"/>
  <c r="M53" i="20" s="1"/>
  <c r="I53" i="20"/>
  <c r="B53" i="20"/>
  <c r="K52" i="20"/>
  <c r="M52" i="20" s="1"/>
  <c r="I52" i="20"/>
  <c r="B52" i="20"/>
  <c r="K51" i="20"/>
  <c r="M51" i="20" s="1"/>
  <c r="I51" i="20"/>
  <c r="B51" i="20"/>
  <c r="K50" i="20"/>
  <c r="M50" i="20" s="1"/>
  <c r="I50" i="20"/>
  <c r="B50" i="20"/>
  <c r="M49" i="20"/>
  <c r="K49" i="20"/>
  <c r="I49" i="20"/>
  <c r="B49" i="20"/>
  <c r="K48" i="20"/>
  <c r="M48" i="20" s="1"/>
  <c r="I48" i="20"/>
  <c r="B48" i="20"/>
  <c r="K47" i="20"/>
  <c r="M47" i="20" s="1"/>
  <c r="I47" i="20"/>
  <c r="B47" i="20"/>
  <c r="K46" i="20"/>
  <c r="M46" i="20" s="1"/>
  <c r="I46" i="20"/>
  <c r="B46" i="20"/>
  <c r="K45" i="20"/>
  <c r="M45" i="20" s="1"/>
  <c r="I45" i="20"/>
  <c r="B45" i="20"/>
  <c r="K44" i="20"/>
  <c r="M44" i="20" s="1"/>
  <c r="I44" i="20"/>
  <c r="B44" i="20"/>
  <c r="M43" i="20"/>
  <c r="K43" i="20"/>
  <c r="I43" i="20"/>
  <c r="B43" i="20"/>
  <c r="K42" i="20"/>
  <c r="M42" i="20" s="1"/>
  <c r="I42" i="20"/>
  <c r="B42" i="20"/>
  <c r="K41" i="20"/>
  <c r="M41" i="20" s="1"/>
  <c r="I41" i="20"/>
  <c r="B41" i="20"/>
  <c r="M40" i="20"/>
  <c r="K40" i="20"/>
  <c r="I40" i="20"/>
  <c r="B40" i="20"/>
  <c r="K39" i="20"/>
  <c r="M39" i="20" s="1"/>
  <c r="I39" i="20"/>
  <c r="B39" i="20"/>
  <c r="K38" i="20"/>
  <c r="M38" i="20" s="1"/>
  <c r="I38" i="20"/>
  <c r="B38" i="20"/>
  <c r="K37" i="20"/>
  <c r="M37" i="20" s="1"/>
  <c r="I37" i="20"/>
  <c r="B37" i="20"/>
  <c r="K36" i="20"/>
  <c r="M36" i="20" s="1"/>
  <c r="I36" i="20"/>
  <c r="B36" i="20"/>
  <c r="K35" i="20"/>
  <c r="M35" i="20" s="1"/>
  <c r="I35" i="20"/>
  <c r="B35" i="20"/>
  <c r="K34" i="20"/>
  <c r="M34" i="20" s="1"/>
  <c r="I34" i="20"/>
  <c r="B34" i="20"/>
  <c r="M33" i="20"/>
  <c r="K33" i="20"/>
  <c r="I33" i="20"/>
  <c r="B33" i="20"/>
  <c r="K32" i="20"/>
  <c r="M32" i="20" s="1"/>
  <c r="I32" i="20"/>
  <c r="B32" i="20"/>
  <c r="K31" i="20"/>
  <c r="M31" i="20" s="1"/>
  <c r="I31" i="20"/>
  <c r="B31" i="20"/>
  <c r="K30" i="20"/>
  <c r="M30" i="20" s="1"/>
  <c r="I30" i="20"/>
  <c r="B30" i="20"/>
  <c r="K29" i="20"/>
  <c r="M29" i="20" s="1"/>
  <c r="I29" i="20"/>
  <c r="B29" i="20"/>
  <c r="K28" i="20"/>
  <c r="M28" i="20" s="1"/>
  <c r="I28" i="20"/>
  <c r="B28" i="20"/>
  <c r="M27" i="20"/>
  <c r="K27" i="20"/>
  <c r="I27" i="20"/>
  <c r="B27" i="20"/>
  <c r="K26" i="20"/>
  <c r="M26" i="20" s="1"/>
  <c r="I26" i="20"/>
  <c r="B26" i="20"/>
  <c r="K25" i="20"/>
  <c r="M25" i="20" s="1"/>
  <c r="I25" i="20"/>
  <c r="B25" i="20"/>
  <c r="M24" i="20"/>
  <c r="K24" i="20"/>
  <c r="I24" i="20"/>
  <c r="B24" i="20"/>
  <c r="K23" i="20"/>
  <c r="M23" i="20" s="1"/>
  <c r="I23" i="20"/>
  <c r="B23" i="20"/>
  <c r="K22" i="20"/>
  <c r="M22" i="20" s="1"/>
  <c r="I22" i="20"/>
  <c r="B22" i="20"/>
  <c r="K21" i="20"/>
  <c r="M21" i="20" s="1"/>
  <c r="I21" i="20"/>
  <c r="B21" i="20"/>
  <c r="K20" i="20"/>
  <c r="M20" i="20" s="1"/>
  <c r="I20" i="20"/>
  <c r="B20" i="20"/>
  <c r="K19" i="20"/>
  <c r="M19" i="20" s="1"/>
  <c r="I19" i="20"/>
  <c r="B19" i="20"/>
  <c r="K18" i="20"/>
  <c r="M18" i="20" s="1"/>
  <c r="I18" i="20"/>
  <c r="B18" i="20"/>
  <c r="M17" i="20"/>
  <c r="K17" i="20"/>
  <c r="I17" i="20"/>
  <c r="B17" i="20"/>
  <c r="K16" i="20"/>
  <c r="M16" i="20" s="1"/>
  <c r="I16" i="20"/>
  <c r="B16" i="20"/>
  <c r="K15" i="20"/>
  <c r="M15" i="20" s="1"/>
  <c r="I15" i="20"/>
  <c r="B15" i="20"/>
  <c r="K14" i="20"/>
  <c r="M14" i="20" s="1"/>
  <c r="I14" i="20"/>
  <c r="B14" i="20"/>
  <c r="K13" i="20"/>
  <c r="M13" i="20" s="1"/>
  <c r="I13" i="20"/>
  <c r="B13" i="20"/>
  <c r="K12" i="20"/>
  <c r="I12" i="20"/>
  <c r="B12" i="20"/>
  <c r="M11" i="20"/>
  <c r="K11" i="20"/>
  <c r="I11" i="20"/>
  <c r="B11" i="20"/>
  <c r="K10" i="20"/>
  <c r="M10" i="20" s="1"/>
  <c r="I10" i="20"/>
  <c r="B10" i="20"/>
  <c r="K9" i="20"/>
  <c r="M9" i="20" s="1"/>
  <c r="I9" i="20"/>
  <c r="B9" i="20"/>
  <c r="K8" i="20"/>
  <c r="M8" i="20" s="1"/>
  <c r="I8" i="20"/>
  <c r="B8" i="20"/>
  <c r="K7" i="20"/>
  <c r="M7" i="20" s="1"/>
  <c r="I7" i="20"/>
  <c r="B7" i="20"/>
  <c r="K6" i="20"/>
  <c r="M6" i="20" s="1"/>
  <c r="I6" i="20"/>
  <c r="B6" i="20"/>
  <c r="K5" i="20"/>
  <c r="M5" i="20" s="1"/>
  <c r="I5" i="20"/>
  <c r="B5" i="20"/>
  <c r="M4" i="20"/>
  <c r="K4" i="20"/>
  <c r="I4" i="20"/>
  <c r="B4" i="20"/>
  <c r="K3" i="20"/>
  <c r="M3" i="20" s="1"/>
  <c r="I3" i="20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K2" i="20"/>
  <c r="K77" i="20" s="1"/>
  <c r="I2" i="20"/>
  <c r="K44" i="1"/>
  <c r="L44" i="1" s="1"/>
  <c r="L47" i="18" s="1"/>
  <c r="G44" i="1"/>
  <c r="I77" i="20" l="1"/>
  <c r="M2" i="20"/>
  <c r="M77" i="20" s="1"/>
  <c r="E9" i="18" l="1"/>
  <c r="F9" i="18"/>
  <c r="G9" i="18"/>
  <c r="H9" i="18"/>
  <c r="I9" i="18"/>
  <c r="F39" i="18"/>
  <c r="D45" i="18"/>
  <c r="E45" i="18"/>
  <c r="F45" i="18"/>
  <c r="H45" i="18"/>
  <c r="J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 s="1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M63" i="18"/>
  <c r="J47" i="18" l="1"/>
  <c r="B205" i="2" l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K43" i="1" l="1"/>
  <c r="G43" i="1"/>
  <c r="G46" i="18" s="1"/>
  <c r="G42" i="1"/>
  <c r="K42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4" i="1" l="1"/>
  <c r="I47" i="18" s="1"/>
  <c r="G47" i="18"/>
  <c r="L42" i="1"/>
  <c r="L45" i="18" s="1"/>
  <c r="K45" i="18"/>
  <c r="L43" i="1"/>
  <c r="L46" i="18" s="1"/>
  <c r="K46" i="18"/>
  <c r="I42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8" i="1"/>
  <c r="B190" i="2" l="1"/>
  <c r="B191" i="2" s="1"/>
  <c r="B192" i="2" s="1"/>
  <c r="B193" i="2" s="1"/>
  <c r="B194" i="2" s="1"/>
  <c r="B195" i="2" s="1"/>
  <c r="B196" i="2" s="1"/>
  <c r="B197" i="2" s="1"/>
  <c r="B198" i="2" s="1"/>
  <c r="B199" i="2" s="1"/>
  <c r="K19" i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6" i="2" l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M83" i="20" l="1"/>
  <c r="C345" i="2"/>
  <c r="C34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<sst xmlns="http://schemas.openxmlformats.org/spreadsheetml/2006/main" count="8030" uniqueCount="1065">
  <si>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</si>
  <si>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</si>
  <si>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</si>
  <si>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</si>
  <si>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</si>
  <si>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</si>
  <si>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</si>
  <si>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</si>
  <si>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</si>
  <si>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</si>
  <si>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</si>
  <si>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</si>
  <si>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</si>
  <si>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</si>
  <si>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</si>
  <si>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</si>
  <si>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</si>
  <si>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</si>
  <si>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</si>
  <si>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</si>
  <si>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</si>
  <si>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</si>
  <si>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</si>
  <si>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</si>
  <si>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</si>
  <si>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</si>
  <si>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</si>
  <si>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</si>
  <si>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</si>
  <si>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</si>
  <si>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</si>
  <si>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</si>
  <si>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</si>
  <si>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</si>
  <si>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</si>
  <si>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</si>
  <si>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</si>
  <si>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</si>
  <si>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</si>
  <si>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</si>
  <si>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</si>
  <si>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</si>
  <si>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</si>
  <si>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</si>
  <si>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</si>
  <si>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</si>
  <si>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</si>
  <si>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</si>
  <si>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</si>
  <si>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</si>
  <si>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</si>
  <si>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</si>
  <si>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</si>
  <si>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</si>
  <si>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</si>
  <si>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</si>
  <si>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</si>
  <si>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</si>
  <si>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</si>
  <si>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</si>
  <si>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</si>
  <si>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</si>
  <si>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</si>
  <si>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</si>
  <si>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</si>
  <si>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</si>
  <si>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</si>
  <si>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</si>
  <si>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</si>
  <si>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</si>
  <si>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</si>
  <si>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</si>
  <si>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</si>
  <si>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</si>
  <si>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</si>
  <si>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</si>
  <si>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</si>
  <si>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</si>
  <si>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</si>
  <si>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</si>
  <si>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</si>
  <si>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</si>
  <si>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</si>
  <si>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</si>
  <si>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</si>
  <si>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</si>
  <si>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</si>
  <si>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</si>
  <si>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</si>
  <si>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</si>
  <si>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</si>
  <si>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</si>
  <si>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</si>
  <si>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</si>
  <si>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</si>
  <si>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</si>
  <si>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</si>
  <si>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</si>
  <si>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</si>
  <si>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</si>
  <si>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</si>
  <si>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</si>
  <si>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</si>
  <si>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</si>
  <si>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</si>
  <si>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</si>
  <si>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</si>
  <si>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</si>
  <si>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</si>
  <si>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</si>
  <si>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</si>
  <si>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</si>
  <si>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</si>
  <si>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</si>
  <si>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</si>
  <si>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</si>
  <si>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</si>
  <si>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</si>
  <si>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</si>
  <si>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</si>
  <si>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</si>
  <si>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</si>
  <si>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</si>
  <si>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</si>
  <si>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</si>
  <si>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</si>
  <si>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</si>
  <si>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</si>
  <si>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</si>
  <si>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</si>
  <si>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</si>
  <si>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</si>
  <si>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</si>
  <si>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</si>
  <si>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</si>
  <si>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</si>
  <si>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</si>
  <si>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</si>
  <si>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</si>
  <si>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</si>
  <si>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</si>
  <si>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</si>
  <si>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</si>
  <si>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</si>
  <si>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</si>
  <si>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</si>
  <si>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</si>
  <si>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</si>
  <si>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</si>
  <si>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</si>
  <si>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</si>
  <si>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</si>
  <si>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</si>
  <si>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</si>
  <si>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</si>
  <si>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</si>
  <si>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</si>
  <si>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</si>
  <si>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</si>
  <si>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</si>
  <si>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</si>
  <si>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</si>
  <si>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</si>
  <si>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</si>
  <si>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</si>
  <si>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</si>
  <si>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</si>
  <si>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</si>
  <si>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</si>
  <si>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</si>
  <si>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</si>
  <si>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</si>
  <si>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</si>
  <si>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</si>
  <si>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</si>
  <si>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</si>
  <si>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</si>
  <si>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</si>
  <si>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</si>
  <si>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</si>
  <si>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</si>
  <si>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</si>
  <si>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</si>
  <si>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</si>
  <si>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</si>
  <si>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</si>
  <si>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</si>
  <si>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</si>
  <si>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</si>
  <si>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</si>
  <si>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</si>
  <si>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</si>
  <si>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</si>
  <si>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</si>
  <si>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</si>
  <si>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</si>
  <si>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</si>
  <si>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</si>
  <si>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</si>
  <si>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</si>
  <si>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</si>
  <si>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</si>
  <si>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</si>
  <si>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</si>
  <si>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</si>
  <si>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</si>
  <si>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</si>
  <si>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</si>
  <si>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</si>
  <si>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</si>
  <si>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</si>
  <si>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</si>
  <si>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</si>
  <si>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</si>
  <si>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</si>
  <si>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</si>
  <si>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</si>
  <si>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</si>
  <si>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</si>
  <si>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</si>
  <si>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</si>
  <si>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</si>
  <si>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</si>
  <si>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</si>
  <si>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</si>
  <si>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</si>
  <si>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</si>
  <si>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</si>
  <si>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</si>
  <si>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</si>
  <si>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</si>
  <si>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</si>
  <si>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</si>
  <si>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</si>
  <si>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</si>
  <si>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</si>
  <si>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</si>
  <si>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</si>
  <si>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</si>
  <si>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</si>
  <si>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</si>
  <si>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</si>
  <si>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</si>
  <si>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</si>
  <si>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</si>
  <si>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</si>
  <si>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</si>
  <si>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</si>
  <si>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</si>
  <si>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</si>
  <si>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</si>
  <si>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</si>
  <si>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</si>
  <si>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</si>
  <si>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</si>
  <si>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</si>
  <si>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</si>
  <si>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</si>
  <si>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</si>
  <si>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</si>
  <si>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</si>
  <si>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</si>
  <si>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</si>
  <si>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</si>
  <si>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</si>
  <si>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</si>
  <si>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</si>
  <si>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</si>
  <si>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</si>
  <si>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</si>
  <si>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</si>
  <si>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</si>
  <si>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</si>
  <si>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</si>
  <si>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</si>
  <si>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</si>
  <si>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</si>
  <si>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</si>
  <si>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</si>
  <si>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</si>
  <si>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</si>
  <si>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</si>
  <si>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</si>
  <si>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</si>
  <si>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</si>
  <si>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</si>
  <si>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</si>
  <si>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</si>
  <si>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</si>
  <si>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</si>
  <si>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</si>
  <si>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</si>
  <si>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</si>
  <si>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</si>
  <si>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</si>
  <si>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</si>
  <si>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</si>
  <si>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</si>
  <si>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</si>
  <si>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</si>
  <si>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</si>
  <si>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</si>
  <si>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</si>
  <si>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</si>
  <si>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</si>
  <si>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</si>
  <si>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</si>
  <si>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</si>
  <si>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</si>
  <si>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</si>
  <si>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</si>
  <si>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</si>
  <si>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</si>
  <si>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</si>
  <si>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</si>
  <si>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</si>
  <si>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</si>
  <si>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</si>
  <si>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</si>
  <si>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</si>
  <si>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</si>
  <si>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</si>
  <si>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</si>
  <si>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</si>
  <si>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</si>
  <si>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</si>
  <si>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</si>
  <si>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</si>
  <si>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</si>
  <si>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</si>
  <si>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</si>
  <si>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</si>
  <si>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</si>
  <si>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</si>
  <si>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</si>
  <si>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</si>
  <si>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</si>
  <si>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</si>
  <si>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</si>
  <si>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</si>
  <si>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</si>
  <si>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</si>
  <si>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</si>
  <si>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</si>
  <si>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</si>
  <si>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</si>
  <si>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</si>
  <si>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</si>
  <si>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</si>
  <si>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</si>
  <si>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</si>
  <si>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</si>
  <si>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</si>
  <si>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</si>
  <si>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</si>
  <si>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</si>
  <si>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</si>
  <si>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</si>
  <si>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</si>
  <si>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</si>
  <si>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</si>
  <si>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</si>
  <si>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</si>
  <si>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</si>
  <si>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</si>
  <si>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</si>
  <si>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</si>
  <si>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</si>
  <si>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</si>
  <si>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</si>
  <si>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</si>
  <si>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</si>
  <si>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</si>
  <si>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</si>
  <si>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</si>
  <si>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</si>
  <si>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</si>
  <si>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</si>
  <si>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</si>
  <si>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</si>
  <si>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</si>
  <si>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</si>
  <si>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</si>
  <si>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</si>
  <si>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</si>
  <si>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</si>
  <si>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</si>
  <si>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</si>
  <si>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</si>
  <si>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</si>
  <si>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</si>
  <si>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</si>
  <si>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</si>
  <si>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</si>
  <si>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</si>
  <si>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</si>
  <si>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</si>
  <si>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</si>
  <si>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</si>
  <si>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</si>
  <si>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</si>
  <si>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</si>
  <si>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</si>
  <si>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</si>
  <si>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</si>
  <si>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</si>
  <si>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</si>
  <si>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</si>
  <si>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</si>
  <si>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</si>
  <si>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</si>
  <si>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</si>
  <si>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</si>
  <si>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</si>
  <si>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</si>
  <si>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</si>
  <si>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</si>
  <si>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</si>
  <si>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</si>
  <si>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</si>
  <si>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</si>
  <si>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</si>
  <si>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</si>
  <si>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</si>
  <si>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</si>
  <si>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</si>
  <si>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</si>
  <si>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</si>
  <si>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</si>
  <si>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</si>
  <si>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</si>
  <si>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</si>
  <si>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</si>
  <si>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</si>
  <si>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</si>
  <si>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</si>
  <si>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</si>
  <si>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</si>
  <si>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</si>
  <si>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</si>
  <si>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</si>
  <si>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</si>
  <si>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</si>
  <si>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</si>
  <si>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</si>
  <si>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</si>
  <si>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</si>
  <si>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</si>
  <si>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</si>
  <si>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</si>
  <si>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</si>
  <si>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</si>
  <si>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</si>
  <si>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</si>
  <si>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</si>
  <si>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</si>
  <si>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</si>
  <si>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</si>
  <si>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</si>
  <si>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</si>
  <si>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</si>
  <si>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</si>
  <si>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</si>
  <si>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</si>
  <si>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</si>
  <si>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</si>
  <si>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</si>
  <si>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</si>
  <si>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</si>
  <si>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</si>
  <si>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</si>
  <si>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</si>
  <si>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</si>
  <si>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</si>
  <si>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</si>
  <si>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</si>
  <si>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</si>
  <si>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</si>
  <si>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</si>
  <si>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</si>
  <si>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</si>
  <si>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</si>
  <si>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</si>
  <si>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</si>
  <si>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</si>
  <si>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</si>
  <si>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</si>
  <si>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</si>
  <si>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</si>
  <si>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</si>
  <si>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</si>
  <si>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</si>
  <si>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</si>
  <si>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</si>
  <si>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</si>
  <si>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</si>
  <si>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</si>
  <si>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</si>
  <si>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</si>
  <si>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</si>
  <si>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</si>
  <si>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</si>
  <si>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</si>
  <si>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</si>
  <si>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</si>
  <si>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</si>
  <si>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</si>
  <si>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</si>
  <si>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</si>
  <si>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</si>
  <si>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</si>
  <si>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</si>
  <si>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</si>
  <si>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</si>
  <si>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</si>
  <si>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</si>
  <si>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</si>
  <si>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</si>
  <si>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</si>
  <si>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</si>
  <si>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</si>
  <si>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</si>
  <si>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</si>
  <si>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</si>
  <si>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</si>
  <si>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</si>
  <si>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</si>
  <si>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</si>
  <si>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</si>
  <si>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</si>
  <si>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</si>
  <si>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</si>
  <si>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</si>
  <si>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</si>
  <si>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</si>
  <si>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</si>
  <si>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</si>
  <si>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</si>
  <si>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</si>
  <si>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</si>
  <si>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</si>
  <si>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</si>
  <si>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</si>
  <si>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</si>
  <si>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</si>
  <si>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</si>
  <si>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</si>
  <si>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</si>
  <si>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</si>
  <si>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</si>
  <si>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</si>
  <si>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</si>
  <si>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</si>
  <si>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</si>
  <si>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</si>
  <si>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</si>
  <si>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</si>
  <si>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</si>
  <si>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</si>
  <si>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</si>
  <si>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</si>
  <si>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</si>
  <si>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</si>
  <si>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</si>
  <si>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</si>
  <si>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</si>
  <si>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</si>
  <si>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</si>
  <si>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</si>
  <si>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</si>
  <si>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</si>
  <si>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</si>
  <si>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</si>
  <si>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</si>
  <si>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</si>
  <si>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</si>
  <si>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</si>
  <si>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</si>
  <si>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</si>
  <si>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</si>
  <si>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</si>
  <si>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</si>
  <si>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</si>
  <si>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</si>
  <si>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</si>
  <si>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</si>
  <si>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</si>
  <si>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</si>
  <si>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</si>
  <si>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</si>
  <si>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</si>
  <si>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</si>
  <si>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</si>
  <si>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</si>
  <si>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</si>
  <si>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</si>
  <si>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</si>
  <si>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</si>
  <si>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</si>
  <si>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</si>
  <si>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</si>
  <si>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</si>
  <si>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</si>
  <si>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</si>
  <si>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</si>
  <si>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</si>
  <si>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</si>
  <si>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</si>
  <si>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</si>
  <si>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</si>
  <si>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</si>
  <si>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</si>
  <si>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</si>
  <si>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</si>
  <si>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</si>
  <si>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</si>
  <si>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</si>
  <si>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</si>
  <si>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</si>
  <si>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</si>
  <si>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</si>
  <si>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</si>
  <si>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</si>
  <si>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</si>
  <si>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</si>
  <si>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</si>
  <si>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</si>
  <si>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</si>
  <si>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</si>
  <si>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</si>
  <si>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</si>
  <si>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</si>
  <si>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</si>
  <si>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</si>
  <si>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</si>
  <si>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</si>
  <si>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</si>
  <si>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</si>
  <si>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</si>
  <si>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</si>
  <si>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</si>
  <si>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</si>
  <si>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</si>
  <si>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</si>
  <si>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</si>
  <si>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</si>
  <si>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</si>
  <si>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</si>
  <si>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</si>
  <si>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</si>
  <si>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</si>
  <si>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</si>
  <si>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</si>
  <si>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</si>
  <si>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</si>
  <si>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</si>
  <si>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</si>
  <si>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</si>
  <si>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</si>
  <si>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</si>
  <si>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</si>
  <si>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</si>
  <si>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</si>
  <si>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</si>
  <si>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</si>
  <si>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</si>
  <si>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</si>
  <si>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</si>
  <si>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</si>
  <si>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</si>
  <si>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</si>
  <si>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</si>
  <si>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</si>
  <si>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</si>
  <si>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</si>
  <si>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</si>
  <si>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</si>
  <si>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</si>
  <si>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</si>
  <si>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</si>
  <si>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</si>
  <si>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</si>
  <si>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</si>
  <si>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</si>
  <si>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</si>
  <si>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</si>
  <si>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</si>
  <si>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</si>
  <si>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</si>
  <si>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</si>
  <si>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</si>
  <si>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</si>
  <si>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</si>
  <si>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</si>
  <si>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</si>
  <si>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</si>
  <si>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</si>
  <si>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</si>
  <si>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</si>
  <si>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</si>
  <si>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</si>
  <si>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</si>
  <si>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</si>
  <si>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</si>
  <si>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</si>
  <si>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</si>
  <si>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</si>
  <si>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</si>
  <si>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</si>
  <si>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</si>
  <si>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</si>
  <si>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</si>
  <si>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</si>
  <si>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</si>
  <si>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</si>
  <si>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</si>
  <si>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</si>
  <si>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</si>
  <si>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</si>
  <si>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</si>
  <si>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</si>
  <si>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</si>
  <si>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</si>
  <si>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</si>
  <si>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</si>
  <si>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</si>
  <si>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</si>
  <si>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</si>
  <si>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</si>
  <si>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</si>
  <si>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</si>
  <si>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</si>
  <si>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</si>
  <si>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</si>
  <si>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</si>
  <si>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</si>
  <si>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</si>
  <si>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</si>
  <si>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</si>
  <si>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</si>
  <si>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</si>
  <si>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</si>
  <si>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</si>
  <si>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</si>
  <si>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</si>
  <si>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</si>
  <si>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</si>
  <si>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</si>
  <si>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</si>
  <si>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</si>
  <si>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</si>
  <si>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</si>
  <si>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</si>
  <si>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</si>
  <si>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</si>
  <si>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</si>
  <si>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Balaji Infra</t>
  </si>
  <si>
    <t>SHRIHARSHINI</t>
  </si>
  <si>
    <t>SRI HARSH</t>
  </si>
  <si>
    <t>Mr. Arun Felbin R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</si>
  <si>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</si>
  <si>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</si>
  <si>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</si>
  <si>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</si>
  <si>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</si>
  <si>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</si>
  <si>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</si>
  <si>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</si>
  <si>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</si>
  <si>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</si>
  <si>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</si>
  <si>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</si>
  <si>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</si>
  <si>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</si>
  <si>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</si>
  <si>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</si>
  <si>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</si>
  <si>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</si>
  <si>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</si>
  <si>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</si>
  <si>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</si>
  <si>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</si>
  <si>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</si>
  <si>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</si>
  <si>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</si>
  <si>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</si>
  <si>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</si>
  <si>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</si>
  <si>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</si>
  <si>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</si>
  <si>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</si>
  <si>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</si>
  <si>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</si>
  <si>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</si>
  <si>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</si>
  <si>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</si>
  <si>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</si>
  <si>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</si>
  <si>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</si>
  <si>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</si>
  <si>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</si>
  <si>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</si>
  <si>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</si>
  <si>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</si>
  <si>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</si>
  <si>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</si>
  <si>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</si>
  <si>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</si>
  <si>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</si>
  <si>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</si>
  <si>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Section From</t>
  </si>
  <si>
    <t>Section TO</t>
  </si>
  <si>
    <t>Fdn WIP</t>
  </si>
  <si>
    <t>Erection WIP</t>
  </si>
  <si>
    <t>District</t>
  </si>
  <si>
    <t>11kV</t>
  </si>
  <si>
    <t>33kV</t>
  </si>
  <si>
    <t>AP48</t>
  </si>
  <si>
    <t>AP49</t>
  </si>
  <si>
    <t>M</t>
  </si>
  <si>
    <t>Vikarabad</t>
  </si>
  <si>
    <t>AP50</t>
  </si>
  <si>
    <t>AP51</t>
  </si>
  <si>
    <t>AP52</t>
  </si>
  <si>
    <t>AP53</t>
  </si>
  <si>
    <t>T</t>
  </si>
  <si>
    <t>AP56</t>
  </si>
  <si>
    <t>AP59</t>
  </si>
  <si>
    <t>AP60</t>
  </si>
  <si>
    <t>AP63</t>
  </si>
  <si>
    <t>AP64</t>
  </si>
  <si>
    <t>AP65</t>
  </si>
  <si>
    <t>AP66</t>
  </si>
  <si>
    <t>AP67</t>
  </si>
  <si>
    <t>AP68</t>
  </si>
  <si>
    <t>AP69</t>
  </si>
  <si>
    <t>AP70</t>
  </si>
  <si>
    <t>AP73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</si>
  <si>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</si>
  <si>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</si>
  <si>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</si>
  <si>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</si>
  <si>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</si>
  <si>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</si>
  <si>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</si>
  <si>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</si>
  <si>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</si>
  <si>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</si>
  <si>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AP90</t>
  </si>
  <si>
    <t>AP91</t>
  </si>
  <si>
    <t>AP92</t>
  </si>
  <si>
    <t>AP93</t>
  </si>
  <si>
    <t>AP94</t>
  </si>
  <si>
    <t>AP97</t>
  </si>
  <si>
    <t>AP100</t>
  </si>
  <si>
    <t>AP101</t>
  </si>
  <si>
    <t>AP102</t>
  </si>
  <si>
    <t>AP103</t>
  </si>
  <si>
    <t>AP104</t>
  </si>
  <si>
    <t>AP105</t>
  </si>
  <si>
    <t>AP108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</si>
  <si>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</si>
  <si>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</si>
  <si>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</si>
  <si>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</si>
  <si>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</si>
  <si>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</si>
  <si>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</si>
  <si>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</si>
  <si>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</si>
  <si>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</si>
  <si>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</si>
  <si>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</si>
  <si>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</si>
  <si>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</si>
  <si>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</si>
  <si>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</si>
  <si>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</si>
  <si>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</si>
  <si>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</si>
  <si>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</si>
  <si>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</si>
  <si>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</si>
  <si>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</si>
  <si>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</si>
  <si>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</si>
  <si>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</si>
  <si>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</si>
  <si>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</si>
  <si>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</si>
  <si>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</si>
  <si>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</si>
  <si>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</si>
  <si>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</si>
  <si>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</si>
  <si>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</si>
  <si>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</si>
  <si>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</si>
  <si>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</si>
  <si>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</si>
  <si>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</si>
  <si>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</si>
  <si>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</si>
  <si>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</si>
  <si>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</si>
  <si>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</si>
  <si>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</si>
  <si>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</si>
  <si>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</si>
  <si>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</si>
  <si>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</si>
  <si>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</si>
  <si>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</si>
  <si>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</si>
  <si>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</si>
  <si>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ANIRUL</t>
  </si>
  <si>
    <t>GOVIND RAJ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</si>
  <si>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</si>
  <si>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</si>
  <si>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</si>
  <si>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</si>
  <si>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</si>
  <si>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</si>
  <si>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ANARUL HOQUE</t>
  </si>
  <si>
    <t>Erection Completed</t>
  </si>
  <si>
    <t>Excavation WIP</t>
  </si>
  <si>
    <t>Govind Raj</t>
  </si>
  <si>
    <t>Pit Marking Completed</t>
  </si>
  <si>
    <t>D GOVIND RAJ</t>
  </si>
  <si>
    <t>Tofit MIA-01</t>
  </si>
  <si>
    <t>Tofit MIA-02</t>
  </si>
  <si>
    <t>NASIRUDDIN-02</t>
  </si>
  <si>
    <t>NASIRUDDIN-01</t>
  </si>
  <si>
    <t>DD60+0</t>
  </si>
  <si>
    <t>J</t>
  </si>
  <si>
    <t>ATK-2</t>
  </si>
  <si>
    <t>RCC Chimney Completed</t>
  </si>
  <si>
    <t>ATK-01</t>
  </si>
  <si>
    <t>ANARUL</t>
  </si>
  <si>
    <t>PCC Completed</t>
  </si>
  <si>
    <t>RCC (F&amp;B) Completed</t>
  </si>
  <si>
    <t>Sl.No</t>
  </si>
  <si>
    <t>Lenghth (Kms)</t>
  </si>
  <si>
    <t>T(T)/M(M)</t>
  </si>
  <si>
    <t>Total Fdn</t>
  </si>
  <si>
    <t>Fdn Completed</t>
  </si>
  <si>
    <t>Pending Fdn</t>
  </si>
  <si>
    <t>Total Erection</t>
  </si>
  <si>
    <t>Erection Pending</t>
  </si>
  <si>
    <t>Stringing Status</t>
  </si>
  <si>
    <t>Stretch Ready Y/N</t>
  </si>
  <si>
    <t>OPGW Status</t>
  </si>
  <si>
    <t>POWER/NH/Railway Crossing</t>
  </si>
  <si>
    <t>LT</t>
  </si>
  <si>
    <t>Tree cutting status Pending/Clear</t>
  </si>
  <si>
    <t>48-49</t>
  </si>
  <si>
    <t>49-50</t>
  </si>
  <si>
    <t>50-51</t>
  </si>
  <si>
    <t>51-52</t>
  </si>
  <si>
    <t>52-53</t>
  </si>
  <si>
    <t>53-54</t>
  </si>
  <si>
    <t>54-55</t>
  </si>
  <si>
    <t>Railway Double Track Eletrified</t>
  </si>
  <si>
    <t>55-56</t>
  </si>
  <si>
    <t>56-56/7</t>
  </si>
  <si>
    <t>56/7-57</t>
  </si>
  <si>
    <t>57-58</t>
  </si>
  <si>
    <t>220kV DC</t>
  </si>
  <si>
    <t>58-59</t>
  </si>
  <si>
    <t>59-60</t>
  </si>
  <si>
    <t>60-60/5</t>
  </si>
  <si>
    <t>60/5-60/6</t>
  </si>
  <si>
    <t>60/6-60/7</t>
  </si>
  <si>
    <t>60/7-61</t>
  </si>
  <si>
    <t>61-62</t>
  </si>
  <si>
    <t>NH Crossing</t>
  </si>
  <si>
    <t>62-63</t>
  </si>
  <si>
    <t>63-64</t>
  </si>
  <si>
    <t>64-65</t>
  </si>
  <si>
    <t>65-66</t>
  </si>
  <si>
    <t>66-66/1</t>
  </si>
  <si>
    <t>66/1-67</t>
  </si>
  <si>
    <t>67-68</t>
  </si>
  <si>
    <t>68-69</t>
  </si>
  <si>
    <t>69-70</t>
  </si>
  <si>
    <t>70-71</t>
  </si>
  <si>
    <t>Narayanpet</t>
  </si>
  <si>
    <t>71-72</t>
  </si>
  <si>
    <t>132kV DC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</si>
  <si>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</si>
  <si>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</si>
  <si>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</si>
  <si>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</si>
  <si>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</si>
  <si>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</si>
  <si>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</si>
  <si>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</si>
  <si>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AP80/3</t>
  </si>
  <si>
    <t>80-80/3</t>
  </si>
  <si>
    <t>80/3-81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</si>
  <si>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</si>
  <si>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</si>
  <si>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</si>
  <si>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</si>
  <si>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</si>
  <si>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</si>
  <si>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</si>
  <si>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</si>
  <si>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132kV SC</t>
  </si>
  <si>
    <t>89-90</t>
  </si>
  <si>
    <t>AP90/5</t>
  </si>
  <si>
    <t>90-90/5</t>
  </si>
  <si>
    <t>90/5-91</t>
  </si>
  <si>
    <t>91-92</t>
  </si>
  <si>
    <t>AP92/1</t>
  </si>
  <si>
    <t>92-92/1</t>
  </si>
  <si>
    <t>92/1-93</t>
  </si>
  <si>
    <t>O</t>
  </si>
  <si>
    <t>AP93/3</t>
  </si>
  <si>
    <t>93-93/3</t>
  </si>
  <si>
    <t>93/3-94</t>
  </si>
  <si>
    <t>AP94/3</t>
  </si>
  <si>
    <t>94-94/3</t>
  </si>
  <si>
    <t>94/3-95</t>
  </si>
  <si>
    <t>95-96</t>
  </si>
  <si>
    <t>AP96/1</t>
  </si>
  <si>
    <t>96-96/1</t>
  </si>
  <si>
    <t>AP96/2</t>
  </si>
  <si>
    <t>96/1-96/2</t>
  </si>
  <si>
    <t>96/2-97</t>
  </si>
  <si>
    <t>97-98</t>
  </si>
  <si>
    <t>98-99</t>
  </si>
  <si>
    <t>99-100</t>
  </si>
  <si>
    <t>100-101</t>
  </si>
  <si>
    <t>101-102</t>
  </si>
  <si>
    <t>102-103</t>
  </si>
  <si>
    <t>103-104</t>
  </si>
  <si>
    <t>104-105</t>
  </si>
  <si>
    <t>105-106</t>
  </si>
  <si>
    <t>106-107</t>
  </si>
  <si>
    <t>Railway Single Track Eletrified</t>
  </si>
  <si>
    <t>107-108</t>
  </si>
  <si>
    <t>108-109</t>
  </si>
  <si>
    <t>109-110</t>
  </si>
  <si>
    <t>110-111</t>
  </si>
  <si>
    <t>ABSTRACT</t>
  </si>
  <si>
    <t>Cumulative</t>
  </si>
  <si>
    <t>No. of Section</t>
  </si>
  <si>
    <t>Length(Kms)</t>
  </si>
  <si>
    <t>TSE</t>
  </si>
  <si>
    <t>Manual</t>
  </si>
  <si>
    <t xml:space="preserve">  </t>
  </si>
  <si>
    <t>1379 DRUMS RECEIVED</t>
  </si>
  <si>
    <t>Planned L2 till Previous Month
(July'26)</t>
  </si>
  <si>
    <t>Completed till Previous month
(July' 26)</t>
  </si>
  <si>
    <t>Balance after July'26</t>
  </si>
  <si>
    <t>July 26 Month Plan</t>
  </si>
  <si>
    <t>July MONTH PROGRESS</t>
  </si>
  <si>
    <t>Bottom Section WIP</t>
  </si>
  <si>
    <t>Block Level Completed</t>
  </si>
  <si>
    <t>Steel Binding WIP</t>
  </si>
  <si>
    <t>Material Supply WIP</t>
  </si>
  <si>
    <t>Top Section WIP</t>
  </si>
  <si>
    <t>1st Section WIP</t>
  </si>
  <si>
    <t>3rd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</si>
</sst>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70"/>
    <xf numFmtId="43" fontId="3" fillId="0" borderId="70" applyFont="0" applyFill="0" applyBorder="0" applyAlignment="0" applyProtection="0"/>
    <xf numFmtId="0" fontId="2" fillId="0" borderId="70"/>
    <xf numFmtId="0" fontId="59" fillId="0" borderId="70"/>
    <xf numFmtId="0" fontId="1" fillId="0" borderId="70"/>
    <xf numFmtId="0" fontId="100" fillId="0" borderId="70"/>
    <xf numFmtId="0" fontId="100" fillId="0" borderId="70"/>
    <xf numFmtId="0" fontId="106" fillId="0" borderId="70"/>
    <xf numFmtId="0" fontId="98" fillId="0" borderId="70"/>
    <xf numFmtId="43" fontId="98" fillId="0" borderId="70" applyFont="0" applyFill="0" applyBorder="0" applyAlignment="0" applyProtection="0"/>
  </cellStyleXfs>
  <cellXfs count="1517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1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3" xfId="0" applyFont="1" applyFill="1" applyBorder="1"/>
    <xf numFmtId="0" fontId="4" fillId="3" borderId="23" xfId="0" applyFont="1" applyFill="1" applyBorder="1"/>
    <xf numFmtId="0" fontId="4" fillId="0" borderId="0" xfId="0" applyFont="1" applyAlignment="1">
      <alignment horizont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59" xfId="0" applyFont="1" applyFill="1" applyBorder="1" applyAlignment="1">
      <alignment vertical="center"/>
    </xf>
    <xf numFmtId="0" fontId="5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23" xfId="0" applyFont="1" applyFill="1" applyBorder="1" applyAlignment="1">
      <alignment vertical="center"/>
    </xf>
    <xf numFmtId="0" fontId="5" fillId="3" borderId="64" xfId="0" applyFont="1" applyFill="1" applyBorder="1"/>
    <xf numFmtId="0" fontId="5" fillId="3" borderId="66" xfId="0" applyFont="1" applyFill="1" applyBorder="1" applyAlignment="1">
      <alignment horizontal="center"/>
    </xf>
    <xf numFmtId="0" fontId="5" fillId="3" borderId="64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/>
    </xf>
    <xf numFmtId="0" fontId="5" fillId="7" borderId="5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wrapText="1"/>
    </xf>
    <xf numFmtId="0" fontId="5" fillId="3" borderId="23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0" xfId="0" applyFont="1" applyBorder="1"/>
    <xf numFmtId="0" fontId="29" fillId="3" borderId="23" xfId="0" applyFont="1" applyFill="1" applyBorder="1" applyAlignment="1">
      <alignment vertical="center"/>
    </xf>
    <xf numFmtId="0" fontId="29" fillId="3" borderId="58" xfId="0" applyFont="1" applyFill="1" applyBorder="1" applyAlignment="1">
      <alignment vertical="center"/>
    </xf>
    <xf numFmtId="0" fontId="18" fillId="0" borderId="14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7" fillId="3" borderId="54" xfId="0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4" xfId="0" applyFont="1" applyFill="1" applyBorder="1" applyAlignment="1">
      <alignment horizontal="right"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right" vertical="center"/>
    </xf>
    <xf numFmtId="0" fontId="18" fillId="3" borderId="58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vertical="center"/>
    </xf>
    <xf numFmtId="0" fontId="29" fillId="3" borderId="60" xfId="0" applyFont="1" applyFill="1" applyBorder="1" applyAlignment="1">
      <alignment vertical="center"/>
    </xf>
    <xf numFmtId="0" fontId="13" fillId="3" borderId="61" xfId="0" applyFont="1" applyFill="1" applyBorder="1" applyAlignment="1">
      <alignment horizontal="center"/>
    </xf>
    <xf numFmtId="0" fontId="29" fillId="3" borderId="62" xfId="0" applyFont="1" applyFill="1" applyBorder="1" applyAlignment="1">
      <alignment vertical="center"/>
    </xf>
    <xf numFmtId="0" fontId="31" fillId="3" borderId="59" xfId="0" applyFont="1" applyFill="1" applyBorder="1" applyAlignment="1">
      <alignment horizontal="center"/>
    </xf>
    <xf numFmtId="0" fontId="31" fillId="3" borderId="62" xfId="0" applyFont="1" applyFill="1" applyBorder="1" applyAlignment="1">
      <alignment horizontal="center"/>
    </xf>
    <xf numFmtId="0" fontId="29" fillId="3" borderId="63" xfId="0" applyFont="1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/>
    </xf>
    <xf numFmtId="0" fontId="29" fillId="3" borderId="23" xfId="0" applyFont="1" applyFill="1" applyBorder="1"/>
    <xf numFmtId="0" fontId="29" fillId="3" borderId="64" xfId="0" applyFont="1" applyFill="1" applyBorder="1"/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/>
    <xf numFmtId="0" fontId="7" fillId="3" borderId="66" xfId="0" applyFont="1" applyFill="1" applyBorder="1" applyAlignment="1">
      <alignment horizontal="center"/>
    </xf>
    <xf numFmtId="0" fontId="13" fillId="3" borderId="23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13" fillId="3" borderId="66" xfId="0" applyFont="1" applyFill="1" applyBorder="1"/>
    <xf numFmtId="0" fontId="13" fillId="3" borderId="64" xfId="0" applyFont="1" applyFill="1" applyBorder="1"/>
    <xf numFmtId="0" fontId="27" fillId="0" borderId="87" xfId="0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wrapText="1"/>
    </xf>
    <xf numFmtId="0" fontId="34" fillId="3" borderId="23" xfId="0" applyFont="1" applyFill="1" applyBorder="1" applyAlignment="1">
      <alignment horizontal="center"/>
    </xf>
    <xf numFmtId="0" fontId="34" fillId="3" borderId="64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vertical="center"/>
    </xf>
    <xf numFmtId="0" fontId="28" fillId="0" borderId="87" xfId="0" applyFont="1" applyBorder="1" applyAlignment="1">
      <alignment horizontal="center" vertical="center"/>
    </xf>
    <xf numFmtId="0" fontId="32" fillId="3" borderId="23" xfId="0" applyFont="1" applyFill="1" applyBorder="1" applyAlignment="1">
      <alignment wrapText="1"/>
    </xf>
    <xf numFmtId="0" fontId="34" fillId="3" borderId="23" xfId="0" applyFont="1" applyFill="1" applyBorder="1" applyAlignment="1">
      <alignment horizontal="center" vertical="center"/>
    </xf>
    <xf numFmtId="0" fontId="34" fillId="3" borderId="64" xfId="0" applyFont="1" applyFill="1" applyBorder="1"/>
    <xf numFmtId="0" fontId="34" fillId="3" borderId="23" xfId="0" applyFont="1" applyFill="1" applyBorder="1"/>
    <xf numFmtId="0" fontId="34" fillId="3" borderId="66" xfId="0" applyFont="1" applyFill="1" applyBorder="1"/>
    <xf numFmtId="0" fontId="5" fillId="12" borderId="37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36" fillId="3" borderId="35" xfId="0" applyFont="1" applyFill="1" applyBorder="1"/>
    <xf numFmtId="0" fontId="34" fillId="3" borderId="35" xfId="0" applyFont="1" applyFill="1" applyBorder="1" applyAlignment="1">
      <alignment horizontal="center" vertical="center"/>
    </xf>
    <xf numFmtId="0" fontId="34" fillId="3" borderId="36" xfId="0" applyFont="1" applyFill="1" applyBorder="1"/>
    <xf numFmtId="0" fontId="34" fillId="3" borderId="35" xfId="0" applyFont="1" applyFill="1" applyBorder="1"/>
    <xf numFmtId="0" fontId="34" fillId="3" borderId="41" xfId="0" applyFont="1" applyFill="1" applyBorder="1"/>
    <xf numFmtId="0" fontId="13" fillId="3" borderId="35" xfId="0" applyFont="1" applyFill="1" applyBorder="1"/>
    <xf numFmtId="0" fontId="5" fillId="3" borderId="36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vertical="center"/>
    </xf>
    <xf numFmtId="49" fontId="32" fillId="0" borderId="13" xfId="0" applyNumberFormat="1" applyFont="1" applyBorder="1" applyAlignment="1">
      <alignment horizontal="center" vertical="center"/>
    </xf>
    <xf numFmtId="0" fontId="37" fillId="3" borderId="23" xfId="0" applyFont="1" applyFill="1" applyBorder="1"/>
    <xf numFmtId="0" fontId="13" fillId="3" borderId="23" xfId="0" applyFont="1" applyFill="1" applyBorder="1" applyAlignment="1">
      <alignment horizontal="center" vertical="top"/>
    </xf>
    <xf numFmtId="0" fontId="38" fillId="3" borderId="58" xfId="0" applyFont="1" applyFill="1" applyBorder="1"/>
    <xf numFmtId="49" fontId="13" fillId="3" borderId="23" xfId="0" applyNumberFormat="1" applyFont="1" applyFill="1" applyBorder="1" applyAlignment="1">
      <alignment horizontal="center" vertical="top"/>
    </xf>
    <xf numFmtId="1" fontId="5" fillId="3" borderId="23" xfId="0" applyNumberFormat="1" applyFont="1" applyFill="1" applyBorder="1" applyAlignment="1">
      <alignment horizontal="right"/>
    </xf>
    <xf numFmtId="0" fontId="32" fillId="3" borderId="58" xfId="0" applyFont="1" applyFill="1" applyBorder="1"/>
    <xf numFmtId="1" fontId="5" fillId="3" borderId="23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90" xfId="0" applyNumberFormat="1" applyFont="1" applyFill="1" applyBorder="1" applyAlignment="1">
      <alignment horizontal="center"/>
    </xf>
    <xf numFmtId="1" fontId="5" fillId="3" borderId="91" xfId="0" applyNumberFormat="1" applyFont="1" applyFill="1" applyBorder="1" applyAlignment="1">
      <alignment horizontal="right"/>
    </xf>
    <xf numFmtId="1" fontId="5" fillId="3" borderId="91" xfId="0" applyNumberFormat="1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right"/>
    </xf>
    <xf numFmtId="1" fontId="32" fillId="3" borderId="93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center"/>
    </xf>
    <xf numFmtId="49" fontId="32" fillId="3" borderId="58" xfId="0" applyNumberFormat="1" applyFont="1" applyFill="1" applyBorder="1" applyAlignment="1">
      <alignment horizontal="center" vertical="top"/>
    </xf>
    <xf numFmtId="0" fontId="13" fillId="3" borderId="95" xfId="0" applyFont="1" applyFill="1" applyBorder="1" applyAlignment="1">
      <alignment vertical="center" shrinkToFit="1"/>
    </xf>
    <xf numFmtId="16" fontId="7" fillId="3" borderId="23" xfId="0" quotePrefix="1" applyNumberFormat="1" applyFont="1" applyFill="1" applyBorder="1" applyAlignment="1">
      <alignment horizontal="center"/>
    </xf>
    <xf numFmtId="0" fontId="39" fillId="3" borderId="23" xfId="0" applyFont="1" applyFill="1" applyBorder="1" applyAlignment="1">
      <alignment horizontal="center" vertical="center"/>
    </xf>
    <xf numFmtId="16" fontId="7" fillId="3" borderId="23" xfId="0" applyNumberFormat="1" applyFont="1" applyFill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top"/>
    </xf>
    <xf numFmtId="16" fontId="32" fillId="3" borderId="58" xfId="0" applyNumberFormat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" fontId="5" fillId="3" borderId="92" xfId="0" applyNumberFormat="1" applyFont="1" applyFill="1" applyBorder="1" applyAlignment="1">
      <alignment horizontal="center"/>
    </xf>
    <xf numFmtId="1" fontId="5" fillId="3" borderId="71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right" vertical="center"/>
    </xf>
    <xf numFmtId="0" fontId="7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32" fillId="3" borderId="58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3" xfId="0" applyFont="1" applyBorder="1"/>
    <xf numFmtId="0" fontId="18" fillId="3" borderId="23" xfId="0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center" vertical="center"/>
    </xf>
    <xf numFmtId="1" fontId="32" fillId="3" borderId="7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3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3" xfId="0" applyFont="1" applyFill="1" applyBorder="1"/>
    <xf numFmtId="0" fontId="5" fillId="3" borderId="91" xfId="0" applyFont="1" applyFill="1" applyBorder="1" applyAlignment="1">
      <alignment horizontal="center" vertical="center"/>
    </xf>
    <xf numFmtId="0" fontId="7" fillId="0" borderId="0" xfId="0" applyFont="1"/>
    <xf numFmtId="0" fontId="18" fillId="3" borderId="23" xfId="0" applyFont="1" applyFill="1" applyBorder="1"/>
    <xf numFmtId="0" fontId="39" fillId="3" borderId="23" xfId="0" applyFont="1" applyFill="1" applyBorder="1" applyAlignment="1">
      <alignment horizontal="center"/>
    </xf>
    <xf numFmtId="1" fontId="5" fillId="3" borderId="23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right" vertical="center"/>
    </xf>
    <xf numFmtId="49" fontId="13" fillId="3" borderId="23" xfId="0" applyNumberFormat="1" applyFont="1" applyFill="1" applyBorder="1" applyAlignment="1">
      <alignment horizontal="center" vertical="center"/>
    </xf>
    <xf numFmtId="1" fontId="13" fillId="3" borderId="23" xfId="0" applyNumberFormat="1" applyFont="1" applyFill="1" applyBorder="1" applyAlignment="1">
      <alignment horizontal="center" vertical="top"/>
    </xf>
    <xf numFmtId="0" fontId="35" fillId="3" borderId="23" xfId="0" applyFont="1" applyFill="1" applyBorder="1" applyAlignment="1">
      <alignment horizontal="center" vertical="top"/>
    </xf>
    <xf numFmtId="1" fontId="32" fillId="3" borderId="58" xfId="0" applyNumberFormat="1" applyFont="1" applyFill="1" applyBorder="1" applyAlignment="1">
      <alignment horizontal="center" vertical="top"/>
    </xf>
    <xf numFmtId="0" fontId="5" fillId="3" borderId="35" xfId="0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/>
    </xf>
    <xf numFmtId="0" fontId="5" fillId="3" borderId="92" xfId="0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right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3" xfId="0" applyFont="1" applyFill="1" applyBorder="1"/>
    <xf numFmtId="1" fontId="35" fillId="3" borderId="23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2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3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3" xfId="0" applyNumberFormat="1" applyFont="1" applyBorder="1" applyAlignment="1">
      <alignment horizontal="center" vertical="top"/>
    </xf>
    <xf numFmtId="1" fontId="32" fillId="0" borderId="103" xfId="0" applyNumberFormat="1" applyFont="1" applyBorder="1" applyAlignment="1">
      <alignment horizontal="center" vertical="center"/>
    </xf>
    <xf numFmtId="0" fontId="13" fillId="3" borderId="104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/>
    </xf>
    <xf numFmtId="0" fontId="18" fillId="8" borderId="23" xfId="0" applyFont="1" applyFill="1" applyBorder="1"/>
    <xf numFmtId="0" fontId="18" fillId="0" borderId="0" xfId="0" applyFont="1"/>
    <xf numFmtId="0" fontId="18" fillId="8" borderId="58" xfId="0" applyFont="1" applyFill="1" applyBorder="1"/>
    <xf numFmtId="1" fontId="7" fillId="8" borderId="35" xfId="0" applyNumberFormat="1" applyFont="1" applyFill="1" applyBorder="1" applyAlignment="1">
      <alignment horizontal="center"/>
    </xf>
    <xf numFmtId="1" fontId="7" fillId="8" borderId="90" xfId="0" applyNumberFormat="1" applyFont="1" applyFill="1" applyBorder="1" applyAlignment="1">
      <alignment horizontal="center"/>
    </xf>
    <xf numFmtId="1" fontId="7" fillId="8" borderId="92" xfId="0" applyNumberFormat="1" applyFont="1" applyFill="1" applyBorder="1" applyAlignment="1">
      <alignment horizontal="center"/>
    </xf>
    <xf numFmtId="1" fontId="7" fillId="8" borderId="91" xfId="0" applyNumberFormat="1" applyFont="1" applyFill="1" applyBorder="1" applyAlignment="1">
      <alignment horizontal="center"/>
    </xf>
    <xf numFmtId="1" fontId="32" fillId="8" borderId="71" xfId="0" applyNumberFormat="1" applyFont="1" applyFill="1" applyBorder="1" applyAlignment="1">
      <alignment horizontal="center"/>
    </xf>
    <xf numFmtId="49" fontId="18" fillId="8" borderId="23" xfId="0" applyNumberFormat="1" applyFont="1" applyFill="1" applyBorder="1" applyAlignment="1">
      <alignment vertical="top"/>
    </xf>
    <xf numFmtId="49" fontId="18" fillId="8" borderId="58" xfId="0" applyNumberFormat="1" applyFont="1" applyFill="1" applyBorder="1" applyAlignment="1">
      <alignment vertical="top"/>
    </xf>
    <xf numFmtId="0" fontId="7" fillId="8" borderId="23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3" xfId="0" applyNumberFormat="1" applyFont="1" applyBorder="1" applyAlignment="1">
      <alignment vertical="top"/>
    </xf>
    <xf numFmtId="0" fontId="7" fillId="8" borderId="2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1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55" fillId="0" borderId="70" xfId="0" applyFont="1" applyBorder="1" applyAlignment="1">
      <alignment wrapText="1"/>
    </xf>
    <xf numFmtId="0" fontId="6" fillId="0" borderId="70" xfId="0" applyFont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" fontId="12" fillId="0" borderId="70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165" fontId="12" fillId="0" borderId="70" xfId="0" applyNumberFormat="1" applyFont="1" applyBorder="1" applyAlignment="1">
      <alignment horizontal="center" vertical="center" wrapText="1"/>
    </xf>
    <xf numFmtId="0" fontId="57" fillId="0" borderId="70" xfId="0" applyFont="1" applyBorder="1" applyAlignment="1">
      <alignment horizontal="right" vertical="center" indent="1"/>
    </xf>
    <xf numFmtId="0" fontId="13" fillId="0" borderId="70" xfId="0" applyFont="1" applyBorder="1" applyAlignment="1">
      <alignment horizontal="left" vertical="center" indent="1"/>
    </xf>
    <xf numFmtId="0" fontId="4" fillId="0" borderId="70" xfId="0" applyFont="1" applyBorder="1"/>
    <xf numFmtId="0" fontId="16" fillId="0" borderId="122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115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14" fontId="17" fillId="8" borderId="39" xfId="0" applyNumberFormat="1" applyFont="1" applyFill="1" applyBorder="1" applyAlignment="1">
      <alignment horizontal="center" vertical="center" wrapText="1"/>
    </xf>
    <xf numFmtId="0" fontId="59" fillId="0" borderId="70" xfId="0" applyFont="1" applyBorder="1"/>
    <xf numFmtId="0" fontId="2" fillId="0" borderId="70" xfId="3"/>
    <xf numFmtId="0" fontId="72" fillId="0" borderId="70" xfId="3" applyFont="1"/>
    <xf numFmtId="0" fontId="31" fillId="0" borderId="0" xfId="0" applyFont="1"/>
    <xf numFmtId="0" fontId="73" fillId="0" borderId="70" xfId="3" applyFont="1"/>
    <xf numFmtId="0" fontId="4" fillId="0" borderId="37" xfId="0" applyFont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 vertical="center"/>
    </xf>
    <xf numFmtId="0" fontId="5" fillId="14" borderId="142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4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74" fillId="25" borderId="115" xfId="0" applyFont="1" applyFill="1" applyBorder="1" applyAlignment="1">
      <alignment horizontal="center"/>
    </xf>
    <xf numFmtId="0" fontId="15" fillId="3" borderId="88" xfId="0" applyFont="1" applyFill="1" applyBorder="1" applyAlignment="1">
      <alignment horizont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16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horizontal="center" vertical="center" wrapText="1"/>
    </xf>
    <xf numFmtId="165" fontId="78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78" fillId="0" borderId="114" xfId="0" applyFont="1" applyBorder="1" applyAlignment="1">
      <alignment horizontal="center" vertical="center" wrapText="1"/>
    </xf>
    <xf numFmtId="1" fontId="78" fillId="0" borderId="114" xfId="0" applyNumberFormat="1" applyFont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 wrapText="1"/>
    </xf>
    <xf numFmtId="1" fontId="31" fillId="0" borderId="114" xfId="0" applyNumberFormat="1" applyFont="1" applyBorder="1" applyAlignment="1">
      <alignment horizontal="center" vertical="center" wrapText="1"/>
    </xf>
    <xf numFmtId="165" fontId="78" fillId="0" borderId="114" xfId="0" applyNumberFormat="1" applyFont="1" applyBorder="1" applyAlignment="1">
      <alignment horizontal="center" vertical="center" wrapText="1"/>
    </xf>
    <xf numFmtId="0" fontId="31" fillId="0" borderId="117" xfId="0" applyFont="1" applyBorder="1"/>
    <xf numFmtId="0" fontId="13" fillId="0" borderId="111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" fontId="12" fillId="3" borderId="17" xfId="0" applyNumberFormat="1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5" fillId="17" borderId="150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right" vertical="center" indent="1"/>
    </xf>
    <xf numFmtId="0" fontId="80" fillId="27" borderId="2" xfId="0" applyFont="1" applyFill="1" applyBorder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18" xfId="0" applyNumberFormat="1" applyFont="1" applyFill="1" applyBorder="1" applyAlignment="1">
      <alignment horizontal="center" vertical="center" wrapText="1"/>
    </xf>
    <xf numFmtId="14" fontId="17" fillId="3" borderId="115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vertical="center" wrapText="1"/>
    </xf>
    <xf numFmtId="0" fontId="59" fillId="0" borderId="115" xfId="0" applyFont="1" applyBorder="1"/>
    <xf numFmtId="0" fontId="17" fillId="3" borderId="115" xfId="0" applyFont="1" applyFill="1" applyBorder="1" applyAlignment="1">
      <alignment vertical="center" wrapText="1"/>
    </xf>
    <xf numFmtId="14" fontId="17" fillId="24" borderId="115" xfId="0" applyNumberFormat="1" applyFont="1" applyFill="1" applyBorder="1" applyAlignment="1">
      <alignment horizontal="center" vertical="center" wrapText="1"/>
    </xf>
    <xf numFmtId="0" fontId="59" fillId="0" borderId="120" xfId="0" applyFont="1" applyBorder="1"/>
    <xf numFmtId="0" fontId="35" fillId="3" borderId="139" xfId="0" applyFont="1" applyFill="1" applyBorder="1" applyAlignment="1">
      <alignment horizontal="center" wrapText="1"/>
    </xf>
    <xf numFmtId="0" fontId="59" fillId="0" borderId="70" xfId="4"/>
    <xf numFmtId="0" fontId="5" fillId="3" borderId="77" xfId="4" applyFont="1" applyFill="1" applyBorder="1" applyAlignment="1">
      <alignment vertical="center"/>
    </xf>
    <xf numFmtId="0" fontId="5" fillId="3" borderId="60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5" fillId="3" borderId="77" xfId="4" applyFont="1" applyFill="1" applyBorder="1" applyAlignment="1">
      <alignment horizontal="center"/>
    </xf>
    <xf numFmtId="0" fontId="5" fillId="3" borderId="62" xfId="4" applyFont="1" applyFill="1" applyBorder="1" applyAlignment="1">
      <alignment horizontal="center"/>
    </xf>
    <xf numFmtId="0" fontId="5" fillId="3" borderId="60" xfId="4" applyFont="1" applyFill="1" applyBorder="1" applyAlignment="1">
      <alignment horizontal="center"/>
    </xf>
    <xf numFmtId="0" fontId="5" fillId="3" borderId="84" xfId="4" applyFont="1" applyFill="1" applyBorder="1"/>
    <xf numFmtId="0" fontId="5" fillId="3" borderId="66" xfId="4" applyFont="1" applyFill="1" applyBorder="1"/>
    <xf numFmtId="0" fontId="5" fillId="3" borderId="66" xfId="4" applyFont="1" applyFill="1" applyBorder="1" applyAlignment="1">
      <alignment horizontal="center"/>
    </xf>
    <xf numFmtId="0" fontId="5" fillId="3" borderId="84" xfId="4" applyFont="1" applyFill="1" applyBorder="1" applyAlignment="1">
      <alignment vertical="center"/>
    </xf>
    <xf numFmtId="0" fontId="5" fillId="3" borderId="84" xfId="4" applyFont="1" applyFill="1" applyBorder="1" applyAlignment="1">
      <alignment horizontal="center" vertical="center"/>
    </xf>
    <xf numFmtId="0" fontId="5" fillId="3" borderId="84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26" xfId="4" applyFont="1" applyBorder="1" applyAlignment="1">
      <alignment horizontal="center" vertical="center"/>
    </xf>
    <xf numFmtId="0" fontId="15" fillId="3" borderId="84" xfId="4" applyFont="1" applyFill="1" applyBorder="1" applyAlignment="1">
      <alignment horizontal="center"/>
    </xf>
    <xf numFmtId="0" fontId="15" fillId="3" borderId="66" xfId="4" applyFont="1" applyFill="1" applyBorder="1" applyAlignment="1">
      <alignment horizontal="center"/>
    </xf>
    <xf numFmtId="0" fontId="4" fillId="0" borderId="70" xfId="4" applyFont="1"/>
    <xf numFmtId="0" fontId="5" fillId="3" borderId="66" xfId="4" applyFont="1" applyFill="1" applyBorder="1" applyAlignment="1">
      <alignment vertical="center"/>
    </xf>
    <xf numFmtId="0" fontId="15" fillId="3" borderId="84" xfId="4" applyFont="1" applyFill="1" applyBorder="1"/>
    <xf numFmtId="0" fontId="15" fillId="3" borderId="66" xfId="4" applyFont="1" applyFill="1" applyBorder="1"/>
    <xf numFmtId="0" fontId="5" fillId="28" borderId="136" xfId="4" applyFont="1" applyFill="1" applyBorder="1" applyAlignment="1">
      <alignment horizontal="center" vertical="center"/>
    </xf>
    <xf numFmtId="0" fontId="5" fillId="28" borderId="69" xfId="4" applyFont="1" applyFill="1" applyBorder="1" applyAlignment="1">
      <alignment horizontal="center" vertical="center"/>
    </xf>
    <xf numFmtId="0" fontId="68" fillId="3" borderId="70" xfId="4" applyFont="1" applyFill="1"/>
    <xf numFmtId="0" fontId="59" fillId="15" borderId="121" xfId="4" applyFill="1" applyBorder="1"/>
    <xf numFmtId="0" fontId="13" fillId="7" borderId="115" xfId="4" applyFont="1" applyFill="1" applyBorder="1" applyAlignment="1">
      <alignment vertical="center"/>
    </xf>
    <xf numFmtId="0" fontId="59" fillId="16" borderId="70" xfId="4" applyFill="1"/>
    <xf numFmtId="164" fontId="59" fillId="0" borderId="70" xfId="4" applyNumberFormat="1"/>
    <xf numFmtId="0" fontId="59" fillId="0" borderId="70" xfId="4" applyAlignment="1">
      <alignment horizontal="center"/>
    </xf>
    <xf numFmtId="2" fontId="59" fillId="0" borderId="70" xfId="4" applyNumberFormat="1"/>
    <xf numFmtId="1" fontId="4" fillId="16" borderId="88" xfId="4" applyNumberFormat="1" applyFont="1" applyFill="1" applyBorder="1" applyAlignment="1">
      <alignment horizontal="center"/>
    </xf>
    <xf numFmtId="1" fontId="4" fillId="16" borderId="31" xfId="4" applyNumberFormat="1" applyFont="1" applyFill="1" applyBorder="1" applyAlignment="1">
      <alignment horizontal="center"/>
    </xf>
    <xf numFmtId="1" fontId="59" fillId="0" borderId="70" xfId="4" applyNumberFormat="1"/>
    <xf numFmtId="0" fontId="4" fillId="16" borderId="70" xfId="4" applyFont="1" applyFill="1" applyAlignment="1">
      <alignment horizontal="center" vertical="center"/>
    </xf>
    <xf numFmtId="0" fontId="61" fillId="0" borderId="70" xfId="4" applyFont="1"/>
    <xf numFmtId="0" fontId="61" fillId="16" borderId="70" xfId="4" applyFont="1" applyFill="1"/>
    <xf numFmtId="0" fontId="4" fillId="23" borderId="115" xfId="4" applyFont="1" applyFill="1" applyBorder="1" applyAlignment="1">
      <alignment horizontal="center" vertical="center"/>
    </xf>
    <xf numFmtId="1" fontId="4" fillId="16" borderId="85" xfId="4" applyNumberFormat="1" applyFont="1" applyFill="1" applyBorder="1" applyAlignment="1">
      <alignment horizontal="center"/>
    </xf>
    <xf numFmtId="0" fontId="5" fillId="15" borderId="109" xfId="4" applyFont="1" applyFill="1" applyBorder="1" applyAlignment="1">
      <alignment horizontal="left"/>
    </xf>
    <xf numFmtId="0" fontId="70" fillId="15" borderId="109" xfId="4" applyFont="1" applyFill="1" applyBorder="1" applyAlignment="1">
      <alignment wrapText="1"/>
    </xf>
    <xf numFmtId="0" fontId="4" fillId="15" borderId="138" xfId="4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 wrapText="1"/>
    </xf>
    <xf numFmtId="0" fontId="78" fillId="0" borderId="115" xfId="0" applyFont="1" applyBorder="1" applyAlignment="1">
      <alignment vertical="center"/>
    </xf>
    <xf numFmtId="0" fontId="78" fillId="0" borderId="17" xfId="0" applyFont="1" applyBorder="1" applyAlignment="1">
      <alignment horizontal="center" vertical="center"/>
    </xf>
    <xf numFmtId="0" fontId="5" fillId="31" borderId="43" xfId="0" applyFont="1" applyFill="1" applyBorder="1" applyAlignment="1">
      <alignment horizontal="center" vertical="center" wrapText="1"/>
    </xf>
    <xf numFmtId="0" fontId="90" fillId="0" borderId="70" xfId="4" applyFont="1" applyAlignment="1">
      <alignment horizontal="center"/>
    </xf>
    <xf numFmtId="0" fontId="90" fillId="0" borderId="137" xfId="4" applyFont="1" applyBorder="1" applyAlignment="1">
      <alignment horizontal="center"/>
    </xf>
    <xf numFmtId="0" fontId="90" fillId="22" borderId="70" xfId="4" applyFont="1" applyFill="1" applyAlignment="1">
      <alignment horizontal="center"/>
    </xf>
    <xf numFmtId="0" fontId="90" fillId="22" borderId="137" xfId="4" applyFont="1" applyFill="1" applyBorder="1" applyAlignment="1">
      <alignment horizontal="center"/>
    </xf>
    <xf numFmtId="0" fontId="90" fillId="0" borderId="115" xfId="4" applyFont="1" applyBorder="1" applyAlignment="1">
      <alignment horizontal="center"/>
    </xf>
    <xf numFmtId="0" fontId="84" fillId="0" borderId="115" xfId="4" applyFont="1" applyBorder="1" applyAlignment="1">
      <alignment horizontal="center"/>
    </xf>
    <xf numFmtId="0" fontId="84" fillId="16" borderId="115" xfId="4" applyFont="1" applyFill="1" applyBorder="1" applyAlignment="1">
      <alignment horizontal="center"/>
    </xf>
    <xf numFmtId="0" fontId="90" fillId="0" borderId="156" xfId="4" applyFont="1" applyBorder="1" applyAlignment="1">
      <alignment horizontal="center"/>
    </xf>
    <xf numFmtId="0" fontId="90" fillId="0" borderId="143" xfId="4" applyFont="1" applyBorder="1" applyAlignment="1">
      <alignment horizontal="center"/>
    </xf>
    <xf numFmtId="0" fontId="90" fillId="0" borderId="145" xfId="4" applyFont="1" applyBorder="1" applyAlignment="1">
      <alignment horizontal="center"/>
    </xf>
    <xf numFmtId="0" fontId="84" fillId="0" borderId="145" xfId="4" applyFont="1" applyBorder="1" applyAlignment="1">
      <alignment horizontal="center"/>
    </xf>
    <xf numFmtId="0" fontId="84" fillId="16" borderId="145" xfId="4" applyFont="1" applyFill="1" applyBorder="1" applyAlignment="1">
      <alignment horizontal="center"/>
    </xf>
    <xf numFmtId="0" fontId="84" fillId="0" borderId="109" xfId="4" applyFont="1" applyBorder="1" applyAlignment="1">
      <alignment horizontal="center"/>
    </xf>
    <xf numFmtId="0" fontId="84" fillId="0" borderId="112" xfId="4" applyFont="1" applyBorder="1" applyAlignment="1">
      <alignment horizontal="center"/>
    </xf>
    <xf numFmtId="14" fontId="17" fillId="0" borderId="115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 inden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78" xfId="0" applyNumberFormat="1" applyFont="1" applyFill="1" applyBorder="1" applyAlignment="1">
      <alignment horizontal="center" vertical="center" wrapText="1"/>
    </xf>
    <xf numFmtId="0" fontId="55" fillId="4" borderId="17" xfId="0" applyFont="1" applyFill="1" applyBorder="1" applyAlignment="1">
      <alignment horizontal="center" vertical="center" wrapText="1"/>
    </xf>
    <xf numFmtId="1" fontId="12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5" fillId="0" borderId="158" xfId="0" applyFont="1" applyBorder="1" applyAlignment="1">
      <alignment horizontal="left" indent="1"/>
    </xf>
    <xf numFmtId="0" fontId="75" fillId="0" borderId="159" xfId="0" applyFont="1" applyBorder="1" applyAlignment="1">
      <alignment horizontal="left" indent="1"/>
    </xf>
    <xf numFmtId="0" fontId="75" fillId="0" borderId="160" xfId="0" applyFont="1" applyBorder="1" applyAlignment="1">
      <alignment horizontal="left" indent="1"/>
    </xf>
    <xf numFmtId="0" fontId="5" fillId="4" borderId="144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 wrapText="1"/>
    </xf>
    <xf numFmtId="1" fontId="6" fillId="3" borderId="145" xfId="0" applyNumberFormat="1" applyFont="1" applyFill="1" applyBorder="1" applyAlignment="1">
      <alignment vertical="center" wrapText="1"/>
    </xf>
    <xf numFmtId="14" fontId="17" fillId="3" borderId="125" xfId="0" applyNumberFormat="1" applyFont="1" applyFill="1" applyBorder="1" applyAlignment="1">
      <alignment horizontal="center" vertical="center" wrapText="1"/>
    </xf>
    <xf numFmtId="14" fontId="17" fillId="3" borderId="148" xfId="0" applyNumberFormat="1" applyFont="1" applyFill="1" applyBorder="1" applyAlignment="1">
      <alignment horizontal="center" vertical="center" wrapText="1"/>
    </xf>
    <xf numFmtId="0" fontId="12" fillId="17" borderId="115" xfId="0" applyFont="1" applyFill="1" applyBorder="1" applyAlignment="1">
      <alignment horizontal="right" vertical="center" indent="1"/>
    </xf>
    <xf numFmtId="0" fontId="12" fillId="26" borderId="115" xfId="0" applyFont="1" applyFill="1" applyBorder="1" applyAlignment="1">
      <alignment horizontal="center" wrapText="1"/>
    </xf>
    <xf numFmtId="1" fontId="12" fillId="26" borderId="115" xfId="0" applyNumberFormat="1" applyFont="1" applyFill="1" applyBorder="1" applyAlignment="1">
      <alignment horizontal="center" wrapText="1"/>
    </xf>
    <xf numFmtId="0" fontId="13" fillId="26" borderId="115" xfId="0" applyFont="1" applyFill="1" applyBorder="1" applyAlignment="1">
      <alignment horizontal="center" wrapText="1"/>
    </xf>
    <xf numFmtId="165" fontId="12" fillId="26" borderId="115" xfId="0" applyNumberFormat="1" applyFont="1" applyFill="1" applyBorder="1" applyAlignment="1">
      <alignment horizontal="center" wrapText="1"/>
    </xf>
    <xf numFmtId="0" fontId="31" fillId="0" borderId="139" xfId="0" applyFont="1" applyBorder="1" applyAlignment="1">
      <alignment horizontal="center"/>
    </xf>
    <xf numFmtId="0" fontId="77" fillId="0" borderId="20" xfId="0" applyFont="1" applyBorder="1"/>
    <xf numFmtId="0" fontId="77" fillId="0" borderId="77" xfId="0" applyFont="1" applyBorder="1"/>
    <xf numFmtId="0" fontId="77" fillId="0" borderId="149" xfId="0" applyFont="1" applyBorder="1"/>
    <xf numFmtId="0" fontId="94" fillId="0" borderId="164" xfId="4" applyFont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72" fillId="33" borderId="166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 wrapText="1"/>
    </xf>
    <xf numFmtId="0" fontId="72" fillId="33" borderId="168" xfId="5" applyFont="1" applyFill="1" applyBorder="1" applyAlignment="1">
      <alignment horizontal="center" vertical="center" wrapText="1"/>
    </xf>
    <xf numFmtId="0" fontId="72" fillId="33" borderId="139" xfId="5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 wrapText="1"/>
    </xf>
    <xf numFmtId="0" fontId="72" fillId="33" borderId="168" xfId="4" applyFont="1" applyFill="1" applyBorder="1" applyAlignment="1">
      <alignment horizontal="center" vertical="center" wrapText="1"/>
    </xf>
    <xf numFmtId="0" fontId="72" fillId="33" borderId="152" xfId="4" applyFont="1" applyFill="1" applyBorder="1" applyAlignment="1">
      <alignment horizontal="center" vertical="center"/>
    </xf>
    <xf numFmtId="0" fontId="72" fillId="33" borderId="170" xfId="4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/>
    </xf>
    <xf numFmtId="0" fontId="90" fillId="0" borderId="171" xfId="4" applyFont="1" applyBorder="1" applyAlignment="1">
      <alignment horizontal="center"/>
    </xf>
    <xf numFmtId="0" fontId="90" fillId="0" borderId="120" xfId="4" applyFont="1" applyBorder="1" applyAlignment="1">
      <alignment horizontal="center"/>
    </xf>
    <xf numFmtId="0" fontId="84" fillId="0" borderId="120" xfId="4" applyFont="1" applyBorder="1" applyAlignment="1">
      <alignment horizontal="center"/>
    </xf>
    <xf numFmtId="0" fontId="84" fillId="16" borderId="120" xfId="4" applyFont="1" applyFill="1" applyBorder="1" applyAlignment="1">
      <alignment horizontal="center"/>
    </xf>
    <xf numFmtId="0" fontId="84" fillId="0" borderId="138" xfId="4" applyFont="1" applyBorder="1" applyAlignment="1">
      <alignment horizontal="center"/>
    </xf>
    <xf numFmtId="0" fontId="61" fillId="16" borderId="155" xfId="4" applyFont="1" applyFill="1" applyBorder="1"/>
    <xf numFmtId="0" fontId="4" fillId="3" borderId="137" xfId="4" applyFont="1" applyFill="1" applyBorder="1" applyAlignment="1">
      <alignment horizontal="center" vertical="center"/>
    </xf>
    <xf numFmtId="49" fontId="4" fillId="16" borderId="137" xfId="4" applyNumberFormat="1" applyFont="1" applyFill="1" applyBorder="1" applyAlignment="1">
      <alignment horizontal="center" vertical="center"/>
    </xf>
    <xf numFmtId="0" fontId="5" fillId="7" borderId="157" xfId="4" applyFont="1" applyFill="1" applyBorder="1" applyAlignment="1">
      <alignment vertical="center"/>
    </xf>
    <xf numFmtId="0" fontId="14" fillId="3" borderId="137" xfId="4" applyFont="1" applyFill="1" applyBorder="1"/>
    <xf numFmtId="0" fontId="4" fillId="16" borderId="137" xfId="4" applyFont="1" applyFill="1" applyBorder="1"/>
    <xf numFmtId="1" fontId="4" fillId="16" borderId="175" xfId="4" applyNumberFormat="1" applyFont="1" applyFill="1" applyBorder="1" applyAlignment="1">
      <alignment horizontal="center"/>
    </xf>
    <xf numFmtId="49" fontId="4" fillId="16" borderId="137" xfId="4" applyNumberFormat="1" applyFont="1" applyFill="1" applyBorder="1" applyAlignment="1">
      <alignment horizontal="center" vertical="top"/>
    </xf>
    <xf numFmtId="16" fontId="4" fillId="16" borderId="137" xfId="4" applyNumberFormat="1" applyFont="1" applyFill="1" applyBorder="1" applyAlignment="1">
      <alignment horizontal="center"/>
    </xf>
    <xf numFmtId="0" fontId="4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0" fontId="5" fillId="16" borderId="137" xfId="4" applyFont="1" applyFill="1" applyBorder="1" applyAlignment="1">
      <alignment horizontal="center" vertical="center"/>
    </xf>
    <xf numFmtId="0" fontId="4" fillId="16" borderId="137" xfId="4" applyFont="1" applyFill="1" applyBorder="1" applyAlignment="1">
      <alignment vertical="center"/>
    </xf>
    <xf numFmtId="1" fontId="4" fillId="16" borderId="137" xfId="4" applyNumberFormat="1" applyFont="1" applyFill="1" applyBorder="1" applyAlignment="1">
      <alignment horizontal="center" vertical="top"/>
    </xf>
    <xf numFmtId="164" fontId="5" fillId="16" borderId="137" xfId="4" applyNumberFormat="1" applyFont="1" applyFill="1" applyBorder="1" applyAlignment="1">
      <alignment horizontal="center" vertical="center"/>
    </xf>
    <xf numFmtId="0" fontId="13" fillId="16" borderId="137" xfId="4" applyFont="1" applyFill="1" applyBorder="1" applyAlignment="1">
      <alignment vertical="center"/>
    </xf>
    <xf numFmtId="0" fontId="84" fillId="16" borderId="155" xfId="4" applyFont="1" applyFill="1" applyBorder="1"/>
    <xf numFmtId="0" fontId="84" fillId="16" borderId="137" xfId="4" applyFont="1" applyFill="1" applyBorder="1"/>
    <xf numFmtId="1" fontId="4" fillId="16" borderId="176" xfId="4" applyNumberFormat="1" applyFont="1" applyFill="1" applyBorder="1" applyAlignment="1">
      <alignment horizontal="center"/>
    </xf>
    <xf numFmtId="0" fontId="61" fillId="16" borderId="137" xfId="4" applyFont="1" applyFill="1" applyBorder="1"/>
    <xf numFmtId="0" fontId="86" fillId="16" borderId="155" xfId="4" applyFont="1" applyFill="1" applyBorder="1" applyAlignment="1">
      <alignment horizontal="center" wrapText="1"/>
    </xf>
    <xf numFmtId="0" fontId="87" fillId="15" borderId="155" xfId="4" applyFont="1" applyFill="1" applyBorder="1" applyAlignment="1">
      <alignment horizontal="left"/>
    </xf>
    <xf numFmtId="0" fontId="94" fillId="0" borderId="165" xfId="4" applyFont="1" applyBorder="1" applyAlignment="1">
      <alignment horizontal="center" vertical="center" wrapText="1"/>
    </xf>
    <xf numFmtId="0" fontId="59" fillId="18" borderId="0" xfId="0" applyFont="1" applyFill="1"/>
    <xf numFmtId="0" fontId="4" fillId="18" borderId="0" xfId="0" applyFont="1" applyFill="1"/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5" fillId="3" borderId="172" xfId="0" applyFont="1" applyFill="1" applyBorder="1" applyAlignment="1">
      <alignment wrapText="1"/>
    </xf>
    <xf numFmtId="0" fontId="76" fillId="0" borderId="173" xfId="0" applyFont="1" applyBorder="1"/>
    <xf numFmtId="0" fontId="76" fillId="0" borderId="174" xfId="0" applyFont="1" applyBorder="1"/>
    <xf numFmtId="0" fontId="7" fillId="4" borderId="144" xfId="0" applyFont="1" applyFill="1" applyBorder="1" applyAlignment="1">
      <alignment horizontal="center" vertical="center" wrapText="1"/>
    </xf>
    <xf numFmtId="0" fontId="7" fillId="4" borderId="178" xfId="0" applyFont="1" applyFill="1" applyBorder="1" applyAlignment="1">
      <alignment horizontal="center" vertical="center" wrapText="1"/>
    </xf>
    <xf numFmtId="0" fontId="11" fillId="18" borderId="144" xfId="0" applyFont="1" applyFill="1" applyBorder="1" applyAlignment="1">
      <alignment horizontal="center" vertical="center" wrapText="1"/>
    </xf>
    <xf numFmtId="0" fontId="11" fillId="18" borderId="146" xfId="0" applyFont="1" applyFill="1" applyBorder="1" applyAlignment="1">
      <alignment horizontal="center" vertical="center" wrapText="1"/>
    </xf>
    <xf numFmtId="0" fontId="11" fillId="18" borderId="114" xfId="0" applyFont="1" applyFill="1" applyBorder="1" applyAlignment="1">
      <alignment horizontal="center" vertical="center" wrapText="1"/>
    </xf>
    <xf numFmtId="164" fontId="11" fillId="18" borderId="114" xfId="0" applyNumberFormat="1" applyFont="1" applyFill="1" applyBorder="1" applyAlignment="1">
      <alignment horizontal="center" vertical="center" wrapText="1"/>
    </xf>
    <xf numFmtId="0" fontId="7" fillId="34" borderId="114" xfId="0" applyFont="1" applyFill="1" applyBorder="1" applyAlignment="1">
      <alignment horizontal="center" vertical="center" wrapText="1"/>
    </xf>
    <xf numFmtId="164" fontId="7" fillId="34" borderId="114" xfId="0" applyNumberFormat="1" applyFont="1" applyFill="1" applyBorder="1" applyAlignment="1">
      <alignment horizontal="center" vertical="center" wrapText="1"/>
    </xf>
    <xf numFmtId="0" fontId="11" fillId="18" borderId="178" xfId="0" applyFont="1" applyFill="1" applyBorder="1" applyAlignment="1">
      <alignment horizontal="center" vertical="center" wrapText="1"/>
    </xf>
    <xf numFmtId="0" fontId="11" fillId="18" borderId="179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/>
    </xf>
    <xf numFmtId="164" fontId="11" fillId="24" borderId="114" xfId="0" applyNumberFormat="1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97" fillId="0" borderId="70" xfId="0" applyFont="1" applyBorder="1" applyAlignment="1">
      <alignment horizontal="center" vertical="center" wrapText="1"/>
    </xf>
    <xf numFmtId="0" fontId="12" fillId="18" borderId="115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84" fillId="18" borderId="155" xfId="4" applyFont="1" applyFill="1" applyBorder="1" applyAlignment="1">
      <alignment wrapText="1"/>
    </xf>
    <xf numFmtId="0" fontId="63" fillId="3" borderId="17" xfId="4" applyFont="1" applyFill="1" applyBorder="1" applyAlignment="1">
      <alignment horizontal="center" vertical="center"/>
    </xf>
    <xf numFmtId="0" fontId="66" fillId="3" borderId="17" xfId="4" applyFont="1" applyFill="1" applyBorder="1" applyAlignment="1">
      <alignment horizontal="center" vertical="center"/>
    </xf>
    <xf numFmtId="0" fontId="63" fillId="3" borderId="31" xfId="4" applyFont="1" applyFill="1" applyBorder="1" applyAlignment="1">
      <alignment horizontal="center" vertical="center"/>
    </xf>
    <xf numFmtId="0" fontId="66" fillId="3" borderId="31" xfId="4" applyFont="1" applyFill="1" applyBorder="1" applyAlignment="1">
      <alignment horizontal="center" vertical="center"/>
    </xf>
    <xf numFmtId="0" fontId="63" fillId="3" borderId="115" xfId="4" applyFont="1" applyFill="1" applyBorder="1" applyAlignment="1">
      <alignment horizontal="center" vertical="center"/>
    </xf>
    <xf numFmtId="0" fontId="59" fillId="0" borderId="115" xfId="4" applyBorder="1"/>
    <xf numFmtId="0" fontId="66" fillId="3" borderId="115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vertical="center"/>
    </xf>
    <xf numFmtId="0" fontId="5" fillId="3" borderId="182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right" vertical="center"/>
    </xf>
    <xf numFmtId="0" fontId="5" fillId="3" borderId="182" xfId="4" applyFont="1" applyFill="1" applyBorder="1" applyAlignment="1">
      <alignment horizontal="left" vertical="center"/>
    </xf>
    <xf numFmtId="0" fontId="5" fillId="3" borderId="184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center" vertical="center"/>
    </xf>
    <xf numFmtId="0" fontId="5" fillId="3" borderId="183" xfId="4" applyFont="1" applyFill="1" applyBorder="1" applyAlignment="1">
      <alignment horizontal="right" vertical="center"/>
    </xf>
    <xf numFmtId="0" fontId="5" fillId="3" borderId="149" xfId="4" applyFont="1" applyFill="1" applyBorder="1" applyAlignment="1">
      <alignment vertical="center"/>
    </xf>
    <xf numFmtId="0" fontId="5" fillId="3" borderId="137" xfId="4" applyFont="1" applyFill="1" applyBorder="1" applyAlignment="1">
      <alignment horizontal="center"/>
    </xf>
    <xf numFmtId="0" fontId="26" fillId="3" borderId="144" xfId="4" applyFont="1" applyFill="1" applyBorder="1" applyAlignment="1">
      <alignment horizontal="center" vertical="center"/>
    </xf>
    <xf numFmtId="0" fontId="26" fillId="3" borderId="189" xfId="4" applyFont="1" applyFill="1" applyBorder="1" applyAlignment="1">
      <alignment horizontal="center" vertical="center"/>
    </xf>
    <xf numFmtId="0" fontId="26" fillId="3" borderId="157" xfId="4" applyFont="1" applyFill="1" applyBorder="1" applyAlignment="1">
      <alignment horizontal="center" vertical="center"/>
    </xf>
    <xf numFmtId="0" fontId="26" fillId="3" borderId="188" xfId="4" applyFont="1" applyFill="1" applyBorder="1" applyAlignment="1">
      <alignment horizontal="center" vertical="center"/>
    </xf>
    <xf numFmtId="0" fontId="5" fillId="3" borderId="137" xfId="4" applyFont="1" applyFill="1" applyBorder="1" applyAlignment="1">
      <alignment vertical="center"/>
    </xf>
    <xf numFmtId="0" fontId="26" fillId="3" borderId="146" xfId="4" applyFont="1" applyFill="1" applyBorder="1" applyAlignment="1">
      <alignment horizontal="center" vertical="center"/>
    </xf>
    <xf numFmtId="0" fontId="63" fillId="3" borderId="114" xfId="4" applyFont="1" applyFill="1" applyBorder="1" applyAlignment="1">
      <alignment horizontal="center" vertical="center"/>
    </xf>
    <xf numFmtId="0" fontId="66" fillId="3" borderId="114" xfId="4" applyFont="1" applyFill="1" applyBorder="1" applyAlignment="1">
      <alignment horizontal="center" vertical="center"/>
    </xf>
    <xf numFmtId="0" fontId="14" fillId="3" borderId="122" xfId="4" applyFont="1" applyFill="1" applyBorder="1"/>
    <xf numFmtId="0" fontId="15" fillId="3" borderId="122" xfId="4" applyFont="1" applyFill="1" applyBorder="1" applyAlignment="1">
      <alignment horizontal="center" vertical="center"/>
    </xf>
    <xf numFmtId="0" fontId="15" fillId="3" borderId="190" xfId="4" applyFont="1" applyFill="1" applyBorder="1"/>
    <xf numFmtId="0" fontId="15" fillId="3" borderId="122" xfId="4" applyFont="1" applyFill="1" applyBorder="1"/>
    <xf numFmtId="0" fontId="15" fillId="3" borderId="191" xfId="4" applyFont="1" applyFill="1" applyBorder="1"/>
    <xf numFmtId="0" fontId="5" fillId="3" borderId="122" xfId="4" applyFont="1" applyFill="1" applyBorder="1"/>
    <xf numFmtId="0" fontId="5" fillId="3" borderId="190" xfId="4" applyFont="1" applyFill="1" applyBorder="1" applyAlignment="1">
      <alignment horizontal="center"/>
    </xf>
    <xf numFmtId="0" fontId="5" fillId="3" borderId="122" xfId="4" applyFont="1" applyFill="1" applyBorder="1" applyAlignment="1">
      <alignment horizontal="center"/>
    </xf>
    <xf numFmtId="0" fontId="5" fillId="3" borderId="191" xfId="4" applyFont="1" applyFill="1" applyBorder="1" applyAlignment="1">
      <alignment horizontal="center"/>
    </xf>
    <xf numFmtId="0" fontId="5" fillId="3" borderId="190" xfId="4" applyFont="1" applyFill="1" applyBorder="1" applyAlignment="1">
      <alignment horizontal="center" vertical="center"/>
    </xf>
    <xf numFmtId="0" fontId="5" fillId="3" borderId="177" xfId="4" applyFont="1" applyFill="1" applyBorder="1" applyAlignment="1">
      <alignment horizontal="center"/>
    </xf>
    <xf numFmtId="0" fontId="5" fillId="7" borderId="39" xfId="4" applyFont="1" applyFill="1" applyBorder="1" applyAlignment="1">
      <alignment horizontal="left" vertical="center"/>
    </xf>
    <xf numFmtId="0" fontId="5" fillId="3" borderId="185" xfId="4" applyFont="1" applyFill="1" applyBorder="1" applyAlignment="1">
      <alignment horizontal="left" vertical="center"/>
    </xf>
    <xf numFmtId="0" fontId="27" fillId="0" borderId="178" xfId="4" applyFont="1" applyBorder="1" applyAlignment="1">
      <alignment horizontal="center" vertical="center"/>
    </xf>
    <xf numFmtId="0" fontId="27" fillId="0" borderId="161" xfId="4" applyFont="1" applyBorder="1" applyAlignment="1">
      <alignment horizontal="center" vertical="center"/>
    </xf>
    <xf numFmtId="0" fontId="27" fillId="0" borderId="145" xfId="4" applyFont="1" applyBorder="1" applyAlignment="1">
      <alignment horizontal="center" vertical="center"/>
    </xf>
    <xf numFmtId="0" fontId="27" fillId="0" borderId="175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164" fontId="5" fillId="18" borderId="137" xfId="4" applyNumberFormat="1" applyFont="1" applyFill="1" applyBorder="1" applyAlignment="1">
      <alignment horizontal="center" vertical="center"/>
    </xf>
    <xf numFmtId="0" fontId="100" fillId="0" borderId="70" xfId="6"/>
    <xf numFmtId="0" fontId="100" fillId="0" borderId="70" xfId="6" applyAlignment="1">
      <alignment horizontal="center" vertical="center"/>
    </xf>
    <xf numFmtId="14" fontId="100" fillId="0" borderId="70" xfId="6" applyNumberFormat="1" applyAlignment="1">
      <alignment horizontal="center" vertical="center"/>
    </xf>
    <xf numFmtId="0" fontId="100" fillId="0" borderId="137" xfId="6" applyBorder="1" applyAlignment="1">
      <alignment horizontal="center" vertical="center"/>
    </xf>
    <xf numFmtId="0" fontId="100" fillId="0" borderId="155" xfId="6" applyBorder="1" applyAlignment="1">
      <alignment horizontal="center" vertical="center"/>
    </xf>
    <xf numFmtId="0" fontId="101" fillId="0" borderId="70" xfId="6" applyFont="1"/>
    <xf numFmtId="0" fontId="100" fillId="0" borderId="115" xfId="6" applyBorder="1"/>
    <xf numFmtId="14" fontId="100" fillId="0" borderId="115" xfId="6" applyNumberFormat="1" applyBorder="1" applyAlignment="1">
      <alignment horizontal="center" vertical="center"/>
    </xf>
    <xf numFmtId="14" fontId="102" fillId="0" borderId="115" xfId="6" applyNumberFormat="1" applyFont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2" fillId="16" borderId="115" xfId="6" applyFont="1" applyFill="1" applyBorder="1" applyAlignment="1">
      <alignment horizontal="center" vertical="center"/>
    </xf>
    <xf numFmtId="0" fontId="100" fillId="0" borderId="70" xfId="6" applyAlignment="1">
      <alignment horizontal="center"/>
    </xf>
    <xf numFmtId="0" fontId="104" fillId="0" borderId="115" xfId="6" applyFont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 wrapText="1"/>
    </xf>
    <xf numFmtId="14" fontId="105" fillId="0" borderId="115" xfId="7" applyNumberFormat="1" applyFont="1" applyBorder="1" applyAlignment="1">
      <alignment horizontal="center" vertical="center" wrapText="1"/>
    </xf>
    <xf numFmtId="0" fontId="105" fillId="16" borderId="115" xfId="7" applyFont="1" applyFill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/>
    </xf>
    <xf numFmtId="14" fontId="102" fillId="15" borderId="115" xfId="6" applyNumberFormat="1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wrapText="1"/>
    </xf>
    <xf numFmtId="165" fontId="12" fillId="17" borderId="115" xfId="0" applyNumberFormat="1" applyFont="1" applyFill="1" applyBorder="1" applyAlignment="1">
      <alignment horizontal="center" wrapText="1"/>
    </xf>
    <xf numFmtId="0" fontId="4" fillId="18" borderId="70" xfId="4" applyFont="1" applyFill="1" applyAlignment="1">
      <alignment horizontal="center" vertical="center"/>
    </xf>
    <xf numFmtId="0" fontId="4" fillId="16" borderId="155" xfId="4" applyFont="1" applyFill="1" applyBorder="1"/>
    <xf numFmtId="0" fontId="109" fillId="15" borderId="70" xfId="0" applyFont="1" applyFill="1" applyBorder="1" applyAlignment="1">
      <alignment horizontal="center" wrapText="1"/>
    </xf>
    <xf numFmtId="0" fontId="110" fillId="15" borderId="70" xfId="0" applyFont="1" applyFill="1" applyBorder="1" applyAlignment="1">
      <alignment horizontal="left"/>
    </xf>
    <xf numFmtId="0" fontId="9" fillId="15" borderId="70" xfId="0" applyFont="1" applyFill="1" applyBorder="1"/>
    <xf numFmtId="0" fontId="111" fillId="15" borderId="70" xfId="0" applyFont="1" applyFill="1" applyBorder="1"/>
    <xf numFmtId="0" fontId="69" fillId="15" borderId="70" xfId="0" applyFont="1" applyFill="1" applyBorder="1" applyAlignment="1">
      <alignment horizontal="center"/>
    </xf>
    <xf numFmtId="0" fontId="69" fillId="15" borderId="70" xfId="0" applyFont="1" applyFill="1" applyBorder="1"/>
    <xf numFmtId="0" fontId="109" fillId="15" borderId="70" xfId="0" applyFont="1" applyFill="1" applyBorder="1"/>
    <xf numFmtId="0" fontId="111" fillId="15" borderId="70" xfId="0" applyFont="1" applyFill="1" applyBorder="1" applyAlignment="1">
      <alignment horizontal="center" vertical="center"/>
    </xf>
    <xf numFmtId="0" fontId="56" fillId="15" borderId="70" xfId="0" applyFont="1" applyFill="1" applyBorder="1"/>
    <xf numFmtId="14" fontId="9" fillId="15" borderId="70" xfId="0" applyNumberFormat="1" applyFont="1" applyFill="1" applyBorder="1"/>
    <xf numFmtId="0" fontId="9" fillId="15" borderId="70" xfId="0" applyFont="1" applyFill="1" applyBorder="1" applyAlignment="1">
      <alignment horizontal="left" vertical="center"/>
    </xf>
    <xf numFmtId="0" fontId="9" fillId="15" borderId="70" xfId="0" applyFont="1" applyFill="1" applyBorder="1" applyAlignment="1">
      <alignment horizontal="center" vertical="center"/>
    </xf>
    <xf numFmtId="0" fontId="111" fillId="15" borderId="70" xfId="0" applyFont="1" applyFill="1" applyBorder="1" applyAlignment="1">
      <alignment horizontal="center"/>
    </xf>
    <xf numFmtId="0" fontId="59" fillId="15" borderId="70" xfId="0" applyFont="1" applyFill="1" applyBorder="1"/>
    <xf numFmtId="0" fontId="5" fillId="3" borderId="70" xfId="4" applyFont="1" applyFill="1" applyAlignment="1">
      <alignment vertical="center"/>
    </xf>
    <xf numFmtId="0" fontId="5" fillId="3" borderId="70" xfId="4" applyFont="1" applyFill="1"/>
    <xf numFmtId="0" fontId="5" fillId="3" borderId="70" xfId="4" applyFont="1" applyFill="1" applyAlignment="1">
      <alignment horizontal="center"/>
    </xf>
    <xf numFmtId="0" fontId="5" fillId="3" borderId="70" xfId="4" applyFont="1" applyFill="1" applyAlignment="1">
      <alignment wrapText="1"/>
    </xf>
    <xf numFmtId="0" fontId="5" fillId="3" borderId="70" xfId="4" applyFont="1" applyFill="1" applyAlignment="1">
      <alignment horizontal="center" vertical="center"/>
    </xf>
    <xf numFmtId="0" fontId="15" fillId="3" borderId="70" xfId="4" applyFont="1" applyFill="1" applyAlignment="1">
      <alignment horizontal="center" wrapText="1"/>
    </xf>
    <xf numFmtId="0" fontId="15" fillId="3" borderId="70" xfId="4" applyFont="1" applyFill="1" applyAlignment="1">
      <alignment horizontal="center"/>
    </xf>
    <xf numFmtId="0" fontId="67" fillId="3" borderId="70" xfId="4" applyFont="1" applyFill="1" applyAlignment="1">
      <alignment vertical="center" wrapText="1"/>
    </xf>
    <xf numFmtId="0" fontId="15" fillId="3" borderId="70" xfId="4" applyFont="1" applyFill="1" applyAlignment="1">
      <alignment horizontal="center" vertical="center"/>
    </xf>
    <xf numFmtId="0" fontId="4" fillId="3" borderId="70" xfId="4" applyFont="1" applyFill="1" applyAlignment="1">
      <alignment wrapText="1"/>
    </xf>
    <xf numFmtId="0" fontId="15" fillId="3" borderId="70" xfId="4" applyFont="1" applyFill="1"/>
    <xf numFmtId="0" fontId="4" fillId="16" borderId="70" xfId="4" applyFont="1" applyFill="1"/>
    <xf numFmtId="0" fontId="5" fillId="3" borderId="70" xfId="4" applyFont="1" applyFill="1" applyAlignment="1">
      <alignment horizontal="left" vertical="top"/>
    </xf>
    <xf numFmtId="0" fontId="5" fillId="21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center"/>
    </xf>
    <xf numFmtId="49" fontId="5" fillId="16" borderId="70" xfId="4" applyNumberFormat="1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/>
    </xf>
    <xf numFmtId="0" fontId="5" fillId="16" borderId="70" xfId="4" applyFont="1" applyFill="1"/>
    <xf numFmtId="16" fontId="4" fillId="16" borderId="70" xfId="4" quotePrefix="1" applyNumberFormat="1" applyFont="1" applyFill="1" applyAlignment="1">
      <alignment horizontal="center"/>
    </xf>
    <xf numFmtId="16" fontId="4" fillId="16" borderId="70" xfId="4" applyNumberFormat="1" applyFont="1" applyFill="1" applyAlignment="1">
      <alignment horizontal="center"/>
    </xf>
    <xf numFmtId="49" fontId="4" fillId="16" borderId="70" xfId="4" applyNumberFormat="1" applyFont="1" applyFill="1" applyAlignment="1">
      <alignment horizontal="center" vertical="top"/>
    </xf>
    <xf numFmtId="164" fontId="5" fillId="16" borderId="70" xfId="4" applyNumberFormat="1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15" fillId="16" borderId="70" xfId="4" applyFont="1" applyFill="1" applyAlignment="1">
      <alignment horizontal="center" vertical="center"/>
    </xf>
    <xf numFmtId="0" fontId="4" fillId="16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0" fontId="5" fillId="18" borderId="70" xfId="4" applyFont="1" applyFill="1" applyAlignment="1">
      <alignment horizontal="center" vertical="center"/>
    </xf>
    <xf numFmtId="0" fontId="5" fillId="16" borderId="70" xfId="4" applyFont="1" applyFill="1" applyAlignment="1">
      <alignment horizontal="center"/>
    </xf>
    <xf numFmtId="164" fontId="5" fillId="18" borderId="70" xfId="4" applyNumberFormat="1" applyFont="1" applyFill="1" applyAlignment="1">
      <alignment horizontal="center" vertical="center"/>
    </xf>
    <xf numFmtId="0" fontId="71" fillId="16" borderId="70" xfId="4" applyFont="1" applyFill="1"/>
    <xf numFmtId="1" fontId="83" fillId="16" borderId="70" xfId="4" applyNumberFormat="1" applyFont="1" applyFill="1" applyAlignment="1">
      <alignment horizontal="center" vertical="top"/>
    </xf>
    <xf numFmtId="0" fontId="15" fillId="18" borderId="70" xfId="4" applyFont="1" applyFill="1" applyAlignment="1">
      <alignment horizontal="center" vertical="center"/>
    </xf>
    <xf numFmtId="49" fontId="5" fillId="18" borderId="70" xfId="4" applyNumberFormat="1" applyFont="1" applyFill="1" applyAlignment="1">
      <alignment horizontal="center" vertical="top"/>
    </xf>
    <xf numFmtId="0" fontId="13" fillId="16" borderId="70" xfId="4" applyFont="1" applyFill="1" applyAlignment="1">
      <alignment vertical="center"/>
    </xf>
    <xf numFmtId="0" fontId="71" fillId="16" borderId="70" xfId="4" applyFont="1" applyFill="1" applyAlignment="1">
      <alignment horizontal="center" vertical="center"/>
    </xf>
    <xf numFmtId="0" fontId="84" fillId="16" borderId="70" xfId="4" applyFont="1" applyFill="1"/>
    <xf numFmtId="1" fontId="5" fillId="16" borderId="70" xfId="4" applyNumberFormat="1" applyFont="1" applyFill="1" applyAlignment="1">
      <alignment horizontal="left" vertical="top"/>
    </xf>
    <xf numFmtId="0" fontId="4" fillId="16" borderId="70" xfId="4" applyFont="1" applyFill="1" applyAlignment="1">
      <alignment horizontal="center" vertical="top"/>
    </xf>
    <xf numFmtId="1" fontId="4" fillId="16" borderId="70" xfId="4" applyNumberFormat="1" applyFont="1" applyFill="1" applyAlignment="1">
      <alignment horizontal="center" vertical="top"/>
    </xf>
    <xf numFmtId="49" fontId="4" fillId="16" borderId="70" xfId="4" applyNumberFormat="1" applyFont="1" applyFill="1" applyAlignment="1">
      <alignment horizontal="center"/>
    </xf>
    <xf numFmtId="0" fontId="4" fillId="16" borderId="70" xfId="4" applyFont="1" applyFill="1" applyAlignment="1">
      <alignment horizontal="center"/>
    </xf>
    <xf numFmtId="0" fontId="4" fillId="3" borderId="70" xfId="4" applyFont="1" applyFill="1"/>
    <xf numFmtId="49" fontId="4" fillId="16" borderId="70" xfId="4" applyNumberFormat="1" applyFont="1" applyFill="1" applyAlignment="1">
      <alignment horizontal="center" vertical="center"/>
    </xf>
    <xf numFmtId="0" fontId="4" fillId="0" borderId="70" xfId="4" applyFont="1" applyAlignment="1">
      <alignment horizontal="center" vertical="center"/>
    </xf>
    <xf numFmtId="0" fontId="98" fillId="16" borderId="70" xfId="4" applyFont="1" applyFill="1" applyAlignment="1">
      <alignment horizontal="center" vertical="center"/>
    </xf>
    <xf numFmtId="0" fontId="9" fillId="16" borderId="70" xfId="4" applyFont="1" applyFill="1" applyAlignment="1">
      <alignment horizontal="center"/>
    </xf>
    <xf numFmtId="0" fontId="0" fillId="15" borderId="70" xfId="0" applyFill="1" applyBorder="1"/>
    <xf numFmtId="1" fontId="4" fillId="16" borderId="70" xfId="4" applyNumberFormat="1" applyFont="1" applyFill="1" applyAlignment="1">
      <alignment horizontal="center"/>
    </xf>
    <xf numFmtId="0" fontId="59" fillId="16" borderId="70" xfId="4" applyFill="1" applyAlignment="1">
      <alignment horizontal="center" vertical="center"/>
    </xf>
    <xf numFmtId="0" fontId="61" fillId="16" borderId="70" xfId="4" applyFont="1" applyFill="1" applyAlignment="1">
      <alignment horizontal="center" vertical="center"/>
    </xf>
    <xf numFmtId="0" fontId="84" fillId="18" borderId="70" xfId="4" applyFont="1" applyFill="1" applyAlignment="1">
      <alignment wrapText="1"/>
    </xf>
    <xf numFmtId="0" fontId="86" fillId="16" borderId="70" xfId="4" applyFont="1" applyFill="1" applyAlignment="1">
      <alignment horizontal="center" wrapText="1"/>
    </xf>
    <xf numFmtId="0" fontId="84" fillId="15" borderId="70" xfId="4" applyFont="1" applyFill="1" applyAlignment="1">
      <alignment horizontal="center" wrapText="1"/>
    </xf>
    <xf numFmtId="0" fontId="61" fillId="15" borderId="70" xfId="4" applyFont="1" applyFill="1"/>
    <xf numFmtId="0" fontId="61" fillId="15" borderId="70" xfId="4" applyFont="1" applyFill="1" applyAlignment="1">
      <alignment horizontal="center" vertical="center"/>
    </xf>
    <xf numFmtId="0" fontId="59" fillId="15" borderId="70" xfId="4" applyFill="1"/>
    <xf numFmtId="0" fontId="112" fillId="15" borderId="70" xfId="0" applyFont="1" applyFill="1" applyBorder="1"/>
    <xf numFmtId="0" fontId="113" fillId="15" borderId="70" xfId="0" applyFont="1" applyFill="1" applyBorder="1" applyAlignment="1">
      <alignment horizontal="center" vertical="center"/>
    </xf>
    <xf numFmtId="0" fontId="113" fillId="15" borderId="70" xfId="0" applyFont="1" applyFill="1" applyBorder="1"/>
    <xf numFmtId="14" fontId="113" fillId="15" borderId="70" xfId="0" applyNumberFormat="1" applyFont="1" applyFill="1" applyBorder="1"/>
    <xf numFmtId="14" fontId="14" fillId="15" borderId="70" xfId="0" applyNumberFormat="1" applyFont="1" applyFill="1" applyBorder="1"/>
    <xf numFmtId="16" fontId="14" fillId="15" borderId="70" xfId="0" applyNumberFormat="1" applyFont="1" applyFill="1" applyBorder="1" applyAlignment="1">
      <alignment vertical="center"/>
    </xf>
    <xf numFmtId="16" fontId="14" fillId="15" borderId="70" xfId="0" applyNumberFormat="1" applyFont="1" applyFill="1" applyBorder="1" applyAlignment="1">
      <alignment horizontal="center"/>
    </xf>
    <xf numFmtId="0" fontId="14" fillId="15" borderId="70" xfId="0" applyFont="1" applyFill="1" applyBorder="1" applyAlignment="1">
      <alignment vertical="center"/>
    </xf>
    <xf numFmtId="0" fontId="14" fillId="15" borderId="70" xfId="0" applyFont="1" applyFill="1" applyBorder="1" applyAlignment="1">
      <alignment horizontal="left" vertical="center"/>
    </xf>
    <xf numFmtId="0" fontId="14" fillId="15" borderId="70" xfId="0" applyFont="1" applyFill="1" applyBorder="1" applyAlignment="1">
      <alignment horizontal="center" vertical="center"/>
    </xf>
    <xf numFmtId="14" fontId="14" fillId="15" borderId="70" xfId="0" applyNumberFormat="1" applyFont="1" applyFill="1" applyBorder="1" applyAlignment="1">
      <alignment horizontal="center" vertical="center"/>
    </xf>
    <xf numFmtId="0" fontId="35" fillId="16" borderId="70" xfId="4" applyFont="1" applyFill="1" applyAlignment="1">
      <alignment horizontal="center" vertical="center"/>
    </xf>
    <xf numFmtId="0" fontId="90" fillId="18" borderId="115" xfId="0" applyFont="1" applyFill="1" applyBorder="1" applyAlignment="1">
      <alignment horizontal="center" vertical="center"/>
    </xf>
    <xf numFmtId="0" fontId="31" fillId="18" borderId="116" xfId="0" applyFont="1" applyFill="1" applyBorder="1" applyAlignment="1">
      <alignment wrapText="1"/>
    </xf>
    <xf numFmtId="14" fontId="14" fillId="15" borderId="70" xfId="0" applyNumberFormat="1" applyFont="1" applyFill="1" applyBorder="1" applyAlignment="1">
      <alignment horizontal="left" vertical="top"/>
    </xf>
    <xf numFmtId="14" fontId="113" fillId="15" borderId="70" xfId="0" applyNumberFormat="1" applyFont="1" applyFill="1" applyBorder="1" applyAlignment="1">
      <alignment horizontal="left" vertical="top"/>
    </xf>
    <xf numFmtId="0" fontId="115" fillId="0" borderId="0" xfId="0" applyFont="1"/>
    <xf numFmtId="0" fontId="116" fillId="3" borderId="2" xfId="0" applyFont="1" applyFill="1" applyBorder="1" applyAlignment="1">
      <alignment horizontal="center" vertical="center"/>
    </xf>
    <xf numFmtId="16" fontId="116" fillId="3" borderId="2" xfId="0" quotePrefix="1" applyNumberFormat="1" applyFont="1" applyFill="1" applyBorder="1" applyAlignment="1">
      <alignment horizontal="center" vertical="center"/>
    </xf>
    <xf numFmtId="0" fontId="116" fillId="3" borderId="2" xfId="0" quotePrefix="1" applyFont="1" applyFill="1" applyBorder="1" applyAlignment="1">
      <alignment horizontal="center" vertical="center"/>
    </xf>
    <xf numFmtId="0" fontId="117" fillId="3" borderId="2" xfId="0" applyFont="1" applyFill="1" applyBorder="1" applyAlignment="1">
      <alignment horizontal="center" vertical="center" wrapText="1"/>
    </xf>
    <xf numFmtId="0" fontId="117" fillId="3" borderId="115" xfId="0" applyFont="1" applyFill="1" applyBorder="1" applyAlignment="1">
      <alignment horizontal="center" vertical="center" wrapText="1"/>
    </xf>
    <xf numFmtId="0" fontId="116" fillId="3" borderId="115" xfId="0" applyFont="1" applyFill="1" applyBorder="1" applyAlignment="1">
      <alignment horizontal="center" vertical="center"/>
    </xf>
    <xf numFmtId="0" fontId="117" fillId="3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center" vertical="center"/>
    </xf>
    <xf numFmtId="0" fontId="117" fillId="3" borderId="118" xfId="0" applyFont="1" applyFill="1" applyBorder="1" applyAlignment="1">
      <alignment horizontal="center" vertical="center" wrapText="1"/>
    </xf>
    <xf numFmtId="0" fontId="116" fillId="3" borderId="118" xfId="0" applyFont="1" applyFill="1" applyBorder="1" applyAlignment="1">
      <alignment horizontal="center" vertical="center"/>
    </xf>
    <xf numFmtId="0" fontId="117" fillId="3" borderId="148" xfId="0" applyFont="1" applyFill="1" applyBorder="1" applyAlignment="1">
      <alignment horizontal="center" vertical="center" wrapText="1"/>
    </xf>
    <xf numFmtId="0" fontId="116" fillId="3" borderId="148" xfId="0" applyFont="1" applyFill="1" applyBorder="1" applyAlignment="1">
      <alignment horizontal="center" vertical="center"/>
    </xf>
    <xf numFmtId="0" fontId="117" fillId="16" borderId="115" xfId="0" applyFont="1" applyFill="1" applyBorder="1" applyAlignment="1">
      <alignment horizontal="center" vertical="center" wrapText="1"/>
    </xf>
    <xf numFmtId="0" fontId="117" fillId="0" borderId="115" xfId="0" applyFont="1" applyBorder="1" applyAlignment="1">
      <alignment horizontal="center" vertical="center" wrapText="1"/>
    </xf>
    <xf numFmtId="0" fontId="115" fillId="16" borderId="115" xfId="0" applyFont="1" applyFill="1" applyBorder="1" applyAlignment="1">
      <alignment horizontal="center" vertical="center"/>
    </xf>
    <xf numFmtId="0" fontId="115" fillId="32" borderId="115" xfId="0" applyFont="1" applyFill="1" applyBorder="1" applyAlignment="1">
      <alignment horizontal="center" vertical="center"/>
    </xf>
    <xf numFmtId="0" fontId="115" fillId="0" borderId="70" xfId="0" applyFont="1" applyBorder="1" applyAlignment="1">
      <alignment horizontal="center"/>
    </xf>
    <xf numFmtId="0" fontId="115" fillId="0" borderId="115" xfId="0" applyFont="1" applyBorder="1" applyAlignment="1">
      <alignment horizontal="center" vertical="center"/>
    </xf>
    <xf numFmtId="0" fontId="117" fillId="18" borderId="115" xfId="0" applyFont="1" applyFill="1" applyBorder="1" applyAlignment="1">
      <alignment horizontal="center" vertical="center" wrapText="1"/>
    </xf>
    <xf numFmtId="0" fontId="115" fillId="16" borderId="0" xfId="0" applyFont="1" applyFill="1"/>
    <xf numFmtId="0" fontId="115" fillId="16" borderId="115" xfId="0" applyFont="1" applyFill="1" applyBorder="1" applyAlignment="1">
      <alignment horizontal="center"/>
    </xf>
    <xf numFmtId="0" fontId="116" fillId="16" borderId="115" xfId="4" applyFont="1" applyFill="1" applyBorder="1" applyAlignment="1">
      <alignment horizontal="center" vertical="center"/>
    </xf>
    <xf numFmtId="0" fontId="116" fillId="24" borderId="2" xfId="0" applyFont="1" applyFill="1" applyBorder="1" applyAlignment="1">
      <alignment horizontal="center" vertical="center"/>
    </xf>
    <xf numFmtId="0" fontId="116" fillId="18" borderId="115" xfId="4" applyFont="1" applyFill="1" applyBorder="1" applyAlignment="1">
      <alignment horizontal="center" vertical="center"/>
    </xf>
    <xf numFmtId="0" fontId="117" fillId="24" borderId="115" xfId="0" applyFont="1" applyFill="1" applyBorder="1" applyAlignment="1">
      <alignment horizontal="center" vertical="center" wrapText="1"/>
    </xf>
    <xf numFmtId="0" fontId="116" fillId="24" borderId="115" xfId="0" applyFont="1" applyFill="1" applyBorder="1" applyAlignment="1">
      <alignment horizontal="center" vertical="center"/>
    </xf>
    <xf numFmtId="0" fontId="116" fillId="16" borderId="70" xfId="4" applyFont="1" applyFill="1" applyAlignment="1">
      <alignment horizontal="center" vertical="center"/>
    </xf>
    <xf numFmtId="0" fontId="118" fillId="3" borderId="115" xfId="0" applyFont="1" applyFill="1" applyBorder="1" applyAlignment="1">
      <alignment horizontal="center" vertical="center" wrapText="1"/>
    </xf>
    <xf numFmtId="0" fontId="119" fillId="3" borderId="115" xfId="0" applyFont="1" applyFill="1" applyBorder="1" applyAlignment="1">
      <alignment horizontal="center" vertical="center" wrapText="1"/>
    </xf>
    <xf numFmtId="14" fontId="116" fillId="3" borderId="2" xfId="0" applyNumberFormat="1" applyFont="1" applyFill="1" applyBorder="1" applyAlignment="1">
      <alignment horizontal="center" vertical="center"/>
    </xf>
    <xf numFmtId="2" fontId="116" fillId="3" borderId="35" xfId="0" applyNumberFormat="1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left" vertical="center"/>
    </xf>
    <xf numFmtId="0" fontId="116" fillId="3" borderId="2" xfId="0" applyFont="1" applyFill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6" fillId="0" borderId="0" xfId="0" applyFont="1" applyAlignment="1">
      <alignment horizontal="center"/>
    </xf>
    <xf numFmtId="2" fontId="116" fillId="3" borderId="2" xfId="0" applyNumberFormat="1" applyFont="1" applyFill="1" applyBorder="1" applyAlignment="1">
      <alignment horizontal="center" vertical="center"/>
    </xf>
    <xf numFmtId="14" fontId="117" fillId="3" borderId="2" xfId="0" applyNumberFormat="1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vertical="center"/>
    </xf>
    <xf numFmtId="0" fontId="116" fillId="0" borderId="0" xfId="0" applyFont="1"/>
    <xf numFmtId="14" fontId="117" fillId="3" borderId="2" xfId="0" applyNumberFormat="1" applyFont="1" applyFill="1" applyBorder="1" applyAlignment="1">
      <alignment horizontal="center" vertical="center" wrapText="1"/>
    </xf>
    <xf numFmtId="14" fontId="117" fillId="3" borderId="115" xfId="0" applyNumberFormat="1" applyFont="1" applyFill="1" applyBorder="1" applyAlignment="1">
      <alignment horizontal="center" vertical="center" wrapText="1"/>
    </xf>
    <xf numFmtId="14" fontId="117" fillId="3" borderId="120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wrapText="1"/>
    </xf>
    <xf numFmtId="0" fontId="117" fillId="3" borderId="115" xfId="0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center" vertical="center"/>
    </xf>
    <xf numFmtId="14" fontId="117" fillId="3" borderId="123" xfId="0" applyNumberFormat="1" applyFont="1" applyFill="1" applyBorder="1" applyAlignment="1">
      <alignment horizontal="center" vertical="center" wrapText="1"/>
    </xf>
    <xf numFmtId="14" fontId="117" fillId="3" borderId="123" xfId="0" applyNumberFormat="1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vertical="center"/>
    </xf>
    <xf numFmtId="0" fontId="116" fillId="0" borderId="70" xfId="0" applyFont="1" applyBorder="1"/>
    <xf numFmtId="0" fontId="115" fillId="0" borderId="70" xfId="0" applyFont="1" applyBorder="1"/>
    <xf numFmtId="14" fontId="117" fillId="3" borderId="115" xfId="0" applyNumberFormat="1" applyFont="1" applyFill="1" applyBorder="1" applyAlignment="1">
      <alignment horizontal="center" wrapText="1"/>
    </xf>
    <xf numFmtId="0" fontId="115" fillId="0" borderId="115" xfId="0" applyFont="1" applyBorder="1"/>
    <xf numFmtId="14" fontId="117" fillId="3" borderId="118" xfId="0" applyNumberFormat="1" applyFont="1" applyFill="1" applyBorder="1" applyAlignment="1">
      <alignment horizontal="center" vertical="center" wrapText="1"/>
    </xf>
    <xf numFmtId="14" fontId="117" fillId="3" borderId="118" xfId="0" applyNumberFormat="1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left" wrapText="1"/>
    </xf>
    <xf numFmtId="0" fontId="117" fillId="3" borderId="118" xfId="0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center" vertical="center"/>
    </xf>
    <xf numFmtId="14" fontId="115" fillId="0" borderId="70" xfId="0" applyNumberFormat="1" applyFont="1" applyBorder="1" applyAlignment="1">
      <alignment horizontal="center"/>
    </xf>
    <xf numFmtId="14" fontId="117" fillId="24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vertical="center" wrapText="1"/>
    </xf>
    <xf numFmtId="0" fontId="121" fillId="18" borderId="115" xfId="0" applyFont="1" applyFill="1" applyBorder="1" applyAlignment="1">
      <alignment horizontal="left" indent="2"/>
    </xf>
    <xf numFmtId="14" fontId="117" fillId="24" borderId="115" xfId="0" applyNumberFormat="1" applyFont="1" applyFill="1" applyBorder="1" applyAlignment="1">
      <alignment horizontal="center" vertical="center" wrapText="1"/>
    </xf>
    <xf numFmtId="0" fontId="121" fillId="0" borderId="115" xfId="0" applyFont="1" applyBorder="1" applyAlignment="1">
      <alignment horizontal="left" indent="2"/>
    </xf>
    <xf numFmtId="2" fontId="116" fillId="3" borderId="115" xfId="0" applyNumberFormat="1" applyFont="1" applyFill="1" applyBorder="1" applyAlignment="1">
      <alignment horizontal="center" vertical="center"/>
    </xf>
    <xf numFmtId="14" fontId="117" fillId="3" borderId="148" xfId="0" applyNumberFormat="1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14" fontId="117" fillId="3" borderId="148" xfId="0" applyNumberFormat="1" applyFont="1" applyFill="1" applyBorder="1" applyAlignment="1">
      <alignment horizontal="center" wrapText="1"/>
    </xf>
    <xf numFmtId="0" fontId="117" fillId="3" borderId="148" xfId="0" applyFont="1" applyFill="1" applyBorder="1" applyAlignment="1">
      <alignment horizontal="left" wrapText="1"/>
    </xf>
    <xf numFmtId="0" fontId="117" fillId="3" borderId="148" xfId="0" applyFont="1" applyFill="1" applyBorder="1" applyAlignment="1">
      <alignment horizontal="center" wrapText="1"/>
    </xf>
    <xf numFmtId="0" fontId="117" fillId="3" borderId="119" xfId="0" applyFont="1" applyFill="1" applyBorder="1" applyAlignment="1">
      <alignment horizontal="center" vertical="center"/>
    </xf>
    <xf numFmtId="14" fontId="123" fillId="3" borderId="115" xfId="0" applyNumberFormat="1" applyFont="1" applyFill="1" applyBorder="1" applyAlignment="1">
      <alignment horizontal="center" vertical="center" wrapText="1"/>
    </xf>
    <xf numFmtId="2" fontId="117" fillId="3" borderId="115" xfId="0" applyNumberFormat="1" applyFont="1" applyFill="1" applyBorder="1" applyAlignment="1">
      <alignment horizontal="center" vertical="center" wrapText="1"/>
    </xf>
    <xf numFmtId="14" fontId="116" fillId="3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vertical="center" wrapText="1"/>
    </xf>
    <xf numFmtId="14" fontId="124" fillId="3" borderId="115" xfId="0" applyNumberFormat="1" applyFont="1" applyFill="1" applyBorder="1" applyAlignment="1">
      <alignment horizont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117" fillId="0" borderId="115" xfId="0" applyNumberFormat="1" applyFont="1" applyBorder="1" applyAlignment="1">
      <alignment horizontal="center" vertical="center" wrapText="1"/>
    </xf>
    <xf numFmtId="0" fontId="117" fillId="0" borderId="2" xfId="0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wrapText="1"/>
    </xf>
    <xf numFmtId="0" fontId="117" fillId="0" borderId="115" xfId="0" applyFont="1" applyBorder="1" applyAlignment="1">
      <alignment horizontal="center" wrapText="1"/>
    </xf>
    <xf numFmtId="0" fontId="117" fillId="0" borderId="115" xfId="0" applyFont="1" applyBorder="1" applyAlignment="1">
      <alignment horizontal="center" vertical="center"/>
    </xf>
    <xf numFmtId="2" fontId="117" fillId="0" borderId="115" xfId="0" applyNumberFormat="1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vertical="center" wrapText="1"/>
    </xf>
    <xf numFmtId="14" fontId="118" fillId="0" borderId="115" xfId="0" applyNumberFormat="1" applyFont="1" applyBorder="1" applyAlignment="1">
      <alignment horizontal="center" wrapText="1"/>
    </xf>
    <xf numFmtId="0" fontId="121" fillId="16" borderId="115" xfId="0" applyFont="1" applyFill="1" applyBorder="1" applyAlignment="1">
      <alignment horizontal="left" indent="2"/>
    </xf>
    <xf numFmtId="14" fontId="118" fillId="16" borderId="115" xfId="0" applyNumberFormat="1" applyFont="1" applyFill="1" applyBorder="1" applyAlignment="1">
      <alignment horizontal="center" wrapText="1"/>
    </xf>
    <xf numFmtId="0" fontId="116" fillId="16" borderId="70" xfId="0" applyFont="1" applyFill="1" applyBorder="1"/>
    <xf numFmtId="0" fontId="115" fillId="16" borderId="70" xfId="0" applyFont="1" applyFill="1" applyBorder="1"/>
    <xf numFmtId="14" fontId="116" fillId="0" borderId="115" xfId="0" applyNumberFormat="1" applyFont="1" applyBorder="1" applyAlignment="1">
      <alignment horizontal="center" wrapText="1"/>
    </xf>
    <xf numFmtId="0" fontId="114" fillId="0" borderId="121" xfId="0" applyFont="1" applyBorder="1" applyAlignment="1">
      <alignment horizontal="left" vertical="top"/>
    </xf>
    <xf numFmtId="0" fontId="114" fillId="0" borderId="120" xfId="0" applyFont="1" applyBorder="1" applyAlignment="1">
      <alignment horizontal="left" vertical="top"/>
    </xf>
    <xf numFmtId="0" fontId="121" fillId="16" borderId="121" xfId="0" applyFont="1" applyFill="1" applyBorder="1" applyAlignment="1">
      <alignment vertical="center"/>
    </xf>
    <xf numFmtId="0" fontId="121" fillId="16" borderId="120" xfId="0" applyFont="1" applyFill="1" applyBorder="1" applyAlignment="1">
      <alignment vertical="center"/>
    </xf>
    <xf numFmtId="0" fontId="121" fillId="18" borderId="121" xfId="0" applyFont="1" applyFill="1" applyBorder="1" applyAlignment="1">
      <alignment vertical="center"/>
    </xf>
    <xf numFmtId="0" fontId="121" fillId="18" borderId="120" xfId="0" applyFont="1" applyFill="1" applyBorder="1" applyAlignment="1">
      <alignment vertical="center"/>
    </xf>
    <xf numFmtId="14" fontId="118" fillId="18" borderId="115" xfId="0" applyNumberFormat="1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left" wrapText="1"/>
    </xf>
    <xf numFmtId="0" fontId="117" fillId="24" borderId="115" xfId="0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center" vertical="center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7" fillId="3" borderId="70" xfId="0" applyFont="1" applyFill="1" applyBorder="1" applyAlignment="1">
      <alignment horizontal="left" wrapText="1"/>
    </xf>
    <xf numFmtId="0" fontId="114" fillId="18" borderId="121" xfId="0" applyFont="1" applyFill="1" applyBorder="1" applyAlignment="1">
      <alignment vertical="top"/>
    </xf>
    <xf numFmtId="0" fontId="114" fillId="18" borderId="120" xfId="0" applyFont="1" applyFill="1" applyBorder="1" applyAlignment="1">
      <alignment vertical="top"/>
    </xf>
    <xf numFmtId="14" fontId="116" fillId="18" borderId="115" xfId="0" applyNumberFormat="1" applyFont="1" applyFill="1" applyBorder="1" applyAlignment="1">
      <alignment horizontal="center" wrapText="1"/>
    </xf>
    <xf numFmtId="0" fontId="117" fillId="24" borderId="2" xfId="0" applyFont="1" applyFill="1" applyBorder="1" applyAlignment="1">
      <alignment horizontal="center" vertical="center" wrapText="1"/>
    </xf>
    <xf numFmtId="2" fontId="116" fillId="24" borderId="115" xfId="0" applyNumberFormat="1" applyFont="1" applyFill="1" applyBorder="1" applyAlignment="1">
      <alignment horizontal="center" vertical="center"/>
    </xf>
    <xf numFmtId="14" fontId="123" fillId="0" borderId="120" xfId="0" applyNumberFormat="1" applyFont="1" applyBorder="1" applyAlignment="1">
      <alignment horizontal="center" wrapText="1"/>
    </xf>
    <xf numFmtId="2" fontId="116" fillId="3" borderId="70" xfId="0" applyNumberFormat="1" applyFont="1" applyFill="1" applyBorder="1" applyAlignment="1">
      <alignment horizontal="center" vertical="center"/>
    </xf>
    <xf numFmtId="14" fontId="124" fillId="0" borderId="115" xfId="0" applyNumberFormat="1" applyFont="1" applyBorder="1" applyAlignment="1">
      <alignment horizontal="center" wrapText="1"/>
    </xf>
    <xf numFmtId="0" fontId="122" fillId="6" borderId="31" xfId="0" applyFont="1" applyFill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90" fillId="18" borderId="70" xfId="0" applyFont="1" applyFill="1" applyBorder="1" applyAlignment="1">
      <alignment horizontal="center" vertical="center"/>
    </xf>
    <xf numFmtId="0" fontId="59" fillId="15" borderId="70" xfId="0" applyFont="1" applyFill="1" applyBorder="1" applyAlignment="1">
      <alignment horizontal="center"/>
    </xf>
    <xf numFmtId="14" fontId="59" fillId="15" borderId="70" xfId="4" applyNumberFormat="1" applyFill="1"/>
    <xf numFmtId="0" fontId="4" fillId="15" borderId="70" xfId="4" applyFont="1" applyFill="1"/>
    <xf numFmtId="14" fontId="4" fillId="15" borderId="70" xfId="4" applyNumberFormat="1" applyFont="1" applyFill="1"/>
    <xf numFmtId="16" fontId="5" fillId="16" borderId="70" xfId="4" applyNumberFormat="1" applyFont="1" applyFill="1" applyAlignment="1">
      <alignment horizontal="center"/>
    </xf>
    <xf numFmtId="0" fontId="4" fillId="15" borderId="70" xfId="0" applyFont="1" applyFill="1" applyBorder="1" applyAlignment="1">
      <alignment horizontal="center" vertical="center"/>
    </xf>
    <xf numFmtId="14" fontId="4" fillId="15" borderId="70" xfId="0" applyNumberFormat="1" applyFont="1" applyFill="1" applyBorder="1" applyAlignment="1">
      <alignment horizontal="center" vertical="center"/>
    </xf>
    <xf numFmtId="0" fontId="59" fillId="15" borderId="70" xfId="4" applyFill="1" applyAlignment="1">
      <alignment horizontal="center"/>
    </xf>
    <xf numFmtId="0" fontId="81" fillId="15" borderId="70" xfId="0" applyFont="1" applyFill="1" applyBorder="1" applyAlignment="1">
      <alignment horizontal="center" vertical="center"/>
    </xf>
    <xf numFmtId="0" fontId="88" fillId="15" borderId="70" xfId="0" applyFont="1" applyFill="1" applyBorder="1" applyAlignment="1">
      <alignment vertical="center"/>
    </xf>
    <xf numFmtId="0" fontId="88" fillId="15" borderId="70" xfId="0" applyFont="1" applyFill="1" applyBorder="1" applyAlignment="1">
      <alignment horizontal="left" vertical="center"/>
    </xf>
    <xf numFmtId="0" fontId="88" fillId="15" borderId="70" xfId="0" applyFont="1" applyFill="1" applyBorder="1" applyAlignment="1">
      <alignment horizontal="center" vertical="center"/>
    </xf>
    <xf numFmtId="0" fontId="125" fillId="15" borderId="70" xfId="0" applyFont="1" applyFill="1" applyBorder="1"/>
    <xf numFmtId="14" fontId="88" fillId="15" borderId="70" xfId="0" applyNumberFormat="1" applyFont="1" applyFill="1" applyBorder="1"/>
    <xf numFmtId="14" fontId="88" fillId="15" borderId="70" xfId="0" applyNumberFormat="1" applyFont="1" applyFill="1" applyBorder="1" applyAlignment="1">
      <alignment horizontal="left" vertical="top"/>
    </xf>
    <xf numFmtId="16" fontId="88" fillId="15" borderId="70" xfId="0" applyNumberFormat="1" applyFont="1" applyFill="1" applyBorder="1" applyAlignment="1">
      <alignment horizontal="center"/>
    </xf>
    <xf numFmtId="14" fontId="81" fillId="15" borderId="70" xfId="0" applyNumberFormat="1" applyFont="1" applyFill="1" applyBorder="1"/>
    <xf numFmtId="0" fontId="116" fillId="3" borderId="17" xfId="0" applyFont="1" applyFill="1" applyBorder="1" applyAlignment="1">
      <alignment horizontal="center"/>
    </xf>
    <xf numFmtId="0" fontId="116" fillId="0" borderId="17" xfId="0" applyFont="1" applyBorder="1" applyAlignment="1">
      <alignment horizontal="center"/>
    </xf>
    <xf numFmtId="0" fontId="116" fillId="0" borderId="17" xfId="0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/>
    </xf>
    <xf numFmtId="0" fontId="116" fillId="3" borderId="17" xfId="0" applyFont="1" applyFill="1" applyBorder="1" applyAlignment="1">
      <alignment horizontal="left" vertical="center"/>
    </xf>
    <xf numFmtId="0" fontId="116" fillId="3" borderId="78" xfId="0" applyFont="1" applyFill="1" applyBorder="1" applyAlignment="1">
      <alignment horizontal="center"/>
    </xf>
    <xf numFmtId="0" fontId="116" fillId="0" borderId="115" xfId="0" applyFont="1" applyBorder="1" applyAlignment="1">
      <alignment horizontal="center"/>
    </xf>
    <xf numFmtId="0" fontId="116" fillId="0" borderId="127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/>
    </xf>
    <xf numFmtId="0" fontId="116" fillId="3" borderId="127" xfId="0" applyFont="1" applyFill="1" applyBorder="1" applyAlignment="1">
      <alignment horizontal="left" vertical="center"/>
    </xf>
    <xf numFmtId="0" fontId="116" fillId="3" borderId="115" xfId="0" applyFont="1" applyFill="1" applyBorder="1" applyAlignment="1">
      <alignment horizontal="center"/>
    </xf>
    <xf numFmtId="0" fontId="116" fillId="3" borderId="119" xfId="0" applyFont="1" applyFill="1" applyBorder="1" applyAlignment="1">
      <alignment horizontal="center"/>
    </xf>
    <xf numFmtId="49" fontId="116" fillId="0" borderId="115" xfId="0" applyNumberFormat="1" applyFont="1" applyBorder="1" applyAlignment="1">
      <alignment horizontal="center"/>
    </xf>
    <xf numFmtId="0" fontId="116" fillId="18" borderId="115" xfId="0" applyFont="1" applyFill="1" applyBorder="1" applyAlignment="1">
      <alignment horizontal="center"/>
    </xf>
    <xf numFmtId="14" fontId="116" fillId="3" borderId="115" xfId="0" applyNumberFormat="1" applyFont="1" applyFill="1" applyBorder="1" applyAlignment="1">
      <alignment horizontal="center"/>
    </xf>
    <xf numFmtId="0" fontId="116" fillId="3" borderId="115" xfId="0" applyFont="1" applyFill="1" applyBorder="1"/>
    <xf numFmtId="0" fontId="116" fillId="0" borderId="123" xfId="0" applyFont="1" applyBorder="1" applyAlignment="1">
      <alignment horizontal="center"/>
    </xf>
    <xf numFmtId="0" fontId="116" fillId="0" borderId="123" xfId="0" applyFont="1" applyBorder="1" applyAlignment="1">
      <alignment horizontal="center" vertical="center"/>
    </xf>
    <xf numFmtId="0" fontId="116" fillId="3" borderId="123" xfId="0" applyFont="1" applyFill="1" applyBorder="1" applyAlignment="1">
      <alignment horizontal="center"/>
    </xf>
    <xf numFmtId="14" fontId="116" fillId="3" borderId="123" xfId="0" applyNumberFormat="1" applyFont="1" applyFill="1" applyBorder="1" applyAlignment="1">
      <alignment horizontal="center"/>
    </xf>
    <xf numFmtId="0" fontId="116" fillId="3" borderId="123" xfId="0" applyFont="1" applyFill="1" applyBorder="1"/>
    <xf numFmtId="0" fontId="116" fillId="3" borderId="115" xfId="0" applyFont="1" applyFill="1" applyBorder="1" applyAlignment="1">
      <alignment horizontal="left" vertical="center"/>
    </xf>
    <xf numFmtId="0" fontId="117" fillId="3" borderId="123" xfId="0" applyFont="1" applyFill="1" applyBorder="1" applyAlignment="1">
      <alignment horizontal="left" wrapText="1"/>
    </xf>
    <xf numFmtId="0" fontId="115" fillId="0" borderId="115" xfId="0" applyFont="1" applyBorder="1" applyAlignment="1">
      <alignment horizontal="center"/>
    </xf>
    <xf numFmtId="14" fontId="116" fillId="3" borderId="70" xfId="0" applyNumberFormat="1" applyFont="1" applyFill="1" applyBorder="1" applyAlignment="1">
      <alignment horizontal="center"/>
    </xf>
    <xf numFmtId="0" fontId="117" fillId="16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left" vertical="center"/>
    </xf>
    <xf numFmtId="14" fontId="126" fillId="0" borderId="115" xfId="0" applyNumberFormat="1" applyFont="1" applyBorder="1" applyAlignment="1">
      <alignment horizontal="center"/>
    </xf>
    <xf numFmtId="14" fontId="118" fillId="0" borderId="115" xfId="0" applyNumberFormat="1" applyFont="1" applyBorder="1" applyAlignment="1">
      <alignment horizontal="left" wrapText="1"/>
    </xf>
    <xf numFmtId="14" fontId="126" fillId="0" borderId="115" xfId="0" applyNumberFormat="1" applyFont="1" applyBorder="1" applyAlignment="1">
      <alignment horizontal="center" vertical="top"/>
    </xf>
    <xf numFmtId="14" fontId="116" fillId="3" borderId="115" xfId="0" applyNumberFormat="1" applyFont="1" applyFill="1" applyBorder="1" applyAlignment="1">
      <alignment horizontal="center" vertical="center"/>
    </xf>
    <xf numFmtId="0" fontId="127" fillId="0" borderId="70" xfId="0" applyFont="1" applyBorder="1" applyAlignment="1">
      <alignment horizontal="center" vertical="center" wrapText="1"/>
    </xf>
    <xf numFmtId="0" fontId="127" fillId="0" borderId="115" xfId="0" applyFont="1" applyBorder="1" applyAlignment="1">
      <alignment horizontal="center" vertical="center" wrapText="1"/>
    </xf>
    <xf numFmtId="0" fontId="117" fillId="3" borderId="120" xfId="0" applyFont="1" applyFill="1" applyBorder="1" applyAlignment="1">
      <alignment horizontal="center" vertical="center" wrapText="1"/>
    </xf>
    <xf numFmtId="0" fontId="116" fillId="16" borderId="123" xfId="4" applyFont="1" applyFill="1" applyBorder="1" applyAlignment="1">
      <alignment horizontal="center" vertical="center"/>
    </xf>
    <xf numFmtId="0" fontId="117" fillId="3" borderId="70" xfId="0" applyFont="1" applyFill="1" applyBorder="1" applyAlignment="1">
      <alignment horizontal="center" vertical="center" wrapText="1"/>
    </xf>
    <xf numFmtId="14" fontId="116" fillId="3" borderId="123" xfId="0" applyNumberFormat="1" applyFont="1" applyFill="1" applyBorder="1" applyAlignment="1">
      <alignment horizontal="center" vertical="center"/>
    </xf>
    <xf numFmtId="0" fontId="116" fillId="0" borderId="115" xfId="0" applyFont="1" applyBorder="1" applyAlignment="1">
      <alignment horizontal="left"/>
    </xf>
    <xf numFmtId="0" fontId="116" fillId="3" borderId="70" xfId="0" applyFont="1" applyFill="1" applyBorder="1" applyAlignment="1">
      <alignment horizontal="center" vertical="center"/>
    </xf>
    <xf numFmtId="0" fontId="116" fillId="0" borderId="123" xfId="0" applyFont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vertical="center" wrapText="1"/>
    </xf>
    <xf numFmtId="14" fontId="117" fillId="3" borderId="121" xfId="0" applyNumberFormat="1" applyFont="1" applyFill="1" applyBorder="1" applyAlignment="1">
      <alignment horizontal="center" vertical="center" wrapText="1"/>
    </xf>
    <xf numFmtId="0" fontId="116" fillId="3" borderId="70" xfId="0" applyFont="1" applyFill="1" applyBorder="1" applyAlignment="1">
      <alignment horizontal="center"/>
    </xf>
    <xf numFmtId="14" fontId="117" fillId="24" borderId="70" xfId="0" applyNumberFormat="1" applyFont="1" applyFill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/>
    </xf>
    <xf numFmtId="0" fontId="116" fillId="0" borderId="70" xfId="0" applyFont="1" applyBorder="1" applyAlignment="1">
      <alignment horizontal="center"/>
    </xf>
    <xf numFmtId="0" fontId="123" fillId="3" borderId="139" xfId="0" applyFont="1" applyFill="1" applyBorder="1" applyAlignment="1">
      <alignment horizontal="center" vertical="center" wrapText="1"/>
    </xf>
    <xf numFmtId="0" fontId="123" fillId="3" borderId="70" xfId="0" applyFont="1" applyFill="1" applyBorder="1" applyAlignment="1">
      <alignment horizontal="center" vertical="center" wrapText="1"/>
    </xf>
    <xf numFmtId="0" fontId="128" fillId="3" borderId="70" xfId="0" applyFont="1" applyFill="1" applyBorder="1" applyAlignment="1">
      <alignment horizontal="center" vertical="center" wrapText="1"/>
    </xf>
    <xf numFmtId="0" fontId="116" fillId="6" borderId="148" xfId="0" applyFont="1" applyFill="1" applyBorder="1" applyAlignment="1">
      <alignment horizontal="center"/>
    </xf>
    <xf numFmtId="0" fontId="116" fillId="6" borderId="115" xfId="0" applyFont="1" applyFill="1" applyBorder="1" applyAlignment="1">
      <alignment horizontal="center"/>
    </xf>
    <xf numFmtId="0" fontId="124" fillId="0" borderId="115" xfId="0" applyFont="1" applyBorder="1"/>
    <xf numFmtId="0" fontId="116" fillId="3" borderId="31" xfId="0" applyFont="1" applyFill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164" fontId="116" fillId="0" borderId="31" xfId="0" applyNumberFormat="1" applyFont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 wrapText="1"/>
    </xf>
    <xf numFmtId="0" fontId="124" fillId="0" borderId="88" xfId="0" applyFont="1" applyBorder="1"/>
    <xf numFmtId="0" fontId="124" fillId="0" borderId="74" xfId="0" applyFont="1" applyBorder="1"/>
    <xf numFmtId="0" fontId="116" fillId="0" borderId="31" xfId="0" applyFont="1" applyBorder="1" applyAlignment="1">
      <alignment horizontal="center"/>
    </xf>
    <xf numFmtId="0" fontId="116" fillId="3" borderId="78" xfId="0" applyFont="1" applyFill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164" fontId="116" fillId="0" borderId="40" xfId="0" applyNumberFormat="1" applyFont="1" applyBorder="1" applyAlignment="1">
      <alignment horizontal="center" vertical="center"/>
    </xf>
    <xf numFmtId="0" fontId="116" fillId="0" borderId="4" xfId="0" applyFont="1" applyBorder="1" applyAlignment="1">
      <alignment horizontal="center" vertical="center" wrapText="1"/>
    </xf>
    <xf numFmtId="0" fontId="116" fillId="3" borderId="41" xfId="0" applyFont="1" applyFill="1" applyBorder="1" applyAlignment="1">
      <alignment horizontal="center" vertical="center"/>
    </xf>
    <xf numFmtId="0" fontId="123" fillId="3" borderId="38" xfId="0" applyFont="1" applyFill="1" applyBorder="1" applyAlignment="1">
      <alignment horizontal="center" vertical="center" wrapText="1"/>
    </xf>
    <xf numFmtId="0" fontId="123" fillId="3" borderId="39" xfId="0" applyFont="1" applyFill="1" applyBorder="1" applyAlignment="1">
      <alignment horizontal="center" vertical="center" wrapText="1"/>
    </xf>
    <xf numFmtId="0" fontId="116" fillId="6" borderId="31" xfId="0" applyFont="1" applyFill="1" applyBorder="1" applyAlignment="1">
      <alignment horizontal="center"/>
    </xf>
    <xf numFmtId="0" fontId="116" fillId="6" borderId="32" xfId="0" applyFont="1" applyFill="1" applyBorder="1" applyAlignment="1">
      <alignment horizontal="center"/>
    </xf>
    <xf numFmtId="0" fontId="124" fillId="0" borderId="33" xfId="0" applyFont="1" applyBorder="1"/>
    <xf numFmtId="0" fontId="124" fillId="0" borderId="34" xfId="0" applyFont="1" applyBorder="1"/>
    <xf numFmtId="0" fontId="116" fillId="3" borderId="17" xfId="0" applyFont="1" applyFill="1" applyBorder="1" applyAlignment="1">
      <alignment horizontal="center" vertical="center"/>
    </xf>
    <xf numFmtId="2" fontId="116" fillId="0" borderId="17" xfId="0" applyNumberFormat="1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8" fillId="3" borderId="38" xfId="0" applyFont="1" applyFill="1" applyBorder="1" applyAlignment="1">
      <alignment horizontal="center" wrapText="1"/>
    </xf>
    <xf numFmtId="0" fontId="128" fillId="3" borderId="39" xfId="0" applyFont="1" applyFill="1" applyBorder="1" applyAlignment="1">
      <alignment horizontal="center" wrapText="1"/>
    </xf>
    <xf numFmtId="0" fontId="116" fillId="6" borderId="31" xfId="0" applyFont="1" applyFill="1" applyBorder="1" applyAlignment="1">
      <alignment horizontal="center" vertical="center" wrapText="1"/>
    </xf>
    <xf numFmtId="0" fontId="116" fillId="6" borderId="2" xfId="0" applyFont="1" applyFill="1" applyBorder="1" applyAlignment="1">
      <alignment horizontal="center" vertical="center" wrapText="1"/>
    </xf>
    <xf numFmtId="16" fontId="116" fillId="0" borderId="17" xfId="0" applyNumberFormat="1" applyFont="1" applyBorder="1" applyAlignment="1">
      <alignment horizontal="center" vertical="center"/>
    </xf>
    <xf numFmtId="164" fontId="116" fillId="0" borderId="17" xfId="0" applyNumberFormat="1" applyFont="1" applyBorder="1" applyAlignment="1">
      <alignment horizontal="center" vertical="center"/>
    </xf>
    <xf numFmtId="0" fontId="116" fillId="0" borderId="17" xfId="0" applyFont="1" applyBorder="1" applyAlignment="1">
      <alignment horizontal="left" vertical="center"/>
    </xf>
    <xf numFmtId="16" fontId="116" fillId="0" borderId="123" xfId="0" applyNumberFormat="1" applyFont="1" applyBorder="1" applyAlignment="1">
      <alignment horizontal="center" vertical="center"/>
    </xf>
    <xf numFmtId="14" fontId="116" fillId="0" borderId="123" xfId="0" applyNumberFormat="1" applyFont="1" applyBorder="1" applyAlignment="1">
      <alignment horizontal="center" vertical="center"/>
    </xf>
    <xf numFmtId="0" fontId="116" fillId="0" borderId="115" xfId="0" applyFont="1" applyBorder="1" applyAlignment="1">
      <alignment horizontal="left" vertical="center"/>
    </xf>
    <xf numFmtId="164" fontId="116" fillId="0" borderId="115" xfId="0" applyNumberFormat="1" applyFont="1" applyBorder="1" applyAlignment="1">
      <alignment horizontal="center"/>
    </xf>
    <xf numFmtId="0" fontId="116" fillId="0" borderId="119" xfId="0" applyFont="1" applyBorder="1" applyAlignment="1">
      <alignment horizontal="center" vertical="center"/>
    </xf>
    <xf numFmtId="0" fontId="116" fillId="0" borderId="120" xfId="0" applyFont="1" applyBorder="1" applyAlignment="1">
      <alignment horizontal="center"/>
    </xf>
    <xf numFmtId="14" fontId="123" fillId="0" borderId="115" xfId="0" applyNumberFormat="1" applyFont="1" applyBorder="1" applyAlignment="1">
      <alignment horizontal="center"/>
    </xf>
    <xf numFmtId="164" fontId="116" fillId="0" borderId="115" xfId="0" applyNumberFormat="1" applyFont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/>
    </xf>
    <xf numFmtId="14" fontId="116" fillId="0" borderId="123" xfId="0" applyNumberFormat="1" applyFont="1" applyBorder="1" applyAlignment="1">
      <alignment horizontal="center"/>
    </xf>
    <xf numFmtId="0" fontId="116" fillId="0" borderId="123" xfId="0" applyFont="1" applyBorder="1" applyAlignment="1">
      <alignment horizontal="left" vertical="center"/>
    </xf>
    <xf numFmtId="14" fontId="116" fillId="0" borderId="115" xfId="0" applyNumberFormat="1" applyFont="1" applyBorder="1" applyAlignment="1">
      <alignment horizontal="left"/>
    </xf>
    <xf numFmtId="14" fontId="116" fillId="18" borderId="115" xfId="0" applyNumberFormat="1" applyFont="1" applyFill="1" applyBorder="1" applyAlignment="1">
      <alignment horizontal="center"/>
    </xf>
    <xf numFmtId="164" fontId="116" fillId="18" borderId="115" xfId="0" applyNumberFormat="1" applyFont="1" applyFill="1" applyBorder="1" applyAlignment="1">
      <alignment horizontal="center" vertical="center"/>
    </xf>
    <xf numFmtId="0" fontId="116" fillId="18" borderId="115" xfId="0" applyFont="1" applyFill="1" applyBorder="1" applyAlignment="1">
      <alignment horizontal="left" vertical="center"/>
    </xf>
    <xf numFmtId="0" fontId="116" fillId="18" borderId="115" xfId="0" applyFont="1" applyFill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 vertical="center"/>
    </xf>
    <xf numFmtId="0" fontId="116" fillId="3" borderId="120" xfId="0" applyFont="1" applyFill="1" applyBorder="1" applyAlignment="1">
      <alignment horizontal="center" vertical="center"/>
    </xf>
    <xf numFmtId="0" fontId="117" fillId="0" borderId="120" xfId="0" applyFont="1" applyBorder="1" applyAlignment="1">
      <alignment horizontal="center" vertical="center" wrapText="1"/>
    </xf>
    <xf numFmtId="14" fontId="116" fillId="0" borderId="148" xfId="0" applyNumberFormat="1" applyFont="1" applyBorder="1" applyAlignment="1">
      <alignment horizontal="center"/>
    </xf>
    <xf numFmtId="164" fontId="116" fillId="0" borderId="148" xfId="0" applyNumberFormat="1" applyFont="1" applyBorder="1" applyAlignment="1">
      <alignment horizontal="center"/>
    </xf>
    <xf numFmtId="0" fontId="116" fillId="0" borderId="148" xfId="0" applyFont="1" applyBorder="1" applyAlignment="1">
      <alignment horizontal="left" vertical="center"/>
    </xf>
    <xf numFmtId="0" fontId="116" fillId="0" borderId="148" xfId="0" applyFont="1" applyBorder="1" applyAlignment="1">
      <alignment horizontal="center"/>
    </xf>
    <xf numFmtId="0" fontId="115" fillId="16" borderId="115" xfId="0" applyFont="1" applyFill="1" applyBorder="1"/>
    <xf numFmtId="14" fontId="115" fillId="16" borderId="115" xfId="0" applyNumberFormat="1" applyFont="1" applyFill="1" applyBorder="1" applyAlignment="1">
      <alignment horizontal="center"/>
    </xf>
    <xf numFmtId="164" fontId="116" fillId="16" borderId="115" xfId="0" applyNumberFormat="1" applyFont="1" applyFill="1" applyBorder="1" applyAlignment="1">
      <alignment horizontal="center" vertical="center"/>
    </xf>
    <xf numFmtId="0" fontId="116" fillId="16" borderId="115" xfId="0" applyFont="1" applyFill="1" applyBorder="1" applyAlignment="1">
      <alignment horizontal="left" vertical="center"/>
    </xf>
    <xf numFmtId="0" fontId="116" fillId="16" borderId="115" xfId="0" applyFont="1" applyFill="1" applyBorder="1" applyAlignment="1">
      <alignment horizontal="center"/>
    </xf>
    <xf numFmtId="0" fontId="116" fillId="16" borderId="70" xfId="0" applyFont="1" applyFill="1" applyBorder="1" applyAlignment="1">
      <alignment horizontal="center"/>
    </xf>
    <xf numFmtId="14" fontId="116" fillId="16" borderId="123" xfId="0" applyNumberFormat="1" applyFont="1" applyFill="1" applyBorder="1" applyAlignment="1">
      <alignment horizontal="center"/>
    </xf>
    <xf numFmtId="164" fontId="116" fillId="16" borderId="123" xfId="0" applyNumberFormat="1" applyFont="1" applyFill="1" applyBorder="1" applyAlignment="1">
      <alignment horizontal="center" vertical="center"/>
    </xf>
    <xf numFmtId="0" fontId="116" fillId="16" borderId="123" xfId="0" applyFont="1" applyFill="1" applyBorder="1" applyAlignment="1">
      <alignment horizontal="left"/>
    </xf>
    <xf numFmtId="0" fontId="116" fillId="16" borderId="123" xfId="0" applyFont="1" applyFill="1" applyBorder="1" applyAlignment="1">
      <alignment horizontal="center"/>
    </xf>
    <xf numFmtId="0" fontId="116" fillId="0" borderId="119" xfId="0" applyFont="1" applyBorder="1" applyAlignment="1">
      <alignment horizontal="center"/>
    </xf>
    <xf numFmtId="0" fontId="117" fillId="18" borderId="120" xfId="0" applyFont="1" applyFill="1" applyBorder="1" applyAlignment="1">
      <alignment horizontal="center" vertical="center" wrapText="1"/>
    </xf>
    <xf numFmtId="0" fontId="118" fillId="18" borderId="123" xfId="4" applyFont="1" applyFill="1" applyBorder="1" applyAlignment="1">
      <alignment horizontal="center" vertical="center"/>
    </xf>
    <xf numFmtId="0" fontId="118" fillId="24" borderId="123" xfId="0" applyFont="1" applyFill="1" applyBorder="1" applyAlignment="1">
      <alignment horizontal="center" vertical="center" wrapText="1"/>
    </xf>
    <xf numFmtId="0" fontId="118" fillId="18" borderId="70" xfId="0" applyFont="1" applyFill="1" applyBorder="1" applyAlignment="1">
      <alignment horizontal="center"/>
    </xf>
    <xf numFmtId="14" fontId="118" fillId="18" borderId="123" xfId="0" applyNumberFormat="1" applyFont="1" applyFill="1" applyBorder="1" applyAlignment="1">
      <alignment horizontal="center"/>
    </xf>
    <xf numFmtId="164" fontId="118" fillId="18" borderId="123" xfId="0" applyNumberFormat="1" applyFont="1" applyFill="1" applyBorder="1" applyAlignment="1">
      <alignment horizontal="center" vertical="center"/>
    </xf>
    <xf numFmtId="0" fontId="118" fillId="18" borderId="115" xfId="0" applyFont="1" applyFill="1" applyBorder="1" applyAlignment="1">
      <alignment horizontal="center"/>
    </xf>
    <xf numFmtId="0" fontId="118" fillId="24" borderId="115" xfId="0" applyFont="1" applyFill="1" applyBorder="1" applyAlignment="1">
      <alignment horizontal="center" vertical="center" wrapText="1"/>
    </xf>
    <xf numFmtId="14" fontId="118" fillId="18" borderId="115" xfId="0" applyNumberFormat="1" applyFont="1" applyFill="1" applyBorder="1" applyAlignment="1">
      <alignment horizontal="center"/>
    </xf>
    <xf numFmtId="0" fontId="116" fillId="24" borderId="123" xfId="0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left" vertical="center"/>
    </xf>
    <xf numFmtId="0" fontId="115" fillId="0" borderId="115" xfId="0" applyFont="1" applyBorder="1" applyAlignment="1">
      <alignment horizontal="left" vertical="center"/>
    </xf>
    <xf numFmtId="0" fontId="13" fillId="18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14" fontId="32" fillId="0" borderId="115" xfId="0" applyNumberFormat="1" applyFont="1" applyBorder="1" applyAlignment="1">
      <alignment horizontal="center"/>
    </xf>
    <xf numFmtId="0" fontId="13" fillId="16" borderId="115" xfId="0" applyFont="1" applyFill="1" applyBorder="1" applyAlignment="1">
      <alignment horizontal="center" vertical="center" wrapText="1"/>
    </xf>
    <xf numFmtId="0" fontId="117" fillId="0" borderId="123" xfId="0" applyFont="1" applyBorder="1" applyAlignment="1">
      <alignment horizontal="center" vertical="center" wrapText="1"/>
    </xf>
    <xf numFmtId="0" fontId="129" fillId="16" borderId="70" xfId="4" applyFont="1" applyFill="1" applyAlignment="1">
      <alignment horizontal="center"/>
    </xf>
    <xf numFmtId="164" fontId="32" fillId="0" borderId="115" xfId="0" applyNumberFormat="1" applyFont="1" applyBorder="1" applyAlignment="1">
      <alignment horizontal="center" vertical="center"/>
    </xf>
    <xf numFmtId="14" fontId="32" fillId="0" borderId="123" xfId="0" applyNumberFormat="1" applyFont="1" applyBorder="1" applyAlignment="1">
      <alignment horizontal="center"/>
    </xf>
    <xf numFmtId="164" fontId="32" fillId="0" borderId="123" xfId="0" applyNumberFormat="1" applyFont="1" applyBorder="1" applyAlignment="1">
      <alignment horizontal="center"/>
    </xf>
    <xf numFmtId="164" fontId="32" fillId="0" borderId="115" xfId="0" applyNumberFormat="1" applyFont="1" applyBorder="1" applyAlignment="1">
      <alignment horizontal="center"/>
    </xf>
    <xf numFmtId="164" fontId="130" fillId="18" borderId="115" xfId="0" applyNumberFormat="1" applyFont="1" applyFill="1" applyBorder="1" applyAlignment="1">
      <alignment horizontal="center" vertical="center"/>
    </xf>
    <xf numFmtId="0" fontId="113" fillId="15" borderId="70" xfId="4" applyFont="1" applyFill="1"/>
    <xf numFmtId="14" fontId="113" fillId="15" borderId="70" xfId="4" applyNumberFormat="1" applyFont="1" applyFill="1"/>
    <xf numFmtId="0" fontId="19" fillId="0" borderId="70" xfId="4" applyFont="1"/>
    <xf numFmtId="0" fontId="20" fillId="0" borderId="70" xfId="4" applyFont="1"/>
    <xf numFmtId="9" fontId="4" fillId="0" borderId="70" xfId="4" applyNumberFormat="1" applyFont="1"/>
    <xf numFmtId="9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9" fontId="4" fillId="0" borderId="2" xfId="4" applyNumberFormat="1" applyFont="1" applyBorder="1" applyAlignment="1">
      <alignment horizontal="center" vertical="center"/>
    </xf>
    <xf numFmtId="9" fontId="4" fillId="0" borderId="131" xfId="4" applyNumberFormat="1" applyFont="1" applyBorder="1" applyAlignment="1">
      <alignment horizontal="center"/>
    </xf>
    <xf numFmtId="9" fontId="4" fillId="7" borderId="2" xfId="4" applyNumberFormat="1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9" fontId="4" fillId="0" borderId="37" xfId="4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9" fontId="4" fillId="0" borderId="70" xfId="4" applyNumberFormat="1" applyFont="1" applyAlignment="1">
      <alignment horizontal="center"/>
    </xf>
    <xf numFmtId="0" fontId="4" fillId="0" borderId="2" xfId="4" applyFont="1" applyBorder="1" applyAlignment="1">
      <alignment horizontal="center" vertical="center"/>
    </xf>
    <xf numFmtId="9" fontId="4" fillId="0" borderId="2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 vertical="center"/>
    </xf>
    <xf numFmtId="2" fontId="4" fillId="0" borderId="2" xfId="4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1" fontId="4" fillId="0" borderId="21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0" fontId="4" fillId="0" borderId="70" xfId="4" applyFont="1" applyAlignment="1">
      <alignment horizontal="center"/>
    </xf>
    <xf numFmtId="2" fontId="4" fillId="7" borderId="2" xfId="4" applyNumberFormat="1" applyFont="1" applyFill="1" applyBorder="1" applyAlignment="1">
      <alignment horizontal="center" vertical="center"/>
    </xf>
    <xf numFmtId="9" fontId="4" fillId="0" borderId="21" xfId="4" applyNumberFormat="1" applyFont="1" applyBorder="1" applyAlignment="1">
      <alignment horizontal="center" vertical="center"/>
    </xf>
    <xf numFmtId="1" fontId="4" fillId="7" borderId="2" xfId="4" applyNumberFormat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3" fillId="10" borderId="26" xfId="4" applyFont="1" applyFill="1" applyBorder="1" applyAlignment="1">
      <alignment horizontal="center" vertical="center" wrapText="1"/>
    </xf>
    <xf numFmtId="0" fontId="24" fillId="10" borderId="26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3" fillId="10" borderId="25" xfId="4" applyFont="1" applyFill="1" applyBorder="1" applyAlignment="1">
      <alignment horizontal="center" vertical="center" wrapText="1"/>
    </xf>
    <xf numFmtId="0" fontId="23" fillId="10" borderId="24" xfId="4" applyFont="1" applyFill="1" applyBorder="1" applyAlignment="1">
      <alignment horizontal="center" vertical="center" wrapText="1"/>
    </xf>
    <xf numFmtId="1" fontId="4" fillId="0" borderId="26" xfId="4" applyNumberFormat="1" applyFont="1" applyBorder="1" applyAlignment="1">
      <alignment horizontal="center"/>
    </xf>
    <xf numFmtId="1" fontId="4" fillId="0" borderId="25" xfId="4" applyNumberFormat="1" applyFont="1" applyBorder="1" applyAlignment="1">
      <alignment horizontal="center"/>
    </xf>
    <xf numFmtId="0" fontId="4" fillId="0" borderId="25" xfId="4" applyFont="1" applyBorder="1" applyAlignment="1">
      <alignment horizontal="center"/>
    </xf>
    <xf numFmtId="0" fontId="5" fillId="0" borderId="56" xfId="4" applyFont="1" applyBorder="1" applyAlignment="1">
      <alignment horizontal="center" vertical="center"/>
    </xf>
    <xf numFmtId="0" fontId="5" fillId="0" borderId="112" xfId="4" applyFont="1" applyBorder="1" applyAlignment="1">
      <alignment horizontal="left" vertical="center" wrapText="1" indent="1"/>
    </xf>
    <xf numFmtId="0" fontId="5" fillId="0" borderId="109" xfId="4" applyFont="1" applyBorder="1" applyAlignment="1">
      <alignment horizontal="center" vertical="center"/>
    </xf>
    <xf numFmtId="0" fontId="58" fillId="19" borderId="111" xfId="4" applyFont="1" applyFill="1" applyBorder="1" applyAlignment="1">
      <alignment horizontal="center" vertical="center"/>
    </xf>
    <xf numFmtId="1" fontId="6" fillId="3" borderId="53" xfId="4" applyNumberFormat="1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23" fillId="10" borderId="16" xfId="4" applyFont="1" applyFill="1" applyBorder="1" applyAlignment="1">
      <alignment horizontal="center" vertical="center" wrapText="1"/>
    </xf>
    <xf numFmtId="1" fontId="6" fillId="3" borderId="21" xfId="4" applyNumberFormat="1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23" fillId="10" borderId="12" xfId="4" applyFont="1" applyFill="1" applyBorder="1" applyAlignment="1">
      <alignment horizontal="center" vertical="center" wrapText="1"/>
    </xf>
    <xf numFmtId="0" fontId="5" fillId="9" borderId="21" xfId="4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 wrapText="1"/>
    </xf>
    <xf numFmtId="0" fontId="4" fillId="0" borderId="70" xfId="4" applyFont="1" applyAlignment="1">
      <alignment vertical="center"/>
    </xf>
    <xf numFmtId="0" fontId="4" fillId="0" borderId="31" xfId="4" applyFont="1" applyBorder="1" applyAlignment="1">
      <alignment horizontal="center" vertical="center"/>
    </xf>
    <xf numFmtId="0" fontId="5" fillId="0" borderId="8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3" fillId="29" borderId="31" xfId="4" applyFont="1" applyFill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4" fillId="0" borderId="84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5" fillId="18" borderId="2" xfId="4" applyFont="1" applyFill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4" fillId="0" borderId="53" xfId="4" applyFont="1" applyBorder="1" applyAlignment="1">
      <alignment horizontal="center" vertical="center"/>
    </xf>
    <xf numFmtId="0" fontId="5" fillId="0" borderId="78" xfId="4" applyFont="1" applyBorder="1" applyAlignment="1">
      <alignment horizontal="center" vertical="center"/>
    </xf>
    <xf numFmtId="0" fontId="5" fillId="18" borderId="17" xfId="4" applyFont="1" applyFill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5" fillId="18" borderId="82" xfId="4" applyFont="1" applyFill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18" borderId="25" xfId="4" applyFont="1" applyFill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18" fillId="0" borderId="70" xfId="4" applyFont="1" applyAlignment="1">
      <alignment horizontal="center"/>
    </xf>
    <xf numFmtId="0" fontId="5" fillId="0" borderId="49" xfId="4" applyFont="1" applyBorder="1" applyAlignment="1">
      <alignment horizontal="center" vertical="center"/>
    </xf>
    <xf numFmtId="0" fontId="21" fillId="0" borderId="70" xfId="4" applyFont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4" fillId="0" borderId="82" xfId="4" applyFont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1" fontId="5" fillId="5" borderId="45" xfId="4" applyNumberFormat="1" applyFont="1" applyFill="1" applyBorder="1" applyAlignment="1">
      <alignment horizontal="center" vertical="center"/>
    </xf>
    <xf numFmtId="1" fontId="13" fillId="30" borderId="45" xfId="4" applyNumberFormat="1" applyFont="1" applyFill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1" fontId="91" fillId="16" borderId="126" xfId="4" applyNumberFormat="1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 vertical="center"/>
    </xf>
    <xf numFmtId="1" fontId="5" fillId="18" borderId="2" xfId="4" applyNumberFormat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1" fontId="91" fillId="16" borderId="115" xfId="4" applyNumberFormat="1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77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114" fillId="16" borderId="121" xfId="0" applyFont="1" applyFill="1" applyBorder="1" applyAlignment="1">
      <alignment vertical="top"/>
    </xf>
    <xf numFmtId="0" fontId="114" fillId="16" borderId="120" xfId="0" applyFont="1" applyFill="1" applyBorder="1" applyAlignment="1">
      <alignment vertical="top"/>
    </xf>
    <xf numFmtId="14" fontId="116" fillId="16" borderId="115" xfId="0" applyNumberFormat="1" applyFont="1" applyFill="1" applyBorder="1" applyAlignment="1">
      <alignment horizontal="center" wrapText="1"/>
    </xf>
    <xf numFmtId="0" fontId="114" fillId="16" borderId="121" xfId="0" applyFont="1" applyFill="1" applyBorder="1" applyAlignment="1">
      <alignment horizontal="left" vertical="top"/>
    </xf>
    <xf numFmtId="0" fontId="114" fillId="16" borderId="120" xfId="0" applyFont="1" applyFill="1" applyBorder="1" applyAlignment="1">
      <alignment horizontal="left" vertical="top"/>
    </xf>
    <xf numFmtId="0" fontId="126" fillId="16" borderId="115" xfId="0" applyFont="1" applyFill="1" applyBorder="1" applyAlignment="1">
      <alignment horizontal="center" vertical="top"/>
    </xf>
    <xf numFmtId="14" fontId="116" fillId="3" borderId="70" xfId="0" applyNumberFormat="1" applyFont="1" applyFill="1" applyBorder="1" applyAlignment="1">
      <alignment horizontal="center" vertical="center"/>
    </xf>
    <xf numFmtId="14" fontId="116" fillId="3" borderId="119" xfId="0" applyNumberFormat="1" applyFont="1" applyFill="1" applyBorder="1" applyAlignment="1">
      <alignment horizontal="center" vertical="center"/>
    </xf>
    <xf numFmtId="0" fontId="117" fillId="3" borderId="17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/>
    </xf>
    <xf numFmtId="0" fontId="4" fillId="18" borderId="70" xfId="0" applyFont="1" applyFill="1" applyBorder="1" applyAlignment="1">
      <alignment horizontal="center"/>
    </xf>
    <xf numFmtId="14" fontId="32" fillId="18" borderId="115" xfId="0" applyNumberFormat="1" applyFont="1" applyFill="1" applyBorder="1" applyAlignment="1">
      <alignment horizontal="center"/>
    </xf>
    <xf numFmtId="164" fontId="32" fillId="18" borderId="115" xfId="0" applyNumberFormat="1" applyFont="1" applyFill="1" applyBorder="1" applyAlignment="1">
      <alignment horizontal="center"/>
    </xf>
    <xf numFmtId="0" fontId="116" fillId="18" borderId="115" xfId="0" applyFont="1" applyFill="1" applyBorder="1" applyAlignment="1">
      <alignment horizontal="left"/>
    </xf>
    <xf numFmtId="0" fontId="4" fillId="18" borderId="115" xfId="0" applyFont="1" applyFill="1" applyBorder="1" applyAlignment="1">
      <alignment horizontal="center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31" fillId="24" borderId="115" xfId="0" applyNumberFormat="1" applyFont="1" applyFill="1" applyBorder="1" applyAlignment="1">
      <alignment horizontal="center" vertical="center" wrapText="1"/>
    </xf>
    <xf numFmtId="0" fontId="32" fillId="18" borderId="115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164" fontId="32" fillId="18" borderId="115" xfId="0" applyNumberFormat="1" applyFont="1" applyFill="1" applyBorder="1" applyAlignment="1">
      <alignment horizontal="center" vertical="center"/>
    </xf>
    <xf numFmtId="164" fontId="116" fillId="18" borderId="115" xfId="0" applyNumberFormat="1" applyFont="1" applyFill="1" applyBorder="1" applyAlignment="1">
      <alignment horizontal="center"/>
    </xf>
    <xf numFmtId="14" fontId="132" fillId="18" borderId="115" xfId="0" applyNumberFormat="1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center" vertical="center"/>
    </xf>
    <xf numFmtId="1" fontId="31" fillId="18" borderId="2" xfId="0" applyNumberFormat="1" applyFont="1" applyFill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/>
    </xf>
    <xf numFmtId="0" fontId="118" fillId="24" borderId="123" xfId="0" applyFont="1" applyFill="1" applyBorder="1" applyAlignment="1">
      <alignment horizontal="center" vertical="center"/>
    </xf>
    <xf numFmtId="1" fontId="4" fillId="18" borderId="31" xfId="4" applyNumberFormat="1" applyFont="1" applyFill="1" applyBorder="1" applyAlignment="1">
      <alignment horizontal="center"/>
    </xf>
    <xf numFmtId="14" fontId="117" fillId="24" borderId="123" xfId="0" applyNumberFormat="1" applyFont="1" applyFill="1" applyBorder="1" applyAlignment="1">
      <alignment horizontal="center" vertical="center" wrapText="1"/>
    </xf>
    <xf numFmtId="164" fontId="32" fillId="18" borderId="123" xfId="0" applyNumberFormat="1" applyFont="1" applyFill="1" applyBorder="1" applyAlignment="1">
      <alignment horizontal="center" vertical="center"/>
    </xf>
    <xf numFmtId="0" fontId="115" fillId="18" borderId="123" xfId="0" applyFont="1" applyFill="1" applyBorder="1" applyAlignment="1">
      <alignment horizontal="left" vertical="center"/>
    </xf>
    <xf numFmtId="0" fontId="116" fillId="18" borderId="123" xfId="0" applyFont="1" applyFill="1" applyBorder="1" applyAlignment="1">
      <alignment horizontal="center"/>
    </xf>
    <xf numFmtId="0" fontId="107" fillId="18" borderId="115" xfId="0" applyFont="1" applyFill="1" applyBorder="1" applyAlignment="1">
      <alignment horizontal="left" vertical="center"/>
    </xf>
    <xf numFmtId="0" fontId="134" fillId="16" borderId="70" xfId="4" applyFont="1" applyFill="1" applyAlignment="1">
      <alignment horizontal="center" vertical="center"/>
    </xf>
    <xf numFmtId="0" fontId="90" fillId="18" borderId="123" xfId="0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 wrapText="1"/>
    </xf>
    <xf numFmtId="0" fontId="111" fillId="0" borderId="70" xfId="9" applyFont="1" applyAlignment="1">
      <alignment horizontal="center" vertical="center"/>
    </xf>
    <xf numFmtId="0" fontId="111" fillId="0" borderId="115" xfId="9" applyFont="1" applyBorder="1" applyAlignment="1">
      <alignment horizontal="center" vertical="center"/>
    </xf>
    <xf numFmtId="0" fontId="111" fillId="0" borderId="115" xfId="9" applyFont="1" applyBorder="1" applyAlignment="1">
      <alignment horizontal="left" vertical="center"/>
    </xf>
    <xf numFmtId="1" fontId="136" fillId="0" borderId="115" xfId="9" applyNumberFormat="1" applyFont="1" applyBorder="1" applyAlignment="1">
      <alignment horizontal="center" vertical="center"/>
    </xf>
    <xf numFmtId="43" fontId="136" fillId="0" borderId="115" xfId="10" applyFont="1" applyFill="1" applyBorder="1" applyAlignment="1">
      <alignment horizontal="center" vertical="center"/>
    </xf>
    <xf numFmtId="1" fontId="136" fillId="0" borderId="115" xfId="9" applyNumberFormat="1" applyFont="1" applyBorder="1" applyAlignment="1">
      <alignment horizontal="center" vertical="center" wrapText="1"/>
    </xf>
    <xf numFmtId="0" fontId="109" fillId="0" borderId="115" xfId="9" applyFont="1" applyBorder="1" applyAlignment="1">
      <alignment horizontal="center" vertical="center"/>
    </xf>
    <xf numFmtId="0" fontId="111" fillId="0" borderId="70" xfId="9" applyFont="1" applyAlignment="1">
      <alignment horizontal="left" vertical="center"/>
    </xf>
    <xf numFmtId="0" fontId="138" fillId="0" borderId="115" xfId="9" applyFont="1" applyBorder="1" applyAlignment="1">
      <alignment horizontal="center" vertical="center"/>
    </xf>
    <xf numFmtId="0" fontId="98" fillId="0" borderId="115" xfId="9" applyBorder="1" applyAlignment="1">
      <alignment horizontal="left" vertical="center"/>
    </xf>
    <xf numFmtId="0" fontId="98" fillId="0" borderId="115" xfId="9" applyBorder="1" applyAlignment="1">
      <alignment horizontal="right" vertical="center"/>
    </xf>
    <xf numFmtId="0" fontId="138" fillId="0" borderId="115" xfId="9" applyFont="1" applyBorder="1" applyAlignment="1">
      <alignment horizontal="left" vertical="center"/>
    </xf>
    <xf numFmtId="0" fontId="138" fillId="0" borderId="115" xfId="9" applyFont="1" applyBorder="1" applyAlignment="1">
      <alignment horizontal="right" vertical="center"/>
    </xf>
    <xf numFmtId="14" fontId="116" fillId="24" borderId="115" xfId="0" applyNumberFormat="1" applyFont="1" applyFill="1" applyBorder="1" applyAlignment="1">
      <alignment horizontal="center" vertical="center"/>
    </xf>
    <xf numFmtId="0" fontId="114" fillId="18" borderId="121" xfId="0" applyFont="1" applyFill="1" applyBorder="1" applyAlignment="1">
      <alignment horizontal="left" vertical="top"/>
    </xf>
    <xf numFmtId="0" fontId="114" fillId="18" borderId="120" xfId="0" applyFont="1" applyFill="1" applyBorder="1" applyAlignment="1">
      <alignment horizontal="left" vertical="top"/>
    </xf>
    <xf numFmtId="2" fontId="117" fillId="18" borderId="115" xfId="0" applyNumberFormat="1" applyFont="1" applyFill="1" applyBorder="1" applyAlignment="1">
      <alignment horizontal="center" vertical="center" wrapText="1"/>
    </xf>
    <xf numFmtId="14" fontId="115" fillId="18" borderId="70" xfId="0" applyNumberFormat="1" applyFont="1" applyFill="1" applyBorder="1" applyAlignment="1">
      <alignment horizontal="center"/>
    </xf>
    <xf numFmtId="0" fontId="117" fillId="24" borderId="17" xfId="0" applyFont="1" applyFill="1" applyBorder="1" applyAlignment="1">
      <alignment horizontal="center" vertical="center" wrapText="1"/>
    </xf>
    <xf numFmtId="14" fontId="115" fillId="18" borderId="115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center" vertical="center" wrapText="1"/>
    </xf>
    <xf numFmtId="14" fontId="4" fillId="18" borderId="115" xfId="0" applyNumberFormat="1" applyFont="1" applyFill="1" applyBorder="1" applyAlignment="1">
      <alignment horizontal="center"/>
    </xf>
    <xf numFmtId="14" fontId="4" fillId="18" borderId="123" xfId="0" applyNumberFormat="1" applyFont="1" applyFill="1" applyBorder="1" applyAlignment="1">
      <alignment horizontal="center"/>
    </xf>
    <xf numFmtId="2" fontId="32" fillId="18" borderId="115" xfId="0" applyNumberFormat="1" applyFont="1" applyFill="1" applyBorder="1" applyAlignment="1">
      <alignment horizontal="center"/>
    </xf>
    <xf numFmtId="0" fontId="111" fillId="16" borderId="115" xfId="9" applyFont="1" applyFill="1" applyBorder="1" applyAlignment="1">
      <alignment horizontal="center" vertical="center"/>
    </xf>
    <xf numFmtId="0" fontId="111" fillId="16" borderId="115" xfId="9" applyFont="1" applyFill="1" applyBorder="1" applyAlignment="1">
      <alignment horizontal="left" vertical="center"/>
    </xf>
    <xf numFmtId="1" fontId="136" fillId="16" borderId="115" xfId="9" applyNumberFormat="1" applyFont="1" applyFill="1" applyBorder="1" applyAlignment="1">
      <alignment horizontal="center" vertical="center"/>
    </xf>
    <xf numFmtId="43" fontId="136" fillId="16" borderId="115" xfId="10" applyFont="1" applyFill="1" applyBorder="1" applyAlignment="1">
      <alignment horizontal="center" vertical="center"/>
    </xf>
    <xf numFmtId="0" fontId="111" fillId="16" borderId="70" xfId="9" applyFont="1" applyFill="1" applyAlignment="1">
      <alignment horizontal="center" vertical="center"/>
    </xf>
    <xf numFmtId="164" fontId="111" fillId="16" borderId="115" xfId="9" applyNumberFormat="1" applyFont="1" applyFill="1" applyBorder="1" applyAlignment="1">
      <alignment horizontal="center" vertical="center"/>
    </xf>
    <xf numFmtId="0" fontId="139" fillId="16" borderId="115" xfId="9" applyFont="1" applyFill="1" applyBorder="1" applyAlignment="1">
      <alignment horizontal="center" vertical="center"/>
    </xf>
    <xf numFmtId="1" fontId="136" fillId="16" borderId="115" xfId="9" applyNumberFormat="1" applyFont="1" applyFill="1" applyBorder="1" applyAlignment="1">
      <alignment horizontal="center" vertical="center" wrapText="1"/>
    </xf>
    <xf numFmtId="0" fontId="109" fillId="16" borderId="115" xfId="9" applyFont="1" applyFill="1" applyBorder="1" applyAlignment="1">
      <alignment horizontal="center" vertical="center"/>
    </xf>
    <xf numFmtId="1" fontId="6" fillId="3" borderId="2" xfId="4" applyNumberFormat="1" applyFont="1" applyFill="1" applyBorder="1" applyAlignment="1">
      <alignment horizontal="center" vertical="center" wrapText="1"/>
    </xf>
    <xf numFmtId="1" fontId="6" fillId="3" borderId="17" xfId="4" applyNumberFormat="1" applyFont="1" applyFill="1" applyBorder="1" applyAlignment="1">
      <alignment horizontal="center" vertical="center" wrapText="1"/>
    </xf>
    <xf numFmtId="10" fontId="4" fillId="0" borderId="2" xfId="4" applyNumberFormat="1" applyFont="1" applyBorder="1" applyAlignment="1">
      <alignment horizontal="center"/>
    </xf>
    <xf numFmtId="0" fontId="4" fillId="18" borderId="70" xfId="0" applyFont="1" applyFill="1" applyBorder="1"/>
    <xf numFmtId="0" fontId="13" fillId="18" borderId="70" xfId="0" applyFont="1" applyFill="1" applyBorder="1" applyAlignment="1">
      <alignment horizontal="left" vertical="center" indent="1"/>
    </xf>
    <xf numFmtId="0" fontId="12" fillId="18" borderId="70" xfId="0" applyFont="1" applyFill="1" applyBorder="1" applyAlignment="1">
      <alignment horizontal="right" vertical="center" indent="1"/>
    </xf>
    <xf numFmtId="0" fontId="0" fillId="18" borderId="0" xfId="0" applyFill="1"/>
    <xf numFmtId="0" fontId="116" fillId="18" borderId="123" xfId="4" applyFont="1" applyFill="1" applyBorder="1" applyAlignment="1">
      <alignment horizontal="center" vertical="center"/>
    </xf>
    <xf numFmtId="0" fontId="4" fillId="18" borderId="123" xfId="0" applyFont="1" applyFill="1" applyBorder="1" applyAlignment="1">
      <alignment horizontal="center"/>
    </xf>
    <xf numFmtId="0" fontId="90" fillId="22" borderId="115" xfId="0" applyFont="1" applyFill="1" applyBorder="1" applyAlignment="1">
      <alignment horizontal="center" vertical="center"/>
    </xf>
    <xf numFmtId="1" fontId="31" fillId="15" borderId="2" xfId="0" applyNumberFormat="1" applyFont="1" applyFill="1" applyBorder="1" applyAlignment="1">
      <alignment horizontal="center" vertical="center" wrapText="1"/>
    </xf>
    <xf numFmtId="0" fontId="35" fillId="18" borderId="70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vertical="center" wrapText="1"/>
    </xf>
    <xf numFmtId="0" fontId="90" fillId="0" borderId="0" xfId="0" applyFont="1"/>
    <xf numFmtId="0" fontId="141" fillId="18" borderId="115" xfId="0" applyFont="1" applyFill="1" applyBorder="1" applyAlignment="1">
      <alignment vertical="center" wrapText="1"/>
    </xf>
    <xf numFmtId="14" fontId="72" fillId="16" borderId="115" xfId="0" applyNumberFormat="1" applyFont="1" applyFill="1" applyBorder="1" applyAlignment="1">
      <alignment horizontal="center"/>
    </xf>
    <xf numFmtId="0" fontId="141" fillId="18" borderId="119" xfId="0" applyFont="1" applyFill="1" applyBorder="1" applyAlignment="1">
      <alignment vertical="center" wrapText="1"/>
    </xf>
    <xf numFmtId="0" fontId="141" fillId="18" borderId="124" xfId="0" applyFont="1" applyFill="1" applyBorder="1" applyAlignment="1">
      <alignment vertical="center" wrapText="1"/>
    </xf>
    <xf numFmtId="0" fontId="141" fillId="18" borderId="123" xfId="0" applyFont="1" applyFill="1" applyBorder="1" applyAlignment="1">
      <alignment vertical="center" wrapText="1"/>
    </xf>
    <xf numFmtId="0" fontId="141" fillId="18" borderId="115" xfId="0" applyFont="1" applyFill="1" applyBorder="1" applyAlignment="1">
      <alignment horizontal="left" vertical="top" wrapText="1"/>
    </xf>
    <xf numFmtId="0" fontId="141" fillId="18" borderId="115" xfId="0" applyFont="1" applyFill="1" applyBorder="1" applyAlignment="1">
      <alignment horizontal="left" vertical="center" wrapText="1"/>
    </xf>
    <xf numFmtId="0" fontId="72" fillId="3" borderId="115" xfId="0" applyFont="1" applyFill="1" applyBorder="1" applyAlignment="1">
      <alignment horizontal="center" vertical="center"/>
    </xf>
    <xf numFmtId="16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center" vertical="center"/>
    </xf>
    <xf numFmtId="14" fontId="72" fillId="0" borderId="115" xfId="0" applyNumberFormat="1" applyFont="1" applyBorder="1" applyAlignment="1">
      <alignment horizontal="center" vertical="center"/>
    </xf>
    <xf numFmtId="164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left" vertical="center"/>
    </xf>
    <xf numFmtId="14" fontId="72" fillId="3" borderId="115" xfId="0" applyNumberFormat="1" applyFont="1" applyFill="1" applyBorder="1" applyAlignment="1">
      <alignment horizontal="center" vertical="center"/>
    </xf>
    <xf numFmtId="14" fontId="72" fillId="3" borderId="115" xfId="0" applyNumberFormat="1" applyFont="1" applyFill="1" applyBorder="1" applyAlignment="1">
      <alignment horizontal="center"/>
    </xf>
    <xf numFmtId="14" fontId="142" fillId="3" borderId="115" xfId="0" applyNumberFormat="1" applyFont="1" applyFill="1" applyBorder="1" applyAlignment="1">
      <alignment horizontal="center" wrapText="1"/>
    </xf>
    <xf numFmtId="0" fontId="72" fillId="0" borderId="115" xfId="0" applyFont="1" applyBorder="1" applyAlignment="1">
      <alignment horizontal="center"/>
    </xf>
    <xf numFmtId="14" fontId="72" fillId="0" borderId="115" xfId="0" applyNumberFormat="1" applyFont="1" applyBorder="1" applyAlignment="1">
      <alignment horizontal="center"/>
    </xf>
    <xf numFmtId="164" fontId="72" fillId="0" borderId="115" xfId="0" applyNumberFormat="1" applyFont="1" applyBorder="1" applyAlignment="1">
      <alignment horizontal="center"/>
    </xf>
    <xf numFmtId="0" fontId="72" fillId="0" borderId="115" xfId="0" applyFont="1" applyBorder="1" applyAlignment="1">
      <alignment horizontal="left"/>
    </xf>
    <xf numFmtId="14" fontId="72" fillId="0" borderId="115" xfId="0" applyNumberFormat="1" applyFont="1" applyBorder="1" applyAlignment="1">
      <alignment horizontal="left"/>
    </xf>
    <xf numFmtId="0" fontId="142" fillId="3" borderId="115" xfId="0" applyFont="1" applyFill="1" applyBorder="1" applyAlignment="1">
      <alignment horizontal="center" vertical="center" wrapText="1"/>
    </xf>
    <xf numFmtId="0" fontId="142" fillId="16" borderId="115" xfId="0" applyFont="1" applyFill="1" applyBorder="1" applyAlignment="1">
      <alignment horizontal="center" vertical="center" wrapText="1"/>
    </xf>
    <xf numFmtId="0" fontId="72" fillId="3" borderId="115" xfId="0" applyFont="1" applyFill="1" applyBorder="1" applyAlignment="1">
      <alignment horizontal="center"/>
    </xf>
    <xf numFmtId="0" fontId="142" fillId="0" borderId="115" xfId="0" applyFont="1" applyBorder="1" applyAlignment="1">
      <alignment horizontal="center" vertical="center" wrapText="1"/>
    </xf>
    <xf numFmtId="1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 vertical="center"/>
    </xf>
    <xf numFmtId="0" fontId="72" fillId="0" borderId="123" xfId="0" applyFont="1" applyBorder="1" applyAlignment="1">
      <alignment horizontal="center"/>
    </xf>
    <xf numFmtId="0" fontId="142" fillId="16" borderId="115" xfId="0" applyFont="1" applyFill="1" applyBorder="1" applyAlignment="1">
      <alignment horizontal="center" vertical="center"/>
    </xf>
    <xf numFmtId="0" fontId="142" fillId="3" borderId="120" xfId="0" applyFont="1" applyFill="1" applyBorder="1" applyAlignment="1">
      <alignment horizontal="center" vertical="center" wrapText="1"/>
    </xf>
    <xf numFmtId="14" fontId="142" fillId="0" borderId="115" xfId="0" applyNumberFormat="1" applyFont="1" applyBorder="1" applyAlignment="1">
      <alignment horizontal="center"/>
    </xf>
    <xf numFmtId="0" fontId="72" fillId="3" borderId="123" xfId="0" applyFont="1" applyFill="1" applyBorder="1" applyAlignment="1">
      <alignment horizontal="center" vertical="center"/>
    </xf>
    <xf numFmtId="0" fontId="142" fillId="3" borderId="123" xfId="0" applyFont="1" applyFill="1" applyBorder="1" applyAlignment="1">
      <alignment horizontal="center" vertical="center" wrapText="1"/>
    </xf>
    <xf numFmtId="14" fontId="142" fillId="0" borderId="123" xfId="0" applyNumberFormat="1" applyFont="1" applyBorder="1" applyAlignment="1">
      <alignment horizontal="center" vertical="center" wrapText="1"/>
    </xf>
    <xf numFmtId="16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/>
    </xf>
    <xf numFmtId="0" fontId="142" fillId="18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center" vertical="center"/>
    </xf>
    <xf numFmtId="0" fontId="72" fillId="16" borderId="115" xfId="0" applyFont="1" applyFill="1" applyBorder="1" applyAlignment="1">
      <alignment horizontal="center"/>
    </xf>
    <xf numFmtId="0" fontId="72" fillId="0" borderId="119" xfId="0" applyFont="1" applyBorder="1" applyAlignment="1">
      <alignment horizontal="left"/>
    </xf>
    <xf numFmtId="0" fontId="72" fillId="0" borderId="119" xfId="0" applyFont="1" applyBorder="1" applyAlignment="1">
      <alignment horizontal="left" vertical="center"/>
    </xf>
    <xf numFmtId="0" fontId="142" fillId="18" borderId="123" xfId="0" applyFont="1" applyFill="1" applyBorder="1" applyAlignment="1">
      <alignment horizontal="center" vertical="center" wrapText="1"/>
    </xf>
    <xf numFmtId="0" fontId="72" fillId="16" borderId="123" xfId="4" applyFont="1" applyFill="1" applyBorder="1" applyAlignment="1">
      <alignment horizontal="center" vertical="center"/>
    </xf>
    <xf numFmtId="164" fontId="72" fillId="0" borderId="123" xfId="0" applyNumberFormat="1" applyFont="1" applyBorder="1" applyAlignment="1">
      <alignment horizontal="center" vertical="center"/>
    </xf>
    <xf numFmtId="0" fontId="72" fillId="0" borderId="124" xfId="0" applyFont="1" applyBorder="1" applyAlignment="1">
      <alignment horizontal="left"/>
    </xf>
    <xf numFmtId="0" fontId="72" fillId="3" borderId="119" xfId="0" applyFont="1" applyFill="1" applyBorder="1" applyAlignment="1">
      <alignment horizontal="center" vertical="center"/>
    </xf>
    <xf numFmtId="0" fontId="72" fillId="18" borderId="115" xfId="4" applyFont="1" applyFill="1" applyBorder="1" applyAlignment="1">
      <alignment horizontal="center" vertical="center"/>
    </xf>
    <xf numFmtId="0" fontId="142" fillId="24" borderId="115" xfId="0" applyFont="1" applyFill="1" applyBorder="1" applyAlignment="1">
      <alignment horizontal="center" vertical="center" wrapText="1"/>
    </xf>
    <xf numFmtId="0" fontId="140" fillId="18" borderId="115" xfId="0" applyFont="1" applyFill="1" applyBorder="1" applyAlignment="1">
      <alignment horizontal="center"/>
    </xf>
    <xf numFmtId="0" fontId="140" fillId="24" borderId="115" xfId="0" applyFont="1" applyFill="1" applyBorder="1" applyAlignment="1">
      <alignment horizontal="center" vertical="center" wrapText="1"/>
    </xf>
    <xf numFmtId="14" fontId="140" fillId="18" borderId="115" xfId="0" applyNumberFormat="1" applyFont="1" applyFill="1" applyBorder="1" applyAlignment="1">
      <alignment horizontal="center"/>
    </xf>
    <xf numFmtId="14" fontId="142" fillId="0" borderId="115" xfId="4" applyNumberFormat="1" applyFont="1" applyBorder="1" applyAlignment="1">
      <alignment horizontal="center"/>
    </xf>
    <xf numFmtId="0" fontId="72" fillId="16" borderId="115" xfId="4" applyFont="1" applyFill="1" applyBorder="1" applyAlignment="1">
      <alignment horizontal="center" vertical="center"/>
    </xf>
    <xf numFmtId="14" fontId="142" fillId="0" borderId="115" xfId="4" applyNumberFormat="1" applyFont="1" applyBorder="1" applyAlignment="1">
      <alignment horizontal="center" vertical="center"/>
    </xf>
    <xf numFmtId="0" fontId="72" fillId="24" borderId="115" xfId="0" applyFont="1" applyFill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 wrapText="1"/>
    </xf>
    <xf numFmtId="14" fontId="142" fillId="0" borderId="70" xfId="4" applyNumberFormat="1" applyFont="1" applyAlignment="1">
      <alignment horizontal="center"/>
    </xf>
    <xf numFmtId="0" fontId="72" fillId="3" borderId="115" xfId="0" applyFont="1" applyFill="1" applyBorder="1" applyAlignment="1">
      <alignment horizontal="center" vertical="top"/>
    </xf>
    <xf numFmtId="0" fontId="72" fillId="24" borderId="115" xfId="0" applyFont="1" applyFill="1" applyBorder="1" applyAlignment="1">
      <alignment horizontal="center" vertical="top"/>
    </xf>
    <xf numFmtId="0" fontId="72" fillId="18" borderId="115" xfId="4" applyFont="1" applyFill="1" applyBorder="1" applyAlignment="1">
      <alignment horizontal="center" vertical="top"/>
    </xf>
    <xf numFmtId="0" fontId="142" fillId="24" borderId="115" xfId="0" applyFont="1" applyFill="1" applyBorder="1" applyAlignment="1">
      <alignment horizontal="center" vertical="top" wrapText="1"/>
    </xf>
    <xf numFmtId="14" fontId="72" fillId="0" borderId="115" xfId="0" applyNumberFormat="1" applyFont="1" applyBorder="1" applyAlignment="1">
      <alignment horizontal="center" vertical="top"/>
    </xf>
    <xf numFmtId="164" fontId="72" fillId="0" borderId="115" xfId="0" applyNumberFormat="1" applyFont="1" applyBorder="1" applyAlignment="1">
      <alignment horizontal="center" vertical="top"/>
    </xf>
    <xf numFmtId="14" fontId="142" fillId="0" borderId="115" xfId="4" applyNumberFormat="1" applyFont="1" applyBorder="1" applyAlignment="1">
      <alignment horizontal="center" vertical="top"/>
    </xf>
    <xf numFmtId="0" fontId="142" fillId="0" borderId="115" xfId="4" applyFont="1" applyBorder="1" applyAlignment="1">
      <alignment horizontal="left" vertical="top"/>
    </xf>
    <xf numFmtId="0" fontId="142" fillId="0" borderId="115" xfId="4" applyFont="1" applyBorder="1" applyAlignment="1">
      <alignment horizontal="center" vertical="top"/>
    </xf>
    <xf numFmtId="0" fontId="72" fillId="16" borderId="115" xfId="4" applyFont="1" applyFill="1" applyBorder="1" applyAlignment="1">
      <alignment horizontal="center" vertical="top"/>
    </xf>
    <xf numFmtId="0" fontId="142" fillId="3" borderId="115" xfId="0" applyFont="1" applyFill="1" applyBorder="1" applyAlignment="1">
      <alignment horizontal="center" vertical="top" wrapText="1"/>
    </xf>
    <xf numFmtId="0" fontId="142" fillId="0" borderId="115" xfId="0" applyFont="1" applyBorder="1" applyAlignment="1">
      <alignment horizontal="left" vertical="top"/>
    </xf>
    <xf numFmtId="0" fontId="72" fillId="0" borderId="115" xfId="0" applyFont="1" applyBorder="1" applyAlignment="1">
      <alignment horizontal="center" vertical="top"/>
    </xf>
    <xf numFmtId="0" fontId="72" fillId="0" borderId="115" xfId="0" applyFont="1" applyBorder="1" applyAlignment="1">
      <alignment horizontal="left" vertical="top"/>
    </xf>
    <xf numFmtId="164" fontId="140" fillId="18" borderId="115" xfId="0" applyNumberFormat="1" applyFont="1" applyFill="1" applyBorder="1" applyAlignment="1">
      <alignment horizontal="center" vertical="top"/>
    </xf>
    <xf numFmtId="14" fontId="142" fillId="24" borderId="115" xfId="0" applyNumberFormat="1" applyFont="1" applyFill="1" applyBorder="1" applyAlignment="1">
      <alignment horizontal="center" vertical="center" wrapText="1"/>
    </xf>
    <xf numFmtId="0" fontId="142" fillId="18" borderId="115" xfId="0" applyFont="1" applyFill="1" applyBorder="1" applyAlignment="1">
      <alignment horizontal="left" vertical="center"/>
    </xf>
    <xf numFmtId="2" fontId="72" fillId="0" borderId="115" xfId="0" applyNumberFormat="1" applyFont="1" applyBorder="1" applyAlignment="1">
      <alignment horizontal="center" vertical="center"/>
    </xf>
    <xf numFmtId="0" fontId="142" fillId="0" borderId="115" xfId="4" applyFont="1" applyBorder="1" applyAlignment="1">
      <alignment horizontal="left" vertical="center"/>
    </xf>
    <xf numFmtId="0" fontId="140" fillId="3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left" vertical="center"/>
    </xf>
    <xf numFmtId="0" fontId="142" fillId="18" borderId="115" xfId="0" applyFont="1" applyFill="1" applyBorder="1" applyAlignment="1">
      <alignment horizontal="center" vertical="center"/>
    </xf>
    <xf numFmtId="14" fontId="142" fillId="18" borderId="115" xfId="0" applyNumberFormat="1" applyFont="1" applyFill="1" applyBorder="1" applyAlignment="1">
      <alignment horizontal="center" vertical="center"/>
    </xf>
    <xf numFmtId="0" fontId="7" fillId="24" borderId="115" xfId="0" applyFont="1" applyFill="1" applyBorder="1" applyAlignment="1">
      <alignment horizontal="center" vertical="center"/>
    </xf>
    <xf numFmtId="0" fontId="7" fillId="16" borderId="115" xfId="4" applyFont="1" applyFill="1" applyBorder="1" applyAlignment="1">
      <alignment horizontal="center" vertical="center"/>
    </xf>
    <xf numFmtId="0" fontId="11" fillId="3" borderId="115" xfId="0" applyFont="1" applyFill="1" applyBorder="1" applyAlignment="1">
      <alignment horizontal="center" vertical="center" wrapText="1"/>
    </xf>
    <xf numFmtId="14" fontId="7" fillId="0" borderId="115" xfId="0" applyNumberFormat="1" applyFont="1" applyBorder="1" applyAlignment="1">
      <alignment horizontal="center"/>
    </xf>
    <xf numFmtId="164" fontId="7" fillId="18" borderId="115" xfId="0" applyNumberFormat="1" applyFont="1" applyFill="1" applyBorder="1" applyAlignment="1">
      <alignment horizontal="center" vertical="center"/>
    </xf>
    <xf numFmtId="0" fontId="7" fillId="18" borderId="115" xfId="0" applyFont="1" applyFill="1" applyBorder="1" applyAlignment="1">
      <alignment horizontal="center"/>
    </xf>
    <xf numFmtId="0" fontId="7" fillId="3" borderId="115" xfId="0" applyFont="1" applyFill="1" applyBorder="1" applyAlignment="1">
      <alignment horizontal="center" vertical="center"/>
    </xf>
    <xf numFmtId="0" fontId="7" fillId="0" borderId="115" xfId="0" applyFont="1" applyBorder="1" applyAlignment="1">
      <alignment horizontal="center"/>
    </xf>
    <xf numFmtId="0" fontId="7" fillId="18" borderId="115" xfId="0" applyFont="1" applyFill="1" applyBorder="1" applyAlignment="1">
      <alignment horizontal="left"/>
    </xf>
    <xf numFmtId="164" fontId="93" fillId="18" borderId="115" xfId="0" applyNumberFormat="1" applyFont="1" applyFill="1" applyBorder="1" applyAlignment="1">
      <alignment horizontal="center" vertical="center"/>
    </xf>
    <xf numFmtId="164" fontId="7" fillId="18" borderId="115" xfId="0" applyNumberFormat="1" applyFont="1" applyFill="1" applyBorder="1" applyAlignment="1">
      <alignment horizontal="center"/>
    </xf>
    <xf numFmtId="14" fontId="11" fillId="3" borderId="115" xfId="0" applyNumberFormat="1" applyFont="1" applyFill="1" applyBorder="1" applyAlignment="1">
      <alignment horizontal="center" vertical="center" wrapText="1"/>
    </xf>
    <xf numFmtId="0" fontId="7" fillId="18" borderId="115" xfId="4" applyFont="1" applyFill="1" applyBorder="1" applyAlignment="1">
      <alignment horizontal="center" vertical="center"/>
    </xf>
    <xf numFmtId="0" fontId="11" fillId="24" borderId="115" xfId="0" applyFont="1" applyFill="1" applyBorder="1" applyAlignment="1">
      <alignment horizontal="center" vertical="center" wrapText="1"/>
    </xf>
    <xf numFmtId="0" fontId="119" fillId="3" borderId="70" xfId="0" applyFont="1" applyFill="1" applyBorder="1" applyAlignment="1">
      <alignment horizontal="center" vertical="center" wrapText="1"/>
    </xf>
    <xf numFmtId="14" fontId="17" fillId="3" borderId="70" xfId="0" applyNumberFormat="1" applyFont="1" applyFill="1" applyBorder="1" applyAlignment="1">
      <alignment horizontal="center" vertical="center" wrapText="1"/>
    </xf>
    <xf numFmtId="0" fontId="114" fillId="0" borderId="70" xfId="0" applyFont="1" applyBorder="1" applyAlignment="1">
      <alignment vertical="top"/>
    </xf>
    <xf numFmtId="14" fontId="117" fillId="3" borderId="70" xfId="0" applyNumberFormat="1" applyFont="1" applyFill="1" applyBorder="1" applyAlignment="1">
      <alignment horizontal="center" wrapText="1"/>
    </xf>
    <xf numFmtId="0" fontId="117" fillId="3" borderId="70" xfId="0" applyFont="1" applyFill="1" applyBorder="1" applyAlignment="1">
      <alignment horizontal="left" vertical="center" wrapText="1"/>
    </xf>
    <xf numFmtId="0" fontId="117" fillId="3" borderId="70" xfId="0" applyFont="1" applyFill="1" applyBorder="1" applyAlignment="1">
      <alignment horizontal="center" wrapText="1"/>
    </xf>
    <xf numFmtId="0" fontId="117" fillId="3" borderId="70" xfId="0" applyFont="1" applyFill="1" applyBorder="1" applyAlignment="1">
      <alignment horizontal="center" vertical="center"/>
    </xf>
    <xf numFmtId="0" fontId="117" fillId="24" borderId="70" xfId="0" applyFont="1" applyFill="1" applyBorder="1" applyAlignment="1">
      <alignment horizontal="center" vertical="center" wrapText="1"/>
    </xf>
    <xf numFmtId="0" fontId="116" fillId="3" borderId="37" xfId="0" applyFont="1" applyFill="1" applyBorder="1" applyAlignment="1">
      <alignment horizontal="center" vertical="center"/>
    </xf>
    <xf numFmtId="0" fontId="11" fillId="3" borderId="148" xfId="0" applyFont="1" applyFill="1" applyBorder="1" applyAlignment="1">
      <alignment horizontal="center" vertical="center" wrapText="1"/>
    </xf>
    <xf numFmtId="0" fontId="7" fillId="3" borderId="148" xfId="0" applyFont="1" applyFill="1" applyBorder="1" applyAlignment="1">
      <alignment horizontal="center" vertical="center"/>
    </xf>
    <xf numFmtId="0" fontId="120" fillId="18" borderId="115" xfId="0" applyFont="1" applyFill="1" applyBorder="1" applyAlignment="1">
      <alignment horizontal="left" vertical="center" wrapText="1" indent="2"/>
    </xf>
    <xf numFmtId="0" fontId="120" fillId="18" borderId="115" xfId="0" applyFont="1" applyFill="1" applyBorder="1" applyAlignment="1">
      <alignment horizontal="left" indent="2"/>
    </xf>
    <xf numFmtId="0" fontId="120" fillId="0" borderId="123" xfId="0" applyFont="1" applyBorder="1" applyAlignment="1">
      <alignment horizontal="center" vertical="center" wrapText="1"/>
    </xf>
    <xf numFmtId="0" fontId="120" fillId="0" borderId="123" xfId="0" applyFont="1" applyBorder="1" applyAlignment="1">
      <alignment horizontal="center" vertical="center"/>
    </xf>
    <xf numFmtId="0" fontId="120" fillId="18" borderId="123" xfId="0" applyFont="1" applyFill="1" applyBorder="1" applyAlignment="1">
      <alignment horizontal="left" vertical="center" wrapText="1" indent="2"/>
    </xf>
    <xf numFmtId="0" fontId="120" fillId="18" borderId="123" xfId="0" applyFont="1" applyFill="1" applyBorder="1" applyAlignment="1">
      <alignment horizontal="left" indent="2"/>
    </xf>
    <xf numFmtId="0" fontId="120" fillId="18" borderId="78" xfId="0" applyFont="1" applyFill="1" applyBorder="1" applyAlignment="1">
      <alignment horizontal="left" vertical="center" wrapText="1" indent="2"/>
    </xf>
    <xf numFmtId="0" fontId="120" fillId="18" borderId="104" xfId="0" applyFont="1" applyFill="1" applyBorder="1" applyAlignment="1">
      <alignment horizontal="left" indent="2"/>
    </xf>
    <xf numFmtId="0" fontId="120" fillId="18" borderId="73" xfId="0" applyFont="1" applyFill="1" applyBorder="1" applyAlignment="1">
      <alignment horizontal="left" indent="2"/>
    </xf>
    <xf numFmtId="0" fontId="120" fillId="16" borderId="115" xfId="0" applyFont="1" applyFill="1" applyBorder="1" applyAlignment="1">
      <alignment horizontal="left" vertical="center" wrapText="1" indent="2"/>
    </xf>
    <xf numFmtId="0" fontId="120" fillId="16" borderId="115" xfId="0" applyFont="1" applyFill="1" applyBorder="1" applyAlignment="1">
      <alignment horizontal="left" indent="2"/>
    </xf>
    <xf numFmtId="0" fontId="120" fillId="0" borderId="115" xfId="0" applyFont="1" applyBorder="1" applyAlignment="1">
      <alignment horizontal="center" vertical="center" wrapText="1"/>
    </xf>
    <xf numFmtId="0" fontId="120" fillId="0" borderId="115" xfId="0" applyFont="1" applyBorder="1" applyAlignment="1">
      <alignment horizontal="center" vertical="center"/>
    </xf>
    <xf numFmtId="0" fontId="128" fillId="3" borderId="151" xfId="0" applyFont="1" applyFill="1" applyBorder="1" applyAlignment="1">
      <alignment horizontal="center" wrapText="1"/>
    </xf>
    <xf numFmtId="0" fontId="128" fillId="3" borderId="152" xfId="0" applyFont="1" applyFill="1" applyBorder="1" applyAlignment="1">
      <alignment horizontal="center" wrapText="1"/>
    </xf>
    <xf numFmtId="0" fontId="128" fillId="3" borderId="153" xfId="0" applyFont="1" applyFill="1" applyBorder="1" applyAlignment="1">
      <alignment horizontal="center" wrapText="1"/>
    </xf>
    <xf numFmtId="0" fontId="120" fillId="24" borderId="3" xfId="0" applyFont="1" applyFill="1" applyBorder="1" applyAlignment="1">
      <alignment horizontal="left" vertical="center" wrapText="1" indent="2"/>
    </xf>
    <xf numFmtId="0" fontId="120" fillId="18" borderId="4" xfId="0" applyFont="1" applyFill="1" applyBorder="1" applyAlignment="1">
      <alignment horizontal="left" indent="2"/>
    </xf>
    <xf numFmtId="0" fontId="120" fillId="18" borderId="5" xfId="0" applyFont="1" applyFill="1" applyBorder="1" applyAlignment="1">
      <alignment horizontal="left" indent="2"/>
    </xf>
    <xf numFmtId="0" fontId="121" fillId="18" borderId="115" xfId="0" applyFont="1" applyFill="1" applyBorder="1" applyAlignment="1">
      <alignment horizontal="left" indent="2"/>
    </xf>
    <xf numFmtId="0" fontId="121" fillId="18" borderId="119" xfId="0" applyFont="1" applyFill="1" applyBorder="1" applyAlignment="1">
      <alignment horizontal="left" indent="2"/>
    </xf>
    <xf numFmtId="0" fontId="121" fillId="18" borderId="121" xfId="0" applyFont="1" applyFill="1" applyBorder="1" applyAlignment="1">
      <alignment horizontal="left" indent="2"/>
    </xf>
    <xf numFmtId="0" fontId="121" fillId="18" borderId="120" xfId="0" applyFont="1" applyFill="1" applyBorder="1" applyAlignment="1">
      <alignment horizontal="left" indent="2"/>
    </xf>
    <xf numFmtId="0" fontId="121" fillId="0" borderId="124" xfId="0" applyFont="1" applyBorder="1" applyAlignment="1">
      <alignment horizontal="left" indent="2"/>
    </xf>
    <xf numFmtId="0" fontId="121" fillId="0" borderId="125" xfId="0" applyFont="1" applyBorder="1" applyAlignment="1">
      <alignment horizontal="left" indent="2"/>
    </xf>
    <xf numFmtId="0" fontId="121" fillId="0" borderId="126" xfId="0" applyFont="1" applyBorder="1" applyAlignment="1">
      <alignment horizontal="left" indent="2"/>
    </xf>
    <xf numFmtId="0" fontId="121" fillId="0" borderId="162" xfId="0" applyFont="1" applyBorder="1" applyAlignment="1">
      <alignment horizontal="left" indent="2"/>
    </xf>
    <xf numFmtId="0" fontId="121" fillId="0" borderId="70" xfId="0" applyFont="1" applyBorder="1" applyAlignment="1">
      <alignment horizontal="left" indent="2"/>
    </xf>
    <xf numFmtId="0" fontId="121" fillId="0" borderId="163" xfId="0" applyFont="1" applyBorder="1" applyAlignment="1">
      <alignment horizontal="left" indent="2"/>
    </xf>
    <xf numFmtId="0" fontId="121" fillId="0" borderId="115" xfId="0" applyFont="1" applyBorder="1" applyAlignment="1">
      <alignment horizontal="left" indent="2"/>
    </xf>
    <xf numFmtId="0" fontId="121" fillId="18" borderId="124" xfId="0" applyFont="1" applyFill="1" applyBorder="1" applyAlignment="1">
      <alignment horizontal="left" indent="2"/>
    </xf>
    <xf numFmtId="0" fontId="121" fillId="18" borderId="125" xfId="0" applyFont="1" applyFill="1" applyBorder="1" applyAlignment="1">
      <alignment horizontal="left" indent="2"/>
    </xf>
    <xf numFmtId="0" fontId="121" fillId="18" borderId="126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7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28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/>
    </xf>
    <xf numFmtId="0" fontId="70" fillId="0" borderId="75" xfId="0" applyFont="1" applyBorder="1" applyAlignment="1">
      <alignment horizontal="center" vertical="center"/>
    </xf>
    <xf numFmtId="0" fontId="122" fillId="6" borderId="49" xfId="0" applyFont="1" applyFill="1" applyBorder="1" applyAlignment="1">
      <alignment horizontal="center" vertical="center" wrapText="1"/>
    </xf>
    <xf numFmtId="0" fontId="124" fillId="0" borderId="106" xfId="0" applyFont="1" applyBorder="1"/>
    <xf numFmtId="0" fontId="124" fillId="0" borderId="154" xfId="0" applyFont="1" applyBorder="1"/>
    <xf numFmtId="0" fontId="120" fillId="0" borderId="78" xfId="0" applyFont="1" applyBorder="1" applyAlignment="1">
      <alignment horizontal="center" vertical="center" wrapText="1"/>
    </xf>
    <xf numFmtId="0" fontId="120" fillId="0" borderId="104" xfId="0" applyFont="1" applyBorder="1" applyAlignment="1">
      <alignment horizontal="center" vertical="center"/>
    </xf>
    <xf numFmtId="0" fontId="120" fillId="0" borderId="73" xfId="0" applyFont="1" applyBorder="1" applyAlignment="1">
      <alignment horizontal="center" vertical="center"/>
    </xf>
    <xf numFmtId="0" fontId="121" fillId="16" borderId="115" xfId="0" applyFont="1" applyFill="1" applyBorder="1" applyAlignment="1">
      <alignment horizontal="left" indent="2"/>
    </xf>
    <xf numFmtId="0" fontId="120" fillId="0" borderId="119" xfId="0" applyFont="1" applyBorder="1" applyAlignment="1">
      <alignment horizontal="center" vertical="center" wrapText="1"/>
    </xf>
    <xf numFmtId="0" fontId="120" fillId="0" borderId="121" xfId="0" applyFont="1" applyBorder="1" applyAlignment="1">
      <alignment horizontal="center" vertical="center"/>
    </xf>
    <xf numFmtId="0" fontId="120" fillId="0" borderId="120" xfId="0" applyFont="1" applyBorder="1" applyAlignment="1">
      <alignment horizontal="center" vertical="center"/>
    </xf>
    <xf numFmtId="0" fontId="120" fillId="0" borderId="124" xfId="0" applyFont="1" applyBorder="1" applyAlignment="1">
      <alignment horizontal="center" vertical="center" wrapText="1"/>
    </xf>
    <xf numFmtId="0" fontId="120" fillId="0" borderId="125" xfId="0" applyFont="1" applyBorder="1" applyAlignment="1">
      <alignment horizontal="center" vertical="center"/>
    </xf>
    <xf numFmtId="0" fontId="120" fillId="0" borderId="126" xfId="0" applyFont="1" applyBorder="1" applyAlignment="1">
      <alignment horizontal="center" vertical="center"/>
    </xf>
    <xf numFmtId="0" fontId="120" fillId="0" borderId="128" xfId="0" applyFont="1" applyBorder="1" applyAlignment="1">
      <alignment horizontal="center" vertical="center" wrapText="1"/>
    </xf>
    <xf numFmtId="0" fontId="120" fillId="0" borderId="129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4" xfId="0" applyFont="1" applyBorder="1"/>
    <xf numFmtId="0" fontId="116" fillId="6" borderId="3" xfId="0" applyFont="1" applyFill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7" fillId="3" borderId="7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78" xfId="0" applyFont="1" applyFill="1" applyBorder="1" applyAlignment="1">
      <alignment horizontal="center" vertical="center"/>
    </xf>
    <xf numFmtId="0" fontId="9" fillId="0" borderId="79" xfId="0" applyFont="1" applyBorder="1"/>
    <xf numFmtId="0" fontId="9" fillId="0" borderId="80" xfId="0" applyFont="1" applyBorder="1"/>
    <xf numFmtId="0" fontId="7" fillId="3" borderId="28" xfId="0" applyFont="1" applyFill="1" applyBorder="1" applyAlignment="1">
      <alignment horizontal="center" vertical="center"/>
    </xf>
    <xf numFmtId="0" fontId="9" fillId="0" borderId="29" xfId="0" applyFont="1" applyBorder="1"/>
    <xf numFmtId="0" fontId="7" fillId="3" borderId="28" xfId="0" applyFont="1" applyFill="1" applyBorder="1" applyAlignment="1">
      <alignment horizontal="right" vertical="center"/>
    </xf>
    <xf numFmtId="0" fontId="7" fillId="3" borderId="57" xfId="0" applyFont="1" applyFill="1" applyBorder="1" applyAlignment="1">
      <alignment horizontal="left" vertical="center"/>
    </xf>
    <xf numFmtId="0" fontId="9" fillId="0" borderId="30" xfId="0" applyFont="1" applyBorder="1"/>
    <xf numFmtId="0" fontId="26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26" fillId="3" borderId="82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67" xfId="0" applyFont="1" applyFill="1" applyBorder="1" applyAlignment="1">
      <alignment horizontal="center" vertical="center"/>
    </xf>
    <xf numFmtId="0" fontId="9" fillId="0" borderId="27" xfId="0" applyFont="1" applyBorder="1"/>
    <xf numFmtId="0" fontId="5" fillId="3" borderId="68" xfId="0" applyFont="1" applyFill="1" applyBorder="1" applyAlignment="1">
      <alignment horizontal="center" vertical="center"/>
    </xf>
    <xf numFmtId="0" fontId="9" fillId="0" borderId="69" xfId="0" applyFont="1" applyBorder="1"/>
    <xf numFmtId="0" fontId="13" fillId="11" borderId="68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top"/>
    </xf>
    <xf numFmtId="0" fontId="5" fillId="3" borderId="67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 vertical="center"/>
    </xf>
    <xf numFmtId="0" fontId="9" fillId="0" borderId="88" xfId="0" applyFont="1" applyBorder="1"/>
    <xf numFmtId="0" fontId="7" fillId="3" borderId="81" xfId="0" applyFont="1" applyFill="1" applyBorder="1" applyAlignment="1">
      <alignment horizontal="center" vertical="center"/>
    </xf>
    <xf numFmtId="0" fontId="26" fillId="3" borderId="43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6" fillId="3" borderId="82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9" fillId="0" borderId="4" xfId="0" applyFont="1" applyBorder="1"/>
    <xf numFmtId="2" fontId="5" fillId="3" borderId="89" xfId="0" applyNumberFormat="1" applyFont="1" applyFill="1" applyBorder="1" applyAlignment="1">
      <alignment horizontal="center" vertical="center"/>
    </xf>
    <xf numFmtId="0" fontId="9" fillId="0" borderId="94" xfId="0" applyFont="1" applyBorder="1"/>
    <xf numFmtId="2" fontId="5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/>
    </xf>
    <xf numFmtId="0" fontId="9" fillId="0" borderId="76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 wrapText="1"/>
    </xf>
    <xf numFmtId="0" fontId="5" fillId="3" borderId="68" xfId="0" applyFont="1" applyFill="1" applyBorder="1" applyAlignment="1">
      <alignment horizontal="center" wrapText="1"/>
    </xf>
    <xf numFmtId="0" fontId="5" fillId="3" borderId="97" xfId="0" applyFont="1" applyFill="1" applyBorder="1" applyAlignment="1">
      <alignment horizontal="center" vertical="center"/>
    </xf>
    <xf numFmtId="0" fontId="9" fillId="0" borderId="98" xfId="0" applyFont="1" applyBorder="1"/>
    <xf numFmtId="0" fontId="18" fillId="8" borderId="89" xfId="0" applyFont="1" applyFill="1" applyBorder="1"/>
    <xf numFmtId="0" fontId="18" fillId="8" borderId="68" xfId="0" applyFont="1" applyFill="1" applyBorder="1"/>
    <xf numFmtId="2" fontId="18" fillId="8" borderId="68" xfId="0" applyNumberFormat="1" applyFont="1" applyFill="1" applyBorder="1"/>
    <xf numFmtId="2" fontId="18" fillId="8" borderId="89" xfId="0" applyNumberFormat="1" applyFont="1" applyFill="1" applyBorder="1"/>
    <xf numFmtId="0" fontId="5" fillId="3" borderId="68" xfId="0" applyFont="1" applyFill="1" applyBorder="1" applyAlignment="1">
      <alignment horizontal="right" vertical="center"/>
    </xf>
    <xf numFmtId="0" fontId="5" fillId="11" borderId="89" xfId="0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94" fillId="0" borderId="165" xfId="4" applyFont="1" applyBorder="1" applyAlignment="1">
      <alignment horizontal="center" vertical="center" wrapText="1"/>
    </xf>
    <xf numFmtId="0" fontId="94" fillId="0" borderId="70" xfId="4" applyFont="1" applyAlignment="1">
      <alignment horizontal="center" vertical="center" wrapText="1"/>
    </xf>
    <xf numFmtId="0" fontId="7" fillId="0" borderId="70" xfId="4" applyFont="1" applyAlignment="1">
      <alignment horizontal="center" vertical="center" wrapText="1"/>
    </xf>
    <xf numFmtId="0" fontId="9" fillId="0" borderId="70" xfId="4" applyFont="1"/>
    <xf numFmtId="0" fontId="5" fillId="0" borderId="70" xfId="4" applyFont="1" applyAlignment="1">
      <alignment horizontal="center" vertical="center"/>
    </xf>
    <xf numFmtId="0" fontId="5" fillId="0" borderId="70" xfId="4" applyFont="1" applyAlignment="1">
      <alignment horizontal="center" vertical="center" wrapText="1"/>
    </xf>
    <xf numFmtId="0" fontId="4" fillId="0" borderId="70" xfId="4" applyFont="1" applyAlignment="1">
      <alignment horizontal="center" vertical="center"/>
    </xf>
    <xf numFmtId="0" fontId="22" fillId="0" borderId="57" xfId="4" applyFont="1" applyBorder="1" applyAlignment="1">
      <alignment horizontal="center"/>
    </xf>
    <xf numFmtId="0" fontId="9" fillId="0" borderId="57" xfId="4" applyFont="1" applyBorder="1"/>
    <xf numFmtId="0" fontId="9" fillId="0" borderId="55" xfId="4" applyFont="1" applyBorder="1"/>
    <xf numFmtId="0" fontId="5" fillId="0" borderId="20" xfId="4" applyFont="1" applyBorder="1" applyAlignment="1">
      <alignment horizontal="center" vertical="center"/>
    </xf>
    <xf numFmtId="0" fontId="9" fillId="0" borderId="95" xfId="4" applyFont="1" applyBorder="1"/>
    <xf numFmtId="0" fontId="9" fillId="0" borderId="51" xfId="4" applyFont="1" applyBorder="1"/>
    <xf numFmtId="0" fontId="5" fillId="0" borderId="48" xfId="4" applyFont="1" applyBorder="1" applyAlignment="1">
      <alignment horizontal="center" vertical="center"/>
    </xf>
    <xf numFmtId="0" fontId="9" fillId="0" borderId="50" xfId="4" applyFont="1" applyBorder="1"/>
    <xf numFmtId="0" fontId="5" fillId="0" borderId="17" xfId="4" applyFont="1" applyBorder="1" applyAlignment="1">
      <alignment horizontal="center" vertical="center"/>
    </xf>
    <xf numFmtId="0" fontId="9" fillId="0" borderId="82" xfId="4" applyFont="1" applyBorder="1"/>
    <xf numFmtId="0" fontId="9" fillId="0" borderId="31" xfId="4" applyFont="1" applyBorder="1"/>
    <xf numFmtId="0" fontId="5" fillId="0" borderId="56" xfId="4" applyFont="1" applyBorder="1" applyAlignment="1">
      <alignment horizontal="center" vertical="center"/>
    </xf>
    <xf numFmtId="0" fontId="5" fillId="7" borderId="56" xfId="4" applyFont="1" applyFill="1" applyBorder="1" applyAlignment="1">
      <alignment horizontal="center" vertical="center"/>
    </xf>
    <xf numFmtId="0" fontId="9" fillId="0" borderId="77" xfId="4" applyFont="1" applyBorder="1"/>
    <xf numFmtId="0" fontId="9" fillId="0" borderId="63" xfId="4" applyFont="1" applyBorder="1"/>
    <xf numFmtId="0" fontId="9" fillId="0" borderId="52" xfId="4" applyFont="1" applyBorder="1"/>
    <xf numFmtId="0" fontId="5" fillId="15" borderId="105" xfId="0" applyFont="1" applyFill="1" applyBorder="1" applyAlignment="1">
      <alignment horizontal="center" vertical="center"/>
    </xf>
    <xf numFmtId="0" fontId="9" fillId="15" borderId="106" xfId="0" applyFont="1" applyFill="1" applyBorder="1"/>
    <xf numFmtId="0" fontId="9" fillId="15" borderId="107" xfId="0" applyFont="1" applyFill="1" applyBorder="1"/>
    <xf numFmtId="0" fontId="5" fillId="0" borderId="108" xfId="0" applyFont="1" applyBorder="1" applyAlignment="1">
      <alignment horizontal="left" vertical="center" wrapText="1"/>
    </xf>
    <xf numFmtId="0" fontId="51" fillId="14" borderId="105" xfId="0" applyFont="1" applyFill="1" applyBorder="1" applyAlignment="1">
      <alignment horizontal="center" vertical="center" wrapText="1"/>
    </xf>
    <xf numFmtId="0" fontId="9" fillId="0" borderId="106" xfId="0" applyFont="1" applyBorder="1"/>
    <xf numFmtId="0" fontId="9" fillId="0" borderId="107" xfId="0" applyFont="1" applyBorder="1"/>
    <xf numFmtId="0" fontId="137" fillId="0" borderId="194" xfId="9" applyFont="1" applyBorder="1" applyAlignment="1">
      <alignment horizontal="center" vertical="center"/>
    </xf>
    <xf numFmtId="0" fontId="138" fillId="0" borderId="123" xfId="9" applyFont="1" applyBorder="1" applyAlignment="1">
      <alignment horizontal="center" vertical="center" wrapText="1"/>
    </xf>
    <xf numFmtId="0" fontId="138" fillId="0" borderId="148" xfId="9" applyFont="1" applyBorder="1" applyAlignment="1">
      <alignment horizontal="center" vertical="center" wrapText="1"/>
    </xf>
    <xf numFmtId="0" fontId="138" fillId="0" borderId="119" xfId="9" applyFont="1" applyBorder="1" applyAlignment="1">
      <alignment horizontal="center" vertical="center"/>
    </xf>
    <xf numFmtId="0" fontId="138" fillId="0" borderId="120" xfId="9" applyFont="1" applyBorder="1" applyAlignment="1">
      <alignment horizontal="center" vertical="center"/>
    </xf>
    <xf numFmtId="0" fontId="138" fillId="0" borderId="119" xfId="9" applyFont="1" applyBorder="1" applyAlignment="1">
      <alignment horizontal="center" vertical="center" wrapText="1"/>
    </xf>
    <xf numFmtId="0" fontId="138" fillId="0" borderId="121" xfId="9" applyFont="1" applyBorder="1" applyAlignment="1">
      <alignment horizontal="center" vertical="center" wrapText="1"/>
    </xf>
    <xf numFmtId="0" fontId="31" fillId="7" borderId="20" xfId="4" applyFont="1" applyFill="1" applyBorder="1" applyAlignment="1">
      <alignment horizontal="center" vertical="center"/>
    </xf>
    <xf numFmtId="0" fontId="82" fillId="0" borderId="77" xfId="4" applyFont="1" applyBorder="1"/>
    <xf numFmtId="0" fontId="82" fillId="0" borderId="63" xfId="4" applyFont="1" applyBorder="1"/>
    <xf numFmtId="0" fontId="7" fillId="3" borderId="172" xfId="4" applyFont="1" applyFill="1" applyBorder="1" applyAlignment="1">
      <alignment horizontal="center" vertical="center"/>
    </xf>
    <xf numFmtId="0" fontId="60" fillId="0" borderId="173" xfId="4" applyFont="1" applyBorder="1"/>
    <xf numFmtId="0" fontId="60" fillId="0" borderId="174" xfId="4" applyFont="1" applyBorder="1"/>
    <xf numFmtId="0" fontId="5" fillId="3" borderId="180" xfId="4" applyFont="1" applyFill="1" applyBorder="1" applyAlignment="1">
      <alignment horizontal="center" vertical="center"/>
    </xf>
    <xf numFmtId="0" fontId="9" fillId="0" borderId="181" xfId="4" applyFont="1" applyBorder="1"/>
    <xf numFmtId="0" fontId="5" fillId="3" borderId="183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right" vertical="center"/>
    </xf>
    <xf numFmtId="168" fontId="5" fillId="3" borderId="181" xfId="4" applyNumberFormat="1" applyFont="1" applyFill="1" applyBorder="1" applyAlignment="1">
      <alignment horizontal="left" vertical="center"/>
    </xf>
    <xf numFmtId="0" fontId="9" fillId="0" borderId="185" xfId="4" applyFont="1" applyBorder="1"/>
    <xf numFmtId="0" fontId="5" fillId="3" borderId="84" xfId="4" applyFont="1" applyFill="1" applyBorder="1" applyAlignment="1">
      <alignment horizontal="center"/>
    </xf>
    <xf numFmtId="0" fontId="89" fillId="22" borderId="171" xfId="4" applyFont="1" applyFill="1" applyBorder="1" applyAlignment="1">
      <alignment horizontal="center" vertical="center" wrapText="1"/>
    </xf>
    <xf numFmtId="0" fontId="89" fillId="22" borderId="138" xfId="4" applyFont="1" applyFill="1" applyBorder="1" applyAlignment="1">
      <alignment horizontal="center" vertical="center" wrapText="1"/>
    </xf>
    <xf numFmtId="0" fontId="89" fillId="22" borderId="156" xfId="4" applyFont="1" applyFill="1" applyBorder="1" applyAlignment="1">
      <alignment horizontal="center" vertical="center" wrapText="1"/>
    </xf>
    <xf numFmtId="0" fontId="89" fillId="22" borderId="109" xfId="4" applyFont="1" applyFill="1" applyBorder="1" applyAlignment="1">
      <alignment horizontal="center" vertical="center" wrapText="1"/>
    </xf>
    <xf numFmtId="0" fontId="89" fillId="22" borderId="143" xfId="4" applyFont="1" applyFill="1" applyBorder="1" applyAlignment="1">
      <alignment horizontal="center" vertical="center" wrapText="1"/>
    </xf>
    <xf numFmtId="0" fontId="89" fillId="22" borderId="112" xfId="4" applyFont="1" applyFill="1" applyBorder="1" applyAlignment="1">
      <alignment horizontal="center" vertical="center" wrapText="1"/>
    </xf>
    <xf numFmtId="0" fontId="5" fillId="3" borderId="70" xfId="4" applyFont="1" applyFill="1" applyAlignment="1">
      <alignment horizontal="center" vertical="center"/>
    </xf>
    <xf numFmtId="0" fontId="9" fillId="0" borderId="122" xfId="4" applyFont="1" applyBorder="1"/>
    <xf numFmtId="0" fontId="5" fillId="20" borderId="44" xfId="4" applyFont="1" applyFill="1" applyBorder="1" applyAlignment="1">
      <alignment horizontal="center" vertical="center"/>
    </xf>
    <xf numFmtId="0" fontId="9" fillId="0" borderId="75" xfId="4" applyFont="1" applyBorder="1"/>
    <xf numFmtId="0" fontId="9" fillId="0" borderId="135" xfId="4" applyFont="1" applyBorder="1"/>
    <xf numFmtId="0" fontId="26" fillId="3" borderId="43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 wrapText="1"/>
    </xf>
    <xf numFmtId="0" fontId="9" fillId="0" borderId="193" xfId="4" applyFont="1" applyBorder="1"/>
    <xf numFmtId="0" fontId="9" fillId="0" borderId="175" xfId="4" applyFont="1" applyBorder="1"/>
    <xf numFmtId="0" fontId="5" fillId="3" borderId="132" xfId="4" applyFont="1" applyFill="1" applyBorder="1" applyAlignment="1">
      <alignment horizontal="center"/>
    </xf>
    <xf numFmtId="0" fontId="5" fillId="3" borderId="133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center" vertical="center"/>
    </xf>
    <xf numFmtId="0" fontId="67" fillId="3" borderId="80" xfId="4" applyFont="1" applyFill="1" applyBorder="1" applyAlignment="1">
      <alignment horizontal="center" vertical="center" wrapText="1"/>
    </xf>
    <xf numFmtId="0" fontId="67" fillId="3" borderId="58" xfId="4" applyFont="1" applyFill="1" applyBorder="1" applyAlignment="1">
      <alignment horizontal="center" vertical="center" wrapText="1"/>
    </xf>
    <xf numFmtId="0" fontId="5" fillId="11" borderId="68" xfId="4" applyFont="1" applyFill="1" applyBorder="1" applyAlignment="1">
      <alignment horizontal="center" vertical="center"/>
    </xf>
    <xf numFmtId="0" fontId="9" fillId="0" borderId="134" xfId="4" applyFont="1" applyBorder="1"/>
    <xf numFmtId="0" fontId="5" fillId="3" borderId="84" xfId="4" applyFont="1" applyFill="1" applyBorder="1" applyAlignment="1">
      <alignment horizontal="center" vertical="top"/>
    </xf>
    <xf numFmtId="0" fontId="62" fillId="3" borderId="186" xfId="4" applyFont="1" applyFill="1" applyBorder="1" applyAlignment="1">
      <alignment horizontal="center" vertical="center" wrapText="1"/>
    </xf>
    <xf numFmtId="0" fontId="64" fillId="0" borderId="187" xfId="4" applyFont="1" applyBorder="1"/>
    <xf numFmtId="0" fontId="64" fillId="0" borderId="188" xfId="4" applyFont="1" applyBorder="1"/>
    <xf numFmtId="0" fontId="63" fillId="3" borderId="43" xfId="4" quotePrefix="1" applyFont="1" applyFill="1" applyBorder="1" applyAlignment="1">
      <alignment horizontal="center" vertical="center"/>
    </xf>
    <xf numFmtId="0" fontId="65" fillId="16" borderId="82" xfId="4" applyFont="1" applyFill="1" applyBorder="1"/>
    <xf numFmtId="0" fontId="65" fillId="16" borderId="31" xfId="4" applyFont="1" applyFill="1" applyBorder="1"/>
    <xf numFmtId="0" fontId="26" fillId="3" borderId="43" xfId="4" quotePrefix="1" applyFont="1" applyFill="1" applyBorder="1" applyAlignment="1">
      <alignment horizontal="center" vertical="center"/>
    </xf>
    <xf numFmtId="0" fontId="26" fillId="3" borderId="43" xfId="4" quotePrefix="1" applyFont="1" applyFill="1" applyBorder="1" applyAlignment="1">
      <alignment horizontal="center" vertical="center" wrapText="1"/>
    </xf>
    <xf numFmtId="2" fontId="5" fillId="18" borderId="17" xfId="4" applyNumberFormat="1" applyFont="1" applyFill="1" applyBorder="1" applyAlignment="1">
      <alignment horizontal="center" vertical="center"/>
    </xf>
    <xf numFmtId="0" fontId="69" fillId="18" borderId="31" xfId="4" applyFont="1" applyFill="1" applyBorder="1"/>
    <xf numFmtId="2" fontId="5" fillId="22" borderId="17" xfId="4" applyNumberFormat="1" applyFont="1" applyFill="1" applyBorder="1" applyAlignment="1">
      <alignment horizontal="center" vertical="center"/>
    </xf>
    <xf numFmtId="0" fontId="69" fillId="22" borderId="31" xfId="4" applyFont="1" applyFill="1" applyBorder="1"/>
    <xf numFmtId="2" fontId="5" fillId="22" borderId="132" xfId="4" applyNumberFormat="1" applyFont="1" applyFill="1" applyBorder="1" applyAlignment="1">
      <alignment horizontal="center" vertical="center"/>
    </xf>
    <xf numFmtId="0" fontId="69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5" fillId="15" borderId="17" xfId="4" applyNumberFormat="1" applyFont="1" applyFill="1" applyBorder="1" applyAlignment="1">
      <alignment horizontal="center" vertical="center"/>
    </xf>
    <xf numFmtId="0" fontId="69" fillId="15" borderId="31" xfId="4" applyFont="1" applyFill="1" applyBorder="1"/>
    <xf numFmtId="0" fontId="5" fillId="22" borderId="133" xfId="4" applyFont="1" applyFill="1" applyBorder="1"/>
    <xf numFmtId="0" fontId="5" fillId="22" borderId="31" xfId="4" applyFont="1" applyFill="1" applyBorder="1"/>
    <xf numFmtId="2" fontId="5" fillId="15" borderId="132" xfId="4" applyNumberFormat="1" applyFont="1" applyFill="1" applyBorder="1" applyAlignment="1">
      <alignment horizontal="center" vertical="center"/>
    </xf>
    <xf numFmtId="0" fontId="69" fillId="15" borderId="133" xfId="4" applyFont="1" applyFill="1" applyBorder="1"/>
    <xf numFmtId="2" fontId="15" fillId="16" borderId="17" xfId="4" applyNumberFormat="1" applyFont="1" applyFill="1" applyBorder="1" applyAlignment="1">
      <alignment horizontal="center" vertical="center"/>
    </xf>
    <xf numFmtId="0" fontId="15" fillId="16" borderId="31" xfId="4" applyFont="1" applyFill="1" applyBorder="1"/>
    <xf numFmtId="2" fontId="96" fillId="22" borderId="132" xfId="4" applyNumberFormat="1" applyFont="1" applyFill="1" applyBorder="1" applyAlignment="1">
      <alignment horizontal="center" vertical="center"/>
    </xf>
    <xf numFmtId="0" fontId="96" fillId="22" borderId="133" xfId="4" applyFont="1" applyFill="1" applyBorder="1"/>
    <xf numFmtId="2" fontId="5" fillId="22" borderId="133" xfId="4" applyNumberFormat="1" applyFont="1" applyFill="1" applyBorder="1" applyAlignment="1">
      <alignment horizontal="center" vertical="center"/>
    </xf>
    <xf numFmtId="2" fontId="13" fillId="22" borderId="17" xfId="4" applyNumberFormat="1" applyFont="1" applyFill="1" applyBorder="1" applyAlignment="1">
      <alignment horizontal="center" vertical="center"/>
    </xf>
    <xf numFmtId="0" fontId="13" fillId="22" borderId="31" xfId="4" applyFont="1" applyFill="1" applyBorder="1"/>
    <xf numFmtId="2" fontId="4" fillId="16" borderId="132" xfId="4" applyNumberFormat="1" applyFont="1" applyFill="1" applyBorder="1" applyAlignment="1">
      <alignment horizontal="center" vertical="center"/>
    </xf>
    <xf numFmtId="0" fontId="9" fillId="16" borderId="133" xfId="4" applyFont="1" applyFill="1" applyBorder="1"/>
    <xf numFmtId="2" fontId="79" fillId="16" borderId="132" xfId="4" applyNumberFormat="1" applyFont="1" applyFill="1" applyBorder="1" applyAlignment="1">
      <alignment horizontal="center" vertical="center"/>
    </xf>
    <xf numFmtId="0" fontId="79" fillId="16" borderId="133" xfId="4" applyFont="1" applyFill="1" applyBorder="1"/>
    <xf numFmtId="2" fontId="13" fillId="15" borderId="132" xfId="4" applyNumberFormat="1" applyFont="1" applyFill="1" applyBorder="1" applyAlignment="1">
      <alignment horizontal="center" vertical="center"/>
    </xf>
    <xf numFmtId="2" fontId="13" fillId="15" borderId="133" xfId="4" applyNumberFormat="1" applyFont="1" applyFill="1" applyBorder="1" applyAlignment="1">
      <alignment horizontal="center" vertical="center"/>
    </xf>
    <xf numFmtId="2" fontId="5" fillId="16" borderId="17" xfId="4" applyNumberFormat="1" applyFont="1" applyFill="1" applyBorder="1" applyAlignment="1">
      <alignment horizontal="center" vertical="center"/>
    </xf>
    <xf numFmtId="0" fontId="69" fillId="16" borderId="31" xfId="4" applyFont="1" applyFill="1" applyBorder="1"/>
    <xf numFmtId="2" fontId="79" fillId="16" borderId="17" xfId="4" applyNumberFormat="1" applyFont="1" applyFill="1" applyBorder="1" applyAlignment="1">
      <alignment horizontal="center" vertical="center"/>
    </xf>
    <xf numFmtId="0" fontId="79" fillId="16" borderId="31" xfId="4" applyFont="1" applyFill="1" applyBorder="1"/>
    <xf numFmtId="2" fontId="7" fillId="15" borderId="132" xfId="4" applyNumberFormat="1" applyFont="1" applyFill="1" applyBorder="1" applyAlignment="1">
      <alignment horizontal="center" vertical="center"/>
    </xf>
    <xf numFmtId="2" fontId="7" fillId="15" borderId="133" xfId="4" applyNumberFormat="1" applyFont="1" applyFill="1" applyBorder="1" applyAlignment="1">
      <alignment horizontal="center" vertical="center"/>
    </xf>
    <xf numFmtId="2" fontId="96" fillId="22" borderId="17" xfId="4" applyNumberFormat="1" applyFont="1" applyFill="1" applyBorder="1" applyAlignment="1">
      <alignment horizontal="center" vertical="center"/>
    </xf>
    <xf numFmtId="0" fontId="96" fillId="22" borderId="31" xfId="4" applyFont="1" applyFill="1" applyBorder="1"/>
    <xf numFmtId="2" fontId="34" fillId="16" borderId="132" xfId="4" applyNumberFormat="1" applyFont="1" applyFill="1" applyBorder="1" applyAlignment="1">
      <alignment horizontal="center" vertical="center"/>
    </xf>
    <xf numFmtId="0" fontId="34" fillId="16" borderId="133" xfId="4" applyFont="1" applyFill="1" applyBorder="1"/>
    <xf numFmtId="2" fontId="34" fillId="16" borderId="17" xfId="4" applyNumberFormat="1" applyFont="1" applyFill="1" applyBorder="1" applyAlignment="1">
      <alignment horizontal="center" vertical="center"/>
    </xf>
    <xf numFmtId="0" fontId="34" fillId="16" borderId="31" xfId="4" applyFont="1" applyFill="1" applyBorder="1"/>
    <xf numFmtId="2" fontId="7" fillId="22" borderId="132" xfId="4" applyNumberFormat="1" applyFont="1" applyFill="1" applyBorder="1" applyAlignment="1">
      <alignment horizontal="center" vertical="center"/>
    </xf>
    <xf numFmtId="0" fontId="99" fillId="22" borderId="133" xfId="4" applyFont="1" applyFill="1" applyBorder="1"/>
    <xf numFmtId="0" fontId="7" fillId="22" borderId="133" xfId="4" applyFont="1" applyFill="1" applyBorder="1"/>
    <xf numFmtId="0" fontId="13" fillId="18" borderId="70" xfId="4" applyFont="1" applyFill="1" applyAlignment="1">
      <alignment horizontal="center" vertical="center"/>
    </xf>
    <xf numFmtId="0" fontId="84" fillId="16" borderId="70" xfId="4" applyFont="1" applyFill="1" applyAlignment="1">
      <alignment horizontal="center" wrapText="1"/>
    </xf>
    <xf numFmtId="0" fontId="84" fillId="16" borderId="137" xfId="4" applyFont="1" applyFill="1" applyBorder="1" applyAlignment="1">
      <alignment horizontal="center" wrapText="1"/>
    </xf>
    <xf numFmtId="2" fontId="92" fillId="22" borderId="17" xfId="4" applyNumberFormat="1" applyFont="1" applyFill="1" applyBorder="1" applyAlignment="1">
      <alignment horizontal="center" vertical="center"/>
    </xf>
    <xf numFmtId="0" fontId="92" fillId="22" borderId="31" xfId="4" applyFont="1" applyFill="1" applyBorder="1"/>
    <xf numFmtId="2" fontId="85" fillId="22" borderId="17" xfId="4" applyNumberFormat="1" applyFont="1" applyFill="1" applyBorder="1" applyAlignment="1">
      <alignment horizontal="center" vertical="center"/>
    </xf>
    <xf numFmtId="0" fontId="85" fillId="22" borderId="31" xfId="4" applyFont="1" applyFill="1" applyBorder="1"/>
    <xf numFmtId="2" fontId="85" fillId="22" borderId="31" xfId="4" applyNumberFormat="1" applyFont="1" applyFill="1" applyBorder="1" applyAlignment="1">
      <alignment horizontal="center" vertical="center"/>
    </xf>
    <xf numFmtId="2" fontId="79" fillId="16" borderId="133" xfId="4" applyNumberFormat="1" applyFont="1" applyFill="1" applyBorder="1" applyAlignment="1">
      <alignment horizontal="center" vertical="center"/>
    </xf>
    <xf numFmtId="0" fontId="84" fillId="16" borderId="155" xfId="4" applyFont="1" applyFill="1" applyBorder="1" applyAlignment="1">
      <alignment horizontal="center" wrapText="1"/>
    </xf>
    <xf numFmtId="2" fontId="4" fillId="16" borderId="17" xfId="4" applyNumberFormat="1" applyFont="1" applyFill="1" applyBorder="1" applyAlignment="1">
      <alignment horizontal="center" vertical="center"/>
    </xf>
    <xf numFmtId="0" fontId="9" fillId="16" borderId="31" xfId="4" applyFont="1" applyFill="1" applyBorder="1"/>
    <xf numFmtId="2" fontId="5" fillId="0" borderId="132" xfId="4" applyNumberFormat="1" applyFont="1" applyBorder="1" applyAlignment="1">
      <alignment horizontal="center" vertical="center"/>
    </xf>
    <xf numFmtId="0" fontId="69" fillId="0" borderId="133" xfId="4" applyFont="1" applyBorder="1"/>
    <xf numFmtId="2" fontId="13" fillId="22" borderId="31" xfId="4" applyNumberFormat="1" applyFont="1" applyFill="1" applyBorder="1" applyAlignment="1">
      <alignment horizontal="center" vertical="center"/>
    </xf>
    <xf numFmtId="2" fontId="13" fillId="22" borderId="132" xfId="4" applyNumberFormat="1" applyFont="1" applyFill="1" applyBorder="1" applyAlignment="1">
      <alignment horizontal="center" vertical="center"/>
    </xf>
    <xf numFmtId="0" fontId="13" fillId="22" borderId="133" xfId="4" applyFont="1" applyFill="1" applyBorder="1"/>
    <xf numFmtId="2" fontId="7" fillId="15" borderId="17" xfId="4" applyNumberFormat="1" applyFont="1" applyFill="1" applyBorder="1" applyAlignment="1">
      <alignment horizontal="center" vertical="center"/>
    </xf>
    <xf numFmtId="0" fontId="7" fillId="15" borderId="31" xfId="4" applyFont="1" applyFill="1" applyBorder="1"/>
    <xf numFmtId="2" fontId="69" fillId="22" borderId="17" xfId="4" applyNumberFormat="1" applyFont="1" applyFill="1" applyBorder="1" applyAlignment="1">
      <alignment horizontal="center" vertical="center"/>
    </xf>
    <xf numFmtId="2" fontId="7" fillId="22" borderId="17" xfId="4" applyNumberFormat="1" applyFont="1" applyFill="1" applyBorder="1" applyAlignment="1">
      <alignment horizontal="center" vertical="center"/>
    </xf>
    <xf numFmtId="2" fontId="7" fillId="22" borderId="31" xfId="4" applyNumberFormat="1" applyFont="1" applyFill="1" applyBorder="1" applyAlignment="1">
      <alignment horizontal="center" vertical="center"/>
    </xf>
    <xf numFmtId="2" fontId="5" fillId="18" borderId="31" xfId="4" applyNumberFormat="1" applyFont="1" applyFill="1" applyBorder="1" applyAlignment="1">
      <alignment horizontal="center" vertical="center"/>
    </xf>
    <xf numFmtId="2" fontId="5" fillId="0" borderId="17" xfId="4" applyNumberFormat="1" applyFont="1" applyBorder="1" applyAlignment="1">
      <alignment horizontal="center" vertical="center"/>
    </xf>
    <xf numFmtId="0" fontId="69" fillId="0" borderId="31" xfId="4" applyFont="1" applyBorder="1"/>
    <xf numFmtId="0" fontId="13" fillId="18" borderId="137" xfId="4" applyFont="1" applyFill="1" applyBorder="1" applyAlignment="1">
      <alignment horizontal="center" vertical="center"/>
    </xf>
    <xf numFmtId="0" fontId="84" fillId="18" borderId="70" xfId="4" applyFont="1" applyFill="1" applyAlignment="1">
      <alignment horizontal="center" wrapText="1"/>
    </xf>
    <xf numFmtId="2" fontId="67" fillId="22" borderId="17" xfId="4" applyNumberFormat="1" applyFont="1" applyFill="1" applyBorder="1" applyAlignment="1">
      <alignment horizontal="center" vertical="center"/>
    </xf>
    <xf numFmtId="2" fontId="67" fillId="18" borderId="17" xfId="4" applyNumberFormat="1" applyFont="1" applyFill="1" applyBorder="1" applyAlignment="1">
      <alignment horizontal="center" vertical="center"/>
    </xf>
    <xf numFmtId="0" fontId="67" fillId="18" borderId="31" xfId="4" applyFont="1" applyFill="1" applyBorder="1"/>
    <xf numFmtId="2" fontId="108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0" fontId="104" fillId="37" borderId="115" xfId="6" applyFont="1" applyFill="1" applyBorder="1" applyAlignment="1">
      <alignment horizontal="center" vertical="center"/>
    </xf>
    <xf numFmtId="0" fontId="104" fillId="36" borderId="115" xfId="6" applyFont="1" applyFill="1" applyBorder="1" applyAlignment="1">
      <alignment horizontal="center" vertical="center"/>
    </xf>
    <xf numFmtId="0" fontId="104" fillId="35" borderId="115" xfId="6" applyFont="1" applyFill="1" applyBorder="1" applyAlignment="1">
      <alignment horizontal="center" vertical="center"/>
    </xf>
    <xf numFmtId="0" fontId="104" fillId="33" borderId="115" xfId="6" applyFont="1" applyFill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90" fillId="0" borderId="123" xfId="0" applyFont="1" applyBorder="1" applyAlignment="1">
      <alignment horizontal="center" vertical="center"/>
    </xf>
  </cellXfs>
  <cellStyles count="11">
    <cellStyle name="Comma 2" xfId="2" xr:uid="{9E8A6905-8AB7-4432-A06B-B01A2C160339}"/>
    <cellStyle name="Comma 3" xfId="10" xr:uid="{554341F3-AA06-4E57-A6B8-1513E3E6EDDF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5" xfId="9" xr:uid="{E72E8119-C804-494B-873F-1C651DF77241}"/>
    <cellStyle name="Normal 63 2" xfId="8" xr:uid="{4829499B-2C3B-4399-8941-71D011D42125}"/>
    <cellStyle name="Normal 8 2" xfId="5" xr:uid="{E7E3E30D-FD0D-4BA9-83DF-717771C5D1DF}"/>
  </cellStyles>
  <dxfs count="1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22075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34908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32500" y="3315839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071" y="36851771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92769" y="3770923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9077" y="2047630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92769" y="11684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19385" y="1695938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0923" y="6936154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76462" y="6936154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84615" y="11684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35692" y="33664769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43846" y="33664769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27538" y="33664769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9077" y="3524738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60154" y="33664769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68308" y="33664769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419385" y="18717846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76462" y="11684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76462" y="33664769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9077" y="6936154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227538" y="18717846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84615" y="6936154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68308" y="6936154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68308" y="11684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92769" y="8518769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84615" y="33664769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60154" y="11684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2035692" y="10101385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2035692" y="20476308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2035692" y="1520092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419385" y="8518769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227538" y="32082154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2035692" y="22234769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301" t="s">
        <v>159</v>
      </c>
      <c r="C1" s="1302"/>
      <c r="D1" s="1302"/>
      <c r="E1" s="1302"/>
      <c r="F1" s="1302"/>
      <c r="G1" s="1302"/>
      <c r="H1" s="1302"/>
      <c r="I1" s="1302"/>
      <c r="J1" s="1302"/>
      <c r="K1" s="1302"/>
      <c r="L1" s="1302"/>
      <c r="M1" s="1302"/>
      <c r="N1" s="1302"/>
      <c r="O1" s="1302"/>
      <c r="P1" s="1302"/>
      <c r="Q1" s="1302"/>
      <c r="R1" s="1302"/>
      <c r="S1" s="1302"/>
      <c r="T1" s="1302"/>
      <c r="U1" s="1302"/>
      <c r="V1" s="1302"/>
      <c r="W1" s="1302"/>
      <c r="X1" s="1302"/>
      <c r="Y1" s="1303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304" t="s">
        <v>410</v>
      </c>
      <c r="C2" s="1305"/>
      <c r="D2" s="1305"/>
      <c r="E2" s="1305"/>
      <c r="F2" s="1305"/>
      <c r="G2" s="1305"/>
      <c r="H2" s="1305"/>
      <c r="I2" s="1305"/>
      <c r="J2" s="1305"/>
      <c r="K2" s="1305"/>
      <c r="L2" s="1305"/>
      <c r="M2" s="1305"/>
      <c r="N2" s="1305"/>
      <c r="O2" s="1305"/>
      <c r="P2" s="1305"/>
      <c r="Q2" s="1305"/>
      <c r="R2" s="1305"/>
      <c r="S2" s="1305"/>
      <c r="T2" s="1305"/>
      <c r="U2" s="1305"/>
      <c r="V2" s="1305"/>
      <c r="W2" s="1305"/>
      <c r="X2" s="1305"/>
      <c r="Y2" s="1306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326" t="s">
        <v>160</v>
      </c>
      <c r="C3" s="1308"/>
      <c r="D3" s="73">
        <f>H15</f>
        <v>0</v>
      </c>
      <c r="E3" s="74" t="s">
        <v>411</v>
      </c>
      <c r="F3" s="1307" t="s">
        <v>161</v>
      </c>
      <c r="G3" s="1308"/>
      <c r="H3" s="75"/>
      <c r="I3" s="76" t="s">
        <v>411</v>
      </c>
      <c r="J3" s="1309" t="s">
        <v>162</v>
      </c>
      <c r="K3" s="1308"/>
      <c r="L3" s="75"/>
      <c r="M3" s="74" t="s">
        <v>411</v>
      </c>
      <c r="N3" s="1307" t="s">
        <v>163</v>
      </c>
      <c r="O3" s="1308"/>
      <c r="P3" s="77"/>
      <c r="Q3" s="76">
        <v>113.292</v>
      </c>
      <c r="R3" s="1307" t="s">
        <v>164</v>
      </c>
      <c r="S3" s="1308"/>
      <c r="T3" s="73"/>
      <c r="U3" s="76">
        <v>113.292</v>
      </c>
      <c r="V3" s="78" t="s">
        <v>165</v>
      </c>
      <c r="W3" s="1310">
        <f>'Master Sheet'!H2</f>
        <v>46244</v>
      </c>
      <c r="X3" s="1311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337" t="s">
        <v>166</v>
      </c>
      <c r="C4" s="1327" t="s">
        <v>412</v>
      </c>
      <c r="D4" s="1327" t="s">
        <v>167</v>
      </c>
      <c r="E4" s="1327" t="s">
        <v>168</v>
      </c>
      <c r="F4" s="1329" t="s">
        <v>169</v>
      </c>
      <c r="G4" s="1330" t="s">
        <v>170</v>
      </c>
      <c r="H4" s="1312" t="s">
        <v>171</v>
      </c>
      <c r="I4" s="1315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316"/>
      <c r="C5" s="1316"/>
      <c r="D5" s="1316"/>
      <c r="E5" s="1316"/>
      <c r="F5" s="1316"/>
      <c r="G5" s="1316"/>
      <c r="H5" s="1313"/>
      <c r="I5" s="1316"/>
      <c r="J5" s="51" t="s">
        <v>172</v>
      </c>
      <c r="K5" s="88"/>
      <c r="L5" s="89"/>
      <c r="M5" s="90"/>
      <c r="N5" s="91"/>
      <c r="O5" s="89"/>
      <c r="P5" s="92" t="s">
        <v>173</v>
      </c>
      <c r="Q5" s="91"/>
      <c r="R5" s="54" t="s">
        <v>174</v>
      </c>
      <c r="S5" s="51"/>
      <c r="T5" s="13"/>
      <c r="U5" s="53"/>
      <c r="V5" s="1317"/>
      <c r="W5" s="1318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328"/>
      <c r="C6" s="1328"/>
      <c r="D6" s="1328"/>
      <c r="E6" s="1328"/>
      <c r="F6" s="1328"/>
      <c r="G6" s="1328"/>
      <c r="H6" s="1314"/>
      <c r="I6" s="1316"/>
      <c r="J6" s="56" t="s">
        <v>175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176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177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321" t="s">
        <v>178</v>
      </c>
      <c r="L7" s="93"/>
      <c r="M7" s="93" t="s">
        <v>179</v>
      </c>
      <c r="N7" s="98"/>
      <c r="O7" s="99"/>
      <c r="P7" s="93"/>
      <c r="Q7" s="98"/>
      <c r="R7" s="52" t="s">
        <v>180</v>
      </c>
      <c r="S7" s="58"/>
      <c r="T7" s="58"/>
      <c r="U7" s="53"/>
      <c r="V7" s="1322"/>
      <c r="W7" s="1318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181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182</v>
      </c>
      <c r="K8" s="1320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183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184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185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186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187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188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175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189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190</v>
      </c>
      <c r="K13" s="108" t="s">
        <v>191</v>
      </c>
      <c r="L13" s="57"/>
      <c r="M13" s="58"/>
      <c r="N13" s="53"/>
      <c r="O13" s="57"/>
      <c r="P13" s="93"/>
      <c r="Q13" s="98"/>
      <c r="R13" s="57"/>
      <c r="S13" s="58" t="s">
        <v>192</v>
      </c>
      <c r="T13" s="68"/>
      <c r="U13" s="109"/>
      <c r="V13" s="1323" t="s">
        <v>193</v>
      </c>
      <c r="W13" s="1318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194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195</v>
      </c>
      <c r="K14" s="112" t="s">
        <v>196</v>
      </c>
      <c r="L14" s="113"/>
      <c r="M14" s="114" t="s">
        <v>46</v>
      </c>
      <c r="N14" s="115"/>
      <c r="O14" s="93"/>
      <c r="P14" s="1324" t="s">
        <v>50</v>
      </c>
      <c r="Q14" s="115"/>
      <c r="R14" s="57" t="s">
        <v>67</v>
      </c>
      <c r="S14" s="58"/>
      <c r="T14" s="58"/>
      <c r="U14" s="53"/>
      <c r="V14" s="63" t="s">
        <v>197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331" t="s">
        <v>198</v>
      </c>
      <c r="C15" s="1332"/>
      <c r="D15" s="1332"/>
      <c r="E15" s="1332"/>
      <c r="F15" s="1332"/>
      <c r="G15" s="1271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325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199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413</v>
      </c>
    </row>
    <row r="19" spans="1:27" ht="15.6" x14ac:dyDescent="0.3">
      <c r="A19" s="138"/>
      <c r="B19" s="1338"/>
      <c r="C19" s="139">
        <v>411</v>
      </c>
      <c r="D19" s="1333"/>
      <c r="E19" s="140">
        <v>432</v>
      </c>
      <c r="F19" s="1333"/>
      <c r="G19" s="141">
        <v>408</v>
      </c>
      <c r="H19" s="1333"/>
      <c r="I19" s="142">
        <v>433</v>
      </c>
      <c r="J19" s="1333"/>
      <c r="K19" s="142">
        <v>409</v>
      </c>
      <c r="L19" s="1333"/>
      <c r="M19" s="142">
        <v>432</v>
      </c>
      <c r="N19" s="1333"/>
      <c r="O19" s="143">
        <v>375</v>
      </c>
      <c r="P19" s="1319"/>
      <c r="Q19" s="139">
        <v>414</v>
      </c>
      <c r="R19" s="1319"/>
      <c r="S19" s="139">
        <v>403</v>
      </c>
      <c r="T19" s="1319"/>
      <c r="U19" s="140">
        <v>406</v>
      </c>
      <c r="V19" s="1333"/>
      <c r="W19" s="142">
        <v>319</v>
      </c>
      <c r="X19" s="1333"/>
      <c r="Y19" s="144">
        <v>384</v>
      </c>
    </row>
    <row r="20" spans="1:27" ht="15.6" x14ac:dyDescent="0.3">
      <c r="A20" s="70"/>
      <c r="B20" s="1339"/>
      <c r="C20" s="135"/>
      <c r="D20" s="1334"/>
      <c r="E20" s="135"/>
      <c r="F20" s="1334"/>
      <c r="G20" s="145"/>
      <c r="H20" s="1334"/>
      <c r="I20" s="135"/>
      <c r="J20" s="1334"/>
      <c r="K20" s="135"/>
      <c r="L20" s="1334"/>
      <c r="M20" s="135"/>
      <c r="N20" s="1334"/>
      <c r="O20" s="135"/>
      <c r="P20" s="1320"/>
      <c r="Q20" s="135"/>
      <c r="R20" s="1320"/>
      <c r="S20" s="135"/>
      <c r="T20" s="1320"/>
      <c r="U20" s="135"/>
      <c r="V20" s="1334"/>
      <c r="W20" s="135"/>
      <c r="X20" s="1334"/>
      <c r="Y20" s="146"/>
    </row>
    <row r="21" spans="1:27" ht="15" customHeight="1" x14ac:dyDescent="0.3">
      <c r="A21" s="147"/>
      <c r="B21" s="148" t="s">
        <v>414</v>
      </c>
      <c r="C21" s="149"/>
      <c r="D21" s="148" t="s">
        <v>200</v>
      </c>
      <c r="E21" s="150"/>
      <c r="F21" s="148" t="s">
        <v>201</v>
      </c>
      <c r="G21" s="150"/>
      <c r="H21" s="148" t="s">
        <v>202</v>
      </c>
      <c r="I21" s="150"/>
      <c r="J21" s="148" t="s">
        <v>203</v>
      </c>
      <c r="K21" s="150"/>
      <c r="L21" s="148" t="s">
        <v>204</v>
      </c>
      <c r="M21" s="150"/>
      <c r="N21" s="148" t="s">
        <v>205</v>
      </c>
      <c r="O21" s="150"/>
      <c r="P21" s="148" t="s">
        <v>206</v>
      </c>
      <c r="Q21" s="150"/>
      <c r="R21" s="148" t="s">
        <v>415</v>
      </c>
      <c r="S21" s="150"/>
      <c r="T21" s="148" t="s">
        <v>207</v>
      </c>
      <c r="U21" s="151"/>
      <c r="V21" s="148" t="s">
        <v>208</v>
      </c>
      <c r="W21" s="150"/>
      <c r="X21" s="148" t="s">
        <v>209</v>
      </c>
      <c r="Y21" s="152"/>
    </row>
    <row r="22" spans="1:27" ht="15.6" x14ac:dyDescent="0.3">
      <c r="A22" s="70"/>
      <c r="B22" s="153" t="s">
        <v>210</v>
      </c>
      <c r="C22" s="149"/>
      <c r="D22" s="153" t="s">
        <v>211</v>
      </c>
      <c r="E22" s="153"/>
      <c r="F22" s="153" t="s">
        <v>212</v>
      </c>
      <c r="G22" s="153"/>
      <c r="H22" s="153" t="s">
        <v>211</v>
      </c>
      <c r="I22" s="153"/>
      <c r="J22" s="153" t="s">
        <v>213</v>
      </c>
      <c r="K22" s="153"/>
      <c r="L22" s="153" t="s">
        <v>213</v>
      </c>
      <c r="M22" s="153"/>
      <c r="N22" s="153" t="s">
        <v>213</v>
      </c>
      <c r="O22" s="153"/>
      <c r="P22" s="153" t="s">
        <v>211</v>
      </c>
      <c r="Q22" s="153"/>
      <c r="R22" s="153" t="s">
        <v>352</v>
      </c>
      <c r="S22" s="93"/>
      <c r="T22" s="153" t="s">
        <v>212</v>
      </c>
      <c r="U22" s="93"/>
      <c r="V22" s="153" t="s">
        <v>212</v>
      </c>
      <c r="W22" s="153"/>
      <c r="X22" s="153" t="s">
        <v>212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335"/>
      <c r="C25" s="140">
        <v>385</v>
      </c>
      <c r="D25" s="1336"/>
      <c r="E25" s="142">
        <v>409</v>
      </c>
      <c r="F25" s="1336"/>
      <c r="G25" s="154">
        <v>369</v>
      </c>
      <c r="H25" s="1336"/>
      <c r="I25" s="154">
        <v>350</v>
      </c>
      <c r="J25" s="1336"/>
      <c r="K25" s="139">
        <v>395</v>
      </c>
      <c r="L25" s="1333"/>
      <c r="M25" s="155">
        <v>412</v>
      </c>
      <c r="N25" s="1335"/>
      <c r="O25" s="156">
        <v>366</v>
      </c>
      <c r="P25" s="1335"/>
      <c r="Q25" s="157">
        <v>383</v>
      </c>
      <c r="R25" s="1336"/>
      <c r="S25" s="142">
        <v>300</v>
      </c>
      <c r="T25" s="1333"/>
      <c r="U25" s="158">
        <v>393</v>
      </c>
      <c r="V25" s="1336"/>
      <c r="W25" s="158">
        <v>414</v>
      </c>
      <c r="X25" s="1333"/>
      <c r="Y25" s="159">
        <v>412</v>
      </c>
    </row>
    <row r="26" spans="1:27" ht="15.6" x14ac:dyDescent="0.3">
      <c r="A26" s="70"/>
      <c r="B26" s="1320"/>
      <c r="C26" s="135"/>
      <c r="D26" s="1334"/>
      <c r="E26" s="135"/>
      <c r="F26" s="1334"/>
      <c r="G26" s="135"/>
      <c r="H26" s="1334"/>
      <c r="I26" s="93"/>
      <c r="J26" s="1334"/>
      <c r="K26" s="135"/>
      <c r="L26" s="1334"/>
      <c r="M26" s="145"/>
      <c r="N26" s="1320"/>
      <c r="O26" s="145"/>
      <c r="P26" s="1320"/>
      <c r="Q26" s="145"/>
      <c r="R26" s="1334"/>
      <c r="S26" s="145"/>
      <c r="T26" s="1334"/>
      <c r="U26" s="145"/>
      <c r="V26" s="1334"/>
      <c r="W26" s="145"/>
      <c r="X26" s="1334"/>
      <c r="Y26" s="137"/>
    </row>
    <row r="27" spans="1:27" ht="15.6" x14ac:dyDescent="0.3">
      <c r="A27" s="70"/>
      <c r="B27" s="148" t="s">
        <v>215</v>
      </c>
      <c r="C27" s="150"/>
      <c r="D27" s="148" t="s">
        <v>216</v>
      </c>
      <c r="E27" s="150"/>
      <c r="F27" s="148" t="s">
        <v>217</v>
      </c>
      <c r="G27" s="150"/>
      <c r="H27" s="148" t="s">
        <v>218</v>
      </c>
      <c r="I27" s="145"/>
      <c r="J27" s="148" t="s">
        <v>219</v>
      </c>
      <c r="K27" s="150"/>
      <c r="L27" s="148" t="s">
        <v>220</v>
      </c>
      <c r="M27" s="145"/>
      <c r="N27" s="148" t="s">
        <v>221</v>
      </c>
      <c r="O27" s="160"/>
      <c r="P27" s="148" t="s">
        <v>222</v>
      </c>
      <c r="Q27" s="161"/>
      <c r="R27" s="148" t="s">
        <v>416</v>
      </c>
      <c r="S27" s="161"/>
      <c r="T27" s="148" t="s">
        <v>223</v>
      </c>
      <c r="U27" s="161"/>
      <c r="V27" s="148" t="s">
        <v>224</v>
      </c>
      <c r="W27" s="161"/>
      <c r="X27" s="148" t="s">
        <v>225</v>
      </c>
      <c r="Y27" s="162"/>
    </row>
    <row r="28" spans="1:27" ht="15.6" x14ac:dyDescent="0.3">
      <c r="A28" s="70"/>
      <c r="B28" s="153" t="s">
        <v>212</v>
      </c>
      <c r="C28" s="153"/>
      <c r="D28" s="153" t="s">
        <v>211</v>
      </c>
      <c r="E28" s="153"/>
      <c r="F28" s="153" t="s">
        <v>212</v>
      </c>
      <c r="H28" s="153" t="s">
        <v>212</v>
      </c>
      <c r="I28" s="135"/>
      <c r="J28" s="153" t="s">
        <v>212</v>
      </c>
      <c r="K28" s="163"/>
      <c r="L28" s="153" t="s">
        <v>212</v>
      </c>
      <c r="M28" s="135"/>
      <c r="N28" s="153" t="s">
        <v>212</v>
      </c>
      <c r="O28" s="93"/>
      <c r="P28" s="153" t="s">
        <v>212</v>
      </c>
      <c r="Q28" s="163"/>
      <c r="R28" s="153" t="s">
        <v>226</v>
      </c>
      <c r="S28" s="151"/>
      <c r="T28" s="153" t="s">
        <v>212</v>
      </c>
      <c r="U28" s="151"/>
      <c r="V28" s="153" t="s">
        <v>212</v>
      </c>
      <c r="W28" s="151"/>
      <c r="X28" s="153" t="s">
        <v>213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319"/>
      <c r="C32" s="157">
        <v>377</v>
      </c>
      <c r="D32" s="1336"/>
      <c r="E32" s="158">
        <v>369</v>
      </c>
      <c r="F32" s="1336"/>
      <c r="G32" s="158">
        <v>369</v>
      </c>
      <c r="H32" s="1336"/>
      <c r="I32" s="158">
        <v>403</v>
      </c>
      <c r="J32" s="1336"/>
      <c r="K32" s="158">
        <v>374</v>
      </c>
      <c r="L32" s="1336"/>
      <c r="M32" s="158">
        <v>416</v>
      </c>
      <c r="N32" s="1336"/>
      <c r="O32" s="158">
        <v>424</v>
      </c>
      <c r="P32" s="1336"/>
      <c r="Q32" s="158">
        <v>401</v>
      </c>
      <c r="R32" s="1336"/>
      <c r="S32" s="142">
        <v>437</v>
      </c>
      <c r="T32" s="1336"/>
      <c r="U32" s="158">
        <v>369</v>
      </c>
      <c r="V32" s="1319"/>
      <c r="W32" s="169">
        <v>361</v>
      </c>
      <c r="X32" s="1319"/>
      <c r="Y32" s="170">
        <v>458</v>
      </c>
    </row>
    <row r="33" spans="1:27" ht="15.6" x14ac:dyDescent="0.3">
      <c r="A33" s="70"/>
      <c r="B33" s="1320"/>
      <c r="C33" s="145"/>
      <c r="D33" s="1334"/>
      <c r="E33" s="145"/>
      <c r="F33" s="1334"/>
      <c r="G33" s="145"/>
      <c r="H33" s="1334"/>
      <c r="I33" s="145"/>
      <c r="J33" s="1334"/>
      <c r="K33" s="135"/>
      <c r="L33" s="1334"/>
      <c r="M33" s="145"/>
      <c r="N33" s="1334"/>
      <c r="O33" s="145"/>
      <c r="P33" s="1334"/>
      <c r="Q33" s="135"/>
      <c r="R33" s="1334"/>
      <c r="S33" s="135"/>
      <c r="T33" s="1334"/>
      <c r="U33" s="135"/>
      <c r="V33" s="1320"/>
      <c r="W33" s="145"/>
      <c r="X33" s="1320"/>
      <c r="Y33" s="146"/>
    </row>
    <row r="34" spans="1:27" ht="15.6" x14ac:dyDescent="0.3">
      <c r="A34" s="70"/>
      <c r="B34" s="148" t="s">
        <v>417</v>
      </c>
      <c r="C34" s="161"/>
      <c r="D34" s="148" t="s">
        <v>227</v>
      </c>
      <c r="E34" s="161"/>
      <c r="F34" s="148" t="s">
        <v>228</v>
      </c>
      <c r="G34" s="161"/>
      <c r="H34" s="148" t="s">
        <v>229</v>
      </c>
      <c r="I34" s="161"/>
      <c r="J34" s="148" t="s">
        <v>230</v>
      </c>
      <c r="K34" s="151"/>
      <c r="L34" s="148" t="s">
        <v>231</v>
      </c>
      <c r="M34" s="161"/>
      <c r="N34" s="148" t="s">
        <v>232</v>
      </c>
      <c r="O34" s="161"/>
      <c r="P34" s="148" t="s">
        <v>233</v>
      </c>
      <c r="Q34" s="151"/>
      <c r="R34" s="148" t="s">
        <v>234</v>
      </c>
      <c r="S34" s="151"/>
      <c r="T34" s="148" t="s">
        <v>235</v>
      </c>
      <c r="U34" s="151"/>
      <c r="V34" s="148" t="s">
        <v>236</v>
      </c>
      <c r="W34" s="135"/>
      <c r="X34" s="148" t="s">
        <v>418</v>
      </c>
      <c r="Y34" s="146"/>
    </row>
    <row r="35" spans="1:27" ht="15.6" x14ac:dyDescent="0.3">
      <c r="A35" s="70"/>
      <c r="B35" s="153" t="s">
        <v>226</v>
      </c>
      <c r="C35" s="165"/>
      <c r="D35" s="149" t="s">
        <v>213</v>
      </c>
      <c r="E35" s="165"/>
      <c r="F35" s="153" t="s">
        <v>212</v>
      </c>
      <c r="G35" s="165"/>
      <c r="H35" s="153" t="s">
        <v>212</v>
      </c>
      <c r="I35" s="165"/>
      <c r="J35" s="153" t="s">
        <v>212</v>
      </c>
      <c r="K35" s="166"/>
      <c r="L35" s="153" t="s">
        <v>212</v>
      </c>
      <c r="M35" s="163"/>
      <c r="N35" s="153" t="s">
        <v>213</v>
      </c>
      <c r="O35" s="165"/>
      <c r="P35" s="153" t="s">
        <v>213</v>
      </c>
      <c r="Q35" s="166"/>
      <c r="R35" s="153" t="s">
        <v>213</v>
      </c>
      <c r="S35" s="166"/>
      <c r="T35" s="153" t="s">
        <v>213</v>
      </c>
      <c r="U35" s="166"/>
      <c r="V35" s="153" t="s">
        <v>212</v>
      </c>
      <c r="W35" s="171"/>
      <c r="X35" s="153" t="s">
        <v>237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419</v>
      </c>
      <c r="Y36" s="175" t="s">
        <v>420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319"/>
      <c r="C39" s="139">
        <v>355</v>
      </c>
      <c r="D39" s="1335"/>
      <c r="E39" s="139">
        <v>347</v>
      </c>
      <c r="F39" s="1319"/>
      <c r="G39" s="140">
        <v>430</v>
      </c>
      <c r="H39" s="1336"/>
      <c r="I39" s="158">
        <v>408</v>
      </c>
      <c r="J39" s="1336"/>
      <c r="K39" s="176">
        <v>402</v>
      </c>
      <c r="L39" s="1333"/>
      <c r="M39" s="142">
        <v>411</v>
      </c>
      <c r="N39" s="1333"/>
      <c r="O39" s="158">
        <v>397</v>
      </c>
      <c r="P39" s="1333"/>
      <c r="Q39" s="158">
        <v>404</v>
      </c>
      <c r="R39" s="1336"/>
      <c r="S39" s="169">
        <v>398</v>
      </c>
      <c r="T39" s="1336"/>
      <c r="U39" s="158">
        <v>430</v>
      </c>
      <c r="V39" s="1333"/>
      <c r="W39" s="158">
        <v>320</v>
      </c>
      <c r="X39" s="1336"/>
      <c r="Y39" s="144">
        <v>230</v>
      </c>
    </row>
    <row r="40" spans="1:27" ht="15.6" x14ac:dyDescent="0.3">
      <c r="A40" s="70"/>
      <c r="B40" s="1320"/>
      <c r="C40" s="145"/>
      <c r="D40" s="1320"/>
      <c r="E40" s="145"/>
      <c r="F40" s="1320"/>
      <c r="G40" s="145"/>
      <c r="H40" s="1334"/>
      <c r="I40" s="145"/>
      <c r="J40" s="1334"/>
      <c r="K40" s="145"/>
      <c r="L40" s="1334"/>
      <c r="M40" s="145"/>
      <c r="N40" s="1334"/>
      <c r="O40" s="145"/>
      <c r="P40" s="1334"/>
      <c r="Q40" s="135"/>
      <c r="R40" s="1334"/>
      <c r="S40" s="145"/>
      <c r="T40" s="1334"/>
      <c r="U40" s="135"/>
      <c r="V40" s="1334"/>
      <c r="W40" s="135"/>
      <c r="X40" s="1334"/>
      <c r="Y40" s="146"/>
    </row>
    <row r="41" spans="1:27" ht="15.6" x14ac:dyDescent="0.3">
      <c r="A41" s="70"/>
      <c r="B41" s="148" t="s">
        <v>238</v>
      </c>
      <c r="C41" s="171"/>
      <c r="D41" s="148" t="s">
        <v>239</v>
      </c>
      <c r="E41" s="177"/>
      <c r="F41" s="148" t="s">
        <v>240</v>
      </c>
      <c r="G41" s="39"/>
      <c r="H41" s="148" t="s">
        <v>241</v>
      </c>
      <c r="I41" s="39"/>
      <c r="J41" s="148" t="s">
        <v>421</v>
      </c>
      <c r="K41" s="39"/>
      <c r="L41" s="148" t="s">
        <v>242</v>
      </c>
      <c r="M41" s="39"/>
      <c r="N41" s="148" t="s">
        <v>243</v>
      </c>
      <c r="O41" s="39"/>
      <c r="P41" s="148" t="s">
        <v>244</v>
      </c>
      <c r="Q41" s="166"/>
      <c r="R41" s="148" t="s">
        <v>245</v>
      </c>
      <c r="S41" s="177"/>
      <c r="T41" s="148" t="s">
        <v>246</v>
      </c>
      <c r="U41" s="166"/>
      <c r="V41" s="148" t="s">
        <v>247</v>
      </c>
      <c r="W41" s="166"/>
      <c r="X41" s="148" t="s">
        <v>422</v>
      </c>
      <c r="Y41" s="172"/>
    </row>
    <row r="42" spans="1:27" ht="15.6" x14ac:dyDescent="0.3">
      <c r="A42" s="70"/>
      <c r="B42" s="164" t="s">
        <v>248</v>
      </c>
      <c r="C42" s="171"/>
      <c r="D42" s="164" t="s">
        <v>212</v>
      </c>
      <c r="E42" s="177"/>
      <c r="F42" s="164" t="s">
        <v>212</v>
      </c>
      <c r="G42" s="166"/>
      <c r="H42" s="164" t="s">
        <v>212</v>
      </c>
      <c r="I42" s="166"/>
      <c r="J42" s="164" t="s">
        <v>370</v>
      </c>
      <c r="K42" s="166"/>
      <c r="L42" s="164" t="s">
        <v>213</v>
      </c>
      <c r="M42" s="166"/>
      <c r="N42" s="164" t="s">
        <v>212</v>
      </c>
      <c r="O42" s="166"/>
      <c r="P42" s="164" t="s">
        <v>213</v>
      </c>
      <c r="Q42" s="166"/>
      <c r="R42" s="164" t="s">
        <v>213</v>
      </c>
      <c r="S42" s="166"/>
      <c r="T42" s="164" t="s">
        <v>212</v>
      </c>
      <c r="U42" s="166"/>
      <c r="V42" s="164" t="s">
        <v>213</v>
      </c>
      <c r="W42" s="166"/>
      <c r="X42" s="164" t="s">
        <v>249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319"/>
      <c r="C46" s="156">
        <v>339</v>
      </c>
      <c r="D46" s="1319"/>
      <c r="E46" s="156">
        <v>365</v>
      </c>
      <c r="F46" s="1319"/>
      <c r="G46" s="157">
        <v>409</v>
      </c>
      <c r="H46" s="1336"/>
      <c r="I46" s="158">
        <v>343</v>
      </c>
      <c r="J46" s="1336"/>
      <c r="K46" s="169">
        <v>352</v>
      </c>
      <c r="L46" s="1319"/>
      <c r="M46" s="156">
        <v>419</v>
      </c>
      <c r="N46" s="1319"/>
      <c r="O46" s="180">
        <v>410</v>
      </c>
      <c r="P46" s="1340"/>
      <c r="Q46" s="156">
        <v>413</v>
      </c>
      <c r="R46" s="1319"/>
      <c r="S46" s="157">
        <v>407</v>
      </c>
      <c r="T46" s="1340"/>
      <c r="U46" s="157">
        <v>352</v>
      </c>
      <c r="V46" s="1340"/>
      <c r="W46" s="158">
        <v>405</v>
      </c>
      <c r="X46" s="1340"/>
      <c r="Y46" s="181">
        <v>393</v>
      </c>
    </row>
    <row r="47" spans="1:27" ht="15.6" x14ac:dyDescent="0.3">
      <c r="A47" s="70"/>
      <c r="B47" s="1320"/>
      <c r="C47" s="135"/>
      <c r="D47" s="1320"/>
      <c r="E47" s="135"/>
      <c r="F47" s="1320"/>
      <c r="G47" s="135"/>
      <c r="H47" s="1334"/>
      <c r="I47" s="135"/>
      <c r="J47" s="1334"/>
      <c r="K47" s="145"/>
      <c r="L47" s="1320"/>
      <c r="M47" s="135"/>
      <c r="N47" s="1320"/>
      <c r="O47" s="145"/>
      <c r="P47" s="1328"/>
      <c r="Q47" s="145"/>
      <c r="R47" s="1320"/>
      <c r="S47" s="145"/>
      <c r="T47" s="1328"/>
      <c r="U47" s="145"/>
      <c r="V47" s="1328"/>
      <c r="W47" s="145"/>
      <c r="X47" s="1328"/>
      <c r="Y47" s="162"/>
    </row>
    <row r="48" spans="1:27" ht="15.6" x14ac:dyDescent="0.3">
      <c r="A48" s="70"/>
      <c r="B48" s="148" t="s">
        <v>423</v>
      </c>
      <c r="C48" s="151"/>
      <c r="D48" s="148" t="s">
        <v>250</v>
      </c>
      <c r="E48" s="151"/>
      <c r="F48" s="148" t="s">
        <v>251</v>
      </c>
      <c r="G48" s="151"/>
      <c r="H48" s="148" t="s">
        <v>252</v>
      </c>
      <c r="I48" s="151"/>
      <c r="J48" s="148" t="s">
        <v>424</v>
      </c>
      <c r="K48" s="135"/>
      <c r="L48" s="148" t="s">
        <v>253</v>
      </c>
      <c r="M48" s="151"/>
      <c r="N48" s="148" t="s">
        <v>254</v>
      </c>
      <c r="O48" s="135"/>
      <c r="P48" s="148" t="s">
        <v>255</v>
      </c>
      <c r="Q48" s="160"/>
      <c r="R48" s="148" t="s">
        <v>256</v>
      </c>
      <c r="S48" s="161"/>
      <c r="T48" s="148" t="s">
        <v>257</v>
      </c>
      <c r="U48" s="161"/>
      <c r="V48" s="148" t="s">
        <v>258</v>
      </c>
      <c r="W48" s="161"/>
      <c r="X48" s="148" t="s">
        <v>259</v>
      </c>
      <c r="Y48" s="162"/>
    </row>
    <row r="49" spans="1:25" ht="15.6" x14ac:dyDescent="0.3">
      <c r="A49" s="70"/>
      <c r="B49" s="164" t="s">
        <v>249</v>
      </c>
      <c r="C49" s="151"/>
      <c r="D49" s="153" t="s">
        <v>212</v>
      </c>
      <c r="E49" s="151"/>
      <c r="F49" s="153" t="s">
        <v>212</v>
      </c>
      <c r="G49" s="151"/>
      <c r="H49" s="153" t="s">
        <v>212</v>
      </c>
      <c r="I49" s="151"/>
      <c r="J49" s="153" t="s">
        <v>214</v>
      </c>
      <c r="K49" s="135"/>
      <c r="L49" s="153" t="s">
        <v>213</v>
      </c>
      <c r="N49" s="153" t="s">
        <v>213</v>
      </c>
      <c r="O49" s="135"/>
      <c r="P49" s="153" t="s">
        <v>212</v>
      </c>
      <c r="Q49" s="160"/>
      <c r="R49" s="153" t="s">
        <v>213</v>
      </c>
      <c r="S49" s="151"/>
      <c r="T49" s="153" t="s">
        <v>213</v>
      </c>
      <c r="U49" s="151"/>
      <c r="V49" s="153" t="s">
        <v>212</v>
      </c>
      <c r="W49" s="93"/>
      <c r="X49" s="153" t="s">
        <v>212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425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426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319"/>
      <c r="C53" s="156">
        <v>439</v>
      </c>
      <c r="D53" s="1340"/>
      <c r="E53" s="157">
        <v>398</v>
      </c>
      <c r="F53" s="1319"/>
      <c r="G53" s="158">
        <v>445</v>
      </c>
      <c r="H53" s="1319"/>
      <c r="I53" s="142">
        <v>355</v>
      </c>
      <c r="J53" s="1336"/>
      <c r="K53" s="158">
        <v>447</v>
      </c>
      <c r="L53" s="1336"/>
      <c r="M53" s="184">
        <v>215</v>
      </c>
      <c r="N53" s="1336"/>
      <c r="O53" s="169">
        <v>498</v>
      </c>
      <c r="P53" s="1319"/>
      <c r="Q53" s="169">
        <v>325</v>
      </c>
      <c r="R53" s="1336"/>
      <c r="S53" s="142">
        <v>388</v>
      </c>
      <c r="T53" s="1336"/>
      <c r="U53" s="158">
        <v>381</v>
      </c>
      <c r="V53" s="1319"/>
      <c r="W53" s="154">
        <v>349</v>
      </c>
      <c r="X53" s="1319"/>
      <c r="Y53" s="170">
        <v>373</v>
      </c>
    </row>
    <row r="54" spans="1:25" ht="15.6" x14ac:dyDescent="0.3">
      <c r="A54" s="70"/>
      <c r="B54" s="1320"/>
      <c r="C54" s="145"/>
      <c r="D54" s="1328"/>
      <c r="E54" s="145"/>
      <c r="F54" s="1320"/>
      <c r="G54" s="145"/>
      <c r="H54" s="1320"/>
      <c r="I54" s="135"/>
      <c r="J54" s="1334"/>
      <c r="K54" s="185"/>
      <c r="L54" s="1334"/>
      <c r="M54" s="135"/>
      <c r="N54" s="1334"/>
      <c r="O54" s="135"/>
      <c r="P54" s="1320"/>
      <c r="Q54" s="135"/>
      <c r="R54" s="1334"/>
      <c r="S54" s="135"/>
      <c r="T54" s="1334"/>
      <c r="U54" s="135"/>
      <c r="V54" s="1320"/>
      <c r="W54" s="145"/>
      <c r="X54" s="1320"/>
      <c r="Y54" s="146"/>
    </row>
    <row r="55" spans="1:25" ht="15.6" x14ac:dyDescent="0.3">
      <c r="A55" s="70"/>
      <c r="B55" s="148" t="s">
        <v>260</v>
      </c>
      <c r="C55" s="161"/>
      <c r="D55" s="148" t="s">
        <v>261</v>
      </c>
      <c r="E55" s="161"/>
      <c r="F55" s="148" t="s">
        <v>262</v>
      </c>
      <c r="G55" s="161"/>
      <c r="H55" s="148" t="s">
        <v>263</v>
      </c>
      <c r="I55" s="151"/>
      <c r="J55" s="148" t="s">
        <v>264</v>
      </c>
      <c r="K55" s="151"/>
      <c r="L55" s="148" t="s">
        <v>427</v>
      </c>
      <c r="M55" s="151"/>
      <c r="N55" s="148" t="s">
        <v>428</v>
      </c>
      <c r="O55" s="151"/>
      <c r="P55" s="148" t="s">
        <v>265</v>
      </c>
      <c r="Q55" s="151"/>
      <c r="R55" s="148" t="s">
        <v>266</v>
      </c>
      <c r="S55" s="151"/>
      <c r="T55" s="148" t="s">
        <v>267</v>
      </c>
      <c r="U55" s="151"/>
      <c r="V55" s="148" t="s">
        <v>429</v>
      </c>
      <c r="W55" s="135"/>
      <c r="X55" s="148" t="s">
        <v>268</v>
      </c>
      <c r="Y55" s="146"/>
    </row>
    <row r="56" spans="1:25" ht="15.6" x14ac:dyDescent="0.3">
      <c r="A56" s="70"/>
      <c r="B56" s="153" t="s">
        <v>212</v>
      </c>
      <c r="C56" s="161"/>
      <c r="D56" s="153" t="s">
        <v>211</v>
      </c>
      <c r="E56" s="93"/>
      <c r="F56" s="153" t="s">
        <v>212</v>
      </c>
      <c r="G56" s="93"/>
      <c r="H56" s="153" t="s">
        <v>212</v>
      </c>
      <c r="I56" s="93"/>
      <c r="J56" s="153" t="s">
        <v>212</v>
      </c>
      <c r="K56" s="151"/>
      <c r="L56" s="153" t="s">
        <v>269</v>
      </c>
      <c r="M56" s="151"/>
      <c r="N56" s="153" t="s">
        <v>270</v>
      </c>
      <c r="O56" s="151"/>
      <c r="P56" s="153" t="s">
        <v>211</v>
      </c>
      <c r="Q56" s="151"/>
      <c r="R56" s="153" t="s">
        <v>212</v>
      </c>
      <c r="S56" s="151"/>
      <c r="T56" s="153" t="s">
        <v>213</v>
      </c>
      <c r="U56" s="151"/>
      <c r="V56" s="153"/>
      <c r="W56" s="135"/>
      <c r="X56" s="153" t="s">
        <v>212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319"/>
      <c r="C60" s="189">
        <v>386</v>
      </c>
      <c r="D60" s="1319"/>
      <c r="E60" s="189">
        <v>429</v>
      </c>
      <c r="F60" s="1336"/>
      <c r="G60" s="176">
        <v>377</v>
      </c>
      <c r="H60" s="1336"/>
      <c r="I60" s="176">
        <v>405</v>
      </c>
      <c r="J60" s="1336"/>
      <c r="K60" s="176">
        <v>425</v>
      </c>
      <c r="L60" s="1336"/>
      <c r="M60" s="190">
        <v>344</v>
      </c>
      <c r="N60" s="1336"/>
      <c r="O60" s="190">
        <v>399</v>
      </c>
      <c r="P60" s="1336"/>
      <c r="Q60" s="176">
        <v>439</v>
      </c>
      <c r="R60" s="1336"/>
      <c r="S60" s="191">
        <v>403</v>
      </c>
      <c r="T60" s="1336"/>
      <c r="U60" s="176">
        <v>480</v>
      </c>
      <c r="V60" s="1336"/>
      <c r="W60" s="176">
        <v>535</v>
      </c>
      <c r="X60" s="1336"/>
      <c r="Y60" s="159">
        <v>389</v>
      </c>
    </row>
    <row r="61" spans="1:25" ht="15.6" x14ac:dyDescent="0.3">
      <c r="A61" s="70"/>
      <c r="B61" s="1320"/>
      <c r="C61" s="145"/>
      <c r="D61" s="1320"/>
      <c r="E61" s="145"/>
      <c r="F61" s="1334"/>
      <c r="G61" s="145"/>
      <c r="H61" s="1334"/>
      <c r="I61" s="145"/>
      <c r="J61" s="1334"/>
      <c r="K61" s="145"/>
      <c r="L61" s="1334"/>
      <c r="M61" s="145"/>
      <c r="N61" s="1334"/>
      <c r="O61" s="145"/>
      <c r="P61" s="1334"/>
      <c r="Q61" s="145"/>
      <c r="R61" s="1334"/>
      <c r="S61" s="145"/>
      <c r="T61" s="1334"/>
      <c r="U61" s="133"/>
      <c r="V61" s="1334"/>
      <c r="W61" s="133"/>
      <c r="X61" s="1334"/>
      <c r="Y61" s="146"/>
    </row>
    <row r="62" spans="1:25" ht="15.6" x14ac:dyDescent="0.3">
      <c r="A62" s="70"/>
      <c r="B62" s="148" t="s">
        <v>271</v>
      </c>
      <c r="C62" s="135"/>
      <c r="D62" s="148" t="s">
        <v>272</v>
      </c>
      <c r="E62" s="160"/>
      <c r="F62" s="148" t="s">
        <v>273</v>
      </c>
      <c r="G62" s="161"/>
      <c r="H62" s="148" t="s">
        <v>274</v>
      </c>
      <c r="I62" s="161"/>
      <c r="J62" s="148" t="s">
        <v>430</v>
      </c>
      <c r="K62" s="161"/>
      <c r="L62" s="148" t="s">
        <v>275</v>
      </c>
      <c r="M62" s="161"/>
      <c r="N62" s="148" t="s">
        <v>276</v>
      </c>
      <c r="O62" s="161"/>
      <c r="P62" s="148" t="s">
        <v>277</v>
      </c>
      <c r="Q62" s="161"/>
      <c r="R62" s="148" t="s">
        <v>278</v>
      </c>
      <c r="S62" s="160"/>
      <c r="T62" s="148" t="s">
        <v>279</v>
      </c>
      <c r="U62" s="151"/>
      <c r="V62" s="148" t="s">
        <v>280</v>
      </c>
      <c r="W62" s="151"/>
      <c r="X62" s="148" t="s">
        <v>281</v>
      </c>
      <c r="Y62" s="146"/>
    </row>
    <row r="63" spans="1:25" ht="15.6" x14ac:dyDescent="0.3">
      <c r="A63" s="70"/>
      <c r="B63" s="153" t="s">
        <v>212</v>
      </c>
      <c r="C63" s="135"/>
      <c r="D63" s="153" t="s">
        <v>212</v>
      </c>
      <c r="E63" s="160"/>
      <c r="F63" s="153" t="s">
        <v>211</v>
      </c>
      <c r="G63" s="151"/>
      <c r="H63" s="153" t="s">
        <v>212</v>
      </c>
      <c r="I63" s="151"/>
      <c r="J63" s="153" t="s">
        <v>237</v>
      </c>
      <c r="K63" s="151"/>
      <c r="L63" s="153" t="s">
        <v>212</v>
      </c>
      <c r="M63" s="151"/>
      <c r="N63" s="153" t="s">
        <v>212</v>
      </c>
      <c r="O63" s="151"/>
      <c r="P63" s="153" t="s">
        <v>211</v>
      </c>
      <c r="Q63" s="151"/>
      <c r="R63" s="153" t="s">
        <v>212</v>
      </c>
      <c r="S63" s="151"/>
      <c r="T63" s="153" t="s">
        <v>282</v>
      </c>
      <c r="U63" s="151"/>
      <c r="V63" s="153" t="s">
        <v>283</v>
      </c>
      <c r="W63" s="151"/>
      <c r="X63" s="153" t="s">
        <v>283</v>
      </c>
      <c r="Y63" s="146"/>
    </row>
    <row r="64" spans="1:25" ht="15.6" x14ac:dyDescent="0.3">
      <c r="A64" s="70"/>
      <c r="B64" s="178"/>
      <c r="C64" s="178"/>
      <c r="D64" s="149"/>
      <c r="E64" s="175" t="s">
        <v>431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319"/>
      <c r="C67" s="156">
        <v>454</v>
      </c>
      <c r="D67" s="1341"/>
      <c r="E67" s="192">
        <v>247</v>
      </c>
      <c r="F67" s="1336"/>
      <c r="G67" s="158">
        <v>373</v>
      </c>
      <c r="H67" s="1336"/>
      <c r="I67" s="158">
        <v>401</v>
      </c>
      <c r="J67" s="1342"/>
      <c r="K67" s="169">
        <v>388</v>
      </c>
      <c r="L67" s="1343"/>
      <c r="M67" s="156">
        <v>328</v>
      </c>
      <c r="N67" s="1343"/>
      <c r="O67" s="193">
        <v>330</v>
      </c>
      <c r="P67" s="1336"/>
      <c r="Q67" s="156">
        <v>331</v>
      </c>
      <c r="R67" s="1336"/>
      <c r="S67" s="158">
        <v>361</v>
      </c>
      <c r="T67" s="1336"/>
      <c r="U67" s="158">
        <v>306</v>
      </c>
      <c r="V67" s="1336"/>
      <c r="W67" s="158">
        <v>336</v>
      </c>
      <c r="X67" s="1336"/>
      <c r="Y67" s="194">
        <v>278</v>
      </c>
    </row>
    <row r="68" spans="1:25" ht="15.6" x14ac:dyDescent="0.3">
      <c r="A68" s="70"/>
      <c r="B68" s="1320"/>
      <c r="C68" s="135"/>
      <c r="D68" s="1320"/>
      <c r="E68" s="135"/>
      <c r="F68" s="1334"/>
      <c r="G68" s="135"/>
      <c r="H68" s="1334"/>
      <c r="I68" s="135"/>
      <c r="J68" s="1334"/>
      <c r="K68" s="145"/>
      <c r="L68" s="1320"/>
      <c r="M68" s="135"/>
      <c r="N68" s="1320"/>
      <c r="O68" s="145"/>
      <c r="P68" s="1334"/>
      <c r="Q68" s="145"/>
      <c r="R68" s="1334"/>
      <c r="S68" s="145"/>
      <c r="T68" s="1334"/>
      <c r="U68" s="145"/>
      <c r="V68" s="1334"/>
      <c r="W68" s="145"/>
      <c r="X68" s="1334"/>
      <c r="Y68" s="162"/>
    </row>
    <row r="69" spans="1:25" ht="15.6" x14ac:dyDescent="0.3">
      <c r="A69" s="70"/>
      <c r="B69" s="148" t="s">
        <v>284</v>
      </c>
      <c r="C69" s="151"/>
      <c r="D69" s="148" t="s">
        <v>433</v>
      </c>
      <c r="E69" s="151"/>
      <c r="F69" s="148" t="s">
        <v>434</v>
      </c>
      <c r="G69" s="151"/>
      <c r="H69" s="148" t="s">
        <v>285</v>
      </c>
      <c r="I69" s="151"/>
      <c r="J69" s="148" t="s">
        <v>286</v>
      </c>
      <c r="K69" s="135"/>
      <c r="L69" s="148" t="s">
        <v>287</v>
      </c>
      <c r="M69" s="151"/>
      <c r="N69" s="148" t="s">
        <v>288</v>
      </c>
      <c r="O69" s="135"/>
      <c r="P69" s="148" t="s">
        <v>435</v>
      </c>
      <c r="Q69" s="160"/>
      <c r="R69" s="148" t="s">
        <v>289</v>
      </c>
      <c r="S69" s="161"/>
      <c r="T69" s="148" t="s">
        <v>290</v>
      </c>
      <c r="U69" s="161"/>
      <c r="V69" s="148" t="s">
        <v>291</v>
      </c>
      <c r="W69" s="161"/>
      <c r="X69" s="148" t="s">
        <v>436</v>
      </c>
      <c r="Y69" s="162"/>
    </row>
    <row r="70" spans="1:25" ht="15.6" x14ac:dyDescent="0.3">
      <c r="A70" s="70"/>
      <c r="B70" s="153" t="s">
        <v>213</v>
      </c>
      <c r="C70" s="166"/>
      <c r="D70" s="153" t="s">
        <v>210</v>
      </c>
      <c r="E70" s="166"/>
      <c r="F70" s="153" t="s">
        <v>214</v>
      </c>
      <c r="G70" s="166"/>
      <c r="H70" s="153" t="s">
        <v>212</v>
      </c>
      <c r="I70" s="166"/>
      <c r="J70" s="153" t="s">
        <v>248</v>
      </c>
      <c r="K70" s="171"/>
      <c r="L70" s="153" t="s">
        <v>212</v>
      </c>
      <c r="M70" s="166"/>
      <c r="N70" s="153" t="s">
        <v>212</v>
      </c>
      <c r="O70" s="171"/>
      <c r="P70" s="153" t="s">
        <v>226</v>
      </c>
      <c r="Q70" s="177"/>
      <c r="R70" s="153" t="s">
        <v>212</v>
      </c>
      <c r="S70" s="165"/>
      <c r="T70" s="153" t="s">
        <v>212</v>
      </c>
      <c r="U70" s="165"/>
      <c r="V70" s="153" t="s">
        <v>212</v>
      </c>
      <c r="W70" s="165"/>
      <c r="X70" s="153" t="s">
        <v>212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319"/>
      <c r="C74" s="156">
        <v>439</v>
      </c>
      <c r="D74" s="1344"/>
      <c r="E74" s="157">
        <v>401</v>
      </c>
      <c r="F74" s="1344"/>
      <c r="G74" s="158">
        <v>350</v>
      </c>
      <c r="H74" s="1336"/>
      <c r="I74" s="158">
        <v>335</v>
      </c>
      <c r="J74" s="1336"/>
      <c r="K74" s="158">
        <v>314</v>
      </c>
      <c r="L74" s="1336"/>
      <c r="M74" s="158">
        <v>421</v>
      </c>
      <c r="N74" s="1336"/>
      <c r="O74" s="158">
        <v>466</v>
      </c>
      <c r="P74" s="1336"/>
      <c r="Q74" s="158">
        <v>352</v>
      </c>
      <c r="R74" s="1336"/>
      <c r="S74" s="158">
        <v>403</v>
      </c>
      <c r="T74" s="1336"/>
      <c r="U74" s="158">
        <v>373</v>
      </c>
      <c r="V74" s="1336"/>
      <c r="W74" s="169">
        <v>362</v>
      </c>
      <c r="X74" s="1336"/>
      <c r="Y74" s="170">
        <v>351</v>
      </c>
    </row>
    <row r="75" spans="1:25" ht="15.6" x14ac:dyDescent="0.3">
      <c r="A75" s="70"/>
      <c r="B75" s="1320"/>
      <c r="C75" s="145"/>
      <c r="D75" s="1345"/>
      <c r="E75" s="145"/>
      <c r="F75" s="1345"/>
      <c r="G75" s="145"/>
      <c r="H75" s="1334"/>
      <c r="I75" s="135"/>
      <c r="J75" s="1334"/>
      <c r="K75" s="135"/>
      <c r="L75" s="1334"/>
      <c r="M75" s="135"/>
      <c r="N75" s="1334"/>
      <c r="O75" s="135"/>
      <c r="P75" s="1334"/>
      <c r="Q75" s="135"/>
      <c r="R75" s="1334"/>
      <c r="S75" s="135"/>
      <c r="T75" s="1334"/>
      <c r="U75" s="135"/>
      <c r="V75" s="1334"/>
      <c r="W75" s="145"/>
      <c r="X75" s="1334"/>
      <c r="Y75" s="146"/>
    </row>
    <row r="76" spans="1:25" ht="15.6" x14ac:dyDescent="0.3">
      <c r="A76" s="70"/>
      <c r="B76" s="148" t="s">
        <v>437</v>
      </c>
      <c r="C76" s="161"/>
      <c r="D76" s="148" t="s">
        <v>438</v>
      </c>
      <c r="E76" s="161"/>
      <c r="F76" s="148" t="s">
        <v>293</v>
      </c>
      <c r="G76" s="160"/>
      <c r="H76" s="148" t="s">
        <v>294</v>
      </c>
      <c r="I76" s="151"/>
      <c r="J76" s="148" t="s">
        <v>295</v>
      </c>
      <c r="K76" s="151"/>
      <c r="L76" s="148" t="s">
        <v>439</v>
      </c>
      <c r="M76" s="151"/>
      <c r="N76" s="148" t="s">
        <v>296</v>
      </c>
      <c r="O76" s="151"/>
      <c r="P76" s="148" t="s">
        <v>440</v>
      </c>
      <c r="Q76" s="151"/>
      <c r="R76" s="148" t="s">
        <v>297</v>
      </c>
      <c r="S76" s="151"/>
      <c r="T76" s="148" t="s">
        <v>298</v>
      </c>
      <c r="U76" s="151"/>
      <c r="V76" s="148" t="s">
        <v>299</v>
      </c>
      <c r="W76" s="135"/>
      <c r="X76" s="148" t="s">
        <v>300</v>
      </c>
      <c r="Y76" s="146"/>
    </row>
    <row r="77" spans="1:25" ht="15.6" x14ac:dyDescent="0.3">
      <c r="A77" s="70"/>
      <c r="B77" s="153" t="s">
        <v>226</v>
      </c>
      <c r="C77" s="165"/>
      <c r="D77" s="153" t="s">
        <v>301</v>
      </c>
      <c r="E77" s="166"/>
      <c r="F77" s="153" t="s">
        <v>212</v>
      </c>
      <c r="G77" s="166"/>
      <c r="H77" s="153" t="s">
        <v>213</v>
      </c>
      <c r="I77" s="166"/>
      <c r="J77" s="153" t="s">
        <v>212</v>
      </c>
      <c r="K77" s="166"/>
      <c r="L77" s="153" t="s">
        <v>352</v>
      </c>
      <c r="M77" s="165"/>
      <c r="N77" s="153" t="s">
        <v>282</v>
      </c>
      <c r="O77" s="166"/>
      <c r="P77" s="153" t="s">
        <v>319</v>
      </c>
      <c r="Q77" s="166"/>
      <c r="R77" s="153" t="s">
        <v>248</v>
      </c>
      <c r="S77" s="166"/>
      <c r="T77" s="153" t="s">
        <v>212</v>
      </c>
      <c r="U77" s="166"/>
      <c r="V77" s="153" t="s">
        <v>212</v>
      </c>
      <c r="W77" s="171"/>
      <c r="X77" s="153" t="s">
        <v>213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425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441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319"/>
      <c r="C81" s="156">
        <v>361</v>
      </c>
      <c r="D81" s="1344"/>
      <c r="E81" s="156">
        <v>375</v>
      </c>
      <c r="F81" s="1344"/>
      <c r="G81" s="169">
        <v>425</v>
      </c>
      <c r="H81" s="1319"/>
      <c r="I81" s="157">
        <v>429</v>
      </c>
      <c r="J81" s="1336"/>
      <c r="K81" s="158">
        <v>350</v>
      </c>
      <c r="L81" s="1336"/>
      <c r="M81" s="158">
        <v>483</v>
      </c>
      <c r="N81" s="1336"/>
      <c r="O81" s="158">
        <v>453</v>
      </c>
      <c r="P81" s="1336"/>
      <c r="Q81" s="158">
        <v>388</v>
      </c>
      <c r="R81" s="1336"/>
      <c r="S81" s="169">
        <v>317</v>
      </c>
      <c r="T81" s="1336"/>
      <c r="U81" s="158">
        <v>324</v>
      </c>
      <c r="V81" s="1342"/>
      <c r="W81" s="158">
        <v>485</v>
      </c>
      <c r="X81" s="1336"/>
      <c r="Y81" s="159">
        <v>249</v>
      </c>
    </row>
    <row r="82" spans="1:25" ht="15.6" x14ac:dyDescent="0.3">
      <c r="A82" s="70"/>
      <c r="B82" s="1320"/>
      <c r="C82" s="145"/>
      <c r="D82" s="1345"/>
      <c r="E82" s="145"/>
      <c r="F82" s="1345"/>
      <c r="G82" s="145"/>
      <c r="H82" s="1320"/>
      <c r="I82" s="145"/>
      <c r="J82" s="1334"/>
      <c r="K82" s="145"/>
      <c r="L82" s="1334"/>
      <c r="M82" s="145"/>
      <c r="N82" s="1334"/>
      <c r="O82" s="145"/>
      <c r="P82" s="1334"/>
      <c r="Q82" s="145"/>
      <c r="R82" s="1334"/>
      <c r="S82" s="145"/>
      <c r="T82" s="1334"/>
      <c r="U82" s="135"/>
      <c r="V82" s="1334"/>
      <c r="W82" s="135"/>
      <c r="X82" s="1334"/>
      <c r="Y82" s="146"/>
    </row>
    <row r="83" spans="1:25" ht="15.6" x14ac:dyDescent="0.3">
      <c r="A83" s="70"/>
      <c r="B83" s="148" t="s">
        <v>442</v>
      </c>
      <c r="C83" s="171"/>
      <c r="D83" s="148" t="s">
        <v>302</v>
      </c>
      <c r="E83" s="177"/>
      <c r="F83" s="148" t="s">
        <v>303</v>
      </c>
      <c r="G83" s="39"/>
      <c r="H83" s="148" t="s">
        <v>443</v>
      </c>
      <c r="I83" s="39"/>
      <c r="J83" s="148" t="s">
        <v>304</v>
      </c>
      <c r="K83" s="39"/>
      <c r="L83" s="148" t="s">
        <v>305</v>
      </c>
      <c r="M83" s="39"/>
      <c r="N83" s="148" t="s">
        <v>444</v>
      </c>
      <c r="O83" s="39"/>
      <c r="P83" s="148" t="s">
        <v>306</v>
      </c>
      <c r="Q83" s="39"/>
      <c r="R83" s="148" t="s">
        <v>307</v>
      </c>
      <c r="S83" s="177"/>
      <c r="T83" s="148" t="s">
        <v>308</v>
      </c>
      <c r="U83" s="166"/>
      <c r="V83" s="148" t="s">
        <v>309</v>
      </c>
      <c r="W83" s="166"/>
      <c r="X83" s="148" t="s">
        <v>445</v>
      </c>
      <c r="Y83" s="172"/>
    </row>
    <row r="84" spans="1:25" ht="15.6" x14ac:dyDescent="0.3">
      <c r="A84" s="70"/>
      <c r="B84" s="153" t="s">
        <v>237</v>
      </c>
      <c r="C84" s="171"/>
      <c r="D84" s="153" t="s">
        <v>213</v>
      </c>
      <c r="E84" s="177"/>
      <c r="F84" s="153" t="s">
        <v>211</v>
      </c>
      <c r="G84" s="199"/>
      <c r="H84" s="153" t="s">
        <v>270</v>
      </c>
      <c r="I84" s="166"/>
      <c r="J84" s="153" t="s">
        <v>248</v>
      </c>
      <c r="K84" s="166"/>
      <c r="L84" s="153" t="s">
        <v>211</v>
      </c>
      <c r="M84" s="166"/>
      <c r="N84" s="153" t="s">
        <v>301</v>
      </c>
      <c r="O84" s="166"/>
      <c r="P84" s="153" t="s">
        <v>248</v>
      </c>
      <c r="Q84" s="166"/>
      <c r="R84" s="153" t="s">
        <v>212</v>
      </c>
      <c r="S84" s="166"/>
      <c r="T84" s="153" t="s">
        <v>212</v>
      </c>
      <c r="U84" s="166"/>
      <c r="V84" s="153" t="s">
        <v>213</v>
      </c>
      <c r="W84" s="166"/>
      <c r="X84" s="153" t="s">
        <v>310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446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447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448</v>
      </c>
      <c r="N86" s="93"/>
      <c r="O86" s="93"/>
      <c r="P86" s="93"/>
      <c r="Q86" s="93"/>
      <c r="R86" s="93"/>
      <c r="S86" s="93"/>
      <c r="T86" s="93"/>
      <c r="V86" s="93"/>
      <c r="W86" s="175" t="s">
        <v>449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319"/>
      <c r="C88" s="156">
        <v>429</v>
      </c>
      <c r="D88" s="1342"/>
      <c r="E88" s="157">
        <v>399</v>
      </c>
      <c r="F88" s="1336"/>
      <c r="G88" s="158">
        <v>435</v>
      </c>
      <c r="H88" s="1336"/>
      <c r="I88" s="158">
        <v>404</v>
      </c>
      <c r="J88" s="1319"/>
      <c r="K88" s="201">
        <v>374</v>
      </c>
      <c r="L88" s="1319"/>
      <c r="M88" s="192">
        <v>250</v>
      </c>
      <c r="N88" s="1336"/>
      <c r="O88" s="169">
        <v>398</v>
      </c>
      <c r="P88" s="1340"/>
      <c r="Q88" s="156">
        <v>364</v>
      </c>
      <c r="R88" s="1319"/>
      <c r="S88" s="158">
        <v>380</v>
      </c>
      <c r="T88" s="1336"/>
      <c r="U88" s="184">
        <v>459</v>
      </c>
      <c r="V88" s="1336"/>
      <c r="W88" s="158">
        <v>206</v>
      </c>
      <c r="X88" s="1336"/>
      <c r="Y88" s="194">
        <v>385</v>
      </c>
    </row>
    <row r="89" spans="1:25" ht="15.6" x14ac:dyDescent="0.3">
      <c r="A89" s="70"/>
      <c r="B89" s="1320"/>
      <c r="C89" s="135"/>
      <c r="D89" s="1334"/>
      <c r="E89" s="135"/>
      <c r="F89" s="1334"/>
      <c r="G89" s="135"/>
      <c r="H89" s="1334"/>
      <c r="I89" s="135"/>
      <c r="J89" s="1320"/>
      <c r="K89" s="145"/>
      <c r="L89" s="1320"/>
      <c r="M89" s="135"/>
      <c r="N89" s="1334"/>
      <c r="O89" s="145"/>
      <c r="P89" s="1328"/>
      <c r="Q89" s="145"/>
      <c r="R89" s="1320"/>
      <c r="S89" s="145"/>
      <c r="T89" s="1334"/>
      <c r="U89" s="145"/>
      <c r="V89" s="1334"/>
      <c r="W89" s="145"/>
      <c r="X89" s="1334"/>
      <c r="Y89" s="162"/>
    </row>
    <row r="90" spans="1:25" ht="15.6" x14ac:dyDescent="0.3">
      <c r="A90" s="70"/>
      <c r="B90" s="148" t="s">
        <v>450</v>
      </c>
      <c r="C90" s="166"/>
      <c r="D90" s="148" t="s">
        <v>312</v>
      </c>
      <c r="E90" s="166"/>
      <c r="F90" s="148" t="s">
        <v>451</v>
      </c>
      <c r="G90" s="166"/>
      <c r="H90" s="148" t="s">
        <v>313</v>
      </c>
      <c r="I90" s="166"/>
      <c r="J90" s="148" t="s">
        <v>314</v>
      </c>
      <c r="K90" s="171"/>
      <c r="L90" s="148" t="s">
        <v>452</v>
      </c>
      <c r="M90" s="166"/>
      <c r="N90" s="148" t="s">
        <v>453</v>
      </c>
      <c r="O90" s="171"/>
      <c r="P90" s="148" t="s">
        <v>315</v>
      </c>
      <c r="Q90" s="177"/>
      <c r="R90" s="148" t="s">
        <v>316</v>
      </c>
      <c r="S90" s="39"/>
      <c r="T90" s="148" t="s">
        <v>317</v>
      </c>
      <c r="U90" s="39"/>
      <c r="V90" s="148" t="s">
        <v>454</v>
      </c>
      <c r="W90" s="39"/>
      <c r="X90" s="148" t="s">
        <v>455</v>
      </c>
      <c r="Y90" s="202"/>
    </row>
    <row r="91" spans="1:25" ht="15.6" x14ac:dyDescent="0.3">
      <c r="A91" s="70"/>
      <c r="B91" s="153" t="s">
        <v>311</v>
      </c>
      <c r="C91" s="171"/>
      <c r="D91" s="153" t="s">
        <v>213</v>
      </c>
      <c r="E91" s="166"/>
      <c r="F91" s="153" t="s">
        <v>237</v>
      </c>
      <c r="G91" s="166"/>
      <c r="H91" s="153" t="s">
        <v>211</v>
      </c>
      <c r="I91" s="166"/>
      <c r="J91" s="153" t="s">
        <v>212</v>
      </c>
      <c r="K91" s="171"/>
      <c r="L91" s="153" t="s">
        <v>214</v>
      </c>
      <c r="M91" s="166"/>
      <c r="N91" s="153" t="s">
        <v>214</v>
      </c>
      <c r="O91" s="171"/>
      <c r="P91" s="153" t="s">
        <v>213</v>
      </c>
      <c r="Q91" s="177"/>
      <c r="R91" s="153" t="s">
        <v>212</v>
      </c>
      <c r="S91" s="166"/>
      <c r="T91" s="153" t="s">
        <v>212</v>
      </c>
      <c r="U91" s="166"/>
      <c r="V91" s="153" t="s">
        <v>269</v>
      </c>
      <c r="W91" s="166"/>
      <c r="X91" s="153" t="s">
        <v>319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350"/>
      <c r="C95" s="205">
        <v>372</v>
      </c>
      <c r="D95" s="1319"/>
      <c r="E95" s="206">
        <v>384</v>
      </c>
      <c r="F95" s="1336"/>
      <c r="G95" s="207">
        <v>400</v>
      </c>
      <c r="H95" s="1336"/>
      <c r="I95" s="208">
        <v>386</v>
      </c>
      <c r="J95" s="1336"/>
      <c r="K95" s="208">
        <v>398</v>
      </c>
      <c r="L95" s="1336"/>
      <c r="M95" s="158">
        <v>393</v>
      </c>
      <c r="N95" s="1336"/>
      <c r="O95" s="157">
        <v>387</v>
      </c>
      <c r="P95" s="1336"/>
      <c r="Q95" s="158">
        <v>378</v>
      </c>
      <c r="R95" s="1336"/>
      <c r="S95" s="158">
        <v>410</v>
      </c>
      <c r="T95" s="1336"/>
      <c r="U95" s="158">
        <v>368</v>
      </c>
      <c r="V95" s="1336"/>
      <c r="W95" s="169">
        <v>396</v>
      </c>
      <c r="X95" s="1336"/>
      <c r="Y95" s="209">
        <v>395</v>
      </c>
    </row>
    <row r="96" spans="1:25" ht="15.6" x14ac:dyDescent="0.3">
      <c r="A96" s="70"/>
      <c r="B96" s="1320"/>
      <c r="C96" s="210"/>
      <c r="D96" s="1320"/>
      <c r="E96" s="171"/>
      <c r="F96" s="1334"/>
      <c r="G96" s="210"/>
      <c r="H96" s="1334"/>
      <c r="I96" s="171"/>
      <c r="J96" s="1334"/>
      <c r="K96" s="171"/>
      <c r="L96" s="1334"/>
      <c r="M96" s="135"/>
      <c r="N96" s="1334"/>
      <c r="O96" s="135"/>
      <c r="P96" s="1334"/>
      <c r="Q96" s="135"/>
      <c r="R96" s="1334"/>
      <c r="S96" s="135"/>
      <c r="T96" s="1334"/>
      <c r="U96" s="135"/>
      <c r="V96" s="1334"/>
      <c r="W96" s="145"/>
      <c r="X96" s="1334"/>
      <c r="Y96" s="172"/>
    </row>
    <row r="97" spans="1:27" ht="15.6" x14ac:dyDescent="0.3">
      <c r="A97" s="70"/>
      <c r="B97" s="148" t="s">
        <v>318</v>
      </c>
      <c r="C97" s="39"/>
      <c r="D97" s="148" t="s">
        <v>320</v>
      </c>
      <c r="E97" s="166"/>
      <c r="F97" s="148" t="s">
        <v>321</v>
      </c>
      <c r="G97" s="177"/>
      <c r="H97" s="148" t="s">
        <v>322</v>
      </c>
      <c r="I97" s="166"/>
      <c r="J97" s="148" t="s">
        <v>323</v>
      </c>
      <c r="K97" s="166"/>
      <c r="L97" s="148" t="s">
        <v>324</v>
      </c>
      <c r="M97" s="166"/>
      <c r="N97" s="148" t="s">
        <v>325</v>
      </c>
      <c r="O97" s="166"/>
      <c r="P97" s="148" t="s">
        <v>326</v>
      </c>
      <c r="Q97" s="166"/>
      <c r="R97" s="148" t="s">
        <v>327</v>
      </c>
      <c r="S97" s="166"/>
      <c r="T97" s="148" t="s">
        <v>328</v>
      </c>
      <c r="U97" s="166"/>
      <c r="V97" s="148" t="s">
        <v>456</v>
      </c>
      <c r="W97" s="171"/>
      <c r="X97" s="148" t="s">
        <v>329</v>
      </c>
      <c r="Y97" s="172"/>
    </row>
    <row r="98" spans="1:27" ht="15.6" x14ac:dyDescent="0.3">
      <c r="A98" s="70"/>
      <c r="B98" s="153" t="s">
        <v>212</v>
      </c>
      <c r="C98" s="166"/>
      <c r="D98" s="153" t="s">
        <v>212</v>
      </c>
      <c r="E98" s="166"/>
      <c r="F98" s="153" t="s">
        <v>212</v>
      </c>
      <c r="G98" s="166"/>
      <c r="H98" s="153" t="s">
        <v>212</v>
      </c>
      <c r="I98" s="166"/>
      <c r="J98" s="153" t="s">
        <v>212</v>
      </c>
      <c r="K98" s="166"/>
      <c r="L98" s="153" t="s">
        <v>212</v>
      </c>
      <c r="M98" s="166"/>
      <c r="N98" s="153" t="s">
        <v>212</v>
      </c>
      <c r="O98" s="166"/>
      <c r="P98" s="153" t="s">
        <v>212</v>
      </c>
      <c r="Q98" s="166"/>
      <c r="R98" s="153" t="s">
        <v>212</v>
      </c>
      <c r="S98" s="166"/>
      <c r="T98" s="153" t="s">
        <v>213</v>
      </c>
      <c r="U98" s="166"/>
      <c r="V98" s="153" t="s">
        <v>214</v>
      </c>
      <c r="W98" s="171"/>
      <c r="X98" s="153" t="s">
        <v>213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457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319"/>
      <c r="C103" s="156">
        <v>414</v>
      </c>
      <c r="D103" s="1335"/>
      <c r="E103" s="156">
        <v>350</v>
      </c>
      <c r="F103" s="1333"/>
      <c r="G103" s="158">
        <v>356</v>
      </c>
      <c r="H103" s="1333"/>
      <c r="I103" s="158">
        <v>460</v>
      </c>
      <c r="J103" s="1333"/>
      <c r="K103" s="158">
        <v>379</v>
      </c>
      <c r="L103" s="1333"/>
      <c r="M103" s="158">
        <v>383</v>
      </c>
      <c r="N103" s="1333"/>
      <c r="O103" s="184">
        <v>400</v>
      </c>
      <c r="P103" s="1333"/>
      <c r="Q103" s="158">
        <v>421</v>
      </c>
      <c r="R103" s="1336"/>
      <c r="S103" s="169">
        <v>323</v>
      </c>
      <c r="T103" s="1319"/>
      <c r="U103" s="158">
        <v>312</v>
      </c>
      <c r="V103" s="1336"/>
      <c r="W103" s="184">
        <v>360</v>
      </c>
      <c r="X103" s="1336"/>
      <c r="Y103" s="159">
        <v>301</v>
      </c>
    </row>
    <row r="104" spans="1:27" ht="15.6" x14ac:dyDescent="0.3">
      <c r="A104" s="70"/>
      <c r="B104" s="1320"/>
      <c r="C104" s="145"/>
      <c r="D104" s="1320"/>
      <c r="E104" s="145"/>
      <c r="F104" s="1334"/>
      <c r="G104" s="145"/>
      <c r="H104" s="1334"/>
      <c r="I104" s="145"/>
      <c r="J104" s="1334"/>
      <c r="K104" s="145"/>
      <c r="L104" s="1334"/>
      <c r="M104" s="145"/>
      <c r="N104" s="1334"/>
      <c r="O104" s="145"/>
      <c r="P104" s="1334"/>
      <c r="Q104" s="145"/>
      <c r="R104" s="1334"/>
      <c r="S104" s="145"/>
      <c r="T104" s="1320"/>
      <c r="U104" s="135"/>
      <c r="V104" s="1334"/>
      <c r="W104" s="135"/>
      <c r="X104" s="1334"/>
      <c r="Y104" s="146"/>
    </row>
    <row r="105" spans="1:27" ht="15.6" x14ac:dyDescent="0.3">
      <c r="A105" s="70"/>
      <c r="B105" s="148" t="s">
        <v>330</v>
      </c>
      <c r="C105" s="135"/>
      <c r="D105" s="148" t="s">
        <v>331</v>
      </c>
      <c r="E105" s="160"/>
      <c r="F105" s="148" t="s">
        <v>458</v>
      </c>
      <c r="G105" s="178"/>
      <c r="H105" s="148" t="s">
        <v>332</v>
      </c>
      <c r="I105" s="161"/>
      <c r="J105" s="148" t="s">
        <v>333</v>
      </c>
      <c r="K105" s="161"/>
      <c r="L105" s="148" t="s">
        <v>334</v>
      </c>
      <c r="M105" s="161"/>
      <c r="N105" s="148" t="s">
        <v>459</v>
      </c>
      <c r="O105" s="161"/>
      <c r="P105" s="148" t="s">
        <v>94</v>
      </c>
      <c r="Q105" s="161"/>
      <c r="R105" s="148" t="s">
        <v>335</v>
      </c>
      <c r="S105" s="160"/>
      <c r="T105" s="148" t="s">
        <v>336</v>
      </c>
      <c r="U105" s="151"/>
      <c r="V105" s="148" t="s">
        <v>337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213</v>
      </c>
      <c r="C106" s="171"/>
      <c r="D106" s="153" t="s">
        <v>212</v>
      </c>
      <c r="E106" s="165"/>
      <c r="F106" s="153" t="s">
        <v>214</v>
      </c>
      <c r="G106" s="165"/>
      <c r="H106" s="153" t="s">
        <v>213</v>
      </c>
      <c r="I106" s="166"/>
      <c r="J106" s="153" t="s">
        <v>211</v>
      </c>
      <c r="K106" s="166"/>
      <c r="L106" s="153" t="s">
        <v>248</v>
      </c>
      <c r="M106" s="166"/>
      <c r="N106" s="153" t="s">
        <v>311</v>
      </c>
      <c r="O106" s="165"/>
      <c r="P106" s="153" t="s">
        <v>213</v>
      </c>
      <c r="Q106" s="165"/>
      <c r="R106" s="153" t="s">
        <v>213</v>
      </c>
      <c r="S106" s="166"/>
      <c r="T106" s="153" t="s">
        <v>212</v>
      </c>
      <c r="U106" s="166"/>
      <c r="V106" s="153" t="s">
        <v>212</v>
      </c>
      <c r="W106" s="166"/>
      <c r="X106" s="153" t="s">
        <v>212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319"/>
      <c r="C110" s="156">
        <v>379</v>
      </c>
      <c r="D110" s="1319"/>
      <c r="E110" s="157">
        <v>394</v>
      </c>
      <c r="F110" s="1336"/>
      <c r="G110" s="158">
        <v>410</v>
      </c>
      <c r="H110" s="1351"/>
      <c r="I110" s="158">
        <v>404</v>
      </c>
      <c r="J110" s="1336"/>
      <c r="K110" s="169">
        <v>436</v>
      </c>
      <c r="L110" s="1336"/>
      <c r="M110" s="156">
        <v>437</v>
      </c>
      <c r="N110" s="1352"/>
      <c r="O110" s="180">
        <v>406</v>
      </c>
      <c r="P110" s="1335"/>
      <c r="Q110" s="156">
        <v>438</v>
      </c>
      <c r="R110" s="1319"/>
      <c r="S110" s="157">
        <v>412</v>
      </c>
      <c r="T110" s="1319"/>
      <c r="U110" s="158">
        <v>413</v>
      </c>
      <c r="V110" s="1319"/>
      <c r="W110" s="158">
        <v>328</v>
      </c>
      <c r="X110" s="1319"/>
      <c r="Y110" s="217">
        <v>385</v>
      </c>
    </row>
    <row r="111" spans="1:27" ht="15.6" x14ac:dyDescent="0.3">
      <c r="A111" s="70"/>
      <c r="B111" s="1320"/>
      <c r="C111" s="135"/>
      <c r="D111" s="1320"/>
      <c r="E111" s="135"/>
      <c r="F111" s="1334"/>
      <c r="G111" s="135"/>
      <c r="H111" s="1334"/>
      <c r="I111" s="135"/>
      <c r="J111" s="1334"/>
      <c r="K111" s="145"/>
      <c r="L111" s="1334"/>
      <c r="M111" s="135"/>
      <c r="N111" s="1334"/>
      <c r="O111" s="218"/>
      <c r="P111" s="1320"/>
      <c r="Q111" s="145"/>
      <c r="R111" s="1320"/>
      <c r="S111" s="145"/>
      <c r="T111" s="1320"/>
      <c r="U111" s="145"/>
      <c r="V111" s="1320"/>
      <c r="W111" s="145"/>
      <c r="X111" s="1320"/>
      <c r="Y111" s="202"/>
    </row>
    <row r="112" spans="1:27" ht="15.6" x14ac:dyDescent="0.3">
      <c r="A112" s="70"/>
      <c r="B112" s="148" t="s">
        <v>460</v>
      </c>
      <c r="C112" s="166"/>
      <c r="D112" s="148" t="s">
        <v>461</v>
      </c>
      <c r="E112" s="166"/>
      <c r="F112" s="148" t="s">
        <v>93</v>
      </c>
      <c r="G112" s="166"/>
      <c r="H112" s="148" t="s">
        <v>90</v>
      </c>
      <c r="I112" s="166"/>
      <c r="J112" s="148" t="s">
        <v>338</v>
      </c>
      <c r="K112" s="171"/>
      <c r="L112" s="148" t="s">
        <v>462</v>
      </c>
      <c r="M112" s="166"/>
      <c r="N112" s="148" t="s">
        <v>86</v>
      </c>
      <c r="O112" s="171"/>
      <c r="P112" s="148" t="s">
        <v>339</v>
      </c>
      <c r="Q112" s="177"/>
      <c r="R112" s="148" t="s">
        <v>463</v>
      </c>
      <c r="S112" s="39"/>
      <c r="T112" s="148" t="s">
        <v>340</v>
      </c>
      <c r="U112" s="39"/>
      <c r="V112" s="148" t="s">
        <v>108</v>
      </c>
      <c r="W112" s="39"/>
      <c r="X112" s="148" t="s">
        <v>464</v>
      </c>
      <c r="Y112" s="202"/>
    </row>
    <row r="113" spans="1:25" ht="15.6" x14ac:dyDescent="0.3">
      <c r="A113" s="70"/>
      <c r="B113" s="153" t="s">
        <v>212</v>
      </c>
      <c r="C113" s="166"/>
      <c r="D113" s="153" t="s">
        <v>292</v>
      </c>
      <c r="E113" s="166"/>
      <c r="F113" s="153" t="s">
        <v>212</v>
      </c>
      <c r="G113" s="166"/>
      <c r="H113" s="153" t="s">
        <v>213</v>
      </c>
      <c r="I113" s="166"/>
      <c r="J113" s="153" t="s">
        <v>212</v>
      </c>
      <c r="K113" s="171"/>
      <c r="L113" s="153" t="s">
        <v>269</v>
      </c>
      <c r="M113" s="166"/>
      <c r="N113" s="153" t="s">
        <v>212</v>
      </c>
      <c r="O113" s="171"/>
      <c r="P113" s="153" t="s">
        <v>211</v>
      </c>
      <c r="Q113" s="177"/>
      <c r="R113" s="153" t="s">
        <v>270</v>
      </c>
      <c r="S113" s="164"/>
      <c r="T113" s="153" t="s">
        <v>212</v>
      </c>
      <c r="U113" s="164"/>
      <c r="V113" s="153" t="s">
        <v>213</v>
      </c>
      <c r="W113" s="164"/>
      <c r="X113" s="153" t="s">
        <v>210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319"/>
      <c r="C117" s="156">
        <v>415</v>
      </c>
      <c r="D117" s="1335"/>
      <c r="E117" s="157">
        <v>394</v>
      </c>
      <c r="F117" s="1319"/>
      <c r="G117" s="169">
        <v>362</v>
      </c>
      <c r="H117" s="1336"/>
      <c r="I117" s="158">
        <v>386</v>
      </c>
      <c r="J117" s="1333"/>
      <c r="K117" s="158">
        <v>425</v>
      </c>
      <c r="L117" s="1336"/>
      <c r="M117" s="158">
        <v>412</v>
      </c>
      <c r="N117" s="1336"/>
      <c r="O117" s="158">
        <v>337</v>
      </c>
      <c r="P117" s="1336"/>
      <c r="Q117" s="169">
        <v>323</v>
      </c>
      <c r="R117" s="1319"/>
      <c r="S117" s="169">
        <v>329</v>
      </c>
      <c r="T117" s="1336"/>
      <c r="U117" s="158">
        <v>315</v>
      </c>
      <c r="V117" s="1336"/>
      <c r="W117" s="169">
        <v>465</v>
      </c>
      <c r="X117" s="1319"/>
      <c r="Y117" s="170">
        <v>374</v>
      </c>
    </row>
    <row r="118" spans="1:25" ht="15.6" x14ac:dyDescent="0.3">
      <c r="A118" s="70"/>
      <c r="B118" s="1320"/>
      <c r="C118" s="145"/>
      <c r="D118" s="1320"/>
      <c r="E118" s="145"/>
      <c r="F118" s="1320"/>
      <c r="G118" s="145"/>
      <c r="H118" s="1334"/>
      <c r="I118" s="135"/>
      <c r="J118" s="1334"/>
      <c r="K118" s="135"/>
      <c r="L118" s="1334"/>
      <c r="M118" s="135"/>
      <c r="N118" s="1334"/>
      <c r="O118" s="135"/>
      <c r="P118" s="1334"/>
      <c r="Q118" s="135"/>
      <c r="R118" s="1320"/>
      <c r="S118" s="135"/>
      <c r="T118" s="1334"/>
      <c r="U118" s="135"/>
      <c r="V118" s="1334"/>
      <c r="W118" s="145"/>
      <c r="X118" s="1320"/>
      <c r="Y118" s="146"/>
    </row>
    <row r="119" spans="1:25" ht="15.6" x14ac:dyDescent="0.3">
      <c r="A119" s="70"/>
      <c r="B119" s="148" t="s">
        <v>341</v>
      </c>
      <c r="C119" s="39"/>
      <c r="D119" s="148" t="s">
        <v>110</v>
      </c>
      <c r="E119" s="39"/>
      <c r="F119" s="148" t="s">
        <v>342</v>
      </c>
      <c r="G119" s="177"/>
      <c r="H119" s="148" t="s">
        <v>343</v>
      </c>
      <c r="I119" s="166"/>
      <c r="J119" s="148" t="s">
        <v>344</v>
      </c>
      <c r="K119" s="166"/>
      <c r="L119" s="148" t="s">
        <v>345</v>
      </c>
      <c r="M119" s="166"/>
      <c r="N119" s="148" t="s">
        <v>465</v>
      </c>
      <c r="O119" s="166"/>
      <c r="P119" s="148" t="s">
        <v>466</v>
      </c>
      <c r="Q119" s="166"/>
      <c r="R119" s="148" t="s">
        <v>346</v>
      </c>
      <c r="S119" s="166"/>
      <c r="T119" s="148" t="s">
        <v>347</v>
      </c>
      <c r="U119" s="166"/>
      <c r="V119" s="148" t="s">
        <v>348</v>
      </c>
      <c r="W119" s="171"/>
      <c r="X119" s="148" t="s">
        <v>349</v>
      </c>
      <c r="Y119" s="172"/>
    </row>
    <row r="120" spans="1:25" ht="15.6" x14ac:dyDescent="0.3">
      <c r="A120" s="70"/>
      <c r="B120" s="153" t="s">
        <v>211</v>
      </c>
      <c r="C120" s="164"/>
      <c r="D120" s="153" t="s">
        <v>211</v>
      </c>
      <c r="E120" s="164"/>
      <c r="F120" s="153" t="s">
        <v>212</v>
      </c>
      <c r="G120" s="166"/>
      <c r="H120" s="153" t="s">
        <v>212</v>
      </c>
      <c r="I120" s="166"/>
      <c r="J120" s="153" t="s">
        <v>212</v>
      </c>
      <c r="K120" s="166"/>
      <c r="L120" s="153" t="s">
        <v>212</v>
      </c>
      <c r="M120" s="166"/>
      <c r="N120" s="153" t="s">
        <v>212</v>
      </c>
      <c r="O120" s="166"/>
      <c r="P120" s="153" t="s">
        <v>282</v>
      </c>
      <c r="Q120" s="166"/>
      <c r="R120" s="153" t="s">
        <v>248</v>
      </c>
      <c r="S120" s="166"/>
      <c r="T120" s="153" t="s">
        <v>211</v>
      </c>
      <c r="U120" s="166"/>
      <c r="V120" s="153" t="s">
        <v>213</v>
      </c>
      <c r="W120" s="171"/>
      <c r="X120" s="153" t="s">
        <v>213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319"/>
      <c r="C124" s="156">
        <v>400</v>
      </c>
      <c r="D124" s="1335"/>
      <c r="E124" s="157">
        <v>359</v>
      </c>
      <c r="F124" s="1319"/>
      <c r="G124" s="169">
        <v>468</v>
      </c>
      <c r="H124" s="1336"/>
      <c r="I124" s="158">
        <v>287</v>
      </c>
      <c r="J124" s="1333"/>
      <c r="K124" s="158">
        <v>416</v>
      </c>
      <c r="L124" s="1336"/>
      <c r="M124" s="158">
        <v>352</v>
      </c>
      <c r="N124" s="1336"/>
      <c r="O124" s="158">
        <v>361</v>
      </c>
      <c r="P124" s="1336"/>
      <c r="Q124" s="169">
        <v>426</v>
      </c>
      <c r="R124" s="1319"/>
      <c r="S124" s="169">
        <v>394</v>
      </c>
      <c r="T124" s="1336"/>
      <c r="U124" s="158">
        <v>384</v>
      </c>
      <c r="V124" s="1336"/>
      <c r="W124" s="169">
        <v>414</v>
      </c>
      <c r="X124" s="1319"/>
      <c r="Y124" s="170">
        <v>480</v>
      </c>
    </row>
    <row r="125" spans="1:25" ht="15.6" x14ac:dyDescent="0.3">
      <c r="A125" s="70"/>
      <c r="B125" s="1320"/>
      <c r="C125" s="145"/>
      <c r="D125" s="1320"/>
      <c r="E125" s="145"/>
      <c r="F125" s="1320"/>
      <c r="G125" s="145"/>
      <c r="H125" s="1334"/>
      <c r="I125" s="135"/>
      <c r="J125" s="1334"/>
      <c r="K125" s="135"/>
      <c r="L125" s="1334"/>
      <c r="M125" s="135"/>
      <c r="N125" s="1334"/>
      <c r="O125" s="135"/>
      <c r="P125" s="1334"/>
      <c r="Q125" s="135"/>
      <c r="R125" s="1320"/>
      <c r="S125" s="135"/>
      <c r="T125" s="1334"/>
      <c r="U125" s="135"/>
      <c r="V125" s="1334"/>
      <c r="W125" s="145"/>
      <c r="X125" s="1320"/>
      <c r="Y125" s="146"/>
    </row>
    <row r="126" spans="1:25" ht="15.6" x14ac:dyDescent="0.3">
      <c r="A126" s="70"/>
      <c r="B126" s="221" t="s">
        <v>467</v>
      </c>
      <c r="C126" s="39"/>
      <c r="D126" s="221" t="s">
        <v>350</v>
      </c>
      <c r="E126" s="39"/>
      <c r="F126" s="221" t="s">
        <v>468</v>
      </c>
      <c r="G126" s="177"/>
      <c r="H126" s="221" t="s">
        <v>469</v>
      </c>
      <c r="I126" s="166"/>
      <c r="J126" s="221" t="s">
        <v>470</v>
      </c>
      <c r="K126" s="166"/>
      <c r="L126" s="221" t="s">
        <v>353</v>
      </c>
      <c r="M126" s="166"/>
      <c r="N126" s="221" t="s">
        <v>471</v>
      </c>
      <c r="O126" s="166"/>
      <c r="P126" s="221" t="s">
        <v>354</v>
      </c>
      <c r="Q126" s="166"/>
      <c r="R126" s="221" t="s">
        <v>355</v>
      </c>
      <c r="S126" s="166"/>
      <c r="T126" s="221" t="s">
        <v>356</v>
      </c>
      <c r="U126" s="166"/>
      <c r="V126" s="221" t="s">
        <v>357</v>
      </c>
      <c r="W126" s="171"/>
      <c r="X126" s="221" t="s">
        <v>358</v>
      </c>
      <c r="Y126" s="172"/>
    </row>
    <row r="127" spans="1:25" ht="15.6" x14ac:dyDescent="0.3">
      <c r="A127" s="70"/>
      <c r="B127" s="153" t="s">
        <v>351</v>
      </c>
      <c r="C127" s="164"/>
      <c r="D127" s="153" t="s">
        <v>213</v>
      </c>
      <c r="E127" s="164"/>
      <c r="F127" s="153" t="s">
        <v>352</v>
      </c>
      <c r="G127" s="166"/>
      <c r="H127" s="153" t="s">
        <v>283</v>
      </c>
      <c r="I127" s="166"/>
      <c r="J127" s="153" t="s">
        <v>351</v>
      </c>
      <c r="K127" s="166"/>
      <c r="L127" s="153" t="s">
        <v>212</v>
      </c>
      <c r="M127" s="166"/>
      <c r="N127" s="153" t="s">
        <v>237</v>
      </c>
      <c r="O127" s="166"/>
      <c r="P127" s="153" t="s">
        <v>213</v>
      </c>
      <c r="Q127" s="166"/>
      <c r="R127" s="153" t="s">
        <v>212</v>
      </c>
      <c r="S127" s="166"/>
      <c r="T127" s="153" t="s">
        <v>213</v>
      </c>
      <c r="U127" s="166"/>
      <c r="V127" s="153" t="s">
        <v>212</v>
      </c>
      <c r="W127" s="171"/>
      <c r="X127" s="153" t="s">
        <v>283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319"/>
      <c r="C131" s="156">
        <v>395</v>
      </c>
      <c r="D131" s="1335"/>
      <c r="E131" s="157">
        <v>329</v>
      </c>
      <c r="F131" s="1319"/>
      <c r="G131" s="169">
        <v>418</v>
      </c>
      <c r="H131" s="1336"/>
      <c r="I131" s="158">
        <v>467</v>
      </c>
      <c r="J131" s="1333"/>
      <c r="K131" s="158">
        <v>443</v>
      </c>
      <c r="L131" s="1336"/>
      <c r="M131" s="158">
        <v>311</v>
      </c>
      <c r="N131" s="1336"/>
      <c r="O131" s="158">
        <v>479</v>
      </c>
      <c r="P131" s="1336"/>
      <c r="Q131" s="169">
        <v>321</v>
      </c>
      <c r="R131" s="1319"/>
      <c r="S131" s="169">
        <v>506</v>
      </c>
      <c r="T131" s="1336"/>
      <c r="U131" s="158">
        <v>421</v>
      </c>
      <c r="V131" s="1336"/>
      <c r="W131" s="169">
        <v>421</v>
      </c>
      <c r="X131" s="1319"/>
      <c r="Y131" s="170">
        <v>406</v>
      </c>
    </row>
    <row r="132" spans="1:32" ht="15.6" x14ac:dyDescent="0.3">
      <c r="A132" s="70"/>
      <c r="B132" s="1320"/>
      <c r="C132" s="145"/>
      <c r="D132" s="1320"/>
      <c r="E132" s="145"/>
      <c r="F132" s="1320"/>
      <c r="G132" s="145"/>
      <c r="H132" s="1334"/>
      <c r="I132" s="135"/>
      <c r="J132" s="1334"/>
      <c r="K132" s="135"/>
      <c r="L132" s="1334"/>
      <c r="M132" s="135"/>
      <c r="N132" s="1334"/>
      <c r="O132" s="135"/>
      <c r="P132" s="1334"/>
      <c r="Q132" s="135"/>
      <c r="R132" s="1320"/>
      <c r="S132" s="135"/>
      <c r="T132" s="1334"/>
      <c r="U132" s="135"/>
      <c r="V132" s="1334"/>
      <c r="W132" s="145"/>
      <c r="X132" s="1320"/>
      <c r="Y132" s="146"/>
    </row>
    <row r="133" spans="1:32" ht="15.6" x14ac:dyDescent="0.3">
      <c r="A133" s="70"/>
      <c r="B133" s="221" t="s">
        <v>472</v>
      </c>
      <c r="C133" s="39"/>
      <c r="D133" s="221" t="s">
        <v>359</v>
      </c>
      <c r="E133" s="39"/>
      <c r="F133" s="221" t="s">
        <v>360</v>
      </c>
      <c r="G133" s="177"/>
      <c r="H133" s="221" t="s">
        <v>473</v>
      </c>
      <c r="I133" s="166"/>
      <c r="J133" s="221" t="s">
        <v>361</v>
      </c>
      <c r="K133" s="166"/>
      <c r="L133" s="221" t="s">
        <v>362</v>
      </c>
      <c r="M133" s="166"/>
      <c r="N133" s="221" t="s">
        <v>474</v>
      </c>
      <c r="O133" s="166"/>
      <c r="P133" s="221" t="s">
        <v>363</v>
      </c>
      <c r="Q133" s="166"/>
      <c r="R133" s="221" t="s">
        <v>364</v>
      </c>
      <c r="S133" s="166"/>
      <c r="T133" s="221" t="s">
        <v>365</v>
      </c>
      <c r="U133" s="166"/>
      <c r="V133" s="221" t="s">
        <v>475</v>
      </c>
      <c r="W133" s="171"/>
      <c r="X133" s="221" t="s">
        <v>366</v>
      </c>
      <c r="Y133" s="172"/>
    </row>
    <row r="134" spans="1:32" ht="15.6" x14ac:dyDescent="0.3">
      <c r="A134" s="70"/>
      <c r="B134" s="153" t="s">
        <v>301</v>
      </c>
      <c r="C134" s="164"/>
      <c r="D134" s="153" t="s">
        <v>213</v>
      </c>
      <c r="E134" s="164"/>
      <c r="F134" s="153" t="s">
        <v>211</v>
      </c>
      <c r="G134" s="166"/>
      <c r="H134" s="153" t="s">
        <v>369</v>
      </c>
      <c r="I134" s="166"/>
      <c r="J134" s="153" t="s">
        <v>283</v>
      </c>
      <c r="K134" s="166"/>
      <c r="L134" s="153" t="s">
        <v>212</v>
      </c>
      <c r="M134" s="166"/>
      <c r="N134" s="153" t="s">
        <v>370</v>
      </c>
      <c r="O134" s="166"/>
      <c r="P134" s="153" t="s">
        <v>213</v>
      </c>
      <c r="Q134" s="166"/>
      <c r="R134" s="153" t="s">
        <v>248</v>
      </c>
      <c r="S134" s="166"/>
      <c r="T134" s="153" t="s">
        <v>283</v>
      </c>
      <c r="U134" s="166"/>
      <c r="V134" s="153" t="s">
        <v>352</v>
      </c>
      <c r="W134" s="171"/>
      <c r="X134" s="153" t="s">
        <v>212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347"/>
      <c r="C138" s="225">
        <v>435</v>
      </c>
      <c r="D138" s="1348"/>
      <c r="E138" s="226">
        <v>533</v>
      </c>
      <c r="F138" s="1347"/>
      <c r="G138" s="227">
        <v>265</v>
      </c>
      <c r="H138" s="1346"/>
      <c r="I138" s="228">
        <v>484</v>
      </c>
      <c r="J138" s="1349"/>
      <c r="K138" s="228">
        <v>611</v>
      </c>
      <c r="L138" s="1346"/>
      <c r="M138" s="228">
        <v>367</v>
      </c>
      <c r="N138" s="1346"/>
      <c r="O138" s="228">
        <v>469</v>
      </c>
      <c r="P138" s="1346"/>
      <c r="Q138" s="227">
        <v>371</v>
      </c>
      <c r="R138" s="1347"/>
      <c r="S138" s="227">
        <v>370</v>
      </c>
      <c r="T138" s="1346"/>
      <c r="U138" s="228">
        <v>327</v>
      </c>
      <c r="V138" s="1346"/>
      <c r="W138" s="227">
        <v>318</v>
      </c>
      <c r="X138" s="1347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320"/>
      <c r="C139" s="222"/>
      <c r="D139" s="1320"/>
      <c r="E139" s="222"/>
      <c r="F139" s="1320"/>
      <c r="G139" s="222"/>
      <c r="H139" s="1334"/>
      <c r="I139" s="230"/>
      <c r="J139" s="1334"/>
      <c r="K139" s="230"/>
      <c r="L139" s="1334"/>
      <c r="M139" s="230"/>
      <c r="N139" s="1334"/>
      <c r="O139" s="230"/>
      <c r="P139" s="1334"/>
      <c r="Q139" s="230"/>
      <c r="R139" s="1320"/>
      <c r="S139" s="230"/>
      <c r="T139" s="1334"/>
      <c r="U139" s="230"/>
      <c r="V139" s="1334"/>
      <c r="W139" s="222"/>
      <c r="X139" s="1320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367</v>
      </c>
      <c r="C140" s="223"/>
      <c r="D140" s="232" t="s">
        <v>368</v>
      </c>
      <c r="E140" s="223"/>
      <c r="F140" s="232" t="s">
        <v>476</v>
      </c>
      <c r="G140" s="223"/>
      <c r="H140" s="232" t="s">
        <v>477</v>
      </c>
      <c r="I140" s="233"/>
      <c r="J140" s="232" t="s">
        <v>371</v>
      </c>
      <c r="K140" s="233"/>
      <c r="L140" s="232" t="s">
        <v>372</v>
      </c>
      <c r="M140" s="233"/>
      <c r="N140" s="232" t="s">
        <v>373</v>
      </c>
      <c r="O140" s="233"/>
      <c r="P140" s="232" t="s">
        <v>374</v>
      </c>
      <c r="Q140" s="233"/>
      <c r="R140" s="232" t="s">
        <v>375</v>
      </c>
      <c r="S140" s="233"/>
      <c r="T140" s="232" t="s">
        <v>376</v>
      </c>
      <c r="U140" s="233"/>
      <c r="V140" s="232" t="s">
        <v>377</v>
      </c>
      <c r="W140" s="233"/>
      <c r="X140" s="232" t="s">
        <v>378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213</v>
      </c>
      <c r="C141" s="223"/>
      <c r="D141" s="235" t="s">
        <v>283</v>
      </c>
      <c r="E141" s="223"/>
      <c r="F141" s="235" t="s">
        <v>292</v>
      </c>
      <c r="G141" s="233"/>
      <c r="H141" s="235" t="s">
        <v>292</v>
      </c>
      <c r="I141" s="233"/>
      <c r="J141" s="235" t="s">
        <v>210</v>
      </c>
      <c r="K141" s="233"/>
      <c r="L141" s="235" t="s">
        <v>210</v>
      </c>
      <c r="M141" s="233"/>
      <c r="N141" s="235" t="s">
        <v>211</v>
      </c>
      <c r="O141" s="233"/>
      <c r="P141" s="235" t="s">
        <v>213</v>
      </c>
      <c r="Q141" s="233"/>
      <c r="R141" s="235" t="s">
        <v>212</v>
      </c>
      <c r="S141" s="233"/>
      <c r="T141" s="235" t="s">
        <v>212</v>
      </c>
      <c r="U141" s="233"/>
      <c r="V141" s="235" t="s">
        <v>212</v>
      </c>
      <c r="W141" s="233"/>
      <c r="X141" s="235" t="s">
        <v>212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347"/>
      <c r="C144" s="225">
        <v>396</v>
      </c>
      <c r="D144" s="1348"/>
      <c r="E144" s="226">
        <v>377</v>
      </c>
      <c r="F144" s="1347"/>
      <c r="G144" s="227">
        <v>398</v>
      </c>
      <c r="H144" s="1346"/>
      <c r="I144" s="228">
        <v>393</v>
      </c>
      <c r="J144" s="1349"/>
      <c r="K144" s="228">
        <v>374</v>
      </c>
      <c r="L144" s="1346"/>
      <c r="M144" s="228">
        <v>363</v>
      </c>
      <c r="N144" s="1346"/>
      <c r="O144" s="228">
        <v>349</v>
      </c>
      <c r="P144" s="1346"/>
      <c r="Q144" s="227">
        <v>386</v>
      </c>
      <c r="R144" s="1347"/>
      <c r="S144" s="227">
        <v>390</v>
      </c>
      <c r="T144" s="1346"/>
      <c r="U144" s="228">
        <v>417</v>
      </c>
      <c r="V144" s="1346"/>
      <c r="W144" s="227">
        <v>423</v>
      </c>
      <c r="X144" s="1347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320"/>
      <c r="C145" s="222"/>
      <c r="D145" s="1320"/>
      <c r="E145" s="222"/>
      <c r="F145" s="1320"/>
      <c r="G145" s="222"/>
      <c r="H145" s="1334"/>
      <c r="I145" s="230"/>
      <c r="J145" s="1334"/>
      <c r="K145" s="230"/>
      <c r="L145" s="1334"/>
      <c r="M145" s="230"/>
      <c r="N145" s="1334"/>
      <c r="O145" s="230"/>
      <c r="P145" s="1334"/>
      <c r="Q145" s="230"/>
      <c r="R145" s="1320"/>
      <c r="S145" s="230"/>
      <c r="T145" s="1334"/>
      <c r="U145" s="230"/>
      <c r="V145" s="1334"/>
      <c r="W145" s="222"/>
      <c r="X145" s="1320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478</v>
      </c>
      <c r="C146" s="223"/>
      <c r="D146" s="232" t="s">
        <v>379</v>
      </c>
      <c r="E146" s="223"/>
      <c r="F146" s="232" t="s">
        <v>380</v>
      </c>
      <c r="G146" s="223"/>
      <c r="H146" s="232" t="s">
        <v>381</v>
      </c>
      <c r="I146" s="233"/>
      <c r="J146" s="232" t="s">
        <v>382</v>
      </c>
      <c r="K146" s="233"/>
      <c r="L146" s="232" t="s">
        <v>479</v>
      </c>
      <c r="M146" s="233"/>
      <c r="N146" s="232" t="s">
        <v>383</v>
      </c>
      <c r="O146" s="233"/>
      <c r="P146" s="232" t="s">
        <v>384</v>
      </c>
      <c r="Q146" s="233"/>
      <c r="R146" s="232" t="s">
        <v>385</v>
      </c>
      <c r="S146" s="233"/>
      <c r="T146" s="232" t="s">
        <v>386</v>
      </c>
      <c r="U146" s="233"/>
      <c r="V146" s="232" t="s">
        <v>387</v>
      </c>
      <c r="W146" s="233"/>
      <c r="X146" s="232" t="s">
        <v>480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237</v>
      </c>
      <c r="C147" s="223"/>
      <c r="D147" s="235" t="s">
        <v>213</v>
      </c>
      <c r="E147" s="223"/>
      <c r="F147" s="235" t="s">
        <v>212</v>
      </c>
      <c r="G147" s="233"/>
      <c r="H147" s="235" t="s">
        <v>212</v>
      </c>
      <c r="I147" s="233"/>
      <c r="J147" s="235" t="s">
        <v>213</v>
      </c>
      <c r="K147" s="233"/>
      <c r="L147" s="235" t="s">
        <v>214</v>
      </c>
      <c r="M147" s="233"/>
      <c r="N147" s="235" t="s">
        <v>212</v>
      </c>
      <c r="O147" s="233"/>
      <c r="P147" s="235" t="s">
        <v>212</v>
      </c>
      <c r="Q147" s="233"/>
      <c r="R147" s="235" t="s">
        <v>212</v>
      </c>
      <c r="S147" s="233"/>
      <c r="T147" s="235" t="s">
        <v>212</v>
      </c>
      <c r="U147" s="233"/>
      <c r="V147" s="235" t="s">
        <v>211</v>
      </c>
      <c r="W147" s="233"/>
      <c r="X147" s="235" t="s">
        <v>214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347"/>
      <c r="C150" s="225">
        <v>365</v>
      </c>
      <c r="D150" s="1348"/>
      <c r="E150" s="226">
        <v>403</v>
      </c>
      <c r="F150" s="1347"/>
      <c r="G150" s="227">
        <v>382</v>
      </c>
      <c r="H150" s="1346"/>
      <c r="I150" s="228">
        <v>395</v>
      </c>
      <c r="J150" s="1349"/>
      <c r="K150" s="228">
        <v>385</v>
      </c>
      <c r="L150" s="1346"/>
      <c r="M150" s="228">
        <v>381</v>
      </c>
      <c r="N150" s="1346"/>
      <c r="O150" s="228">
        <v>395</v>
      </c>
      <c r="P150" s="1346"/>
      <c r="Q150" s="227">
        <v>403</v>
      </c>
      <c r="R150" s="1347"/>
      <c r="S150" s="227">
        <v>383</v>
      </c>
      <c r="T150" s="1346"/>
      <c r="U150" s="228">
        <v>386</v>
      </c>
      <c r="V150" s="1346"/>
      <c r="W150" s="227">
        <v>397</v>
      </c>
      <c r="X150" s="1347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320"/>
      <c r="C151" s="222"/>
      <c r="D151" s="1320"/>
      <c r="E151" s="222"/>
      <c r="F151" s="1320"/>
      <c r="G151" s="222"/>
      <c r="H151" s="1334"/>
      <c r="I151" s="230"/>
      <c r="J151" s="1334"/>
      <c r="K151" s="230"/>
      <c r="L151" s="1334"/>
      <c r="M151" s="230"/>
      <c r="N151" s="1334"/>
      <c r="O151" s="230"/>
      <c r="P151" s="1334"/>
      <c r="Q151" s="230"/>
      <c r="R151" s="1320"/>
      <c r="S151" s="230"/>
      <c r="T151" s="1334"/>
      <c r="U151" s="230"/>
      <c r="V151" s="1334"/>
      <c r="W151" s="222"/>
      <c r="X151" s="1320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388</v>
      </c>
      <c r="C152" s="223"/>
      <c r="D152" s="232" t="s">
        <v>389</v>
      </c>
      <c r="E152" s="223"/>
      <c r="F152" s="232" t="s">
        <v>390</v>
      </c>
      <c r="G152" s="223"/>
      <c r="H152" s="232" t="s">
        <v>391</v>
      </c>
      <c r="I152" s="233"/>
      <c r="J152" s="232" t="s">
        <v>392</v>
      </c>
      <c r="K152" s="233"/>
      <c r="L152" s="232" t="s">
        <v>393</v>
      </c>
      <c r="M152" s="233"/>
      <c r="N152" s="232" t="s">
        <v>394</v>
      </c>
      <c r="O152" s="233"/>
      <c r="P152" s="232" t="s">
        <v>395</v>
      </c>
      <c r="Q152" s="233"/>
      <c r="R152" s="232" t="s">
        <v>396</v>
      </c>
      <c r="S152" s="233"/>
      <c r="T152" s="232" t="s">
        <v>397</v>
      </c>
      <c r="U152" s="233"/>
      <c r="V152" s="232" t="s">
        <v>398</v>
      </c>
      <c r="W152" s="233"/>
      <c r="X152" s="232" t="s">
        <v>399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212</v>
      </c>
      <c r="C153" s="223"/>
      <c r="D153" s="235" t="s">
        <v>212</v>
      </c>
      <c r="E153" s="223"/>
      <c r="F153" s="235" t="s">
        <v>213</v>
      </c>
      <c r="G153" s="233"/>
      <c r="H153" s="235" t="s">
        <v>213</v>
      </c>
      <c r="I153" s="233"/>
      <c r="J153" s="235" t="s">
        <v>212</v>
      </c>
      <c r="K153" s="233"/>
      <c r="L153" s="235" t="s">
        <v>212</v>
      </c>
      <c r="M153" s="233"/>
      <c r="N153" s="235" t="s">
        <v>212</v>
      </c>
      <c r="O153" s="233"/>
      <c r="P153" s="235" t="s">
        <v>212</v>
      </c>
      <c r="Q153" s="233"/>
      <c r="R153" s="235" t="s">
        <v>212</v>
      </c>
      <c r="S153" s="233"/>
      <c r="T153" s="235" t="s">
        <v>212</v>
      </c>
      <c r="U153" s="233"/>
      <c r="V153" s="235" t="s">
        <v>212</v>
      </c>
      <c r="W153" s="233"/>
      <c r="X153" s="235" t="s">
        <v>212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347"/>
      <c r="C156" s="225">
        <v>422</v>
      </c>
      <c r="D156" s="1348"/>
      <c r="E156" s="226">
        <v>417</v>
      </c>
      <c r="F156" s="1347"/>
      <c r="G156" s="227">
        <v>400</v>
      </c>
      <c r="H156" s="1346"/>
      <c r="I156" s="228">
        <v>421</v>
      </c>
      <c r="J156" s="1349"/>
      <c r="K156" s="228">
        <v>419</v>
      </c>
      <c r="L156" s="1346"/>
      <c r="M156" s="228">
        <v>402</v>
      </c>
      <c r="N156" s="1346"/>
      <c r="O156" s="228">
        <v>402</v>
      </c>
      <c r="P156" s="1346"/>
      <c r="Q156" s="227">
        <v>411</v>
      </c>
      <c r="R156" s="1347"/>
      <c r="S156" s="227">
        <v>355</v>
      </c>
      <c r="T156" s="1346"/>
      <c r="U156" s="228">
        <v>390</v>
      </c>
      <c r="V156" s="1346"/>
      <c r="W156" s="227">
        <v>380</v>
      </c>
      <c r="X156" s="1347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320"/>
      <c r="C157" s="222"/>
      <c r="D157" s="1320"/>
      <c r="E157" s="222"/>
      <c r="F157" s="1320"/>
      <c r="G157" s="222"/>
      <c r="H157" s="1334"/>
      <c r="I157" s="230"/>
      <c r="J157" s="1334"/>
      <c r="K157" s="230"/>
      <c r="L157" s="1334"/>
      <c r="M157" s="230"/>
      <c r="N157" s="1334"/>
      <c r="O157" s="230"/>
      <c r="P157" s="1334"/>
      <c r="Q157" s="230"/>
      <c r="R157" s="1320"/>
      <c r="S157" s="230"/>
      <c r="T157" s="1334"/>
      <c r="U157" s="230"/>
      <c r="V157" s="1334"/>
      <c r="W157" s="222"/>
      <c r="X157" s="1320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481</v>
      </c>
      <c r="C158" s="223"/>
      <c r="D158" s="232" t="s">
        <v>400</v>
      </c>
      <c r="E158" s="223"/>
      <c r="F158" s="232" t="s">
        <v>401</v>
      </c>
      <c r="G158" s="223"/>
      <c r="H158" s="232" t="s">
        <v>402</v>
      </c>
      <c r="I158" s="233"/>
      <c r="J158" s="232" t="s">
        <v>403</v>
      </c>
      <c r="K158" s="233"/>
      <c r="L158" s="232" t="s">
        <v>404</v>
      </c>
      <c r="M158" s="233"/>
      <c r="N158" s="232" t="s">
        <v>405</v>
      </c>
      <c r="O158" s="233"/>
      <c r="P158" s="232" t="s">
        <v>406</v>
      </c>
      <c r="Q158" s="233"/>
      <c r="R158" s="232" t="s">
        <v>407</v>
      </c>
      <c r="S158" s="233"/>
      <c r="T158" s="232" t="s">
        <v>482</v>
      </c>
      <c r="U158" s="233"/>
      <c r="V158" s="232" t="s">
        <v>408</v>
      </c>
      <c r="W158" s="233"/>
      <c r="X158" s="232" t="s">
        <v>409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237</v>
      </c>
      <c r="C159" s="223"/>
      <c r="D159" s="235" t="s">
        <v>213</v>
      </c>
      <c r="E159" s="223"/>
      <c r="F159" s="235" t="s">
        <v>213</v>
      </c>
      <c r="G159" s="233"/>
      <c r="H159" s="235" t="s">
        <v>212</v>
      </c>
      <c r="I159" s="233"/>
      <c r="J159" s="235" t="s">
        <v>213</v>
      </c>
      <c r="K159" s="233"/>
      <c r="L159" s="235" t="s">
        <v>212</v>
      </c>
      <c r="M159" s="233"/>
      <c r="N159" s="235" t="s">
        <v>212</v>
      </c>
      <c r="O159" s="233"/>
      <c r="P159" s="235" t="s">
        <v>213</v>
      </c>
      <c r="Q159" s="233"/>
      <c r="R159" s="235" t="s">
        <v>212</v>
      </c>
      <c r="S159" s="233"/>
      <c r="T159" s="235" t="s">
        <v>210</v>
      </c>
      <c r="U159" s="233"/>
      <c r="V159" s="235" t="s">
        <v>212</v>
      </c>
      <c r="W159" s="233"/>
      <c r="X159" s="235" t="s">
        <v>212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347"/>
      <c r="C162" s="225">
        <v>422</v>
      </c>
      <c r="D162" s="1348"/>
      <c r="E162" s="226">
        <v>417</v>
      </c>
      <c r="F162" s="1347"/>
      <c r="G162" s="227">
        <v>400</v>
      </c>
      <c r="H162" s="1346"/>
      <c r="I162" s="228">
        <v>421</v>
      </c>
      <c r="J162" s="1349"/>
      <c r="K162" s="228">
        <v>419</v>
      </c>
      <c r="L162" s="1346"/>
      <c r="M162" s="228">
        <v>402</v>
      </c>
      <c r="N162" s="1346"/>
      <c r="O162" s="228">
        <v>402</v>
      </c>
      <c r="P162" s="1346"/>
      <c r="Q162" s="227">
        <v>411</v>
      </c>
      <c r="R162" s="1347"/>
      <c r="S162" s="227">
        <v>355</v>
      </c>
      <c r="T162" s="1346"/>
      <c r="U162" s="228">
        <v>390</v>
      </c>
      <c r="V162" s="1346"/>
      <c r="W162" s="227">
        <v>380</v>
      </c>
      <c r="X162" s="1347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320"/>
      <c r="C163" s="222"/>
      <c r="D163" s="1320"/>
      <c r="E163" s="222"/>
      <c r="F163" s="1320"/>
      <c r="G163" s="222"/>
      <c r="H163" s="1334"/>
      <c r="I163" s="230"/>
      <c r="J163" s="1334"/>
      <c r="K163" s="230"/>
      <c r="L163" s="1334"/>
      <c r="M163" s="230"/>
      <c r="N163" s="1334"/>
      <c r="O163" s="230"/>
      <c r="P163" s="1334"/>
      <c r="Q163" s="230"/>
      <c r="R163" s="1320"/>
      <c r="S163" s="230"/>
      <c r="T163" s="1334"/>
      <c r="U163" s="230"/>
      <c r="V163" s="1334"/>
      <c r="W163" s="222"/>
      <c r="X163" s="1320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481</v>
      </c>
      <c r="C164" s="223"/>
      <c r="D164" s="232" t="s">
        <v>400</v>
      </c>
      <c r="E164" s="223"/>
      <c r="F164" s="232" t="s">
        <v>401</v>
      </c>
      <c r="G164" s="223"/>
      <c r="H164" s="232" t="s">
        <v>402</v>
      </c>
      <c r="I164" s="233"/>
      <c r="J164" s="232" t="s">
        <v>403</v>
      </c>
      <c r="K164" s="233"/>
      <c r="L164" s="232" t="s">
        <v>404</v>
      </c>
      <c r="M164" s="233"/>
      <c r="N164" s="232" t="s">
        <v>405</v>
      </c>
      <c r="O164" s="233"/>
      <c r="P164" s="232" t="s">
        <v>406</v>
      </c>
      <c r="Q164" s="233"/>
      <c r="R164" s="232" t="s">
        <v>407</v>
      </c>
      <c r="S164" s="233"/>
      <c r="T164" s="232" t="s">
        <v>482</v>
      </c>
      <c r="U164" s="233"/>
      <c r="V164" s="232" t="s">
        <v>408</v>
      </c>
      <c r="W164" s="233"/>
      <c r="X164" s="232" t="s">
        <v>409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237</v>
      </c>
      <c r="C165" s="223"/>
      <c r="D165" s="235" t="s">
        <v>213</v>
      </c>
      <c r="E165" s="223"/>
      <c r="F165" s="235" t="s">
        <v>213</v>
      </c>
      <c r="G165" s="233"/>
      <c r="H165" s="235" t="s">
        <v>212</v>
      </c>
      <c r="I165" s="233"/>
      <c r="J165" s="235" t="s">
        <v>213</v>
      </c>
      <c r="K165" s="233"/>
      <c r="L165" s="235" t="s">
        <v>212</v>
      </c>
      <c r="M165" s="233"/>
      <c r="N165" s="235" t="s">
        <v>212</v>
      </c>
      <c r="O165" s="233"/>
      <c r="P165" s="235" t="s">
        <v>213</v>
      </c>
      <c r="Q165" s="233"/>
      <c r="R165" s="235" t="s">
        <v>212</v>
      </c>
      <c r="S165" s="233"/>
      <c r="T165" s="235" t="s">
        <v>210</v>
      </c>
      <c r="U165" s="233"/>
      <c r="V165" s="235" t="s">
        <v>212</v>
      </c>
      <c r="W165" s="233"/>
      <c r="X165" s="235" t="s">
        <v>212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99"/>
  <sheetViews>
    <sheetView showGridLines="0" tabSelected="1" zoomScale="67" zoomScaleNormal="61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18" width="8.88671875" customWidth="1"/>
    <col min="19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53"/>
      <c r="C2" s="346" t="s">
        <v>0</v>
      </c>
      <c r="D2" s="1354" t="s">
        <v>1</v>
      </c>
      <c r="E2" s="1332"/>
      <c r="F2" s="1271"/>
      <c r="G2" s="3" t="s">
        <v>2</v>
      </c>
      <c r="H2" s="306">
        <v>46244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16"/>
      <c r="C3" s="346" t="s">
        <v>5</v>
      </c>
      <c r="D3" s="1355" t="s">
        <v>6</v>
      </c>
      <c r="E3" s="1332"/>
      <c r="F3" s="1271"/>
      <c r="G3" s="3" t="s">
        <v>7</v>
      </c>
      <c r="H3" s="4" t="s">
        <v>8</v>
      </c>
      <c r="I3" s="3" t="s">
        <v>9</v>
      </c>
      <c r="J3" s="5" t="s">
        <v>759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16"/>
      <c r="C4" s="346" t="s">
        <v>10</v>
      </c>
      <c r="D4" s="1355" t="s">
        <v>11</v>
      </c>
      <c r="E4" s="1332"/>
      <c r="F4" s="1271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28"/>
      <c r="C5" s="346" t="s">
        <v>16</v>
      </c>
      <c r="D5" s="1355" t="s">
        <v>17</v>
      </c>
      <c r="E5" s="1332"/>
      <c r="F5" s="1271"/>
      <c r="G5" s="3" t="s">
        <v>18</v>
      </c>
      <c r="H5" s="4" t="s">
        <v>902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1" t="s">
        <v>21</v>
      </c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3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5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6" t="s">
        <v>34</v>
      </c>
      <c r="C10" s="486" t="s">
        <v>35</v>
      </c>
      <c r="D10" s="487">
        <v>113.286</v>
      </c>
      <c r="E10" s="488">
        <v>113.286</v>
      </c>
      <c r="F10" s="488">
        <v>113.286</v>
      </c>
      <c r="G10" s="488">
        <v>113.286</v>
      </c>
      <c r="H10" s="487">
        <v>0</v>
      </c>
      <c r="I10" s="487">
        <v>0</v>
      </c>
      <c r="J10" s="487">
        <v>0</v>
      </c>
      <c r="K10" s="490">
        <v>0</v>
      </c>
      <c r="L10" s="489">
        <v>113.286</v>
      </c>
      <c r="M10" s="502"/>
      <c r="N10" s="2" t="s">
        <v>873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7" t="s">
        <v>36</v>
      </c>
      <c r="C11" s="498" t="s">
        <v>35</v>
      </c>
      <c r="D11" s="499">
        <v>113.286</v>
      </c>
      <c r="E11" s="500">
        <v>113.286</v>
      </c>
      <c r="F11" s="501">
        <v>113.286</v>
      </c>
      <c r="G11" s="501">
        <v>112.88800000000001</v>
      </c>
      <c r="H11" s="499">
        <f>E11-F11</f>
        <v>0</v>
      </c>
      <c r="I11" s="499">
        <v>0.39800000000000002</v>
      </c>
      <c r="J11" s="499">
        <f>I11</f>
        <v>0.39800000000000002</v>
      </c>
      <c r="K11" s="505">
        <v>0</v>
      </c>
      <c r="L11" s="501">
        <f>G11</f>
        <v>112.88800000000001</v>
      </c>
      <c r="M11" s="503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545</v>
      </c>
      <c r="D15" s="270" t="s">
        <v>546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682</v>
      </c>
      <c r="J15" s="269" t="s">
        <v>41</v>
      </c>
      <c r="K15" s="269" t="s">
        <v>672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297</v>
      </c>
      <c r="E16" s="312">
        <v>180</v>
      </c>
      <c r="F16" s="312">
        <v>9</v>
      </c>
      <c r="G16" s="312">
        <v>30</v>
      </c>
      <c r="H16" s="1064">
        <v>0</v>
      </c>
      <c r="I16" s="313">
        <v>7</v>
      </c>
      <c r="J16" s="312">
        <v>306</v>
      </c>
      <c r="K16" s="342">
        <f t="shared" ref="K16:K21" si="0">E16+I16</f>
        <v>187</v>
      </c>
      <c r="L16" s="312">
        <f>292-K16</f>
        <v>105</v>
      </c>
      <c r="M16" s="402">
        <v>12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297</v>
      </c>
      <c r="E17" s="312">
        <v>131</v>
      </c>
      <c r="F17" s="312">
        <v>9</v>
      </c>
      <c r="G17" s="312">
        <v>30</v>
      </c>
      <c r="H17" s="1064">
        <v>0</v>
      </c>
      <c r="I17" s="313">
        <v>0</v>
      </c>
      <c r="J17" s="312">
        <f>J16</f>
        <v>306</v>
      </c>
      <c r="K17" s="342">
        <f t="shared" si="0"/>
        <v>131</v>
      </c>
      <c r="L17" s="400">
        <f t="shared" ref="L17:L25" si="1">C17-K17</f>
        <v>161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250</v>
      </c>
      <c r="E18" s="312">
        <v>118</v>
      </c>
      <c r="F18" s="315">
        <v>10</v>
      </c>
      <c r="G18" s="312">
        <v>25</v>
      </c>
      <c r="H18" s="1120">
        <v>1</v>
      </c>
      <c r="I18" s="313">
        <v>7</v>
      </c>
      <c r="J18" s="312">
        <v>260</v>
      </c>
      <c r="K18" s="342">
        <f t="shared" si="0"/>
        <v>125</v>
      </c>
      <c r="L18" s="312">
        <f t="shared" si="1"/>
        <v>167</v>
      </c>
      <c r="M18" s="343">
        <v>8</v>
      </c>
      <c r="N18" s="343">
        <v>7</v>
      </c>
      <c r="O18" s="663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36</v>
      </c>
      <c r="E19" s="312">
        <v>0</v>
      </c>
      <c r="F19" s="313">
        <v>2</v>
      </c>
      <c r="G19" s="312">
        <v>3.4689999999999999</v>
      </c>
      <c r="H19" s="1064">
        <v>0</v>
      </c>
      <c r="I19" s="313">
        <v>0</v>
      </c>
      <c r="J19" s="312">
        <v>38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36</v>
      </c>
      <c r="E20" s="312">
        <v>0</v>
      </c>
      <c r="F20" s="313">
        <v>2</v>
      </c>
      <c r="G20" s="312">
        <v>3.4689999999999999</v>
      </c>
      <c r="H20" s="315">
        <v>0</v>
      </c>
      <c r="I20" s="313">
        <v>0</v>
      </c>
      <c r="J20" s="312">
        <v>38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36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38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680</v>
      </c>
      <c r="C27" s="436" t="s">
        <v>676</v>
      </c>
      <c r="D27" s="437" t="s">
        <v>677</v>
      </c>
      <c r="E27" s="438" t="s">
        <v>678</v>
      </c>
      <c r="F27" s="436" t="s">
        <v>679</v>
      </c>
      <c r="G27" s="439" t="s">
        <v>681</v>
      </c>
      <c r="H27" s="277"/>
      <c r="I27" s="277"/>
      <c r="J27" s="274"/>
      <c r="K27" s="574" t="s">
        <v>866</v>
      </c>
      <c r="L27" s="575" t="s">
        <v>178</v>
      </c>
      <c r="M27" s="575" t="s">
        <v>99</v>
      </c>
      <c r="N27" s="576" t="s">
        <v>681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781" t="s">
        <v>216</v>
      </c>
      <c r="C28" s="508" t="s">
        <v>940</v>
      </c>
      <c r="D28" s="508" t="s">
        <v>940</v>
      </c>
      <c r="E28" s="508" t="s">
        <v>940</v>
      </c>
      <c r="F28" s="508" t="s">
        <v>1060</v>
      </c>
      <c r="G28" s="509" t="s">
        <v>870</v>
      </c>
      <c r="H28" s="277"/>
      <c r="I28" s="341"/>
      <c r="J28" s="274"/>
      <c r="K28" s="662" t="s">
        <v>422</v>
      </c>
      <c r="L28" s="1074" t="s">
        <v>933</v>
      </c>
      <c r="M28" s="662" t="s">
        <v>1062</v>
      </c>
      <c r="N28" s="662" t="s">
        <v>931</v>
      </c>
      <c r="O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781" t="s">
        <v>218</v>
      </c>
      <c r="C29" s="781" t="s">
        <v>1059</v>
      </c>
      <c r="D29" s="781" t="s">
        <v>1059</v>
      </c>
      <c r="E29" s="781" t="s">
        <v>1059</v>
      </c>
      <c r="F29" s="781" t="s">
        <v>1059</v>
      </c>
      <c r="G29" s="509" t="s">
        <v>870</v>
      </c>
      <c r="I29" s="341"/>
      <c r="J29" s="274"/>
      <c r="K29" s="1119" t="s">
        <v>415</v>
      </c>
      <c r="L29" s="1119" t="s">
        <v>669</v>
      </c>
      <c r="M29" s="1119" t="s">
        <v>770</v>
      </c>
      <c r="N29" s="1119" t="s">
        <v>930</v>
      </c>
      <c r="O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278"/>
      <c r="B30" s="781" t="s">
        <v>423</v>
      </c>
      <c r="C30" s="935" t="s">
        <v>940</v>
      </c>
      <c r="D30" s="935" t="s">
        <v>940</v>
      </c>
      <c r="E30" s="935" t="s">
        <v>1059</v>
      </c>
      <c r="F30" s="935" t="s">
        <v>939</v>
      </c>
      <c r="G30" s="781" t="s">
        <v>908</v>
      </c>
      <c r="H30" s="277"/>
      <c r="I30" s="341"/>
      <c r="J30" s="274"/>
      <c r="K30" s="662" t="s">
        <v>428</v>
      </c>
      <c r="L30" s="662" t="s">
        <v>668</v>
      </c>
      <c r="M30" s="662" t="s">
        <v>1058</v>
      </c>
      <c r="N30" s="662" t="s">
        <v>932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781" t="s">
        <v>281</v>
      </c>
      <c r="C31" s="781" t="s">
        <v>927</v>
      </c>
      <c r="D31" s="781" t="s">
        <v>927</v>
      </c>
      <c r="E31" s="781" t="s">
        <v>927</v>
      </c>
      <c r="F31" s="781" t="s">
        <v>927</v>
      </c>
      <c r="G31" s="781" t="s">
        <v>735</v>
      </c>
      <c r="H31" s="277"/>
      <c r="I31" s="341"/>
      <c r="J31" s="274"/>
      <c r="K31" s="662" t="s">
        <v>445</v>
      </c>
      <c r="L31" s="662" t="s">
        <v>919</v>
      </c>
      <c r="M31" s="662" t="s">
        <v>1064</v>
      </c>
      <c r="N31" s="662" t="s">
        <v>910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935" t="s">
        <v>435</v>
      </c>
      <c r="C32" s="935" t="s">
        <v>925</v>
      </c>
      <c r="D32" s="935" t="s">
        <v>925</v>
      </c>
      <c r="E32" s="935" t="s">
        <v>925</v>
      </c>
      <c r="F32" s="935" t="s">
        <v>925</v>
      </c>
      <c r="G32" s="935" t="s">
        <v>918</v>
      </c>
      <c r="H32" s="277"/>
      <c r="I32" s="341"/>
      <c r="J32" s="274"/>
      <c r="K32" s="662" t="s">
        <v>215</v>
      </c>
      <c r="L32" s="662" t="s">
        <v>87</v>
      </c>
      <c r="M32" s="662" t="s">
        <v>1064</v>
      </c>
      <c r="N32" s="662" t="s">
        <v>929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935" t="s">
        <v>336</v>
      </c>
      <c r="C33" s="935" t="s">
        <v>925</v>
      </c>
      <c r="D33" s="935" t="s">
        <v>925</v>
      </c>
      <c r="E33" s="935" t="s">
        <v>936</v>
      </c>
      <c r="F33" s="935" t="s">
        <v>936</v>
      </c>
      <c r="G33" s="781" t="s">
        <v>917</v>
      </c>
      <c r="H33" s="277" t="s">
        <v>873</v>
      </c>
      <c r="I33" s="341"/>
      <c r="J33" s="274"/>
      <c r="K33" s="662" t="s">
        <v>377</v>
      </c>
      <c r="L33" s="662" t="s">
        <v>87</v>
      </c>
      <c r="M33" s="662" t="s">
        <v>1063</v>
      </c>
      <c r="N33" s="662" t="s">
        <v>690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781" t="s">
        <v>466</v>
      </c>
      <c r="C34" s="781" t="s">
        <v>936</v>
      </c>
      <c r="D34" s="781" t="s">
        <v>936</v>
      </c>
      <c r="E34" s="781" t="s">
        <v>1059</v>
      </c>
      <c r="F34" s="781" t="s">
        <v>936</v>
      </c>
      <c r="G34" s="781" t="s">
        <v>917</v>
      </c>
      <c r="H34" s="277"/>
      <c r="I34" s="341"/>
      <c r="J34" s="274"/>
      <c r="K34" s="1516" t="s">
        <v>615</v>
      </c>
      <c r="L34" s="1074" t="s">
        <v>87</v>
      </c>
      <c r="M34" s="1074" t="s">
        <v>1061</v>
      </c>
      <c r="N34" s="1074" t="s">
        <v>923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781" t="s">
        <v>108</v>
      </c>
      <c r="C35" s="508" t="s">
        <v>940</v>
      </c>
      <c r="D35" s="508" t="s">
        <v>940</v>
      </c>
      <c r="E35" s="781" t="s">
        <v>939</v>
      </c>
      <c r="F35" s="781" t="s">
        <v>939</v>
      </c>
      <c r="G35" s="781" t="s">
        <v>917</v>
      </c>
      <c r="H35" s="277"/>
      <c r="I35" s="341" t="s">
        <v>1051</v>
      </c>
      <c r="J35" s="274"/>
      <c r="K35" s="662" t="s">
        <v>206</v>
      </c>
      <c r="L35" s="662" t="s">
        <v>91</v>
      </c>
      <c r="M35" s="662" t="s">
        <v>1061</v>
      </c>
      <c r="N35" s="662" t="s">
        <v>930</v>
      </c>
      <c r="O35" s="1"/>
      <c r="Q35" s="1"/>
      <c r="R35" s="1"/>
      <c r="S35" s="1"/>
      <c r="T35" s="1"/>
      <c r="U35" s="1"/>
      <c r="V35" s="1"/>
      <c r="W35" s="1"/>
    </row>
    <row r="36" spans="1:24" s="1116" customFormat="1" ht="15.6" x14ac:dyDescent="0.3">
      <c r="A36" s="1113"/>
      <c r="B36" s="935" t="s">
        <v>373</v>
      </c>
      <c r="C36" s="781" t="s">
        <v>768</v>
      </c>
      <c r="D36" s="781" t="s">
        <v>768</v>
      </c>
      <c r="E36" s="781" t="s">
        <v>768</v>
      </c>
      <c r="F36" s="781" t="s">
        <v>768</v>
      </c>
      <c r="G36" s="781" t="s">
        <v>937</v>
      </c>
      <c r="H36" s="1114"/>
      <c r="I36" s="1115"/>
      <c r="J36" s="1115"/>
      <c r="K36" s="782"/>
      <c r="L36" s="782"/>
      <c r="M36" s="782"/>
      <c r="N36" s="782"/>
      <c r="O36" s="485"/>
      <c r="Q36" s="485"/>
      <c r="R36" s="485"/>
      <c r="S36" s="485"/>
      <c r="T36" s="485"/>
      <c r="U36" s="485"/>
      <c r="V36" s="485"/>
      <c r="W36" s="485"/>
    </row>
    <row r="37" spans="1:24" s="1116" customFormat="1" ht="31.2" x14ac:dyDescent="0.3">
      <c r="A37" s="1113"/>
      <c r="B37" s="935" t="s">
        <v>376</v>
      </c>
      <c r="C37" s="781" t="s">
        <v>939</v>
      </c>
      <c r="D37" s="781" t="s">
        <v>939</v>
      </c>
      <c r="E37" s="781" t="s">
        <v>939</v>
      </c>
      <c r="F37" s="781" t="s">
        <v>940</v>
      </c>
      <c r="G37" s="781" t="s">
        <v>937</v>
      </c>
      <c r="H37" s="1114"/>
      <c r="I37" s="1115"/>
      <c r="J37" s="1115"/>
      <c r="K37" s="504"/>
      <c r="L37" s="782"/>
      <c r="M37" s="782"/>
      <c r="N37" s="782"/>
      <c r="O37" s="485"/>
      <c r="Q37" s="485"/>
      <c r="R37" s="485"/>
      <c r="S37" s="485"/>
      <c r="T37" s="485"/>
      <c r="U37" s="485"/>
      <c r="V37" s="485"/>
      <c r="W37" s="485"/>
    </row>
    <row r="38" spans="1:24" ht="15.6" x14ac:dyDescent="0.3">
      <c r="A38" s="278"/>
      <c r="B38" s="1121"/>
      <c r="C38" s="1121"/>
      <c r="D38" s="1121"/>
      <c r="E38" s="1121"/>
      <c r="F38" s="1121"/>
      <c r="G38" s="1121"/>
      <c r="H38" s="277"/>
      <c r="I38" s="341"/>
      <c r="J38" s="341"/>
      <c r="K38" s="504"/>
      <c r="L38" s="504"/>
      <c r="M38" s="504"/>
      <c r="N38" s="782"/>
      <c r="O38" s="1"/>
      <c r="Q38" s="1"/>
      <c r="R38" s="1"/>
      <c r="S38" s="1"/>
      <c r="T38" s="1"/>
      <c r="U38" s="1"/>
      <c r="V38" s="1"/>
      <c r="W38" s="1"/>
    </row>
    <row r="39" spans="1:24" ht="16.2" thickBot="1" x14ac:dyDescent="0.35">
      <c r="A39" s="278"/>
      <c r="B39" s="932"/>
      <c r="C39" s="932"/>
      <c r="D39" s="932"/>
      <c r="E39" s="932"/>
      <c r="F39" s="932"/>
      <c r="G39" s="933"/>
      <c r="H39" s="277"/>
      <c r="I39" s="341"/>
      <c r="J39" s="341"/>
      <c r="K39" s="504"/>
      <c r="L39" s="504"/>
      <c r="M39" s="504"/>
      <c r="N39" s="782"/>
      <c r="O39" s="1"/>
      <c r="Q39" s="1"/>
      <c r="R39" s="1"/>
      <c r="S39" s="1"/>
      <c r="T39" s="1"/>
      <c r="U39" s="1"/>
      <c r="V39" s="1"/>
      <c r="W39" s="1"/>
    </row>
    <row r="40" spans="1:24" ht="21" x14ac:dyDescent="0.4">
      <c r="A40" s="1"/>
      <c r="B40" s="426" t="s">
        <v>55</v>
      </c>
      <c r="C40" s="427"/>
      <c r="D40" s="427"/>
      <c r="E40" s="427"/>
      <c r="F40" s="427"/>
      <c r="G40" s="427"/>
      <c r="H40" s="427"/>
      <c r="I40" s="427"/>
      <c r="J40" s="427"/>
      <c r="K40" s="427"/>
      <c r="L40" s="427"/>
      <c r="M40" s="428"/>
      <c r="N40" s="6"/>
      <c r="O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429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423" t="s">
        <v>544</v>
      </c>
      <c r="M41" s="430" t="s">
        <v>33</v>
      </c>
      <c r="N41" s="2"/>
      <c r="O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431" t="s">
        <v>63</v>
      </c>
      <c r="C42" s="8" t="s">
        <v>64</v>
      </c>
      <c r="D42" s="8">
        <v>292</v>
      </c>
      <c r="E42" s="8">
        <v>316</v>
      </c>
      <c r="F42" s="8">
        <v>277</v>
      </c>
      <c r="G42" s="8">
        <f>D42-F42</f>
        <v>15</v>
      </c>
      <c r="H42" s="332">
        <v>0</v>
      </c>
      <c r="I42" s="332">
        <f>G42</f>
        <v>15</v>
      </c>
      <c r="J42" s="8">
        <v>0</v>
      </c>
      <c r="K42" s="421">
        <f>F42+J42</f>
        <v>277</v>
      </c>
      <c r="L42" s="424">
        <f>E42+H42-K42</f>
        <v>39</v>
      </c>
      <c r="M42" s="432"/>
      <c r="N42" s="2"/>
      <c r="O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431" t="s">
        <v>65</v>
      </c>
      <c r="C43" s="333" t="s">
        <v>66</v>
      </c>
      <c r="D43" s="333">
        <v>292</v>
      </c>
      <c r="E43" s="333">
        <v>316</v>
      </c>
      <c r="F43" s="333">
        <v>284</v>
      </c>
      <c r="G43" s="333">
        <f>D43-F43</f>
        <v>8</v>
      </c>
      <c r="H43" s="332">
        <v>0</v>
      </c>
      <c r="I43" s="334">
        <v>8</v>
      </c>
      <c r="J43" s="333">
        <v>0</v>
      </c>
      <c r="K43" s="422">
        <f>F43+J43</f>
        <v>284</v>
      </c>
      <c r="L43" s="424">
        <f>E43+H43-K43</f>
        <v>32</v>
      </c>
      <c r="M43" s="432"/>
      <c r="N43" s="266"/>
      <c r="O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331" t="s">
        <v>671</v>
      </c>
      <c r="C44" s="335" t="s">
        <v>35</v>
      </c>
      <c r="D44" s="335">
        <v>4118</v>
      </c>
      <c r="E44" s="335">
        <v>3800</v>
      </c>
      <c r="F44" s="335">
        <v>4109.0569999999998</v>
      </c>
      <c r="G44" s="335">
        <f>D44-F44</f>
        <v>8.943000000000211</v>
      </c>
      <c r="H44" s="335">
        <v>514</v>
      </c>
      <c r="I44" s="335">
        <f>G44</f>
        <v>8.943000000000211</v>
      </c>
      <c r="J44" s="335">
        <v>0</v>
      </c>
      <c r="K44" s="336">
        <f>F44</f>
        <v>4109.0569999999998</v>
      </c>
      <c r="L44" s="335">
        <f>E44+H44-K44</f>
        <v>204.94300000000021</v>
      </c>
      <c r="M44" s="506" t="s">
        <v>1052</v>
      </c>
      <c r="N44" s="2"/>
      <c r="O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419"/>
      <c r="M45" s="420"/>
      <c r="N45" s="2"/>
      <c r="O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291" t="s">
        <v>665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92" t="s">
        <v>921</v>
      </c>
      <c r="C47" s="292"/>
      <c r="D47" s="292"/>
      <c r="E47" s="290"/>
      <c r="F47" s="2"/>
      <c r="G47" s="2"/>
      <c r="H47" s="2"/>
      <c r="I47" s="2"/>
      <c r="J47" s="2"/>
      <c r="K47" s="2"/>
      <c r="L47" s="2"/>
      <c r="M47" s="2"/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92"/>
      <c r="C48" s="292"/>
      <c r="D48" s="292"/>
      <c r="E48" s="290"/>
      <c r="F48" s="290"/>
      <c r="G48" s="289"/>
      <c r="H48" s="2"/>
      <c r="I48" s="2"/>
      <c r="J48" s="2"/>
      <c r="K48" s="2"/>
      <c r="L48" s="2"/>
      <c r="M48" s="2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92"/>
      <c r="C49" s="292"/>
      <c r="D49" s="292"/>
      <c r="E49" s="290"/>
      <c r="F49" s="290"/>
      <c r="G49" s="289"/>
      <c r="H49" s="2"/>
      <c r="I49" s="2"/>
      <c r="J49" s="2"/>
      <c r="K49" s="2"/>
      <c r="L49" s="2"/>
      <c r="M49" s="2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92"/>
      <c r="C50" s="290"/>
      <c r="D50" s="290"/>
      <c r="E50" s="290"/>
      <c r="F50" s="290"/>
      <c r="G50" s="289"/>
      <c r="H50" s="2"/>
      <c r="I50" s="2"/>
      <c r="J50" s="2"/>
      <c r="K50" s="2"/>
      <c r="L50" s="2"/>
      <c r="M50" s="2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9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2.4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Q146" s="1"/>
      <c r="R146" s="1"/>
      <c r="S146" s="1"/>
      <c r="T146" s="1"/>
      <c r="U146" s="1"/>
      <c r="V146" s="1"/>
      <c r="W146" s="1"/>
      <c r="X146" s="1"/>
    </row>
    <row r="147" spans="1:24" ht="13.8" x14ac:dyDescent="0.3"/>
    <row r="148" spans="1:24" ht="13.8" x14ac:dyDescent="0.3"/>
    <row r="149" spans="1:24" ht="13.8" x14ac:dyDescent="0.3"/>
    <row r="150" spans="1:24" ht="13.8" x14ac:dyDescent="0.3"/>
    <row r="151" spans="1:24" ht="13.8" x14ac:dyDescent="0.3"/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</sheetData>
  <mergeCells count="5"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280"/>
  <sheetViews>
    <sheetView topLeftCell="A172" zoomScale="75" zoomScaleNormal="75" workbookViewId="0">
      <selection activeCell="G473" sqref="G473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0" width="9.21875" style="284" customWidth="1"/>
    <col min="21" max="16384" width="14.44140625" style="284"/>
  </cols>
  <sheetData>
    <row r="1" spans="2:20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</row>
    <row r="2" spans="2:20" ht="13.5" customHeight="1" thickBot="1" x14ac:dyDescent="0.35">
      <c r="B2" s="1264" t="s">
        <v>21</v>
      </c>
      <c r="C2" s="1265"/>
      <c r="D2" s="1265"/>
      <c r="E2" s="1265"/>
      <c r="F2" s="1265"/>
      <c r="G2" s="1265"/>
      <c r="H2" s="1265"/>
      <c r="I2" s="1265"/>
      <c r="J2" s="1265"/>
      <c r="K2" s="1265"/>
      <c r="L2" s="1265"/>
      <c r="M2" s="1265"/>
      <c r="N2" s="1266"/>
      <c r="O2" s="15"/>
      <c r="P2" s="15"/>
      <c r="Q2" s="1"/>
      <c r="R2" s="1"/>
      <c r="S2" s="1"/>
      <c r="T2" s="1"/>
    </row>
    <row r="3" spans="2:20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</row>
    <row r="4" spans="2:20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</row>
    <row r="5" spans="2:20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</row>
    <row r="6" spans="2:20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</row>
    <row r="7" spans="2:20" ht="12.75" customHeight="1" x14ac:dyDescent="0.3">
      <c r="B7" s="1267" t="s">
        <v>68</v>
      </c>
      <c r="C7" s="1268"/>
      <c r="D7" s="1268"/>
      <c r="E7" s="1268"/>
      <c r="F7" s="1268"/>
      <c r="G7" s="1268"/>
      <c r="H7" s="1269"/>
      <c r="Q7" s="1"/>
      <c r="R7" s="1"/>
      <c r="S7" s="1"/>
      <c r="T7" s="1"/>
    </row>
    <row r="8" spans="2:20" ht="25.5" customHeight="1" x14ac:dyDescent="0.3">
      <c r="B8" s="30" t="s">
        <v>69</v>
      </c>
      <c r="C8" s="1270" t="s">
        <v>70</v>
      </c>
      <c r="D8" s="1271"/>
      <c r="E8" s="1272" t="s">
        <v>71</v>
      </c>
      <c r="F8" s="1273"/>
      <c r="G8" s="1270" t="s">
        <v>72</v>
      </c>
      <c r="H8" s="1271"/>
      <c r="Q8" s="1"/>
      <c r="R8" s="1"/>
      <c r="S8" s="1"/>
      <c r="T8" s="1"/>
    </row>
    <row r="9" spans="2:20" ht="25.2" customHeight="1" thickBot="1" x14ac:dyDescent="0.35">
      <c r="B9" s="32"/>
      <c r="C9" s="1274"/>
      <c r="D9" s="1271"/>
      <c r="E9" s="1274"/>
      <c r="F9" s="1271"/>
      <c r="G9" s="1275"/>
      <c r="H9" s="1271"/>
      <c r="J9" s="33"/>
      <c r="K9" s="15"/>
      <c r="L9" s="15"/>
      <c r="Q9" s="1"/>
      <c r="R9" s="1"/>
      <c r="S9" s="1"/>
      <c r="T9" s="1"/>
    </row>
    <row r="10" spans="2:20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COUNTIFS($I$13:$L$199,"Foundation Completed.")</f>
        <v>187</v>
      </c>
      <c r="M10" s="15"/>
      <c r="N10" s="15"/>
      <c r="O10" s="15"/>
      <c r="P10" s="15"/>
      <c r="Q10" s="1"/>
      <c r="R10" s="1"/>
      <c r="S10" s="1"/>
      <c r="T10" s="1"/>
    </row>
    <row r="11" spans="2:20" ht="16.2" thickBot="1" x14ac:dyDescent="0.35">
      <c r="B11" s="1276" t="s">
        <v>73</v>
      </c>
      <c r="C11" s="1277"/>
      <c r="D11" s="1277"/>
      <c r="E11" s="1277"/>
      <c r="F11" s="1277"/>
      <c r="G11" s="1277"/>
      <c r="H11" s="1277"/>
      <c r="I11" s="1277"/>
      <c r="J11" s="1278"/>
      <c r="K11" s="1277"/>
      <c r="L11" s="1278"/>
      <c r="M11" s="1277"/>
      <c r="N11" s="1277"/>
      <c r="O11" s="1277"/>
      <c r="P11" s="1277"/>
      <c r="Q11" s="1"/>
      <c r="R11" s="1"/>
      <c r="S11" s="1"/>
      <c r="T11" s="1"/>
    </row>
    <row r="12" spans="2:20" s="666" customFormat="1" ht="34.799999999999997" x14ac:dyDescent="0.35">
      <c r="B12" s="780" t="s">
        <v>69</v>
      </c>
      <c r="C12" s="780" t="s">
        <v>74</v>
      </c>
      <c r="D12" s="780" t="s">
        <v>75</v>
      </c>
      <c r="E12" s="780" t="s">
        <v>76</v>
      </c>
      <c r="F12" s="34" t="s">
        <v>77</v>
      </c>
      <c r="G12" s="780" t="s">
        <v>78</v>
      </c>
      <c r="H12" s="780" t="s">
        <v>79</v>
      </c>
      <c r="I12" s="1279" t="s">
        <v>80</v>
      </c>
      <c r="J12" s="1280"/>
      <c r="K12" s="1280"/>
      <c r="L12" s="1281"/>
      <c r="M12" s="780" t="s">
        <v>81</v>
      </c>
      <c r="N12" s="780" t="s">
        <v>82</v>
      </c>
      <c r="O12" s="780" t="s">
        <v>83</v>
      </c>
      <c r="P12" s="780" t="s">
        <v>84</v>
      </c>
      <c r="Q12" s="707"/>
      <c r="R12" s="707"/>
      <c r="S12" s="707"/>
      <c r="T12" s="707"/>
    </row>
    <row r="13" spans="2:20" s="666" customFormat="1" ht="17.399999999999999" x14ac:dyDescent="0.35">
      <c r="B13" s="667">
        <v>1</v>
      </c>
      <c r="C13" s="668" t="s">
        <v>90</v>
      </c>
      <c r="D13" s="667" t="s">
        <v>91</v>
      </c>
      <c r="E13" s="667" t="s">
        <v>92</v>
      </c>
      <c r="F13" s="347">
        <f>G13</f>
        <v>45854</v>
      </c>
      <c r="G13" s="696">
        <v>45854</v>
      </c>
      <c r="H13" s="697">
        <v>26.43</v>
      </c>
      <c r="I13" s="1247" t="s">
        <v>547</v>
      </c>
      <c r="J13" s="1248"/>
      <c r="K13" s="1248"/>
      <c r="L13" s="1249"/>
      <c r="M13" s="696">
        <v>45876</v>
      </c>
      <c r="N13" s="698" t="s">
        <v>89</v>
      </c>
      <c r="O13" s="699"/>
      <c r="P13" s="700">
        <v>10</v>
      </c>
      <c r="Q13" s="702"/>
      <c r="R13" s="702"/>
      <c r="S13" s="702"/>
      <c r="T13" s="702"/>
    </row>
    <row r="14" spans="2:20" s="666" customFormat="1" ht="17.399999999999999" x14ac:dyDescent="0.35">
      <c r="B14" s="667">
        <f>B13+1</f>
        <v>2</v>
      </c>
      <c r="C14" s="668" t="s">
        <v>86</v>
      </c>
      <c r="D14" s="667" t="s">
        <v>87</v>
      </c>
      <c r="E14" s="667" t="s">
        <v>88</v>
      </c>
      <c r="F14" s="347">
        <v>45848</v>
      </c>
      <c r="G14" s="696">
        <v>45849</v>
      </c>
      <c r="H14" s="703">
        <v>22.4</v>
      </c>
      <c r="I14" s="1247" t="s">
        <v>547</v>
      </c>
      <c r="J14" s="1248"/>
      <c r="K14" s="1248"/>
      <c r="L14" s="1249"/>
      <c r="M14" s="696">
        <v>45891</v>
      </c>
      <c r="N14" s="698" t="s">
        <v>89</v>
      </c>
      <c r="O14" s="699"/>
      <c r="P14" s="700">
        <v>10</v>
      </c>
      <c r="Q14" s="702"/>
      <c r="R14" s="702"/>
      <c r="S14" s="702"/>
      <c r="T14" s="702"/>
    </row>
    <row r="15" spans="2:20" s="666" customFormat="1" ht="17.399999999999999" x14ac:dyDescent="0.35">
      <c r="B15" s="667">
        <f t="shared" ref="B15:B78" si="0">B14+1</f>
        <v>3</v>
      </c>
      <c r="C15" s="669" t="s">
        <v>93</v>
      </c>
      <c r="D15" s="667" t="s">
        <v>87</v>
      </c>
      <c r="E15" s="667" t="s">
        <v>92</v>
      </c>
      <c r="F15" s="347" t="e">
        <f>#REF!</f>
        <v>#REF!</v>
      </c>
      <c r="G15" s="696">
        <v>45892</v>
      </c>
      <c r="H15" s="670">
        <v>23.27</v>
      </c>
      <c r="I15" s="1247" t="s">
        <v>547</v>
      </c>
      <c r="J15" s="1248"/>
      <c r="K15" s="1248"/>
      <c r="L15" s="1249"/>
      <c r="M15" s="704">
        <v>45913</v>
      </c>
      <c r="N15" s="698" t="s">
        <v>89</v>
      </c>
      <c r="O15" s="705"/>
      <c r="P15" s="706">
        <v>10</v>
      </c>
      <c r="Q15" s="707"/>
      <c r="R15" s="707"/>
      <c r="S15" s="707"/>
      <c r="T15" s="707"/>
    </row>
    <row r="16" spans="2:20" s="666" customFormat="1" ht="17.399999999999999" x14ac:dyDescent="0.35">
      <c r="B16" s="667">
        <f t="shared" si="0"/>
        <v>4</v>
      </c>
      <c r="C16" s="670" t="s">
        <v>96</v>
      </c>
      <c r="D16" s="667" t="s">
        <v>87</v>
      </c>
      <c r="E16" s="670" t="s">
        <v>542</v>
      </c>
      <c r="F16" s="347">
        <v>45898</v>
      </c>
      <c r="G16" s="708">
        <v>45902</v>
      </c>
      <c r="H16" s="670">
        <v>21.96</v>
      </c>
      <c r="I16" s="1247" t="s">
        <v>547</v>
      </c>
      <c r="J16" s="1248"/>
      <c r="K16" s="1248"/>
      <c r="L16" s="1249"/>
      <c r="M16" s="704">
        <v>45918</v>
      </c>
      <c r="N16" s="698" t="s">
        <v>89</v>
      </c>
      <c r="O16" s="705"/>
      <c r="P16" s="706">
        <v>10</v>
      </c>
      <c r="Q16" s="707"/>
      <c r="R16" s="707"/>
      <c r="S16" s="707"/>
      <c r="T16" s="707"/>
    </row>
    <row r="17" spans="1:102" s="666" customFormat="1" ht="17.399999999999999" x14ac:dyDescent="0.35">
      <c r="B17" s="667">
        <f t="shared" si="0"/>
        <v>5</v>
      </c>
      <c r="C17" s="669" t="s">
        <v>94</v>
      </c>
      <c r="D17" s="667" t="s">
        <v>95</v>
      </c>
      <c r="E17" s="670" t="s">
        <v>541</v>
      </c>
      <c r="F17" s="347">
        <v>45897</v>
      </c>
      <c r="G17" s="708">
        <v>45898</v>
      </c>
      <c r="H17" s="670">
        <v>36.659999999999997</v>
      </c>
      <c r="I17" s="1247" t="s">
        <v>547</v>
      </c>
      <c r="J17" s="1248"/>
      <c r="K17" s="1248"/>
      <c r="L17" s="1249"/>
      <c r="M17" s="704">
        <v>45940</v>
      </c>
      <c r="N17" s="698" t="s">
        <v>89</v>
      </c>
      <c r="O17" s="705"/>
      <c r="P17" s="706">
        <v>10</v>
      </c>
      <c r="Q17" s="707"/>
      <c r="R17" s="707"/>
      <c r="S17" s="707"/>
      <c r="T17" s="707"/>
    </row>
    <row r="18" spans="1:102" s="666" customFormat="1" ht="17.399999999999999" customHeight="1" x14ac:dyDescent="0.35">
      <c r="B18" s="667">
        <f t="shared" si="0"/>
        <v>6</v>
      </c>
      <c r="C18" s="671" t="s">
        <v>274</v>
      </c>
      <c r="D18" s="672" t="s">
        <v>87</v>
      </c>
      <c r="E18" s="671" t="s">
        <v>542</v>
      </c>
      <c r="F18" s="350">
        <v>45930</v>
      </c>
      <c r="G18" s="709">
        <v>45938</v>
      </c>
      <c r="H18" s="670">
        <v>21.96</v>
      </c>
      <c r="I18" s="1247" t="s">
        <v>547</v>
      </c>
      <c r="J18" s="1248"/>
      <c r="K18" s="1248"/>
      <c r="L18" s="1249"/>
      <c r="M18" s="710">
        <v>45949</v>
      </c>
      <c r="N18" s="711" t="s">
        <v>688</v>
      </c>
      <c r="O18" s="712"/>
      <c r="P18" s="713">
        <v>10</v>
      </c>
      <c r="Q18" s="707"/>
      <c r="R18" s="707"/>
      <c r="S18" s="707"/>
      <c r="T18" s="707"/>
    </row>
    <row r="19" spans="1:102" s="666" customFormat="1" ht="17.399999999999999" customHeight="1" x14ac:dyDescent="0.35">
      <c r="B19" s="667">
        <f t="shared" si="0"/>
        <v>7</v>
      </c>
      <c r="C19" s="671" t="s">
        <v>342</v>
      </c>
      <c r="D19" s="672" t="s">
        <v>87</v>
      </c>
      <c r="E19" s="671" t="s">
        <v>542</v>
      </c>
      <c r="F19" s="350">
        <v>45919</v>
      </c>
      <c r="G19" s="709">
        <v>45940</v>
      </c>
      <c r="H19" s="670">
        <v>21.96</v>
      </c>
      <c r="I19" s="1247" t="s">
        <v>547</v>
      </c>
      <c r="J19" s="1248"/>
      <c r="K19" s="1248"/>
      <c r="L19" s="1249"/>
      <c r="M19" s="710">
        <v>45949</v>
      </c>
      <c r="N19" s="698" t="s">
        <v>687</v>
      </c>
      <c r="O19" s="712"/>
      <c r="P19" s="713">
        <v>10</v>
      </c>
      <c r="Q19" s="707"/>
      <c r="R19" s="707"/>
      <c r="S19" s="707"/>
      <c r="T19" s="707"/>
    </row>
    <row r="20" spans="1:102" s="719" customFormat="1" ht="17.399999999999999" customHeight="1" x14ac:dyDescent="0.35">
      <c r="A20" s="666"/>
      <c r="B20" s="667">
        <f t="shared" si="0"/>
        <v>8</v>
      </c>
      <c r="C20" s="673" t="s">
        <v>273</v>
      </c>
      <c r="D20" s="674" t="s">
        <v>95</v>
      </c>
      <c r="E20" s="673" t="s">
        <v>542</v>
      </c>
      <c r="F20" s="351">
        <v>45933</v>
      </c>
      <c r="G20" s="714">
        <v>45938</v>
      </c>
      <c r="H20" s="671">
        <v>25.04</v>
      </c>
      <c r="I20" s="1247" t="s">
        <v>547</v>
      </c>
      <c r="J20" s="1248"/>
      <c r="K20" s="1248"/>
      <c r="L20" s="1249"/>
      <c r="M20" s="715">
        <v>45951</v>
      </c>
      <c r="N20" s="711" t="s">
        <v>688</v>
      </c>
      <c r="O20" s="716"/>
      <c r="P20" s="717">
        <v>20</v>
      </c>
      <c r="Q20" s="718"/>
      <c r="R20" s="718"/>
      <c r="S20" s="718"/>
      <c r="T20" s="718"/>
    </row>
    <row r="21" spans="1:102" s="721" customFormat="1" ht="17.399999999999999" customHeight="1" x14ac:dyDescent="0.35">
      <c r="A21" s="666"/>
      <c r="B21" s="667">
        <f t="shared" si="0"/>
        <v>9</v>
      </c>
      <c r="C21" s="671" t="s">
        <v>343</v>
      </c>
      <c r="D21" s="672" t="s">
        <v>87</v>
      </c>
      <c r="E21" s="673" t="s">
        <v>542</v>
      </c>
      <c r="F21" s="350">
        <v>45925</v>
      </c>
      <c r="G21" s="709">
        <v>45941</v>
      </c>
      <c r="H21" s="671">
        <v>21.96</v>
      </c>
      <c r="I21" s="1247" t="s">
        <v>547</v>
      </c>
      <c r="J21" s="1248"/>
      <c r="K21" s="1248"/>
      <c r="L21" s="1249"/>
      <c r="M21" s="720">
        <v>45954</v>
      </c>
      <c r="N21" s="698" t="s">
        <v>687</v>
      </c>
      <c r="O21" s="712"/>
      <c r="P21" s="713">
        <v>10</v>
      </c>
      <c r="Q21" s="718"/>
      <c r="R21" s="718"/>
      <c r="S21" s="718"/>
      <c r="T21" s="718"/>
      <c r="U21" s="719"/>
      <c r="V21" s="719"/>
      <c r="W21" s="719"/>
      <c r="X21" s="719"/>
      <c r="Y21" s="719"/>
      <c r="Z21" s="719"/>
      <c r="AA21" s="719"/>
      <c r="AB21" s="719"/>
      <c r="AC21" s="719"/>
      <c r="AD21" s="719"/>
      <c r="AE21" s="719"/>
      <c r="AF21" s="719"/>
      <c r="AG21" s="719"/>
      <c r="AH21" s="719"/>
      <c r="AI21" s="719"/>
      <c r="AJ21" s="719"/>
      <c r="AK21" s="719"/>
      <c r="AL21" s="719"/>
      <c r="AM21" s="719"/>
      <c r="AN21" s="719"/>
      <c r="AO21" s="719"/>
      <c r="AP21" s="719"/>
      <c r="AQ21" s="719"/>
      <c r="AR21" s="719"/>
      <c r="AS21" s="719"/>
      <c r="AT21" s="719"/>
      <c r="AU21" s="719"/>
      <c r="AV21" s="719"/>
      <c r="AW21" s="719"/>
      <c r="AX21" s="719"/>
      <c r="AY21" s="719"/>
      <c r="AZ21" s="719"/>
      <c r="BA21" s="719"/>
      <c r="BB21" s="719"/>
      <c r="BC21" s="719"/>
      <c r="BD21" s="719"/>
      <c r="BE21" s="719"/>
      <c r="BF21" s="719"/>
      <c r="BG21" s="719"/>
      <c r="BH21" s="719"/>
      <c r="BI21" s="719"/>
      <c r="BJ21" s="719"/>
      <c r="BK21" s="719"/>
      <c r="BL21" s="719"/>
      <c r="BM21" s="719"/>
      <c r="BN21" s="719"/>
      <c r="BO21" s="719"/>
      <c r="BP21" s="719"/>
      <c r="BQ21" s="719"/>
      <c r="BR21" s="719"/>
      <c r="BS21" s="719"/>
      <c r="BT21" s="719"/>
      <c r="BU21" s="719"/>
      <c r="BV21" s="719"/>
      <c r="BW21" s="719"/>
      <c r="BX21" s="719"/>
      <c r="BY21" s="719"/>
      <c r="BZ21" s="719"/>
      <c r="CA21" s="719"/>
      <c r="CB21" s="719"/>
      <c r="CC21" s="719"/>
      <c r="CD21" s="719"/>
      <c r="CE21" s="719"/>
      <c r="CF21" s="719"/>
      <c r="CG21" s="719"/>
      <c r="CH21" s="719"/>
      <c r="CI21" s="719"/>
      <c r="CJ21" s="719"/>
      <c r="CK21" s="719"/>
      <c r="CL21" s="719"/>
      <c r="CM21" s="719"/>
      <c r="CN21" s="719"/>
      <c r="CO21" s="719"/>
      <c r="CP21" s="719"/>
      <c r="CQ21" s="719"/>
      <c r="CR21" s="719"/>
      <c r="CS21" s="719"/>
      <c r="CT21" s="719"/>
      <c r="CU21" s="719"/>
      <c r="CV21" s="719"/>
      <c r="CW21" s="719"/>
      <c r="CX21" s="719"/>
    </row>
    <row r="22" spans="1:102" s="719" customFormat="1" ht="17.399999999999999" customHeight="1" x14ac:dyDescent="0.35">
      <c r="A22" s="666"/>
      <c r="B22" s="667">
        <f t="shared" si="0"/>
        <v>10</v>
      </c>
      <c r="C22" s="671" t="s">
        <v>276</v>
      </c>
      <c r="D22" s="672" t="s">
        <v>87</v>
      </c>
      <c r="E22" s="671" t="s">
        <v>92</v>
      </c>
      <c r="F22" s="350"/>
      <c r="G22" s="709">
        <v>45944</v>
      </c>
      <c r="H22" s="670">
        <v>23.27</v>
      </c>
      <c r="I22" s="1247" t="s">
        <v>547</v>
      </c>
      <c r="J22" s="1248"/>
      <c r="K22" s="1248"/>
      <c r="L22" s="1249"/>
      <c r="M22" s="720">
        <v>45955</v>
      </c>
      <c r="N22" s="711" t="s">
        <v>688</v>
      </c>
      <c r="O22" s="712"/>
      <c r="P22" s="713">
        <v>20</v>
      </c>
      <c r="Q22" s="718"/>
      <c r="R22" s="718"/>
      <c r="S22" s="718"/>
      <c r="T22" s="718"/>
    </row>
    <row r="23" spans="1:102" s="666" customFormat="1" ht="17.399999999999999" customHeight="1" x14ac:dyDescent="0.35">
      <c r="B23" s="667">
        <f t="shared" si="0"/>
        <v>11</v>
      </c>
      <c r="C23" s="675" t="s">
        <v>337</v>
      </c>
      <c r="D23" s="676" t="s">
        <v>91</v>
      </c>
      <c r="E23" s="675" t="s">
        <v>541</v>
      </c>
      <c r="F23" s="349">
        <v>45919</v>
      </c>
      <c r="G23" s="722">
        <v>45923</v>
      </c>
      <c r="H23" s="675">
        <v>36.659999999999997</v>
      </c>
      <c r="I23" s="1247" t="s">
        <v>547</v>
      </c>
      <c r="J23" s="1248"/>
      <c r="K23" s="1248"/>
      <c r="L23" s="1249"/>
      <c r="M23" s="723">
        <v>45957</v>
      </c>
      <c r="N23" s="724" t="s">
        <v>89</v>
      </c>
      <c r="O23" s="725"/>
      <c r="P23" s="726">
        <v>10</v>
      </c>
      <c r="Q23" s="707"/>
      <c r="R23" s="707"/>
      <c r="S23" s="707"/>
      <c r="T23" s="707"/>
    </row>
    <row r="24" spans="1:102" s="666" customFormat="1" ht="17.399999999999999" customHeight="1" x14ac:dyDescent="0.35">
      <c r="B24" s="667">
        <f t="shared" si="0"/>
        <v>12</v>
      </c>
      <c r="C24" s="670" t="s">
        <v>322</v>
      </c>
      <c r="D24" s="667" t="s">
        <v>87</v>
      </c>
      <c r="E24" s="670" t="s">
        <v>542</v>
      </c>
      <c r="F24" s="348">
        <v>45916</v>
      </c>
      <c r="G24" s="708">
        <v>45917</v>
      </c>
      <c r="H24" s="670">
        <v>21.96</v>
      </c>
      <c r="I24" s="1247" t="s">
        <v>547</v>
      </c>
      <c r="J24" s="1248"/>
      <c r="K24" s="1248"/>
      <c r="L24" s="1249"/>
      <c r="M24" s="704">
        <v>45961</v>
      </c>
      <c r="N24" s="698" t="s">
        <v>687</v>
      </c>
      <c r="O24" s="705"/>
      <c r="P24" s="706">
        <v>10</v>
      </c>
      <c r="Q24" s="707"/>
      <c r="R24" s="707"/>
      <c r="S24" s="707"/>
      <c r="T24" s="707"/>
    </row>
    <row r="25" spans="1:102" s="719" customFormat="1" ht="17.399999999999999" customHeight="1" x14ac:dyDescent="0.35">
      <c r="A25" s="666"/>
      <c r="B25" s="667">
        <f t="shared" si="0"/>
        <v>13</v>
      </c>
      <c r="C25" s="671" t="s">
        <v>328</v>
      </c>
      <c r="D25" s="672" t="s">
        <v>91</v>
      </c>
      <c r="E25" s="671" t="s">
        <v>542</v>
      </c>
      <c r="F25" s="350"/>
      <c r="G25" s="709">
        <v>45957</v>
      </c>
      <c r="H25" s="671">
        <v>25.04</v>
      </c>
      <c r="I25" s="1247" t="s">
        <v>547</v>
      </c>
      <c r="J25" s="1248"/>
      <c r="K25" s="1248"/>
      <c r="L25" s="1249"/>
      <c r="M25" s="720">
        <v>45966</v>
      </c>
      <c r="N25" s="698" t="s">
        <v>687</v>
      </c>
      <c r="O25" s="712"/>
      <c r="P25" s="713">
        <v>10</v>
      </c>
      <c r="Q25" s="718"/>
      <c r="R25" s="718"/>
      <c r="S25" s="718"/>
      <c r="T25" s="718"/>
    </row>
    <row r="26" spans="1:102" s="719" customFormat="1" ht="17.399999999999999" customHeight="1" x14ac:dyDescent="0.35">
      <c r="A26" s="666"/>
      <c r="B26" s="667">
        <f t="shared" si="0"/>
        <v>14</v>
      </c>
      <c r="C26" s="671" t="s">
        <v>271</v>
      </c>
      <c r="D26" s="672" t="s">
        <v>87</v>
      </c>
      <c r="E26" s="671" t="s">
        <v>542</v>
      </c>
      <c r="F26" s="350"/>
      <c r="G26" s="709">
        <v>45959</v>
      </c>
      <c r="H26" s="671">
        <v>21.96</v>
      </c>
      <c r="I26" s="1247" t="s">
        <v>547</v>
      </c>
      <c r="J26" s="1248"/>
      <c r="K26" s="1248"/>
      <c r="L26" s="1249"/>
      <c r="M26" s="720">
        <v>45969</v>
      </c>
      <c r="N26" s="711" t="s">
        <v>688</v>
      </c>
      <c r="O26" s="712"/>
      <c r="P26" s="713">
        <v>15</v>
      </c>
      <c r="Q26" s="718"/>
      <c r="R26" s="718"/>
      <c r="S26" s="718"/>
      <c r="T26" s="718"/>
    </row>
    <row r="27" spans="1:102" s="719" customFormat="1" ht="17.399999999999999" customHeight="1" x14ac:dyDescent="0.35">
      <c r="A27" s="666"/>
      <c r="B27" s="667">
        <f t="shared" si="0"/>
        <v>15</v>
      </c>
      <c r="C27" s="671" t="s">
        <v>325</v>
      </c>
      <c r="D27" s="672" t="s">
        <v>87</v>
      </c>
      <c r="E27" s="671" t="s">
        <v>92</v>
      </c>
      <c r="F27" s="350"/>
      <c r="G27" s="709">
        <v>45963</v>
      </c>
      <c r="H27" s="670">
        <v>23.27</v>
      </c>
      <c r="I27" s="1247" t="s">
        <v>547</v>
      </c>
      <c r="J27" s="1248"/>
      <c r="K27" s="1248"/>
      <c r="L27" s="1249"/>
      <c r="M27" s="720">
        <v>45970</v>
      </c>
      <c r="N27" s="698" t="s">
        <v>687</v>
      </c>
      <c r="O27" s="712"/>
      <c r="P27" s="713">
        <v>10</v>
      </c>
      <c r="Q27" s="718"/>
      <c r="R27" s="718"/>
      <c r="S27" s="718"/>
      <c r="T27" s="718"/>
    </row>
    <row r="28" spans="1:102" s="719" customFormat="1" ht="17.399999999999999" customHeight="1" x14ac:dyDescent="0.35">
      <c r="A28" s="666"/>
      <c r="B28" s="667">
        <f t="shared" si="0"/>
        <v>16</v>
      </c>
      <c r="C28" s="671" t="s">
        <v>326</v>
      </c>
      <c r="D28" s="672" t="s">
        <v>87</v>
      </c>
      <c r="E28" s="671" t="s">
        <v>92</v>
      </c>
      <c r="F28" s="350"/>
      <c r="G28" s="709">
        <v>45963</v>
      </c>
      <c r="H28" s="670">
        <v>23.27</v>
      </c>
      <c r="I28" s="1247" t="s">
        <v>547</v>
      </c>
      <c r="J28" s="1248"/>
      <c r="K28" s="1248"/>
      <c r="L28" s="1249"/>
      <c r="M28" s="720">
        <v>45974</v>
      </c>
      <c r="N28" s="711" t="s">
        <v>89</v>
      </c>
      <c r="O28" s="712"/>
      <c r="P28" s="713">
        <v>10</v>
      </c>
      <c r="Q28" s="718"/>
      <c r="R28" s="718"/>
      <c r="S28" s="718"/>
      <c r="T28" s="718"/>
    </row>
    <row r="29" spans="1:102" s="719" customFormat="1" ht="17.399999999999999" customHeight="1" x14ac:dyDescent="0.35">
      <c r="A29" s="666"/>
      <c r="B29" s="667">
        <f t="shared" si="0"/>
        <v>17</v>
      </c>
      <c r="C29" s="671" t="s">
        <v>277</v>
      </c>
      <c r="D29" s="672" t="s">
        <v>95</v>
      </c>
      <c r="E29" s="671" t="s">
        <v>542</v>
      </c>
      <c r="F29" s="350"/>
      <c r="G29" s="709">
        <v>45953</v>
      </c>
      <c r="H29" s="671">
        <v>25.04</v>
      </c>
      <c r="I29" s="1247" t="s">
        <v>547</v>
      </c>
      <c r="J29" s="1248"/>
      <c r="K29" s="1248"/>
      <c r="L29" s="1249"/>
      <c r="M29" s="720">
        <v>45976</v>
      </c>
      <c r="N29" s="711" t="s">
        <v>688</v>
      </c>
      <c r="O29" s="712"/>
      <c r="P29" s="713">
        <v>15</v>
      </c>
      <c r="Q29" s="718"/>
      <c r="R29" s="718"/>
      <c r="S29" s="718"/>
      <c r="T29" s="718"/>
    </row>
    <row r="30" spans="1:102" s="719" customFormat="1" ht="17.399999999999999" customHeight="1" x14ac:dyDescent="0.35">
      <c r="A30" s="666"/>
      <c r="B30" s="667">
        <f t="shared" si="0"/>
        <v>18</v>
      </c>
      <c r="C30" s="671" t="s">
        <v>321</v>
      </c>
      <c r="D30" s="672" t="s">
        <v>87</v>
      </c>
      <c r="E30" s="671" t="s">
        <v>92</v>
      </c>
      <c r="F30" s="350"/>
      <c r="G30" s="709">
        <v>45968</v>
      </c>
      <c r="H30" s="670">
        <v>23.27</v>
      </c>
      <c r="I30" s="1247" t="s">
        <v>547</v>
      </c>
      <c r="J30" s="1248"/>
      <c r="K30" s="1248"/>
      <c r="L30" s="1249"/>
      <c r="M30" s="720">
        <v>45980</v>
      </c>
      <c r="N30" s="711" t="s">
        <v>89</v>
      </c>
      <c r="O30" s="712"/>
      <c r="P30" s="713">
        <v>10</v>
      </c>
      <c r="Q30" s="718"/>
      <c r="R30" s="718"/>
      <c r="S30" s="718"/>
      <c r="T30" s="718"/>
    </row>
    <row r="31" spans="1:102" s="719" customFormat="1" ht="17.399999999999999" customHeight="1" x14ac:dyDescent="0.35">
      <c r="A31" s="666"/>
      <c r="B31" s="667">
        <f t="shared" si="0"/>
        <v>19</v>
      </c>
      <c r="C31" s="671" t="s">
        <v>284</v>
      </c>
      <c r="D31" s="672" t="s">
        <v>91</v>
      </c>
      <c r="E31" s="671" t="s">
        <v>92</v>
      </c>
      <c r="F31" s="350"/>
      <c r="G31" s="709">
        <v>45973</v>
      </c>
      <c r="H31" s="697">
        <v>26.43</v>
      </c>
      <c r="I31" s="1247" t="s">
        <v>547</v>
      </c>
      <c r="J31" s="1248"/>
      <c r="K31" s="1248"/>
      <c r="L31" s="1249"/>
      <c r="M31" s="720">
        <v>45984</v>
      </c>
      <c r="N31" s="711" t="s">
        <v>688</v>
      </c>
      <c r="O31" s="712"/>
      <c r="P31" s="713">
        <v>10</v>
      </c>
      <c r="Q31" s="718"/>
      <c r="R31" s="718"/>
      <c r="S31" s="718"/>
      <c r="T31" s="718"/>
    </row>
    <row r="32" spans="1:102" s="719" customFormat="1" ht="17.399999999999999" customHeight="1" x14ac:dyDescent="0.35">
      <c r="A32" s="666"/>
      <c r="B32" s="667">
        <f t="shared" si="0"/>
        <v>20</v>
      </c>
      <c r="C32" s="671" t="s">
        <v>318</v>
      </c>
      <c r="D32" s="672" t="s">
        <v>87</v>
      </c>
      <c r="E32" s="671" t="s">
        <v>542</v>
      </c>
      <c r="F32" s="350"/>
      <c r="G32" s="709">
        <v>45968</v>
      </c>
      <c r="H32" s="670">
        <v>21.96</v>
      </c>
      <c r="I32" s="1247" t="s">
        <v>547</v>
      </c>
      <c r="J32" s="1248"/>
      <c r="K32" s="1248"/>
      <c r="L32" s="1249"/>
      <c r="M32" s="720">
        <v>45986</v>
      </c>
      <c r="N32" s="711" t="s">
        <v>89</v>
      </c>
      <c r="O32" s="712"/>
      <c r="P32" s="713">
        <v>10</v>
      </c>
      <c r="Q32" s="718"/>
      <c r="R32" s="718"/>
      <c r="S32" s="718"/>
      <c r="T32" s="718"/>
    </row>
    <row r="33" spans="1:20" s="719" customFormat="1" ht="17.399999999999999" customHeight="1" x14ac:dyDescent="0.35">
      <c r="A33" s="666"/>
      <c r="B33" s="667">
        <f t="shared" si="0"/>
        <v>21</v>
      </c>
      <c r="C33" s="671" t="s">
        <v>268</v>
      </c>
      <c r="D33" s="672" t="s">
        <v>87</v>
      </c>
      <c r="E33" s="671" t="s">
        <v>92</v>
      </c>
      <c r="F33" s="350"/>
      <c r="G33" s="709">
        <v>45984</v>
      </c>
      <c r="H33" s="670">
        <v>23.27</v>
      </c>
      <c r="I33" s="1247" t="s">
        <v>547</v>
      </c>
      <c r="J33" s="1248"/>
      <c r="K33" s="1248"/>
      <c r="L33" s="1249"/>
      <c r="M33" s="720">
        <v>45990</v>
      </c>
      <c r="N33" s="711" t="s">
        <v>688</v>
      </c>
      <c r="O33" s="712"/>
      <c r="P33" s="713">
        <v>10</v>
      </c>
      <c r="Q33" s="718"/>
      <c r="R33" s="718"/>
      <c r="S33" s="718"/>
      <c r="T33" s="718"/>
    </row>
    <row r="34" spans="1:20" s="719" customFormat="1" ht="17.399999999999999" customHeight="1" x14ac:dyDescent="0.35">
      <c r="A34" s="666"/>
      <c r="B34" s="667">
        <f t="shared" si="0"/>
        <v>22</v>
      </c>
      <c r="C34" s="671" t="s">
        <v>320</v>
      </c>
      <c r="D34" s="672" t="s">
        <v>87</v>
      </c>
      <c r="E34" s="671" t="s">
        <v>542</v>
      </c>
      <c r="F34" s="350"/>
      <c r="G34" s="709">
        <v>45979</v>
      </c>
      <c r="H34" s="670">
        <v>21.96</v>
      </c>
      <c r="I34" s="1247" t="s">
        <v>547</v>
      </c>
      <c r="J34" s="1248"/>
      <c r="K34" s="1248"/>
      <c r="L34" s="1249"/>
      <c r="M34" s="720">
        <v>45991</v>
      </c>
      <c r="N34" s="711" t="s">
        <v>89</v>
      </c>
      <c r="O34" s="712"/>
      <c r="P34" s="713">
        <v>10</v>
      </c>
      <c r="Q34" s="718"/>
      <c r="R34" s="718"/>
      <c r="S34" s="718"/>
      <c r="T34" s="718"/>
    </row>
    <row r="35" spans="1:20" s="719" customFormat="1" ht="17.399999999999999" customHeight="1" x14ac:dyDescent="0.35">
      <c r="A35" s="666"/>
      <c r="B35" s="667">
        <f t="shared" si="0"/>
        <v>23</v>
      </c>
      <c r="C35" s="671" t="s">
        <v>266</v>
      </c>
      <c r="D35" s="672" t="s">
        <v>87</v>
      </c>
      <c r="E35" s="671" t="s">
        <v>542</v>
      </c>
      <c r="F35" s="350"/>
      <c r="G35" s="709">
        <v>45988</v>
      </c>
      <c r="H35" s="670">
        <v>21.96</v>
      </c>
      <c r="I35" s="1247" t="s">
        <v>547</v>
      </c>
      <c r="J35" s="1248"/>
      <c r="K35" s="1248"/>
      <c r="L35" s="1249"/>
      <c r="M35" s="720">
        <v>45994</v>
      </c>
      <c r="N35" s="711" t="s">
        <v>688</v>
      </c>
      <c r="O35" s="712"/>
      <c r="P35" s="713">
        <v>16</v>
      </c>
      <c r="Q35" s="718"/>
      <c r="R35" s="718"/>
      <c r="S35" s="718"/>
      <c r="T35" s="718"/>
    </row>
    <row r="36" spans="1:20" s="719" customFormat="1" ht="17.399999999999999" customHeight="1" x14ac:dyDescent="0.35">
      <c r="A36" s="666"/>
      <c r="B36" s="667">
        <f t="shared" si="0"/>
        <v>24</v>
      </c>
      <c r="C36" s="671" t="s">
        <v>265</v>
      </c>
      <c r="D36" s="672" t="s">
        <v>95</v>
      </c>
      <c r="E36" s="671" t="s">
        <v>542</v>
      </c>
      <c r="F36" s="350"/>
      <c r="G36" s="709">
        <v>45992</v>
      </c>
      <c r="H36" s="671">
        <v>25.04</v>
      </c>
      <c r="I36" s="1247" t="s">
        <v>547</v>
      </c>
      <c r="J36" s="1248"/>
      <c r="K36" s="1248"/>
      <c r="L36" s="1249"/>
      <c r="M36" s="720">
        <v>45999</v>
      </c>
      <c r="N36" s="711" t="s">
        <v>688</v>
      </c>
      <c r="O36" s="712"/>
      <c r="P36" s="713">
        <v>16</v>
      </c>
      <c r="Q36" s="718"/>
      <c r="R36" s="718"/>
      <c r="S36" s="718"/>
      <c r="T36" s="718"/>
    </row>
    <row r="37" spans="1:20" s="719" customFormat="1" ht="17.399999999999999" customHeight="1" x14ac:dyDescent="0.35">
      <c r="A37" s="666"/>
      <c r="B37" s="667">
        <f t="shared" si="0"/>
        <v>25</v>
      </c>
      <c r="C37" s="671" t="s">
        <v>324</v>
      </c>
      <c r="D37" s="672" t="s">
        <v>87</v>
      </c>
      <c r="E37" s="671" t="s">
        <v>88</v>
      </c>
      <c r="F37" s="350"/>
      <c r="G37" s="709">
        <v>45988</v>
      </c>
      <c r="H37" s="703">
        <v>22.4</v>
      </c>
      <c r="I37" s="1247" t="s">
        <v>547</v>
      </c>
      <c r="J37" s="1248"/>
      <c r="K37" s="1248"/>
      <c r="L37" s="1249"/>
      <c r="M37" s="720">
        <v>46003</v>
      </c>
      <c r="N37" s="711" t="s">
        <v>89</v>
      </c>
      <c r="O37" s="712"/>
      <c r="P37" s="713">
        <v>15</v>
      </c>
      <c r="Q37" s="718"/>
      <c r="R37" s="718"/>
      <c r="S37" s="718"/>
      <c r="T37" s="718"/>
    </row>
    <row r="38" spans="1:20" s="719" customFormat="1" ht="17.399999999999999" customHeight="1" x14ac:dyDescent="0.35">
      <c r="A38" s="666"/>
      <c r="B38" s="667">
        <f t="shared" si="0"/>
        <v>26</v>
      </c>
      <c r="C38" s="671" t="s">
        <v>267</v>
      </c>
      <c r="D38" s="672" t="s">
        <v>87</v>
      </c>
      <c r="E38" s="671" t="s">
        <v>542</v>
      </c>
      <c r="F38" s="350"/>
      <c r="G38" s="709">
        <v>46000</v>
      </c>
      <c r="H38" s="670">
        <v>21.96</v>
      </c>
      <c r="I38" s="1247" t="s">
        <v>547</v>
      </c>
      <c r="J38" s="1248"/>
      <c r="K38" s="1248"/>
      <c r="L38" s="1249"/>
      <c r="M38" s="720">
        <v>46005</v>
      </c>
      <c r="N38" s="711" t="s">
        <v>688</v>
      </c>
      <c r="O38" s="712"/>
      <c r="P38" s="713">
        <v>21</v>
      </c>
      <c r="Q38" s="718"/>
      <c r="R38" s="718"/>
      <c r="S38" s="718"/>
      <c r="T38" s="718"/>
    </row>
    <row r="39" spans="1:20" s="719" customFormat="1" ht="17.399999999999999" customHeight="1" x14ac:dyDescent="0.35">
      <c r="A39" s="666"/>
      <c r="B39" s="667">
        <f t="shared" si="0"/>
        <v>27</v>
      </c>
      <c r="C39" s="671" t="s">
        <v>394</v>
      </c>
      <c r="D39" s="672" t="s">
        <v>87</v>
      </c>
      <c r="E39" s="671" t="s">
        <v>542</v>
      </c>
      <c r="F39" s="350"/>
      <c r="G39" s="709">
        <v>45998</v>
      </c>
      <c r="H39" s="670">
        <v>21.96</v>
      </c>
      <c r="I39" s="1251" t="s">
        <v>549</v>
      </c>
      <c r="J39" s="1252"/>
      <c r="K39" s="1252"/>
      <c r="L39" s="1253"/>
      <c r="M39" s="720">
        <v>46006</v>
      </c>
      <c r="N39" s="711" t="s">
        <v>662</v>
      </c>
      <c r="O39" s="712"/>
      <c r="P39" s="713">
        <v>17</v>
      </c>
      <c r="Q39" s="718"/>
      <c r="R39" s="718"/>
      <c r="S39" s="718"/>
      <c r="T39" s="718"/>
    </row>
    <row r="40" spans="1:20" s="719" customFormat="1" ht="17.399999999999999" customHeight="1" x14ac:dyDescent="0.35">
      <c r="A40" s="666"/>
      <c r="B40" s="667">
        <f t="shared" si="0"/>
        <v>28</v>
      </c>
      <c r="C40" s="671" t="s">
        <v>313</v>
      </c>
      <c r="D40" s="672" t="s">
        <v>95</v>
      </c>
      <c r="E40" s="671" t="s">
        <v>88</v>
      </c>
      <c r="F40" s="350"/>
      <c r="G40" s="709">
        <v>45995</v>
      </c>
      <c r="H40" s="671">
        <v>25.77</v>
      </c>
      <c r="I40" s="1247" t="s">
        <v>547</v>
      </c>
      <c r="J40" s="1248"/>
      <c r="K40" s="1248"/>
      <c r="L40" s="1249"/>
      <c r="M40" s="720">
        <v>46009</v>
      </c>
      <c r="N40" s="711" t="s">
        <v>686</v>
      </c>
      <c r="O40" s="712"/>
      <c r="P40" s="713">
        <v>10</v>
      </c>
      <c r="Q40" s="718"/>
      <c r="R40" s="718"/>
      <c r="S40" s="718"/>
      <c r="T40" s="718"/>
    </row>
    <row r="41" spans="1:20" s="719" customFormat="1" ht="17.399999999999999" customHeight="1" x14ac:dyDescent="0.35">
      <c r="A41" s="666"/>
      <c r="B41" s="667">
        <f t="shared" si="0"/>
        <v>29</v>
      </c>
      <c r="C41" s="671" t="s">
        <v>255</v>
      </c>
      <c r="D41" s="672" t="s">
        <v>87</v>
      </c>
      <c r="E41" s="671" t="s">
        <v>92</v>
      </c>
      <c r="F41" s="350"/>
      <c r="G41" s="709">
        <v>46005</v>
      </c>
      <c r="H41" s="670">
        <v>23.27</v>
      </c>
      <c r="I41" s="1251" t="s">
        <v>549</v>
      </c>
      <c r="J41" s="1252"/>
      <c r="K41" s="1252"/>
      <c r="L41" s="1253"/>
      <c r="M41" s="720">
        <v>46010</v>
      </c>
      <c r="N41" s="711" t="s">
        <v>688</v>
      </c>
      <c r="O41" s="712"/>
      <c r="P41" s="713">
        <v>21</v>
      </c>
      <c r="Q41" s="718"/>
      <c r="R41" s="718"/>
      <c r="S41" s="718"/>
      <c r="T41" s="718"/>
    </row>
    <row r="42" spans="1:20" s="719" customFormat="1" ht="17.399999999999999" customHeight="1" x14ac:dyDescent="0.35">
      <c r="A42" s="666"/>
      <c r="B42" s="667">
        <f t="shared" si="0"/>
        <v>30</v>
      </c>
      <c r="C42" s="671" t="s">
        <v>393</v>
      </c>
      <c r="D42" s="672" t="s">
        <v>87</v>
      </c>
      <c r="E42" s="671" t="s">
        <v>92</v>
      </c>
      <c r="F42" s="350"/>
      <c r="G42" s="709">
        <v>45998</v>
      </c>
      <c r="H42" s="670">
        <v>23.27</v>
      </c>
      <c r="I42" s="1251" t="s">
        <v>549</v>
      </c>
      <c r="J42" s="1252"/>
      <c r="K42" s="1252"/>
      <c r="L42" s="1253"/>
      <c r="M42" s="720">
        <v>46011</v>
      </c>
      <c r="N42" s="711" t="s">
        <v>662</v>
      </c>
      <c r="O42" s="712"/>
      <c r="P42" s="713">
        <v>17</v>
      </c>
      <c r="Q42" s="718"/>
      <c r="R42" s="718"/>
      <c r="S42" s="718"/>
      <c r="T42" s="718"/>
    </row>
    <row r="43" spans="1:20" s="719" customFormat="1" ht="17.399999999999999" customHeight="1" x14ac:dyDescent="0.35">
      <c r="A43" s="666"/>
      <c r="B43" s="667">
        <f t="shared" si="0"/>
        <v>31</v>
      </c>
      <c r="C43" s="671" t="s">
        <v>396</v>
      </c>
      <c r="D43" s="672" t="s">
        <v>87</v>
      </c>
      <c r="E43" s="671" t="s">
        <v>542</v>
      </c>
      <c r="F43" s="350"/>
      <c r="G43" s="709">
        <v>46005</v>
      </c>
      <c r="H43" s="670">
        <v>21.96</v>
      </c>
      <c r="I43" s="1251" t="s">
        <v>549</v>
      </c>
      <c r="J43" s="1252"/>
      <c r="K43" s="1252"/>
      <c r="L43" s="1253"/>
      <c r="M43" s="720">
        <v>46014</v>
      </c>
      <c r="N43" s="711" t="s">
        <v>662</v>
      </c>
      <c r="O43" s="712"/>
      <c r="P43" s="713">
        <v>17</v>
      </c>
      <c r="Q43" s="718"/>
      <c r="R43" s="718"/>
      <c r="S43" s="718"/>
      <c r="T43" s="718"/>
    </row>
    <row r="44" spans="1:20" s="719" customFormat="1" ht="17.399999999999999" customHeight="1" x14ac:dyDescent="0.35">
      <c r="A44" s="666"/>
      <c r="B44" s="667">
        <f t="shared" si="0"/>
        <v>32</v>
      </c>
      <c r="C44" s="671" t="s">
        <v>314</v>
      </c>
      <c r="D44" s="672" t="s">
        <v>87</v>
      </c>
      <c r="E44" s="671" t="s">
        <v>88</v>
      </c>
      <c r="F44" s="350"/>
      <c r="G44" s="709">
        <v>45995</v>
      </c>
      <c r="H44" s="703">
        <v>22.4</v>
      </c>
      <c r="I44" s="1247" t="s">
        <v>547</v>
      </c>
      <c r="J44" s="1248"/>
      <c r="K44" s="1248"/>
      <c r="L44" s="1249"/>
      <c r="M44" s="727">
        <v>46015</v>
      </c>
      <c r="N44" s="711" t="s">
        <v>686</v>
      </c>
      <c r="O44" s="712"/>
      <c r="P44" s="713">
        <v>10</v>
      </c>
      <c r="Q44" s="718"/>
      <c r="R44" s="718"/>
      <c r="S44" s="718"/>
      <c r="T44" s="718"/>
    </row>
    <row r="45" spans="1:20" s="719" customFormat="1" ht="17.399999999999999" customHeight="1" x14ac:dyDescent="0.35">
      <c r="A45" s="666"/>
      <c r="B45" s="667">
        <f t="shared" si="0"/>
        <v>33</v>
      </c>
      <c r="C45" s="671" t="s">
        <v>253</v>
      </c>
      <c r="D45" s="672" t="s">
        <v>91</v>
      </c>
      <c r="E45" s="671" t="s">
        <v>92</v>
      </c>
      <c r="F45" s="350"/>
      <c r="G45" s="709">
        <v>46012</v>
      </c>
      <c r="H45" s="697">
        <v>26.43</v>
      </c>
      <c r="I45" s="1251" t="s">
        <v>549</v>
      </c>
      <c r="J45" s="1252"/>
      <c r="K45" s="1252"/>
      <c r="L45" s="1253"/>
      <c r="M45" s="728">
        <v>46015</v>
      </c>
      <c r="N45" s="711" t="s">
        <v>688</v>
      </c>
      <c r="O45" s="712"/>
      <c r="P45" s="713">
        <v>21</v>
      </c>
      <c r="Q45" s="718"/>
      <c r="R45" s="718"/>
      <c r="S45" s="718"/>
      <c r="T45" s="718"/>
    </row>
    <row r="46" spans="1:20" s="719" customFormat="1" ht="17.399999999999999" customHeight="1" x14ac:dyDescent="0.35">
      <c r="A46" s="666"/>
      <c r="B46" s="667">
        <f t="shared" si="0"/>
        <v>34</v>
      </c>
      <c r="C46" s="671" t="s">
        <v>332</v>
      </c>
      <c r="D46" s="672" t="s">
        <v>91</v>
      </c>
      <c r="E46" s="671" t="s">
        <v>664</v>
      </c>
      <c r="F46" s="350"/>
      <c r="G46" s="709">
        <v>45997</v>
      </c>
      <c r="H46" s="671">
        <v>38.979999999999997</v>
      </c>
      <c r="I46" s="1251" t="s">
        <v>549</v>
      </c>
      <c r="J46" s="1252"/>
      <c r="K46" s="1252"/>
      <c r="L46" s="1253"/>
      <c r="M46" s="720">
        <v>46016</v>
      </c>
      <c r="N46" s="711" t="s">
        <v>89</v>
      </c>
      <c r="O46" s="712"/>
      <c r="P46" s="713">
        <v>18</v>
      </c>
      <c r="Q46" s="718"/>
      <c r="R46" s="718"/>
      <c r="S46" s="718"/>
      <c r="T46" s="718"/>
    </row>
    <row r="47" spans="1:20" s="719" customFormat="1" ht="17.399999999999999" customHeight="1" x14ac:dyDescent="0.35">
      <c r="A47" s="666"/>
      <c r="B47" s="667">
        <f t="shared" si="0"/>
        <v>35</v>
      </c>
      <c r="C47" s="671" t="s">
        <v>395</v>
      </c>
      <c r="D47" s="672" t="s">
        <v>87</v>
      </c>
      <c r="E47" s="671" t="s">
        <v>92</v>
      </c>
      <c r="F47" s="350"/>
      <c r="G47" s="709">
        <v>46005</v>
      </c>
      <c r="H47" s="670">
        <v>23.27</v>
      </c>
      <c r="I47" s="1251" t="s">
        <v>549</v>
      </c>
      <c r="J47" s="1252"/>
      <c r="K47" s="1252"/>
      <c r="L47" s="1253"/>
      <c r="M47" s="720">
        <v>46017</v>
      </c>
      <c r="N47" s="711" t="s">
        <v>662</v>
      </c>
      <c r="O47" s="712"/>
      <c r="P47" s="713">
        <v>17</v>
      </c>
      <c r="Q47" s="718"/>
      <c r="R47" s="718"/>
      <c r="S47" s="718"/>
      <c r="T47" s="718"/>
    </row>
    <row r="48" spans="1:20" s="719" customFormat="1" ht="17.399999999999999" customHeight="1" x14ac:dyDescent="0.35">
      <c r="A48" s="666"/>
      <c r="B48" s="667">
        <f t="shared" si="0"/>
        <v>36</v>
      </c>
      <c r="C48" s="671" t="s">
        <v>254</v>
      </c>
      <c r="D48" s="672" t="s">
        <v>91</v>
      </c>
      <c r="E48" s="671" t="s">
        <v>542</v>
      </c>
      <c r="F48" s="350"/>
      <c r="G48" s="709">
        <v>46008</v>
      </c>
      <c r="H48" s="671">
        <v>25.04</v>
      </c>
      <c r="I48" s="1251" t="s">
        <v>549</v>
      </c>
      <c r="J48" s="1252"/>
      <c r="K48" s="1252"/>
      <c r="L48" s="1253"/>
      <c r="M48" s="720">
        <v>46018</v>
      </c>
      <c r="N48" s="711" t="s">
        <v>688</v>
      </c>
      <c r="O48" s="712"/>
      <c r="P48" s="713">
        <v>21</v>
      </c>
      <c r="Q48" s="718"/>
      <c r="R48" s="718"/>
      <c r="S48" s="718"/>
      <c r="T48" s="718"/>
    </row>
    <row r="49" spans="1:20" s="719" customFormat="1" ht="17.399999999999999" customHeight="1" x14ac:dyDescent="0.35">
      <c r="A49" s="666"/>
      <c r="B49" s="667">
        <f t="shared" si="0"/>
        <v>37</v>
      </c>
      <c r="C49" s="673" t="s">
        <v>397</v>
      </c>
      <c r="D49" s="674" t="s">
        <v>87</v>
      </c>
      <c r="E49" s="673" t="s">
        <v>92</v>
      </c>
      <c r="F49" s="351"/>
      <c r="G49" s="714">
        <v>46013</v>
      </c>
      <c r="H49" s="670">
        <v>23.27</v>
      </c>
      <c r="I49" s="1261" t="s">
        <v>549</v>
      </c>
      <c r="J49" s="1262"/>
      <c r="K49" s="1262"/>
      <c r="L49" s="1263"/>
      <c r="M49" s="715">
        <v>46020</v>
      </c>
      <c r="N49" s="711" t="s">
        <v>662</v>
      </c>
      <c r="O49" s="716"/>
      <c r="P49" s="717">
        <v>17</v>
      </c>
      <c r="Q49" s="718"/>
      <c r="R49" s="718"/>
      <c r="S49" s="718"/>
      <c r="T49" s="718"/>
    </row>
    <row r="50" spans="1:20" s="719" customFormat="1" ht="17.399999999999999" customHeight="1" x14ac:dyDescent="0.35">
      <c r="A50" s="666"/>
      <c r="B50" s="667">
        <f t="shared" si="0"/>
        <v>38</v>
      </c>
      <c r="C50" s="671" t="s">
        <v>334</v>
      </c>
      <c r="D50" s="672" t="s">
        <v>109</v>
      </c>
      <c r="E50" s="671" t="s">
        <v>92</v>
      </c>
      <c r="F50" s="350"/>
      <c r="G50" s="709">
        <v>46010</v>
      </c>
      <c r="H50" s="697">
        <v>26.43</v>
      </c>
      <c r="I50" s="1251" t="s">
        <v>549</v>
      </c>
      <c r="J50" s="1252"/>
      <c r="K50" s="1252"/>
      <c r="L50" s="1253"/>
      <c r="M50" s="728">
        <v>46021</v>
      </c>
      <c r="N50" s="711" t="s">
        <v>89</v>
      </c>
      <c r="O50" s="712"/>
      <c r="P50" s="713">
        <v>18</v>
      </c>
      <c r="Q50" s="718"/>
      <c r="R50" s="718"/>
      <c r="S50" s="718"/>
      <c r="T50" s="718"/>
    </row>
    <row r="51" spans="1:20" s="719" customFormat="1" ht="17.399999999999999" customHeight="1" x14ac:dyDescent="0.35">
      <c r="A51" s="666"/>
      <c r="B51" s="667">
        <f t="shared" si="0"/>
        <v>39</v>
      </c>
      <c r="C51" s="671" t="s">
        <v>366</v>
      </c>
      <c r="D51" s="672" t="s">
        <v>87</v>
      </c>
      <c r="E51" s="671" t="s">
        <v>542</v>
      </c>
      <c r="F51" s="350"/>
      <c r="G51" s="709">
        <v>46001</v>
      </c>
      <c r="H51" s="670">
        <v>21.96</v>
      </c>
      <c r="I51" s="1251" t="s">
        <v>549</v>
      </c>
      <c r="J51" s="1252"/>
      <c r="K51" s="1252"/>
      <c r="L51" s="1253"/>
      <c r="M51" s="720">
        <v>46022</v>
      </c>
      <c r="N51" s="711" t="s">
        <v>661</v>
      </c>
      <c r="O51" s="712"/>
      <c r="P51" s="713">
        <v>10</v>
      </c>
      <c r="Q51" s="718"/>
      <c r="R51" s="718"/>
      <c r="S51" s="718"/>
      <c r="T51" s="718"/>
    </row>
    <row r="52" spans="1:20" s="719" customFormat="1" ht="17.399999999999999" customHeight="1" x14ac:dyDescent="0.35">
      <c r="A52" s="666"/>
      <c r="B52" s="667">
        <f t="shared" si="0"/>
        <v>40</v>
      </c>
      <c r="C52" s="671" t="s">
        <v>252</v>
      </c>
      <c r="D52" s="672" t="s">
        <v>87</v>
      </c>
      <c r="E52" s="671" t="s">
        <v>542</v>
      </c>
      <c r="F52" s="353"/>
      <c r="G52" s="709">
        <v>46016</v>
      </c>
      <c r="H52" s="670">
        <v>21.96</v>
      </c>
      <c r="I52" s="1251" t="s">
        <v>549</v>
      </c>
      <c r="J52" s="1252"/>
      <c r="K52" s="1252"/>
      <c r="L52" s="1253"/>
      <c r="M52" s="720">
        <v>46022</v>
      </c>
      <c r="N52" s="711" t="s">
        <v>688</v>
      </c>
      <c r="O52" s="729"/>
      <c r="P52" s="671">
        <v>21</v>
      </c>
      <c r="Q52" s="718"/>
      <c r="R52" s="718"/>
      <c r="S52" s="718"/>
      <c r="T52" s="718"/>
    </row>
    <row r="53" spans="1:20" s="719" customFormat="1" ht="17.399999999999999" customHeight="1" x14ac:dyDescent="0.35">
      <c r="A53" s="666"/>
      <c r="B53" s="667">
        <f t="shared" si="0"/>
        <v>41</v>
      </c>
      <c r="C53" s="671" t="s">
        <v>398</v>
      </c>
      <c r="D53" s="672" t="s">
        <v>87</v>
      </c>
      <c r="E53" s="671" t="s">
        <v>92</v>
      </c>
      <c r="F53" s="350"/>
      <c r="G53" s="709">
        <v>46018</v>
      </c>
      <c r="H53" s="670">
        <v>23.27</v>
      </c>
      <c r="I53" s="1261" t="s">
        <v>549</v>
      </c>
      <c r="J53" s="1262"/>
      <c r="K53" s="1262"/>
      <c r="L53" s="1263"/>
      <c r="M53" s="720">
        <v>46022</v>
      </c>
      <c r="N53" s="711" t="s">
        <v>662</v>
      </c>
      <c r="O53" s="712"/>
      <c r="P53" s="713">
        <v>17</v>
      </c>
      <c r="Q53" s="718"/>
      <c r="R53" s="718"/>
      <c r="S53" s="718"/>
      <c r="T53" s="718"/>
    </row>
    <row r="54" spans="1:20" s="719" customFormat="1" ht="17.399999999999999" customHeight="1" x14ac:dyDescent="0.35">
      <c r="A54" s="666"/>
      <c r="B54" s="667">
        <f t="shared" si="0"/>
        <v>42</v>
      </c>
      <c r="C54" s="671" t="s">
        <v>345</v>
      </c>
      <c r="D54" s="672" t="s">
        <v>87</v>
      </c>
      <c r="E54" s="671" t="s">
        <v>88</v>
      </c>
      <c r="F54" s="350"/>
      <c r="G54" s="709">
        <v>46377</v>
      </c>
      <c r="H54" s="703">
        <v>22.4</v>
      </c>
      <c r="I54" s="1250" t="s">
        <v>549</v>
      </c>
      <c r="J54" s="1250"/>
      <c r="K54" s="1250"/>
      <c r="L54" s="1250"/>
      <c r="M54" s="720">
        <v>46022</v>
      </c>
      <c r="N54" s="711" t="s">
        <v>686</v>
      </c>
      <c r="O54" s="712"/>
      <c r="P54" s="713">
        <v>10</v>
      </c>
      <c r="Q54" s="718"/>
      <c r="R54" s="718"/>
      <c r="S54" s="718"/>
      <c r="T54" s="718"/>
    </row>
    <row r="55" spans="1:20" s="719" customFormat="1" ht="17.399999999999999" customHeight="1" x14ac:dyDescent="0.35">
      <c r="A55" s="666"/>
      <c r="B55" s="667">
        <f t="shared" si="0"/>
        <v>43</v>
      </c>
      <c r="C55" s="671" t="s">
        <v>333</v>
      </c>
      <c r="D55" s="672" t="s">
        <v>95</v>
      </c>
      <c r="E55" s="671" t="s">
        <v>92</v>
      </c>
      <c r="F55" s="350"/>
      <c r="G55" s="709">
        <v>46017</v>
      </c>
      <c r="H55" s="697">
        <v>26.43</v>
      </c>
      <c r="I55" s="1251" t="s">
        <v>549</v>
      </c>
      <c r="J55" s="1252"/>
      <c r="K55" s="1252"/>
      <c r="L55" s="1253"/>
      <c r="M55" s="731">
        <v>46027</v>
      </c>
      <c r="N55" s="711" t="s">
        <v>89</v>
      </c>
      <c r="O55" s="712"/>
      <c r="P55" s="713">
        <v>18</v>
      </c>
      <c r="Q55" s="718"/>
      <c r="R55" s="718"/>
      <c r="S55" s="718"/>
      <c r="T55" s="718"/>
    </row>
    <row r="56" spans="1:20" s="719" customFormat="1" ht="17.399999999999999" customHeight="1" x14ac:dyDescent="0.35">
      <c r="A56" s="666"/>
      <c r="B56" s="667">
        <f t="shared" si="0"/>
        <v>44</v>
      </c>
      <c r="C56" s="671" t="s">
        <v>256</v>
      </c>
      <c r="D56" s="672" t="s">
        <v>91</v>
      </c>
      <c r="E56" s="671" t="s">
        <v>664</v>
      </c>
      <c r="F56" s="350"/>
      <c r="G56" s="709">
        <v>45992</v>
      </c>
      <c r="H56" s="671">
        <v>38.979999999999997</v>
      </c>
      <c r="I56" s="1250" t="s">
        <v>549</v>
      </c>
      <c r="J56" s="1250"/>
      <c r="K56" s="1250"/>
      <c r="L56" s="1250"/>
      <c r="M56" s="720">
        <v>46028</v>
      </c>
      <c r="N56" s="711" t="s">
        <v>688</v>
      </c>
      <c r="O56" s="712"/>
      <c r="P56" s="713">
        <v>21</v>
      </c>
      <c r="Q56" s="718"/>
      <c r="R56" s="718"/>
      <c r="S56" s="718"/>
      <c r="T56" s="718"/>
    </row>
    <row r="57" spans="1:20" s="719" customFormat="1" ht="17.399999999999999" customHeight="1" x14ac:dyDescent="0.35">
      <c r="A57" s="666"/>
      <c r="B57" s="667">
        <f t="shared" si="0"/>
        <v>45</v>
      </c>
      <c r="C57" s="671" t="s">
        <v>399</v>
      </c>
      <c r="D57" s="672" t="s">
        <v>87</v>
      </c>
      <c r="E57" s="671" t="s">
        <v>542</v>
      </c>
      <c r="F57" s="350"/>
      <c r="G57" s="709">
        <v>46022</v>
      </c>
      <c r="H57" s="670">
        <v>21.96</v>
      </c>
      <c r="I57" s="1260" t="s">
        <v>549</v>
      </c>
      <c r="J57" s="1260"/>
      <c r="K57" s="1260"/>
      <c r="L57" s="1260"/>
      <c r="M57" s="720">
        <v>46028</v>
      </c>
      <c r="N57" s="711" t="s">
        <v>662</v>
      </c>
      <c r="O57" s="712"/>
      <c r="P57" s="713">
        <v>17</v>
      </c>
      <c r="Q57" s="718"/>
      <c r="R57" s="718"/>
      <c r="S57" s="718"/>
      <c r="T57" s="718"/>
    </row>
    <row r="58" spans="1:20" s="719" customFormat="1" ht="17.399999999999999" customHeight="1" x14ac:dyDescent="0.35">
      <c r="A58" s="666"/>
      <c r="B58" s="667">
        <f t="shared" si="0"/>
        <v>46</v>
      </c>
      <c r="C58" s="671" t="s">
        <v>344</v>
      </c>
      <c r="D58" s="672" t="s">
        <v>109</v>
      </c>
      <c r="E58" s="671" t="s">
        <v>542</v>
      </c>
      <c r="F58" s="350"/>
      <c r="G58" s="709">
        <v>46024</v>
      </c>
      <c r="H58" s="671">
        <v>25.04</v>
      </c>
      <c r="I58" s="1261" t="s">
        <v>549</v>
      </c>
      <c r="J58" s="1262"/>
      <c r="K58" s="1262"/>
      <c r="L58" s="1263"/>
      <c r="M58" s="720">
        <v>46030</v>
      </c>
      <c r="N58" s="711" t="s">
        <v>686</v>
      </c>
      <c r="O58" s="712"/>
      <c r="P58" s="713">
        <v>10</v>
      </c>
      <c r="Q58" s="718"/>
      <c r="R58" s="718"/>
      <c r="S58" s="718"/>
      <c r="T58" s="718"/>
    </row>
    <row r="59" spans="1:20" s="719" customFormat="1" ht="17.399999999999999" customHeight="1" x14ac:dyDescent="0.35">
      <c r="A59" s="666"/>
      <c r="B59" s="667">
        <f t="shared" si="0"/>
        <v>47</v>
      </c>
      <c r="C59" s="671" t="s">
        <v>261</v>
      </c>
      <c r="D59" s="672" t="s">
        <v>95</v>
      </c>
      <c r="E59" s="671" t="s">
        <v>542</v>
      </c>
      <c r="F59" s="350"/>
      <c r="G59" s="709">
        <v>46026</v>
      </c>
      <c r="H59" s="671">
        <v>25.04</v>
      </c>
      <c r="I59" s="1260" t="s">
        <v>549</v>
      </c>
      <c r="J59" s="1260"/>
      <c r="K59" s="1260"/>
      <c r="L59" s="1260"/>
      <c r="M59" s="720">
        <v>46032</v>
      </c>
      <c r="N59" s="711" t="s">
        <v>688</v>
      </c>
      <c r="O59" s="712"/>
      <c r="P59" s="713">
        <v>21</v>
      </c>
      <c r="Q59" s="718"/>
      <c r="R59" s="718"/>
      <c r="S59" s="718"/>
      <c r="T59" s="718"/>
    </row>
    <row r="60" spans="1:20" s="719" customFormat="1" ht="17.399999999999999" customHeight="1" x14ac:dyDescent="0.35">
      <c r="A60" s="666"/>
      <c r="B60" s="667">
        <f t="shared" si="0"/>
        <v>48</v>
      </c>
      <c r="C60" s="671" t="s">
        <v>401</v>
      </c>
      <c r="D60" s="672" t="s">
        <v>91</v>
      </c>
      <c r="E60" s="671" t="s">
        <v>92</v>
      </c>
      <c r="F60" s="350"/>
      <c r="G60" s="709">
        <v>46027</v>
      </c>
      <c r="H60" s="733">
        <v>26.43</v>
      </c>
      <c r="I60" s="1260" t="s">
        <v>549</v>
      </c>
      <c r="J60" s="1260"/>
      <c r="K60" s="1260"/>
      <c r="L60" s="1260"/>
      <c r="M60" s="720">
        <v>46034</v>
      </c>
      <c r="N60" s="711" t="s">
        <v>662</v>
      </c>
      <c r="O60" s="712"/>
      <c r="P60" s="713">
        <v>17</v>
      </c>
      <c r="Q60" s="718"/>
      <c r="R60" s="718"/>
      <c r="S60" s="718"/>
      <c r="T60" s="718"/>
    </row>
    <row r="61" spans="1:20" s="719" customFormat="1" ht="17.399999999999999" customHeight="1" x14ac:dyDescent="0.35">
      <c r="A61" s="666"/>
      <c r="B61" s="667">
        <f t="shared" si="0"/>
        <v>49</v>
      </c>
      <c r="C61" s="671" t="s">
        <v>341</v>
      </c>
      <c r="D61" s="672" t="s">
        <v>95</v>
      </c>
      <c r="E61" s="671" t="s">
        <v>542</v>
      </c>
      <c r="F61" s="350"/>
      <c r="G61" s="709">
        <v>46026</v>
      </c>
      <c r="H61" s="671">
        <v>25.04</v>
      </c>
      <c r="I61" s="1260" t="s">
        <v>549</v>
      </c>
      <c r="J61" s="1260"/>
      <c r="K61" s="1260"/>
      <c r="L61" s="1260"/>
      <c r="M61" s="720">
        <v>46034</v>
      </c>
      <c r="N61" s="711" t="s">
        <v>686</v>
      </c>
      <c r="O61" s="712"/>
      <c r="P61" s="713">
        <v>12</v>
      </c>
      <c r="Q61" s="718"/>
      <c r="R61" s="718"/>
      <c r="S61" s="718"/>
      <c r="T61" s="718"/>
    </row>
    <row r="62" spans="1:20" s="719" customFormat="1" ht="17.399999999999999" customHeight="1" x14ac:dyDescent="0.35">
      <c r="A62" s="666"/>
      <c r="B62" s="667">
        <f t="shared" si="0"/>
        <v>50</v>
      </c>
      <c r="C62" s="677" t="s">
        <v>402</v>
      </c>
      <c r="D62" s="678" t="s">
        <v>87</v>
      </c>
      <c r="E62" s="677" t="s">
        <v>92</v>
      </c>
      <c r="F62" s="434"/>
      <c r="G62" s="734">
        <v>46032</v>
      </c>
      <c r="H62" s="735">
        <v>23.27</v>
      </c>
      <c r="I62" s="1257" t="s">
        <v>549</v>
      </c>
      <c r="J62" s="1258"/>
      <c r="K62" s="1258"/>
      <c r="L62" s="1259"/>
      <c r="M62" s="736">
        <v>46036</v>
      </c>
      <c r="N62" s="737" t="s">
        <v>662</v>
      </c>
      <c r="O62" s="738"/>
      <c r="P62" s="713">
        <v>17</v>
      </c>
      <c r="Q62" s="718"/>
      <c r="R62" s="718"/>
      <c r="S62" s="718"/>
      <c r="T62" s="718"/>
    </row>
    <row r="63" spans="1:20" s="719" customFormat="1" ht="17.399999999999999" customHeight="1" x14ac:dyDescent="0.35">
      <c r="A63" s="666"/>
      <c r="B63" s="667">
        <f t="shared" si="0"/>
        <v>51</v>
      </c>
      <c r="C63" s="671" t="s">
        <v>463</v>
      </c>
      <c r="D63" s="672" t="s">
        <v>668</v>
      </c>
      <c r="E63" s="671" t="s">
        <v>92</v>
      </c>
      <c r="F63" s="433"/>
      <c r="G63" s="709">
        <v>46028</v>
      </c>
      <c r="H63" s="671">
        <v>55.74</v>
      </c>
      <c r="I63" s="1260" t="s">
        <v>549</v>
      </c>
      <c r="J63" s="1260"/>
      <c r="K63" s="1260"/>
      <c r="L63" s="1260"/>
      <c r="M63" s="720">
        <v>46036</v>
      </c>
      <c r="N63" s="711" t="s">
        <v>89</v>
      </c>
      <c r="O63" s="712"/>
      <c r="P63" s="739">
        <v>20</v>
      </c>
      <c r="Q63" s="718"/>
      <c r="R63" s="718"/>
      <c r="S63" s="718"/>
      <c r="T63" s="718"/>
    </row>
    <row r="64" spans="1:20" s="719" customFormat="1" ht="17.399999999999999" customHeight="1" x14ac:dyDescent="0.35">
      <c r="A64" s="666"/>
      <c r="B64" s="667">
        <f t="shared" si="0"/>
        <v>52</v>
      </c>
      <c r="C64" s="673" t="s">
        <v>259</v>
      </c>
      <c r="D64" s="674" t="s">
        <v>558</v>
      </c>
      <c r="E64" s="673" t="s">
        <v>542</v>
      </c>
      <c r="F64" s="351"/>
      <c r="G64" s="714">
        <v>46029</v>
      </c>
      <c r="H64" s="673">
        <v>45.33</v>
      </c>
      <c r="I64" s="1254" t="s">
        <v>549</v>
      </c>
      <c r="J64" s="1255"/>
      <c r="K64" s="1255"/>
      <c r="L64" s="1256"/>
      <c r="M64" s="715">
        <v>46038</v>
      </c>
      <c r="N64" s="711" t="s">
        <v>688</v>
      </c>
      <c r="O64" s="716"/>
      <c r="P64" s="713">
        <v>21</v>
      </c>
      <c r="Q64" s="718"/>
      <c r="R64" s="718"/>
      <c r="S64" s="718"/>
      <c r="T64" s="718"/>
    </row>
    <row r="65" spans="1:20" s="719" customFormat="1" ht="17.399999999999999" customHeight="1" x14ac:dyDescent="0.35">
      <c r="A65" s="666"/>
      <c r="B65" s="667">
        <f t="shared" si="0"/>
        <v>53</v>
      </c>
      <c r="C65" s="671" t="s">
        <v>258</v>
      </c>
      <c r="D65" s="672" t="s">
        <v>87</v>
      </c>
      <c r="E65" s="673" t="s">
        <v>542</v>
      </c>
      <c r="F65" s="350"/>
      <c r="G65" s="709">
        <v>46031</v>
      </c>
      <c r="H65" s="670">
        <v>21.96</v>
      </c>
      <c r="I65" s="1254" t="s">
        <v>549</v>
      </c>
      <c r="J65" s="1255"/>
      <c r="K65" s="1255"/>
      <c r="L65" s="1256"/>
      <c r="M65" s="720">
        <v>46039</v>
      </c>
      <c r="N65" s="711" t="s">
        <v>688</v>
      </c>
      <c r="O65" s="712"/>
      <c r="P65" s="713">
        <v>21</v>
      </c>
      <c r="Q65" s="718"/>
      <c r="R65" s="718"/>
      <c r="S65" s="718"/>
      <c r="T65" s="718"/>
    </row>
    <row r="66" spans="1:20" s="719" customFormat="1" ht="17.399999999999999" customHeight="1" x14ac:dyDescent="0.35">
      <c r="A66" s="666"/>
      <c r="B66" s="667">
        <f t="shared" si="0"/>
        <v>54</v>
      </c>
      <c r="C66" s="679" t="s">
        <v>260</v>
      </c>
      <c r="D66" s="672" t="s">
        <v>87</v>
      </c>
      <c r="E66" s="671" t="s">
        <v>88</v>
      </c>
      <c r="F66" s="350"/>
      <c r="G66" s="740">
        <v>46039</v>
      </c>
      <c r="H66" s="703">
        <v>22.4</v>
      </c>
      <c r="I66" s="1260" t="s">
        <v>549</v>
      </c>
      <c r="J66" s="1260"/>
      <c r="K66" s="1260"/>
      <c r="L66" s="1260"/>
      <c r="M66" s="720">
        <v>46043</v>
      </c>
      <c r="N66" s="711" t="s">
        <v>688</v>
      </c>
      <c r="O66" s="712"/>
      <c r="P66" s="713">
        <v>15</v>
      </c>
      <c r="Q66" s="718"/>
      <c r="R66" s="718"/>
      <c r="S66" s="718"/>
      <c r="T66" s="718"/>
    </row>
    <row r="67" spans="1:20" s="719" customFormat="1" ht="17.399999999999999" customHeight="1" x14ac:dyDescent="0.35">
      <c r="A67" s="666"/>
      <c r="B67" s="667">
        <f t="shared" si="0"/>
        <v>55</v>
      </c>
      <c r="C67" s="671" t="s">
        <v>347</v>
      </c>
      <c r="D67" s="672" t="s">
        <v>87</v>
      </c>
      <c r="E67" s="671" t="s">
        <v>684</v>
      </c>
      <c r="F67" s="350"/>
      <c r="G67" s="709">
        <v>46028</v>
      </c>
      <c r="H67" s="741">
        <v>33.655000000000001</v>
      </c>
      <c r="I67" s="1254" t="s">
        <v>549</v>
      </c>
      <c r="J67" s="1255"/>
      <c r="K67" s="1255"/>
      <c r="L67" s="1256"/>
      <c r="M67" s="742">
        <v>46044</v>
      </c>
      <c r="N67" s="711" t="s">
        <v>686</v>
      </c>
      <c r="O67" s="712"/>
      <c r="P67" s="713">
        <v>12</v>
      </c>
      <c r="Q67" s="718"/>
      <c r="R67" s="718"/>
      <c r="S67" s="718"/>
      <c r="T67" s="718"/>
    </row>
    <row r="68" spans="1:20" s="719" customFormat="1" ht="17.399999999999999" customHeight="1" x14ac:dyDescent="0.35">
      <c r="A68" s="666"/>
      <c r="B68" s="667">
        <f t="shared" si="0"/>
        <v>56</v>
      </c>
      <c r="C68" s="679" t="s">
        <v>409</v>
      </c>
      <c r="D68" s="672" t="s">
        <v>87</v>
      </c>
      <c r="E68" s="671" t="s">
        <v>92</v>
      </c>
      <c r="F68" s="350"/>
      <c r="G68" s="740">
        <v>46040</v>
      </c>
      <c r="H68" s="670">
        <v>23.27</v>
      </c>
      <c r="I68" s="1260" t="s">
        <v>549</v>
      </c>
      <c r="J68" s="1260"/>
      <c r="K68" s="1260"/>
      <c r="L68" s="1260"/>
      <c r="M68" s="742">
        <v>46044</v>
      </c>
      <c r="N68" s="743" t="s">
        <v>661</v>
      </c>
      <c r="O68" s="712"/>
      <c r="P68" s="713">
        <v>11</v>
      </c>
      <c r="Q68" s="718"/>
      <c r="R68" s="718"/>
      <c r="S68" s="718"/>
      <c r="T68" s="718"/>
    </row>
    <row r="69" spans="1:20" s="719" customFormat="1" ht="17.399999999999999" customHeight="1" x14ac:dyDescent="0.35">
      <c r="A69" s="666"/>
      <c r="B69" s="667">
        <f t="shared" si="0"/>
        <v>57</v>
      </c>
      <c r="C69" s="671" t="s">
        <v>400</v>
      </c>
      <c r="D69" s="672" t="s">
        <v>91</v>
      </c>
      <c r="E69" s="671" t="s">
        <v>541</v>
      </c>
      <c r="F69" s="350"/>
      <c r="G69" s="709">
        <v>46026</v>
      </c>
      <c r="H69" s="670">
        <v>36.659999999999997</v>
      </c>
      <c r="I69" s="1260" t="s">
        <v>549</v>
      </c>
      <c r="J69" s="1260"/>
      <c r="K69" s="1260"/>
      <c r="L69" s="1260"/>
      <c r="M69" s="744">
        <v>46045</v>
      </c>
      <c r="N69" s="711" t="s">
        <v>662</v>
      </c>
      <c r="O69" s="712"/>
      <c r="P69" s="713">
        <v>17</v>
      </c>
      <c r="Q69" s="718"/>
      <c r="R69" s="718"/>
      <c r="S69" s="718"/>
      <c r="T69" s="718"/>
    </row>
    <row r="70" spans="1:20" s="719" customFormat="1" ht="17.399999999999999" customHeight="1" x14ac:dyDescent="0.35">
      <c r="A70" s="666"/>
      <c r="B70" s="667">
        <f t="shared" si="0"/>
        <v>58</v>
      </c>
      <c r="C70" s="679" t="s">
        <v>403</v>
      </c>
      <c r="D70" s="672" t="s">
        <v>87</v>
      </c>
      <c r="E70" s="671" t="s">
        <v>92</v>
      </c>
      <c r="F70" s="350"/>
      <c r="G70" s="740">
        <v>46043</v>
      </c>
      <c r="H70" s="670">
        <v>23.27</v>
      </c>
      <c r="I70" s="1254" t="s">
        <v>549</v>
      </c>
      <c r="J70" s="1255"/>
      <c r="K70" s="1255"/>
      <c r="L70" s="1256"/>
      <c r="M70" s="720">
        <v>46046</v>
      </c>
      <c r="N70" s="711" t="s">
        <v>662</v>
      </c>
      <c r="O70" s="712"/>
      <c r="P70" s="713">
        <v>12</v>
      </c>
      <c r="Q70" s="718"/>
      <c r="R70" s="718"/>
      <c r="S70" s="718"/>
      <c r="T70" s="718"/>
    </row>
    <row r="71" spans="1:20" s="719" customFormat="1" ht="17.399999999999999" customHeight="1" x14ac:dyDescent="0.35">
      <c r="A71" s="666"/>
      <c r="B71" s="667">
        <f t="shared" si="0"/>
        <v>59</v>
      </c>
      <c r="C71" s="679" t="s">
        <v>464</v>
      </c>
      <c r="D71" s="672" t="s">
        <v>558</v>
      </c>
      <c r="E71" s="671" t="s">
        <v>92</v>
      </c>
      <c r="F71" s="350"/>
      <c r="G71" s="740">
        <v>46044</v>
      </c>
      <c r="H71" s="671">
        <v>55.74</v>
      </c>
      <c r="I71" s="1260" t="s">
        <v>549</v>
      </c>
      <c r="J71" s="1260"/>
      <c r="K71" s="1260"/>
      <c r="L71" s="1260"/>
      <c r="M71" s="744">
        <v>46048</v>
      </c>
      <c r="N71" s="743" t="s">
        <v>89</v>
      </c>
      <c r="O71" s="712"/>
      <c r="P71" s="713">
        <v>20</v>
      </c>
      <c r="Q71" s="718"/>
      <c r="R71" s="718"/>
      <c r="S71" s="718"/>
      <c r="T71" s="718"/>
    </row>
    <row r="72" spans="1:20" s="719" customFormat="1" ht="17.399999999999999" customHeight="1" x14ac:dyDescent="0.35">
      <c r="A72" s="666"/>
      <c r="B72" s="667">
        <f t="shared" si="0"/>
        <v>60</v>
      </c>
      <c r="C72" s="671" t="s">
        <v>429</v>
      </c>
      <c r="D72" s="672" t="s">
        <v>669</v>
      </c>
      <c r="E72" s="671" t="s">
        <v>92</v>
      </c>
      <c r="F72" s="350"/>
      <c r="G72" s="709">
        <v>46029</v>
      </c>
      <c r="H72" s="671">
        <v>61.57</v>
      </c>
      <c r="I72" s="1254" t="s">
        <v>549</v>
      </c>
      <c r="J72" s="1255"/>
      <c r="K72" s="1255"/>
      <c r="L72" s="1256"/>
      <c r="M72" s="744">
        <v>46048</v>
      </c>
      <c r="N72" s="711" t="s">
        <v>675</v>
      </c>
      <c r="O72" s="712"/>
      <c r="P72" s="713">
        <v>21</v>
      </c>
      <c r="Q72" s="718"/>
      <c r="R72" s="718"/>
      <c r="S72" s="718"/>
      <c r="T72" s="718"/>
    </row>
    <row r="73" spans="1:20" s="719" customFormat="1" ht="17.399999999999999" customHeight="1" x14ac:dyDescent="0.35">
      <c r="A73" s="666"/>
      <c r="B73" s="667">
        <f t="shared" si="0"/>
        <v>61</v>
      </c>
      <c r="C73" s="679" t="s">
        <v>625</v>
      </c>
      <c r="D73" s="672" t="s">
        <v>87</v>
      </c>
      <c r="E73" s="671" t="s">
        <v>92</v>
      </c>
      <c r="F73" s="350"/>
      <c r="G73" s="740">
        <v>46044</v>
      </c>
      <c r="H73" s="670">
        <v>23.27</v>
      </c>
      <c r="I73" s="1254" t="s">
        <v>549</v>
      </c>
      <c r="J73" s="1255"/>
      <c r="K73" s="1255"/>
      <c r="L73" s="1256"/>
      <c r="M73" s="720">
        <v>46048</v>
      </c>
      <c r="N73" s="711" t="s">
        <v>683</v>
      </c>
      <c r="O73" s="712"/>
      <c r="P73" s="713">
        <v>11</v>
      </c>
      <c r="Q73" s="718"/>
      <c r="R73" s="718"/>
      <c r="S73" s="718"/>
      <c r="T73" s="718"/>
    </row>
    <row r="74" spans="1:20" s="719" customFormat="1" ht="17.399999999999999" customHeight="1" x14ac:dyDescent="0.35">
      <c r="A74" s="666"/>
      <c r="B74" s="667">
        <f t="shared" si="0"/>
        <v>62</v>
      </c>
      <c r="C74" s="679" t="s">
        <v>404</v>
      </c>
      <c r="D74" s="672" t="s">
        <v>87</v>
      </c>
      <c r="E74" s="671" t="s">
        <v>92</v>
      </c>
      <c r="F74" s="350"/>
      <c r="G74" s="709">
        <v>46044</v>
      </c>
      <c r="H74" s="670">
        <v>23.27</v>
      </c>
      <c r="I74" s="1260" t="s">
        <v>549</v>
      </c>
      <c r="J74" s="1260"/>
      <c r="K74" s="1260"/>
      <c r="L74" s="1260"/>
      <c r="M74" s="745">
        <v>46049</v>
      </c>
      <c r="N74" s="711" t="s">
        <v>662</v>
      </c>
      <c r="O74" s="712"/>
      <c r="P74" s="713">
        <v>20</v>
      </c>
      <c r="Q74" s="718"/>
      <c r="R74" s="718"/>
      <c r="S74" s="718"/>
      <c r="T74" s="718"/>
    </row>
    <row r="75" spans="1:20" s="719" customFormat="1" ht="17.399999999999999" customHeight="1" x14ac:dyDescent="0.35">
      <c r="A75" s="666"/>
      <c r="B75" s="667">
        <f t="shared" si="0"/>
        <v>63</v>
      </c>
      <c r="C75" s="679" t="s">
        <v>408</v>
      </c>
      <c r="D75" s="672" t="s">
        <v>87</v>
      </c>
      <c r="E75" s="671" t="s">
        <v>542</v>
      </c>
      <c r="F75" s="350"/>
      <c r="G75" s="709">
        <v>46046</v>
      </c>
      <c r="H75" s="670">
        <v>21.96</v>
      </c>
      <c r="I75" s="1260" t="s">
        <v>549</v>
      </c>
      <c r="J75" s="1260"/>
      <c r="K75" s="1260"/>
      <c r="L75" s="1260"/>
      <c r="M75" s="720">
        <v>46050</v>
      </c>
      <c r="N75" s="743" t="s">
        <v>661</v>
      </c>
      <c r="O75" s="712"/>
      <c r="P75" s="713">
        <v>11</v>
      </c>
      <c r="Q75" s="718"/>
      <c r="R75" s="718"/>
      <c r="S75" s="718"/>
      <c r="T75" s="718"/>
    </row>
    <row r="76" spans="1:20" s="719" customFormat="1" ht="17.399999999999999" customHeight="1" x14ac:dyDescent="0.35">
      <c r="A76" s="666"/>
      <c r="B76" s="667">
        <f t="shared" si="0"/>
        <v>64</v>
      </c>
      <c r="C76" s="679" t="s">
        <v>250</v>
      </c>
      <c r="D76" s="672" t="s">
        <v>87</v>
      </c>
      <c r="E76" s="671" t="s">
        <v>542</v>
      </c>
      <c r="F76" s="350"/>
      <c r="G76" s="740">
        <v>46047</v>
      </c>
      <c r="H76" s="670">
        <v>21.96</v>
      </c>
      <c r="I76" s="1251" t="s">
        <v>549</v>
      </c>
      <c r="J76" s="1252"/>
      <c r="K76" s="1252"/>
      <c r="L76" s="1253"/>
      <c r="M76" s="720">
        <v>46050</v>
      </c>
      <c r="N76" s="711" t="s">
        <v>688</v>
      </c>
      <c r="O76" s="712"/>
      <c r="P76" s="713">
        <v>15</v>
      </c>
      <c r="Q76" s="718"/>
      <c r="R76" s="718"/>
      <c r="S76" s="718"/>
      <c r="T76" s="718"/>
    </row>
    <row r="77" spans="1:20" s="719" customFormat="1" ht="17.399999999999999" customHeight="1" x14ac:dyDescent="0.35">
      <c r="A77" s="666"/>
      <c r="B77" s="667">
        <f t="shared" si="0"/>
        <v>65</v>
      </c>
      <c r="C77" s="679" t="s">
        <v>243</v>
      </c>
      <c r="D77" s="672" t="s">
        <v>87</v>
      </c>
      <c r="E77" s="671" t="s">
        <v>542</v>
      </c>
      <c r="F77" s="350"/>
      <c r="G77" s="709">
        <v>46048</v>
      </c>
      <c r="H77" s="670">
        <v>21.96</v>
      </c>
      <c r="I77" s="1260" t="s">
        <v>549</v>
      </c>
      <c r="J77" s="1260"/>
      <c r="K77" s="1260"/>
      <c r="L77" s="1260"/>
      <c r="M77" s="720">
        <v>46052</v>
      </c>
      <c r="N77" s="711" t="s">
        <v>688</v>
      </c>
      <c r="O77" s="712"/>
      <c r="P77" s="713">
        <v>20</v>
      </c>
      <c r="Q77" s="718"/>
      <c r="R77" s="718"/>
      <c r="S77" s="718"/>
      <c r="T77" s="718"/>
    </row>
    <row r="78" spans="1:20" s="719" customFormat="1" ht="17.399999999999999" customHeight="1" x14ac:dyDescent="0.35">
      <c r="A78" s="666"/>
      <c r="B78" s="667">
        <f t="shared" si="0"/>
        <v>66</v>
      </c>
      <c r="C78" s="679" t="s">
        <v>626</v>
      </c>
      <c r="D78" s="672" t="s">
        <v>87</v>
      </c>
      <c r="E78" s="671" t="s">
        <v>541</v>
      </c>
      <c r="F78" s="350"/>
      <c r="G78" s="709">
        <v>46033</v>
      </c>
      <c r="H78" s="671">
        <v>33.01</v>
      </c>
      <c r="I78" s="1260" t="s">
        <v>549</v>
      </c>
      <c r="J78" s="1260"/>
      <c r="K78" s="1260"/>
      <c r="L78" s="1260"/>
      <c r="M78" s="720">
        <v>46053</v>
      </c>
      <c r="N78" s="711" t="s">
        <v>683</v>
      </c>
      <c r="O78" s="712"/>
      <c r="P78" s="713">
        <v>11</v>
      </c>
      <c r="Q78" s="718"/>
      <c r="R78" s="718"/>
      <c r="S78" s="718"/>
      <c r="T78" s="718"/>
    </row>
    <row r="79" spans="1:20" s="719" customFormat="1" ht="17.399999999999999" customHeight="1" x14ac:dyDescent="0.35">
      <c r="A79" s="666"/>
      <c r="B79" s="667">
        <f t="shared" ref="B79:B98" si="1">B78+1</f>
        <v>67</v>
      </c>
      <c r="C79" s="679" t="s">
        <v>418</v>
      </c>
      <c r="D79" s="672" t="s">
        <v>685</v>
      </c>
      <c r="E79" s="671" t="s">
        <v>92</v>
      </c>
      <c r="F79" s="350"/>
      <c r="G79" s="709">
        <v>46045</v>
      </c>
      <c r="H79" s="671">
        <v>55.59</v>
      </c>
      <c r="I79" s="1260" t="s">
        <v>549</v>
      </c>
      <c r="J79" s="1260"/>
      <c r="K79" s="1260"/>
      <c r="L79" s="1260"/>
      <c r="M79" s="742">
        <v>46053</v>
      </c>
      <c r="N79" s="711" t="s">
        <v>688</v>
      </c>
      <c r="O79" s="712"/>
      <c r="P79" s="713">
        <v>15</v>
      </c>
      <c r="Q79" s="718"/>
      <c r="R79" s="718"/>
      <c r="S79" s="718"/>
      <c r="T79" s="718"/>
    </row>
    <row r="80" spans="1:20" s="719" customFormat="1" ht="17.399999999999999" customHeight="1" x14ac:dyDescent="0.35">
      <c r="A80" s="666"/>
      <c r="B80" s="667">
        <f t="shared" si="1"/>
        <v>68</v>
      </c>
      <c r="C80" s="679" t="s">
        <v>614</v>
      </c>
      <c r="D80" s="672" t="s">
        <v>87</v>
      </c>
      <c r="E80" s="671" t="s">
        <v>542</v>
      </c>
      <c r="F80" s="350"/>
      <c r="G80" s="709">
        <v>46048</v>
      </c>
      <c r="H80" s="670">
        <v>21.96</v>
      </c>
      <c r="I80" s="1260" t="s">
        <v>549</v>
      </c>
      <c r="J80" s="1260"/>
      <c r="K80" s="1260"/>
      <c r="L80" s="1260"/>
      <c r="M80" s="742">
        <v>46053</v>
      </c>
      <c r="N80" s="743" t="s">
        <v>661</v>
      </c>
      <c r="O80" s="712"/>
      <c r="P80" s="713">
        <v>11</v>
      </c>
      <c r="Q80" s="718"/>
      <c r="R80" s="718"/>
      <c r="S80" s="718"/>
      <c r="T80" s="718"/>
    </row>
    <row r="81" spans="1:20" s="719" customFormat="1" ht="17.399999999999999" customHeight="1" x14ac:dyDescent="0.35">
      <c r="A81" s="666"/>
      <c r="B81" s="667">
        <f t="shared" si="1"/>
        <v>69</v>
      </c>
      <c r="C81" s="671" t="s">
        <v>482</v>
      </c>
      <c r="D81" s="672" t="s">
        <v>558</v>
      </c>
      <c r="E81" s="671" t="s">
        <v>542</v>
      </c>
      <c r="F81" s="350"/>
      <c r="G81" s="709">
        <v>46049</v>
      </c>
      <c r="H81" s="671">
        <v>45.33</v>
      </c>
      <c r="I81" s="1260" t="s">
        <v>549</v>
      </c>
      <c r="J81" s="1260"/>
      <c r="K81" s="1260"/>
      <c r="L81" s="1260"/>
      <c r="M81" s="720">
        <v>46053</v>
      </c>
      <c r="N81" s="711" t="s">
        <v>662</v>
      </c>
      <c r="O81" s="712"/>
      <c r="P81" s="713">
        <v>20</v>
      </c>
      <c r="Q81" s="718"/>
      <c r="R81" s="718"/>
      <c r="S81" s="718"/>
      <c r="T81" s="718"/>
    </row>
    <row r="82" spans="1:20" s="719" customFormat="1" ht="17.399999999999999" customHeight="1" x14ac:dyDescent="0.35">
      <c r="A82" s="666"/>
      <c r="B82" s="667">
        <f t="shared" si="1"/>
        <v>70</v>
      </c>
      <c r="C82" s="671" t="s">
        <v>235</v>
      </c>
      <c r="D82" s="672" t="s">
        <v>91</v>
      </c>
      <c r="E82" s="671" t="s">
        <v>92</v>
      </c>
      <c r="F82" s="350"/>
      <c r="G82" s="709">
        <v>46054</v>
      </c>
      <c r="H82" s="697">
        <v>26.43</v>
      </c>
      <c r="I82" s="1260" t="s">
        <v>549</v>
      </c>
      <c r="J82" s="1260"/>
      <c r="K82" s="1260"/>
      <c r="L82" s="1260"/>
      <c r="M82" s="742">
        <v>46058</v>
      </c>
      <c r="N82" s="711" t="s">
        <v>688</v>
      </c>
      <c r="O82" s="712"/>
      <c r="P82" s="713">
        <v>20</v>
      </c>
      <c r="Q82" s="718"/>
      <c r="R82" s="718"/>
      <c r="S82" s="718"/>
      <c r="T82" s="718"/>
    </row>
    <row r="83" spans="1:20" s="719" customFormat="1" ht="17.399999999999999" customHeight="1" x14ac:dyDescent="0.35">
      <c r="A83" s="666"/>
      <c r="B83" s="667">
        <f t="shared" si="1"/>
        <v>71</v>
      </c>
      <c r="C83" s="680" t="s">
        <v>331</v>
      </c>
      <c r="D83" s="672" t="s">
        <v>87</v>
      </c>
      <c r="E83" s="671" t="s">
        <v>542</v>
      </c>
      <c r="F83" s="350"/>
      <c r="G83" s="709">
        <v>46048</v>
      </c>
      <c r="H83" s="670">
        <v>21.96</v>
      </c>
      <c r="I83" s="1260" t="s">
        <v>549</v>
      </c>
      <c r="J83" s="1260"/>
      <c r="K83" s="1260"/>
      <c r="L83" s="1260"/>
      <c r="M83" s="742">
        <v>46059</v>
      </c>
      <c r="N83" s="743" t="s">
        <v>89</v>
      </c>
      <c r="O83" s="712"/>
      <c r="P83" s="713">
        <v>20</v>
      </c>
      <c r="Q83" s="718"/>
      <c r="R83" s="718"/>
      <c r="S83" s="718"/>
      <c r="T83" s="718"/>
    </row>
    <row r="84" spans="1:20" s="719" customFormat="1" ht="17.399999999999999" customHeight="1" x14ac:dyDescent="0.35">
      <c r="A84" s="666"/>
      <c r="B84" s="667">
        <f t="shared" si="1"/>
        <v>72</v>
      </c>
      <c r="C84" s="671" t="s">
        <v>242</v>
      </c>
      <c r="D84" s="672" t="s">
        <v>213</v>
      </c>
      <c r="E84" s="671" t="s">
        <v>92</v>
      </c>
      <c r="F84" s="350"/>
      <c r="G84" s="709">
        <v>46050</v>
      </c>
      <c r="H84" s="697">
        <v>26.43</v>
      </c>
      <c r="I84" s="1260" t="s">
        <v>549</v>
      </c>
      <c r="J84" s="1260"/>
      <c r="K84" s="1260"/>
      <c r="L84" s="1260"/>
      <c r="M84" s="742">
        <v>46061</v>
      </c>
      <c r="N84" s="711" t="s">
        <v>688</v>
      </c>
      <c r="O84" s="712"/>
      <c r="P84" s="713">
        <v>20</v>
      </c>
      <c r="Q84" s="718"/>
      <c r="R84" s="718"/>
      <c r="S84" s="718"/>
      <c r="T84" s="718"/>
    </row>
    <row r="85" spans="1:20" s="719" customFormat="1" ht="17.399999999999999" customHeight="1" x14ac:dyDescent="0.35">
      <c r="A85" s="666"/>
      <c r="B85" s="667">
        <f t="shared" si="1"/>
        <v>73</v>
      </c>
      <c r="C85" s="680" t="s">
        <v>624</v>
      </c>
      <c r="D85" s="672" t="s">
        <v>87</v>
      </c>
      <c r="E85" s="671" t="s">
        <v>92</v>
      </c>
      <c r="F85" s="350"/>
      <c r="G85" s="709">
        <v>46048</v>
      </c>
      <c r="H85" s="671">
        <v>23.27</v>
      </c>
      <c r="I85" s="1260" t="s">
        <v>549</v>
      </c>
      <c r="J85" s="1260"/>
      <c r="K85" s="1260"/>
      <c r="L85" s="1260"/>
      <c r="M85" s="742">
        <v>46061</v>
      </c>
      <c r="N85" s="711" t="s">
        <v>683</v>
      </c>
      <c r="O85" s="712"/>
      <c r="P85" s="713">
        <v>11</v>
      </c>
      <c r="Q85" s="718"/>
      <c r="R85" s="718"/>
      <c r="S85" s="718"/>
      <c r="T85" s="718"/>
    </row>
    <row r="86" spans="1:20" s="719" customFormat="1" ht="17.399999999999999" customHeight="1" x14ac:dyDescent="0.35">
      <c r="A86" s="666"/>
      <c r="B86" s="667">
        <f t="shared" si="1"/>
        <v>74</v>
      </c>
      <c r="C86" s="671" t="s">
        <v>327</v>
      </c>
      <c r="D86" s="681" t="s">
        <v>87</v>
      </c>
      <c r="E86" s="671" t="s">
        <v>92</v>
      </c>
      <c r="F86" s="350"/>
      <c r="G86" s="709">
        <v>46055</v>
      </c>
      <c r="H86" s="671">
        <v>23.27</v>
      </c>
      <c r="I86" s="1260" t="s">
        <v>549</v>
      </c>
      <c r="J86" s="1260"/>
      <c r="K86" s="1260"/>
      <c r="L86" s="1260"/>
      <c r="M86" s="745">
        <v>46063</v>
      </c>
      <c r="N86" s="743" t="s">
        <v>89</v>
      </c>
      <c r="O86" s="712"/>
      <c r="P86" s="713">
        <v>20</v>
      </c>
      <c r="Q86" s="718"/>
      <c r="R86" s="718"/>
      <c r="S86" s="718"/>
      <c r="T86" s="718"/>
    </row>
    <row r="87" spans="1:20" s="719" customFormat="1" ht="17.399999999999999" customHeight="1" x14ac:dyDescent="0.35">
      <c r="A87" s="666"/>
      <c r="B87" s="667">
        <f t="shared" si="1"/>
        <v>75</v>
      </c>
      <c r="C87" s="671" t="s">
        <v>623</v>
      </c>
      <c r="D87" s="682" t="s">
        <v>87</v>
      </c>
      <c r="E87" s="683" t="s">
        <v>92</v>
      </c>
      <c r="F87" s="350"/>
      <c r="G87" s="709">
        <v>46055</v>
      </c>
      <c r="H87" s="670">
        <v>23.27</v>
      </c>
      <c r="I87" s="1260" t="s">
        <v>549</v>
      </c>
      <c r="J87" s="1260"/>
      <c r="K87" s="1260"/>
      <c r="L87" s="1260"/>
      <c r="M87" s="745">
        <v>46064</v>
      </c>
      <c r="N87" s="711" t="s">
        <v>686</v>
      </c>
      <c r="O87" s="712"/>
      <c r="P87" s="713">
        <v>14</v>
      </c>
      <c r="Q87" s="718"/>
      <c r="R87" s="718"/>
      <c r="S87" s="718"/>
      <c r="T87" s="718"/>
    </row>
    <row r="88" spans="1:20" s="719" customFormat="1" ht="17.399999999999999" customHeight="1" x14ac:dyDescent="0.35">
      <c r="A88" s="666"/>
      <c r="B88" s="667">
        <f t="shared" si="1"/>
        <v>76</v>
      </c>
      <c r="C88" s="671" t="s">
        <v>223</v>
      </c>
      <c r="D88" s="684" t="s">
        <v>87</v>
      </c>
      <c r="E88" s="680" t="s">
        <v>92</v>
      </c>
      <c r="F88" s="418"/>
      <c r="G88" s="746">
        <v>46060</v>
      </c>
      <c r="H88" s="747">
        <v>23.27</v>
      </c>
      <c r="I88" s="1260" t="s">
        <v>549</v>
      </c>
      <c r="J88" s="1260"/>
      <c r="K88" s="1260"/>
      <c r="L88" s="1260"/>
      <c r="M88" s="745">
        <v>46065</v>
      </c>
      <c r="N88" s="748" t="s">
        <v>688</v>
      </c>
      <c r="O88" s="749"/>
      <c r="P88" s="750">
        <v>20</v>
      </c>
      <c r="Q88" s="718"/>
      <c r="R88" s="718"/>
      <c r="S88" s="718"/>
      <c r="T88" s="718"/>
    </row>
    <row r="89" spans="1:20" s="719" customFormat="1" ht="17.399999999999999" customHeight="1" x14ac:dyDescent="0.35">
      <c r="A89" s="666"/>
      <c r="B89" s="667">
        <f t="shared" si="1"/>
        <v>77</v>
      </c>
      <c r="C89" s="671" t="s">
        <v>616</v>
      </c>
      <c r="D89" s="681" t="s">
        <v>87</v>
      </c>
      <c r="E89" s="671" t="s">
        <v>542</v>
      </c>
      <c r="F89" s="350"/>
      <c r="G89" s="709">
        <v>46055</v>
      </c>
      <c r="H89" s="670">
        <v>21.96</v>
      </c>
      <c r="I89" s="1260" t="s">
        <v>549</v>
      </c>
      <c r="J89" s="1260"/>
      <c r="K89" s="1260"/>
      <c r="L89" s="1260"/>
      <c r="M89" s="745">
        <v>46067</v>
      </c>
      <c r="N89" s="743" t="s">
        <v>661</v>
      </c>
      <c r="O89" s="712"/>
      <c r="P89" s="713">
        <v>11</v>
      </c>
      <c r="Q89" s="718"/>
      <c r="R89" s="718"/>
      <c r="S89" s="718"/>
      <c r="T89" s="718"/>
    </row>
    <row r="90" spans="1:20" s="719" customFormat="1" ht="17.399999999999999" customHeight="1" x14ac:dyDescent="0.35">
      <c r="A90" s="666"/>
      <c r="B90" s="667">
        <f t="shared" si="1"/>
        <v>78</v>
      </c>
      <c r="C90" s="671" t="s">
        <v>622</v>
      </c>
      <c r="D90" s="681" t="s">
        <v>87</v>
      </c>
      <c r="E90" s="671" t="s">
        <v>92</v>
      </c>
      <c r="F90" s="350"/>
      <c r="G90" s="709">
        <v>46055</v>
      </c>
      <c r="H90" s="670">
        <v>23.27</v>
      </c>
      <c r="I90" s="1260" t="s">
        <v>549</v>
      </c>
      <c r="J90" s="1260"/>
      <c r="K90" s="1260"/>
      <c r="L90" s="1260"/>
      <c r="M90" s="745">
        <v>46067</v>
      </c>
      <c r="N90" s="711" t="s">
        <v>686</v>
      </c>
      <c r="O90" s="712"/>
      <c r="P90" s="713">
        <v>14</v>
      </c>
      <c r="Q90" s="718"/>
      <c r="R90" s="718"/>
      <c r="S90" s="718"/>
      <c r="T90" s="718"/>
    </row>
    <row r="91" spans="1:20" s="719" customFormat="1" ht="17.399999999999999" customHeight="1" x14ac:dyDescent="0.35">
      <c r="A91" s="666"/>
      <c r="B91" s="667">
        <f t="shared" si="1"/>
        <v>79</v>
      </c>
      <c r="C91" s="671" t="s">
        <v>340</v>
      </c>
      <c r="D91" s="681" t="s">
        <v>87</v>
      </c>
      <c r="E91" s="671" t="s">
        <v>92</v>
      </c>
      <c r="F91" s="350"/>
      <c r="G91" s="709">
        <v>46061</v>
      </c>
      <c r="H91" s="670">
        <v>23.27</v>
      </c>
      <c r="I91" s="1260" t="s">
        <v>549</v>
      </c>
      <c r="J91" s="1260"/>
      <c r="K91" s="1260"/>
      <c r="L91" s="1260"/>
      <c r="M91" s="742">
        <v>46068</v>
      </c>
      <c r="N91" s="743" t="s">
        <v>89</v>
      </c>
      <c r="O91" s="712"/>
      <c r="P91" s="713">
        <v>20</v>
      </c>
      <c r="Q91" s="718"/>
      <c r="R91" s="718"/>
      <c r="S91" s="718"/>
      <c r="T91" s="718"/>
    </row>
    <row r="92" spans="1:20" s="719" customFormat="1" ht="17.399999999999999" customHeight="1" x14ac:dyDescent="0.35">
      <c r="A92" s="666"/>
      <c r="B92" s="667">
        <f t="shared" si="1"/>
        <v>80</v>
      </c>
      <c r="C92" s="671" t="s">
        <v>224</v>
      </c>
      <c r="D92" s="684" t="s">
        <v>87</v>
      </c>
      <c r="E92" s="680" t="s">
        <v>664</v>
      </c>
      <c r="F92" s="418"/>
      <c r="G92" s="746">
        <v>46059</v>
      </c>
      <c r="H92" s="751">
        <v>34.299999999999997</v>
      </c>
      <c r="I92" s="1260" t="s">
        <v>549</v>
      </c>
      <c r="J92" s="1260"/>
      <c r="K92" s="1260"/>
      <c r="L92" s="1260"/>
      <c r="M92" s="742">
        <v>46070</v>
      </c>
      <c r="N92" s="748" t="s">
        <v>688</v>
      </c>
      <c r="O92" s="749"/>
      <c r="P92" s="750">
        <v>20</v>
      </c>
      <c r="Q92" s="718"/>
      <c r="R92" s="718"/>
      <c r="S92" s="718"/>
      <c r="T92" s="718"/>
    </row>
    <row r="93" spans="1:20" s="719" customFormat="1" ht="17.399999999999999" customHeight="1" x14ac:dyDescent="0.35">
      <c r="A93" s="666"/>
      <c r="B93" s="667">
        <f t="shared" si="1"/>
        <v>81</v>
      </c>
      <c r="C93" s="671" t="s">
        <v>617</v>
      </c>
      <c r="D93" s="684" t="s">
        <v>87</v>
      </c>
      <c r="E93" s="671" t="s">
        <v>92</v>
      </c>
      <c r="F93" s="418"/>
      <c r="G93" s="746">
        <v>46062</v>
      </c>
      <c r="H93" s="670">
        <v>23.27</v>
      </c>
      <c r="I93" s="1260" t="s">
        <v>549</v>
      </c>
      <c r="J93" s="1260"/>
      <c r="K93" s="1260"/>
      <c r="L93" s="1260"/>
      <c r="M93" s="742">
        <v>46075</v>
      </c>
      <c r="N93" s="752" t="s">
        <v>661</v>
      </c>
      <c r="O93" s="749"/>
      <c r="P93" s="750">
        <v>20</v>
      </c>
      <c r="Q93" s="718"/>
      <c r="R93" s="718"/>
      <c r="S93" s="718"/>
      <c r="T93" s="718"/>
    </row>
    <row r="94" spans="1:20" s="719" customFormat="1" ht="17.399999999999999" customHeight="1" x14ac:dyDescent="0.35">
      <c r="A94" s="666"/>
      <c r="B94" s="667">
        <f t="shared" si="1"/>
        <v>82</v>
      </c>
      <c r="C94" s="680" t="s">
        <v>405</v>
      </c>
      <c r="D94" s="672" t="s">
        <v>87</v>
      </c>
      <c r="E94" s="671" t="s">
        <v>92</v>
      </c>
      <c r="F94" s="350"/>
      <c r="G94" s="709">
        <v>46048</v>
      </c>
      <c r="H94" s="670">
        <v>23.27</v>
      </c>
      <c r="I94" s="1260" t="s">
        <v>549</v>
      </c>
      <c r="J94" s="1260"/>
      <c r="K94" s="1260"/>
      <c r="L94" s="1260"/>
      <c r="M94" s="742">
        <v>46077</v>
      </c>
      <c r="N94" s="711" t="s">
        <v>686</v>
      </c>
      <c r="O94" s="712"/>
      <c r="P94" s="713">
        <v>20</v>
      </c>
      <c r="Q94" s="718"/>
      <c r="R94" s="718"/>
      <c r="S94" s="718"/>
      <c r="T94" s="718"/>
    </row>
    <row r="95" spans="1:20" s="719" customFormat="1" ht="17.399999999999999" customHeight="1" x14ac:dyDescent="0.35">
      <c r="A95" s="666"/>
      <c r="B95" s="667">
        <f t="shared" si="1"/>
        <v>83</v>
      </c>
      <c r="C95" s="680" t="s">
        <v>346</v>
      </c>
      <c r="D95" s="672" t="s">
        <v>109</v>
      </c>
      <c r="E95" s="671" t="s">
        <v>664</v>
      </c>
      <c r="F95" s="350"/>
      <c r="G95" s="709">
        <v>46049</v>
      </c>
      <c r="H95" s="671">
        <v>38.979999999999997</v>
      </c>
      <c r="I95" s="1260" t="s">
        <v>549</v>
      </c>
      <c r="J95" s="1260"/>
      <c r="K95" s="1260"/>
      <c r="L95" s="1260"/>
      <c r="M95" s="742">
        <v>46078</v>
      </c>
      <c r="N95" s="711" t="s">
        <v>89</v>
      </c>
      <c r="O95" s="712"/>
      <c r="P95" s="713">
        <v>18</v>
      </c>
      <c r="Q95" s="718"/>
      <c r="R95" s="718"/>
      <c r="S95" s="718"/>
      <c r="T95" s="718"/>
    </row>
    <row r="96" spans="1:20" s="719" customFormat="1" ht="17.399999999999999" customHeight="1" x14ac:dyDescent="0.35">
      <c r="A96" s="666"/>
      <c r="B96" s="667">
        <f t="shared" si="1"/>
        <v>84</v>
      </c>
      <c r="C96" s="680" t="s">
        <v>407</v>
      </c>
      <c r="D96" s="672" t="s">
        <v>87</v>
      </c>
      <c r="E96" s="671" t="s">
        <v>92</v>
      </c>
      <c r="F96" s="418"/>
      <c r="G96" s="746">
        <v>46065</v>
      </c>
      <c r="H96" s="670">
        <v>23.27</v>
      </c>
      <c r="I96" s="1260" t="s">
        <v>549</v>
      </c>
      <c r="J96" s="1260"/>
      <c r="K96" s="1260"/>
      <c r="L96" s="1260"/>
      <c r="M96" s="753">
        <v>46079</v>
      </c>
      <c r="N96" s="711" t="s">
        <v>686</v>
      </c>
      <c r="O96" s="749"/>
      <c r="P96" s="713">
        <v>16</v>
      </c>
      <c r="Q96" s="718"/>
      <c r="R96" s="718"/>
      <c r="S96" s="718"/>
      <c r="T96" s="718"/>
    </row>
    <row r="97" spans="1:20" s="719" customFormat="1" ht="17.399999999999999" customHeight="1" x14ac:dyDescent="0.35">
      <c r="A97" s="666"/>
      <c r="B97" s="667">
        <f t="shared" si="1"/>
        <v>85</v>
      </c>
      <c r="C97" s="685" t="s">
        <v>618</v>
      </c>
      <c r="D97" s="684" t="s">
        <v>87</v>
      </c>
      <c r="E97" s="671" t="s">
        <v>92</v>
      </c>
      <c r="F97" s="418"/>
      <c r="G97" s="746">
        <v>46069</v>
      </c>
      <c r="H97" s="670">
        <v>23.27</v>
      </c>
      <c r="I97" s="1260" t="s">
        <v>549</v>
      </c>
      <c r="J97" s="1260"/>
      <c r="K97" s="1260"/>
      <c r="L97" s="1260"/>
      <c r="M97" s="753">
        <v>46081</v>
      </c>
      <c r="N97" s="752" t="s">
        <v>661</v>
      </c>
      <c r="O97" s="749"/>
      <c r="P97" s="713">
        <v>11</v>
      </c>
      <c r="Q97" s="718"/>
      <c r="R97" s="718"/>
      <c r="S97" s="718"/>
      <c r="T97" s="718"/>
    </row>
    <row r="98" spans="1:20" s="719" customFormat="1" ht="17.399999999999999" customHeight="1" x14ac:dyDescent="0.35">
      <c r="A98" s="666"/>
      <c r="B98" s="667">
        <f t="shared" si="1"/>
        <v>86</v>
      </c>
      <c r="C98" s="685" t="s">
        <v>406</v>
      </c>
      <c r="D98" s="672" t="s">
        <v>91</v>
      </c>
      <c r="E98" s="671" t="s">
        <v>92</v>
      </c>
      <c r="F98" s="350"/>
      <c r="G98" s="709">
        <v>46049</v>
      </c>
      <c r="H98" s="697">
        <v>26.43</v>
      </c>
      <c r="I98" s="1260" t="s">
        <v>549</v>
      </c>
      <c r="J98" s="1260"/>
      <c r="K98" s="1260"/>
      <c r="L98" s="1260"/>
      <c r="M98" s="753">
        <v>46081</v>
      </c>
      <c r="N98" s="711" t="s">
        <v>686</v>
      </c>
      <c r="O98" s="712"/>
      <c r="P98" s="713">
        <v>16</v>
      </c>
      <c r="Q98" s="718"/>
      <c r="R98" s="718"/>
      <c r="S98" s="718"/>
      <c r="T98" s="718"/>
    </row>
    <row r="99" spans="1:20" s="757" customFormat="1" ht="17.399999999999999" customHeight="1" x14ac:dyDescent="0.35">
      <c r="A99" s="686"/>
      <c r="B99" s="667">
        <f>B98+1</f>
        <v>87</v>
      </c>
      <c r="C99" s="679" t="s">
        <v>353</v>
      </c>
      <c r="D99" s="681" t="s">
        <v>87</v>
      </c>
      <c r="E99" s="671" t="s">
        <v>92</v>
      </c>
      <c r="F99" s="350"/>
      <c r="G99" s="709">
        <v>46076</v>
      </c>
      <c r="H99" s="670">
        <v>23.27</v>
      </c>
      <c r="I99" s="1285" t="s">
        <v>549</v>
      </c>
      <c r="J99" s="1285"/>
      <c r="K99" s="1285"/>
      <c r="L99" s="1285"/>
      <c r="M99" s="755">
        <v>46084</v>
      </c>
      <c r="N99" s="711" t="s">
        <v>89</v>
      </c>
      <c r="O99" s="712"/>
      <c r="P99" s="713">
        <v>18</v>
      </c>
      <c r="Q99" s="756"/>
      <c r="R99" s="756"/>
      <c r="S99" s="756"/>
      <c r="T99" s="756"/>
    </row>
    <row r="100" spans="1:20" s="719" customFormat="1" ht="17.399999999999999" customHeight="1" x14ac:dyDescent="0.35">
      <c r="A100" s="666"/>
      <c r="B100" s="667">
        <f t="shared" ref="B100:B137" si="2">B99+1</f>
        <v>88</v>
      </c>
      <c r="C100" s="685" t="s">
        <v>245</v>
      </c>
      <c r="D100" s="681" t="s">
        <v>87</v>
      </c>
      <c r="E100" s="680" t="s">
        <v>664</v>
      </c>
      <c r="F100" s="350"/>
      <c r="G100" s="709">
        <v>46058</v>
      </c>
      <c r="H100" s="751">
        <v>34.299999999999997</v>
      </c>
      <c r="I100" s="1260" t="s">
        <v>549</v>
      </c>
      <c r="J100" s="1260"/>
      <c r="K100" s="1260"/>
      <c r="L100" s="1260"/>
      <c r="M100" s="753">
        <v>46087</v>
      </c>
      <c r="N100" s="711" t="s">
        <v>688</v>
      </c>
      <c r="O100" s="712"/>
      <c r="P100" s="713">
        <v>20</v>
      </c>
      <c r="Q100" s="718"/>
      <c r="R100" s="718"/>
      <c r="S100" s="718"/>
      <c r="T100" s="718"/>
    </row>
    <row r="101" spans="1:20" s="719" customFormat="1" ht="17.399999999999999" customHeight="1" x14ac:dyDescent="0.35">
      <c r="A101" s="666"/>
      <c r="B101" s="667">
        <f t="shared" si="2"/>
        <v>89</v>
      </c>
      <c r="C101" s="685" t="s">
        <v>246</v>
      </c>
      <c r="D101" s="687" t="s">
        <v>87</v>
      </c>
      <c r="E101" s="671" t="s">
        <v>542</v>
      </c>
      <c r="F101" s="350"/>
      <c r="G101" s="709">
        <v>46055</v>
      </c>
      <c r="H101" s="670">
        <v>21.96</v>
      </c>
      <c r="I101" s="1260" t="s">
        <v>549</v>
      </c>
      <c r="J101" s="1260"/>
      <c r="K101" s="1260"/>
      <c r="L101" s="1260"/>
      <c r="M101" s="742">
        <v>46089</v>
      </c>
      <c r="N101" s="711" t="s">
        <v>688</v>
      </c>
      <c r="O101" s="712"/>
      <c r="P101" s="713">
        <v>20</v>
      </c>
      <c r="Q101" s="718"/>
      <c r="R101" s="718"/>
      <c r="S101" s="718"/>
      <c r="T101" s="718"/>
    </row>
    <row r="102" spans="1:20" s="719" customFormat="1" ht="17.399999999999999" customHeight="1" x14ac:dyDescent="0.35">
      <c r="A102" s="666"/>
      <c r="B102" s="667">
        <f t="shared" si="2"/>
        <v>90</v>
      </c>
      <c r="C102" s="685" t="s">
        <v>221</v>
      </c>
      <c r="D102" s="672" t="s">
        <v>87</v>
      </c>
      <c r="E102" s="671" t="s">
        <v>92</v>
      </c>
      <c r="F102" s="350"/>
      <c r="G102" s="709">
        <v>46077</v>
      </c>
      <c r="H102" s="670">
        <v>23.27</v>
      </c>
      <c r="I102" s="1260" t="s">
        <v>549</v>
      </c>
      <c r="J102" s="1260"/>
      <c r="K102" s="1260"/>
      <c r="L102" s="1260"/>
      <c r="M102" s="758">
        <v>46092</v>
      </c>
      <c r="N102" s="711" t="s">
        <v>734</v>
      </c>
      <c r="O102" s="712"/>
      <c r="P102" s="713">
        <v>10</v>
      </c>
      <c r="Q102" s="718"/>
      <c r="R102" s="718"/>
      <c r="S102" s="718"/>
      <c r="T102" s="718"/>
    </row>
    <row r="103" spans="1:20" s="719" customFormat="1" ht="17.399999999999999" customHeight="1" x14ac:dyDescent="0.35">
      <c r="A103" s="666"/>
      <c r="B103" s="667">
        <f t="shared" si="2"/>
        <v>91</v>
      </c>
      <c r="C103" s="685" t="s">
        <v>233</v>
      </c>
      <c r="D103" s="688" t="s">
        <v>213</v>
      </c>
      <c r="E103" s="671" t="s">
        <v>92</v>
      </c>
      <c r="F103" s="350"/>
      <c r="G103" s="709">
        <v>46087</v>
      </c>
      <c r="H103" s="733">
        <v>26.43</v>
      </c>
      <c r="I103" s="1260" t="s">
        <v>549</v>
      </c>
      <c r="J103" s="1260"/>
      <c r="K103" s="1260"/>
      <c r="L103" s="1260"/>
      <c r="M103" s="753">
        <v>46094</v>
      </c>
      <c r="N103" s="711" t="s">
        <v>688</v>
      </c>
      <c r="O103" s="712"/>
      <c r="P103" s="713">
        <v>20</v>
      </c>
      <c r="Q103" s="718"/>
      <c r="R103" s="718"/>
      <c r="S103" s="718"/>
      <c r="T103" s="718"/>
    </row>
    <row r="104" spans="1:20" s="719" customFormat="1" ht="17.399999999999999" customHeight="1" x14ac:dyDescent="0.35">
      <c r="A104" s="666"/>
      <c r="B104" s="667">
        <f t="shared" si="2"/>
        <v>92</v>
      </c>
      <c r="C104" s="685" t="s">
        <v>222</v>
      </c>
      <c r="D104" s="684" t="s">
        <v>87</v>
      </c>
      <c r="E104" s="671" t="s">
        <v>541</v>
      </c>
      <c r="F104" s="350"/>
      <c r="G104" s="709">
        <v>46077</v>
      </c>
      <c r="H104" s="671">
        <v>33.01</v>
      </c>
      <c r="I104" s="1260" t="s">
        <v>549</v>
      </c>
      <c r="J104" s="1260"/>
      <c r="K104" s="1260"/>
      <c r="L104" s="1260"/>
      <c r="M104" s="753">
        <v>46095</v>
      </c>
      <c r="N104" s="711" t="s">
        <v>734</v>
      </c>
      <c r="O104" s="712"/>
      <c r="P104" s="713">
        <v>10</v>
      </c>
      <c r="Q104" s="718"/>
      <c r="R104" s="718"/>
      <c r="S104" s="718"/>
      <c r="T104" s="718"/>
    </row>
    <row r="105" spans="1:20" s="719" customFormat="1" ht="17.399999999999999" customHeight="1" x14ac:dyDescent="0.35">
      <c r="A105" s="666"/>
      <c r="B105" s="667">
        <f t="shared" si="2"/>
        <v>93</v>
      </c>
      <c r="C105" s="685" t="s">
        <v>234</v>
      </c>
      <c r="D105" s="688" t="s">
        <v>87</v>
      </c>
      <c r="E105" s="671" t="s">
        <v>92</v>
      </c>
      <c r="F105" s="350"/>
      <c r="G105" s="709">
        <v>46088</v>
      </c>
      <c r="H105" s="670">
        <v>23.27</v>
      </c>
      <c r="I105" s="1260" t="s">
        <v>549</v>
      </c>
      <c r="J105" s="1260"/>
      <c r="K105" s="1260"/>
      <c r="L105" s="1260"/>
      <c r="M105" s="753">
        <v>46095</v>
      </c>
      <c r="N105" s="711" t="s">
        <v>688</v>
      </c>
      <c r="O105" s="712"/>
      <c r="P105" s="713">
        <v>20</v>
      </c>
      <c r="Q105" s="718"/>
      <c r="R105" s="718"/>
      <c r="S105" s="718"/>
      <c r="T105" s="718"/>
    </row>
    <row r="106" spans="1:20" s="719" customFormat="1" ht="17.399999999999999" customHeight="1" x14ac:dyDescent="0.35">
      <c r="A106" s="666"/>
      <c r="B106" s="667">
        <f t="shared" si="2"/>
        <v>94</v>
      </c>
      <c r="C106" s="685" t="s">
        <v>236</v>
      </c>
      <c r="D106" s="688" t="s">
        <v>87</v>
      </c>
      <c r="E106" s="671" t="s">
        <v>664</v>
      </c>
      <c r="F106" s="350"/>
      <c r="G106" s="709">
        <v>46090</v>
      </c>
      <c r="H106" s="751">
        <v>34.299999999999997</v>
      </c>
      <c r="I106" s="732" t="s">
        <v>549</v>
      </c>
      <c r="J106" s="759"/>
      <c r="K106" s="759"/>
      <c r="L106" s="760"/>
      <c r="M106" s="753">
        <v>46098</v>
      </c>
      <c r="N106" s="711" t="s">
        <v>688</v>
      </c>
      <c r="O106" s="712"/>
      <c r="P106" s="713">
        <v>20</v>
      </c>
      <c r="Q106" s="718"/>
      <c r="R106" s="718"/>
      <c r="S106" s="718"/>
      <c r="T106" s="718"/>
    </row>
    <row r="107" spans="1:20" s="719" customFormat="1" ht="17.399999999999999" customHeight="1" x14ac:dyDescent="0.35">
      <c r="A107" s="666"/>
      <c r="B107" s="667">
        <f t="shared" si="2"/>
        <v>95</v>
      </c>
      <c r="C107" s="685" t="s">
        <v>471</v>
      </c>
      <c r="D107" s="688" t="s">
        <v>685</v>
      </c>
      <c r="E107" s="671" t="s">
        <v>92</v>
      </c>
      <c r="F107" s="350"/>
      <c r="G107" s="709">
        <v>46087</v>
      </c>
      <c r="H107" s="671">
        <v>55.59</v>
      </c>
      <c r="I107" s="732" t="s">
        <v>549</v>
      </c>
      <c r="J107" s="759"/>
      <c r="K107" s="759"/>
      <c r="L107" s="760"/>
      <c r="M107" s="758">
        <v>46099</v>
      </c>
      <c r="N107" s="711" t="s">
        <v>89</v>
      </c>
      <c r="O107" s="712"/>
      <c r="P107" s="713">
        <v>18</v>
      </c>
      <c r="Q107" s="718"/>
      <c r="R107" s="718"/>
      <c r="S107" s="718"/>
      <c r="T107" s="718"/>
    </row>
    <row r="108" spans="1:20" s="719" customFormat="1" ht="17.399999999999999" customHeight="1" x14ac:dyDescent="0.35">
      <c r="A108" s="666"/>
      <c r="B108" s="667">
        <f t="shared" si="2"/>
        <v>96</v>
      </c>
      <c r="C108" s="685" t="s">
        <v>481</v>
      </c>
      <c r="D108" s="688" t="s">
        <v>237</v>
      </c>
      <c r="E108" s="671" t="s">
        <v>92</v>
      </c>
      <c r="F108" s="350"/>
      <c r="G108" s="709">
        <v>46105</v>
      </c>
      <c r="H108" s="671">
        <v>55.59</v>
      </c>
      <c r="I108" s="732" t="s">
        <v>549</v>
      </c>
      <c r="J108" s="759"/>
      <c r="K108" s="759"/>
      <c r="L108" s="760"/>
      <c r="M108" s="758">
        <v>46099</v>
      </c>
      <c r="N108" s="711" t="s">
        <v>660</v>
      </c>
      <c r="O108" s="712"/>
      <c r="P108" s="713">
        <v>16</v>
      </c>
      <c r="Q108" s="718"/>
      <c r="R108" s="718"/>
      <c r="S108" s="718"/>
      <c r="T108" s="718"/>
    </row>
    <row r="109" spans="1:20" s="719" customFormat="1" ht="17.399999999999999" customHeight="1" x14ac:dyDescent="0.35">
      <c r="A109" s="666"/>
      <c r="B109" s="667">
        <f t="shared" si="2"/>
        <v>97</v>
      </c>
      <c r="C109" s="685" t="s">
        <v>232</v>
      </c>
      <c r="D109" s="688" t="s">
        <v>91</v>
      </c>
      <c r="E109" s="671" t="s">
        <v>92</v>
      </c>
      <c r="F109" s="350"/>
      <c r="G109" s="709">
        <v>46092</v>
      </c>
      <c r="H109" s="733">
        <v>26.43</v>
      </c>
      <c r="I109" s="732" t="s">
        <v>549</v>
      </c>
      <c r="J109" s="759"/>
      <c r="K109" s="759"/>
      <c r="L109" s="760"/>
      <c r="M109" s="753">
        <v>46100</v>
      </c>
      <c r="N109" s="711" t="s">
        <v>688</v>
      </c>
      <c r="O109" s="712"/>
      <c r="P109" s="713">
        <v>20</v>
      </c>
      <c r="Q109" s="718"/>
      <c r="R109" s="718"/>
      <c r="S109" s="718"/>
      <c r="T109" s="718"/>
    </row>
    <row r="110" spans="1:20" s="719" customFormat="1" ht="17.399999999999999" customHeight="1" x14ac:dyDescent="0.35">
      <c r="A110" s="666"/>
      <c r="B110" s="667">
        <f t="shared" si="2"/>
        <v>98</v>
      </c>
      <c r="C110" s="685" t="s">
        <v>238</v>
      </c>
      <c r="D110" s="688" t="s">
        <v>109</v>
      </c>
      <c r="E110" s="671" t="s">
        <v>92</v>
      </c>
      <c r="F110" s="350"/>
      <c r="G110" s="709">
        <v>46098</v>
      </c>
      <c r="H110" s="733">
        <v>26.43</v>
      </c>
      <c r="I110" s="732" t="s">
        <v>549</v>
      </c>
      <c r="J110" s="759"/>
      <c r="K110" s="759"/>
      <c r="L110" s="760"/>
      <c r="M110" s="758">
        <v>46103</v>
      </c>
      <c r="N110" s="711" t="s">
        <v>688</v>
      </c>
      <c r="O110" s="712"/>
      <c r="P110" s="713">
        <v>20</v>
      </c>
      <c r="Q110" s="718"/>
      <c r="R110" s="718"/>
      <c r="S110" s="718"/>
      <c r="T110" s="718"/>
    </row>
    <row r="111" spans="1:20" s="719" customFormat="1" ht="17.399999999999999" customHeight="1" x14ac:dyDescent="0.35">
      <c r="A111" s="666"/>
      <c r="B111" s="667">
        <f t="shared" si="2"/>
        <v>99</v>
      </c>
      <c r="C111" s="672" t="s">
        <v>225</v>
      </c>
      <c r="D111" s="688" t="s">
        <v>91</v>
      </c>
      <c r="E111" s="671" t="s">
        <v>92</v>
      </c>
      <c r="F111" s="350"/>
      <c r="G111" s="709">
        <v>46101</v>
      </c>
      <c r="H111" s="733">
        <v>26.43</v>
      </c>
      <c r="I111" s="732" t="s">
        <v>549</v>
      </c>
      <c r="J111" s="759"/>
      <c r="K111" s="759"/>
      <c r="L111" s="760"/>
      <c r="M111" s="758">
        <v>46106</v>
      </c>
      <c r="N111" s="711" t="s">
        <v>688</v>
      </c>
      <c r="O111" s="712"/>
      <c r="P111" s="713">
        <v>20</v>
      </c>
      <c r="Q111" s="718"/>
      <c r="R111" s="718"/>
      <c r="S111" s="718"/>
      <c r="T111" s="718"/>
    </row>
    <row r="112" spans="1:20" s="719" customFormat="1" ht="17.399999999999999" customHeight="1" x14ac:dyDescent="0.35">
      <c r="A112" s="666"/>
      <c r="B112" s="667">
        <f t="shared" si="2"/>
        <v>100</v>
      </c>
      <c r="C112" s="672" t="s">
        <v>228</v>
      </c>
      <c r="D112" s="688" t="s">
        <v>87</v>
      </c>
      <c r="E112" s="671" t="s">
        <v>92</v>
      </c>
      <c r="F112" s="350"/>
      <c r="G112" s="709">
        <v>46102</v>
      </c>
      <c r="H112" s="670">
        <v>23.27</v>
      </c>
      <c r="I112" s="732" t="s">
        <v>549</v>
      </c>
      <c r="J112" s="759"/>
      <c r="K112" s="759"/>
      <c r="L112" s="760"/>
      <c r="M112" s="758">
        <v>46108</v>
      </c>
      <c r="N112" s="711" t="s">
        <v>688</v>
      </c>
      <c r="O112" s="712"/>
      <c r="P112" s="713">
        <v>20</v>
      </c>
      <c r="Q112" s="718"/>
      <c r="R112" s="718"/>
      <c r="S112" s="718"/>
      <c r="T112" s="718"/>
    </row>
    <row r="113" spans="1:20" s="757" customFormat="1" ht="17.399999999999999" customHeight="1" x14ac:dyDescent="0.35">
      <c r="A113" s="686"/>
      <c r="B113" s="667">
        <f t="shared" si="2"/>
        <v>101</v>
      </c>
      <c r="C113" s="672" t="s">
        <v>244</v>
      </c>
      <c r="D113" s="688" t="s">
        <v>91</v>
      </c>
      <c r="E113" s="671" t="s">
        <v>664</v>
      </c>
      <c r="F113" s="350"/>
      <c r="G113" s="740">
        <v>46106</v>
      </c>
      <c r="H113" s="671">
        <v>38.979999999999997</v>
      </c>
      <c r="I113" s="754" t="s">
        <v>549</v>
      </c>
      <c r="J113" s="761"/>
      <c r="K113" s="761"/>
      <c r="L113" s="762"/>
      <c r="M113" s="720">
        <v>46112</v>
      </c>
      <c r="N113" s="711" t="s">
        <v>688</v>
      </c>
      <c r="O113" s="713"/>
      <c r="P113" s="713">
        <v>20</v>
      </c>
      <c r="Q113" s="756"/>
      <c r="R113" s="756"/>
      <c r="S113" s="756"/>
      <c r="T113" s="756"/>
    </row>
    <row r="114" spans="1:20" s="757" customFormat="1" ht="17.399999999999999" customHeight="1" x14ac:dyDescent="0.35">
      <c r="A114" s="686"/>
      <c r="B114" s="689">
        <f t="shared" si="2"/>
        <v>102</v>
      </c>
      <c r="C114" s="672" t="s">
        <v>430</v>
      </c>
      <c r="D114" s="690" t="s">
        <v>685</v>
      </c>
      <c r="E114" s="691" t="s">
        <v>92</v>
      </c>
      <c r="F114" s="354"/>
      <c r="G114" s="731">
        <v>46097</v>
      </c>
      <c r="H114" s="691">
        <v>55.59</v>
      </c>
      <c r="I114" s="730" t="s">
        <v>549</v>
      </c>
      <c r="J114" s="763"/>
      <c r="K114" s="763"/>
      <c r="L114" s="764"/>
      <c r="M114" s="765">
        <v>46118</v>
      </c>
      <c r="N114" s="766" t="s">
        <v>675</v>
      </c>
      <c r="O114" s="767"/>
      <c r="P114" s="768">
        <v>20</v>
      </c>
      <c r="Q114" s="756"/>
      <c r="R114" s="756"/>
      <c r="S114" s="756"/>
      <c r="T114" s="756"/>
    </row>
    <row r="115" spans="1:20" s="757" customFormat="1" ht="17.399999999999999" customHeight="1" x14ac:dyDescent="0.35">
      <c r="A115" s="686"/>
      <c r="B115" s="667">
        <f t="shared" si="2"/>
        <v>103</v>
      </c>
      <c r="C115" s="692" t="s">
        <v>306</v>
      </c>
      <c r="D115" s="688" t="s">
        <v>109</v>
      </c>
      <c r="E115" s="671" t="s">
        <v>92</v>
      </c>
      <c r="F115" s="350"/>
      <c r="G115" s="709">
        <v>46106</v>
      </c>
      <c r="H115" s="733">
        <v>26.43</v>
      </c>
      <c r="I115" s="754" t="s">
        <v>549</v>
      </c>
      <c r="J115" s="761"/>
      <c r="K115" s="761"/>
      <c r="L115" s="762"/>
      <c r="M115" s="753">
        <v>46123</v>
      </c>
      <c r="N115" s="711" t="s">
        <v>760</v>
      </c>
      <c r="O115" s="712"/>
      <c r="P115" s="713">
        <v>30</v>
      </c>
      <c r="Q115" s="756"/>
      <c r="R115" s="756"/>
      <c r="S115" s="756"/>
      <c r="T115" s="756"/>
    </row>
    <row r="116" spans="1:20" s="757" customFormat="1" ht="17.399999999999999" customHeight="1" x14ac:dyDescent="0.35">
      <c r="A116" s="686"/>
      <c r="B116" s="667">
        <f t="shared" si="2"/>
        <v>104</v>
      </c>
      <c r="C116" s="692" t="s">
        <v>307</v>
      </c>
      <c r="D116" s="688" t="s">
        <v>87</v>
      </c>
      <c r="E116" s="671" t="s">
        <v>92</v>
      </c>
      <c r="F116" s="350"/>
      <c r="G116" s="709">
        <v>46107</v>
      </c>
      <c r="H116" s="670">
        <v>23.27</v>
      </c>
      <c r="I116" s="754" t="s">
        <v>549</v>
      </c>
      <c r="J116" s="761"/>
      <c r="K116" s="761"/>
      <c r="L116" s="762"/>
      <c r="M116" s="753">
        <v>46125</v>
      </c>
      <c r="N116" s="711" t="s">
        <v>760</v>
      </c>
      <c r="O116" s="712"/>
      <c r="P116" s="713">
        <v>30</v>
      </c>
      <c r="Q116" s="756"/>
      <c r="R116" s="756"/>
      <c r="S116" s="756"/>
      <c r="T116" s="756"/>
    </row>
    <row r="117" spans="1:20" s="757" customFormat="1" ht="17.399999999999999" customHeight="1" x14ac:dyDescent="0.35">
      <c r="A117" s="686"/>
      <c r="B117" s="667">
        <f t="shared" si="2"/>
        <v>105</v>
      </c>
      <c r="C117" s="692" t="s">
        <v>421</v>
      </c>
      <c r="D117" s="688" t="s">
        <v>755</v>
      </c>
      <c r="E117" s="671" t="s">
        <v>762</v>
      </c>
      <c r="F117" s="350"/>
      <c r="G117" s="709">
        <v>46111</v>
      </c>
      <c r="H117" s="733">
        <v>52.21</v>
      </c>
      <c r="I117" s="754" t="s">
        <v>549</v>
      </c>
      <c r="J117" s="769"/>
      <c r="K117" s="769"/>
      <c r="L117" s="770"/>
      <c r="M117" s="753">
        <v>46125</v>
      </c>
      <c r="N117" s="711" t="s">
        <v>757</v>
      </c>
      <c r="O117" s="712"/>
      <c r="P117" s="713">
        <v>20</v>
      </c>
      <c r="Q117" s="756"/>
      <c r="R117" s="756"/>
      <c r="S117" s="756"/>
      <c r="T117" s="756"/>
    </row>
    <row r="118" spans="1:20" s="757" customFormat="1" ht="17.399999999999999" customHeight="1" x14ac:dyDescent="0.35">
      <c r="A118" s="686"/>
      <c r="B118" s="667">
        <f t="shared" si="2"/>
        <v>106</v>
      </c>
      <c r="C118" s="685" t="s">
        <v>416</v>
      </c>
      <c r="D118" s="693" t="s">
        <v>754</v>
      </c>
      <c r="E118" s="694" t="s">
        <v>541</v>
      </c>
      <c r="F118" s="350"/>
      <c r="G118" s="709">
        <v>46077</v>
      </c>
      <c r="H118" s="671">
        <v>99.96</v>
      </c>
      <c r="I118" s="754" t="s">
        <v>549</v>
      </c>
      <c r="J118" s="769"/>
      <c r="K118" s="769"/>
      <c r="L118" s="770"/>
      <c r="M118" s="753">
        <v>46128</v>
      </c>
      <c r="N118" s="711" t="s">
        <v>734</v>
      </c>
      <c r="O118" s="712"/>
      <c r="P118" s="713">
        <v>10</v>
      </c>
      <c r="Q118" s="756"/>
      <c r="R118" s="756"/>
      <c r="S118" s="756"/>
      <c r="T118" s="756"/>
    </row>
    <row r="119" spans="1:20" s="719" customFormat="1" ht="17.399999999999999" customHeight="1" x14ac:dyDescent="0.35">
      <c r="A119" s="666"/>
      <c r="B119" s="667">
        <f t="shared" si="2"/>
        <v>107</v>
      </c>
      <c r="C119" s="692" t="s">
        <v>309</v>
      </c>
      <c r="D119" s="688" t="s">
        <v>95</v>
      </c>
      <c r="E119" s="671" t="s">
        <v>92</v>
      </c>
      <c r="F119" s="350"/>
      <c r="G119" s="709">
        <v>46107</v>
      </c>
      <c r="H119" s="733">
        <v>26.43</v>
      </c>
      <c r="I119" s="754" t="s">
        <v>549</v>
      </c>
      <c r="J119" s="769"/>
      <c r="K119" s="769"/>
      <c r="L119" s="770"/>
      <c r="M119" s="753">
        <v>46128</v>
      </c>
      <c r="N119" s="711" t="s">
        <v>760</v>
      </c>
      <c r="O119" s="712"/>
      <c r="P119" s="713">
        <v>30</v>
      </c>
      <c r="Q119" s="718"/>
      <c r="R119" s="718"/>
      <c r="S119" s="718"/>
      <c r="T119" s="718"/>
    </row>
    <row r="120" spans="1:20" s="719" customFormat="1" ht="17.399999999999999" customHeight="1" x14ac:dyDescent="0.35">
      <c r="A120" s="666"/>
      <c r="B120" s="667">
        <f t="shared" si="2"/>
        <v>108</v>
      </c>
      <c r="C120" s="692" t="s">
        <v>308</v>
      </c>
      <c r="D120" s="688" t="s">
        <v>87</v>
      </c>
      <c r="E120" s="671" t="s">
        <v>92</v>
      </c>
      <c r="F120" s="350"/>
      <c r="G120" s="709">
        <v>46121</v>
      </c>
      <c r="H120" s="670">
        <v>23.27</v>
      </c>
      <c r="I120" s="754" t="s">
        <v>549</v>
      </c>
      <c r="J120" s="769"/>
      <c r="K120" s="769"/>
      <c r="L120" s="770"/>
      <c r="M120" s="758">
        <v>46130</v>
      </c>
      <c r="N120" s="711" t="s">
        <v>760</v>
      </c>
      <c r="O120" s="712"/>
      <c r="P120" s="713">
        <v>30</v>
      </c>
      <c r="Q120" s="718"/>
      <c r="R120" s="718"/>
      <c r="S120" s="718"/>
      <c r="T120" s="718"/>
    </row>
    <row r="121" spans="1:20" s="719" customFormat="1" ht="17.399999999999999" customHeight="1" x14ac:dyDescent="0.35">
      <c r="A121" s="666"/>
      <c r="B121" s="667">
        <f t="shared" si="2"/>
        <v>109</v>
      </c>
      <c r="C121" s="692" t="s">
        <v>296</v>
      </c>
      <c r="D121" s="688" t="s">
        <v>769</v>
      </c>
      <c r="E121" s="671" t="s">
        <v>92</v>
      </c>
      <c r="F121" s="350"/>
      <c r="G121" s="709">
        <v>46129</v>
      </c>
      <c r="H121" s="733">
        <v>46.6</v>
      </c>
      <c r="I121" s="754" t="s">
        <v>549</v>
      </c>
      <c r="J121" s="769"/>
      <c r="K121" s="769"/>
      <c r="L121" s="770"/>
      <c r="M121" s="758">
        <v>46133</v>
      </c>
      <c r="N121" s="711" t="s">
        <v>760</v>
      </c>
      <c r="O121" s="712"/>
      <c r="P121" s="713">
        <v>30</v>
      </c>
      <c r="Q121" s="718"/>
      <c r="R121" s="718"/>
      <c r="S121" s="718"/>
      <c r="T121" s="718"/>
    </row>
    <row r="122" spans="1:20" s="719" customFormat="1" ht="17.399999999999999" customHeight="1" x14ac:dyDescent="0.35">
      <c r="A122" s="666"/>
      <c r="B122" s="667">
        <f t="shared" si="2"/>
        <v>110</v>
      </c>
      <c r="C122" s="692" t="s">
        <v>220</v>
      </c>
      <c r="D122" s="688" t="s">
        <v>87</v>
      </c>
      <c r="E122" s="671" t="s">
        <v>92</v>
      </c>
      <c r="F122" s="350"/>
      <c r="G122" s="709">
        <v>46127</v>
      </c>
      <c r="H122" s="670">
        <v>23.27</v>
      </c>
      <c r="I122" s="754" t="s">
        <v>549</v>
      </c>
      <c r="J122" s="769"/>
      <c r="K122" s="769"/>
      <c r="L122" s="770"/>
      <c r="M122" s="758">
        <v>46135</v>
      </c>
      <c r="N122" s="711" t="s">
        <v>734</v>
      </c>
      <c r="O122" s="712"/>
      <c r="P122" s="713">
        <v>10</v>
      </c>
      <c r="Q122" s="718"/>
      <c r="R122" s="718"/>
      <c r="S122" s="718"/>
      <c r="T122" s="718"/>
    </row>
    <row r="123" spans="1:20" s="719" customFormat="1" ht="17.399999999999999" customHeight="1" x14ac:dyDescent="0.35">
      <c r="A123" s="666"/>
      <c r="B123" s="667">
        <f t="shared" si="2"/>
        <v>111</v>
      </c>
      <c r="C123" s="692" t="s">
        <v>440</v>
      </c>
      <c r="D123" s="688" t="s">
        <v>579</v>
      </c>
      <c r="E123" s="671" t="s">
        <v>92</v>
      </c>
      <c r="F123" s="350"/>
      <c r="G123" s="709">
        <v>46133</v>
      </c>
      <c r="H123" s="733">
        <v>90.34</v>
      </c>
      <c r="I123" s="754" t="s">
        <v>549</v>
      </c>
      <c r="J123" s="769"/>
      <c r="K123" s="769"/>
      <c r="L123" s="770"/>
      <c r="M123" s="758">
        <v>46138</v>
      </c>
      <c r="N123" s="711" t="s">
        <v>760</v>
      </c>
      <c r="O123" s="712"/>
      <c r="P123" s="713">
        <v>30</v>
      </c>
      <c r="Q123" s="718"/>
      <c r="R123" s="718"/>
      <c r="S123" s="718"/>
      <c r="T123" s="718"/>
    </row>
    <row r="124" spans="1:20" s="719" customFormat="1" ht="17.399999999999999" customHeight="1" x14ac:dyDescent="0.35">
      <c r="A124" s="666"/>
      <c r="B124" s="667">
        <f t="shared" si="2"/>
        <v>112</v>
      </c>
      <c r="C124" s="692" t="s">
        <v>295</v>
      </c>
      <c r="D124" s="688" t="s">
        <v>87</v>
      </c>
      <c r="E124" s="671" t="s">
        <v>92</v>
      </c>
      <c r="F124" s="350"/>
      <c r="G124" s="709">
        <v>46139</v>
      </c>
      <c r="H124" s="670">
        <v>23.27</v>
      </c>
      <c r="I124" s="754" t="s">
        <v>549</v>
      </c>
      <c r="J124" s="769"/>
      <c r="K124" s="769"/>
      <c r="L124" s="770"/>
      <c r="M124" s="758">
        <v>46141</v>
      </c>
      <c r="N124" s="711" t="s">
        <v>760</v>
      </c>
      <c r="O124" s="712"/>
      <c r="P124" s="713">
        <v>16</v>
      </c>
      <c r="Q124" s="718"/>
      <c r="R124" s="718"/>
      <c r="S124" s="718"/>
      <c r="T124" s="718"/>
    </row>
    <row r="125" spans="1:20" s="719" customFormat="1" ht="17.399999999999999" customHeight="1" x14ac:dyDescent="0.35">
      <c r="A125" s="666"/>
      <c r="B125" s="667">
        <f t="shared" si="2"/>
        <v>113</v>
      </c>
      <c r="C125" s="672" t="s">
        <v>219</v>
      </c>
      <c r="D125" s="688" t="s">
        <v>87</v>
      </c>
      <c r="E125" s="671" t="s">
        <v>92</v>
      </c>
      <c r="F125" s="350">
        <v>46128</v>
      </c>
      <c r="G125" s="708">
        <v>46136</v>
      </c>
      <c r="H125" s="670">
        <v>23.27</v>
      </c>
      <c r="I125" s="754" t="s">
        <v>549</v>
      </c>
      <c r="J125" s="769"/>
      <c r="K125" s="769"/>
      <c r="L125" s="770"/>
      <c r="M125" s="758">
        <v>46142</v>
      </c>
      <c r="N125" s="711" t="s">
        <v>734</v>
      </c>
      <c r="O125" s="712"/>
      <c r="P125" s="713">
        <v>10</v>
      </c>
      <c r="Q125" s="718"/>
      <c r="R125" s="718"/>
      <c r="S125" s="718"/>
      <c r="T125" s="718"/>
    </row>
    <row r="126" spans="1:20" s="719" customFormat="1" ht="17.399999999999999" customHeight="1" x14ac:dyDescent="0.35">
      <c r="A126" s="666"/>
      <c r="B126" s="667">
        <f t="shared" si="2"/>
        <v>114</v>
      </c>
      <c r="C126" s="692" t="s">
        <v>439</v>
      </c>
      <c r="D126" s="690" t="s">
        <v>237</v>
      </c>
      <c r="E126" s="691" t="s">
        <v>92</v>
      </c>
      <c r="F126" s="354"/>
      <c r="G126" s="731">
        <v>46142</v>
      </c>
      <c r="H126" s="691">
        <v>55.59</v>
      </c>
      <c r="I126" s="730" t="s">
        <v>549</v>
      </c>
      <c r="J126" s="772"/>
      <c r="K126" s="772"/>
      <c r="L126" s="773"/>
      <c r="M126" s="774">
        <v>46145</v>
      </c>
      <c r="N126" s="766" t="s">
        <v>760</v>
      </c>
      <c r="O126" s="712"/>
      <c r="P126" s="713">
        <v>17</v>
      </c>
      <c r="Q126" s="718"/>
      <c r="R126" s="718"/>
      <c r="S126" s="718"/>
      <c r="T126" s="718"/>
    </row>
    <row r="127" spans="1:20" s="719" customFormat="1" ht="17.399999999999999" customHeight="1" x14ac:dyDescent="0.35">
      <c r="A127" s="666"/>
      <c r="B127" s="667">
        <f t="shared" si="2"/>
        <v>115</v>
      </c>
      <c r="C127" s="692" t="s">
        <v>297</v>
      </c>
      <c r="D127" s="690" t="s">
        <v>95</v>
      </c>
      <c r="E127" s="691" t="s">
        <v>88</v>
      </c>
      <c r="F127" s="354"/>
      <c r="G127" s="731">
        <v>46141</v>
      </c>
      <c r="H127" s="691">
        <v>25.77</v>
      </c>
      <c r="I127" s="730" t="s">
        <v>549</v>
      </c>
      <c r="J127" s="772"/>
      <c r="K127" s="772"/>
      <c r="L127" s="773"/>
      <c r="M127" s="774">
        <v>46147</v>
      </c>
      <c r="N127" s="766" t="s">
        <v>760</v>
      </c>
      <c r="O127" s="712"/>
      <c r="P127" s="713">
        <v>17</v>
      </c>
      <c r="Q127" s="718"/>
      <c r="R127" s="718"/>
      <c r="S127" s="718"/>
      <c r="T127" s="718"/>
    </row>
    <row r="128" spans="1:20" s="719" customFormat="1" ht="17.399999999999999" customHeight="1" x14ac:dyDescent="0.35">
      <c r="A128" s="666"/>
      <c r="B128" s="667">
        <f t="shared" si="2"/>
        <v>116</v>
      </c>
      <c r="C128" s="692" t="s">
        <v>206</v>
      </c>
      <c r="D128" s="690" t="s">
        <v>87</v>
      </c>
      <c r="E128" s="691" t="s">
        <v>92</v>
      </c>
      <c r="F128" s="354"/>
      <c r="G128" s="731">
        <v>46132</v>
      </c>
      <c r="H128" s="775">
        <v>23.27</v>
      </c>
      <c r="I128" s="730" t="s">
        <v>549</v>
      </c>
      <c r="J128" s="772"/>
      <c r="K128" s="772"/>
      <c r="L128" s="773"/>
      <c r="M128" s="765">
        <v>46152</v>
      </c>
      <c r="N128" s="766" t="s">
        <v>763</v>
      </c>
      <c r="O128" s="712"/>
      <c r="P128" s="713">
        <v>10</v>
      </c>
      <c r="Q128" s="718"/>
      <c r="R128" s="718"/>
      <c r="S128" s="718"/>
      <c r="T128" s="718"/>
    </row>
    <row r="129" spans="1:20" s="719" customFormat="1" ht="17.399999999999999" customHeight="1" x14ac:dyDescent="0.35">
      <c r="A129" s="666"/>
      <c r="B129" s="667">
        <f t="shared" si="2"/>
        <v>117</v>
      </c>
      <c r="C129" s="692" t="s">
        <v>443</v>
      </c>
      <c r="D129" s="690" t="s">
        <v>668</v>
      </c>
      <c r="E129" s="691" t="s">
        <v>664</v>
      </c>
      <c r="F129" s="354"/>
      <c r="G129" s="731">
        <v>46148</v>
      </c>
      <c r="H129" s="776">
        <v>74.680000000000007</v>
      </c>
      <c r="I129" s="730" t="s">
        <v>549</v>
      </c>
      <c r="J129" s="772"/>
      <c r="K129" s="772"/>
      <c r="L129" s="773"/>
      <c r="M129" s="774">
        <v>46155</v>
      </c>
      <c r="N129" s="766" t="s">
        <v>760</v>
      </c>
      <c r="O129" s="712"/>
      <c r="P129" s="713">
        <v>14</v>
      </c>
      <c r="Q129" s="718"/>
      <c r="R129" s="718"/>
      <c r="S129" s="718"/>
      <c r="T129" s="718"/>
    </row>
    <row r="130" spans="1:20" s="719" customFormat="1" ht="17.399999999999999" customHeight="1" x14ac:dyDescent="0.35">
      <c r="A130" s="666"/>
      <c r="B130" s="667">
        <f t="shared" si="2"/>
        <v>118</v>
      </c>
      <c r="C130" s="692" t="s">
        <v>305</v>
      </c>
      <c r="D130" s="690" t="s">
        <v>95</v>
      </c>
      <c r="E130" s="691" t="s">
        <v>92</v>
      </c>
      <c r="F130" s="354"/>
      <c r="G130" s="731">
        <v>46155</v>
      </c>
      <c r="H130" s="776">
        <v>26.43</v>
      </c>
      <c r="I130" s="730" t="s">
        <v>549</v>
      </c>
      <c r="J130" s="772"/>
      <c r="K130" s="772"/>
      <c r="L130" s="773"/>
      <c r="M130" s="774">
        <v>46158</v>
      </c>
      <c r="N130" s="766" t="s">
        <v>760</v>
      </c>
      <c r="O130" s="712"/>
      <c r="P130" s="713">
        <v>14</v>
      </c>
      <c r="Q130" s="718"/>
      <c r="R130" s="718"/>
      <c r="S130" s="718"/>
      <c r="T130" s="718"/>
    </row>
    <row r="131" spans="1:20" s="719" customFormat="1" ht="17.399999999999999" customHeight="1" x14ac:dyDescent="0.35">
      <c r="A131" s="666"/>
      <c r="B131" s="667">
        <f t="shared" si="2"/>
        <v>119</v>
      </c>
      <c r="C131" s="672" t="s">
        <v>202</v>
      </c>
      <c r="D131" s="688" t="s">
        <v>95</v>
      </c>
      <c r="E131" s="671" t="s">
        <v>92</v>
      </c>
      <c r="F131" s="350"/>
      <c r="G131" s="709">
        <v>46127</v>
      </c>
      <c r="H131" s="697">
        <v>26.43</v>
      </c>
      <c r="I131" s="730" t="s">
        <v>549</v>
      </c>
      <c r="J131" s="769"/>
      <c r="K131" s="769"/>
      <c r="L131" s="777"/>
      <c r="M131" s="720">
        <v>46161</v>
      </c>
      <c r="N131" s="766" t="s">
        <v>867</v>
      </c>
      <c r="O131" s="713"/>
      <c r="P131" s="713">
        <v>19</v>
      </c>
      <c r="Q131" s="718"/>
      <c r="R131" s="718"/>
      <c r="S131" s="718"/>
      <c r="T131" s="718"/>
    </row>
    <row r="132" spans="1:20" s="719" customFormat="1" ht="17.399999999999999" customHeight="1" x14ac:dyDescent="0.35">
      <c r="A132" s="666"/>
      <c r="B132" s="667">
        <f t="shared" si="2"/>
        <v>120</v>
      </c>
      <c r="C132" s="672" t="s">
        <v>304</v>
      </c>
      <c r="D132" s="688" t="s">
        <v>109</v>
      </c>
      <c r="E132" s="671" t="s">
        <v>92</v>
      </c>
      <c r="F132" s="350">
        <v>46159</v>
      </c>
      <c r="G132" s="709">
        <v>46159</v>
      </c>
      <c r="H132" s="697">
        <v>26.43</v>
      </c>
      <c r="I132" s="730" t="s">
        <v>549</v>
      </c>
      <c r="J132" s="772"/>
      <c r="K132" s="772"/>
      <c r="L132" s="773"/>
      <c r="M132" s="720">
        <v>46162</v>
      </c>
      <c r="N132" s="766" t="s">
        <v>760</v>
      </c>
      <c r="O132" s="713"/>
      <c r="P132" s="713">
        <v>14</v>
      </c>
      <c r="Q132" s="718"/>
      <c r="R132" s="718"/>
      <c r="S132" s="718"/>
      <c r="T132" s="718"/>
    </row>
    <row r="133" spans="1:20" s="719" customFormat="1" ht="17.399999999999999" customHeight="1" x14ac:dyDescent="0.35">
      <c r="A133" s="666"/>
      <c r="B133" s="667">
        <f t="shared" si="2"/>
        <v>121</v>
      </c>
      <c r="C133" s="672" t="s">
        <v>303</v>
      </c>
      <c r="D133" s="688" t="s">
        <v>91</v>
      </c>
      <c r="E133" s="671" t="s">
        <v>92</v>
      </c>
      <c r="F133" s="350"/>
      <c r="G133" s="709">
        <v>46163</v>
      </c>
      <c r="H133" s="778">
        <v>26.43</v>
      </c>
      <c r="I133" s="730" t="s">
        <v>549</v>
      </c>
      <c r="J133" s="769"/>
      <c r="K133" s="769"/>
      <c r="L133" s="770"/>
      <c r="M133" s="758">
        <v>46165</v>
      </c>
      <c r="N133" s="711" t="s">
        <v>760</v>
      </c>
      <c r="O133" s="712"/>
      <c r="P133" s="713">
        <v>12</v>
      </c>
      <c r="Q133" s="718"/>
      <c r="R133" s="718"/>
      <c r="S133" s="718"/>
      <c r="T133" s="718"/>
    </row>
    <row r="134" spans="1:20" s="719" customFormat="1" ht="17.399999999999999" customHeight="1" x14ac:dyDescent="0.35">
      <c r="A134" s="666"/>
      <c r="B134" s="667">
        <f t="shared" si="2"/>
        <v>122</v>
      </c>
      <c r="C134" s="672" t="s">
        <v>201</v>
      </c>
      <c r="D134" s="688" t="s">
        <v>87</v>
      </c>
      <c r="E134" s="671" t="s">
        <v>92</v>
      </c>
      <c r="F134" s="350"/>
      <c r="G134" s="709">
        <v>46128</v>
      </c>
      <c r="H134" s="670">
        <v>23.27</v>
      </c>
      <c r="I134" s="730" t="s">
        <v>549</v>
      </c>
      <c r="J134" s="769"/>
      <c r="K134" s="769"/>
      <c r="L134" s="770"/>
      <c r="M134" s="758">
        <v>46166</v>
      </c>
      <c r="N134" s="711" t="s">
        <v>763</v>
      </c>
      <c r="O134" s="712"/>
      <c r="P134" s="713">
        <v>10</v>
      </c>
      <c r="Q134" s="718"/>
      <c r="R134" s="718"/>
      <c r="S134" s="718"/>
      <c r="T134" s="718"/>
    </row>
    <row r="135" spans="1:20" s="719" customFormat="1" ht="17.399999999999999" customHeight="1" x14ac:dyDescent="0.35">
      <c r="A135" s="666"/>
      <c r="B135" s="667">
        <f t="shared" si="2"/>
        <v>123</v>
      </c>
      <c r="C135" s="672" t="s">
        <v>442</v>
      </c>
      <c r="D135" s="693" t="s">
        <v>237</v>
      </c>
      <c r="E135" s="671" t="s">
        <v>92</v>
      </c>
      <c r="F135" s="350"/>
      <c r="G135" s="709">
        <v>46166</v>
      </c>
      <c r="H135" s="691">
        <v>55.59</v>
      </c>
      <c r="I135" s="730" t="s">
        <v>549</v>
      </c>
      <c r="J135" s="769"/>
      <c r="K135" s="769"/>
      <c r="L135" s="770"/>
      <c r="M135" s="779">
        <v>46172</v>
      </c>
      <c r="N135" s="711" t="s">
        <v>760</v>
      </c>
      <c r="O135" s="712"/>
      <c r="P135" s="713">
        <v>12</v>
      </c>
      <c r="Q135" s="718"/>
      <c r="R135" s="718"/>
      <c r="S135" s="718"/>
      <c r="T135" s="718"/>
    </row>
    <row r="136" spans="1:20" s="719" customFormat="1" ht="17.399999999999999" customHeight="1" x14ac:dyDescent="0.35">
      <c r="A136" s="666"/>
      <c r="B136" s="667">
        <f t="shared" si="2"/>
        <v>124</v>
      </c>
      <c r="C136" s="672" t="s">
        <v>257</v>
      </c>
      <c r="D136" s="688" t="s">
        <v>91</v>
      </c>
      <c r="E136" s="671" t="s">
        <v>88</v>
      </c>
      <c r="F136" s="350"/>
      <c r="G136" s="709">
        <v>46165</v>
      </c>
      <c r="H136" s="733">
        <v>34.56</v>
      </c>
      <c r="I136" s="730" t="s">
        <v>549</v>
      </c>
      <c r="J136" s="769"/>
      <c r="K136" s="769"/>
      <c r="L136" s="770"/>
      <c r="M136" s="758">
        <v>46173</v>
      </c>
      <c r="N136" s="711" t="s">
        <v>734</v>
      </c>
      <c r="O136" s="712"/>
      <c r="P136" s="713">
        <v>12</v>
      </c>
      <c r="Q136" s="718"/>
      <c r="R136" s="718"/>
      <c r="S136" s="718"/>
      <c r="T136" s="718"/>
    </row>
    <row r="137" spans="1:20" s="719" customFormat="1" ht="17.399999999999999" customHeight="1" x14ac:dyDescent="0.35">
      <c r="A137" s="666"/>
      <c r="B137" s="667">
        <f t="shared" si="2"/>
        <v>125</v>
      </c>
      <c r="C137" s="672" t="s">
        <v>312</v>
      </c>
      <c r="D137" s="688" t="s">
        <v>91</v>
      </c>
      <c r="E137" s="671" t="s">
        <v>92</v>
      </c>
      <c r="F137" s="350"/>
      <c r="G137" s="758">
        <v>46173</v>
      </c>
      <c r="H137" s="778">
        <v>26.43</v>
      </c>
      <c r="I137" s="730" t="s">
        <v>549</v>
      </c>
      <c r="J137" s="769"/>
      <c r="K137" s="769"/>
      <c r="L137" s="770"/>
      <c r="M137" s="774">
        <v>46174</v>
      </c>
      <c r="N137" s="711" t="s">
        <v>760</v>
      </c>
      <c r="O137" s="712"/>
      <c r="P137" s="713">
        <v>12</v>
      </c>
      <c r="Q137" s="718"/>
      <c r="R137" s="718"/>
      <c r="S137" s="718"/>
      <c r="T137" s="718"/>
    </row>
    <row r="138" spans="1:20" s="719" customFormat="1" ht="17.399999999999999" customHeight="1" x14ac:dyDescent="0.35">
      <c r="A138" s="666"/>
      <c r="B138" s="667">
        <f>B137+1</f>
        <v>126</v>
      </c>
      <c r="C138" s="672" t="s">
        <v>451</v>
      </c>
      <c r="D138" s="688" t="s">
        <v>685</v>
      </c>
      <c r="E138" s="671" t="s">
        <v>92</v>
      </c>
      <c r="F138" s="350"/>
      <c r="G138" s="709">
        <v>46175</v>
      </c>
      <c r="H138" s="691">
        <v>55.59</v>
      </c>
      <c r="I138" s="730" t="s">
        <v>549</v>
      </c>
      <c r="J138" s="769"/>
      <c r="K138" s="769"/>
      <c r="L138" s="770"/>
      <c r="M138" s="758">
        <v>46178</v>
      </c>
      <c r="N138" s="711" t="s">
        <v>760</v>
      </c>
      <c r="O138" s="712"/>
      <c r="P138" s="713">
        <v>14</v>
      </c>
      <c r="Q138" s="718"/>
      <c r="R138" s="718"/>
      <c r="S138" s="718"/>
      <c r="T138" s="718"/>
    </row>
    <row r="139" spans="1:20" s="719" customFormat="1" ht="17.399999999999999" customHeight="1" x14ac:dyDescent="0.35">
      <c r="A139" s="666"/>
      <c r="B139" s="667">
        <f t="shared" ref="B139:B199" si="3">B138+1</f>
        <v>127</v>
      </c>
      <c r="C139" s="672" t="s">
        <v>316</v>
      </c>
      <c r="D139" s="688" t="s">
        <v>87</v>
      </c>
      <c r="E139" s="671" t="s">
        <v>88</v>
      </c>
      <c r="F139" s="350"/>
      <c r="G139" s="709">
        <v>46177</v>
      </c>
      <c r="H139" s="733">
        <v>22.4</v>
      </c>
      <c r="I139" s="730" t="s">
        <v>549</v>
      </c>
      <c r="J139" s="769"/>
      <c r="K139" s="769"/>
      <c r="L139" s="770"/>
      <c r="M139" s="758">
        <v>46180</v>
      </c>
      <c r="N139" s="711" t="s">
        <v>760</v>
      </c>
      <c r="O139" s="712"/>
      <c r="P139" s="713">
        <v>14</v>
      </c>
      <c r="Q139" s="718"/>
      <c r="R139" s="718"/>
      <c r="S139" s="718"/>
      <c r="T139" s="718"/>
    </row>
    <row r="140" spans="1:20" s="719" customFormat="1" ht="17.399999999999999" customHeight="1" x14ac:dyDescent="0.35">
      <c r="A140" s="666"/>
      <c r="B140" s="667">
        <f t="shared" si="3"/>
        <v>128</v>
      </c>
      <c r="C140" s="692" t="s">
        <v>262</v>
      </c>
      <c r="D140" s="688" t="s">
        <v>87</v>
      </c>
      <c r="E140" s="671" t="s">
        <v>92</v>
      </c>
      <c r="F140" s="350"/>
      <c r="G140" s="709">
        <v>46122</v>
      </c>
      <c r="H140" s="670">
        <v>23.27</v>
      </c>
      <c r="I140" s="730" t="s">
        <v>549</v>
      </c>
      <c r="J140" s="769"/>
      <c r="K140" s="769"/>
      <c r="L140" s="770"/>
      <c r="M140" s="758">
        <v>46180</v>
      </c>
      <c r="N140" s="711" t="s">
        <v>734</v>
      </c>
      <c r="O140" s="712"/>
      <c r="P140" s="713">
        <v>12</v>
      </c>
      <c r="Q140" s="718"/>
      <c r="R140" s="718"/>
      <c r="S140" s="718"/>
      <c r="T140" s="718"/>
    </row>
    <row r="141" spans="1:20" s="719" customFormat="1" ht="17.399999999999999" customHeight="1" x14ac:dyDescent="0.35">
      <c r="A141" s="666"/>
      <c r="B141" s="667">
        <f t="shared" si="3"/>
        <v>129</v>
      </c>
      <c r="C141" s="692" t="s">
        <v>317</v>
      </c>
      <c r="D141" s="688" t="s">
        <v>87</v>
      </c>
      <c r="E141" s="671" t="s">
        <v>664</v>
      </c>
      <c r="F141" s="350"/>
      <c r="G141" s="709">
        <v>46181</v>
      </c>
      <c r="H141" s="751">
        <v>34.299999999999997</v>
      </c>
      <c r="I141" s="730" t="s">
        <v>549</v>
      </c>
      <c r="J141" s="769"/>
      <c r="K141" s="769"/>
      <c r="L141" s="770"/>
      <c r="M141" s="758">
        <v>46182</v>
      </c>
      <c r="N141" s="711" t="s">
        <v>760</v>
      </c>
      <c r="O141" s="712"/>
      <c r="P141" s="713">
        <v>24</v>
      </c>
      <c r="Q141" s="718"/>
      <c r="R141" s="718"/>
      <c r="S141" s="718"/>
      <c r="T141" s="718"/>
    </row>
    <row r="142" spans="1:20" s="719" customFormat="1" ht="17.399999999999999" customHeight="1" x14ac:dyDescent="0.35">
      <c r="A142" s="666"/>
      <c r="B142" s="667">
        <f t="shared" si="3"/>
        <v>130</v>
      </c>
      <c r="C142" s="692" t="s">
        <v>315</v>
      </c>
      <c r="D142" s="688" t="s">
        <v>91</v>
      </c>
      <c r="E142" s="671" t="s">
        <v>88</v>
      </c>
      <c r="F142" s="350"/>
      <c r="G142" s="709">
        <v>46183</v>
      </c>
      <c r="H142" s="733">
        <v>32.363</v>
      </c>
      <c r="I142" s="730" t="s">
        <v>549</v>
      </c>
      <c r="J142" s="769"/>
      <c r="K142" s="769"/>
      <c r="L142" s="770"/>
      <c r="M142" s="758">
        <v>46185</v>
      </c>
      <c r="N142" s="711" t="s">
        <v>760</v>
      </c>
      <c r="O142" s="712"/>
      <c r="P142" s="713">
        <v>24</v>
      </c>
      <c r="Q142" s="718"/>
      <c r="R142" s="718"/>
      <c r="S142" s="718"/>
      <c r="T142" s="718"/>
    </row>
    <row r="143" spans="1:20" s="719" customFormat="1" ht="17.399999999999999" customHeight="1" x14ac:dyDescent="0.35">
      <c r="A143" s="666"/>
      <c r="B143" s="667">
        <f t="shared" si="3"/>
        <v>131</v>
      </c>
      <c r="C143" s="692" t="s">
        <v>264</v>
      </c>
      <c r="D143" s="688" t="s">
        <v>87</v>
      </c>
      <c r="E143" s="671" t="s">
        <v>88</v>
      </c>
      <c r="F143" s="350"/>
      <c r="G143" s="709">
        <v>46181</v>
      </c>
      <c r="H143" s="733">
        <v>22.4</v>
      </c>
      <c r="I143" s="730" t="s">
        <v>549</v>
      </c>
      <c r="J143" s="769"/>
      <c r="K143" s="769"/>
      <c r="L143" s="770"/>
      <c r="M143" s="758">
        <v>46185</v>
      </c>
      <c r="N143" s="711" t="s">
        <v>734</v>
      </c>
      <c r="O143" s="712"/>
      <c r="P143" s="713">
        <v>12</v>
      </c>
      <c r="Q143" s="718"/>
      <c r="R143" s="718"/>
      <c r="S143" s="718"/>
      <c r="T143" s="718"/>
    </row>
    <row r="144" spans="1:20" s="719" customFormat="1" ht="17.399999999999999" customHeight="1" x14ac:dyDescent="0.35">
      <c r="A144" s="666"/>
      <c r="B144" s="667">
        <f t="shared" si="3"/>
        <v>132</v>
      </c>
      <c r="C144" s="692" t="s">
        <v>323</v>
      </c>
      <c r="D144" s="688" t="s">
        <v>87</v>
      </c>
      <c r="E144" s="671" t="s">
        <v>88</v>
      </c>
      <c r="F144" s="350"/>
      <c r="G144" s="709">
        <v>46185</v>
      </c>
      <c r="H144" s="703">
        <v>22.4</v>
      </c>
      <c r="I144" s="730" t="s">
        <v>549</v>
      </c>
      <c r="J144" s="769"/>
      <c r="K144" s="769"/>
      <c r="L144" s="770"/>
      <c r="M144" s="758">
        <v>46188</v>
      </c>
      <c r="N144" s="711" t="s">
        <v>760</v>
      </c>
      <c r="O144" s="712"/>
      <c r="P144" s="713">
        <v>24</v>
      </c>
      <c r="Q144" s="718"/>
      <c r="R144" s="718"/>
      <c r="S144" s="718"/>
      <c r="T144" s="718"/>
    </row>
    <row r="145" spans="1:20" s="719" customFormat="1" ht="17.399999999999999" customHeight="1" x14ac:dyDescent="0.35">
      <c r="A145" s="666"/>
      <c r="B145" s="667">
        <f t="shared" si="3"/>
        <v>133</v>
      </c>
      <c r="C145" s="692" t="s">
        <v>415</v>
      </c>
      <c r="D145" s="688" t="s">
        <v>669</v>
      </c>
      <c r="E145" s="671" t="s">
        <v>92</v>
      </c>
      <c r="F145" s="350"/>
      <c r="G145" s="709">
        <v>46156</v>
      </c>
      <c r="H145" s="671">
        <v>61.57</v>
      </c>
      <c r="I145" s="730" t="s">
        <v>549</v>
      </c>
      <c r="J145" s="769"/>
      <c r="K145" s="769"/>
      <c r="L145" s="770"/>
      <c r="M145" s="758">
        <v>46190</v>
      </c>
      <c r="N145" s="711" t="s">
        <v>868</v>
      </c>
      <c r="O145" s="712"/>
      <c r="P145" s="713">
        <v>14</v>
      </c>
      <c r="Q145" s="718"/>
      <c r="R145" s="718"/>
      <c r="S145" s="718"/>
      <c r="T145" s="718"/>
    </row>
    <row r="146" spans="1:20" s="719" customFormat="1" ht="17.399999999999999" customHeight="1" x14ac:dyDescent="0.35">
      <c r="A146" s="666"/>
      <c r="B146" s="667">
        <f t="shared" si="3"/>
        <v>134</v>
      </c>
      <c r="C146" s="692" t="s">
        <v>278</v>
      </c>
      <c r="D146" s="688" t="s">
        <v>87</v>
      </c>
      <c r="E146" s="671" t="s">
        <v>88</v>
      </c>
      <c r="F146" s="350"/>
      <c r="G146" s="709">
        <v>46189</v>
      </c>
      <c r="H146" s="703">
        <v>22.4</v>
      </c>
      <c r="I146" s="730" t="s">
        <v>549</v>
      </c>
      <c r="J146" s="769"/>
      <c r="K146" s="769"/>
      <c r="L146" s="770"/>
      <c r="M146" s="758">
        <v>46192</v>
      </c>
      <c r="N146" s="711" t="s">
        <v>760</v>
      </c>
      <c r="O146" s="712"/>
      <c r="P146" s="713">
        <v>27</v>
      </c>
      <c r="Q146" s="718"/>
      <c r="R146" s="718"/>
      <c r="S146" s="718"/>
      <c r="T146" s="718"/>
    </row>
    <row r="147" spans="1:20" s="719" customFormat="1" ht="17.399999999999999" customHeight="1" x14ac:dyDescent="0.35">
      <c r="A147" s="666"/>
      <c r="B147" s="667">
        <f t="shared" si="3"/>
        <v>135</v>
      </c>
      <c r="C147" s="692" t="s">
        <v>227</v>
      </c>
      <c r="D147" s="688" t="s">
        <v>91</v>
      </c>
      <c r="E147" s="671" t="s">
        <v>92</v>
      </c>
      <c r="F147" s="350"/>
      <c r="G147" s="709">
        <v>46189</v>
      </c>
      <c r="H147" s="778">
        <v>26.43</v>
      </c>
      <c r="I147" s="730" t="s">
        <v>549</v>
      </c>
      <c r="J147" s="769"/>
      <c r="K147" s="769"/>
      <c r="L147" s="770"/>
      <c r="M147" s="758">
        <v>46193</v>
      </c>
      <c r="N147" s="711" t="s">
        <v>757</v>
      </c>
      <c r="O147" s="712"/>
      <c r="P147" s="713">
        <v>14</v>
      </c>
      <c r="Q147" s="718"/>
      <c r="R147" s="718"/>
      <c r="S147" s="718"/>
      <c r="T147" s="718"/>
    </row>
    <row r="148" spans="1:20" s="719" customFormat="1" ht="17.399999999999999" customHeight="1" x14ac:dyDescent="0.35">
      <c r="A148" s="666"/>
      <c r="B148" s="667">
        <f t="shared" si="3"/>
        <v>136</v>
      </c>
      <c r="C148" s="692" t="s">
        <v>207</v>
      </c>
      <c r="D148" s="688" t="s">
        <v>87</v>
      </c>
      <c r="E148" s="671" t="s">
        <v>92</v>
      </c>
      <c r="F148" s="350"/>
      <c r="G148" s="709">
        <v>46185</v>
      </c>
      <c r="H148" s="670">
        <v>23.27</v>
      </c>
      <c r="I148" s="730" t="s">
        <v>549</v>
      </c>
      <c r="J148" s="769"/>
      <c r="K148" s="769"/>
      <c r="L148" s="770"/>
      <c r="M148" s="758">
        <v>46193</v>
      </c>
      <c r="N148" s="711" t="s">
        <v>868</v>
      </c>
      <c r="O148" s="712"/>
      <c r="P148" s="713">
        <v>14</v>
      </c>
      <c r="Q148" s="718"/>
      <c r="R148" s="718"/>
      <c r="S148" s="718"/>
      <c r="T148" s="718"/>
    </row>
    <row r="149" spans="1:20" s="719" customFormat="1" ht="17.399999999999999" customHeight="1" x14ac:dyDescent="0.35">
      <c r="A149" s="666"/>
      <c r="B149" s="667">
        <f t="shared" si="3"/>
        <v>137</v>
      </c>
      <c r="C149" s="692" t="s">
        <v>390</v>
      </c>
      <c r="D149" s="688" t="s">
        <v>91</v>
      </c>
      <c r="E149" s="671" t="s">
        <v>88</v>
      </c>
      <c r="F149" s="350"/>
      <c r="G149" s="709">
        <v>46193</v>
      </c>
      <c r="H149" s="691">
        <v>25.77</v>
      </c>
      <c r="I149" s="730" t="s">
        <v>549</v>
      </c>
      <c r="J149" s="769"/>
      <c r="K149" s="769"/>
      <c r="L149" s="770"/>
      <c r="M149" s="753">
        <v>46195</v>
      </c>
      <c r="N149" s="711" t="s">
        <v>760</v>
      </c>
      <c r="O149" s="712"/>
      <c r="P149" s="713">
        <v>24</v>
      </c>
      <c r="Q149" s="718"/>
      <c r="R149" s="718"/>
      <c r="S149" s="718"/>
      <c r="T149" s="718"/>
    </row>
    <row r="150" spans="1:20" s="719" customFormat="1" ht="17.399999999999999" customHeight="1" x14ac:dyDescent="0.35">
      <c r="A150" s="666"/>
      <c r="B150" s="667">
        <f t="shared" si="3"/>
        <v>138</v>
      </c>
      <c r="C150" s="692" t="s">
        <v>414</v>
      </c>
      <c r="D150" s="688" t="s">
        <v>669</v>
      </c>
      <c r="E150" s="671" t="s">
        <v>92</v>
      </c>
      <c r="F150" s="350"/>
      <c r="G150" s="709">
        <v>46167</v>
      </c>
      <c r="H150" s="733">
        <v>61.57</v>
      </c>
      <c r="I150" s="730" t="s">
        <v>549</v>
      </c>
      <c r="J150" s="769"/>
      <c r="K150" s="769"/>
      <c r="L150" s="770"/>
      <c r="M150" s="753">
        <v>46195</v>
      </c>
      <c r="N150" s="711" t="s">
        <v>763</v>
      </c>
      <c r="O150" s="712"/>
      <c r="P150" s="713">
        <v>12</v>
      </c>
      <c r="Q150" s="718"/>
      <c r="R150" s="718"/>
      <c r="S150" s="718"/>
      <c r="T150" s="718"/>
    </row>
    <row r="151" spans="1:20" s="719" customFormat="1" ht="17.399999999999999" customHeight="1" x14ac:dyDescent="0.35">
      <c r="A151" s="666"/>
      <c r="B151" s="667">
        <f t="shared" si="3"/>
        <v>139</v>
      </c>
      <c r="C151" s="692" t="s">
        <v>263</v>
      </c>
      <c r="D151" s="688" t="s">
        <v>87</v>
      </c>
      <c r="E151" s="671" t="s">
        <v>664</v>
      </c>
      <c r="F151" s="350"/>
      <c r="G151" s="709">
        <v>46186</v>
      </c>
      <c r="H151" s="751">
        <v>34.299999999999997</v>
      </c>
      <c r="I151" s="730" t="s">
        <v>549</v>
      </c>
      <c r="J151" s="769"/>
      <c r="K151" s="769"/>
      <c r="L151" s="770"/>
      <c r="M151" s="758">
        <v>46196</v>
      </c>
      <c r="N151" s="711" t="s">
        <v>734</v>
      </c>
      <c r="O151" s="712"/>
      <c r="P151" s="713">
        <v>12</v>
      </c>
      <c r="Q151" s="718"/>
      <c r="R151" s="718"/>
      <c r="S151" s="718"/>
      <c r="T151" s="718"/>
    </row>
    <row r="152" spans="1:20" s="719" customFormat="1" ht="17.399999999999999" customHeight="1" x14ac:dyDescent="0.35">
      <c r="A152" s="666"/>
      <c r="B152" s="667">
        <f t="shared" si="3"/>
        <v>140</v>
      </c>
      <c r="C152" s="692" t="s">
        <v>230</v>
      </c>
      <c r="D152" s="688" t="s">
        <v>87</v>
      </c>
      <c r="E152" s="671" t="s">
        <v>92</v>
      </c>
      <c r="F152" s="350"/>
      <c r="G152" s="709">
        <v>46194</v>
      </c>
      <c r="H152" s="670">
        <v>23.27</v>
      </c>
      <c r="I152" s="730" t="s">
        <v>549</v>
      </c>
      <c r="J152" s="769"/>
      <c r="K152" s="769"/>
      <c r="L152" s="770"/>
      <c r="M152" s="758">
        <v>46196</v>
      </c>
      <c r="N152" s="711" t="s">
        <v>757</v>
      </c>
      <c r="O152" s="712"/>
      <c r="P152" s="713">
        <v>14</v>
      </c>
      <c r="Q152" s="718"/>
      <c r="R152" s="718"/>
      <c r="S152" s="718"/>
      <c r="T152" s="718"/>
    </row>
    <row r="153" spans="1:20" s="719" customFormat="1" ht="17.399999999999999" customHeight="1" x14ac:dyDescent="0.35">
      <c r="A153" s="666"/>
      <c r="B153" s="667">
        <f t="shared" si="3"/>
        <v>141</v>
      </c>
      <c r="C153" s="692" t="s">
        <v>391</v>
      </c>
      <c r="D153" s="688" t="s">
        <v>91</v>
      </c>
      <c r="E153" s="671" t="s">
        <v>92</v>
      </c>
      <c r="F153" s="350"/>
      <c r="G153" s="709">
        <v>46195</v>
      </c>
      <c r="H153" s="778">
        <v>26.43</v>
      </c>
      <c r="I153" s="730" t="s">
        <v>549</v>
      </c>
      <c r="J153" s="769"/>
      <c r="K153" s="769"/>
      <c r="L153" s="770"/>
      <c r="M153" s="758">
        <v>46197</v>
      </c>
      <c r="N153" s="711" t="s">
        <v>760</v>
      </c>
      <c r="O153" s="712"/>
      <c r="P153" s="713">
        <v>24</v>
      </c>
      <c r="Q153" s="718"/>
      <c r="R153" s="718"/>
      <c r="S153" s="718"/>
      <c r="T153" s="718"/>
    </row>
    <row r="154" spans="1:20" s="719" customFormat="1" ht="17.399999999999999" customHeight="1" x14ac:dyDescent="0.35">
      <c r="A154" s="666"/>
      <c r="B154" s="667">
        <f t="shared" si="3"/>
        <v>142</v>
      </c>
      <c r="C154" s="685" t="s">
        <v>733</v>
      </c>
      <c r="D154" s="688" t="s">
        <v>237</v>
      </c>
      <c r="E154" s="671" t="s">
        <v>541</v>
      </c>
      <c r="F154" s="350"/>
      <c r="G154" s="709">
        <v>46181</v>
      </c>
      <c r="H154" s="671">
        <v>78.790000000000006</v>
      </c>
      <c r="I154" s="730" t="s">
        <v>549</v>
      </c>
      <c r="J154" s="769"/>
      <c r="K154" s="769"/>
      <c r="L154" s="770"/>
      <c r="M154" s="758">
        <v>46198</v>
      </c>
      <c r="N154" s="711" t="s">
        <v>900</v>
      </c>
      <c r="O154" s="712"/>
      <c r="P154" s="713">
        <v>10</v>
      </c>
      <c r="Q154" s="718"/>
      <c r="R154" s="718"/>
      <c r="S154" s="718"/>
      <c r="T154" s="718"/>
    </row>
    <row r="155" spans="1:20" s="719" customFormat="1" ht="17.399999999999999" customHeight="1" x14ac:dyDescent="0.35">
      <c r="A155" s="666"/>
      <c r="B155" s="667">
        <f t="shared" si="3"/>
        <v>143</v>
      </c>
      <c r="C155" s="692" t="s">
        <v>231</v>
      </c>
      <c r="D155" s="688" t="s">
        <v>87</v>
      </c>
      <c r="E155" s="671" t="s">
        <v>92</v>
      </c>
      <c r="F155" s="350"/>
      <c r="G155" s="709">
        <v>46197</v>
      </c>
      <c r="H155" s="670">
        <v>23.27</v>
      </c>
      <c r="I155" s="730" t="s">
        <v>549</v>
      </c>
      <c r="J155" s="769"/>
      <c r="K155" s="769"/>
      <c r="L155" s="770"/>
      <c r="M155" s="758">
        <v>46199</v>
      </c>
      <c r="N155" s="711" t="s">
        <v>757</v>
      </c>
      <c r="O155" s="712"/>
      <c r="P155" s="713">
        <v>14</v>
      </c>
      <c r="Q155" s="718"/>
      <c r="R155" s="718"/>
      <c r="S155" s="718"/>
      <c r="T155" s="718"/>
    </row>
    <row r="156" spans="1:20" s="719" customFormat="1" ht="17.399999999999999" customHeight="1" x14ac:dyDescent="0.35">
      <c r="A156" s="666"/>
      <c r="B156" s="667">
        <f t="shared" si="3"/>
        <v>144</v>
      </c>
      <c r="C156" s="685" t="s">
        <v>389</v>
      </c>
      <c r="D156" s="688" t="s">
        <v>87</v>
      </c>
      <c r="E156" s="671" t="s">
        <v>92</v>
      </c>
      <c r="F156" s="350"/>
      <c r="G156" s="709">
        <v>46198</v>
      </c>
      <c r="H156" s="670">
        <v>23.27</v>
      </c>
      <c r="I156" s="730" t="s">
        <v>549</v>
      </c>
      <c r="J156" s="769"/>
      <c r="K156" s="769"/>
      <c r="L156" s="770"/>
      <c r="M156" s="758">
        <v>46199</v>
      </c>
      <c r="N156" s="711" t="s">
        <v>760</v>
      </c>
      <c r="O156" s="712"/>
      <c r="P156" s="713">
        <v>24</v>
      </c>
      <c r="Q156" s="718"/>
      <c r="R156" s="718"/>
      <c r="S156" s="718"/>
      <c r="T156" s="718"/>
    </row>
    <row r="157" spans="1:20" s="719" customFormat="1" ht="17.399999999999999" customHeight="1" x14ac:dyDescent="0.35">
      <c r="A157" s="666"/>
      <c r="B157" s="667">
        <f t="shared" si="3"/>
        <v>145</v>
      </c>
      <c r="C157" s="692" t="s">
        <v>388</v>
      </c>
      <c r="D157" s="688" t="s">
        <v>87</v>
      </c>
      <c r="E157" s="671" t="s">
        <v>92</v>
      </c>
      <c r="F157" s="350"/>
      <c r="G157" s="709">
        <v>46199</v>
      </c>
      <c r="H157" s="670">
        <v>23.27</v>
      </c>
      <c r="I157" s="730" t="s">
        <v>549</v>
      </c>
      <c r="J157" s="769"/>
      <c r="K157" s="769"/>
      <c r="L157" s="770"/>
      <c r="M157" s="758">
        <v>46200</v>
      </c>
      <c r="N157" s="711" t="s">
        <v>760</v>
      </c>
      <c r="O157" s="712"/>
      <c r="P157" s="713">
        <v>24</v>
      </c>
      <c r="Q157" s="718"/>
      <c r="R157" s="718"/>
      <c r="S157" s="718"/>
      <c r="T157" s="718"/>
    </row>
    <row r="158" spans="1:20" s="719" customFormat="1" ht="17.399999999999999" customHeight="1" x14ac:dyDescent="0.35">
      <c r="A158" s="666"/>
      <c r="B158" s="667">
        <f t="shared" si="3"/>
        <v>146</v>
      </c>
      <c r="C158" s="692" t="s">
        <v>424</v>
      </c>
      <c r="D158" s="688" t="s">
        <v>685</v>
      </c>
      <c r="E158" s="671" t="s">
        <v>92</v>
      </c>
      <c r="F158" s="709">
        <v>46125</v>
      </c>
      <c r="G158" s="691"/>
      <c r="H158" s="691">
        <v>55.59</v>
      </c>
      <c r="I158" s="730" t="s">
        <v>549</v>
      </c>
      <c r="J158" s="769"/>
      <c r="K158" s="769"/>
      <c r="L158" s="770"/>
      <c r="M158" s="758">
        <v>46203</v>
      </c>
      <c r="N158" s="711" t="s">
        <v>869</v>
      </c>
      <c r="O158" s="712"/>
      <c r="P158" s="713">
        <v>21</v>
      </c>
      <c r="Q158" s="718"/>
      <c r="R158" s="718"/>
      <c r="S158" s="718"/>
      <c r="T158" s="718"/>
    </row>
    <row r="159" spans="1:20" s="719" customFormat="1" ht="17.399999999999999" customHeight="1" x14ac:dyDescent="0.35">
      <c r="A159" s="666"/>
      <c r="B159" s="667">
        <f t="shared" si="3"/>
        <v>147</v>
      </c>
      <c r="C159" s="692" t="s">
        <v>208</v>
      </c>
      <c r="D159" s="688" t="s">
        <v>87</v>
      </c>
      <c r="E159" s="671" t="s">
        <v>92</v>
      </c>
      <c r="F159" s="709"/>
      <c r="G159" s="833">
        <v>46194</v>
      </c>
      <c r="H159" s="670">
        <v>23.27</v>
      </c>
      <c r="I159" s="730" t="s">
        <v>549</v>
      </c>
      <c r="J159" s="769"/>
      <c r="K159" s="769"/>
      <c r="L159" s="770"/>
      <c r="M159" s="758">
        <v>46203</v>
      </c>
      <c r="N159" s="711" t="s">
        <v>868</v>
      </c>
      <c r="O159" s="713"/>
      <c r="P159" s="713">
        <v>14</v>
      </c>
      <c r="Q159" s="718"/>
      <c r="R159" s="718"/>
      <c r="S159" s="718"/>
      <c r="T159" s="718"/>
    </row>
    <row r="160" spans="1:20" s="719" customFormat="1" ht="17.399999999999999" customHeight="1" x14ac:dyDescent="0.35">
      <c r="A160" s="666"/>
      <c r="B160" s="667">
        <f t="shared" si="3"/>
        <v>148</v>
      </c>
      <c r="C160" s="672" t="s">
        <v>480</v>
      </c>
      <c r="D160" s="688" t="s">
        <v>669</v>
      </c>
      <c r="E160" s="671" t="s">
        <v>92</v>
      </c>
      <c r="F160" s="709"/>
      <c r="G160" s="833">
        <v>46201</v>
      </c>
      <c r="H160" s="671">
        <v>61.57</v>
      </c>
      <c r="I160" s="730" t="s">
        <v>549</v>
      </c>
      <c r="J160" s="769"/>
      <c r="K160" s="769"/>
      <c r="L160" s="770"/>
      <c r="M160" s="758">
        <v>46203</v>
      </c>
      <c r="N160" s="711" t="s">
        <v>760</v>
      </c>
      <c r="O160" s="713"/>
      <c r="P160" s="713">
        <v>24</v>
      </c>
      <c r="Q160" s="718"/>
      <c r="R160" s="718"/>
      <c r="S160" s="718"/>
      <c r="T160" s="718"/>
    </row>
    <row r="161" spans="1:20" s="757" customFormat="1" ht="17.399999999999999" customHeight="1" x14ac:dyDescent="0.35">
      <c r="A161" s="686"/>
      <c r="B161" s="667">
        <f t="shared" si="3"/>
        <v>149</v>
      </c>
      <c r="C161" s="672" t="s">
        <v>392</v>
      </c>
      <c r="D161" s="688" t="s">
        <v>87</v>
      </c>
      <c r="E161" s="671" t="s">
        <v>92</v>
      </c>
      <c r="F161" s="350"/>
      <c r="G161" s="709">
        <v>46094</v>
      </c>
      <c r="H161" s="670">
        <v>23.27</v>
      </c>
      <c r="I161" s="754" t="s">
        <v>549</v>
      </c>
      <c r="J161" s="1041"/>
      <c r="K161" s="1041"/>
      <c r="L161" s="1042"/>
      <c r="M161" s="1043">
        <v>46206</v>
      </c>
      <c r="N161" s="711" t="s">
        <v>760</v>
      </c>
      <c r="O161" s="712"/>
      <c r="P161" s="713">
        <v>16</v>
      </c>
      <c r="Q161" s="756"/>
      <c r="R161" s="756"/>
      <c r="S161" s="756"/>
      <c r="T161" s="756"/>
    </row>
    <row r="162" spans="1:20" s="757" customFormat="1" ht="17.399999999999999" customHeight="1" x14ac:dyDescent="0.35">
      <c r="A162" s="686"/>
      <c r="B162" s="667">
        <f t="shared" si="3"/>
        <v>150</v>
      </c>
      <c r="C162" s="672" t="s">
        <v>417</v>
      </c>
      <c r="D162" s="688" t="s">
        <v>754</v>
      </c>
      <c r="E162" s="671" t="s">
        <v>92</v>
      </c>
      <c r="F162" s="350"/>
      <c r="G162" s="709">
        <v>46200</v>
      </c>
      <c r="H162" s="733">
        <v>73.67</v>
      </c>
      <c r="I162" s="754" t="s">
        <v>549</v>
      </c>
      <c r="J162" s="1041"/>
      <c r="K162" s="1041"/>
      <c r="L162" s="1042"/>
      <c r="M162" s="1043">
        <v>46206</v>
      </c>
      <c r="N162" s="711" t="s">
        <v>757</v>
      </c>
      <c r="O162" s="712"/>
      <c r="P162" s="713">
        <v>14</v>
      </c>
      <c r="Q162" s="756"/>
      <c r="R162" s="756"/>
      <c r="S162" s="756"/>
      <c r="T162" s="756"/>
    </row>
    <row r="163" spans="1:20" s="757" customFormat="1" ht="17.399999999999999" customHeight="1" x14ac:dyDescent="0.35">
      <c r="A163" s="686"/>
      <c r="B163" s="667">
        <f t="shared" si="3"/>
        <v>151</v>
      </c>
      <c r="C163" s="672" t="s">
        <v>386</v>
      </c>
      <c r="D163" s="688" t="s">
        <v>87</v>
      </c>
      <c r="E163" s="671" t="s">
        <v>92</v>
      </c>
      <c r="F163" s="709"/>
      <c r="G163" s="833">
        <v>46205</v>
      </c>
      <c r="H163" s="670">
        <v>23.27</v>
      </c>
      <c r="I163" s="754" t="s">
        <v>549</v>
      </c>
      <c r="J163" s="1044"/>
      <c r="K163" s="1044"/>
      <c r="L163" s="1045"/>
      <c r="M163" s="720">
        <v>46207</v>
      </c>
      <c r="N163" s="711" t="s">
        <v>760</v>
      </c>
      <c r="O163" s="712"/>
      <c r="P163" s="713">
        <v>24</v>
      </c>
      <c r="Q163" s="756"/>
      <c r="R163" s="756"/>
      <c r="S163" s="756"/>
      <c r="T163" s="756"/>
    </row>
    <row r="164" spans="1:20" s="757" customFormat="1" ht="17.399999999999999" customHeight="1" x14ac:dyDescent="0.35">
      <c r="A164" s="686"/>
      <c r="B164" s="667">
        <f t="shared" si="3"/>
        <v>152</v>
      </c>
      <c r="C164" s="672" t="s">
        <v>239</v>
      </c>
      <c r="D164" s="688" t="s">
        <v>87</v>
      </c>
      <c r="E164" s="671" t="s">
        <v>88</v>
      </c>
      <c r="F164" s="709"/>
      <c r="G164" s="833">
        <v>46206</v>
      </c>
      <c r="H164" s="703">
        <v>22.4</v>
      </c>
      <c r="I164" s="754" t="s">
        <v>549</v>
      </c>
      <c r="J164" s="1044"/>
      <c r="K164" s="1044"/>
      <c r="L164" s="1045"/>
      <c r="M164" s="720">
        <v>46208</v>
      </c>
      <c r="N164" s="711" t="s">
        <v>757</v>
      </c>
      <c r="O164" s="712"/>
      <c r="P164" s="713">
        <v>14</v>
      </c>
      <c r="Q164" s="756"/>
      <c r="R164" s="756"/>
      <c r="S164" s="756"/>
      <c r="T164" s="756"/>
    </row>
    <row r="165" spans="1:20" s="757" customFormat="1" ht="17.399999999999999" customHeight="1" x14ac:dyDescent="0.35">
      <c r="A165" s="686"/>
      <c r="B165" s="667">
        <f t="shared" si="3"/>
        <v>153</v>
      </c>
      <c r="C165" s="672" t="s">
        <v>385</v>
      </c>
      <c r="D165" s="688" t="s">
        <v>87</v>
      </c>
      <c r="E165" s="671" t="s">
        <v>92</v>
      </c>
      <c r="F165" s="709"/>
      <c r="G165" s="833">
        <v>46207</v>
      </c>
      <c r="H165" s="670">
        <v>23.27</v>
      </c>
      <c r="I165" s="754" t="s">
        <v>549</v>
      </c>
      <c r="J165" s="1044"/>
      <c r="K165" s="1044"/>
      <c r="L165" s="1045"/>
      <c r="M165" s="720">
        <v>46209</v>
      </c>
      <c r="N165" s="711" t="s">
        <v>760</v>
      </c>
      <c r="O165" s="713"/>
      <c r="P165" s="713">
        <v>14</v>
      </c>
      <c r="Q165" s="756"/>
      <c r="R165" s="756"/>
      <c r="S165" s="756"/>
      <c r="T165" s="756"/>
    </row>
    <row r="166" spans="1:20" s="757" customFormat="1" ht="17.399999999999999" customHeight="1" x14ac:dyDescent="0.35">
      <c r="A166" s="686"/>
      <c r="B166" s="667">
        <f t="shared" si="3"/>
        <v>154</v>
      </c>
      <c r="C166" s="672" t="s">
        <v>450</v>
      </c>
      <c r="D166" s="688" t="s">
        <v>668</v>
      </c>
      <c r="E166" s="671" t="s">
        <v>92</v>
      </c>
      <c r="F166" s="709"/>
      <c r="G166" s="833">
        <v>46204</v>
      </c>
      <c r="H166" s="1046">
        <v>55.74</v>
      </c>
      <c r="I166" s="754" t="s">
        <v>549</v>
      </c>
      <c r="J166" s="1044"/>
      <c r="K166" s="1044"/>
      <c r="L166" s="1045"/>
      <c r="M166" s="720">
        <v>46210</v>
      </c>
      <c r="N166" s="711" t="s">
        <v>917</v>
      </c>
      <c r="O166" s="713"/>
      <c r="P166" s="713">
        <v>20</v>
      </c>
      <c r="Q166" s="756"/>
      <c r="R166" s="756"/>
      <c r="S166" s="756"/>
      <c r="T166" s="756"/>
    </row>
    <row r="167" spans="1:20" s="757" customFormat="1" ht="17.399999999999999" customHeight="1" x14ac:dyDescent="0.35">
      <c r="A167" s="686"/>
      <c r="B167" s="667">
        <f t="shared" si="3"/>
        <v>155</v>
      </c>
      <c r="C167" s="672" t="s">
        <v>384</v>
      </c>
      <c r="D167" s="688" t="s">
        <v>87</v>
      </c>
      <c r="E167" s="671" t="s">
        <v>92</v>
      </c>
      <c r="F167" s="709"/>
      <c r="G167" s="833">
        <v>46209</v>
      </c>
      <c r="H167" s="670">
        <v>23.27</v>
      </c>
      <c r="I167" s="754" t="s">
        <v>549</v>
      </c>
      <c r="J167" s="1044"/>
      <c r="K167" s="1044"/>
      <c r="L167" s="1045"/>
      <c r="M167" s="720">
        <v>46211</v>
      </c>
      <c r="N167" s="711" t="s">
        <v>760</v>
      </c>
      <c r="O167" s="713"/>
      <c r="P167" s="713">
        <v>24</v>
      </c>
      <c r="Q167" s="756"/>
      <c r="R167" s="756"/>
      <c r="S167" s="756"/>
      <c r="T167" s="756"/>
    </row>
    <row r="168" spans="1:20" s="757" customFormat="1" ht="17.399999999999999" customHeight="1" x14ac:dyDescent="0.35">
      <c r="A168" s="686"/>
      <c r="B168" s="667">
        <f t="shared" si="3"/>
        <v>156</v>
      </c>
      <c r="C168" s="672" t="s">
        <v>229</v>
      </c>
      <c r="D168" s="688" t="s">
        <v>87</v>
      </c>
      <c r="E168" s="671" t="s">
        <v>92</v>
      </c>
      <c r="F168" s="709"/>
      <c r="G168" s="833">
        <v>46209</v>
      </c>
      <c r="H168" s="670">
        <v>23.27</v>
      </c>
      <c r="I168" s="754" t="s">
        <v>549</v>
      </c>
      <c r="J168" s="1044"/>
      <c r="K168" s="1044"/>
      <c r="L168" s="1045"/>
      <c r="M168" s="720">
        <v>46211</v>
      </c>
      <c r="N168" s="711" t="s">
        <v>757</v>
      </c>
      <c r="O168" s="712"/>
      <c r="P168" s="713">
        <v>14</v>
      </c>
      <c r="Q168" s="756"/>
      <c r="R168" s="756"/>
      <c r="S168" s="756"/>
      <c r="T168" s="756"/>
    </row>
    <row r="169" spans="1:20" s="757" customFormat="1" ht="17.399999999999999" x14ac:dyDescent="0.35">
      <c r="A169" s="686"/>
      <c r="B169" s="667">
        <f t="shared" si="3"/>
        <v>157</v>
      </c>
      <c r="C169" s="672" t="s">
        <v>387</v>
      </c>
      <c r="D169" s="688" t="s">
        <v>95</v>
      </c>
      <c r="E169" s="671" t="s">
        <v>88</v>
      </c>
      <c r="F169" s="709"/>
      <c r="G169" s="833">
        <v>46211</v>
      </c>
      <c r="H169" s="671">
        <v>25.77</v>
      </c>
      <c r="I169" s="754" t="s">
        <v>549</v>
      </c>
      <c r="J169" s="1044"/>
      <c r="K169" s="1044"/>
      <c r="L169" s="1045"/>
      <c r="M169" s="720">
        <v>46213</v>
      </c>
      <c r="N169" s="711" t="s">
        <v>760</v>
      </c>
      <c r="O169" s="713"/>
      <c r="P169" s="713">
        <v>24</v>
      </c>
      <c r="Q169" s="756"/>
      <c r="R169" s="756"/>
      <c r="S169" s="756"/>
      <c r="T169" s="756"/>
    </row>
    <row r="170" spans="1:20" s="757" customFormat="1" ht="17.399999999999999" customHeight="1" x14ac:dyDescent="0.35">
      <c r="A170" s="686"/>
      <c r="B170" s="667">
        <f t="shared" si="3"/>
        <v>158</v>
      </c>
      <c r="C170" s="672" t="s">
        <v>427</v>
      </c>
      <c r="D170" s="688" t="s">
        <v>914</v>
      </c>
      <c r="E170" s="671" t="s">
        <v>92</v>
      </c>
      <c r="F170" s="350"/>
      <c r="G170" s="709">
        <v>46197</v>
      </c>
      <c r="H170" s="733">
        <v>61.72</v>
      </c>
      <c r="I170" s="754" t="s">
        <v>549</v>
      </c>
      <c r="J170" s="1041"/>
      <c r="K170" s="1041"/>
      <c r="L170" s="1042"/>
      <c r="M170" s="720">
        <v>46213</v>
      </c>
      <c r="N170" s="711" t="s">
        <v>735</v>
      </c>
      <c r="O170" s="712"/>
      <c r="P170" s="713">
        <v>12</v>
      </c>
      <c r="Q170" s="756"/>
      <c r="R170" s="756"/>
      <c r="S170" s="756"/>
      <c r="T170" s="756"/>
    </row>
    <row r="171" spans="1:20" s="757" customFormat="1" ht="17.399999999999999" customHeight="1" x14ac:dyDescent="0.35">
      <c r="A171" s="686"/>
      <c r="B171" s="667">
        <f t="shared" si="3"/>
        <v>159</v>
      </c>
      <c r="C171" s="672" t="s">
        <v>445</v>
      </c>
      <c r="D171" s="688" t="s">
        <v>919</v>
      </c>
      <c r="E171" s="671" t="s">
        <v>92</v>
      </c>
      <c r="F171" s="709"/>
      <c r="G171" s="833">
        <v>46211</v>
      </c>
      <c r="H171" s="1046">
        <v>73.84</v>
      </c>
      <c r="I171" s="754" t="s">
        <v>549</v>
      </c>
      <c r="J171" s="1044"/>
      <c r="K171" s="1044"/>
      <c r="L171" s="1045"/>
      <c r="M171" s="720">
        <v>46213</v>
      </c>
      <c r="N171" s="711" t="s">
        <v>917</v>
      </c>
      <c r="O171" s="713"/>
      <c r="P171" s="713">
        <v>20</v>
      </c>
      <c r="Q171" s="756"/>
      <c r="R171" s="756"/>
      <c r="S171" s="756"/>
      <c r="T171" s="756"/>
    </row>
    <row r="172" spans="1:20" s="757" customFormat="1" ht="17.399999999999999" x14ac:dyDescent="0.35">
      <c r="A172" s="686"/>
      <c r="B172" s="667">
        <f t="shared" si="3"/>
        <v>160</v>
      </c>
      <c r="C172" s="672" t="s">
        <v>240</v>
      </c>
      <c r="D172" s="688" t="s">
        <v>87</v>
      </c>
      <c r="E172" s="671" t="s">
        <v>92</v>
      </c>
      <c r="F172" s="709"/>
      <c r="G172" s="833">
        <v>46211</v>
      </c>
      <c r="H172" s="1049">
        <v>23.27</v>
      </c>
      <c r="I172" s="754" t="s">
        <v>549</v>
      </c>
      <c r="J172" s="1044"/>
      <c r="K172" s="1044"/>
      <c r="L172" s="1045"/>
      <c r="M172" s="720">
        <v>46213</v>
      </c>
      <c r="N172" s="711" t="s">
        <v>757</v>
      </c>
      <c r="O172" s="712"/>
      <c r="P172" s="713">
        <v>16</v>
      </c>
      <c r="Q172" s="756"/>
      <c r="R172" s="756"/>
      <c r="S172" s="756"/>
      <c r="T172" s="756"/>
    </row>
    <row r="173" spans="1:20" s="757" customFormat="1" ht="17.399999999999999" customHeight="1" x14ac:dyDescent="0.35">
      <c r="A173" s="686"/>
      <c r="B173" s="667">
        <f t="shared" si="3"/>
        <v>161</v>
      </c>
      <c r="C173" s="672" t="s">
        <v>383</v>
      </c>
      <c r="D173" s="688" t="s">
        <v>91</v>
      </c>
      <c r="E173" s="671" t="s">
        <v>92</v>
      </c>
      <c r="F173" s="709"/>
      <c r="G173" s="1048">
        <v>46213</v>
      </c>
      <c r="H173" s="733">
        <v>26.43</v>
      </c>
      <c r="I173" s="754" t="s">
        <v>549</v>
      </c>
      <c r="J173" s="1044"/>
      <c r="K173" s="1044"/>
      <c r="L173" s="1045"/>
      <c r="M173" s="720">
        <v>46215</v>
      </c>
      <c r="N173" s="711" t="s">
        <v>760</v>
      </c>
      <c r="O173" s="713"/>
      <c r="P173" s="713">
        <v>20</v>
      </c>
      <c r="Q173" s="756"/>
      <c r="R173" s="756"/>
      <c r="S173" s="756"/>
      <c r="T173" s="756"/>
    </row>
    <row r="174" spans="1:20" s="757" customFormat="1" ht="17.399999999999999" customHeight="1" x14ac:dyDescent="0.35">
      <c r="A174" s="686"/>
      <c r="B174" s="667">
        <f t="shared" si="3"/>
        <v>162</v>
      </c>
      <c r="C174" s="672" t="s">
        <v>290</v>
      </c>
      <c r="D174" s="688" t="s">
        <v>91</v>
      </c>
      <c r="E174" s="671" t="s">
        <v>92</v>
      </c>
      <c r="F174" s="709"/>
      <c r="G174" s="1047">
        <v>46209</v>
      </c>
      <c r="H174" s="733">
        <v>26.43</v>
      </c>
      <c r="I174" s="754" t="s">
        <v>549</v>
      </c>
      <c r="J174" s="1044"/>
      <c r="K174" s="1044"/>
      <c r="L174" s="1045"/>
      <c r="M174" s="720">
        <v>46216</v>
      </c>
      <c r="N174" s="711" t="s">
        <v>926</v>
      </c>
      <c r="O174" s="713"/>
      <c r="P174" s="713">
        <v>12</v>
      </c>
      <c r="Q174" s="756"/>
      <c r="R174" s="756"/>
      <c r="S174" s="756"/>
      <c r="T174" s="756"/>
    </row>
    <row r="175" spans="1:20" s="757" customFormat="1" ht="17.399999999999999" customHeight="1" x14ac:dyDescent="0.35">
      <c r="A175" s="686"/>
      <c r="B175" s="667">
        <f t="shared" si="3"/>
        <v>163</v>
      </c>
      <c r="C175" s="672" t="s">
        <v>479</v>
      </c>
      <c r="D175" s="688" t="s">
        <v>669</v>
      </c>
      <c r="E175" s="671" t="s">
        <v>88</v>
      </c>
      <c r="F175" s="709"/>
      <c r="G175" s="833">
        <v>46216</v>
      </c>
      <c r="H175" s="733">
        <v>62.84</v>
      </c>
      <c r="I175" s="754" t="s">
        <v>549</v>
      </c>
      <c r="J175" s="1044"/>
      <c r="K175" s="1044"/>
      <c r="L175" s="1045"/>
      <c r="M175" s="720">
        <v>46218</v>
      </c>
      <c r="N175" s="711" t="s">
        <v>760</v>
      </c>
      <c r="O175" s="713"/>
      <c r="P175" s="713">
        <v>20</v>
      </c>
      <c r="Q175" s="756"/>
      <c r="R175" s="756"/>
      <c r="S175" s="756"/>
      <c r="T175" s="756"/>
    </row>
    <row r="176" spans="1:20" s="757" customFormat="1" ht="17.399999999999999" customHeight="1" x14ac:dyDescent="0.35">
      <c r="A176" s="686"/>
      <c r="B176" s="667">
        <f t="shared" si="3"/>
        <v>164</v>
      </c>
      <c r="C176" s="672" t="s">
        <v>428</v>
      </c>
      <c r="D176" s="688" t="s">
        <v>668</v>
      </c>
      <c r="E176" s="671" t="s">
        <v>92</v>
      </c>
      <c r="F176" s="709"/>
      <c r="G176" s="833">
        <v>46214</v>
      </c>
      <c r="H176" s="1050">
        <v>55.74</v>
      </c>
      <c r="I176" s="754" t="s">
        <v>549</v>
      </c>
      <c r="J176" s="1044"/>
      <c r="K176" s="1044"/>
      <c r="L176" s="1045"/>
      <c r="M176" s="720">
        <v>46218</v>
      </c>
      <c r="N176" s="711" t="s">
        <v>735</v>
      </c>
      <c r="O176" s="713"/>
      <c r="P176" s="713">
        <v>12</v>
      </c>
      <c r="Q176" s="756"/>
      <c r="R176" s="756"/>
      <c r="S176" s="756"/>
      <c r="T176" s="756"/>
    </row>
    <row r="177" spans="1:20" s="757" customFormat="1" ht="17.399999999999999" customHeight="1" x14ac:dyDescent="0.35">
      <c r="A177" s="686"/>
      <c r="B177" s="667">
        <f t="shared" si="3"/>
        <v>165</v>
      </c>
      <c r="C177" s="672" t="s">
        <v>454</v>
      </c>
      <c r="D177" s="690" t="s">
        <v>914</v>
      </c>
      <c r="E177" s="691" t="s">
        <v>92</v>
      </c>
      <c r="F177" s="709"/>
      <c r="G177" s="1090">
        <v>46214</v>
      </c>
      <c r="H177" s="776">
        <v>61.72</v>
      </c>
      <c r="I177" s="730" t="s">
        <v>549</v>
      </c>
      <c r="J177" s="1091"/>
      <c r="K177" s="1091"/>
      <c r="L177" s="1092"/>
      <c r="M177" s="728">
        <v>46219</v>
      </c>
      <c r="N177" s="766" t="s">
        <v>917</v>
      </c>
      <c r="O177" s="768"/>
      <c r="P177" s="768">
        <v>20</v>
      </c>
      <c r="Q177" s="756"/>
      <c r="R177" s="756"/>
      <c r="S177" s="756"/>
      <c r="T177" s="756"/>
    </row>
    <row r="178" spans="1:20" s="757" customFormat="1" ht="17.399999999999999" customHeight="1" x14ac:dyDescent="0.35">
      <c r="A178" s="686"/>
      <c r="B178" s="667">
        <f t="shared" si="3"/>
        <v>166</v>
      </c>
      <c r="C178" s="671" t="s">
        <v>615</v>
      </c>
      <c r="D178" s="692" t="s">
        <v>87</v>
      </c>
      <c r="E178" s="691" t="s">
        <v>664</v>
      </c>
      <c r="F178" s="350"/>
      <c r="G178" s="731">
        <v>46218</v>
      </c>
      <c r="H178" s="1093">
        <v>34.299999999999997</v>
      </c>
      <c r="I178" s="730" t="s">
        <v>549</v>
      </c>
      <c r="J178" s="1091"/>
      <c r="K178" s="1091"/>
      <c r="L178" s="1092"/>
      <c r="M178" s="1094">
        <v>46220</v>
      </c>
      <c r="N178" s="766" t="s">
        <v>760</v>
      </c>
      <c r="O178" s="768"/>
      <c r="P178" s="768">
        <v>20</v>
      </c>
      <c r="Q178" s="756"/>
      <c r="R178" s="756"/>
      <c r="S178" s="756"/>
      <c r="T178" s="756"/>
    </row>
    <row r="179" spans="1:20" s="757" customFormat="1" ht="17.399999999999999" customHeight="1" x14ac:dyDescent="0.35">
      <c r="A179" s="686"/>
      <c r="B179" s="667">
        <f t="shared" si="3"/>
        <v>167</v>
      </c>
      <c r="C179" s="672" t="s">
        <v>209</v>
      </c>
      <c r="D179" s="690" t="s">
        <v>87</v>
      </c>
      <c r="E179" s="691" t="s">
        <v>92</v>
      </c>
      <c r="F179" s="350"/>
      <c r="G179" s="731">
        <v>46204</v>
      </c>
      <c r="H179" s="1095">
        <v>23.27</v>
      </c>
      <c r="I179" s="730" t="s">
        <v>549</v>
      </c>
      <c r="J179" s="1091"/>
      <c r="K179" s="1091"/>
      <c r="L179" s="1092"/>
      <c r="M179" s="1096">
        <v>46220</v>
      </c>
      <c r="N179" s="766" t="s">
        <v>868</v>
      </c>
      <c r="O179" s="767"/>
      <c r="P179" s="768">
        <v>14</v>
      </c>
      <c r="Q179" s="756"/>
      <c r="R179" s="756"/>
      <c r="S179" s="756"/>
      <c r="T179" s="756"/>
    </row>
    <row r="180" spans="1:20" s="757" customFormat="1" ht="17.399999999999999" customHeight="1" x14ac:dyDescent="0.35">
      <c r="A180" s="686"/>
      <c r="B180" s="667">
        <f t="shared" si="3"/>
        <v>168</v>
      </c>
      <c r="C180" s="672" t="s">
        <v>294</v>
      </c>
      <c r="D180" s="690" t="s">
        <v>91</v>
      </c>
      <c r="E180" s="691" t="s">
        <v>92</v>
      </c>
      <c r="F180" s="350"/>
      <c r="G180" s="731">
        <v>46219</v>
      </c>
      <c r="H180" s="776">
        <v>26.43</v>
      </c>
      <c r="I180" s="730" t="s">
        <v>549</v>
      </c>
      <c r="J180" s="1091"/>
      <c r="K180" s="1091"/>
      <c r="L180" s="1092"/>
      <c r="M180" s="1096">
        <v>46221</v>
      </c>
      <c r="N180" s="766" t="s">
        <v>917</v>
      </c>
      <c r="O180" s="767"/>
      <c r="P180" s="768">
        <v>20</v>
      </c>
      <c r="Q180" s="756"/>
      <c r="R180" s="756"/>
      <c r="S180" s="756"/>
      <c r="T180" s="756"/>
    </row>
    <row r="181" spans="1:20" s="757" customFormat="1" ht="17.399999999999999" customHeight="1" x14ac:dyDescent="0.35">
      <c r="A181" s="686"/>
      <c r="B181" s="667">
        <f t="shared" si="3"/>
        <v>169</v>
      </c>
      <c r="C181" s="672" t="s">
        <v>329</v>
      </c>
      <c r="D181" s="690" t="s">
        <v>91</v>
      </c>
      <c r="E181" s="691" t="s">
        <v>88</v>
      </c>
      <c r="F181" s="350"/>
      <c r="G181" s="731">
        <v>46222</v>
      </c>
      <c r="H181" s="691">
        <v>25.77</v>
      </c>
      <c r="I181" s="730" t="s">
        <v>549</v>
      </c>
      <c r="J181" s="1091"/>
      <c r="K181" s="1091"/>
      <c r="L181" s="1092"/>
      <c r="M181" s="1096">
        <v>46224</v>
      </c>
      <c r="N181" s="766" t="s">
        <v>917</v>
      </c>
      <c r="O181" s="767"/>
      <c r="P181" s="768">
        <v>20</v>
      </c>
      <c r="Q181" s="756"/>
      <c r="R181" s="756"/>
      <c r="S181" s="756"/>
      <c r="T181" s="756"/>
    </row>
    <row r="182" spans="1:20" s="757" customFormat="1" ht="17.399999999999999" customHeight="1" x14ac:dyDescent="0.35">
      <c r="A182" s="686"/>
      <c r="B182" s="667">
        <f t="shared" si="3"/>
        <v>170</v>
      </c>
      <c r="C182" s="672" t="s">
        <v>422</v>
      </c>
      <c r="D182" s="690" t="s">
        <v>933</v>
      </c>
      <c r="E182" s="691" t="s">
        <v>541</v>
      </c>
      <c r="F182" s="350"/>
      <c r="G182" s="731">
        <v>46214</v>
      </c>
      <c r="H182" s="691"/>
      <c r="I182" s="730" t="s">
        <v>549</v>
      </c>
      <c r="J182" s="1091"/>
      <c r="K182" s="1091"/>
      <c r="L182" s="1092"/>
      <c r="M182" s="1096">
        <v>46224</v>
      </c>
      <c r="N182" s="766" t="s">
        <v>757</v>
      </c>
      <c r="O182" s="767"/>
      <c r="P182" s="768">
        <v>16</v>
      </c>
      <c r="Q182" s="756"/>
      <c r="R182" s="756"/>
      <c r="S182" s="756"/>
      <c r="T182" s="756"/>
    </row>
    <row r="183" spans="1:20" s="757" customFormat="1" ht="17.399999999999999" customHeight="1" x14ac:dyDescent="0.35">
      <c r="A183" s="686"/>
      <c r="B183" s="667">
        <f t="shared" si="3"/>
        <v>171</v>
      </c>
      <c r="C183" s="672" t="s">
        <v>247</v>
      </c>
      <c r="D183" s="690" t="s">
        <v>91</v>
      </c>
      <c r="E183" s="691" t="s">
        <v>88</v>
      </c>
      <c r="F183" s="350"/>
      <c r="G183" s="731">
        <v>46225</v>
      </c>
      <c r="H183" s="691">
        <v>25.77</v>
      </c>
      <c r="I183" s="730" t="s">
        <v>549</v>
      </c>
      <c r="J183" s="1091"/>
      <c r="K183" s="1091"/>
      <c r="L183" s="1092"/>
      <c r="M183" s="1096">
        <v>46226</v>
      </c>
      <c r="N183" s="766" t="s">
        <v>757</v>
      </c>
      <c r="O183" s="767"/>
      <c r="P183" s="768"/>
      <c r="Q183" s="756"/>
      <c r="R183" s="756"/>
      <c r="S183" s="756"/>
      <c r="T183" s="756"/>
    </row>
    <row r="184" spans="1:20" s="757" customFormat="1" ht="17.399999999999999" customHeight="1" x14ac:dyDescent="0.35">
      <c r="A184" s="686"/>
      <c r="B184" s="667">
        <f t="shared" si="3"/>
        <v>172</v>
      </c>
      <c r="C184" s="672" t="s">
        <v>620</v>
      </c>
      <c r="D184" s="690" t="s">
        <v>87</v>
      </c>
      <c r="E184" s="691" t="s">
        <v>664</v>
      </c>
      <c r="F184" s="350"/>
      <c r="G184" s="731">
        <v>46221</v>
      </c>
      <c r="H184" s="691"/>
      <c r="I184" s="730" t="s">
        <v>549</v>
      </c>
      <c r="J184" s="1091"/>
      <c r="K184" s="1091"/>
      <c r="L184" s="1092"/>
      <c r="M184" s="1096">
        <v>46227</v>
      </c>
      <c r="N184" s="766" t="s">
        <v>760</v>
      </c>
      <c r="O184" s="768"/>
      <c r="P184" s="768">
        <v>20</v>
      </c>
      <c r="Q184" s="756"/>
      <c r="R184" s="756"/>
      <c r="S184" s="756"/>
      <c r="T184" s="756"/>
    </row>
    <row r="185" spans="1:20" s="757" customFormat="1" ht="17.399999999999999" customHeight="1" x14ac:dyDescent="0.35">
      <c r="A185" s="686"/>
      <c r="B185" s="667">
        <f t="shared" si="3"/>
        <v>173</v>
      </c>
      <c r="C185" s="672" t="s">
        <v>215</v>
      </c>
      <c r="D185" s="690" t="s">
        <v>87</v>
      </c>
      <c r="E185" s="691" t="s">
        <v>92</v>
      </c>
      <c r="F185" s="350"/>
      <c r="G185" s="731">
        <v>46221</v>
      </c>
      <c r="H185" s="775">
        <v>23.27</v>
      </c>
      <c r="I185" s="730" t="s">
        <v>549</v>
      </c>
      <c r="J185" s="1091"/>
      <c r="K185" s="1091"/>
      <c r="L185" s="1092"/>
      <c r="M185" s="1096">
        <v>46229</v>
      </c>
      <c r="N185" s="766" t="s">
        <v>868</v>
      </c>
      <c r="O185" s="767"/>
      <c r="P185" s="768">
        <v>14</v>
      </c>
      <c r="Q185" s="756"/>
      <c r="R185" s="756"/>
      <c r="S185" s="756"/>
      <c r="T185" s="756"/>
    </row>
    <row r="186" spans="1:20" s="757" customFormat="1" ht="17.399999999999999" customHeight="1" x14ac:dyDescent="0.35">
      <c r="A186" s="686"/>
      <c r="B186" s="667">
        <f t="shared" si="3"/>
        <v>174</v>
      </c>
      <c r="C186" s="672" t="s">
        <v>379</v>
      </c>
      <c r="D186" s="690" t="s">
        <v>91</v>
      </c>
      <c r="E186" s="691" t="s">
        <v>92</v>
      </c>
      <c r="F186" s="350"/>
      <c r="G186" s="731">
        <v>46227</v>
      </c>
      <c r="H186" s="776">
        <v>26.43</v>
      </c>
      <c r="I186" s="730" t="s">
        <v>549</v>
      </c>
      <c r="J186" s="1091"/>
      <c r="K186" s="1091"/>
      <c r="L186" s="1092"/>
      <c r="M186" s="1096">
        <v>46229</v>
      </c>
      <c r="N186" s="766" t="s">
        <v>760</v>
      </c>
      <c r="O186" s="768"/>
      <c r="P186" s="768">
        <v>20</v>
      </c>
      <c r="Q186" s="756"/>
      <c r="R186" s="756"/>
      <c r="S186" s="756"/>
      <c r="T186" s="756"/>
    </row>
    <row r="187" spans="1:20" s="757" customFormat="1" ht="17.399999999999999" customHeight="1" x14ac:dyDescent="0.35">
      <c r="A187" s="686"/>
      <c r="B187" s="667">
        <f t="shared" si="3"/>
        <v>175</v>
      </c>
      <c r="C187" s="672" t="s">
        <v>456</v>
      </c>
      <c r="D187" s="691" t="s">
        <v>669</v>
      </c>
      <c r="E187" s="691" t="s">
        <v>92</v>
      </c>
      <c r="F187" s="350"/>
      <c r="G187" s="731">
        <v>46225</v>
      </c>
      <c r="H187" s="691"/>
      <c r="I187" s="730" t="s">
        <v>549</v>
      </c>
      <c r="J187" s="1091"/>
      <c r="K187" s="1091"/>
      <c r="L187" s="1092"/>
      <c r="M187" s="1096">
        <v>46229</v>
      </c>
      <c r="N187" s="766" t="s">
        <v>935</v>
      </c>
      <c r="O187" s="768"/>
      <c r="P187" s="768">
        <v>20</v>
      </c>
      <c r="Q187" s="756"/>
      <c r="R187" s="756"/>
      <c r="S187" s="756"/>
      <c r="T187" s="756"/>
    </row>
    <row r="188" spans="1:20" s="757" customFormat="1" ht="17.399999999999999" customHeight="1" x14ac:dyDescent="0.35">
      <c r="A188" s="686"/>
      <c r="B188" s="667">
        <f t="shared" si="3"/>
        <v>176</v>
      </c>
      <c r="C188" s="672" t="s">
        <v>378</v>
      </c>
      <c r="D188" s="691" t="s">
        <v>87</v>
      </c>
      <c r="E188" s="691" t="s">
        <v>92</v>
      </c>
      <c r="F188" s="350"/>
      <c r="G188" s="731">
        <v>46229</v>
      </c>
      <c r="H188" s="1095">
        <v>23.27</v>
      </c>
      <c r="I188" s="730" t="s">
        <v>549</v>
      </c>
      <c r="J188" s="1091"/>
      <c r="K188" s="1091"/>
      <c r="L188" s="1092"/>
      <c r="M188" s="1096">
        <v>46230</v>
      </c>
      <c r="N188" s="766" t="s">
        <v>760</v>
      </c>
      <c r="O188" s="768"/>
      <c r="P188" s="768">
        <v>20</v>
      </c>
      <c r="Q188" s="756"/>
      <c r="R188" s="756"/>
      <c r="S188" s="756"/>
      <c r="T188" s="756"/>
    </row>
    <row r="189" spans="1:20" s="757" customFormat="1" ht="17.399999999999999" customHeight="1" x14ac:dyDescent="0.35">
      <c r="A189" s="686"/>
      <c r="B189" s="667">
        <f t="shared" si="3"/>
        <v>177</v>
      </c>
      <c r="C189" s="672" t="s">
        <v>241</v>
      </c>
      <c r="D189" s="691" t="s">
        <v>87</v>
      </c>
      <c r="E189" s="691" t="s">
        <v>92</v>
      </c>
      <c r="F189" s="350"/>
      <c r="G189" s="731">
        <v>46227</v>
      </c>
      <c r="H189" s="1095">
        <v>23.27</v>
      </c>
      <c r="I189" s="730" t="s">
        <v>549</v>
      </c>
      <c r="J189" s="1091"/>
      <c r="K189" s="1091"/>
      <c r="L189" s="1092"/>
      <c r="M189" s="1096">
        <v>46230</v>
      </c>
      <c r="N189" s="766" t="s">
        <v>757</v>
      </c>
      <c r="O189" s="768"/>
      <c r="P189" s="768">
        <v>14</v>
      </c>
      <c r="Q189" s="756"/>
      <c r="R189" s="756"/>
      <c r="S189" s="756"/>
      <c r="T189" s="756"/>
    </row>
    <row r="190" spans="1:20" s="757" customFormat="1" ht="17.399999999999999" customHeight="1" x14ac:dyDescent="0.35">
      <c r="A190" s="686"/>
      <c r="B190" s="667">
        <f t="shared" si="3"/>
        <v>178</v>
      </c>
      <c r="C190" s="672" t="s">
        <v>289</v>
      </c>
      <c r="D190" s="691" t="s">
        <v>109</v>
      </c>
      <c r="E190" s="691" t="s">
        <v>92</v>
      </c>
      <c r="F190" s="350"/>
      <c r="G190" s="731">
        <v>46217</v>
      </c>
      <c r="H190" s="691">
        <v>25.77</v>
      </c>
      <c r="I190" s="730" t="s">
        <v>549</v>
      </c>
      <c r="J190" s="1091"/>
      <c r="K190" s="1091"/>
      <c r="L190" s="1092"/>
      <c r="M190" s="1096">
        <v>46230</v>
      </c>
      <c r="N190" s="766" t="s">
        <v>926</v>
      </c>
      <c r="O190" s="768"/>
      <c r="P190" s="768">
        <v>12</v>
      </c>
      <c r="Q190" s="756"/>
      <c r="R190" s="756"/>
      <c r="S190" s="756"/>
      <c r="T190" s="756"/>
    </row>
    <row r="191" spans="1:20" s="757" customFormat="1" ht="17.399999999999999" customHeight="1" x14ac:dyDescent="0.35">
      <c r="A191" s="686"/>
      <c r="B191" s="667">
        <f t="shared" si="3"/>
        <v>179</v>
      </c>
      <c r="C191" s="672" t="s">
        <v>335</v>
      </c>
      <c r="D191" s="691" t="s">
        <v>109</v>
      </c>
      <c r="E191" s="691" t="s">
        <v>88</v>
      </c>
      <c r="F191" s="350"/>
      <c r="G191" s="731">
        <v>46230</v>
      </c>
      <c r="H191" s="691">
        <v>25.77</v>
      </c>
      <c r="I191" s="730" t="s">
        <v>549</v>
      </c>
      <c r="J191" s="1091"/>
      <c r="K191" s="1091"/>
      <c r="L191" s="1092"/>
      <c r="M191" s="1096">
        <v>46231</v>
      </c>
      <c r="N191" s="766" t="s">
        <v>935</v>
      </c>
      <c r="O191" s="768"/>
      <c r="P191" s="768">
        <v>20</v>
      </c>
      <c r="Q191" s="756"/>
      <c r="R191" s="756"/>
      <c r="S191" s="756"/>
      <c r="T191" s="756"/>
    </row>
    <row r="192" spans="1:20" s="757" customFormat="1" ht="17.399999999999999" customHeight="1" x14ac:dyDescent="0.35">
      <c r="A192" s="686"/>
      <c r="B192" s="667">
        <f t="shared" si="3"/>
        <v>180</v>
      </c>
      <c r="C192" s="672" t="s">
        <v>377</v>
      </c>
      <c r="D192" s="691" t="s">
        <v>87</v>
      </c>
      <c r="E192" s="691" t="s">
        <v>92</v>
      </c>
      <c r="F192" s="350"/>
      <c r="G192" s="731">
        <v>46231</v>
      </c>
      <c r="H192" s="691">
        <v>23.27</v>
      </c>
      <c r="I192" s="730" t="s">
        <v>549</v>
      </c>
      <c r="J192" s="1091"/>
      <c r="K192" s="1091"/>
      <c r="L192" s="1092"/>
      <c r="M192" s="1096">
        <v>46233</v>
      </c>
      <c r="N192" s="766" t="s">
        <v>760</v>
      </c>
      <c r="O192" s="768"/>
      <c r="P192" s="768">
        <v>20</v>
      </c>
      <c r="Q192" s="756"/>
      <c r="R192" s="756"/>
      <c r="S192" s="756"/>
      <c r="T192" s="756"/>
    </row>
    <row r="193" spans="1:91" s="757" customFormat="1" ht="17.399999999999999" customHeight="1" x14ac:dyDescent="0.35">
      <c r="A193" s="686"/>
      <c r="B193" s="667">
        <f t="shared" si="3"/>
        <v>181</v>
      </c>
      <c r="C193" s="672" t="s">
        <v>382</v>
      </c>
      <c r="D193" s="691" t="s">
        <v>87</v>
      </c>
      <c r="E193" s="691" t="s">
        <v>92</v>
      </c>
      <c r="F193" s="350"/>
      <c r="G193" s="731">
        <v>46234</v>
      </c>
      <c r="H193" s="691">
        <v>23.27</v>
      </c>
      <c r="I193" s="730" t="s">
        <v>549</v>
      </c>
      <c r="J193" s="1091"/>
      <c r="K193" s="1091"/>
      <c r="L193" s="1092"/>
      <c r="M193" s="1096">
        <v>46235</v>
      </c>
      <c r="N193" s="766" t="s">
        <v>760</v>
      </c>
      <c r="O193" s="768"/>
      <c r="P193" s="768">
        <v>20</v>
      </c>
      <c r="Q193" s="756"/>
      <c r="R193" s="756"/>
      <c r="S193" s="756"/>
      <c r="T193" s="756"/>
    </row>
    <row r="194" spans="1:91" s="757" customFormat="1" ht="17.399999999999999" customHeight="1" x14ac:dyDescent="0.35">
      <c r="A194" s="686"/>
      <c r="B194" s="667">
        <f t="shared" si="3"/>
        <v>182</v>
      </c>
      <c r="C194" s="672" t="s">
        <v>339</v>
      </c>
      <c r="D194" s="691" t="s">
        <v>95</v>
      </c>
      <c r="E194" s="691"/>
      <c r="F194" s="350"/>
      <c r="G194" s="731">
        <v>46232</v>
      </c>
      <c r="H194" s="691"/>
      <c r="I194" s="730" t="s">
        <v>549</v>
      </c>
      <c r="J194" s="1091"/>
      <c r="K194" s="1091"/>
      <c r="L194" s="1092"/>
      <c r="M194" s="1096">
        <v>46237</v>
      </c>
      <c r="N194" s="766" t="s">
        <v>935</v>
      </c>
      <c r="O194" s="768"/>
      <c r="P194" s="768">
        <v>20</v>
      </c>
      <c r="Q194" s="756"/>
      <c r="R194" s="756"/>
      <c r="S194" s="756"/>
      <c r="T194" s="756"/>
    </row>
    <row r="195" spans="1:91" s="757" customFormat="1" ht="17.399999999999999" customHeight="1" x14ac:dyDescent="0.35">
      <c r="A195" s="686"/>
      <c r="B195" s="667">
        <f t="shared" si="3"/>
        <v>183</v>
      </c>
      <c r="C195" s="672" t="s">
        <v>381</v>
      </c>
      <c r="D195" s="691" t="s">
        <v>87</v>
      </c>
      <c r="E195" s="691" t="s">
        <v>88</v>
      </c>
      <c r="F195" s="350"/>
      <c r="G195" s="731">
        <v>46235</v>
      </c>
      <c r="H195" s="703">
        <v>22.4</v>
      </c>
      <c r="I195" s="730" t="s">
        <v>549</v>
      </c>
      <c r="J195" s="1091"/>
      <c r="K195" s="1091"/>
      <c r="L195" s="1092"/>
      <c r="M195" s="1096">
        <v>46237</v>
      </c>
      <c r="N195" s="766" t="s">
        <v>760</v>
      </c>
      <c r="O195" s="768"/>
      <c r="P195" s="768">
        <v>20</v>
      </c>
      <c r="Q195" s="756"/>
      <c r="R195" s="756"/>
      <c r="S195" s="756"/>
      <c r="T195" s="756"/>
    </row>
    <row r="196" spans="1:91" s="757" customFormat="1" ht="17.399999999999999" customHeight="1" x14ac:dyDescent="0.35">
      <c r="A196" s="686"/>
      <c r="B196" s="667">
        <f t="shared" si="3"/>
        <v>184</v>
      </c>
      <c r="C196" s="672" t="s">
        <v>374</v>
      </c>
      <c r="D196" s="691" t="s">
        <v>91</v>
      </c>
      <c r="E196" s="691" t="s">
        <v>92</v>
      </c>
      <c r="F196" s="350"/>
      <c r="G196" s="731">
        <v>46238</v>
      </c>
      <c r="H196" s="776">
        <v>26.43</v>
      </c>
      <c r="I196" s="730" t="s">
        <v>549</v>
      </c>
      <c r="J196" s="1091"/>
      <c r="K196" s="1091"/>
      <c r="L196" s="1092"/>
      <c r="M196" s="1096">
        <v>46240</v>
      </c>
      <c r="N196" s="766" t="s">
        <v>760</v>
      </c>
      <c r="O196" s="768"/>
      <c r="P196" s="768">
        <v>20</v>
      </c>
      <c r="Q196" s="756"/>
      <c r="R196" s="756"/>
      <c r="S196" s="756"/>
      <c r="T196" s="756"/>
    </row>
    <row r="197" spans="1:91" s="757" customFormat="1" ht="17.399999999999999" customHeight="1" x14ac:dyDescent="0.35">
      <c r="A197" s="686"/>
      <c r="B197" s="667">
        <f t="shared" si="3"/>
        <v>185</v>
      </c>
      <c r="C197" s="672" t="s">
        <v>619</v>
      </c>
      <c r="D197" s="691" t="s">
        <v>87</v>
      </c>
      <c r="E197" s="691" t="s">
        <v>664</v>
      </c>
      <c r="F197" s="350"/>
      <c r="G197" s="731">
        <v>46229</v>
      </c>
      <c r="H197" s="1093">
        <v>34.299999999999997</v>
      </c>
      <c r="I197" s="730" t="s">
        <v>549</v>
      </c>
      <c r="J197" s="1091"/>
      <c r="K197" s="1091"/>
      <c r="L197" s="1092"/>
      <c r="M197" s="1096">
        <v>46242</v>
      </c>
      <c r="N197" s="766" t="s">
        <v>900</v>
      </c>
      <c r="O197" s="768"/>
      <c r="P197" s="768">
        <v>12</v>
      </c>
      <c r="Q197" s="756"/>
      <c r="R197" s="756"/>
      <c r="S197" s="756"/>
      <c r="T197" s="756"/>
    </row>
    <row r="198" spans="1:91" s="757" customFormat="1" ht="17.399999999999999" customHeight="1" x14ac:dyDescent="0.35">
      <c r="A198" s="686"/>
      <c r="B198" s="667">
        <f t="shared" si="3"/>
        <v>186</v>
      </c>
      <c r="C198" s="674" t="s">
        <v>375</v>
      </c>
      <c r="D198" s="691" t="s">
        <v>87</v>
      </c>
      <c r="E198" s="1097" t="s">
        <v>92</v>
      </c>
      <c r="F198" s="350"/>
      <c r="G198" s="731">
        <v>46210</v>
      </c>
      <c r="H198" s="1095">
        <v>23.27</v>
      </c>
      <c r="I198" s="730" t="s">
        <v>549</v>
      </c>
      <c r="J198" s="1091"/>
      <c r="K198" s="1091"/>
      <c r="L198" s="1092"/>
      <c r="M198" s="1096">
        <v>46243</v>
      </c>
      <c r="N198" s="766" t="s">
        <v>760</v>
      </c>
      <c r="O198" s="768"/>
      <c r="P198" s="768">
        <v>20</v>
      </c>
      <c r="Q198" s="756"/>
      <c r="R198" s="756"/>
      <c r="S198" s="756"/>
      <c r="T198" s="756"/>
    </row>
    <row r="199" spans="1:91" s="757" customFormat="1" ht="17.399999999999999" customHeight="1" x14ac:dyDescent="0.35">
      <c r="A199" s="686"/>
      <c r="B199" s="1228">
        <f t="shared" si="3"/>
        <v>187</v>
      </c>
      <c r="C199" s="672" t="s">
        <v>291</v>
      </c>
      <c r="D199" s="691" t="s">
        <v>109</v>
      </c>
      <c r="E199" s="691" t="s">
        <v>92</v>
      </c>
      <c r="F199" s="350"/>
      <c r="G199" s="731">
        <v>46231</v>
      </c>
      <c r="H199" s="691">
        <v>25.77</v>
      </c>
      <c r="I199" s="730" t="s">
        <v>549</v>
      </c>
      <c r="J199" s="1091"/>
      <c r="K199" s="1091"/>
      <c r="L199" s="1092"/>
      <c r="M199" s="1096">
        <v>46243</v>
      </c>
      <c r="N199" s="766" t="s">
        <v>900</v>
      </c>
      <c r="O199" s="768"/>
      <c r="P199" s="768">
        <v>12</v>
      </c>
      <c r="Q199" s="756"/>
      <c r="R199" s="756"/>
      <c r="S199" s="756"/>
      <c r="T199" s="756"/>
    </row>
    <row r="200" spans="1:91" s="719" customFormat="1" ht="17.399999999999999" x14ac:dyDescent="0.35">
      <c r="A200" s="666"/>
      <c r="B200" s="841"/>
      <c r="C200" s="1220"/>
      <c r="D200" s="841"/>
      <c r="E200" s="1227"/>
      <c r="F200" s="1221"/>
      <c r="G200" s="843"/>
      <c r="H200" s="838"/>
      <c r="I200" s="1222"/>
      <c r="J200" s="1222"/>
      <c r="K200" s="1222"/>
      <c r="L200" s="1222"/>
      <c r="M200" s="1223"/>
      <c r="N200" s="1224"/>
      <c r="O200" s="1225"/>
      <c r="P200" s="1226"/>
      <c r="Q200" s="718"/>
      <c r="R200" s="718"/>
      <c r="S200" s="718"/>
      <c r="T200" s="718"/>
    </row>
    <row r="201" spans="1:91" ht="14.4" thickBot="1" x14ac:dyDescent="0.35"/>
    <row r="202" spans="1:91" ht="15" customHeight="1" thickBot="1" x14ac:dyDescent="0.35">
      <c r="B202" s="356" t="s">
        <v>97</v>
      </c>
      <c r="C202" s="305"/>
      <c r="D202" s="305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286"/>
      <c r="Q202" s="1"/>
      <c r="R202" s="1"/>
      <c r="S202" s="1"/>
      <c r="T202" s="1"/>
    </row>
    <row r="203" spans="1:91" ht="13.8" x14ac:dyDescent="0.3">
      <c r="B203" s="34" t="s">
        <v>98</v>
      </c>
      <c r="C203" s="34" t="s">
        <v>74</v>
      </c>
      <c r="D203" s="34" t="s">
        <v>75</v>
      </c>
      <c r="E203" s="34" t="s">
        <v>76</v>
      </c>
      <c r="F203" s="34" t="s">
        <v>77</v>
      </c>
      <c r="G203" s="34" t="s">
        <v>78</v>
      </c>
      <c r="H203" s="1295" t="s">
        <v>99</v>
      </c>
      <c r="I203" s="1296"/>
      <c r="J203" s="1296"/>
      <c r="K203" s="1297"/>
      <c r="L203" s="34" t="s">
        <v>81</v>
      </c>
      <c r="M203" s="34" t="s">
        <v>82</v>
      </c>
      <c r="N203" s="38" t="s">
        <v>100</v>
      </c>
      <c r="O203" s="283" t="s">
        <v>731</v>
      </c>
      <c r="P203" s="304"/>
      <c r="Q203" s="278"/>
      <c r="R203" s="278"/>
      <c r="S203" s="278"/>
      <c r="T203" s="278"/>
    </row>
    <row r="204" spans="1:91" s="288" customFormat="1" ht="17.55" customHeight="1" x14ac:dyDescent="0.35">
      <c r="A204" s="284"/>
      <c r="B204" s="800">
        <v>1</v>
      </c>
      <c r="C204" s="801" t="s">
        <v>86</v>
      </c>
      <c r="D204" s="802" t="s">
        <v>87</v>
      </c>
      <c r="E204" s="802" t="s">
        <v>88</v>
      </c>
      <c r="F204" s="803">
        <v>45848</v>
      </c>
      <c r="G204" s="804">
        <v>45908</v>
      </c>
      <c r="H204" s="1282" t="s">
        <v>548</v>
      </c>
      <c r="I204" s="1283"/>
      <c r="J204" s="1283"/>
      <c r="K204" s="1284"/>
      <c r="L204" s="804">
        <v>45908</v>
      </c>
      <c r="M204" s="805" t="s">
        <v>89</v>
      </c>
      <c r="N204" s="806"/>
      <c r="O204" s="806"/>
      <c r="P204" s="672"/>
      <c r="Q204" s="278"/>
      <c r="R204" s="278"/>
      <c r="S204" s="278"/>
      <c r="T204" s="278"/>
    </row>
    <row r="205" spans="1:91" s="352" customFormat="1" ht="17.55" customHeight="1" x14ac:dyDescent="0.35">
      <c r="A205" s="284"/>
      <c r="B205" s="800">
        <f>B204+1</f>
        <v>2</v>
      </c>
      <c r="C205" s="807" t="s">
        <v>96</v>
      </c>
      <c r="D205" s="808" t="s">
        <v>87</v>
      </c>
      <c r="E205" s="809" t="s">
        <v>542</v>
      </c>
      <c r="F205" s="810">
        <v>45898</v>
      </c>
      <c r="G205" s="811">
        <v>45924</v>
      </c>
      <c r="H205" s="1292" t="s">
        <v>548</v>
      </c>
      <c r="I205" s="1293"/>
      <c r="J205" s="1293"/>
      <c r="K205" s="1294"/>
      <c r="L205" s="811">
        <v>45924</v>
      </c>
      <c r="M205" s="812" t="s">
        <v>89</v>
      </c>
      <c r="N205" s="813"/>
      <c r="O205" s="814"/>
      <c r="P205" s="672"/>
      <c r="Q205" s="278"/>
      <c r="R205" s="278"/>
      <c r="S205" s="278"/>
      <c r="T205" s="278"/>
      <c r="U205" s="288"/>
      <c r="V205" s="288"/>
      <c r="W205" s="288"/>
      <c r="X205" s="288"/>
      <c r="Y205" s="288"/>
      <c r="Z205" s="288"/>
      <c r="AA205" s="288"/>
      <c r="AB205" s="288"/>
      <c r="AC205" s="288"/>
      <c r="AD205" s="288"/>
      <c r="AE205" s="288"/>
      <c r="AF205" s="288"/>
      <c r="AG205" s="288"/>
      <c r="AH205" s="288"/>
      <c r="AI205" s="288"/>
      <c r="AJ205" s="288"/>
      <c r="AK205" s="288"/>
      <c r="AL205" s="288"/>
      <c r="AM205" s="288"/>
      <c r="AN205" s="288"/>
      <c r="AO205" s="288"/>
      <c r="AP205" s="288"/>
      <c r="AQ205" s="288"/>
      <c r="AR205" s="288"/>
      <c r="AS205" s="288"/>
      <c r="AT205" s="288"/>
      <c r="AU205" s="288"/>
      <c r="AV205" s="288"/>
      <c r="AW205" s="288"/>
      <c r="AX205" s="288"/>
      <c r="AY205" s="288"/>
      <c r="AZ205" s="288"/>
      <c r="BA205" s="288"/>
      <c r="BB205" s="288"/>
      <c r="BC205" s="288"/>
      <c r="BD205" s="288"/>
      <c r="BE205" s="288"/>
      <c r="BF205" s="288"/>
      <c r="BG205" s="288"/>
      <c r="BH205" s="288"/>
      <c r="BI205" s="288"/>
      <c r="BJ205" s="288"/>
      <c r="BK205" s="288"/>
      <c r="BL205" s="288"/>
      <c r="BM205" s="288"/>
      <c r="BN205" s="288"/>
      <c r="BO205" s="288"/>
      <c r="BP205" s="288"/>
      <c r="BQ205" s="288"/>
      <c r="BR205" s="288"/>
      <c r="BS205" s="288"/>
      <c r="BT205" s="288"/>
      <c r="BU205" s="288"/>
      <c r="BV205" s="288"/>
      <c r="BW205" s="288"/>
      <c r="BX205" s="288"/>
      <c r="BY205" s="288"/>
      <c r="BZ205" s="288"/>
      <c r="CA205" s="288"/>
      <c r="CB205" s="288"/>
      <c r="CC205" s="288"/>
      <c r="CD205" s="288"/>
      <c r="CE205" s="288"/>
      <c r="CF205" s="288"/>
      <c r="CG205" s="288"/>
      <c r="CH205" s="288"/>
      <c r="CI205" s="288"/>
      <c r="CJ205" s="288"/>
      <c r="CK205" s="288"/>
      <c r="CL205" s="288"/>
      <c r="CM205" s="355"/>
    </row>
    <row r="206" spans="1:91" s="288" customFormat="1" ht="17.55" customHeight="1" x14ac:dyDescent="0.35">
      <c r="A206" s="284"/>
      <c r="B206" s="800">
        <f t="shared" ref="B206:B271" si="4">B205+1</f>
        <v>3</v>
      </c>
      <c r="C206" s="807" t="s">
        <v>273</v>
      </c>
      <c r="D206" s="809" t="s">
        <v>95</v>
      </c>
      <c r="E206" s="809" t="s">
        <v>542</v>
      </c>
      <c r="F206" s="810">
        <v>45933</v>
      </c>
      <c r="G206" s="811">
        <v>45949</v>
      </c>
      <c r="H206" s="1286" t="s">
        <v>548</v>
      </c>
      <c r="I206" s="1287"/>
      <c r="J206" s="1287"/>
      <c r="K206" s="1288"/>
      <c r="L206" s="811">
        <v>45949</v>
      </c>
      <c r="M206" s="711" t="s">
        <v>673</v>
      </c>
      <c r="N206" s="813"/>
      <c r="O206" s="813"/>
      <c r="P206" s="672"/>
      <c r="Q206" s="278"/>
      <c r="R206" s="278"/>
      <c r="S206" s="278"/>
      <c r="T206" s="278"/>
    </row>
    <row r="207" spans="1:91" s="288" customFormat="1" ht="17.55" customHeight="1" x14ac:dyDescent="0.35">
      <c r="A207" s="284"/>
      <c r="B207" s="800">
        <f t="shared" si="4"/>
        <v>4</v>
      </c>
      <c r="C207" s="807" t="s">
        <v>318</v>
      </c>
      <c r="D207" s="809" t="s">
        <v>87</v>
      </c>
      <c r="E207" s="809" t="s">
        <v>542</v>
      </c>
      <c r="F207" s="811"/>
      <c r="G207" s="811">
        <v>45992</v>
      </c>
      <c r="H207" s="1286" t="s">
        <v>548</v>
      </c>
      <c r="I207" s="1287"/>
      <c r="J207" s="1287"/>
      <c r="K207" s="1288"/>
      <c r="L207" s="811">
        <v>45992</v>
      </c>
      <c r="M207" s="711" t="s">
        <v>89</v>
      </c>
      <c r="N207" s="813"/>
      <c r="O207" s="813"/>
      <c r="P207" s="672"/>
      <c r="Q207" s="278"/>
      <c r="R207" s="278"/>
      <c r="S207" s="278"/>
      <c r="T207" s="278"/>
    </row>
    <row r="208" spans="1:91" s="288" customFormat="1" ht="17.55" customHeight="1" x14ac:dyDescent="0.35">
      <c r="A208" s="284"/>
      <c r="B208" s="800">
        <f t="shared" si="4"/>
        <v>5</v>
      </c>
      <c r="C208" s="807" t="s">
        <v>320</v>
      </c>
      <c r="D208" s="809" t="s">
        <v>87</v>
      </c>
      <c r="E208" s="809" t="s">
        <v>542</v>
      </c>
      <c r="F208" s="811"/>
      <c r="G208" s="811">
        <v>46010</v>
      </c>
      <c r="H208" s="1286" t="s">
        <v>548</v>
      </c>
      <c r="I208" s="1287"/>
      <c r="J208" s="1287"/>
      <c r="K208" s="1288"/>
      <c r="L208" s="811">
        <v>46010</v>
      </c>
      <c r="M208" s="711" t="s">
        <v>89</v>
      </c>
      <c r="N208" s="813"/>
      <c r="O208" s="813"/>
      <c r="P208" s="672"/>
      <c r="Q208" s="278"/>
      <c r="R208" s="278"/>
      <c r="S208" s="278"/>
      <c r="T208" s="278"/>
    </row>
    <row r="209" spans="1:20" s="288" customFormat="1" ht="17.55" customHeight="1" x14ac:dyDescent="0.35">
      <c r="A209" s="284"/>
      <c r="B209" s="800">
        <f t="shared" si="4"/>
        <v>6</v>
      </c>
      <c r="C209" s="815" t="s">
        <v>324</v>
      </c>
      <c r="D209" s="809" t="s">
        <v>87</v>
      </c>
      <c r="E209" s="672" t="s">
        <v>88</v>
      </c>
      <c r="F209" s="811"/>
      <c r="G209" s="811">
        <v>46011</v>
      </c>
      <c r="H209" s="1286" t="s">
        <v>548</v>
      </c>
      <c r="I209" s="1287"/>
      <c r="J209" s="1287"/>
      <c r="K209" s="1288"/>
      <c r="L209" s="811">
        <v>46011</v>
      </c>
      <c r="M209" s="711" t="s">
        <v>89</v>
      </c>
      <c r="N209" s="672"/>
      <c r="O209" s="807"/>
      <c r="P209" s="807"/>
      <c r="Q209" s="278"/>
      <c r="R209" s="278"/>
      <c r="S209" s="278"/>
      <c r="T209" s="278"/>
    </row>
    <row r="210" spans="1:20" s="288" customFormat="1" ht="17.55" customHeight="1" x14ac:dyDescent="0.35">
      <c r="A210" s="284"/>
      <c r="B210" s="800">
        <f t="shared" si="4"/>
        <v>7</v>
      </c>
      <c r="C210" s="816" t="s">
        <v>255</v>
      </c>
      <c r="D210" s="809" t="s">
        <v>87</v>
      </c>
      <c r="E210" s="813" t="s">
        <v>92</v>
      </c>
      <c r="F210" s="817"/>
      <c r="G210" s="817">
        <v>46016</v>
      </c>
      <c r="H210" s="1286" t="s">
        <v>548</v>
      </c>
      <c r="I210" s="1287"/>
      <c r="J210" s="1287"/>
      <c r="K210" s="1288"/>
      <c r="L210" s="817">
        <v>46016</v>
      </c>
      <c r="M210" s="711" t="s">
        <v>673</v>
      </c>
      <c r="N210" s="818"/>
      <c r="O210" s="818"/>
      <c r="P210" s="818"/>
      <c r="Q210" s="278"/>
      <c r="R210" s="278"/>
      <c r="S210" s="278"/>
      <c r="T210" s="278"/>
    </row>
    <row r="211" spans="1:20" s="288" customFormat="1" ht="17.55" customHeight="1" x14ac:dyDescent="0.35">
      <c r="A211" s="284"/>
      <c r="B211" s="800">
        <f t="shared" si="4"/>
        <v>8</v>
      </c>
      <c r="C211" s="807" t="s">
        <v>332</v>
      </c>
      <c r="D211" s="809" t="s">
        <v>91</v>
      </c>
      <c r="E211" s="813" t="s">
        <v>664</v>
      </c>
      <c r="F211" s="817"/>
      <c r="G211" s="817">
        <v>46020</v>
      </c>
      <c r="H211" s="1289" t="s">
        <v>548</v>
      </c>
      <c r="I211" s="1290"/>
      <c r="J211" s="1290"/>
      <c r="K211" s="1291"/>
      <c r="L211" s="817">
        <v>46020</v>
      </c>
      <c r="M211" s="805" t="s">
        <v>89</v>
      </c>
      <c r="N211" s="818"/>
      <c r="O211" s="818"/>
      <c r="P211" s="818"/>
      <c r="Q211" s="278"/>
      <c r="R211" s="278"/>
      <c r="S211" s="278"/>
      <c r="T211" s="278"/>
    </row>
    <row r="212" spans="1:20" s="288" customFormat="1" ht="17.55" customHeight="1" x14ac:dyDescent="0.35">
      <c r="A212" s="284"/>
      <c r="B212" s="800">
        <f t="shared" si="4"/>
        <v>9</v>
      </c>
      <c r="C212" s="819" t="s">
        <v>94</v>
      </c>
      <c r="D212" s="820" t="s">
        <v>95</v>
      </c>
      <c r="E212" s="821" t="s">
        <v>541</v>
      </c>
      <c r="F212" s="822"/>
      <c r="G212" s="822">
        <v>46021</v>
      </c>
      <c r="H212" s="1289" t="s">
        <v>548</v>
      </c>
      <c r="I212" s="1290"/>
      <c r="J212" s="1290"/>
      <c r="K212" s="1291"/>
      <c r="L212" s="822">
        <v>46021</v>
      </c>
      <c r="M212" s="805" t="s">
        <v>89</v>
      </c>
      <c r="N212" s="823"/>
      <c r="O212" s="823"/>
      <c r="P212" s="823"/>
      <c r="Q212" s="278"/>
      <c r="R212" s="278"/>
      <c r="S212" s="278"/>
      <c r="T212" s="278"/>
    </row>
    <row r="213" spans="1:20" s="288" customFormat="1" ht="17.55" customHeight="1" x14ac:dyDescent="0.35">
      <c r="A213" s="284"/>
      <c r="B213" s="800">
        <f t="shared" si="4"/>
        <v>10</v>
      </c>
      <c r="C213" s="807" t="s">
        <v>396</v>
      </c>
      <c r="D213" s="809" t="s">
        <v>87</v>
      </c>
      <c r="E213" s="813" t="s">
        <v>542</v>
      </c>
      <c r="F213" s="817"/>
      <c r="G213" s="817">
        <v>46023</v>
      </c>
      <c r="H213" s="1286" t="s">
        <v>548</v>
      </c>
      <c r="I213" s="1287"/>
      <c r="J213" s="1287"/>
      <c r="K213" s="1288"/>
      <c r="L213" s="817">
        <v>46023</v>
      </c>
      <c r="M213" s="711" t="s">
        <v>662</v>
      </c>
      <c r="N213" s="818"/>
      <c r="O213" s="818"/>
      <c r="P213" s="818"/>
      <c r="Q213" s="278"/>
      <c r="R213" s="278"/>
      <c r="S213" s="278"/>
      <c r="T213" s="278"/>
    </row>
    <row r="214" spans="1:20" s="288" customFormat="1" ht="17.55" customHeight="1" x14ac:dyDescent="0.35">
      <c r="A214" s="284"/>
      <c r="B214" s="800">
        <f t="shared" si="4"/>
        <v>11</v>
      </c>
      <c r="C214" s="807" t="s">
        <v>395</v>
      </c>
      <c r="D214" s="809" t="s">
        <v>87</v>
      </c>
      <c r="E214" s="813" t="s">
        <v>92</v>
      </c>
      <c r="F214" s="817"/>
      <c r="G214" s="817">
        <v>46028</v>
      </c>
      <c r="H214" s="1286" t="s">
        <v>548</v>
      </c>
      <c r="I214" s="1287"/>
      <c r="J214" s="1287"/>
      <c r="K214" s="1288"/>
      <c r="L214" s="817">
        <v>46028</v>
      </c>
      <c r="M214" s="711" t="s">
        <v>662</v>
      </c>
      <c r="N214" s="818"/>
      <c r="O214" s="818"/>
      <c r="P214" s="818"/>
      <c r="Q214" s="278"/>
      <c r="R214" s="278"/>
      <c r="S214" s="278"/>
      <c r="T214" s="278"/>
    </row>
    <row r="215" spans="1:20" s="288" customFormat="1" ht="17.55" customHeight="1" x14ac:dyDescent="0.35">
      <c r="A215" s="284"/>
      <c r="B215" s="800">
        <f t="shared" si="4"/>
        <v>12</v>
      </c>
      <c r="C215" s="807" t="s">
        <v>397</v>
      </c>
      <c r="D215" s="809" t="s">
        <v>87</v>
      </c>
      <c r="E215" s="813" t="s">
        <v>92</v>
      </c>
      <c r="F215" s="817"/>
      <c r="G215" s="817">
        <v>46028</v>
      </c>
      <c r="H215" s="1286" t="s">
        <v>548</v>
      </c>
      <c r="I215" s="1287"/>
      <c r="J215" s="1287"/>
      <c r="K215" s="1288"/>
      <c r="L215" s="817">
        <v>46028</v>
      </c>
      <c r="M215" s="711" t="s">
        <v>662</v>
      </c>
      <c r="N215" s="818"/>
      <c r="O215" s="818"/>
      <c r="P215" s="818"/>
      <c r="Q215" s="278"/>
      <c r="R215" s="278"/>
      <c r="S215" s="278"/>
      <c r="T215" s="278"/>
    </row>
    <row r="216" spans="1:20" s="288" customFormat="1" ht="17.55" customHeight="1" x14ac:dyDescent="0.35">
      <c r="A216" s="284"/>
      <c r="B216" s="800">
        <f t="shared" si="4"/>
        <v>13</v>
      </c>
      <c r="C216" s="807" t="s">
        <v>398</v>
      </c>
      <c r="D216" s="809" t="s">
        <v>87</v>
      </c>
      <c r="E216" s="813" t="s">
        <v>92</v>
      </c>
      <c r="F216" s="817"/>
      <c r="G216" s="817">
        <v>46028</v>
      </c>
      <c r="H216" s="1242" t="s">
        <v>548</v>
      </c>
      <c r="I216" s="1243"/>
      <c r="J216" s="1243"/>
      <c r="K216" s="1243"/>
      <c r="L216" s="817">
        <v>46028</v>
      </c>
      <c r="M216" s="711" t="s">
        <v>662</v>
      </c>
      <c r="N216" s="719"/>
      <c r="O216" s="818"/>
      <c r="P216" s="818"/>
      <c r="Q216" s="278"/>
      <c r="R216" s="278"/>
      <c r="S216" s="278"/>
      <c r="T216" s="278"/>
    </row>
    <row r="217" spans="1:20" s="288" customFormat="1" ht="17.55" customHeight="1" x14ac:dyDescent="0.35">
      <c r="A217" s="284"/>
      <c r="B217" s="800">
        <f t="shared" si="4"/>
        <v>14</v>
      </c>
      <c r="C217" s="807" t="s">
        <v>393</v>
      </c>
      <c r="D217" s="809" t="s">
        <v>87</v>
      </c>
      <c r="E217" s="813" t="s">
        <v>92</v>
      </c>
      <c r="F217" s="817"/>
      <c r="G217" s="817">
        <v>46029</v>
      </c>
      <c r="H217" s="1289" t="s">
        <v>548</v>
      </c>
      <c r="I217" s="1290"/>
      <c r="J217" s="1290"/>
      <c r="K217" s="1291"/>
      <c r="L217" s="817">
        <v>46029</v>
      </c>
      <c r="M217" s="711" t="s">
        <v>662</v>
      </c>
      <c r="N217" s="818"/>
      <c r="O217" s="818"/>
      <c r="P217" s="818"/>
      <c r="Q217" s="278"/>
      <c r="R217" s="278"/>
      <c r="S217" s="278"/>
      <c r="T217" s="278"/>
    </row>
    <row r="218" spans="1:20" s="288" customFormat="1" ht="17.55" customHeight="1" x14ac:dyDescent="0.35">
      <c r="A218" s="284"/>
      <c r="B218" s="800">
        <f t="shared" si="4"/>
        <v>15</v>
      </c>
      <c r="C218" s="807" t="s">
        <v>394</v>
      </c>
      <c r="D218" s="809" t="s">
        <v>87</v>
      </c>
      <c r="E218" s="813" t="s">
        <v>542</v>
      </c>
      <c r="F218" s="817"/>
      <c r="G218" s="817">
        <v>46029</v>
      </c>
      <c r="H218" s="1286" t="s">
        <v>548</v>
      </c>
      <c r="I218" s="1287"/>
      <c r="J218" s="1287"/>
      <c r="K218" s="1288"/>
      <c r="L218" s="817">
        <v>46029</v>
      </c>
      <c r="M218" s="711" t="s">
        <v>662</v>
      </c>
      <c r="N218" s="818"/>
      <c r="O218" s="818"/>
      <c r="P218" s="818"/>
      <c r="Q218" s="278"/>
      <c r="R218" s="278"/>
      <c r="S218" s="278"/>
      <c r="T218" s="278"/>
    </row>
    <row r="219" spans="1:20" s="288" customFormat="1" ht="17.55" customHeight="1" x14ac:dyDescent="0.35">
      <c r="A219" s="284"/>
      <c r="B219" s="800">
        <f t="shared" si="4"/>
        <v>16</v>
      </c>
      <c r="C219" s="807" t="s">
        <v>313</v>
      </c>
      <c r="D219" s="809" t="s">
        <v>95</v>
      </c>
      <c r="E219" s="813" t="s">
        <v>664</v>
      </c>
      <c r="F219" s="817"/>
      <c r="G219" s="817">
        <v>46033</v>
      </c>
      <c r="H219" s="1242" t="s">
        <v>548</v>
      </c>
      <c r="I219" s="1243"/>
      <c r="J219" s="1243"/>
      <c r="K219" s="1243"/>
      <c r="L219" s="817">
        <v>46033</v>
      </c>
      <c r="M219" s="711" t="s">
        <v>674</v>
      </c>
      <c r="N219" s="818"/>
      <c r="O219" s="818"/>
      <c r="P219" s="818"/>
      <c r="Q219" s="278"/>
      <c r="R219" s="278"/>
      <c r="S219" s="278"/>
      <c r="T219" s="278"/>
    </row>
    <row r="220" spans="1:20" s="288" customFormat="1" ht="17.55" customHeight="1" x14ac:dyDescent="0.35">
      <c r="A220" s="284"/>
      <c r="B220" s="800">
        <f t="shared" si="4"/>
        <v>17</v>
      </c>
      <c r="C220" s="807" t="s">
        <v>314</v>
      </c>
      <c r="D220" s="809" t="s">
        <v>87</v>
      </c>
      <c r="E220" s="813" t="s">
        <v>88</v>
      </c>
      <c r="F220" s="817"/>
      <c r="G220" s="817">
        <v>46033</v>
      </c>
      <c r="H220" s="1242" t="s">
        <v>548</v>
      </c>
      <c r="I220" s="1243"/>
      <c r="J220" s="1243"/>
      <c r="K220" s="1243"/>
      <c r="L220" s="817">
        <v>46033</v>
      </c>
      <c r="M220" s="711" t="s">
        <v>674</v>
      </c>
      <c r="N220" s="818"/>
      <c r="O220" s="818"/>
      <c r="P220" s="818"/>
      <c r="Q220" s="278"/>
      <c r="R220" s="278"/>
      <c r="S220" s="278"/>
      <c r="T220" s="278"/>
    </row>
    <row r="221" spans="1:20" s="288" customFormat="1" ht="17.55" customHeight="1" x14ac:dyDescent="0.35">
      <c r="A221" s="284"/>
      <c r="B221" s="800">
        <f t="shared" si="4"/>
        <v>18</v>
      </c>
      <c r="C221" s="816" t="s">
        <v>254</v>
      </c>
      <c r="D221" s="809" t="s">
        <v>91</v>
      </c>
      <c r="E221" s="813" t="s">
        <v>542</v>
      </c>
      <c r="F221" s="817"/>
      <c r="G221" s="817">
        <v>46037</v>
      </c>
      <c r="H221" s="1242" t="s">
        <v>548</v>
      </c>
      <c r="I221" s="1243"/>
      <c r="J221" s="1243"/>
      <c r="K221" s="1243"/>
      <c r="L221" s="817">
        <v>46037</v>
      </c>
      <c r="M221" s="711" t="s">
        <v>673</v>
      </c>
      <c r="N221" s="818"/>
      <c r="O221" s="818"/>
      <c r="P221" s="818"/>
      <c r="Q221" s="278"/>
      <c r="R221" s="278"/>
      <c r="S221" s="278"/>
      <c r="T221" s="278"/>
    </row>
    <row r="222" spans="1:20" s="288" customFormat="1" ht="17.55" customHeight="1" x14ac:dyDescent="0.35">
      <c r="A222" s="284"/>
      <c r="B222" s="800">
        <f t="shared" si="4"/>
        <v>19</v>
      </c>
      <c r="C222" s="816" t="s">
        <v>256</v>
      </c>
      <c r="D222" s="809" t="s">
        <v>91</v>
      </c>
      <c r="E222" s="813" t="s">
        <v>664</v>
      </c>
      <c r="F222" s="817"/>
      <c r="G222" s="817">
        <v>46037</v>
      </c>
      <c r="H222" s="1242" t="s">
        <v>548</v>
      </c>
      <c r="I222" s="1243"/>
      <c r="J222" s="1243"/>
      <c r="K222" s="1243"/>
      <c r="L222" s="817">
        <v>46037</v>
      </c>
      <c r="M222" s="711" t="s">
        <v>673</v>
      </c>
      <c r="N222" s="818"/>
      <c r="O222" s="818"/>
      <c r="P222" s="818"/>
      <c r="Q222" s="278"/>
      <c r="R222" s="278"/>
      <c r="S222" s="278"/>
      <c r="T222" s="278"/>
    </row>
    <row r="223" spans="1:20" s="288" customFormat="1" ht="17.55" customHeight="1" x14ac:dyDescent="0.35">
      <c r="A223" s="284"/>
      <c r="B223" s="800">
        <f t="shared" si="4"/>
        <v>20</v>
      </c>
      <c r="C223" s="816" t="s">
        <v>266</v>
      </c>
      <c r="D223" s="809" t="s">
        <v>87</v>
      </c>
      <c r="E223" s="813" t="s">
        <v>542</v>
      </c>
      <c r="F223" s="817"/>
      <c r="G223" s="817">
        <v>46038</v>
      </c>
      <c r="H223" s="1242" t="s">
        <v>548</v>
      </c>
      <c r="I223" s="1243"/>
      <c r="J223" s="1243"/>
      <c r="K223" s="1243"/>
      <c r="L223" s="817">
        <v>46038</v>
      </c>
      <c r="M223" s="711" t="s">
        <v>673</v>
      </c>
      <c r="N223" s="818"/>
      <c r="O223" s="818"/>
      <c r="P223" s="818"/>
      <c r="Q223" s="278"/>
      <c r="R223" s="278"/>
      <c r="S223" s="278"/>
      <c r="T223" s="278"/>
    </row>
    <row r="224" spans="1:20" s="288" customFormat="1" ht="17.55" customHeight="1" x14ac:dyDescent="0.35">
      <c r="A224" s="284"/>
      <c r="B224" s="800">
        <f t="shared" si="4"/>
        <v>21</v>
      </c>
      <c r="C224" s="816" t="s">
        <v>267</v>
      </c>
      <c r="D224" s="809" t="s">
        <v>87</v>
      </c>
      <c r="E224" s="813" t="s">
        <v>542</v>
      </c>
      <c r="F224" s="817"/>
      <c r="G224" s="817">
        <v>46038</v>
      </c>
      <c r="H224" s="1242" t="s">
        <v>548</v>
      </c>
      <c r="I224" s="1243"/>
      <c r="J224" s="1243"/>
      <c r="K224" s="1243"/>
      <c r="L224" s="817">
        <v>46038</v>
      </c>
      <c r="M224" s="711" t="s">
        <v>673</v>
      </c>
      <c r="N224" s="818"/>
      <c r="O224" s="818"/>
      <c r="P224" s="818"/>
      <c r="Q224" s="278"/>
      <c r="R224" s="278"/>
      <c r="S224" s="278"/>
      <c r="T224" s="278"/>
    </row>
    <row r="225" spans="1:20" s="288" customFormat="1" ht="17.55" customHeight="1" x14ac:dyDescent="0.35">
      <c r="A225" s="284"/>
      <c r="B225" s="800">
        <f t="shared" si="4"/>
        <v>22</v>
      </c>
      <c r="C225" s="816" t="s">
        <v>259</v>
      </c>
      <c r="D225" s="809" t="s">
        <v>558</v>
      </c>
      <c r="E225" s="813" t="s">
        <v>542</v>
      </c>
      <c r="F225" s="817"/>
      <c r="G225" s="817">
        <v>46040</v>
      </c>
      <c r="H225" s="1242" t="s">
        <v>548</v>
      </c>
      <c r="I225" s="1243"/>
      <c r="J225" s="1243"/>
      <c r="K225" s="1243"/>
      <c r="L225" s="817">
        <v>46040</v>
      </c>
      <c r="M225" s="711" t="s">
        <v>673</v>
      </c>
      <c r="N225" s="818"/>
      <c r="O225" s="818"/>
      <c r="P225" s="818"/>
      <c r="Q225" s="278"/>
      <c r="R225" s="278"/>
      <c r="S225" s="278"/>
      <c r="T225" s="278"/>
    </row>
    <row r="226" spans="1:20" s="288" customFormat="1" ht="17.55" customHeight="1" x14ac:dyDescent="0.35">
      <c r="A226" s="284"/>
      <c r="B226" s="800">
        <f t="shared" si="4"/>
        <v>23</v>
      </c>
      <c r="C226" s="816" t="s">
        <v>258</v>
      </c>
      <c r="D226" s="809" t="s">
        <v>87</v>
      </c>
      <c r="E226" s="813" t="s">
        <v>542</v>
      </c>
      <c r="F226" s="817"/>
      <c r="G226" s="817">
        <v>46043</v>
      </c>
      <c r="H226" s="1242" t="s">
        <v>548</v>
      </c>
      <c r="I226" s="1243"/>
      <c r="J226" s="1243"/>
      <c r="K226" s="1243"/>
      <c r="L226" s="817">
        <v>46043</v>
      </c>
      <c r="M226" s="711" t="s">
        <v>673</v>
      </c>
      <c r="N226" s="818"/>
      <c r="O226" s="818"/>
      <c r="P226" s="818"/>
      <c r="Q226" s="278"/>
      <c r="R226" s="278"/>
      <c r="S226" s="278"/>
      <c r="T226" s="278"/>
    </row>
    <row r="227" spans="1:20" s="288" customFormat="1" ht="17.55" customHeight="1" x14ac:dyDescent="0.35">
      <c r="A227" s="284"/>
      <c r="B227" s="800">
        <f t="shared" si="4"/>
        <v>24</v>
      </c>
      <c r="C227" s="816" t="s">
        <v>268</v>
      </c>
      <c r="D227" s="809" t="s">
        <v>87</v>
      </c>
      <c r="E227" s="813" t="s">
        <v>92</v>
      </c>
      <c r="F227" s="817"/>
      <c r="G227" s="817">
        <v>46044</v>
      </c>
      <c r="H227" s="1242" t="s">
        <v>548</v>
      </c>
      <c r="I227" s="1243"/>
      <c r="J227" s="1243"/>
      <c r="K227" s="1243"/>
      <c r="L227" s="817">
        <v>46044</v>
      </c>
      <c r="M227" s="711" t="s">
        <v>673</v>
      </c>
      <c r="N227" s="818"/>
      <c r="O227" s="818"/>
      <c r="P227" s="818"/>
      <c r="Q227" s="278"/>
      <c r="R227" s="278"/>
      <c r="S227" s="278"/>
      <c r="T227" s="278"/>
    </row>
    <row r="228" spans="1:20" s="288" customFormat="1" ht="17.55" customHeight="1" x14ac:dyDescent="0.35">
      <c r="A228" s="284"/>
      <c r="B228" s="800">
        <f t="shared" si="4"/>
        <v>25</v>
      </c>
      <c r="C228" s="816" t="s">
        <v>265</v>
      </c>
      <c r="D228" s="809" t="s">
        <v>95</v>
      </c>
      <c r="E228" s="813" t="s">
        <v>542</v>
      </c>
      <c r="F228" s="817"/>
      <c r="G228" s="817">
        <v>46044</v>
      </c>
      <c r="H228" s="1242" t="s">
        <v>548</v>
      </c>
      <c r="I228" s="1243"/>
      <c r="J228" s="1243"/>
      <c r="K228" s="1243"/>
      <c r="L228" s="817">
        <v>46044</v>
      </c>
      <c r="M228" s="711" t="s">
        <v>673</v>
      </c>
      <c r="N228" s="818"/>
      <c r="O228" s="818"/>
      <c r="P228" s="818"/>
      <c r="Q228" s="278"/>
      <c r="R228" s="278"/>
      <c r="S228" s="278"/>
      <c r="T228" s="278"/>
    </row>
    <row r="229" spans="1:20" s="288" customFormat="1" ht="17.55" customHeight="1" x14ac:dyDescent="0.35">
      <c r="A229" s="284"/>
      <c r="B229" s="800">
        <f t="shared" si="4"/>
        <v>26</v>
      </c>
      <c r="C229" s="807" t="s">
        <v>276</v>
      </c>
      <c r="D229" s="809" t="s">
        <v>87</v>
      </c>
      <c r="E229" s="813" t="s">
        <v>92</v>
      </c>
      <c r="F229" s="817"/>
      <c r="G229" s="817">
        <v>46045</v>
      </c>
      <c r="H229" s="1242" t="s">
        <v>548</v>
      </c>
      <c r="I229" s="1243"/>
      <c r="J229" s="1243"/>
      <c r="K229" s="1243"/>
      <c r="L229" s="817">
        <v>46045</v>
      </c>
      <c r="M229" s="711" t="s">
        <v>673</v>
      </c>
      <c r="N229" s="818"/>
      <c r="O229" s="818"/>
      <c r="P229" s="818"/>
      <c r="Q229" s="278"/>
      <c r="R229" s="278"/>
      <c r="S229" s="278"/>
      <c r="T229" s="278"/>
    </row>
    <row r="230" spans="1:20" s="288" customFormat="1" ht="17.55" customHeight="1" x14ac:dyDescent="0.35">
      <c r="A230" s="284"/>
      <c r="B230" s="800">
        <f t="shared" si="4"/>
        <v>27</v>
      </c>
      <c r="C230" s="807" t="s">
        <v>284</v>
      </c>
      <c r="D230" s="809" t="s">
        <v>91</v>
      </c>
      <c r="E230" s="813" t="s">
        <v>92</v>
      </c>
      <c r="F230" s="817"/>
      <c r="G230" s="817">
        <v>46046</v>
      </c>
      <c r="H230" s="1242" t="s">
        <v>548</v>
      </c>
      <c r="I230" s="1243"/>
      <c r="J230" s="1243"/>
      <c r="K230" s="1243"/>
      <c r="L230" s="817">
        <v>46046</v>
      </c>
      <c r="M230" s="711" t="s">
        <v>673</v>
      </c>
      <c r="N230" s="818"/>
      <c r="O230" s="818"/>
      <c r="P230" s="818"/>
      <c r="Q230" s="278"/>
      <c r="R230" s="278"/>
      <c r="S230" s="278"/>
      <c r="T230" s="278"/>
    </row>
    <row r="231" spans="1:20" s="288" customFormat="1" ht="17.55" customHeight="1" x14ac:dyDescent="0.35">
      <c r="A231" s="284"/>
      <c r="B231" s="800">
        <f t="shared" si="4"/>
        <v>28</v>
      </c>
      <c r="C231" s="816" t="s">
        <v>402</v>
      </c>
      <c r="D231" s="809" t="s">
        <v>91</v>
      </c>
      <c r="E231" s="813" t="s">
        <v>542</v>
      </c>
      <c r="F231" s="817"/>
      <c r="G231" s="817">
        <v>46045</v>
      </c>
      <c r="H231" s="1242" t="s">
        <v>548</v>
      </c>
      <c r="I231" s="1243"/>
      <c r="J231" s="1243"/>
      <c r="K231" s="1243"/>
      <c r="L231" s="817">
        <v>46047</v>
      </c>
      <c r="M231" s="711" t="s">
        <v>662</v>
      </c>
      <c r="N231" s="818"/>
      <c r="O231" s="818"/>
      <c r="P231" s="818"/>
      <c r="Q231" s="278"/>
      <c r="R231" s="278"/>
      <c r="S231" s="278"/>
      <c r="T231" s="278"/>
    </row>
    <row r="232" spans="1:20" s="288" customFormat="1" ht="17.55" customHeight="1" x14ac:dyDescent="0.35">
      <c r="A232" s="284"/>
      <c r="B232" s="800">
        <f t="shared" si="4"/>
        <v>29</v>
      </c>
      <c r="C232" s="671" t="s">
        <v>429</v>
      </c>
      <c r="D232" s="672" t="s">
        <v>669</v>
      </c>
      <c r="E232" s="671" t="s">
        <v>92</v>
      </c>
      <c r="F232" s="817"/>
      <c r="G232" s="817">
        <v>46050</v>
      </c>
      <c r="H232" s="1242" t="s">
        <v>548</v>
      </c>
      <c r="I232" s="1243"/>
      <c r="J232" s="1243"/>
      <c r="K232" s="1243"/>
      <c r="L232" s="817">
        <v>46050</v>
      </c>
      <c r="M232" s="711" t="s">
        <v>673</v>
      </c>
      <c r="N232" s="818"/>
      <c r="O232" s="818"/>
      <c r="P232" s="818"/>
      <c r="Q232" s="278"/>
      <c r="R232" s="278"/>
      <c r="S232" s="278"/>
      <c r="T232" s="278"/>
    </row>
    <row r="233" spans="1:20" s="288" customFormat="1" ht="17.55" customHeight="1" x14ac:dyDescent="0.35">
      <c r="A233" s="284"/>
      <c r="B233" s="800">
        <f t="shared" si="4"/>
        <v>30</v>
      </c>
      <c r="C233" s="671" t="s">
        <v>482</v>
      </c>
      <c r="D233" s="672" t="s">
        <v>558</v>
      </c>
      <c r="E233" s="671" t="s">
        <v>542</v>
      </c>
      <c r="F233" s="719"/>
      <c r="G233" s="817">
        <v>46054</v>
      </c>
      <c r="H233" s="1242" t="s">
        <v>548</v>
      </c>
      <c r="I233" s="1243"/>
      <c r="J233" s="1243"/>
      <c r="K233" s="1243"/>
      <c r="L233" s="817">
        <v>46054</v>
      </c>
      <c r="M233" s="711" t="s">
        <v>662</v>
      </c>
      <c r="N233" s="818"/>
      <c r="O233" s="818"/>
      <c r="P233" s="818"/>
      <c r="Q233" s="278"/>
      <c r="R233" s="278"/>
      <c r="S233" s="278"/>
      <c r="T233" s="278"/>
    </row>
    <row r="234" spans="1:20" s="288" customFormat="1" ht="17.55" customHeight="1" x14ac:dyDescent="0.35">
      <c r="A234" s="284"/>
      <c r="B234" s="800">
        <f t="shared" si="4"/>
        <v>31</v>
      </c>
      <c r="C234" s="680" t="s">
        <v>404</v>
      </c>
      <c r="D234" s="672" t="s">
        <v>87</v>
      </c>
      <c r="E234" s="671" t="s">
        <v>92</v>
      </c>
      <c r="F234" s="817"/>
      <c r="G234" s="817">
        <v>46055</v>
      </c>
      <c r="H234" s="1242" t="s">
        <v>548</v>
      </c>
      <c r="I234" s="1243"/>
      <c r="J234" s="1243"/>
      <c r="K234" s="1243"/>
      <c r="L234" s="817">
        <v>46055</v>
      </c>
      <c r="M234" s="711" t="s">
        <v>662</v>
      </c>
      <c r="N234" s="818"/>
      <c r="O234" s="818"/>
      <c r="P234" s="818"/>
      <c r="Q234" s="278"/>
      <c r="R234" s="278"/>
      <c r="S234" s="278"/>
      <c r="T234" s="278"/>
    </row>
    <row r="235" spans="1:20" s="288" customFormat="1" ht="17.55" customHeight="1" x14ac:dyDescent="0.35">
      <c r="A235" s="284"/>
      <c r="B235" s="800">
        <f t="shared" si="4"/>
        <v>32</v>
      </c>
      <c r="C235" s="671" t="s">
        <v>418</v>
      </c>
      <c r="D235" s="672" t="s">
        <v>685</v>
      </c>
      <c r="E235" s="671" t="s">
        <v>92</v>
      </c>
      <c r="F235" s="719"/>
      <c r="G235" s="817">
        <v>46056</v>
      </c>
      <c r="H235" s="1242" t="s">
        <v>548</v>
      </c>
      <c r="I235" s="1243"/>
      <c r="J235" s="1243"/>
      <c r="K235" s="1243"/>
      <c r="L235" s="817">
        <v>46056</v>
      </c>
      <c r="M235" s="711" t="s">
        <v>673</v>
      </c>
      <c r="N235" s="818"/>
      <c r="O235" s="818"/>
      <c r="P235" s="818"/>
      <c r="Q235" s="278"/>
      <c r="R235" s="278"/>
      <c r="S235" s="278"/>
      <c r="T235" s="278"/>
    </row>
    <row r="236" spans="1:20" s="288" customFormat="1" ht="17.55" customHeight="1" x14ac:dyDescent="0.35">
      <c r="A236" s="284"/>
      <c r="B236" s="800">
        <f t="shared" si="4"/>
        <v>33</v>
      </c>
      <c r="C236" s="671" t="s">
        <v>327</v>
      </c>
      <c r="D236" s="672" t="s">
        <v>87</v>
      </c>
      <c r="E236" s="671" t="s">
        <v>92</v>
      </c>
      <c r="F236" s="719"/>
      <c r="G236" s="817">
        <v>46066</v>
      </c>
      <c r="H236" s="1242" t="s">
        <v>548</v>
      </c>
      <c r="I236" s="1243"/>
      <c r="J236" s="1243"/>
      <c r="K236" s="1243"/>
      <c r="L236" s="817">
        <v>46066</v>
      </c>
      <c r="M236" s="824" t="s">
        <v>89</v>
      </c>
      <c r="N236" s="818"/>
      <c r="O236" s="818"/>
      <c r="P236" s="818"/>
      <c r="Q236" s="278"/>
      <c r="R236" s="278"/>
      <c r="S236" s="278"/>
      <c r="T236" s="278"/>
    </row>
    <row r="237" spans="1:20" s="288" customFormat="1" ht="17.55" customHeight="1" x14ac:dyDescent="0.35">
      <c r="A237" s="284"/>
      <c r="B237" s="800">
        <f t="shared" si="4"/>
        <v>34</v>
      </c>
      <c r="C237" s="679" t="s">
        <v>625</v>
      </c>
      <c r="D237" s="672" t="s">
        <v>87</v>
      </c>
      <c r="E237" s="671" t="s">
        <v>92</v>
      </c>
      <c r="F237" s="719"/>
      <c r="G237" s="817">
        <v>46067</v>
      </c>
      <c r="H237" s="1242" t="s">
        <v>548</v>
      </c>
      <c r="I237" s="1243"/>
      <c r="J237" s="1243"/>
      <c r="K237" s="1243"/>
      <c r="L237" s="817">
        <v>46067</v>
      </c>
      <c r="M237" s="824" t="s">
        <v>674</v>
      </c>
      <c r="N237" s="818"/>
      <c r="O237" s="818"/>
      <c r="P237" s="818"/>
      <c r="Q237" s="278"/>
      <c r="R237" s="278"/>
      <c r="S237" s="278"/>
      <c r="T237" s="278"/>
    </row>
    <row r="238" spans="1:20" s="288" customFormat="1" ht="17.55" customHeight="1" x14ac:dyDescent="0.35">
      <c r="A238" s="284"/>
      <c r="B238" s="800">
        <f t="shared" si="4"/>
        <v>35</v>
      </c>
      <c r="C238" s="680" t="s">
        <v>331</v>
      </c>
      <c r="D238" s="672" t="s">
        <v>87</v>
      </c>
      <c r="E238" s="671" t="s">
        <v>542</v>
      </c>
      <c r="F238" s="719"/>
      <c r="G238" s="817">
        <v>46067</v>
      </c>
      <c r="H238" s="1242" t="s">
        <v>548</v>
      </c>
      <c r="I238" s="1243"/>
      <c r="J238" s="1243"/>
      <c r="K238" s="1243"/>
      <c r="L238" s="817">
        <v>46067</v>
      </c>
      <c r="M238" s="824" t="s">
        <v>89</v>
      </c>
      <c r="N238" s="818"/>
      <c r="O238" s="818"/>
      <c r="P238" s="818"/>
      <c r="Q238" s="278"/>
      <c r="R238" s="278"/>
      <c r="S238" s="278"/>
      <c r="T238" s="278"/>
    </row>
    <row r="239" spans="1:20" s="288" customFormat="1" ht="17.55" customHeight="1" x14ac:dyDescent="0.35">
      <c r="A239" s="284"/>
      <c r="B239" s="800">
        <f t="shared" si="4"/>
        <v>36</v>
      </c>
      <c r="C239" s="685" t="s">
        <v>223</v>
      </c>
      <c r="D239" s="672" t="s">
        <v>87</v>
      </c>
      <c r="E239" s="671" t="s">
        <v>92</v>
      </c>
      <c r="F239" s="719"/>
      <c r="G239" s="817">
        <v>46068</v>
      </c>
      <c r="H239" s="1242" t="s">
        <v>548</v>
      </c>
      <c r="I239" s="1243"/>
      <c r="J239" s="1243"/>
      <c r="K239" s="1243"/>
      <c r="L239" s="817">
        <v>46068</v>
      </c>
      <c r="M239" s="711" t="s">
        <v>673</v>
      </c>
      <c r="N239" s="818"/>
      <c r="O239" s="818"/>
      <c r="P239" s="818"/>
      <c r="Q239" s="278"/>
      <c r="R239" s="278"/>
      <c r="S239" s="278"/>
      <c r="T239" s="278"/>
    </row>
    <row r="240" spans="1:20" s="288" customFormat="1" ht="17.55" customHeight="1" x14ac:dyDescent="0.35">
      <c r="A240" s="284"/>
      <c r="B240" s="800">
        <f t="shared" si="4"/>
        <v>37</v>
      </c>
      <c r="C240" s="685" t="s">
        <v>235</v>
      </c>
      <c r="D240" s="672" t="s">
        <v>91</v>
      </c>
      <c r="E240" s="671" t="s">
        <v>92</v>
      </c>
      <c r="F240" s="719"/>
      <c r="G240" s="817">
        <v>46069</v>
      </c>
      <c r="H240" s="1242" t="s">
        <v>548</v>
      </c>
      <c r="I240" s="1243"/>
      <c r="J240" s="1243"/>
      <c r="K240" s="1243"/>
      <c r="L240" s="817">
        <v>46069</v>
      </c>
      <c r="M240" s="711" t="s">
        <v>673</v>
      </c>
      <c r="N240" s="818"/>
      <c r="O240" s="818"/>
      <c r="P240" s="818"/>
      <c r="Q240" s="278"/>
      <c r="R240" s="278"/>
      <c r="S240" s="278"/>
      <c r="T240" s="278"/>
    </row>
    <row r="241" spans="1:20" s="288" customFormat="1" ht="17.55" customHeight="1" x14ac:dyDescent="0.35">
      <c r="A241" s="284"/>
      <c r="B241" s="800">
        <f t="shared" si="4"/>
        <v>38</v>
      </c>
      <c r="C241" s="685" t="s">
        <v>242</v>
      </c>
      <c r="D241" s="672" t="s">
        <v>213</v>
      </c>
      <c r="E241" s="671" t="s">
        <v>92</v>
      </c>
      <c r="F241" s="719"/>
      <c r="G241" s="817">
        <v>46070</v>
      </c>
      <c r="H241" s="1242" t="s">
        <v>548</v>
      </c>
      <c r="I241" s="1243"/>
      <c r="J241" s="1243"/>
      <c r="K241" s="1243"/>
      <c r="L241" s="817">
        <v>46070</v>
      </c>
      <c r="M241" s="711" t="s">
        <v>673</v>
      </c>
      <c r="N241" s="818"/>
      <c r="O241" s="818"/>
      <c r="P241" s="818"/>
      <c r="Q241" s="278"/>
      <c r="R241" s="278"/>
      <c r="S241" s="278"/>
      <c r="T241" s="278"/>
    </row>
    <row r="242" spans="1:20" s="288" customFormat="1" ht="17.55" customHeight="1" x14ac:dyDescent="0.35">
      <c r="A242" s="284"/>
      <c r="B242" s="800">
        <f t="shared" si="4"/>
        <v>39</v>
      </c>
      <c r="C242" s="671" t="s">
        <v>622</v>
      </c>
      <c r="D242" s="681" t="s">
        <v>87</v>
      </c>
      <c r="E242" s="671" t="s">
        <v>92</v>
      </c>
      <c r="F242" s="719"/>
      <c r="G242" s="817">
        <v>46071</v>
      </c>
      <c r="H242" s="1242" t="s">
        <v>548</v>
      </c>
      <c r="I242" s="1243"/>
      <c r="J242" s="1243"/>
      <c r="K242" s="1243"/>
      <c r="L242" s="817">
        <v>46070</v>
      </c>
      <c r="M242" s="711" t="s">
        <v>686</v>
      </c>
      <c r="N242" s="818"/>
      <c r="O242" s="818"/>
      <c r="P242" s="818"/>
      <c r="Q242" s="278"/>
      <c r="R242" s="278"/>
      <c r="S242" s="278"/>
      <c r="T242" s="278"/>
    </row>
    <row r="243" spans="1:20" s="288" customFormat="1" ht="17.55" customHeight="1" x14ac:dyDescent="0.35">
      <c r="A243" s="284"/>
      <c r="B243" s="800">
        <f t="shared" si="4"/>
        <v>40</v>
      </c>
      <c r="C243" s="671" t="s">
        <v>224</v>
      </c>
      <c r="D243" s="684" t="s">
        <v>87</v>
      </c>
      <c r="E243" s="680" t="s">
        <v>664</v>
      </c>
      <c r="F243" s="817"/>
      <c r="G243" s="817">
        <v>46071</v>
      </c>
      <c r="H243" s="1242" t="s">
        <v>548</v>
      </c>
      <c r="I243" s="1243"/>
      <c r="J243" s="1243"/>
      <c r="K243" s="1243"/>
      <c r="L243" s="817">
        <v>46070</v>
      </c>
      <c r="M243" s="711" t="s">
        <v>673</v>
      </c>
      <c r="N243" s="818"/>
      <c r="O243" s="818"/>
      <c r="P243" s="818"/>
      <c r="Q243" s="278"/>
      <c r="R243" s="278"/>
      <c r="S243" s="278"/>
      <c r="T243" s="278"/>
    </row>
    <row r="244" spans="1:20" s="288" customFormat="1" ht="17.55" customHeight="1" x14ac:dyDescent="0.35">
      <c r="A244" s="284"/>
      <c r="B244" s="800">
        <f t="shared" si="4"/>
        <v>41</v>
      </c>
      <c r="C244" s="679" t="s">
        <v>260</v>
      </c>
      <c r="D244" s="672" t="s">
        <v>87</v>
      </c>
      <c r="E244" s="671" t="s">
        <v>88</v>
      </c>
      <c r="F244" s="817"/>
      <c r="G244" s="817">
        <v>46072</v>
      </c>
      <c r="H244" s="1242" t="s">
        <v>548</v>
      </c>
      <c r="I244" s="1243"/>
      <c r="J244" s="1243"/>
      <c r="K244" s="1243"/>
      <c r="L244" s="817">
        <v>46072</v>
      </c>
      <c r="M244" s="711" t="s">
        <v>673</v>
      </c>
      <c r="N244" s="818"/>
      <c r="O244" s="818"/>
      <c r="P244" s="818"/>
      <c r="Q244" s="278"/>
      <c r="R244" s="278"/>
      <c r="S244" s="278"/>
      <c r="T244" s="278"/>
    </row>
    <row r="245" spans="1:20" s="288" customFormat="1" ht="17.55" customHeight="1" x14ac:dyDescent="0.35">
      <c r="A245" s="284"/>
      <c r="B245" s="800">
        <f t="shared" si="4"/>
        <v>42</v>
      </c>
      <c r="C245" s="671" t="s">
        <v>261</v>
      </c>
      <c r="D245" s="672" t="s">
        <v>95</v>
      </c>
      <c r="E245" s="671" t="s">
        <v>542</v>
      </c>
      <c r="F245" s="817"/>
      <c r="G245" s="817">
        <v>46072</v>
      </c>
      <c r="H245" s="1242" t="s">
        <v>548</v>
      </c>
      <c r="I245" s="1243"/>
      <c r="J245" s="1243"/>
      <c r="K245" s="1243"/>
      <c r="L245" s="817">
        <v>46072</v>
      </c>
      <c r="M245" s="711" t="s">
        <v>673</v>
      </c>
      <c r="N245" s="818"/>
      <c r="O245" s="818"/>
      <c r="P245" s="818"/>
      <c r="Q245" s="278"/>
      <c r="R245" s="278"/>
      <c r="S245" s="278"/>
      <c r="T245" s="278"/>
    </row>
    <row r="246" spans="1:20" s="288" customFormat="1" ht="17.55" customHeight="1" x14ac:dyDescent="0.35">
      <c r="A246" s="284"/>
      <c r="B246" s="800">
        <f t="shared" si="4"/>
        <v>43</v>
      </c>
      <c r="C246" s="679" t="s">
        <v>243</v>
      </c>
      <c r="D246" s="672" t="s">
        <v>87</v>
      </c>
      <c r="E246" s="671" t="s">
        <v>542</v>
      </c>
      <c r="F246" s="817"/>
      <c r="G246" s="817">
        <v>46072</v>
      </c>
      <c r="H246" s="1242" t="s">
        <v>548</v>
      </c>
      <c r="I246" s="1243"/>
      <c r="J246" s="1243"/>
      <c r="K246" s="1243"/>
      <c r="L246" s="817">
        <v>46072</v>
      </c>
      <c r="M246" s="711" t="s">
        <v>673</v>
      </c>
      <c r="N246" s="818"/>
      <c r="O246" s="818"/>
      <c r="P246" s="818"/>
      <c r="Q246" s="278"/>
      <c r="R246" s="278"/>
      <c r="S246" s="278"/>
      <c r="T246" s="278"/>
    </row>
    <row r="247" spans="1:20" s="288" customFormat="1" ht="17.55" customHeight="1" x14ac:dyDescent="0.35">
      <c r="A247" s="284"/>
      <c r="B247" s="800">
        <f t="shared" si="4"/>
        <v>44</v>
      </c>
      <c r="C247" s="679" t="s">
        <v>250</v>
      </c>
      <c r="D247" s="672" t="s">
        <v>87</v>
      </c>
      <c r="E247" s="671" t="s">
        <v>542</v>
      </c>
      <c r="F247" s="817"/>
      <c r="G247" s="817">
        <v>46072</v>
      </c>
      <c r="H247" s="1242" t="s">
        <v>548</v>
      </c>
      <c r="I247" s="1243"/>
      <c r="J247" s="1243"/>
      <c r="K247" s="1243"/>
      <c r="L247" s="817">
        <v>46072</v>
      </c>
      <c r="M247" s="711" t="s">
        <v>673</v>
      </c>
      <c r="N247" s="818"/>
      <c r="O247" s="818"/>
      <c r="P247" s="818"/>
      <c r="Q247" s="278"/>
      <c r="R247" s="278"/>
      <c r="S247" s="278"/>
      <c r="T247" s="278"/>
    </row>
    <row r="248" spans="1:20" s="288" customFormat="1" ht="17.55" customHeight="1" x14ac:dyDescent="0.35">
      <c r="A248" s="284"/>
      <c r="B248" s="800">
        <f t="shared" si="4"/>
        <v>45</v>
      </c>
      <c r="C248" s="673" t="s">
        <v>252</v>
      </c>
      <c r="D248" s="674" t="s">
        <v>87</v>
      </c>
      <c r="E248" s="673" t="s">
        <v>542</v>
      </c>
      <c r="F248" s="822"/>
      <c r="G248" s="822">
        <v>46075</v>
      </c>
      <c r="H248" s="1233" t="s">
        <v>548</v>
      </c>
      <c r="I248" s="1234"/>
      <c r="J248" s="1234"/>
      <c r="K248" s="1234"/>
      <c r="L248" s="822">
        <v>46075</v>
      </c>
      <c r="M248" s="825" t="s">
        <v>673</v>
      </c>
      <c r="N248" s="823"/>
      <c r="O248" s="823"/>
      <c r="P248" s="823"/>
      <c r="Q248" s="278"/>
      <c r="R248" s="278"/>
      <c r="S248" s="278"/>
      <c r="T248" s="278"/>
    </row>
    <row r="249" spans="1:20" s="288" customFormat="1" ht="17.55" customHeight="1" x14ac:dyDescent="0.35">
      <c r="A249" s="284"/>
      <c r="B249" s="800">
        <f t="shared" si="4"/>
        <v>46</v>
      </c>
      <c r="C249" s="671" t="s">
        <v>277</v>
      </c>
      <c r="D249" s="672" t="s">
        <v>95</v>
      </c>
      <c r="E249" s="671" t="s">
        <v>542</v>
      </c>
      <c r="F249" s="817"/>
      <c r="G249" s="817">
        <v>46075</v>
      </c>
      <c r="H249" s="1242" t="s">
        <v>548</v>
      </c>
      <c r="I249" s="1243"/>
      <c r="J249" s="1243"/>
      <c r="K249" s="1243"/>
      <c r="L249" s="817">
        <v>46075</v>
      </c>
      <c r="M249" s="711" t="s">
        <v>673</v>
      </c>
      <c r="N249" s="818"/>
      <c r="O249" s="818"/>
      <c r="P249" s="818"/>
      <c r="Q249" s="278"/>
      <c r="R249" s="278"/>
      <c r="S249" s="278"/>
      <c r="T249" s="278"/>
    </row>
    <row r="250" spans="1:20" s="288" customFormat="1" ht="17.55" customHeight="1" x14ac:dyDescent="0.35">
      <c r="A250" s="284"/>
      <c r="B250" s="800">
        <f t="shared" si="4"/>
        <v>47</v>
      </c>
      <c r="C250" s="671" t="s">
        <v>274</v>
      </c>
      <c r="D250" s="672" t="s">
        <v>87</v>
      </c>
      <c r="E250" s="671" t="s">
        <v>542</v>
      </c>
      <c r="F250" s="817"/>
      <c r="G250" s="817">
        <v>46075</v>
      </c>
      <c r="H250" s="1242" t="s">
        <v>548</v>
      </c>
      <c r="I250" s="1243"/>
      <c r="J250" s="1243"/>
      <c r="K250" s="1243"/>
      <c r="L250" s="817">
        <v>46075</v>
      </c>
      <c r="M250" s="711" t="s">
        <v>673</v>
      </c>
      <c r="N250" s="818"/>
      <c r="O250" s="818"/>
      <c r="P250" s="818"/>
      <c r="Q250" s="278"/>
      <c r="R250" s="278"/>
      <c r="S250" s="278"/>
      <c r="T250" s="278"/>
    </row>
    <row r="251" spans="1:20" s="288" customFormat="1" ht="17.55" customHeight="1" x14ac:dyDescent="0.35">
      <c r="A251" s="284"/>
      <c r="B251" s="800">
        <f t="shared" si="4"/>
        <v>48</v>
      </c>
      <c r="C251" s="671" t="s">
        <v>271</v>
      </c>
      <c r="D251" s="672" t="s">
        <v>87</v>
      </c>
      <c r="E251" s="671" t="s">
        <v>542</v>
      </c>
      <c r="F251" s="817"/>
      <c r="G251" s="817">
        <v>46075</v>
      </c>
      <c r="H251" s="1242" t="s">
        <v>548</v>
      </c>
      <c r="I251" s="1243"/>
      <c r="J251" s="1243"/>
      <c r="K251" s="1243"/>
      <c r="L251" s="817">
        <v>46075</v>
      </c>
      <c r="M251" s="711" t="s">
        <v>673</v>
      </c>
      <c r="N251" s="818"/>
      <c r="O251" s="818"/>
      <c r="P251" s="818"/>
      <c r="Q251" s="278"/>
      <c r="R251" s="278"/>
      <c r="S251" s="278"/>
      <c r="T251" s="278"/>
    </row>
    <row r="252" spans="1:20" s="288" customFormat="1" ht="17.55" customHeight="1" x14ac:dyDescent="0.35">
      <c r="A252" s="284"/>
      <c r="B252" s="813">
        <f t="shared" si="4"/>
        <v>49</v>
      </c>
      <c r="C252" s="691" t="s">
        <v>340</v>
      </c>
      <c r="D252" s="681" t="s">
        <v>87</v>
      </c>
      <c r="E252" s="671" t="s">
        <v>92</v>
      </c>
      <c r="F252" s="817"/>
      <c r="G252" s="817">
        <v>46077</v>
      </c>
      <c r="H252" s="1242" t="s">
        <v>548</v>
      </c>
      <c r="I252" s="1243"/>
      <c r="J252" s="1243"/>
      <c r="K252" s="1243"/>
      <c r="L252" s="817">
        <v>46077</v>
      </c>
      <c r="M252" s="711" t="s">
        <v>89</v>
      </c>
      <c r="N252" s="818"/>
      <c r="O252" s="818"/>
      <c r="P252" s="818"/>
      <c r="Q252" s="278"/>
      <c r="R252" s="278"/>
      <c r="S252" s="278"/>
      <c r="T252" s="278"/>
    </row>
    <row r="253" spans="1:20" s="288" customFormat="1" ht="17.55" customHeight="1" x14ac:dyDescent="0.35">
      <c r="A253" s="284"/>
      <c r="B253" s="813">
        <f t="shared" si="4"/>
        <v>50</v>
      </c>
      <c r="C253" s="691" t="s">
        <v>408</v>
      </c>
      <c r="D253" s="672" t="s">
        <v>87</v>
      </c>
      <c r="E253" s="671" t="s">
        <v>542</v>
      </c>
      <c r="F253" s="817"/>
      <c r="G253" s="817">
        <v>46083</v>
      </c>
      <c r="H253" s="1242" t="s">
        <v>548</v>
      </c>
      <c r="I253" s="1243"/>
      <c r="J253" s="1243"/>
      <c r="K253" s="1243"/>
      <c r="L253" s="817">
        <v>46083</v>
      </c>
      <c r="M253" s="711" t="s">
        <v>661</v>
      </c>
      <c r="N253" s="818"/>
      <c r="O253" s="818"/>
      <c r="P253" s="818"/>
      <c r="Q253" s="278"/>
      <c r="R253" s="278"/>
      <c r="S253" s="278"/>
      <c r="T253" s="278"/>
    </row>
    <row r="254" spans="1:20" s="288" customFormat="1" ht="17.55" customHeight="1" x14ac:dyDescent="0.35">
      <c r="A254" s="284"/>
      <c r="B254" s="813">
        <f t="shared" si="4"/>
        <v>51</v>
      </c>
      <c r="C254" s="691" t="s">
        <v>409</v>
      </c>
      <c r="D254" s="682" t="s">
        <v>87</v>
      </c>
      <c r="E254" s="826" t="s">
        <v>92</v>
      </c>
      <c r="F254" s="817"/>
      <c r="G254" s="817">
        <v>46083</v>
      </c>
      <c r="H254" s="1242" t="s">
        <v>548</v>
      </c>
      <c r="I254" s="1243"/>
      <c r="J254" s="1243"/>
      <c r="K254" s="1243"/>
      <c r="L254" s="817">
        <v>46083</v>
      </c>
      <c r="M254" s="711" t="s">
        <v>661</v>
      </c>
      <c r="N254" s="818"/>
      <c r="O254" s="818"/>
      <c r="P254" s="818"/>
      <c r="Q254" s="278"/>
      <c r="R254" s="278"/>
      <c r="S254" s="278"/>
      <c r="T254" s="278"/>
    </row>
    <row r="255" spans="1:20" s="288" customFormat="1" ht="17.55" customHeight="1" x14ac:dyDescent="0.35">
      <c r="A255" s="284"/>
      <c r="B255" s="813">
        <f t="shared" si="4"/>
        <v>52</v>
      </c>
      <c r="C255" s="691" t="s">
        <v>614</v>
      </c>
      <c r="D255" s="672" t="s">
        <v>87</v>
      </c>
      <c r="E255" s="671" t="s">
        <v>542</v>
      </c>
      <c r="F255" s="817"/>
      <c r="G255" s="817">
        <v>46083</v>
      </c>
      <c r="H255" s="1242" t="s">
        <v>548</v>
      </c>
      <c r="I255" s="1243"/>
      <c r="J255" s="1243"/>
      <c r="K255" s="1243"/>
      <c r="L255" s="817">
        <v>46083</v>
      </c>
      <c r="M255" s="711" t="s">
        <v>661</v>
      </c>
      <c r="N255" s="818"/>
      <c r="O255" s="818"/>
      <c r="P255" s="818"/>
      <c r="Q255" s="278"/>
      <c r="R255" s="278"/>
      <c r="S255" s="278"/>
      <c r="T255" s="278"/>
    </row>
    <row r="256" spans="1:20" s="288" customFormat="1" ht="17.55" customHeight="1" x14ac:dyDescent="0.35">
      <c r="A256" s="284"/>
      <c r="B256" s="813">
        <f t="shared" si="4"/>
        <v>53</v>
      </c>
      <c r="C256" s="691" t="s">
        <v>616</v>
      </c>
      <c r="D256" s="681" t="s">
        <v>87</v>
      </c>
      <c r="E256" s="671" t="s">
        <v>542</v>
      </c>
      <c r="F256" s="817"/>
      <c r="G256" s="817">
        <v>46083</v>
      </c>
      <c r="H256" s="1242" t="s">
        <v>548</v>
      </c>
      <c r="I256" s="1243"/>
      <c r="J256" s="1243"/>
      <c r="K256" s="1243"/>
      <c r="L256" s="817">
        <v>46083</v>
      </c>
      <c r="M256" s="711" t="s">
        <v>661</v>
      </c>
      <c r="N256" s="818"/>
      <c r="O256" s="818"/>
      <c r="P256" s="818"/>
      <c r="Q256" s="278"/>
      <c r="R256" s="278"/>
      <c r="S256" s="278"/>
      <c r="T256" s="278"/>
    </row>
    <row r="257" spans="1:20" s="288" customFormat="1" ht="17.55" customHeight="1" x14ac:dyDescent="0.35">
      <c r="A257" s="284"/>
      <c r="B257" s="813">
        <f t="shared" si="4"/>
        <v>54</v>
      </c>
      <c r="C257" s="691" t="s">
        <v>617</v>
      </c>
      <c r="D257" s="684" t="s">
        <v>87</v>
      </c>
      <c r="E257" s="671" t="s">
        <v>92</v>
      </c>
      <c r="F257" s="817"/>
      <c r="G257" s="817">
        <v>46084</v>
      </c>
      <c r="H257" s="1242" t="s">
        <v>548</v>
      </c>
      <c r="I257" s="1243"/>
      <c r="J257" s="1243"/>
      <c r="K257" s="1243"/>
      <c r="L257" s="817">
        <v>46084</v>
      </c>
      <c r="M257" s="711" t="s">
        <v>661</v>
      </c>
      <c r="N257" s="818"/>
      <c r="O257" s="818"/>
      <c r="P257" s="818"/>
      <c r="Q257" s="278"/>
      <c r="R257" s="278"/>
      <c r="S257" s="278"/>
      <c r="T257" s="278"/>
    </row>
    <row r="258" spans="1:20" s="288" customFormat="1" ht="17.55" customHeight="1" x14ac:dyDescent="0.35">
      <c r="A258" s="284"/>
      <c r="B258" s="813">
        <f t="shared" si="4"/>
        <v>55</v>
      </c>
      <c r="C258" s="685" t="s">
        <v>618</v>
      </c>
      <c r="D258" s="684" t="s">
        <v>87</v>
      </c>
      <c r="E258" s="671" t="s">
        <v>92</v>
      </c>
      <c r="F258" s="817"/>
      <c r="G258" s="817">
        <v>46084</v>
      </c>
      <c r="H258" s="1242" t="s">
        <v>548</v>
      </c>
      <c r="I258" s="1243"/>
      <c r="J258" s="1243"/>
      <c r="K258" s="1243"/>
      <c r="L258" s="817">
        <v>46084</v>
      </c>
      <c r="M258" s="711" t="s">
        <v>661</v>
      </c>
      <c r="N258" s="818"/>
      <c r="O258" s="818"/>
      <c r="P258" s="818"/>
      <c r="Q258" s="278"/>
      <c r="R258" s="278"/>
      <c r="S258" s="278"/>
      <c r="T258" s="278"/>
    </row>
    <row r="259" spans="1:20" s="288" customFormat="1" ht="17.55" customHeight="1" x14ac:dyDescent="0.35">
      <c r="A259" s="284"/>
      <c r="B259" s="813">
        <f t="shared" si="4"/>
        <v>56</v>
      </c>
      <c r="C259" s="671" t="s">
        <v>407</v>
      </c>
      <c r="D259" s="672" t="s">
        <v>87</v>
      </c>
      <c r="E259" s="671" t="s">
        <v>92</v>
      </c>
      <c r="F259" s="817"/>
      <c r="G259" s="817">
        <v>46084</v>
      </c>
      <c r="H259" s="1242" t="s">
        <v>548</v>
      </c>
      <c r="I259" s="1243"/>
      <c r="J259" s="1243"/>
      <c r="K259" s="1243"/>
      <c r="L259" s="817">
        <v>46084</v>
      </c>
      <c r="M259" s="824" t="s">
        <v>674</v>
      </c>
      <c r="N259" s="818"/>
      <c r="O259" s="818"/>
      <c r="P259" s="818"/>
      <c r="Q259" s="278"/>
      <c r="R259" s="278"/>
      <c r="S259" s="278"/>
      <c r="T259" s="278"/>
    </row>
    <row r="260" spans="1:20" s="288" customFormat="1" ht="17.55" customHeight="1" x14ac:dyDescent="0.35">
      <c r="A260" s="284"/>
      <c r="B260" s="813">
        <f t="shared" si="4"/>
        <v>57</v>
      </c>
      <c r="C260" s="671" t="s">
        <v>405</v>
      </c>
      <c r="D260" s="672" t="s">
        <v>87</v>
      </c>
      <c r="E260" s="671" t="s">
        <v>92</v>
      </c>
      <c r="F260" s="827"/>
      <c r="G260" s="817">
        <v>46088</v>
      </c>
      <c r="H260" s="1242" t="s">
        <v>548</v>
      </c>
      <c r="I260" s="1243"/>
      <c r="J260" s="1243"/>
      <c r="K260" s="1243"/>
      <c r="L260" s="817">
        <v>46088</v>
      </c>
      <c r="M260" s="824" t="s">
        <v>674</v>
      </c>
      <c r="N260" s="818"/>
      <c r="O260" s="818"/>
      <c r="P260" s="818"/>
      <c r="Q260" s="278"/>
      <c r="R260" s="278"/>
      <c r="S260" s="278"/>
      <c r="T260" s="278"/>
    </row>
    <row r="261" spans="1:20" s="288" customFormat="1" ht="17.55" customHeight="1" x14ac:dyDescent="0.35">
      <c r="A261" s="284"/>
      <c r="B261" s="821">
        <f t="shared" si="4"/>
        <v>58</v>
      </c>
      <c r="C261" s="828" t="s">
        <v>406</v>
      </c>
      <c r="D261" s="674" t="s">
        <v>91</v>
      </c>
      <c r="E261" s="673" t="s">
        <v>92</v>
      </c>
      <c r="F261" s="827"/>
      <c r="G261" s="822">
        <v>46088</v>
      </c>
      <c r="H261" s="1233" t="s">
        <v>548</v>
      </c>
      <c r="I261" s="1234"/>
      <c r="J261" s="1234"/>
      <c r="K261" s="1234"/>
      <c r="L261" s="822">
        <v>46088</v>
      </c>
      <c r="M261" s="829" t="s">
        <v>674</v>
      </c>
      <c r="N261" s="823"/>
      <c r="O261" s="823"/>
      <c r="P261" s="823"/>
      <c r="Q261" s="278"/>
      <c r="R261" s="278"/>
      <c r="S261" s="278"/>
      <c r="T261" s="278"/>
    </row>
    <row r="262" spans="1:20" s="288" customFormat="1" ht="17.55" customHeight="1" x14ac:dyDescent="0.35">
      <c r="A262" s="284"/>
      <c r="B262" s="813">
        <f t="shared" si="4"/>
        <v>59</v>
      </c>
      <c r="C262" s="679" t="s">
        <v>346</v>
      </c>
      <c r="D262" s="672" t="s">
        <v>109</v>
      </c>
      <c r="E262" s="671" t="s">
        <v>664</v>
      </c>
      <c r="F262" s="817"/>
      <c r="G262" s="817">
        <v>46089</v>
      </c>
      <c r="H262" s="1242" t="s">
        <v>548</v>
      </c>
      <c r="I262" s="1243"/>
      <c r="J262" s="1243"/>
      <c r="K262" s="1243"/>
      <c r="L262" s="817">
        <v>46089</v>
      </c>
      <c r="M262" s="824" t="s">
        <v>89</v>
      </c>
      <c r="N262" s="818"/>
      <c r="O262" s="818"/>
      <c r="P262" s="818"/>
      <c r="Q262" s="278"/>
      <c r="R262" s="278"/>
      <c r="S262" s="278"/>
      <c r="T262" s="278"/>
    </row>
    <row r="263" spans="1:20" s="288" customFormat="1" ht="17.55" customHeight="1" x14ac:dyDescent="0.35">
      <c r="A263" s="284"/>
      <c r="B263" s="813">
        <f t="shared" si="4"/>
        <v>60</v>
      </c>
      <c r="C263" s="680" t="s">
        <v>353</v>
      </c>
      <c r="D263" s="684" t="s">
        <v>87</v>
      </c>
      <c r="E263" s="671" t="s">
        <v>92</v>
      </c>
      <c r="F263" s="817"/>
      <c r="G263" s="817">
        <v>46094</v>
      </c>
      <c r="H263" s="1242" t="s">
        <v>548</v>
      </c>
      <c r="I263" s="1243"/>
      <c r="J263" s="1243"/>
      <c r="K263" s="1243"/>
      <c r="L263" s="817">
        <v>46094</v>
      </c>
      <c r="M263" s="824" t="s">
        <v>89</v>
      </c>
      <c r="N263" s="818"/>
      <c r="O263" s="818"/>
      <c r="P263" s="818"/>
      <c r="Q263" s="278"/>
      <c r="R263" s="278"/>
      <c r="S263" s="278"/>
      <c r="T263" s="278"/>
    </row>
    <row r="264" spans="1:20" s="288" customFormat="1" ht="17.55" customHeight="1" x14ac:dyDescent="0.35">
      <c r="A264" s="284"/>
      <c r="B264" s="813">
        <f t="shared" si="4"/>
        <v>61</v>
      </c>
      <c r="C264" s="672" t="s">
        <v>233</v>
      </c>
      <c r="D264" s="688" t="s">
        <v>213</v>
      </c>
      <c r="E264" s="671" t="s">
        <v>92</v>
      </c>
      <c r="F264" s="709"/>
      <c r="G264" s="709">
        <v>46094</v>
      </c>
      <c r="H264" s="1242" t="s">
        <v>548</v>
      </c>
      <c r="I264" s="1243"/>
      <c r="J264" s="1243"/>
      <c r="K264" s="1243"/>
      <c r="L264" s="830">
        <v>46095</v>
      </c>
      <c r="M264" s="831" t="s">
        <v>757</v>
      </c>
      <c r="N264" s="711"/>
      <c r="O264" s="712"/>
      <c r="P264" s="713"/>
      <c r="Q264" s="278"/>
      <c r="R264" s="278"/>
      <c r="S264" s="278"/>
      <c r="T264" s="278"/>
    </row>
    <row r="265" spans="1:20" s="288" customFormat="1" ht="17.55" customHeight="1" x14ac:dyDescent="0.35">
      <c r="A265" s="284"/>
      <c r="B265" s="813">
        <f t="shared" si="4"/>
        <v>62</v>
      </c>
      <c r="C265" s="672" t="s">
        <v>234</v>
      </c>
      <c r="D265" s="688" t="s">
        <v>87</v>
      </c>
      <c r="E265" s="671" t="s">
        <v>92</v>
      </c>
      <c r="F265" s="695" t="s">
        <v>92</v>
      </c>
      <c r="G265" s="709">
        <v>46098</v>
      </c>
      <c r="H265" s="1242" t="s">
        <v>548</v>
      </c>
      <c r="I265" s="1243"/>
      <c r="J265" s="1243"/>
      <c r="K265" s="1243"/>
      <c r="L265" s="709">
        <v>46098</v>
      </c>
      <c r="M265" s="831" t="s">
        <v>757</v>
      </c>
      <c r="N265" s="711"/>
      <c r="O265" s="712"/>
      <c r="P265" s="713"/>
      <c r="Q265" s="278"/>
      <c r="R265" s="278"/>
      <c r="S265" s="278"/>
      <c r="T265" s="278"/>
    </row>
    <row r="266" spans="1:20" s="288" customFormat="1" ht="17.55" customHeight="1" x14ac:dyDescent="0.35">
      <c r="A266" s="284"/>
      <c r="B266" s="813">
        <f t="shared" si="4"/>
        <v>63</v>
      </c>
      <c r="C266" s="679" t="s">
        <v>481</v>
      </c>
      <c r="D266" s="688" t="s">
        <v>237</v>
      </c>
      <c r="E266" s="671" t="s">
        <v>92</v>
      </c>
      <c r="F266" s="709"/>
      <c r="G266" s="709">
        <v>46101</v>
      </c>
      <c r="H266" s="1242" t="s">
        <v>548</v>
      </c>
      <c r="I266" s="1243"/>
      <c r="J266" s="1243"/>
      <c r="K266" s="1243"/>
      <c r="L266" s="832">
        <v>46104</v>
      </c>
      <c r="M266" s="711" t="s">
        <v>660</v>
      </c>
      <c r="N266" s="711"/>
      <c r="O266" s="712"/>
      <c r="P266" s="713"/>
      <c r="Q266" s="278"/>
      <c r="R266" s="278"/>
      <c r="S266" s="278"/>
      <c r="T266" s="278"/>
    </row>
    <row r="267" spans="1:20" s="288" customFormat="1" ht="17.55" customHeight="1" x14ac:dyDescent="0.35">
      <c r="A267" s="284"/>
      <c r="B267" s="813">
        <f t="shared" si="4"/>
        <v>64</v>
      </c>
      <c r="C267" s="692" t="s">
        <v>238</v>
      </c>
      <c r="D267" s="688" t="s">
        <v>109</v>
      </c>
      <c r="E267" s="671" t="s">
        <v>92</v>
      </c>
      <c r="F267" s="709">
        <v>46098</v>
      </c>
      <c r="G267" s="833">
        <v>46112</v>
      </c>
      <c r="H267" s="1242" t="s">
        <v>548</v>
      </c>
      <c r="I267" s="1243"/>
      <c r="J267" s="1243"/>
      <c r="K267" s="1243"/>
      <c r="L267" s="833">
        <v>46112</v>
      </c>
      <c r="M267" s="711" t="s">
        <v>688</v>
      </c>
      <c r="N267" s="711"/>
      <c r="O267" s="712"/>
      <c r="P267" s="713"/>
      <c r="Q267" s="278"/>
      <c r="R267" s="278"/>
      <c r="S267" s="278"/>
      <c r="T267" s="278"/>
    </row>
    <row r="268" spans="1:20" s="288" customFormat="1" ht="17.55" customHeight="1" x14ac:dyDescent="0.35">
      <c r="B268" s="813">
        <f t="shared" si="4"/>
        <v>65</v>
      </c>
      <c r="C268" s="685" t="s">
        <v>232</v>
      </c>
      <c r="D268" s="688" t="s">
        <v>91</v>
      </c>
      <c r="E268" s="671" t="s">
        <v>92</v>
      </c>
      <c r="F268" s="714"/>
      <c r="G268" s="833">
        <v>46110</v>
      </c>
      <c r="H268" s="1242" t="s">
        <v>548</v>
      </c>
      <c r="I268" s="1243"/>
      <c r="J268" s="1243"/>
      <c r="K268" s="1243"/>
      <c r="L268" s="833">
        <v>46110</v>
      </c>
      <c r="M268" s="711" t="s">
        <v>688</v>
      </c>
      <c r="N268" s="711"/>
      <c r="O268" s="712"/>
      <c r="P268" s="713"/>
      <c r="Q268" s="278"/>
      <c r="R268" s="278"/>
      <c r="S268" s="278"/>
      <c r="T268" s="278"/>
    </row>
    <row r="269" spans="1:20" s="507" customFormat="1" ht="17.55" customHeight="1" x14ac:dyDescent="0.35">
      <c r="B269" s="813">
        <f t="shared" si="4"/>
        <v>66</v>
      </c>
      <c r="C269" s="672" t="s">
        <v>225</v>
      </c>
      <c r="D269" s="688" t="s">
        <v>91</v>
      </c>
      <c r="E269" s="671" t="s">
        <v>92</v>
      </c>
      <c r="F269" s="834"/>
      <c r="G269" s="833">
        <v>46110</v>
      </c>
      <c r="H269" s="1242" t="s">
        <v>548</v>
      </c>
      <c r="I269" s="1243"/>
      <c r="J269" s="1243"/>
      <c r="K269" s="1243"/>
      <c r="L269" s="833">
        <v>46110</v>
      </c>
      <c r="M269" s="711" t="s">
        <v>688</v>
      </c>
      <c r="N269" s="835"/>
      <c r="O269" s="835"/>
      <c r="P269" s="835"/>
    </row>
    <row r="270" spans="1:20" s="507" customFormat="1" ht="17.55" customHeight="1" x14ac:dyDescent="0.35">
      <c r="B270" s="813">
        <f t="shared" si="4"/>
        <v>67</v>
      </c>
      <c r="C270" s="672" t="s">
        <v>228</v>
      </c>
      <c r="D270" s="688" t="s">
        <v>87</v>
      </c>
      <c r="E270" s="671" t="s">
        <v>92</v>
      </c>
      <c r="F270" s="836" t="s">
        <v>92</v>
      </c>
      <c r="G270" s="833">
        <v>46112</v>
      </c>
      <c r="H270" s="1242" t="s">
        <v>548</v>
      </c>
      <c r="I270" s="1243"/>
      <c r="J270" s="1243"/>
      <c r="K270" s="1243"/>
      <c r="L270" s="833">
        <v>46112</v>
      </c>
      <c r="M270" s="711" t="s">
        <v>688</v>
      </c>
      <c r="N270" s="835"/>
      <c r="O270" s="835"/>
      <c r="P270" s="835"/>
    </row>
    <row r="271" spans="1:20" s="507" customFormat="1" ht="17.55" customHeight="1" x14ac:dyDescent="0.35">
      <c r="B271" s="813">
        <f t="shared" si="4"/>
        <v>68</v>
      </c>
      <c r="C271" s="672" t="s">
        <v>244</v>
      </c>
      <c r="D271" s="688" t="s">
        <v>91</v>
      </c>
      <c r="E271" s="671" t="s">
        <v>664</v>
      </c>
      <c r="F271" s="671" t="s">
        <v>664</v>
      </c>
      <c r="G271" s="833">
        <v>46125</v>
      </c>
      <c r="H271" s="1242" t="s">
        <v>548</v>
      </c>
      <c r="I271" s="1243"/>
      <c r="J271" s="1243"/>
      <c r="K271" s="1243"/>
      <c r="L271" s="833">
        <v>46125</v>
      </c>
      <c r="M271" s="711" t="s">
        <v>688</v>
      </c>
      <c r="N271" s="835"/>
      <c r="O271" s="835"/>
      <c r="P271" s="835"/>
    </row>
    <row r="272" spans="1:20" s="507" customFormat="1" ht="17.55" customHeight="1" x14ac:dyDescent="0.35">
      <c r="B272" s="813">
        <f t="shared" ref="B272:B334" si="5">B271+1</f>
        <v>69</v>
      </c>
      <c r="C272" s="672" t="s">
        <v>245</v>
      </c>
      <c r="D272" s="681" t="s">
        <v>87</v>
      </c>
      <c r="E272" s="680" t="s">
        <v>664</v>
      </c>
      <c r="F272" s="680" t="s">
        <v>664</v>
      </c>
      <c r="G272" s="833">
        <v>46125</v>
      </c>
      <c r="H272" s="1242" t="s">
        <v>548</v>
      </c>
      <c r="I272" s="1243"/>
      <c r="J272" s="1243"/>
      <c r="K272" s="1243"/>
      <c r="L272" s="833">
        <v>46125</v>
      </c>
      <c r="M272" s="711" t="s">
        <v>688</v>
      </c>
      <c r="N272" s="835"/>
      <c r="O272" s="835"/>
      <c r="P272" s="835"/>
    </row>
    <row r="273" spans="1:20" s="507" customFormat="1" ht="17.55" customHeight="1" x14ac:dyDescent="0.35">
      <c r="B273" s="813">
        <f t="shared" si="5"/>
        <v>70</v>
      </c>
      <c r="C273" s="672" t="s">
        <v>246</v>
      </c>
      <c r="D273" s="687" t="s">
        <v>87</v>
      </c>
      <c r="E273" s="671" t="s">
        <v>542</v>
      </c>
      <c r="F273" s="671" t="s">
        <v>542</v>
      </c>
      <c r="G273" s="833">
        <v>46125</v>
      </c>
      <c r="H273" s="1242" t="s">
        <v>548</v>
      </c>
      <c r="I273" s="1243"/>
      <c r="J273" s="1243"/>
      <c r="K273" s="1243"/>
      <c r="L273" s="833">
        <v>46125</v>
      </c>
      <c r="M273" s="711" t="s">
        <v>688</v>
      </c>
      <c r="N273" s="835"/>
      <c r="O273" s="835"/>
      <c r="P273" s="835"/>
    </row>
    <row r="274" spans="1:20" s="507" customFormat="1" ht="17.55" customHeight="1" x14ac:dyDescent="0.35">
      <c r="B274" s="813">
        <f t="shared" si="5"/>
        <v>71</v>
      </c>
      <c r="C274" s="672" t="s">
        <v>421</v>
      </c>
      <c r="D274" s="688" t="s">
        <v>755</v>
      </c>
      <c r="E274" s="671" t="s">
        <v>762</v>
      </c>
      <c r="F274" s="671"/>
      <c r="G274" s="833">
        <v>46125</v>
      </c>
      <c r="H274" s="1242" t="s">
        <v>548</v>
      </c>
      <c r="I274" s="1243"/>
      <c r="J274" s="1243"/>
      <c r="K274" s="1243"/>
      <c r="L274" s="833">
        <v>46125</v>
      </c>
      <c r="M274" s="711" t="s">
        <v>688</v>
      </c>
      <c r="N274" s="835"/>
      <c r="O274" s="835"/>
      <c r="P274" s="835"/>
    </row>
    <row r="275" spans="1:20" s="507" customFormat="1" ht="17.55" customHeight="1" x14ac:dyDescent="0.35">
      <c r="B275" s="813">
        <f t="shared" si="5"/>
        <v>72</v>
      </c>
      <c r="C275" s="672" t="s">
        <v>306</v>
      </c>
      <c r="D275" s="688" t="s">
        <v>109</v>
      </c>
      <c r="E275" s="671" t="s">
        <v>92</v>
      </c>
      <c r="F275" s="671"/>
      <c r="G275" s="833">
        <v>46125</v>
      </c>
      <c r="H275" s="1242" t="s">
        <v>548</v>
      </c>
      <c r="I275" s="1243"/>
      <c r="J275" s="1243"/>
      <c r="K275" s="1243"/>
      <c r="L275" s="833">
        <v>46125</v>
      </c>
      <c r="M275" s="711" t="s">
        <v>760</v>
      </c>
      <c r="N275" s="835"/>
      <c r="O275" s="835"/>
      <c r="P275" s="835"/>
    </row>
    <row r="276" spans="1:20" s="288" customFormat="1" ht="17.55" customHeight="1" x14ac:dyDescent="0.35">
      <c r="A276" s="284"/>
      <c r="B276" s="813">
        <f t="shared" si="5"/>
        <v>73</v>
      </c>
      <c r="C276" s="674" t="s">
        <v>430</v>
      </c>
      <c r="D276" s="837" t="s">
        <v>685</v>
      </c>
      <c r="E276" s="673" t="s">
        <v>92</v>
      </c>
      <c r="F276" s="838"/>
      <c r="G276" s="839">
        <v>46126</v>
      </c>
      <c r="H276" s="1233" t="s">
        <v>548</v>
      </c>
      <c r="I276" s="1234"/>
      <c r="J276" s="1234"/>
      <c r="K276" s="1234"/>
      <c r="L276" s="839">
        <v>46127</v>
      </c>
      <c r="M276" s="825" t="s">
        <v>688</v>
      </c>
      <c r="N276" s="672"/>
      <c r="O276" s="807"/>
      <c r="P276" s="807"/>
      <c r="Q276" s="278"/>
      <c r="R276" s="278"/>
      <c r="S276" s="278"/>
      <c r="T276" s="278"/>
    </row>
    <row r="277" spans="1:20" s="288" customFormat="1" ht="17.55" customHeight="1" x14ac:dyDescent="0.35">
      <c r="A277" s="284"/>
      <c r="B277" s="813">
        <f t="shared" si="5"/>
        <v>74</v>
      </c>
      <c r="C277" s="672" t="s">
        <v>307</v>
      </c>
      <c r="D277" s="688" t="s">
        <v>87</v>
      </c>
      <c r="E277" s="671" t="s">
        <v>92</v>
      </c>
      <c r="F277" s="671" t="s">
        <v>92</v>
      </c>
      <c r="G277" s="709">
        <v>46127</v>
      </c>
      <c r="H277" s="1242" t="s">
        <v>548</v>
      </c>
      <c r="I277" s="1243"/>
      <c r="J277" s="1243"/>
      <c r="K277" s="1243"/>
      <c r="L277" s="709">
        <v>46127</v>
      </c>
      <c r="M277" s="711" t="s">
        <v>760</v>
      </c>
      <c r="N277" s="672"/>
      <c r="O277" s="807"/>
      <c r="P277" s="807"/>
      <c r="Q277" s="278"/>
      <c r="R277" s="278"/>
      <c r="S277" s="278"/>
      <c r="T277" s="278"/>
    </row>
    <row r="278" spans="1:20" s="288" customFormat="1" ht="17.55" customHeight="1" x14ac:dyDescent="0.35">
      <c r="A278" s="284"/>
      <c r="B278" s="813">
        <f t="shared" si="5"/>
        <v>75</v>
      </c>
      <c r="C278" s="685" t="s">
        <v>236</v>
      </c>
      <c r="D278" s="688" t="s">
        <v>87</v>
      </c>
      <c r="E278" s="671" t="s">
        <v>664</v>
      </c>
      <c r="F278" s="671"/>
      <c r="G278" s="709">
        <v>46127</v>
      </c>
      <c r="H278" s="1242" t="s">
        <v>548</v>
      </c>
      <c r="I278" s="1243"/>
      <c r="J278" s="1243"/>
      <c r="K278" s="1243"/>
      <c r="L278" s="709">
        <v>46127</v>
      </c>
      <c r="M278" s="825" t="s">
        <v>688</v>
      </c>
      <c r="N278" s="672"/>
      <c r="O278" s="807"/>
      <c r="P278" s="807"/>
      <c r="Q278" s="278"/>
      <c r="R278" s="278"/>
      <c r="S278" s="278"/>
      <c r="T278" s="278"/>
    </row>
    <row r="279" spans="1:20" s="288" customFormat="1" ht="17.55" customHeight="1" x14ac:dyDescent="0.35">
      <c r="A279" s="284"/>
      <c r="B279" s="813">
        <f t="shared" si="5"/>
        <v>76</v>
      </c>
      <c r="C279" s="672" t="s">
        <v>333</v>
      </c>
      <c r="D279" s="807" t="s">
        <v>95</v>
      </c>
      <c r="E279" s="807" t="s">
        <v>92</v>
      </c>
      <c r="F279" s="671"/>
      <c r="G279" s="833">
        <v>46129</v>
      </c>
      <c r="H279" s="1242" t="s">
        <v>548</v>
      </c>
      <c r="I279" s="1243"/>
      <c r="J279" s="1243"/>
      <c r="K279" s="1243"/>
      <c r="L279" s="833">
        <v>46129</v>
      </c>
      <c r="M279" s="840" t="s">
        <v>865</v>
      </c>
      <c r="N279" s="672"/>
      <c r="O279" s="807"/>
      <c r="P279" s="807"/>
      <c r="Q279" s="278"/>
      <c r="R279" s="278"/>
      <c r="S279" s="278"/>
      <c r="T279" s="278"/>
    </row>
    <row r="280" spans="1:20" s="288" customFormat="1" ht="17.55" customHeight="1" x14ac:dyDescent="0.35">
      <c r="A280" s="284"/>
      <c r="B280" s="813">
        <f t="shared" si="5"/>
        <v>77</v>
      </c>
      <c r="C280" s="672" t="s">
        <v>334</v>
      </c>
      <c r="D280" s="672" t="s">
        <v>109</v>
      </c>
      <c r="E280" s="671" t="s">
        <v>92</v>
      </c>
      <c r="F280" s="671"/>
      <c r="G280" s="833">
        <v>46129</v>
      </c>
      <c r="H280" s="1242" t="s">
        <v>548</v>
      </c>
      <c r="I280" s="1243"/>
      <c r="J280" s="1243"/>
      <c r="K280" s="1243"/>
      <c r="L280" s="833">
        <v>46129</v>
      </c>
      <c r="M280" s="840" t="s">
        <v>865</v>
      </c>
      <c r="N280" s="672"/>
      <c r="O280" s="807"/>
      <c r="P280" s="807"/>
      <c r="Q280" s="278"/>
      <c r="R280" s="278"/>
      <c r="S280" s="278"/>
      <c r="T280" s="278"/>
    </row>
    <row r="281" spans="1:20" s="288" customFormat="1" ht="17.55" customHeight="1" x14ac:dyDescent="0.35">
      <c r="A281" s="284"/>
      <c r="B281" s="813">
        <f t="shared" si="5"/>
        <v>78</v>
      </c>
      <c r="C281" s="672" t="s">
        <v>464</v>
      </c>
      <c r="D281" s="807" t="s">
        <v>558</v>
      </c>
      <c r="E281" s="671" t="s">
        <v>92</v>
      </c>
      <c r="F281" s="671" t="s">
        <v>92</v>
      </c>
      <c r="G281" s="709">
        <v>46130</v>
      </c>
      <c r="H281" s="1242" t="s">
        <v>548</v>
      </c>
      <c r="I281" s="1243"/>
      <c r="J281" s="1243"/>
      <c r="K281" s="1243"/>
      <c r="L281" s="709">
        <v>46130</v>
      </c>
      <c r="M281" s="840" t="s">
        <v>865</v>
      </c>
      <c r="N281" s="672"/>
      <c r="O281" s="807"/>
      <c r="P281" s="807"/>
      <c r="Q281" s="278"/>
      <c r="R281" s="278"/>
      <c r="S281" s="278"/>
      <c r="T281" s="278"/>
    </row>
    <row r="282" spans="1:20" s="288" customFormat="1" ht="17.55" customHeight="1" x14ac:dyDescent="0.35">
      <c r="A282" s="284"/>
      <c r="B282" s="813">
        <f t="shared" si="5"/>
        <v>79</v>
      </c>
      <c r="C282" s="672" t="s">
        <v>309</v>
      </c>
      <c r="D282" s="688" t="s">
        <v>95</v>
      </c>
      <c r="E282" s="671" t="s">
        <v>92</v>
      </c>
      <c r="F282" s="671" t="s">
        <v>92</v>
      </c>
      <c r="G282" s="709">
        <v>46131</v>
      </c>
      <c r="H282" s="1242" t="s">
        <v>548</v>
      </c>
      <c r="I282" s="1243"/>
      <c r="J282" s="1243"/>
      <c r="K282" s="1243"/>
      <c r="L282" s="709">
        <v>46131</v>
      </c>
      <c r="M282" s="711" t="s">
        <v>760</v>
      </c>
      <c r="N282" s="672"/>
      <c r="O282" s="807"/>
      <c r="P282" s="807"/>
      <c r="Q282" s="278"/>
      <c r="R282" s="278"/>
      <c r="S282" s="278"/>
      <c r="T282" s="278"/>
    </row>
    <row r="283" spans="1:20" s="288" customFormat="1" ht="17.55" customHeight="1" x14ac:dyDescent="0.35">
      <c r="A283" s="284"/>
      <c r="B283" s="813">
        <f t="shared" si="5"/>
        <v>80</v>
      </c>
      <c r="C283" s="671" t="s">
        <v>463</v>
      </c>
      <c r="D283" s="672" t="s">
        <v>668</v>
      </c>
      <c r="E283" s="671" t="s">
        <v>92</v>
      </c>
      <c r="F283" s="838"/>
      <c r="G283" s="709">
        <v>46131</v>
      </c>
      <c r="H283" s="1242" t="s">
        <v>548</v>
      </c>
      <c r="I283" s="1243"/>
      <c r="J283" s="1243"/>
      <c r="K283" s="1243"/>
      <c r="L283" s="709">
        <v>46131</v>
      </c>
      <c r="M283" s="840" t="s">
        <v>865</v>
      </c>
      <c r="N283" s="672"/>
      <c r="O283" s="807"/>
      <c r="P283" s="807"/>
      <c r="Q283" s="278"/>
      <c r="R283" s="278"/>
      <c r="S283" s="278"/>
      <c r="T283" s="278"/>
    </row>
    <row r="284" spans="1:20" s="288" customFormat="1" ht="17.55" customHeight="1" x14ac:dyDescent="0.35">
      <c r="A284" s="284"/>
      <c r="B284" s="813">
        <f t="shared" si="5"/>
        <v>81</v>
      </c>
      <c r="C284" s="671" t="s">
        <v>341</v>
      </c>
      <c r="D284" s="672" t="s">
        <v>95</v>
      </c>
      <c r="E284" s="671" t="s">
        <v>542</v>
      </c>
      <c r="F284" s="838"/>
      <c r="G284" s="709">
        <v>46131</v>
      </c>
      <c r="H284" s="1242" t="s">
        <v>548</v>
      </c>
      <c r="I284" s="1243"/>
      <c r="J284" s="1243"/>
      <c r="K284" s="1243"/>
      <c r="L284" s="709">
        <v>46131</v>
      </c>
      <c r="M284" s="840" t="s">
        <v>865</v>
      </c>
      <c r="N284" s="672"/>
      <c r="O284" s="807"/>
      <c r="P284" s="807"/>
      <c r="Q284" s="278"/>
      <c r="R284" s="278"/>
      <c r="S284" s="278"/>
      <c r="T284" s="278"/>
    </row>
    <row r="285" spans="1:20" s="288" customFormat="1" ht="17.55" customHeight="1" x14ac:dyDescent="0.35">
      <c r="A285" s="284"/>
      <c r="B285" s="813">
        <f t="shared" si="5"/>
        <v>82</v>
      </c>
      <c r="C285" s="674" t="s">
        <v>308</v>
      </c>
      <c r="D285" s="837" t="s">
        <v>87</v>
      </c>
      <c r="E285" s="673" t="s">
        <v>92</v>
      </c>
      <c r="F285" s="838"/>
      <c r="G285" s="714">
        <v>46131</v>
      </c>
      <c r="H285" s="1233" t="s">
        <v>548</v>
      </c>
      <c r="I285" s="1234"/>
      <c r="J285" s="1234"/>
      <c r="K285" s="1234"/>
      <c r="L285" s="714">
        <v>46131</v>
      </c>
      <c r="M285" s="825" t="s">
        <v>760</v>
      </c>
      <c r="N285" s="674"/>
      <c r="O285" s="819"/>
      <c r="P285" s="819"/>
      <c r="Q285" s="278"/>
      <c r="R285" s="278"/>
      <c r="S285" s="278"/>
      <c r="T285" s="278"/>
    </row>
    <row r="286" spans="1:20" s="288" customFormat="1" ht="17.55" customHeight="1" x14ac:dyDescent="0.35">
      <c r="A286" s="284"/>
      <c r="B286" s="813">
        <f t="shared" si="5"/>
        <v>83</v>
      </c>
      <c r="C286" s="671" t="s">
        <v>343</v>
      </c>
      <c r="D286" s="672" t="s">
        <v>87</v>
      </c>
      <c r="E286" s="671" t="s">
        <v>542</v>
      </c>
      <c r="F286" s="671"/>
      <c r="G286" s="709">
        <v>46134</v>
      </c>
      <c r="H286" s="1242" t="s">
        <v>548</v>
      </c>
      <c r="I286" s="1243"/>
      <c r="J286" s="1243"/>
      <c r="K286" s="1243"/>
      <c r="L286" s="709">
        <v>46134</v>
      </c>
      <c r="M286" s="840" t="s">
        <v>865</v>
      </c>
      <c r="N286" s="672"/>
      <c r="O286" s="807"/>
      <c r="P286" s="807"/>
      <c r="Q286" s="278"/>
      <c r="R286" s="278"/>
      <c r="S286" s="278"/>
      <c r="T286" s="278"/>
    </row>
    <row r="287" spans="1:20" s="288" customFormat="1" ht="17.55" customHeight="1" x14ac:dyDescent="0.35">
      <c r="A287" s="284"/>
      <c r="B287" s="813">
        <f t="shared" si="5"/>
        <v>84</v>
      </c>
      <c r="C287" s="680" t="s">
        <v>416</v>
      </c>
      <c r="D287" s="688" t="s">
        <v>226</v>
      </c>
      <c r="E287" s="694" t="s">
        <v>541</v>
      </c>
      <c r="F287" s="671"/>
      <c r="G287" s="709">
        <v>46134</v>
      </c>
      <c r="H287" s="1242" t="s">
        <v>548</v>
      </c>
      <c r="I287" s="1243"/>
      <c r="J287" s="1243"/>
      <c r="K287" s="1243"/>
      <c r="L287" s="709">
        <v>46114</v>
      </c>
      <c r="M287" s="711" t="s">
        <v>760</v>
      </c>
      <c r="N287" s="672"/>
      <c r="O287" s="807"/>
      <c r="P287" s="807"/>
      <c r="Q287" s="278"/>
      <c r="R287" s="278"/>
      <c r="S287" s="278"/>
      <c r="T287" s="278"/>
    </row>
    <row r="288" spans="1:20" s="288" customFormat="1" ht="17.55" customHeight="1" x14ac:dyDescent="0.35">
      <c r="A288" s="284"/>
      <c r="B288" s="813">
        <f t="shared" si="5"/>
        <v>85</v>
      </c>
      <c r="C288" s="685" t="s">
        <v>221</v>
      </c>
      <c r="D288" s="672" t="s">
        <v>87</v>
      </c>
      <c r="E288" s="671" t="s">
        <v>92</v>
      </c>
      <c r="F288" s="838"/>
      <c r="G288" s="709">
        <v>46136</v>
      </c>
      <c r="H288" s="1242" t="s">
        <v>548</v>
      </c>
      <c r="I288" s="1243"/>
      <c r="J288" s="1243"/>
      <c r="K288" s="1243"/>
      <c r="L288" s="709">
        <v>46136</v>
      </c>
      <c r="M288" s="711" t="s">
        <v>734</v>
      </c>
      <c r="N288" s="672"/>
      <c r="O288" s="807"/>
      <c r="P288" s="807"/>
      <c r="Q288" s="278"/>
      <c r="R288" s="278"/>
      <c r="S288" s="278"/>
      <c r="T288" s="278"/>
    </row>
    <row r="289" spans="1:20" s="288" customFormat="1" ht="17.55" customHeight="1" x14ac:dyDescent="0.35">
      <c r="A289" s="284"/>
      <c r="B289" s="813">
        <f t="shared" si="5"/>
        <v>86</v>
      </c>
      <c r="C289" s="685" t="s">
        <v>222</v>
      </c>
      <c r="D289" s="684" t="s">
        <v>87</v>
      </c>
      <c r="E289" s="671" t="s">
        <v>541</v>
      </c>
      <c r="F289" s="838"/>
      <c r="G289" s="709">
        <v>46136</v>
      </c>
      <c r="H289" s="1242" t="s">
        <v>548</v>
      </c>
      <c r="I289" s="1243"/>
      <c r="J289" s="1243"/>
      <c r="K289" s="1243"/>
      <c r="L289" s="709">
        <v>46136</v>
      </c>
      <c r="M289" s="711" t="s">
        <v>734</v>
      </c>
      <c r="N289" s="672"/>
      <c r="O289" s="807"/>
      <c r="P289" s="807"/>
      <c r="Q289" s="278"/>
      <c r="R289" s="278"/>
      <c r="S289" s="278"/>
      <c r="T289" s="278"/>
    </row>
    <row r="290" spans="1:20" s="288" customFormat="1" ht="17.55" customHeight="1" x14ac:dyDescent="0.35">
      <c r="A290" s="284"/>
      <c r="B290" s="813">
        <f t="shared" si="5"/>
        <v>87</v>
      </c>
      <c r="C290" s="672" t="s">
        <v>296</v>
      </c>
      <c r="D290" s="688" t="s">
        <v>769</v>
      </c>
      <c r="E290" s="671" t="s">
        <v>92</v>
      </c>
      <c r="F290" s="838"/>
      <c r="G290" s="709">
        <v>46136</v>
      </c>
      <c r="H290" s="1242" t="s">
        <v>548</v>
      </c>
      <c r="I290" s="1243"/>
      <c r="J290" s="1243"/>
      <c r="K290" s="1243"/>
      <c r="L290" s="709">
        <v>46137</v>
      </c>
      <c r="M290" s="711" t="s">
        <v>760</v>
      </c>
      <c r="N290" s="672"/>
      <c r="O290" s="807"/>
      <c r="P290" s="807"/>
      <c r="Q290" s="278"/>
      <c r="R290" s="278"/>
      <c r="S290" s="278"/>
      <c r="T290" s="278"/>
    </row>
    <row r="291" spans="1:20" s="288" customFormat="1" ht="17.55" customHeight="1" x14ac:dyDescent="0.35">
      <c r="A291" s="284"/>
      <c r="B291" s="813">
        <f t="shared" si="5"/>
        <v>88</v>
      </c>
      <c r="C291" s="672" t="s">
        <v>440</v>
      </c>
      <c r="D291" s="688" t="s">
        <v>579</v>
      </c>
      <c r="E291" s="671" t="s">
        <v>92</v>
      </c>
      <c r="F291" s="838"/>
      <c r="G291" s="709">
        <v>46140</v>
      </c>
      <c r="H291" s="1242" t="s">
        <v>548</v>
      </c>
      <c r="I291" s="1243"/>
      <c r="J291" s="1243"/>
      <c r="K291" s="1243"/>
      <c r="L291" s="709">
        <v>46140</v>
      </c>
      <c r="M291" s="711" t="s">
        <v>760</v>
      </c>
      <c r="N291" s="672"/>
      <c r="O291" s="807"/>
      <c r="P291" s="807"/>
      <c r="Q291" s="278"/>
      <c r="R291" s="278"/>
      <c r="S291" s="278"/>
      <c r="T291" s="278"/>
    </row>
    <row r="292" spans="1:20" s="288" customFormat="1" ht="17.55" customHeight="1" x14ac:dyDescent="0.35">
      <c r="A292" s="284"/>
      <c r="B292" s="813">
        <f t="shared" si="5"/>
        <v>89</v>
      </c>
      <c r="C292" s="672" t="s">
        <v>219</v>
      </c>
      <c r="D292" s="688" t="s">
        <v>87</v>
      </c>
      <c r="E292" s="671" t="s">
        <v>92</v>
      </c>
      <c r="F292" s="838"/>
      <c r="G292" s="709">
        <v>46142</v>
      </c>
      <c r="H292" s="1242" t="s">
        <v>548</v>
      </c>
      <c r="I292" s="1243"/>
      <c r="J292" s="1243"/>
      <c r="K292" s="1243"/>
      <c r="L292" s="709">
        <v>46142</v>
      </c>
      <c r="M292" s="711" t="s">
        <v>734</v>
      </c>
      <c r="N292" s="672"/>
      <c r="O292" s="807"/>
      <c r="P292" s="807"/>
      <c r="Q292" s="278"/>
      <c r="R292" s="278"/>
      <c r="S292" s="278"/>
      <c r="T292" s="278"/>
    </row>
    <row r="293" spans="1:20" s="288" customFormat="1" ht="17.55" customHeight="1" x14ac:dyDescent="0.35">
      <c r="A293" s="284"/>
      <c r="B293" s="813">
        <f t="shared" si="5"/>
        <v>90</v>
      </c>
      <c r="C293" s="692" t="s">
        <v>295</v>
      </c>
      <c r="D293" s="688" t="s">
        <v>87</v>
      </c>
      <c r="E293" s="671" t="s">
        <v>92</v>
      </c>
      <c r="F293" s="838"/>
      <c r="G293" s="709">
        <v>46143</v>
      </c>
      <c r="H293" s="1242" t="s">
        <v>548</v>
      </c>
      <c r="I293" s="1243"/>
      <c r="J293" s="1243"/>
      <c r="K293" s="1243"/>
      <c r="L293" s="709">
        <v>46143</v>
      </c>
      <c r="M293" s="711" t="s">
        <v>760</v>
      </c>
      <c r="N293" s="672"/>
      <c r="O293" s="807"/>
      <c r="P293" s="807"/>
      <c r="Q293" s="278"/>
      <c r="R293" s="278"/>
      <c r="S293" s="278"/>
      <c r="T293" s="278"/>
    </row>
    <row r="294" spans="1:20" s="288" customFormat="1" ht="17.55" customHeight="1" x14ac:dyDescent="0.35">
      <c r="A294" s="284"/>
      <c r="B294" s="813">
        <f t="shared" si="5"/>
        <v>91</v>
      </c>
      <c r="C294" s="672" t="s">
        <v>439</v>
      </c>
      <c r="D294" s="688" t="s">
        <v>237</v>
      </c>
      <c r="E294" s="671" t="s">
        <v>92</v>
      </c>
      <c r="F294" s="838"/>
      <c r="G294" s="709">
        <v>46146</v>
      </c>
      <c r="H294" s="1242" t="s">
        <v>548</v>
      </c>
      <c r="I294" s="1243"/>
      <c r="J294" s="1243"/>
      <c r="K294" s="1243"/>
      <c r="L294" s="709">
        <v>46147</v>
      </c>
      <c r="M294" s="711" t="s">
        <v>760</v>
      </c>
      <c r="N294" s="672"/>
      <c r="O294" s="807"/>
      <c r="P294" s="807"/>
      <c r="Q294" s="278"/>
      <c r="R294" s="278"/>
      <c r="S294" s="278"/>
      <c r="T294" s="278"/>
    </row>
    <row r="295" spans="1:20" s="288" customFormat="1" ht="17.55" customHeight="1" x14ac:dyDescent="0.35">
      <c r="A295" s="284"/>
      <c r="B295" s="813">
        <f t="shared" si="5"/>
        <v>92</v>
      </c>
      <c r="C295" s="668" t="s">
        <v>90</v>
      </c>
      <c r="D295" s="667" t="s">
        <v>91</v>
      </c>
      <c r="E295" s="667" t="s">
        <v>92</v>
      </c>
      <c r="F295" s="838"/>
      <c r="G295" s="709">
        <v>46151</v>
      </c>
      <c r="H295" s="1242" t="s">
        <v>548</v>
      </c>
      <c r="I295" s="1243"/>
      <c r="J295" s="1243"/>
      <c r="K295" s="1243"/>
      <c r="L295" s="709">
        <v>46151</v>
      </c>
      <c r="M295" s="840" t="s">
        <v>865</v>
      </c>
      <c r="N295" s="672"/>
      <c r="O295" s="807"/>
      <c r="P295" s="807"/>
      <c r="Q295" s="278"/>
      <c r="R295" s="278"/>
      <c r="S295" s="278"/>
      <c r="T295" s="278"/>
    </row>
    <row r="296" spans="1:20" s="288" customFormat="1" ht="17.55" customHeight="1" x14ac:dyDescent="0.35">
      <c r="A296" s="284"/>
      <c r="B296" s="813">
        <f t="shared" si="5"/>
        <v>93</v>
      </c>
      <c r="C296" s="841" t="s">
        <v>93</v>
      </c>
      <c r="D296" s="667" t="s">
        <v>87</v>
      </c>
      <c r="E296" s="667" t="s">
        <v>92</v>
      </c>
      <c r="F296" s="838"/>
      <c r="G296" s="714">
        <v>46151</v>
      </c>
      <c r="H296" s="1233" t="s">
        <v>548</v>
      </c>
      <c r="I296" s="1234"/>
      <c r="J296" s="1234"/>
      <c r="K296" s="1234"/>
      <c r="L296" s="714">
        <v>46151</v>
      </c>
      <c r="M296" s="842" t="s">
        <v>865</v>
      </c>
      <c r="N296" s="672"/>
      <c r="O296" s="807"/>
      <c r="P296" s="807"/>
      <c r="Q296" s="278"/>
      <c r="R296" s="278"/>
      <c r="S296" s="278"/>
      <c r="T296" s="278"/>
    </row>
    <row r="297" spans="1:20" s="288" customFormat="1" ht="17.55" customHeight="1" x14ac:dyDescent="0.35">
      <c r="A297" s="284"/>
      <c r="B297" s="813">
        <f t="shared" si="5"/>
        <v>94</v>
      </c>
      <c r="C297" s="671" t="s">
        <v>326</v>
      </c>
      <c r="D297" s="672" t="s">
        <v>87</v>
      </c>
      <c r="E297" s="671" t="s">
        <v>92</v>
      </c>
      <c r="F297" s="838"/>
      <c r="G297" s="709">
        <v>46152</v>
      </c>
      <c r="H297" s="1242" t="s">
        <v>548</v>
      </c>
      <c r="I297" s="1243"/>
      <c r="J297" s="1243"/>
      <c r="K297" s="1243"/>
      <c r="L297" s="709">
        <v>46152</v>
      </c>
      <c r="M297" s="840" t="s">
        <v>865</v>
      </c>
      <c r="N297" s="672"/>
      <c r="O297" s="807"/>
      <c r="P297" s="807"/>
      <c r="Q297" s="278"/>
      <c r="R297" s="278"/>
      <c r="S297" s="278"/>
      <c r="T297" s="278"/>
    </row>
    <row r="298" spans="1:20" s="288" customFormat="1" ht="17.55" customHeight="1" x14ac:dyDescent="0.35">
      <c r="A298" s="284"/>
      <c r="B298" s="813">
        <f t="shared" si="5"/>
        <v>95</v>
      </c>
      <c r="C298" s="807" t="s">
        <v>325</v>
      </c>
      <c r="D298" s="807" t="s">
        <v>87</v>
      </c>
      <c r="E298" s="807" t="s">
        <v>92</v>
      </c>
      <c r="F298" s="838"/>
      <c r="G298" s="709">
        <v>46153</v>
      </c>
      <c r="H298" s="1242" t="s">
        <v>548</v>
      </c>
      <c r="I298" s="1243"/>
      <c r="J298" s="1243"/>
      <c r="K298" s="1243"/>
      <c r="L298" s="709">
        <v>46153</v>
      </c>
      <c r="M298" s="840" t="s">
        <v>865</v>
      </c>
      <c r="N298" s="672"/>
      <c r="O298" s="807"/>
      <c r="P298" s="807"/>
      <c r="Q298" s="278"/>
      <c r="R298" s="278"/>
      <c r="S298" s="278"/>
      <c r="T298" s="278"/>
    </row>
    <row r="299" spans="1:20" s="288" customFormat="1" ht="17.55" customHeight="1" x14ac:dyDescent="0.35">
      <c r="A299" s="284"/>
      <c r="B299" s="813">
        <f t="shared" si="5"/>
        <v>96</v>
      </c>
      <c r="C299" s="671" t="s">
        <v>321</v>
      </c>
      <c r="D299" s="672" t="s">
        <v>87</v>
      </c>
      <c r="E299" s="671" t="s">
        <v>92</v>
      </c>
      <c r="F299" s="838"/>
      <c r="G299" s="709">
        <v>46153</v>
      </c>
      <c r="H299" s="1242" t="s">
        <v>548</v>
      </c>
      <c r="I299" s="1243"/>
      <c r="J299" s="1243"/>
      <c r="K299" s="1243"/>
      <c r="L299" s="709">
        <v>46153</v>
      </c>
      <c r="M299" s="840" t="s">
        <v>865</v>
      </c>
      <c r="N299" s="672"/>
      <c r="O299" s="807"/>
      <c r="P299" s="807"/>
      <c r="Q299" s="278"/>
      <c r="R299" s="278"/>
      <c r="S299" s="278"/>
      <c r="T299" s="278"/>
    </row>
    <row r="300" spans="1:20" s="288" customFormat="1" ht="17.55" customHeight="1" x14ac:dyDescent="0.35">
      <c r="A300" s="284"/>
      <c r="B300" s="813">
        <f t="shared" si="5"/>
        <v>97</v>
      </c>
      <c r="C300" s="672" t="s">
        <v>206</v>
      </c>
      <c r="D300" s="688" t="s">
        <v>87</v>
      </c>
      <c r="E300" s="671" t="s">
        <v>92</v>
      </c>
      <c r="F300" s="838"/>
      <c r="G300" s="709">
        <v>46093</v>
      </c>
      <c r="H300" s="1242" t="s">
        <v>548</v>
      </c>
      <c r="I300" s="1243"/>
      <c r="J300" s="1243"/>
      <c r="K300" s="1243"/>
      <c r="L300" s="709">
        <v>46154</v>
      </c>
      <c r="M300" s="711" t="s">
        <v>763</v>
      </c>
      <c r="N300" s="672"/>
      <c r="O300" s="807"/>
      <c r="P300" s="807"/>
      <c r="Q300" s="278"/>
      <c r="R300" s="278"/>
      <c r="S300" s="278"/>
      <c r="T300" s="278"/>
    </row>
    <row r="301" spans="1:20" s="288" customFormat="1" ht="17.55" customHeight="1" x14ac:dyDescent="0.35">
      <c r="A301" s="284"/>
      <c r="B301" s="813">
        <f t="shared" si="5"/>
        <v>98</v>
      </c>
      <c r="C301" s="692" t="s">
        <v>305</v>
      </c>
      <c r="D301" s="690" t="s">
        <v>95</v>
      </c>
      <c r="E301" s="691" t="s">
        <v>92</v>
      </c>
      <c r="F301" s="731"/>
      <c r="G301" s="731">
        <v>46162</v>
      </c>
      <c r="H301" s="1242" t="s">
        <v>548</v>
      </c>
      <c r="I301" s="1243"/>
      <c r="J301" s="1243"/>
      <c r="K301" s="1243"/>
      <c r="L301" s="709">
        <v>46162</v>
      </c>
      <c r="M301" s="711" t="s">
        <v>760</v>
      </c>
      <c r="N301" s="672"/>
      <c r="O301" s="807"/>
      <c r="P301" s="807"/>
      <c r="Q301" s="278"/>
      <c r="R301" s="278"/>
      <c r="S301" s="278"/>
      <c r="T301" s="278"/>
    </row>
    <row r="302" spans="1:20" s="288" customFormat="1" ht="17.55" customHeight="1" x14ac:dyDescent="0.35">
      <c r="A302" s="284"/>
      <c r="B302" s="813">
        <f t="shared" si="5"/>
        <v>99</v>
      </c>
      <c r="C302" s="672" t="s">
        <v>202</v>
      </c>
      <c r="D302" s="688" t="s">
        <v>95</v>
      </c>
      <c r="E302" s="671" t="s">
        <v>92</v>
      </c>
      <c r="F302" s="709"/>
      <c r="G302" s="709">
        <v>46164</v>
      </c>
      <c r="H302" s="1242" t="s">
        <v>548</v>
      </c>
      <c r="I302" s="1243"/>
      <c r="J302" s="1243"/>
      <c r="K302" s="1243"/>
      <c r="L302" s="709">
        <v>46164</v>
      </c>
      <c r="M302" s="711" t="s">
        <v>763</v>
      </c>
      <c r="N302" s="672"/>
      <c r="O302" s="807"/>
      <c r="P302" s="807"/>
      <c r="Q302" s="278"/>
      <c r="R302" s="278"/>
      <c r="S302" s="278"/>
      <c r="T302" s="278"/>
    </row>
    <row r="303" spans="1:20" s="288" customFormat="1" ht="17.55" customHeight="1" x14ac:dyDescent="0.35">
      <c r="A303" s="284"/>
      <c r="B303" s="813">
        <f t="shared" si="5"/>
        <v>100</v>
      </c>
      <c r="C303" s="672" t="s">
        <v>303</v>
      </c>
      <c r="D303" s="688" t="s">
        <v>91</v>
      </c>
      <c r="E303" s="671" t="s">
        <v>92</v>
      </c>
      <c r="F303" s="843"/>
      <c r="G303" s="709">
        <v>46166</v>
      </c>
      <c r="H303" s="1242" t="s">
        <v>548</v>
      </c>
      <c r="I303" s="1243"/>
      <c r="J303" s="1243"/>
      <c r="K303" s="1243"/>
      <c r="L303" s="709">
        <v>46166</v>
      </c>
      <c r="M303" s="711" t="s">
        <v>760</v>
      </c>
      <c r="N303" s="672"/>
      <c r="O303" s="807"/>
      <c r="P303" s="807"/>
      <c r="Q303" s="278"/>
      <c r="R303" s="278"/>
      <c r="S303" s="278"/>
      <c r="T303" s="278"/>
    </row>
    <row r="304" spans="1:20" s="288" customFormat="1" ht="17.55" customHeight="1" x14ac:dyDescent="0.35">
      <c r="A304" s="284"/>
      <c r="B304" s="813">
        <f t="shared" si="5"/>
        <v>101</v>
      </c>
      <c r="C304" s="672" t="s">
        <v>304</v>
      </c>
      <c r="D304" s="688" t="s">
        <v>109</v>
      </c>
      <c r="E304" s="671" t="s">
        <v>92</v>
      </c>
      <c r="F304" s="843"/>
      <c r="G304" s="709">
        <v>46166</v>
      </c>
      <c r="H304" s="1242" t="s">
        <v>548</v>
      </c>
      <c r="I304" s="1243"/>
      <c r="J304" s="1243"/>
      <c r="K304" s="1243"/>
      <c r="L304" s="709">
        <v>46166</v>
      </c>
      <c r="M304" s="711" t="s">
        <v>760</v>
      </c>
      <c r="N304" s="672"/>
      <c r="O304" s="807"/>
      <c r="P304" s="807"/>
      <c r="Q304" s="278"/>
      <c r="R304" s="278"/>
      <c r="S304" s="278"/>
      <c r="T304" s="278"/>
    </row>
    <row r="305" spans="1:20" s="288" customFormat="1" ht="17.55" customHeight="1" x14ac:dyDescent="0.35">
      <c r="A305" s="284"/>
      <c r="B305" s="813">
        <f t="shared" si="5"/>
        <v>102</v>
      </c>
      <c r="C305" s="672" t="s">
        <v>201</v>
      </c>
      <c r="D305" s="688" t="s">
        <v>87</v>
      </c>
      <c r="E305" s="671" t="s">
        <v>92</v>
      </c>
      <c r="F305" s="843"/>
      <c r="G305" s="844">
        <v>46173</v>
      </c>
      <c r="H305" s="1242" t="s">
        <v>548</v>
      </c>
      <c r="I305" s="1243"/>
      <c r="J305" s="1243"/>
      <c r="K305" s="1243"/>
      <c r="L305" s="844">
        <v>46173</v>
      </c>
      <c r="M305" s="711" t="s">
        <v>763</v>
      </c>
      <c r="N305" s="672"/>
      <c r="O305" s="807"/>
      <c r="P305" s="807"/>
      <c r="Q305" s="278"/>
      <c r="R305" s="278"/>
      <c r="S305" s="278"/>
      <c r="T305" s="278"/>
    </row>
    <row r="306" spans="1:20" s="288" customFormat="1" ht="17.55" customHeight="1" x14ac:dyDescent="0.35">
      <c r="A306" s="284"/>
      <c r="B306" s="813">
        <f t="shared" si="5"/>
        <v>103</v>
      </c>
      <c r="C306" s="672" t="s">
        <v>312</v>
      </c>
      <c r="D306" s="688" t="s">
        <v>91</v>
      </c>
      <c r="E306" s="671" t="s">
        <v>92</v>
      </c>
      <c r="F306" s="843"/>
      <c r="G306" s="709">
        <v>46176</v>
      </c>
      <c r="H306" s="1242" t="s">
        <v>548</v>
      </c>
      <c r="I306" s="1243"/>
      <c r="J306" s="1243"/>
      <c r="K306" s="1243"/>
      <c r="L306" s="709">
        <v>46176</v>
      </c>
      <c r="M306" s="711" t="s">
        <v>760</v>
      </c>
      <c r="N306" s="672"/>
      <c r="O306" s="807"/>
      <c r="P306" s="807"/>
      <c r="Q306" s="278"/>
      <c r="R306" s="278"/>
      <c r="S306" s="278"/>
      <c r="T306" s="278"/>
    </row>
    <row r="307" spans="1:20" s="288" customFormat="1" ht="17.55" customHeight="1" x14ac:dyDescent="0.35">
      <c r="A307" s="284"/>
      <c r="B307" s="813">
        <f t="shared" si="5"/>
        <v>104</v>
      </c>
      <c r="C307" s="672" t="s">
        <v>262</v>
      </c>
      <c r="D307" s="837" t="s">
        <v>87</v>
      </c>
      <c r="E307" s="673" t="s">
        <v>92</v>
      </c>
      <c r="F307" s="843"/>
      <c r="G307" s="714">
        <v>46181</v>
      </c>
      <c r="H307" s="1233" t="s">
        <v>548</v>
      </c>
      <c r="I307" s="1234"/>
      <c r="J307" s="1234"/>
      <c r="K307" s="1234"/>
      <c r="L307" s="714">
        <v>46181</v>
      </c>
      <c r="M307" s="825" t="s">
        <v>734</v>
      </c>
      <c r="N307" s="674"/>
      <c r="O307" s="819"/>
      <c r="P307" s="819"/>
      <c r="Q307" s="278"/>
      <c r="R307" s="278"/>
      <c r="S307" s="278"/>
      <c r="T307" s="278"/>
    </row>
    <row r="308" spans="1:20" s="288" customFormat="1" ht="17.55" customHeight="1" x14ac:dyDescent="0.35">
      <c r="A308" s="284"/>
      <c r="B308" s="813">
        <f t="shared" si="5"/>
        <v>105</v>
      </c>
      <c r="C308" s="672" t="s">
        <v>442</v>
      </c>
      <c r="D308" s="688" t="s">
        <v>237</v>
      </c>
      <c r="E308" s="671" t="s">
        <v>92</v>
      </c>
      <c r="F308" s="709"/>
      <c r="G308" s="709">
        <v>46186</v>
      </c>
      <c r="H308" s="1242" t="s">
        <v>548</v>
      </c>
      <c r="I308" s="1243"/>
      <c r="J308" s="1243"/>
      <c r="K308" s="1243"/>
      <c r="L308" s="709">
        <v>46186</v>
      </c>
      <c r="M308" s="711" t="s">
        <v>760</v>
      </c>
      <c r="N308" s="672"/>
      <c r="O308" s="807"/>
      <c r="P308" s="807"/>
      <c r="Q308" s="278"/>
      <c r="R308" s="278"/>
      <c r="S308" s="278"/>
      <c r="T308" s="278"/>
    </row>
    <row r="309" spans="1:20" s="288" customFormat="1" ht="17.55" customHeight="1" x14ac:dyDescent="0.35">
      <c r="A309" s="284"/>
      <c r="B309" s="813">
        <f t="shared" si="5"/>
        <v>106</v>
      </c>
      <c r="C309" s="672" t="s">
        <v>227</v>
      </c>
      <c r="D309" s="688" t="s">
        <v>91</v>
      </c>
      <c r="E309" s="671" t="s">
        <v>92</v>
      </c>
      <c r="F309" s="843"/>
      <c r="G309" s="709">
        <v>46200</v>
      </c>
      <c r="H309" s="1242" t="s">
        <v>548</v>
      </c>
      <c r="I309" s="1243"/>
      <c r="J309" s="1243"/>
      <c r="K309" s="1243"/>
      <c r="L309" s="709">
        <v>46200</v>
      </c>
      <c r="M309" s="711" t="s">
        <v>757</v>
      </c>
      <c r="N309" s="672"/>
      <c r="O309" s="807"/>
      <c r="P309" s="807"/>
      <c r="Q309" s="278"/>
      <c r="R309" s="278"/>
      <c r="S309" s="278"/>
      <c r="T309" s="278"/>
    </row>
    <row r="310" spans="1:20" s="288" customFormat="1" ht="17.55" customHeight="1" x14ac:dyDescent="0.35">
      <c r="A310" s="284"/>
      <c r="B310" s="813">
        <f t="shared" si="5"/>
        <v>107</v>
      </c>
      <c r="C310" s="672" t="s">
        <v>230</v>
      </c>
      <c r="D310" s="688" t="s">
        <v>87</v>
      </c>
      <c r="E310" s="671" t="s">
        <v>92</v>
      </c>
      <c r="F310" s="843"/>
      <c r="G310" s="709">
        <v>46200</v>
      </c>
      <c r="H310" s="1242" t="s">
        <v>548</v>
      </c>
      <c r="I310" s="1243"/>
      <c r="J310" s="1243"/>
      <c r="K310" s="1243"/>
      <c r="L310" s="709">
        <v>46200</v>
      </c>
      <c r="M310" s="711" t="s">
        <v>757</v>
      </c>
      <c r="N310" s="672"/>
      <c r="O310" s="807"/>
      <c r="P310" s="807"/>
      <c r="Q310" s="278"/>
      <c r="R310" s="278"/>
      <c r="S310" s="278"/>
      <c r="T310" s="278"/>
    </row>
    <row r="311" spans="1:20" s="288" customFormat="1" ht="17.55" customHeight="1" x14ac:dyDescent="0.35">
      <c r="A311" s="284"/>
      <c r="B311" s="813">
        <f t="shared" si="5"/>
        <v>108</v>
      </c>
      <c r="C311" s="672" t="s">
        <v>263</v>
      </c>
      <c r="D311" s="688" t="s">
        <v>87</v>
      </c>
      <c r="E311" s="671" t="s">
        <v>664</v>
      </c>
      <c r="F311" s="843"/>
      <c r="G311" s="709">
        <v>46202</v>
      </c>
      <c r="H311" s="1242" t="s">
        <v>548</v>
      </c>
      <c r="I311" s="1243"/>
      <c r="J311" s="1243"/>
      <c r="K311" s="1243"/>
      <c r="L311" s="709">
        <v>46202</v>
      </c>
      <c r="M311" s="825" t="s">
        <v>734</v>
      </c>
      <c r="N311" s="672"/>
      <c r="O311" s="807"/>
      <c r="P311" s="807"/>
      <c r="Q311" s="278"/>
      <c r="R311" s="278"/>
      <c r="S311" s="278"/>
      <c r="T311" s="278"/>
    </row>
    <row r="312" spans="1:20" s="288" customFormat="1" ht="17.55" customHeight="1" x14ac:dyDescent="0.35">
      <c r="A312" s="284"/>
      <c r="B312" s="813">
        <f t="shared" si="5"/>
        <v>109</v>
      </c>
      <c r="C312" s="672" t="s">
        <v>388</v>
      </c>
      <c r="D312" s="688" t="s">
        <v>87</v>
      </c>
      <c r="E312" s="671" t="s">
        <v>92</v>
      </c>
      <c r="F312" s="843"/>
      <c r="G312" s="709">
        <v>46204</v>
      </c>
      <c r="H312" s="1242" t="s">
        <v>548</v>
      </c>
      <c r="I312" s="1243"/>
      <c r="J312" s="1243"/>
      <c r="K312" s="1243"/>
      <c r="L312" s="709">
        <v>46204</v>
      </c>
      <c r="M312" s="711" t="s">
        <v>760</v>
      </c>
      <c r="N312" s="672"/>
      <c r="O312" s="807"/>
      <c r="P312" s="807"/>
      <c r="Q312" s="278"/>
      <c r="R312" s="278"/>
      <c r="S312" s="278"/>
      <c r="T312" s="278"/>
    </row>
    <row r="313" spans="1:20" s="288" customFormat="1" ht="17.55" customHeight="1" x14ac:dyDescent="0.35">
      <c r="A313" s="284"/>
      <c r="B313" s="813">
        <f t="shared" si="5"/>
        <v>110</v>
      </c>
      <c r="C313" s="672" t="s">
        <v>480</v>
      </c>
      <c r="D313" s="688" t="s">
        <v>669</v>
      </c>
      <c r="E313" s="671" t="s">
        <v>92</v>
      </c>
      <c r="F313" s="843"/>
      <c r="G313" s="709">
        <v>46204</v>
      </c>
      <c r="H313" s="1242" t="s">
        <v>548</v>
      </c>
      <c r="I313" s="1243"/>
      <c r="J313" s="1243"/>
      <c r="K313" s="1243"/>
      <c r="L313" s="709">
        <v>46204</v>
      </c>
      <c r="M313" s="711" t="s">
        <v>760</v>
      </c>
      <c r="N313" s="672"/>
      <c r="O313" s="807"/>
      <c r="P313" s="807"/>
      <c r="Q313" s="278"/>
      <c r="R313" s="278"/>
      <c r="S313" s="278"/>
      <c r="T313" s="278"/>
    </row>
    <row r="314" spans="1:20" s="288" customFormat="1" ht="17.55" customHeight="1" x14ac:dyDescent="0.35">
      <c r="A314" s="284"/>
      <c r="B314" s="813">
        <f t="shared" si="5"/>
        <v>111</v>
      </c>
      <c r="C314" s="936" t="s">
        <v>389</v>
      </c>
      <c r="D314" s="837" t="s">
        <v>87</v>
      </c>
      <c r="E314" s="673" t="s">
        <v>92</v>
      </c>
      <c r="F314" s="843"/>
      <c r="G314" s="714">
        <v>46204</v>
      </c>
      <c r="H314" s="1233" t="s">
        <v>548</v>
      </c>
      <c r="I314" s="1234"/>
      <c r="J314" s="1234"/>
      <c r="K314" s="1234"/>
      <c r="L314" s="714">
        <v>46204</v>
      </c>
      <c r="M314" s="825" t="s">
        <v>760</v>
      </c>
      <c r="N314" s="674"/>
      <c r="O314" s="819"/>
      <c r="P314" s="819"/>
      <c r="Q314" s="278"/>
      <c r="R314" s="278"/>
      <c r="S314" s="278"/>
      <c r="T314" s="278"/>
    </row>
    <row r="315" spans="1:20" s="288" customFormat="1" ht="17.55" customHeight="1" x14ac:dyDescent="0.35">
      <c r="A315" s="284"/>
      <c r="B315" s="813">
        <f t="shared" si="5"/>
        <v>112</v>
      </c>
      <c r="C315" s="672" t="s">
        <v>391</v>
      </c>
      <c r="D315" s="688" t="s">
        <v>91</v>
      </c>
      <c r="E315" s="671" t="s">
        <v>92</v>
      </c>
      <c r="F315" s="709"/>
      <c r="G315" s="709">
        <v>46208</v>
      </c>
      <c r="H315" s="1242" t="s">
        <v>548</v>
      </c>
      <c r="I315" s="1243"/>
      <c r="J315" s="1243"/>
      <c r="K315" s="1243"/>
      <c r="L315" s="709">
        <v>46208</v>
      </c>
      <c r="M315" s="711" t="s">
        <v>760</v>
      </c>
      <c r="N315" s="672"/>
      <c r="O315" s="807"/>
      <c r="P315" s="807"/>
      <c r="Q315" s="278"/>
      <c r="R315" s="278"/>
      <c r="S315" s="278"/>
      <c r="T315" s="278"/>
    </row>
    <row r="316" spans="1:20" s="288" customFormat="1" ht="17.55" customHeight="1" x14ac:dyDescent="0.35">
      <c r="A316" s="284"/>
      <c r="B316" s="813">
        <f t="shared" si="5"/>
        <v>113</v>
      </c>
      <c r="C316" s="680" t="s">
        <v>386</v>
      </c>
      <c r="D316" s="672" t="s">
        <v>386</v>
      </c>
      <c r="E316" s="688" t="s">
        <v>87</v>
      </c>
      <c r="F316" s="671" t="s">
        <v>92</v>
      </c>
      <c r="G316" s="709">
        <v>46208</v>
      </c>
      <c r="H316" s="1242" t="s">
        <v>548</v>
      </c>
      <c r="I316" s="1243"/>
      <c r="J316" s="1243"/>
      <c r="K316" s="1243"/>
      <c r="L316" s="709">
        <v>46208</v>
      </c>
      <c r="M316" s="711" t="s">
        <v>760</v>
      </c>
      <c r="N316" s="672"/>
      <c r="O316" s="807"/>
      <c r="P316" s="807"/>
      <c r="Q316" s="278"/>
      <c r="R316" s="278"/>
      <c r="S316" s="278"/>
      <c r="T316" s="278"/>
    </row>
    <row r="317" spans="1:20" s="288" customFormat="1" ht="17.55" customHeight="1" x14ac:dyDescent="0.35">
      <c r="A317" s="284"/>
      <c r="B317" s="813">
        <f t="shared" si="5"/>
        <v>114</v>
      </c>
      <c r="C317" s="672" t="s">
        <v>385</v>
      </c>
      <c r="D317" s="688" t="s">
        <v>87</v>
      </c>
      <c r="E317" s="671" t="s">
        <v>92</v>
      </c>
      <c r="F317" s="671"/>
      <c r="G317" s="709">
        <v>46211</v>
      </c>
      <c r="H317" s="1242" t="s">
        <v>548</v>
      </c>
      <c r="I317" s="1243"/>
      <c r="J317" s="1243"/>
      <c r="K317" s="1243"/>
      <c r="L317" s="709">
        <v>46211</v>
      </c>
      <c r="M317" s="711" t="s">
        <v>760</v>
      </c>
      <c r="N317" s="672"/>
      <c r="O317" s="807"/>
      <c r="P317" s="807"/>
      <c r="Q317" s="278"/>
      <c r="R317" s="278"/>
      <c r="S317" s="278"/>
      <c r="T317" s="278"/>
    </row>
    <row r="318" spans="1:20" s="288" customFormat="1" ht="17.55" customHeight="1" x14ac:dyDescent="0.35">
      <c r="A318" s="284"/>
      <c r="B318" s="813">
        <f t="shared" si="5"/>
        <v>115</v>
      </c>
      <c r="C318" s="672" t="s">
        <v>450</v>
      </c>
      <c r="D318" s="688" t="s">
        <v>668</v>
      </c>
      <c r="E318" s="671" t="s">
        <v>92</v>
      </c>
      <c r="F318" s="838"/>
      <c r="G318" s="709">
        <v>46211</v>
      </c>
      <c r="H318" s="1242" t="s">
        <v>548</v>
      </c>
      <c r="I318" s="1243"/>
      <c r="J318" s="1243"/>
      <c r="K318" s="1243"/>
      <c r="L318" s="709">
        <v>46211</v>
      </c>
      <c r="M318" s="711" t="s">
        <v>917</v>
      </c>
      <c r="N318" s="672"/>
      <c r="O318" s="807"/>
      <c r="P318" s="807"/>
      <c r="Q318" s="278"/>
      <c r="R318" s="278"/>
      <c r="S318" s="278"/>
      <c r="T318" s="278"/>
    </row>
    <row r="319" spans="1:20" s="288" customFormat="1" ht="17.55" customHeight="1" x14ac:dyDescent="0.35">
      <c r="A319" s="284"/>
      <c r="B319" s="813">
        <f t="shared" si="5"/>
        <v>116</v>
      </c>
      <c r="C319" s="672" t="s">
        <v>384</v>
      </c>
      <c r="D319" s="688" t="s">
        <v>87</v>
      </c>
      <c r="E319" s="671" t="s">
        <v>92</v>
      </c>
      <c r="F319" s="838"/>
      <c r="G319" s="709">
        <v>46212</v>
      </c>
      <c r="H319" s="1242" t="s">
        <v>548</v>
      </c>
      <c r="I319" s="1243"/>
      <c r="J319" s="1243"/>
      <c r="K319" s="1243"/>
      <c r="L319" s="709">
        <v>46212</v>
      </c>
      <c r="M319" s="711" t="s">
        <v>760</v>
      </c>
      <c r="N319" s="672"/>
      <c r="O319" s="807"/>
      <c r="P319" s="807"/>
      <c r="Q319" s="278"/>
      <c r="R319" s="278"/>
      <c r="S319" s="278"/>
      <c r="T319" s="278"/>
    </row>
    <row r="320" spans="1:20" s="288" customFormat="1" ht="17.55" customHeight="1" x14ac:dyDescent="0.35">
      <c r="A320" s="284"/>
      <c r="B320" s="813">
        <f t="shared" si="5"/>
        <v>117</v>
      </c>
      <c r="C320" s="672" t="s">
        <v>264</v>
      </c>
      <c r="D320" s="688" t="s">
        <v>87</v>
      </c>
      <c r="E320" s="671" t="s">
        <v>88</v>
      </c>
      <c r="F320" s="838"/>
      <c r="G320" s="709">
        <v>46212</v>
      </c>
      <c r="H320" s="1242" t="s">
        <v>548</v>
      </c>
      <c r="I320" s="1243"/>
      <c r="J320" s="1243"/>
      <c r="K320" s="1243"/>
      <c r="L320" s="709">
        <v>46212</v>
      </c>
      <c r="M320" s="711" t="s">
        <v>734</v>
      </c>
      <c r="N320" s="672"/>
      <c r="O320" s="807"/>
      <c r="P320" s="807"/>
      <c r="Q320" s="278"/>
      <c r="R320" s="278"/>
      <c r="S320" s="278"/>
      <c r="T320" s="278"/>
    </row>
    <row r="321" spans="1:20" s="288" customFormat="1" ht="17.399999999999999" x14ac:dyDescent="0.35">
      <c r="A321" s="284"/>
      <c r="B321" s="813">
        <f t="shared" si="5"/>
        <v>118</v>
      </c>
      <c r="C321" s="672" t="s">
        <v>417</v>
      </c>
      <c r="D321" s="688" t="s">
        <v>754</v>
      </c>
      <c r="E321" s="671" t="s">
        <v>92</v>
      </c>
      <c r="F321" s="846"/>
      <c r="G321" s="731">
        <v>46213</v>
      </c>
      <c r="H321" s="1242" t="s">
        <v>548</v>
      </c>
      <c r="I321" s="1243"/>
      <c r="J321" s="1243"/>
      <c r="K321" s="1243"/>
      <c r="L321" s="731">
        <v>46213</v>
      </c>
      <c r="M321" s="711" t="s">
        <v>757</v>
      </c>
      <c r="N321" s="672"/>
      <c r="O321" s="807"/>
      <c r="P321" s="807"/>
      <c r="Q321" s="278"/>
      <c r="R321" s="278"/>
      <c r="S321" s="278"/>
      <c r="T321" s="278"/>
    </row>
    <row r="322" spans="1:20" s="288" customFormat="1" ht="18" customHeight="1" x14ac:dyDescent="0.35">
      <c r="A322" s="284"/>
      <c r="B322" s="813">
        <f t="shared" si="5"/>
        <v>119</v>
      </c>
      <c r="C322" s="672" t="s">
        <v>445</v>
      </c>
      <c r="D322" s="688" t="s">
        <v>919</v>
      </c>
      <c r="E322" s="671" t="s">
        <v>92</v>
      </c>
      <c r="F322" s="846"/>
      <c r="G322" s="731">
        <v>46214</v>
      </c>
      <c r="H322" s="1242" t="s">
        <v>548</v>
      </c>
      <c r="I322" s="1243"/>
      <c r="J322" s="1243"/>
      <c r="K322" s="1243"/>
      <c r="L322" s="731">
        <v>46214</v>
      </c>
      <c r="M322" s="711" t="s">
        <v>917</v>
      </c>
      <c r="N322" s="672"/>
      <c r="O322" s="807"/>
      <c r="P322" s="807"/>
      <c r="Q322" s="278"/>
      <c r="R322" s="278"/>
      <c r="S322" s="278"/>
      <c r="T322" s="278"/>
    </row>
    <row r="323" spans="1:20" s="288" customFormat="1" ht="18" customHeight="1" x14ac:dyDescent="0.35">
      <c r="A323" s="284"/>
      <c r="B323" s="813">
        <f t="shared" si="5"/>
        <v>120</v>
      </c>
      <c r="C323" s="672" t="s">
        <v>229</v>
      </c>
      <c r="D323" s="688" t="s">
        <v>87</v>
      </c>
      <c r="E323" s="671" t="s">
        <v>92</v>
      </c>
      <c r="F323" s="846"/>
      <c r="G323" s="731">
        <v>46215</v>
      </c>
      <c r="H323" s="1242" t="s">
        <v>548</v>
      </c>
      <c r="I323" s="1243"/>
      <c r="J323" s="1243"/>
      <c r="K323" s="1243"/>
      <c r="L323" s="731">
        <v>46215</v>
      </c>
      <c r="M323" s="711" t="s">
        <v>757</v>
      </c>
      <c r="N323" s="672"/>
      <c r="O323" s="807"/>
      <c r="P323" s="807"/>
      <c r="Q323" s="278"/>
      <c r="R323" s="278"/>
      <c r="S323" s="278"/>
      <c r="T323" s="278"/>
    </row>
    <row r="324" spans="1:20" s="288" customFormat="1" ht="18" customHeight="1" x14ac:dyDescent="0.35">
      <c r="A324" s="284"/>
      <c r="B324" s="813">
        <f t="shared" si="5"/>
        <v>121</v>
      </c>
      <c r="C324" s="692" t="s">
        <v>231</v>
      </c>
      <c r="D324" s="688" t="s">
        <v>87</v>
      </c>
      <c r="E324" s="671" t="s">
        <v>92</v>
      </c>
      <c r="F324" s="846"/>
      <c r="G324" s="731">
        <v>46215</v>
      </c>
      <c r="H324" s="1242" t="s">
        <v>548</v>
      </c>
      <c r="I324" s="1243"/>
      <c r="J324" s="1243"/>
      <c r="K324" s="1243"/>
      <c r="L324" s="731">
        <v>46215</v>
      </c>
      <c r="M324" s="711" t="s">
        <v>757</v>
      </c>
      <c r="N324" s="672"/>
      <c r="O324" s="807"/>
      <c r="P324" s="807"/>
      <c r="Q324" s="278"/>
      <c r="R324" s="278"/>
      <c r="S324" s="278"/>
      <c r="T324" s="278"/>
    </row>
    <row r="325" spans="1:20" s="288" customFormat="1" ht="18" customHeight="1" x14ac:dyDescent="0.35">
      <c r="A325" s="284"/>
      <c r="B325" s="813">
        <f t="shared" si="5"/>
        <v>122</v>
      </c>
      <c r="C325" s="672" t="s">
        <v>427</v>
      </c>
      <c r="D325" s="688" t="s">
        <v>914</v>
      </c>
      <c r="E325" s="671" t="s">
        <v>92</v>
      </c>
      <c r="F325" s="846"/>
      <c r="G325" s="731">
        <v>46216</v>
      </c>
      <c r="H325" s="1242" t="s">
        <v>548</v>
      </c>
      <c r="I325" s="1243"/>
      <c r="J325" s="1243"/>
      <c r="K325" s="1243"/>
      <c r="L325" s="731">
        <v>46216</v>
      </c>
      <c r="M325" s="711" t="s">
        <v>734</v>
      </c>
      <c r="N325" s="672"/>
      <c r="O325" s="807"/>
      <c r="P325" s="807"/>
      <c r="Q325" s="278"/>
      <c r="R325" s="278"/>
      <c r="S325" s="278"/>
      <c r="T325" s="278"/>
    </row>
    <row r="326" spans="1:20" s="288" customFormat="1" ht="18" customHeight="1" x14ac:dyDescent="0.35">
      <c r="A326" s="284"/>
      <c r="B326" s="813">
        <f t="shared" si="5"/>
        <v>123</v>
      </c>
      <c r="C326" s="672" t="s">
        <v>240</v>
      </c>
      <c r="D326" s="688" t="s">
        <v>87</v>
      </c>
      <c r="E326" s="671" t="s">
        <v>92</v>
      </c>
      <c r="F326" s="846"/>
      <c r="G326" s="731">
        <v>46217</v>
      </c>
      <c r="H326" s="1242" t="s">
        <v>548</v>
      </c>
      <c r="I326" s="1243"/>
      <c r="J326" s="1243"/>
      <c r="K326" s="1243"/>
      <c r="L326" s="731">
        <v>46217</v>
      </c>
      <c r="M326" s="711" t="s">
        <v>757</v>
      </c>
      <c r="N326" s="672"/>
      <c r="O326" s="807"/>
      <c r="P326" s="807"/>
      <c r="Q326" s="278"/>
      <c r="R326" s="278"/>
      <c r="S326" s="278"/>
      <c r="T326" s="278"/>
    </row>
    <row r="327" spans="1:20" s="288" customFormat="1" ht="18" customHeight="1" x14ac:dyDescent="0.35">
      <c r="A327" s="284"/>
      <c r="B327" s="813">
        <f t="shared" si="5"/>
        <v>124</v>
      </c>
      <c r="C327" s="672" t="s">
        <v>383</v>
      </c>
      <c r="D327" s="688" t="s">
        <v>91</v>
      </c>
      <c r="E327" s="671" t="s">
        <v>92</v>
      </c>
      <c r="F327" s="846"/>
      <c r="G327" s="731">
        <v>46217</v>
      </c>
      <c r="H327" s="1242" t="s">
        <v>548</v>
      </c>
      <c r="I327" s="1243"/>
      <c r="J327" s="1243"/>
      <c r="K327" s="1243"/>
      <c r="L327" s="731">
        <v>46217</v>
      </c>
      <c r="M327" s="711" t="s">
        <v>760</v>
      </c>
      <c r="N327" s="672"/>
      <c r="O327" s="807"/>
      <c r="P327" s="807"/>
      <c r="Q327" s="278"/>
      <c r="R327" s="278"/>
      <c r="S327" s="278"/>
      <c r="T327" s="278"/>
    </row>
    <row r="328" spans="1:20" s="288" customFormat="1" ht="18" customHeight="1" x14ac:dyDescent="0.35">
      <c r="A328" s="284"/>
      <c r="B328" s="813">
        <f t="shared" si="5"/>
        <v>125</v>
      </c>
      <c r="C328" s="672" t="s">
        <v>428</v>
      </c>
      <c r="D328" s="688" t="s">
        <v>668</v>
      </c>
      <c r="E328" s="671" t="s">
        <v>92</v>
      </c>
      <c r="F328" s="846"/>
      <c r="G328" s="731">
        <v>46219</v>
      </c>
      <c r="H328" s="1242" t="s">
        <v>548</v>
      </c>
      <c r="I328" s="1243"/>
      <c r="J328" s="1243"/>
      <c r="K328" s="1243"/>
      <c r="L328" s="731">
        <v>46219</v>
      </c>
      <c r="M328" s="711" t="s">
        <v>734</v>
      </c>
      <c r="N328" s="672"/>
      <c r="O328" s="807"/>
      <c r="P328" s="807"/>
      <c r="Q328" s="278"/>
      <c r="R328" s="278"/>
      <c r="S328" s="278"/>
      <c r="T328" s="278"/>
    </row>
    <row r="329" spans="1:20" s="288" customFormat="1" ht="18" customHeight="1" x14ac:dyDescent="0.35">
      <c r="A329" s="284"/>
      <c r="B329" s="813">
        <f t="shared" si="5"/>
        <v>126</v>
      </c>
      <c r="C329" s="672" t="s">
        <v>454</v>
      </c>
      <c r="D329" s="688" t="s">
        <v>914</v>
      </c>
      <c r="E329" s="671" t="s">
        <v>92</v>
      </c>
      <c r="F329" s="846"/>
      <c r="G329" s="731">
        <v>46219</v>
      </c>
      <c r="H329" s="1242" t="s">
        <v>548</v>
      </c>
      <c r="I329" s="1243"/>
      <c r="J329" s="1243"/>
      <c r="K329" s="1243"/>
      <c r="L329" s="731">
        <v>46219</v>
      </c>
      <c r="M329" s="711" t="s">
        <v>917</v>
      </c>
      <c r="N329" s="672"/>
      <c r="O329" s="807"/>
      <c r="P329" s="807"/>
      <c r="Q329" s="278"/>
      <c r="R329" s="278"/>
      <c r="S329" s="278"/>
      <c r="T329" s="278"/>
    </row>
    <row r="330" spans="1:20" s="288" customFormat="1" ht="18" customHeight="1" x14ac:dyDescent="0.35">
      <c r="A330" s="284"/>
      <c r="B330" s="813">
        <f t="shared" si="5"/>
        <v>127</v>
      </c>
      <c r="C330" s="672" t="s">
        <v>257</v>
      </c>
      <c r="D330" s="688" t="s">
        <v>91</v>
      </c>
      <c r="E330" s="671" t="s">
        <v>88</v>
      </c>
      <c r="F330" s="846"/>
      <c r="G330" s="731">
        <v>46219</v>
      </c>
      <c r="H330" s="1242" t="s">
        <v>548</v>
      </c>
      <c r="I330" s="1243"/>
      <c r="J330" s="1243"/>
      <c r="K330" s="1243"/>
      <c r="L330" s="731">
        <v>46219</v>
      </c>
      <c r="M330" s="711" t="s">
        <v>734</v>
      </c>
      <c r="N330" s="672"/>
      <c r="O330" s="807"/>
      <c r="P330" s="807"/>
      <c r="Q330" s="278"/>
      <c r="R330" s="278"/>
      <c r="S330" s="278"/>
      <c r="T330" s="278"/>
    </row>
    <row r="331" spans="1:20" s="288" customFormat="1" ht="18" customHeight="1" x14ac:dyDescent="0.35">
      <c r="A331" s="284"/>
      <c r="B331" s="813">
        <f t="shared" si="5"/>
        <v>128</v>
      </c>
      <c r="C331" s="674" t="s">
        <v>290</v>
      </c>
      <c r="D331" s="837" t="s">
        <v>91</v>
      </c>
      <c r="E331" s="673" t="s">
        <v>92</v>
      </c>
      <c r="F331" s="846"/>
      <c r="G331" s="1068">
        <v>46222</v>
      </c>
      <c r="H331" s="1233" t="s">
        <v>548</v>
      </c>
      <c r="I331" s="1234"/>
      <c r="J331" s="1234"/>
      <c r="K331" s="1234"/>
      <c r="L331" s="1068">
        <v>46222</v>
      </c>
      <c r="M331" s="825" t="s">
        <v>928</v>
      </c>
      <c r="N331" s="674"/>
      <c r="O331" s="819"/>
      <c r="P331" s="819"/>
      <c r="Q331" s="278"/>
      <c r="R331" s="278"/>
      <c r="S331" s="278"/>
      <c r="T331" s="278"/>
    </row>
    <row r="332" spans="1:20" s="288" customFormat="1" ht="18" customHeight="1" x14ac:dyDescent="0.35">
      <c r="A332" s="284"/>
      <c r="B332" s="813">
        <f t="shared" si="5"/>
        <v>129</v>
      </c>
      <c r="C332" s="672" t="s">
        <v>422</v>
      </c>
      <c r="D332" s="688" t="s">
        <v>933</v>
      </c>
      <c r="E332" s="671" t="s">
        <v>541</v>
      </c>
      <c r="F332" s="731"/>
      <c r="G332" s="731">
        <v>46227</v>
      </c>
      <c r="H332" s="1242" t="s">
        <v>548</v>
      </c>
      <c r="I332" s="1243"/>
      <c r="J332" s="1243"/>
      <c r="K332" s="1243"/>
      <c r="L332" s="731">
        <v>46228</v>
      </c>
      <c r="M332" s="711" t="s">
        <v>757</v>
      </c>
      <c r="N332" s="672"/>
      <c r="O332" s="807"/>
      <c r="P332" s="807"/>
      <c r="Q332" s="278"/>
      <c r="R332" s="278"/>
      <c r="S332" s="278"/>
      <c r="T332" s="278"/>
    </row>
    <row r="333" spans="1:20" s="288" customFormat="1" ht="18" customHeight="1" x14ac:dyDescent="0.35">
      <c r="A333" s="284"/>
      <c r="B333" s="813">
        <f t="shared" si="5"/>
        <v>130</v>
      </c>
      <c r="C333" s="672" t="s">
        <v>379</v>
      </c>
      <c r="D333" s="688" t="s">
        <v>91</v>
      </c>
      <c r="E333" s="671" t="s">
        <v>92</v>
      </c>
      <c r="F333" s="846"/>
      <c r="G333" s="731">
        <v>46230</v>
      </c>
      <c r="H333" s="1242" t="s">
        <v>548</v>
      </c>
      <c r="I333" s="1243"/>
      <c r="J333" s="1243"/>
      <c r="K333" s="1243"/>
      <c r="L333" s="731">
        <v>46230</v>
      </c>
      <c r="M333" s="711" t="s">
        <v>760</v>
      </c>
      <c r="N333" s="672"/>
      <c r="O333" s="807"/>
      <c r="P333" s="807"/>
      <c r="Q333" s="278"/>
      <c r="R333" s="278"/>
      <c r="S333" s="278"/>
      <c r="T333" s="278"/>
    </row>
    <row r="334" spans="1:20" s="288" customFormat="1" ht="18" customHeight="1" x14ac:dyDescent="0.35">
      <c r="A334" s="284"/>
      <c r="B334" s="813">
        <f t="shared" si="5"/>
        <v>131</v>
      </c>
      <c r="C334" s="692" t="s">
        <v>456</v>
      </c>
      <c r="D334" s="671" t="s">
        <v>669</v>
      </c>
      <c r="E334" s="671" t="s">
        <v>92</v>
      </c>
      <c r="F334" s="846"/>
      <c r="G334" s="731">
        <v>46231</v>
      </c>
      <c r="H334" s="1242" t="s">
        <v>548</v>
      </c>
      <c r="I334" s="1243"/>
      <c r="J334" s="1243"/>
      <c r="K334" s="1243"/>
      <c r="L334" s="731">
        <v>46231</v>
      </c>
      <c r="M334" s="711" t="s">
        <v>917</v>
      </c>
      <c r="N334" s="672"/>
      <c r="O334" s="807"/>
      <c r="P334" s="807"/>
      <c r="Q334" s="278"/>
      <c r="R334" s="278"/>
      <c r="S334" s="278"/>
      <c r="T334" s="278"/>
    </row>
    <row r="335" spans="1:20" s="288" customFormat="1" ht="18" customHeight="1" thickBot="1" x14ac:dyDescent="0.4">
      <c r="A335" s="284"/>
      <c r="B335" s="845"/>
      <c r="C335" s="841"/>
      <c r="D335" s="693"/>
      <c r="E335" s="838"/>
      <c r="F335" s="846"/>
      <c r="G335" s="846"/>
      <c r="H335" s="847"/>
      <c r="I335" s="848"/>
      <c r="J335" s="848"/>
      <c r="K335" s="848"/>
      <c r="L335" s="846"/>
      <c r="M335" s="771"/>
      <c r="N335" s="841"/>
      <c r="O335" s="849"/>
      <c r="P335" s="849"/>
      <c r="Q335" s="278"/>
      <c r="R335" s="278"/>
      <c r="S335" s="278"/>
      <c r="T335" s="278"/>
    </row>
    <row r="336" spans="1:20" ht="13.5" customHeight="1" thickBot="1" x14ac:dyDescent="0.4">
      <c r="B336" s="850" t="s">
        <v>101</v>
      </c>
      <c r="C336" s="851"/>
      <c r="D336" s="851"/>
      <c r="E336" s="851"/>
      <c r="F336" s="851"/>
      <c r="G336" s="851"/>
      <c r="H336" s="851"/>
      <c r="I336" s="851"/>
      <c r="J336" s="851"/>
      <c r="K336" s="851"/>
      <c r="L336" s="851"/>
      <c r="M336" s="851"/>
      <c r="N336" s="851"/>
      <c r="O336" s="852"/>
      <c r="P336" s="702"/>
      <c r="Q336" s="1"/>
      <c r="R336" s="1"/>
      <c r="S336" s="1"/>
      <c r="T336" s="1"/>
    </row>
    <row r="337" spans="2:20" ht="13.5" customHeight="1" x14ac:dyDescent="0.35">
      <c r="B337" s="853" t="s">
        <v>69</v>
      </c>
      <c r="C337" s="854" t="s">
        <v>70</v>
      </c>
      <c r="D337" s="854" t="s">
        <v>71</v>
      </c>
      <c r="E337" s="854" t="s">
        <v>99</v>
      </c>
      <c r="F337" s="855"/>
      <c r="G337" s="855"/>
      <c r="H337" s="855"/>
      <c r="I337" s="855"/>
      <c r="J337" s="854" t="s">
        <v>82</v>
      </c>
      <c r="K337" s="854" t="s">
        <v>84</v>
      </c>
      <c r="L337" s="854" t="s">
        <v>102</v>
      </c>
      <c r="M337" s="854" t="s">
        <v>103</v>
      </c>
      <c r="N337" s="854" t="s">
        <v>104</v>
      </c>
      <c r="O337" s="702"/>
      <c r="P337" s="702"/>
      <c r="Q337" s="1"/>
      <c r="R337" s="1"/>
      <c r="S337" s="1"/>
      <c r="T337" s="1"/>
    </row>
    <row r="338" spans="2:20" ht="13.5" customHeight="1" x14ac:dyDescent="0.35">
      <c r="B338" s="856"/>
      <c r="C338" s="857"/>
      <c r="D338" s="858"/>
      <c r="E338" s="859"/>
      <c r="F338" s="860"/>
      <c r="G338" s="860"/>
      <c r="H338" s="860"/>
      <c r="I338" s="861"/>
      <c r="J338" s="857"/>
      <c r="K338" s="857"/>
      <c r="L338" s="856"/>
      <c r="M338" s="862"/>
      <c r="N338" s="862"/>
      <c r="O338" s="702"/>
      <c r="P338" s="702"/>
      <c r="Q338" s="1"/>
      <c r="R338" s="1"/>
      <c r="S338" s="1"/>
      <c r="T338" s="1"/>
    </row>
    <row r="339" spans="2:20" ht="13.5" customHeight="1" thickBot="1" x14ac:dyDescent="0.4">
      <c r="B339" s="863"/>
      <c r="C339" s="864"/>
      <c r="D339" s="865"/>
      <c r="E339" s="866"/>
      <c r="F339" s="866"/>
      <c r="G339" s="866"/>
      <c r="H339" s="866"/>
      <c r="I339" s="866"/>
      <c r="J339" s="864"/>
      <c r="K339" s="864"/>
      <c r="L339" s="867"/>
      <c r="M339" s="702"/>
      <c r="N339" s="702"/>
      <c r="O339" s="702"/>
      <c r="P339" s="702"/>
      <c r="Q339" s="1"/>
      <c r="R339" s="1"/>
      <c r="S339" s="1"/>
      <c r="T339" s="1"/>
    </row>
    <row r="340" spans="2:20" ht="16.5" customHeight="1" thickBot="1" x14ac:dyDescent="0.4">
      <c r="B340" s="850" t="s">
        <v>105</v>
      </c>
      <c r="C340" s="868"/>
      <c r="D340" s="868"/>
      <c r="E340" s="868"/>
      <c r="F340" s="868"/>
      <c r="G340" s="868"/>
      <c r="H340" s="868" t="s">
        <v>862</v>
      </c>
      <c r="I340" s="868"/>
      <c r="J340" s="868"/>
      <c r="K340" s="868"/>
      <c r="L340" s="869"/>
      <c r="M340" s="702"/>
      <c r="N340" s="702"/>
      <c r="O340" s="702"/>
      <c r="P340" s="702"/>
      <c r="Q340" s="1"/>
      <c r="R340" s="1"/>
      <c r="S340" s="1"/>
      <c r="T340" s="1"/>
    </row>
    <row r="341" spans="2:20" ht="13.5" customHeight="1" x14ac:dyDescent="0.35">
      <c r="B341" s="870" t="s">
        <v>69</v>
      </c>
      <c r="C341" s="870" t="s">
        <v>70</v>
      </c>
      <c r="D341" s="870" t="s">
        <v>71</v>
      </c>
      <c r="E341" s="871" t="s">
        <v>99</v>
      </c>
      <c r="F341" s="872"/>
      <c r="G341" s="872"/>
      <c r="H341" s="872"/>
      <c r="I341" s="873"/>
      <c r="J341" s="870" t="s">
        <v>82</v>
      </c>
      <c r="K341" s="870" t="s">
        <v>84</v>
      </c>
      <c r="L341" s="870" t="s">
        <v>33</v>
      </c>
      <c r="M341" s="702"/>
      <c r="N341" s="702"/>
      <c r="O341" s="702"/>
      <c r="P341" s="702"/>
      <c r="Q341" s="1"/>
      <c r="R341" s="1"/>
      <c r="S341" s="1"/>
      <c r="T341" s="1"/>
    </row>
    <row r="342" spans="2:20" ht="13.5" customHeight="1" thickBot="1" x14ac:dyDescent="0.4">
      <c r="B342" s="874"/>
      <c r="C342" s="802"/>
      <c r="D342" s="875"/>
      <c r="E342" s="876"/>
      <c r="F342" s="877"/>
      <c r="G342" s="877"/>
      <c r="H342" s="877"/>
      <c r="I342" s="878"/>
      <c r="J342" s="701"/>
      <c r="K342" s="700"/>
      <c r="L342" s="667"/>
      <c r="M342" s="702"/>
      <c r="N342" s="702"/>
      <c r="O342" s="702"/>
      <c r="P342" s="702"/>
      <c r="Q342" s="1"/>
      <c r="R342" s="1"/>
      <c r="S342" s="1"/>
      <c r="T342" s="1"/>
    </row>
    <row r="343" spans="2:20" ht="15.6" customHeight="1" thickBot="1" x14ac:dyDescent="0.35">
      <c r="B343" s="1244" t="s">
        <v>106</v>
      </c>
      <c r="C343" s="1245"/>
      <c r="D343" s="1246"/>
      <c r="E343" s="879"/>
      <c r="F343" s="879"/>
      <c r="G343" s="879"/>
      <c r="H343" s="879"/>
      <c r="I343" s="879"/>
      <c r="J343" s="879"/>
      <c r="K343" s="879"/>
      <c r="L343" s="879"/>
      <c r="M343" s="879"/>
      <c r="N343" s="879"/>
      <c r="O343" s="879"/>
      <c r="P343" s="880"/>
      <c r="Q343" s="1"/>
      <c r="R343" s="1"/>
      <c r="S343" s="1"/>
      <c r="T343" s="1"/>
    </row>
    <row r="344" spans="2:20" ht="34.799999999999997" x14ac:dyDescent="0.35">
      <c r="B344" s="881" t="s">
        <v>98</v>
      </c>
      <c r="C344" s="881" t="s">
        <v>74</v>
      </c>
      <c r="D344" s="881" t="s">
        <v>75</v>
      </c>
      <c r="E344" s="882" t="s">
        <v>76</v>
      </c>
      <c r="F344" s="882"/>
      <c r="G344" s="882" t="s">
        <v>78</v>
      </c>
      <c r="H344" s="882" t="s">
        <v>107</v>
      </c>
      <c r="I344" s="1298" t="s">
        <v>99</v>
      </c>
      <c r="J344" s="1299"/>
      <c r="K344" s="1299"/>
      <c r="L344" s="1300"/>
      <c r="M344" s="882" t="s">
        <v>81</v>
      </c>
      <c r="N344" s="882" t="s">
        <v>82</v>
      </c>
      <c r="O344" s="882" t="s">
        <v>84</v>
      </c>
      <c r="P344" s="882" t="s">
        <v>100</v>
      </c>
      <c r="Q344" s="1"/>
      <c r="R344" s="1"/>
      <c r="S344" s="1"/>
      <c r="T344" s="1"/>
    </row>
    <row r="345" spans="2:20" ht="17.55" customHeight="1" x14ac:dyDescent="0.35">
      <c r="B345" s="874">
        <v>1</v>
      </c>
      <c r="C345" s="883" cm="1">
        <f t="array" aca="1" ref="C345" ca="1">C345:D40777/1</f>
        <v>0</v>
      </c>
      <c r="D345" s="802" t="s">
        <v>87</v>
      </c>
      <c r="E345" s="802" t="s">
        <v>92</v>
      </c>
      <c r="F345" s="802"/>
      <c r="G345" s="803">
        <v>46006</v>
      </c>
      <c r="H345" s="884">
        <v>35.088999999999999</v>
      </c>
      <c r="I345" s="1237" t="s">
        <v>667</v>
      </c>
      <c r="J345" s="1238"/>
      <c r="K345" s="1238"/>
      <c r="L345" s="1239"/>
      <c r="M345" s="803">
        <v>46011</v>
      </c>
      <c r="N345" s="885" t="s">
        <v>666</v>
      </c>
      <c r="O345" s="802">
        <v>35</v>
      </c>
      <c r="P345" s="802"/>
      <c r="Q345" s="1"/>
      <c r="R345" s="1"/>
      <c r="S345" s="1"/>
      <c r="T345" s="1"/>
    </row>
    <row r="346" spans="2:20" ht="17.55" customHeight="1" x14ac:dyDescent="0.35">
      <c r="B346" s="874">
        <f t="shared" ref="B346:B377" si="6">B345+1</f>
        <v>2</v>
      </c>
      <c r="C346" s="672" t="s">
        <v>271</v>
      </c>
      <c r="D346" s="809" t="s">
        <v>87</v>
      </c>
      <c r="E346" s="672" t="s">
        <v>542</v>
      </c>
      <c r="F346" s="672"/>
      <c r="G346" s="833">
        <v>46013</v>
      </c>
      <c r="H346" s="884">
        <v>35.088999999999999</v>
      </c>
      <c r="I346" s="1237" t="s">
        <v>667</v>
      </c>
      <c r="J346" s="1238"/>
      <c r="K346" s="1238"/>
      <c r="L346" s="1239"/>
      <c r="M346" s="817">
        <v>46018</v>
      </c>
      <c r="N346" s="885" t="s">
        <v>666</v>
      </c>
      <c r="O346" s="802">
        <v>35</v>
      </c>
      <c r="P346" s="818"/>
      <c r="Q346" s="1"/>
      <c r="R346" s="1"/>
      <c r="S346" s="1"/>
      <c r="T346" s="1"/>
    </row>
    <row r="347" spans="2:20" ht="17.55" customHeight="1" x14ac:dyDescent="0.35">
      <c r="B347" s="874">
        <f t="shared" si="6"/>
        <v>3</v>
      </c>
      <c r="C347" s="886" t="s">
        <v>321</v>
      </c>
      <c r="D347" s="802" t="s">
        <v>87</v>
      </c>
      <c r="E347" s="802" t="s">
        <v>92</v>
      </c>
      <c r="F347" s="820"/>
      <c r="G347" s="887">
        <v>46013</v>
      </c>
      <c r="H347" s="884">
        <v>35.088999999999999</v>
      </c>
      <c r="I347" s="1237" t="s">
        <v>667</v>
      </c>
      <c r="J347" s="1238"/>
      <c r="K347" s="1238"/>
      <c r="L347" s="1239"/>
      <c r="M347" s="720">
        <v>46022</v>
      </c>
      <c r="N347" s="888" t="s">
        <v>691</v>
      </c>
      <c r="O347" s="809">
        <v>49</v>
      </c>
      <c r="P347" s="809"/>
      <c r="Q347" s="1"/>
      <c r="R347" s="1"/>
      <c r="S347" s="1"/>
      <c r="T347" s="1"/>
    </row>
    <row r="348" spans="2:20" ht="17.55" customHeight="1" x14ac:dyDescent="0.35">
      <c r="B348" s="874">
        <f t="shared" si="6"/>
        <v>4</v>
      </c>
      <c r="C348" s="807" t="s">
        <v>266</v>
      </c>
      <c r="D348" s="809" t="s">
        <v>87</v>
      </c>
      <c r="E348" s="672" t="s">
        <v>542</v>
      </c>
      <c r="F348" s="807"/>
      <c r="G348" s="811">
        <v>46016</v>
      </c>
      <c r="H348" s="884">
        <v>35.088999999999999</v>
      </c>
      <c r="I348" s="1231" t="s">
        <v>667</v>
      </c>
      <c r="J348" s="1232"/>
      <c r="K348" s="1232"/>
      <c r="L348" s="1232"/>
      <c r="M348" s="811">
        <v>46032</v>
      </c>
      <c r="N348" s="888" t="s">
        <v>666</v>
      </c>
      <c r="O348" s="809">
        <v>35</v>
      </c>
      <c r="P348" s="807"/>
      <c r="Q348" s="1"/>
      <c r="R348" s="1"/>
      <c r="S348" s="1"/>
      <c r="T348" s="1"/>
    </row>
    <row r="349" spans="2:20" ht="17.55" customHeight="1" x14ac:dyDescent="0.35">
      <c r="B349" s="874">
        <f t="shared" si="6"/>
        <v>5</v>
      </c>
      <c r="C349" s="807" t="s">
        <v>320</v>
      </c>
      <c r="D349" s="809" t="s">
        <v>87</v>
      </c>
      <c r="E349" s="672" t="s">
        <v>542</v>
      </c>
      <c r="F349" s="807"/>
      <c r="G349" s="811">
        <v>46016</v>
      </c>
      <c r="H349" s="884">
        <v>35.088999999999999</v>
      </c>
      <c r="I349" s="1237" t="s">
        <v>667</v>
      </c>
      <c r="J349" s="1238"/>
      <c r="K349" s="1238"/>
      <c r="L349" s="1239"/>
      <c r="M349" s="811">
        <v>46030</v>
      </c>
      <c r="N349" s="888" t="s">
        <v>691</v>
      </c>
      <c r="O349" s="809">
        <v>49</v>
      </c>
      <c r="P349" s="807"/>
      <c r="Q349" s="1"/>
      <c r="R349" s="1"/>
      <c r="S349" s="1"/>
      <c r="T349" s="1"/>
    </row>
    <row r="350" spans="2:20" ht="17.55" customHeight="1" x14ac:dyDescent="0.35">
      <c r="B350" s="874">
        <f t="shared" si="6"/>
        <v>6</v>
      </c>
      <c r="C350" s="807" t="s">
        <v>265</v>
      </c>
      <c r="D350" s="807" t="s">
        <v>95</v>
      </c>
      <c r="E350" s="672" t="s">
        <v>542</v>
      </c>
      <c r="F350" s="807"/>
      <c r="G350" s="811">
        <v>46024</v>
      </c>
      <c r="H350" s="889">
        <v>41.88</v>
      </c>
      <c r="I350" s="1231" t="s">
        <v>667</v>
      </c>
      <c r="J350" s="1232"/>
      <c r="K350" s="1232"/>
      <c r="L350" s="1232"/>
      <c r="M350" s="811">
        <v>46032</v>
      </c>
      <c r="N350" s="888" t="s">
        <v>666</v>
      </c>
      <c r="O350" s="809">
        <v>35</v>
      </c>
      <c r="P350" s="807"/>
      <c r="Q350" s="1"/>
      <c r="R350" s="1"/>
      <c r="S350" s="1"/>
      <c r="T350" s="1"/>
    </row>
    <row r="351" spans="2:20" ht="17.55" customHeight="1" x14ac:dyDescent="0.35">
      <c r="B351" s="874">
        <f t="shared" si="6"/>
        <v>7</v>
      </c>
      <c r="C351" s="807" t="s">
        <v>318</v>
      </c>
      <c r="D351" s="809" t="s">
        <v>87</v>
      </c>
      <c r="E351" s="672" t="s">
        <v>542</v>
      </c>
      <c r="F351" s="807"/>
      <c r="G351" s="811">
        <v>46023</v>
      </c>
      <c r="H351" s="884">
        <v>35.088999999999999</v>
      </c>
      <c r="I351" s="1231" t="s">
        <v>667</v>
      </c>
      <c r="J351" s="1232"/>
      <c r="K351" s="1232"/>
      <c r="L351" s="1232"/>
      <c r="M351" s="811">
        <v>46035</v>
      </c>
      <c r="N351" s="888" t="s">
        <v>691</v>
      </c>
      <c r="O351" s="809">
        <v>49</v>
      </c>
      <c r="P351" s="807"/>
      <c r="Q351" s="1"/>
      <c r="R351" s="1"/>
      <c r="S351" s="1"/>
      <c r="T351" s="1"/>
    </row>
    <row r="352" spans="2:20" ht="17.55" customHeight="1" x14ac:dyDescent="0.35">
      <c r="B352" s="874">
        <f t="shared" si="6"/>
        <v>8</v>
      </c>
      <c r="C352" s="807" t="s">
        <v>267</v>
      </c>
      <c r="D352" s="809" t="s">
        <v>87</v>
      </c>
      <c r="E352" s="672" t="s">
        <v>542</v>
      </c>
      <c r="F352" s="807"/>
      <c r="G352" s="811">
        <v>46031</v>
      </c>
      <c r="H352" s="884">
        <v>35.088999999999999</v>
      </c>
      <c r="I352" s="1231" t="s">
        <v>667</v>
      </c>
      <c r="J352" s="1232"/>
      <c r="K352" s="1232"/>
      <c r="L352" s="1232"/>
      <c r="M352" s="811">
        <v>46036</v>
      </c>
      <c r="N352" s="888" t="s">
        <v>666</v>
      </c>
      <c r="O352" s="809">
        <v>35</v>
      </c>
      <c r="P352" s="807"/>
      <c r="Q352" s="1"/>
      <c r="R352" s="1"/>
      <c r="S352" s="1"/>
      <c r="T352" s="1"/>
    </row>
    <row r="353" spans="2:20" ht="17.55" customHeight="1" x14ac:dyDescent="0.35">
      <c r="B353" s="874">
        <f t="shared" si="6"/>
        <v>9</v>
      </c>
      <c r="C353" s="807" t="s">
        <v>322</v>
      </c>
      <c r="D353" s="890" t="s">
        <v>87</v>
      </c>
      <c r="E353" s="672" t="s">
        <v>542</v>
      </c>
      <c r="F353" s="891"/>
      <c r="G353" s="811">
        <v>46029</v>
      </c>
      <c r="H353" s="884">
        <v>35.088999999999999</v>
      </c>
      <c r="I353" s="1231" t="s">
        <v>667</v>
      </c>
      <c r="J353" s="1232"/>
      <c r="K353" s="1232"/>
      <c r="L353" s="1232"/>
      <c r="M353" s="811">
        <v>46038</v>
      </c>
      <c r="N353" s="840" t="s">
        <v>670</v>
      </c>
      <c r="O353" s="807">
        <v>21</v>
      </c>
      <c r="P353" s="807"/>
      <c r="Q353" s="1"/>
      <c r="R353" s="1"/>
      <c r="S353" s="1"/>
      <c r="T353" s="1"/>
    </row>
    <row r="354" spans="2:20" ht="17.55" customHeight="1" x14ac:dyDescent="0.35">
      <c r="B354" s="874">
        <f t="shared" si="6"/>
        <v>10</v>
      </c>
      <c r="C354" s="807" t="s">
        <v>86</v>
      </c>
      <c r="D354" s="809" t="s">
        <v>87</v>
      </c>
      <c r="E354" s="807" t="s">
        <v>88</v>
      </c>
      <c r="F354" s="807"/>
      <c r="G354" s="892">
        <v>46033</v>
      </c>
      <c r="H354" s="893">
        <v>35.088999999999999</v>
      </c>
      <c r="I354" s="1231" t="s">
        <v>667</v>
      </c>
      <c r="J354" s="1232"/>
      <c r="K354" s="1232"/>
      <c r="L354" s="1232"/>
      <c r="M354" s="811">
        <v>46038</v>
      </c>
      <c r="N354" s="840" t="s">
        <v>690</v>
      </c>
      <c r="O354" s="807">
        <v>31</v>
      </c>
      <c r="P354" s="807"/>
      <c r="Q354" s="1"/>
      <c r="R354" s="1"/>
      <c r="S354" s="1"/>
      <c r="T354" s="1"/>
    </row>
    <row r="355" spans="2:20" ht="17.55" customHeight="1" x14ac:dyDescent="0.35">
      <c r="B355" s="874">
        <f t="shared" si="6"/>
        <v>11</v>
      </c>
      <c r="C355" s="807" t="s">
        <v>96</v>
      </c>
      <c r="D355" s="807" t="s">
        <v>87</v>
      </c>
      <c r="E355" s="807" t="s">
        <v>92</v>
      </c>
      <c r="F355" s="807"/>
      <c r="G355" s="892">
        <v>46037</v>
      </c>
      <c r="H355" s="893">
        <v>35.088999999999999</v>
      </c>
      <c r="I355" s="1231" t="s">
        <v>667</v>
      </c>
      <c r="J355" s="1232"/>
      <c r="K355" s="1232"/>
      <c r="L355" s="1232"/>
      <c r="M355" s="811">
        <v>46042</v>
      </c>
      <c r="N355" s="840" t="s">
        <v>690</v>
      </c>
      <c r="O355" s="807">
        <v>31</v>
      </c>
      <c r="P355" s="807"/>
      <c r="Q355" s="1"/>
      <c r="R355" s="1"/>
      <c r="S355" s="1"/>
      <c r="T355" s="1"/>
    </row>
    <row r="356" spans="2:20" ht="17.55" customHeight="1" x14ac:dyDescent="0.35">
      <c r="B356" s="874">
        <f t="shared" si="6"/>
        <v>12</v>
      </c>
      <c r="C356" s="819" t="s">
        <v>273</v>
      </c>
      <c r="D356" s="819" t="s">
        <v>95</v>
      </c>
      <c r="E356" s="819" t="s">
        <v>542</v>
      </c>
      <c r="F356" s="819"/>
      <c r="G356" s="811">
        <v>46037</v>
      </c>
      <c r="H356" s="894">
        <v>41.88</v>
      </c>
      <c r="I356" s="1235" t="s">
        <v>667</v>
      </c>
      <c r="J356" s="1236"/>
      <c r="K356" s="1236"/>
      <c r="L356" s="1236"/>
      <c r="M356" s="895">
        <v>46043</v>
      </c>
      <c r="N356" s="896" t="s">
        <v>666</v>
      </c>
      <c r="O356" s="820">
        <v>35</v>
      </c>
      <c r="P356" s="819"/>
      <c r="Q356" s="1"/>
      <c r="R356" s="1"/>
      <c r="S356" s="1"/>
      <c r="T356" s="1"/>
    </row>
    <row r="357" spans="2:20" ht="17.55" customHeight="1" x14ac:dyDescent="0.35">
      <c r="B357" s="874">
        <f t="shared" si="6"/>
        <v>13</v>
      </c>
      <c r="C357" s="807" t="s">
        <v>325</v>
      </c>
      <c r="D357" s="807" t="s">
        <v>87</v>
      </c>
      <c r="E357" s="807" t="s">
        <v>92</v>
      </c>
      <c r="F357" s="807"/>
      <c r="G357" s="892">
        <v>46039</v>
      </c>
      <c r="H357" s="893">
        <v>35.088999999999999</v>
      </c>
      <c r="I357" s="1231" t="s">
        <v>667</v>
      </c>
      <c r="J357" s="1232"/>
      <c r="K357" s="1232"/>
      <c r="L357" s="1232"/>
      <c r="M357" s="811">
        <v>46043</v>
      </c>
      <c r="N357" s="840" t="s">
        <v>670</v>
      </c>
      <c r="O357" s="807">
        <v>21</v>
      </c>
      <c r="P357" s="807"/>
      <c r="Q357" s="1"/>
      <c r="R357" s="1"/>
      <c r="S357" s="1"/>
      <c r="T357" s="1"/>
    </row>
    <row r="358" spans="2:20" ht="17.55" customHeight="1" x14ac:dyDescent="0.35">
      <c r="B358" s="874">
        <f t="shared" si="6"/>
        <v>14</v>
      </c>
      <c r="C358" s="807" t="s">
        <v>342</v>
      </c>
      <c r="D358" s="807" t="s">
        <v>87</v>
      </c>
      <c r="E358" s="807" t="s">
        <v>542</v>
      </c>
      <c r="F358" s="807"/>
      <c r="G358" s="892">
        <v>46038</v>
      </c>
      <c r="H358" s="893">
        <v>35.088999999999999</v>
      </c>
      <c r="I358" s="1231" t="s">
        <v>667</v>
      </c>
      <c r="J358" s="1232"/>
      <c r="K358" s="1232"/>
      <c r="L358" s="1232"/>
      <c r="M358" s="811">
        <v>46043</v>
      </c>
      <c r="N358" s="840" t="s">
        <v>693</v>
      </c>
      <c r="O358" s="807">
        <v>32</v>
      </c>
      <c r="P358" s="807"/>
      <c r="Q358" s="1"/>
      <c r="R358" s="1"/>
      <c r="S358" s="1"/>
      <c r="T358" s="1"/>
    </row>
    <row r="359" spans="2:20" ht="17.55" customHeight="1" x14ac:dyDescent="0.35">
      <c r="B359" s="874">
        <f t="shared" si="6"/>
        <v>15</v>
      </c>
      <c r="C359" s="807" t="s">
        <v>398</v>
      </c>
      <c r="D359" s="807" t="s">
        <v>87</v>
      </c>
      <c r="E359" s="807" t="s">
        <v>92</v>
      </c>
      <c r="F359" s="807"/>
      <c r="G359" s="892">
        <v>46039</v>
      </c>
      <c r="H359" s="893">
        <v>35.088999999999999</v>
      </c>
      <c r="I359" s="1231" t="s">
        <v>667</v>
      </c>
      <c r="J359" s="1232"/>
      <c r="K359" s="1232"/>
      <c r="L359" s="1232"/>
      <c r="M359" s="811">
        <v>46043</v>
      </c>
      <c r="N359" s="897" t="s">
        <v>692</v>
      </c>
      <c r="O359" s="807">
        <v>45</v>
      </c>
      <c r="P359" s="807"/>
      <c r="Q359" s="1"/>
      <c r="R359" s="1"/>
      <c r="S359" s="1"/>
      <c r="T359" s="1"/>
    </row>
    <row r="360" spans="2:20" ht="17.55" customHeight="1" x14ac:dyDescent="0.35">
      <c r="B360" s="874">
        <f t="shared" si="6"/>
        <v>16</v>
      </c>
      <c r="C360" s="807" t="s">
        <v>343</v>
      </c>
      <c r="D360" s="809" t="s">
        <v>87</v>
      </c>
      <c r="E360" s="807" t="s">
        <v>542</v>
      </c>
      <c r="F360" s="807"/>
      <c r="G360" s="892">
        <v>46041</v>
      </c>
      <c r="H360" s="893">
        <v>35.088999999999999</v>
      </c>
      <c r="I360" s="1231" t="s">
        <v>667</v>
      </c>
      <c r="J360" s="1232"/>
      <c r="K360" s="1232"/>
      <c r="L360" s="1232"/>
      <c r="M360" s="811">
        <v>46046</v>
      </c>
      <c r="N360" s="840" t="s">
        <v>693</v>
      </c>
      <c r="O360" s="807">
        <v>32</v>
      </c>
      <c r="P360" s="807"/>
      <c r="Q360" s="1"/>
      <c r="R360" s="1"/>
      <c r="S360" s="1"/>
      <c r="T360" s="1"/>
    </row>
    <row r="361" spans="2:20" ht="17.55" customHeight="1" x14ac:dyDescent="0.35">
      <c r="B361" s="874">
        <f t="shared" si="6"/>
        <v>17</v>
      </c>
      <c r="C361" s="807" t="s">
        <v>94</v>
      </c>
      <c r="D361" s="807" t="s">
        <v>95</v>
      </c>
      <c r="E361" s="807" t="s">
        <v>541</v>
      </c>
      <c r="F361" s="807"/>
      <c r="G361" s="892">
        <v>46041</v>
      </c>
      <c r="H361" s="889">
        <v>41.88</v>
      </c>
      <c r="I361" s="1231" t="s">
        <v>667</v>
      </c>
      <c r="J361" s="1232"/>
      <c r="K361" s="1232"/>
      <c r="L361" s="1232"/>
      <c r="M361" s="811">
        <v>46047</v>
      </c>
      <c r="N361" s="840" t="s">
        <v>690</v>
      </c>
      <c r="O361" s="807">
        <v>31</v>
      </c>
      <c r="P361" s="807"/>
      <c r="Q361" s="1"/>
      <c r="R361" s="1"/>
      <c r="S361" s="1"/>
      <c r="T361" s="1"/>
    </row>
    <row r="362" spans="2:20" ht="17.55" customHeight="1" x14ac:dyDescent="0.35">
      <c r="B362" s="874">
        <f t="shared" si="6"/>
        <v>18</v>
      </c>
      <c r="C362" s="807" t="s">
        <v>274</v>
      </c>
      <c r="D362" s="809" t="s">
        <v>87</v>
      </c>
      <c r="E362" s="807" t="s">
        <v>542</v>
      </c>
      <c r="F362" s="807"/>
      <c r="G362" s="811">
        <v>46044</v>
      </c>
      <c r="H362" s="884">
        <v>35.088999999999999</v>
      </c>
      <c r="I362" s="1231" t="s">
        <v>667</v>
      </c>
      <c r="J362" s="1232"/>
      <c r="K362" s="1232"/>
      <c r="L362" s="1232"/>
      <c r="M362" s="811">
        <v>46049</v>
      </c>
      <c r="N362" s="840" t="s">
        <v>666</v>
      </c>
      <c r="O362" s="809">
        <v>35</v>
      </c>
      <c r="P362" s="807"/>
      <c r="Q362" s="1"/>
      <c r="R362" s="1"/>
      <c r="S362" s="1"/>
      <c r="T362" s="1"/>
    </row>
    <row r="363" spans="2:20" ht="17.55" customHeight="1" x14ac:dyDescent="0.35">
      <c r="B363" s="874">
        <f t="shared" si="6"/>
        <v>19</v>
      </c>
      <c r="C363" s="807" t="s">
        <v>397</v>
      </c>
      <c r="D363" s="807" t="s">
        <v>87</v>
      </c>
      <c r="E363" s="807" t="s">
        <v>92</v>
      </c>
      <c r="F363" s="807"/>
      <c r="G363" s="892">
        <v>46045</v>
      </c>
      <c r="H363" s="893">
        <v>35.088999999999999</v>
      </c>
      <c r="I363" s="1231" t="s">
        <v>667</v>
      </c>
      <c r="J363" s="1232"/>
      <c r="K363" s="1232"/>
      <c r="L363" s="1232"/>
      <c r="M363" s="811">
        <v>46049</v>
      </c>
      <c r="N363" s="897" t="s">
        <v>692</v>
      </c>
      <c r="O363" s="807">
        <v>45</v>
      </c>
      <c r="P363" s="807"/>
      <c r="Q363" s="1"/>
      <c r="R363" s="1"/>
      <c r="S363" s="1"/>
      <c r="T363" s="1"/>
    </row>
    <row r="364" spans="2:20" ht="17.55" customHeight="1" x14ac:dyDescent="0.35">
      <c r="B364" s="874">
        <f t="shared" si="6"/>
        <v>20</v>
      </c>
      <c r="C364" s="807" t="s">
        <v>341</v>
      </c>
      <c r="D364" s="807" t="s">
        <v>95</v>
      </c>
      <c r="E364" s="807" t="s">
        <v>542</v>
      </c>
      <c r="F364" s="807"/>
      <c r="G364" s="892">
        <v>46047</v>
      </c>
      <c r="H364" s="889">
        <v>41.88</v>
      </c>
      <c r="I364" s="1231" t="s">
        <v>667</v>
      </c>
      <c r="J364" s="1232"/>
      <c r="K364" s="1232"/>
      <c r="L364" s="1232"/>
      <c r="M364" s="811">
        <v>46050</v>
      </c>
      <c r="N364" s="840" t="s">
        <v>693</v>
      </c>
      <c r="O364" s="807">
        <v>32</v>
      </c>
      <c r="P364" s="807"/>
      <c r="Q364" s="1"/>
      <c r="R364" s="1"/>
      <c r="S364" s="1"/>
      <c r="T364" s="1"/>
    </row>
    <row r="365" spans="2:20" ht="17.55" customHeight="1" x14ac:dyDescent="0.35">
      <c r="B365" s="874">
        <f t="shared" si="6"/>
        <v>21</v>
      </c>
      <c r="C365" s="807" t="s">
        <v>394</v>
      </c>
      <c r="D365" s="809" t="s">
        <v>87</v>
      </c>
      <c r="E365" s="672" t="s">
        <v>542</v>
      </c>
      <c r="F365" s="807"/>
      <c r="G365" s="811">
        <v>46034</v>
      </c>
      <c r="H365" s="893">
        <v>35.088999999999999</v>
      </c>
      <c r="I365" s="1231" t="s">
        <v>667</v>
      </c>
      <c r="J365" s="1232"/>
      <c r="K365" s="1232"/>
      <c r="L365" s="1232"/>
      <c r="M365" s="811">
        <v>46051</v>
      </c>
      <c r="N365" s="888" t="s">
        <v>691</v>
      </c>
      <c r="O365" s="809">
        <v>49</v>
      </c>
      <c r="P365" s="807"/>
      <c r="Q365" s="1"/>
      <c r="R365" s="1"/>
      <c r="S365" s="1"/>
      <c r="T365" s="1"/>
    </row>
    <row r="366" spans="2:20" ht="17.55" customHeight="1" x14ac:dyDescent="0.35">
      <c r="B366" s="874">
        <f t="shared" si="6"/>
        <v>22</v>
      </c>
      <c r="C366" s="807" t="s">
        <v>328</v>
      </c>
      <c r="D366" s="807" t="s">
        <v>91</v>
      </c>
      <c r="E366" s="807" t="s">
        <v>542</v>
      </c>
      <c r="F366" s="807"/>
      <c r="G366" s="892">
        <v>46048</v>
      </c>
      <c r="H366" s="889">
        <v>36.771000000000001</v>
      </c>
      <c r="I366" s="1231" t="s">
        <v>667</v>
      </c>
      <c r="J366" s="1232"/>
      <c r="K366" s="1232"/>
      <c r="L366" s="1232"/>
      <c r="M366" s="811">
        <v>46052</v>
      </c>
      <c r="N366" s="840" t="s">
        <v>670</v>
      </c>
      <c r="O366" s="807">
        <v>21</v>
      </c>
      <c r="P366" s="807"/>
      <c r="Q366" s="1"/>
      <c r="R366" s="1"/>
      <c r="S366" s="1"/>
      <c r="T366" s="1"/>
    </row>
    <row r="367" spans="2:20" ht="17.55" customHeight="1" x14ac:dyDescent="0.35">
      <c r="B367" s="874">
        <f t="shared" si="6"/>
        <v>23</v>
      </c>
      <c r="C367" s="807" t="s">
        <v>333</v>
      </c>
      <c r="D367" s="807" t="s">
        <v>95</v>
      </c>
      <c r="E367" s="807" t="s">
        <v>92</v>
      </c>
      <c r="F367" s="807"/>
      <c r="G367" s="892">
        <v>46049</v>
      </c>
      <c r="H367" s="889">
        <v>41.88</v>
      </c>
      <c r="I367" s="1231" t="s">
        <v>667</v>
      </c>
      <c r="J367" s="1232"/>
      <c r="K367" s="1232"/>
      <c r="L367" s="1232"/>
      <c r="M367" s="811">
        <v>46053</v>
      </c>
      <c r="N367" s="840" t="s">
        <v>690</v>
      </c>
      <c r="O367" s="807">
        <v>31</v>
      </c>
      <c r="P367" s="807"/>
      <c r="Q367" s="1"/>
      <c r="R367" s="1"/>
      <c r="S367" s="1"/>
      <c r="T367" s="1"/>
    </row>
    <row r="368" spans="2:20" ht="17.55" customHeight="1" x14ac:dyDescent="0.35">
      <c r="B368" s="874">
        <f t="shared" si="6"/>
        <v>24</v>
      </c>
      <c r="C368" s="807" t="s">
        <v>401</v>
      </c>
      <c r="D368" s="807" t="s">
        <v>91</v>
      </c>
      <c r="E368" s="807" t="s">
        <v>92</v>
      </c>
      <c r="F368" s="807"/>
      <c r="G368" s="811">
        <v>46049</v>
      </c>
      <c r="H368" s="889">
        <v>36.771000000000001</v>
      </c>
      <c r="I368" s="1231" t="s">
        <v>667</v>
      </c>
      <c r="J368" s="1232"/>
      <c r="K368" s="1232"/>
      <c r="L368" s="1232"/>
      <c r="M368" s="811">
        <v>46053</v>
      </c>
      <c r="N368" s="888" t="s">
        <v>692</v>
      </c>
      <c r="O368" s="807">
        <v>45</v>
      </c>
      <c r="P368" s="807"/>
      <c r="Q368" s="1"/>
      <c r="R368" s="1"/>
      <c r="S368" s="1"/>
      <c r="T368" s="1"/>
    </row>
    <row r="369" spans="1:20" s="484" customFormat="1" ht="17.55" customHeight="1" x14ac:dyDescent="0.35">
      <c r="B369" s="874">
        <f t="shared" si="6"/>
        <v>25</v>
      </c>
      <c r="C369" s="816" t="s">
        <v>276</v>
      </c>
      <c r="D369" s="816" t="s">
        <v>87</v>
      </c>
      <c r="E369" s="816" t="s">
        <v>92</v>
      </c>
      <c r="F369" s="816"/>
      <c r="G369" s="898">
        <v>46049</v>
      </c>
      <c r="H369" s="899">
        <v>35.088999999999999</v>
      </c>
      <c r="I369" s="1231" t="s">
        <v>667</v>
      </c>
      <c r="J369" s="1232"/>
      <c r="K369" s="1232"/>
      <c r="L369" s="1232"/>
      <c r="M369" s="898">
        <v>46055</v>
      </c>
      <c r="N369" s="900" t="s">
        <v>666</v>
      </c>
      <c r="O369" s="901">
        <v>35</v>
      </c>
      <c r="P369" s="816"/>
      <c r="Q369" s="485"/>
      <c r="R369" s="485"/>
      <c r="S369" s="485"/>
      <c r="T369" s="485"/>
    </row>
    <row r="370" spans="1:20" ht="17.55" customHeight="1" x14ac:dyDescent="0.35">
      <c r="B370" s="874">
        <f t="shared" si="6"/>
        <v>26</v>
      </c>
      <c r="C370" s="807" t="s">
        <v>395</v>
      </c>
      <c r="D370" s="807" t="s">
        <v>87</v>
      </c>
      <c r="E370" s="807" t="s">
        <v>92</v>
      </c>
      <c r="F370" s="807"/>
      <c r="G370" s="811">
        <v>46052</v>
      </c>
      <c r="H370" s="893">
        <v>35.088999999999999</v>
      </c>
      <c r="I370" s="1231" t="s">
        <v>667</v>
      </c>
      <c r="J370" s="1232"/>
      <c r="K370" s="1232"/>
      <c r="L370" s="1232"/>
      <c r="M370" s="811">
        <v>46056</v>
      </c>
      <c r="N370" s="888" t="s">
        <v>691</v>
      </c>
      <c r="O370" s="809">
        <v>49</v>
      </c>
      <c r="P370" s="807"/>
      <c r="Q370" s="1"/>
      <c r="R370" s="1"/>
      <c r="S370" s="1"/>
      <c r="T370" s="1"/>
    </row>
    <row r="371" spans="1:20" ht="17.55" customHeight="1" x14ac:dyDescent="0.35">
      <c r="B371" s="874">
        <f t="shared" si="6"/>
        <v>27</v>
      </c>
      <c r="C371" s="691" t="s">
        <v>347</v>
      </c>
      <c r="D371" s="672" t="s">
        <v>87</v>
      </c>
      <c r="E371" s="671" t="s">
        <v>684</v>
      </c>
      <c r="F371" s="807"/>
      <c r="G371" s="811">
        <v>46053</v>
      </c>
      <c r="H371" s="893">
        <v>35.088999999999999</v>
      </c>
      <c r="I371" s="1231" t="s">
        <v>667</v>
      </c>
      <c r="J371" s="1232"/>
      <c r="K371" s="1232"/>
      <c r="L371" s="1232"/>
      <c r="M371" s="811">
        <v>46056</v>
      </c>
      <c r="N371" s="840" t="s">
        <v>693</v>
      </c>
      <c r="O371" s="807">
        <v>32</v>
      </c>
      <c r="P371" s="807"/>
      <c r="Q371" s="1"/>
      <c r="R371" s="1"/>
      <c r="S371" s="1"/>
      <c r="T371" s="1"/>
    </row>
    <row r="372" spans="1:20" ht="17.55" customHeight="1" x14ac:dyDescent="0.35">
      <c r="B372" s="874">
        <f t="shared" si="6"/>
        <v>28</v>
      </c>
      <c r="C372" s="671" t="s">
        <v>334</v>
      </c>
      <c r="D372" s="672" t="s">
        <v>109</v>
      </c>
      <c r="E372" s="671" t="s">
        <v>92</v>
      </c>
      <c r="F372" s="807"/>
      <c r="G372" s="811">
        <v>46054</v>
      </c>
      <c r="H372" s="893">
        <v>43.575000000000003</v>
      </c>
      <c r="I372" s="1231" t="s">
        <v>667</v>
      </c>
      <c r="J372" s="1232"/>
      <c r="K372" s="1232"/>
      <c r="L372" s="1232"/>
      <c r="M372" s="811">
        <v>46057</v>
      </c>
      <c r="N372" s="840" t="s">
        <v>690</v>
      </c>
      <c r="O372" s="807">
        <v>31</v>
      </c>
      <c r="P372" s="807"/>
      <c r="Q372" s="1"/>
      <c r="R372" s="1"/>
      <c r="S372" s="1"/>
      <c r="T372" s="1"/>
    </row>
    <row r="373" spans="1:20" ht="17.55" customHeight="1" x14ac:dyDescent="0.35">
      <c r="B373" s="874">
        <f t="shared" si="6"/>
        <v>29</v>
      </c>
      <c r="C373" s="807" t="s">
        <v>344</v>
      </c>
      <c r="D373" s="807" t="s">
        <v>109</v>
      </c>
      <c r="E373" s="807" t="s">
        <v>542</v>
      </c>
      <c r="F373" s="807"/>
      <c r="G373" s="811">
        <v>46050</v>
      </c>
      <c r="H373" s="893">
        <v>43.575000000000003</v>
      </c>
      <c r="I373" s="1231" t="s">
        <v>667</v>
      </c>
      <c r="J373" s="1232"/>
      <c r="K373" s="1232"/>
      <c r="L373" s="1232"/>
      <c r="M373" s="811">
        <v>46058</v>
      </c>
      <c r="N373" s="840" t="s">
        <v>693</v>
      </c>
      <c r="O373" s="807">
        <v>32</v>
      </c>
      <c r="P373" s="807"/>
      <c r="Q373" s="1"/>
      <c r="R373" s="1"/>
      <c r="S373" s="1"/>
      <c r="T373" s="1"/>
    </row>
    <row r="374" spans="1:20" ht="17.55" customHeight="1" x14ac:dyDescent="0.35">
      <c r="B374" s="874">
        <f t="shared" si="6"/>
        <v>30</v>
      </c>
      <c r="C374" s="671" t="s">
        <v>400</v>
      </c>
      <c r="D374" s="672" t="s">
        <v>91</v>
      </c>
      <c r="E374" s="671" t="s">
        <v>541</v>
      </c>
      <c r="F374" s="807"/>
      <c r="G374" s="811">
        <v>46052</v>
      </c>
      <c r="H374" s="889">
        <v>36.771000000000001</v>
      </c>
      <c r="I374" s="1231" t="s">
        <v>667</v>
      </c>
      <c r="J374" s="1232"/>
      <c r="K374" s="1232"/>
      <c r="L374" s="1232"/>
      <c r="M374" s="811">
        <v>46058</v>
      </c>
      <c r="N374" s="888" t="s">
        <v>692</v>
      </c>
      <c r="O374" s="807">
        <v>45</v>
      </c>
      <c r="P374" s="807"/>
      <c r="Q374" s="1"/>
      <c r="R374" s="1"/>
      <c r="S374" s="1"/>
      <c r="T374" s="1"/>
    </row>
    <row r="375" spans="1:20" ht="17.55" customHeight="1" x14ac:dyDescent="0.35">
      <c r="B375" s="874">
        <f t="shared" si="6"/>
        <v>31</v>
      </c>
      <c r="C375" s="679" t="s">
        <v>260</v>
      </c>
      <c r="D375" s="672" t="s">
        <v>87</v>
      </c>
      <c r="E375" s="671" t="s">
        <v>88</v>
      </c>
      <c r="F375" s="807"/>
      <c r="G375" s="811">
        <v>46059</v>
      </c>
      <c r="H375" s="893">
        <v>35.088999999999999</v>
      </c>
      <c r="I375" s="1231" t="s">
        <v>667</v>
      </c>
      <c r="J375" s="1232"/>
      <c r="K375" s="1232"/>
      <c r="L375" s="1232"/>
      <c r="M375" s="811">
        <v>46062</v>
      </c>
      <c r="N375" s="840" t="s">
        <v>690</v>
      </c>
      <c r="O375" s="807">
        <v>35</v>
      </c>
      <c r="P375" s="807"/>
      <c r="Q375" s="1"/>
      <c r="R375" s="1"/>
      <c r="S375" s="1"/>
      <c r="T375" s="1"/>
    </row>
    <row r="376" spans="1:20" ht="17.55" customHeight="1" x14ac:dyDescent="0.35">
      <c r="B376" s="874">
        <f t="shared" si="6"/>
        <v>32</v>
      </c>
      <c r="C376" s="807" t="s">
        <v>393</v>
      </c>
      <c r="D376" s="807" t="s">
        <v>87</v>
      </c>
      <c r="E376" s="807" t="s">
        <v>92</v>
      </c>
      <c r="F376" s="807"/>
      <c r="G376" s="811">
        <v>46361</v>
      </c>
      <c r="H376" s="893">
        <v>35.088999999999999</v>
      </c>
      <c r="I376" s="1231" t="s">
        <v>667</v>
      </c>
      <c r="J376" s="1232"/>
      <c r="K376" s="1232"/>
      <c r="L376" s="1232"/>
      <c r="M376" s="811">
        <v>46062</v>
      </c>
      <c r="N376" s="888" t="s">
        <v>691</v>
      </c>
      <c r="O376" s="809">
        <v>49</v>
      </c>
      <c r="P376" s="807"/>
      <c r="Q376" s="1"/>
      <c r="R376" s="1"/>
      <c r="S376" s="1"/>
      <c r="T376" s="1"/>
    </row>
    <row r="377" spans="1:20" ht="17.55" customHeight="1" x14ac:dyDescent="0.35">
      <c r="B377" s="874">
        <f t="shared" si="6"/>
        <v>33</v>
      </c>
      <c r="C377" s="807" t="s">
        <v>464</v>
      </c>
      <c r="D377" s="807" t="s">
        <v>558</v>
      </c>
      <c r="E377" s="671" t="s">
        <v>92</v>
      </c>
      <c r="F377" s="807"/>
      <c r="G377" s="811">
        <v>46058</v>
      </c>
      <c r="H377" s="893">
        <v>54.72</v>
      </c>
      <c r="I377" s="1231" t="s">
        <v>667</v>
      </c>
      <c r="J377" s="1232"/>
      <c r="K377" s="1232"/>
      <c r="L377" s="1232"/>
      <c r="M377" s="811">
        <v>46063</v>
      </c>
      <c r="N377" s="840" t="s">
        <v>693</v>
      </c>
      <c r="O377" s="807">
        <v>32</v>
      </c>
      <c r="P377" s="807"/>
      <c r="Q377" s="1"/>
      <c r="R377" s="1"/>
      <c r="S377" s="1"/>
      <c r="T377" s="1"/>
    </row>
    <row r="378" spans="1:20" ht="17.55" customHeight="1" x14ac:dyDescent="0.35">
      <c r="A378" s="1"/>
      <c r="B378" s="874">
        <f t="shared" ref="B378:B409" si="7">B377+1</f>
        <v>34</v>
      </c>
      <c r="C378" s="807" t="s">
        <v>258</v>
      </c>
      <c r="D378" s="820" t="s">
        <v>87</v>
      </c>
      <c r="E378" s="813" t="s">
        <v>542</v>
      </c>
      <c r="F378" s="807"/>
      <c r="G378" s="811">
        <v>46056</v>
      </c>
      <c r="H378" s="893">
        <v>35.088999999999999</v>
      </c>
      <c r="I378" s="1231" t="s">
        <v>667</v>
      </c>
      <c r="J378" s="1232"/>
      <c r="K378" s="1232"/>
      <c r="L378" s="1232"/>
      <c r="M378" s="811">
        <v>46064</v>
      </c>
      <c r="N378" s="888" t="s">
        <v>666</v>
      </c>
      <c r="O378" s="809">
        <v>35</v>
      </c>
      <c r="P378" s="807"/>
      <c r="Q378" s="1"/>
      <c r="R378" s="1"/>
      <c r="S378" s="1"/>
      <c r="T378" s="1"/>
    </row>
    <row r="379" spans="1:20" ht="17.55" customHeight="1" x14ac:dyDescent="0.35">
      <c r="A379" s="1"/>
      <c r="B379" s="874">
        <f t="shared" si="7"/>
        <v>35</v>
      </c>
      <c r="C379" s="828" t="s">
        <v>409</v>
      </c>
      <c r="D379" s="674" t="s">
        <v>87</v>
      </c>
      <c r="E379" s="673" t="s">
        <v>92</v>
      </c>
      <c r="F379" s="819"/>
      <c r="G379" s="811">
        <v>46058</v>
      </c>
      <c r="H379" s="902">
        <v>35.088999999999999</v>
      </c>
      <c r="I379" s="1231" t="s">
        <v>667</v>
      </c>
      <c r="J379" s="1232"/>
      <c r="K379" s="1232"/>
      <c r="L379" s="1232"/>
      <c r="M379" s="895">
        <v>46065</v>
      </c>
      <c r="N379" s="896" t="s">
        <v>692</v>
      </c>
      <c r="O379" s="819">
        <v>45</v>
      </c>
      <c r="P379" s="819"/>
      <c r="Q379" s="1"/>
      <c r="R379" s="1"/>
      <c r="S379" s="1"/>
      <c r="T379" s="1"/>
    </row>
    <row r="380" spans="1:20" ht="17.55" customHeight="1" x14ac:dyDescent="0.35">
      <c r="A380" s="1"/>
      <c r="B380" s="874">
        <f t="shared" si="7"/>
        <v>36</v>
      </c>
      <c r="C380" s="807" t="s">
        <v>261</v>
      </c>
      <c r="D380" s="807" t="s">
        <v>95</v>
      </c>
      <c r="E380" s="807" t="s">
        <v>542</v>
      </c>
      <c r="F380" s="807"/>
      <c r="G380" s="811">
        <v>46063</v>
      </c>
      <c r="H380" s="889">
        <v>41.88</v>
      </c>
      <c r="I380" s="1231" t="s">
        <v>667</v>
      </c>
      <c r="J380" s="1232"/>
      <c r="K380" s="1232"/>
      <c r="L380" s="1232"/>
      <c r="M380" s="895">
        <v>46066</v>
      </c>
      <c r="N380" s="840" t="s">
        <v>690</v>
      </c>
      <c r="O380" s="819">
        <v>31</v>
      </c>
      <c r="P380" s="819"/>
      <c r="Q380" s="1"/>
      <c r="R380" s="1"/>
      <c r="S380" s="1"/>
      <c r="T380" s="1"/>
    </row>
    <row r="381" spans="1:20" ht="17.55" customHeight="1" x14ac:dyDescent="0.35">
      <c r="A381" s="1"/>
      <c r="B381" s="874">
        <f t="shared" si="7"/>
        <v>37</v>
      </c>
      <c r="C381" s="807" t="s">
        <v>93</v>
      </c>
      <c r="D381" s="672" t="s">
        <v>87</v>
      </c>
      <c r="E381" s="671" t="s">
        <v>92</v>
      </c>
      <c r="F381" s="807"/>
      <c r="G381" s="811">
        <v>46063</v>
      </c>
      <c r="H381" s="893">
        <v>35.088999999999999</v>
      </c>
      <c r="I381" s="1231" t="s">
        <v>667</v>
      </c>
      <c r="J381" s="1232"/>
      <c r="K381" s="1232"/>
      <c r="L381" s="1232"/>
      <c r="M381" s="895">
        <v>46066</v>
      </c>
      <c r="N381" s="840" t="s">
        <v>693</v>
      </c>
      <c r="O381" s="807">
        <v>32</v>
      </c>
      <c r="P381" s="819"/>
      <c r="Q381" s="1"/>
      <c r="R381" s="1"/>
      <c r="S381" s="1"/>
      <c r="T381" s="1"/>
    </row>
    <row r="382" spans="1:20" ht="17.55" customHeight="1" x14ac:dyDescent="0.35">
      <c r="A382" s="1"/>
      <c r="B382" s="874">
        <f t="shared" si="7"/>
        <v>38</v>
      </c>
      <c r="C382" s="671" t="s">
        <v>396</v>
      </c>
      <c r="D382" s="672" t="s">
        <v>87</v>
      </c>
      <c r="E382" s="671" t="s">
        <v>542</v>
      </c>
      <c r="F382" s="807"/>
      <c r="G382" s="811">
        <v>46053</v>
      </c>
      <c r="H382" s="893">
        <v>35.088999999999999</v>
      </c>
      <c r="I382" s="1231" t="s">
        <v>667</v>
      </c>
      <c r="J382" s="1232"/>
      <c r="K382" s="1232"/>
      <c r="L382" s="1232"/>
      <c r="M382" s="811">
        <v>46069</v>
      </c>
      <c r="N382" s="888" t="s">
        <v>691</v>
      </c>
      <c r="O382" s="807">
        <v>49</v>
      </c>
      <c r="P382" s="807"/>
      <c r="Q382" s="1"/>
      <c r="R382" s="1"/>
      <c r="S382" s="1"/>
      <c r="T382" s="1"/>
    </row>
    <row r="383" spans="1:20" ht="17.55" customHeight="1" x14ac:dyDescent="0.35">
      <c r="A383" s="1"/>
      <c r="B383" s="874">
        <f t="shared" si="7"/>
        <v>39</v>
      </c>
      <c r="C383" s="807" t="s">
        <v>614</v>
      </c>
      <c r="D383" s="672" t="s">
        <v>87</v>
      </c>
      <c r="E383" s="671" t="s">
        <v>542</v>
      </c>
      <c r="F383" s="807"/>
      <c r="G383" s="811">
        <v>46065</v>
      </c>
      <c r="H383" s="893">
        <v>35.088999999999999</v>
      </c>
      <c r="I383" s="1231" t="s">
        <v>667</v>
      </c>
      <c r="J383" s="1232"/>
      <c r="K383" s="1232"/>
      <c r="L383" s="1232"/>
      <c r="M383" s="811">
        <v>46069</v>
      </c>
      <c r="N383" s="888" t="s">
        <v>692</v>
      </c>
      <c r="O383" s="807">
        <v>45</v>
      </c>
      <c r="P383" s="807"/>
      <c r="Q383" s="1"/>
      <c r="R383" s="1"/>
      <c r="S383" s="1"/>
      <c r="T383" s="1"/>
    </row>
    <row r="384" spans="1:20" ht="17.55" customHeight="1" x14ac:dyDescent="0.35">
      <c r="A384" s="1"/>
      <c r="B384" s="874">
        <f t="shared" si="7"/>
        <v>40</v>
      </c>
      <c r="C384" s="672" t="s">
        <v>625</v>
      </c>
      <c r="D384" s="672" t="s">
        <v>87</v>
      </c>
      <c r="E384" s="672" t="s">
        <v>92</v>
      </c>
      <c r="F384" s="672"/>
      <c r="G384" s="833">
        <v>46067</v>
      </c>
      <c r="H384" s="893">
        <v>35.088999999999999</v>
      </c>
      <c r="I384" s="1231" t="s">
        <v>667</v>
      </c>
      <c r="J384" s="1232"/>
      <c r="K384" s="1232"/>
      <c r="L384" s="1232"/>
      <c r="M384" s="811">
        <v>46070</v>
      </c>
      <c r="N384" s="888" t="s">
        <v>693</v>
      </c>
      <c r="O384" s="807">
        <v>32</v>
      </c>
      <c r="P384" s="807"/>
      <c r="Q384" s="1"/>
      <c r="R384" s="1"/>
      <c r="S384" s="1"/>
      <c r="T384" s="1"/>
    </row>
    <row r="385" spans="1:20" ht="17.55" customHeight="1" x14ac:dyDescent="0.35">
      <c r="A385" s="1"/>
      <c r="B385" s="874">
        <f t="shared" si="7"/>
        <v>41</v>
      </c>
      <c r="C385" s="807" t="s">
        <v>250</v>
      </c>
      <c r="D385" s="672" t="s">
        <v>87</v>
      </c>
      <c r="E385" s="671" t="s">
        <v>542</v>
      </c>
      <c r="F385" s="807"/>
      <c r="G385" s="811">
        <v>46067</v>
      </c>
      <c r="H385" s="893">
        <v>35.088999999999999</v>
      </c>
      <c r="I385" s="1231" t="s">
        <v>667</v>
      </c>
      <c r="J385" s="1232"/>
      <c r="K385" s="1232"/>
      <c r="L385" s="1232"/>
      <c r="M385" s="811">
        <v>46070</v>
      </c>
      <c r="N385" s="888" t="s">
        <v>690</v>
      </c>
      <c r="O385" s="807">
        <v>35</v>
      </c>
      <c r="P385" s="807"/>
      <c r="Q385" s="1"/>
      <c r="R385" s="1"/>
      <c r="S385" s="1"/>
      <c r="T385" s="1"/>
    </row>
    <row r="386" spans="1:20" ht="17.55" customHeight="1" x14ac:dyDescent="0.35">
      <c r="A386" s="1"/>
      <c r="B386" s="874">
        <f t="shared" si="7"/>
        <v>42</v>
      </c>
      <c r="C386" s="819" t="s">
        <v>626</v>
      </c>
      <c r="D386" s="674" t="s">
        <v>87</v>
      </c>
      <c r="E386" s="673" t="s">
        <v>541</v>
      </c>
      <c r="F386" s="819"/>
      <c r="G386" s="895">
        <v>46068</v>
      </c>
      <c r="H386" s="902">
        <v>35.088999999999999</v>
      </c>
      <c r="I386" s="1231" t="s">
        <v>667</v>
      </c>
      <c r="J386" s="1232"/>
      <c r="K386" s="1232"/>
      <c r="L386" s="1232"/>
      <c r="M386" s="895">
        <v>46072</v>
      </c>
      <c r="N386" s="896" t="s">
        <v>693</v>
      </c>
      <c r="O386" s="819">
        <v>32</v>
      </c>
      <c r="P386" s="807"/>
      <c r="Q386" s="1"/>
      <c r="R386" s="1"/>
      <c r="S386" s="1"/>
      <c r="T386" s="1"/>
    </row>
    <row r="387" spans="1:20" ht="17.55" customHeight="1" x14ac:dyDescent="0.35">
      <c r="A387" s="1"/>
      <c r="B387" s="874">
        <f t="shared" si="7"/>
        <v>43</v>
      </c>
      <c r="C387" s="819" t="s">
        <v>259</v>
      </c>
      <c r="D387" s="672" t="s">
        <v>558</v>
      </c>
      <c r="E387" s="673" t="s">
        <v>542</v>
      </c>
      <c r="F387" s="819"/>
      <c r="G387" s="895">
        <v>46065</v>
      </c>
      <c r="H387" s="902">
        <v>54.72</v>
      </c>
      <c r="I387" s="1231" t="s">
        <v>667</v>
      </c>
      <c r="J387" s="1232"/>
      <c r="K387" s="1232"/>
      <c r="L387" s="1232"/>
      <c r="M387" s="895">
        <v>46073</v>
      </c>
      <c r="N387" s="896" t="s">
        <v>666</v>
      </c>
      <c r="O387" s="819">
        <v>35</v>
      </c>
      <c r="P387" s="807"/>
      <c r="Q387" s="1"/>
      <c r="R387" s="1"/>
      <c r="S387" s="1"/>
      <c r="T387" s="1"/>
    </row>
    <row r="388" spans="1:20" ht="17.55" customHeight="1" x14ac:dyDescent="0.35">
      <c r="A388" s="1"/>
      <c r="B388" s="874">
        <f t="shared" si="7"/>
        <v>44</v>
      </c>
      <c r="C388" s="903" t="s">
        <v>408</v>
      </c>
      <c r="D388" s="672" t="s">
        <v>87</v>
      </c>
      <c r="E388" s="672" t="s">
        <v>542</v>
      </c>
      <c r="F388" s="672"/>
      <c r="G388" s="833">
        <v>46069</v>
      </c>
      <c r="H388" s="893">
        <v>35.088999999999999</v>
      </c>
      <c r="I388" s="1231" t="s">
        <v>667</v>
      </c>
      <c r="J388" s="1232"/>
      <c r="K388" s="1232"/>
      <c r="L388" s="1232"/>
      <c r="M388" s="895">
        <v>46073</v>
      </c>
      <c r="N388" s="888" t="s">
        <v>692</v>
      </c>
      <c r="O388" s="807">
        <v>45</v>
      </c>
      <c r="P388" s="807"/>
      <c r="Q388" s="1"/>
      <c r="R388" s="1"/>
      <c r="S388" s="1"/>
      <c r="T388" s="1"/>
    </row>
    <row r="389" spans="1:20" ht="17.55" customHeight="1" x14ac:dyDescent="0.35">
      <c r="A389" s="1"/>
      <c r="B389" s="874">
        <f t="shared" si="7"/>
        <v>45</v>
      </c>
      <c r="C389" s="807" t="s">
        <v>418</v>
      </c>
      <c r="D389" s="672" t="s">
        <v>685</v>
      </c>
      <c r="E389" s="671" t="s">
        <v>92</v>
      </c>
      <c r="F389" s="807"/>
      <c r="G389" s="811">
        <v>46070</v>
      </c>
      <c r="H389" s="893">
        <v>54.72</v>
      </c>
      <c r="I389" s="1231" t="s">
        <v>667</v>
      </c>
      <c r="J389" s="1232"/>
      <c r="K389" s="1232"/>
      <c r="L389" s="1232"/>
      <c r="M389" s="811">
        <v>46074</v>
      </c>
      <c r="N389" s="888" t="s">
        <v>690</v>
      </c>
      <c r="O389" s="807">
        <v>35</v>
      </c>
      <c r="P389" s="807"/>
      <c r="Q389" s="1"/>
      <c r="R389" s="1"/>
      <c r="S389" s="1"/>
      <c r="T389" s="1"/>
    </row>
    <row r="390" spans="1:20" ht="17.55" customHeight="1" x14ac:dyDescent="0.35">
      <c r="A390" s="1"/>
      <c r="B390" s="874">
        <f t="shared" si="7"/>
        <v>46</v>
      </c>
      <c r="C390" s="891" t="s">
        <v>623</v>
      </c>
      <c r="D390" s="672" t="s">
        <v>87</v>
      </c>
      <c r="E390" s="671" t="s">
        <v>92</v>
      </c>
      <c r="F390" s="807"/>
      <c r="G390" s="811">
        <v>46073</v>
      </c>
      <c r="H390" s="893">
        <v>35.088999999999999</v>
      </c>
      <c r="I390" s="1231" t="s">
        <v>667</v>
      </c>
      <c r="J390" s="1232"/>
      <c r="K390" s="1232"/>
      <c r="L390" s="1232"/>
      <c r="M390" s="811">
        <v>46075</v>
      </c>
      <c r="N390" s="888" t="s">
        <v>693</v>
      </c>
      <c r="O390" s="807">
        <v>32</v>
      </c>
      <c r="P390" s="807"/>
      <c r="Q390" s="1"/>
      <c r="R390" s="1"/>
      <c r="S390" s="1"/>
      <c r="T390" s="1"/>
    </row>
    <row r="391" spans="1:20" ht="17.55" customHeight="1" x14ac:dyDescent="0.35">
      <c r="A391" s="1"/>
      <c r="B391" s="874">
        <f t="shared" si="7"/>
        <v>47</v>
      </c>
      <c r="C391" s="891" t="s">
        <v>404</v>
      </c>
      <c r="D391" s="672" t="s">
        <v>87</v>
      </c>
      <c r="E391" s="671" t="s">
        <v>92</v>
      </c>
      <c r="F391" s="807"/>
      <c r="G391" s="811">
        <v>46061</v>
      </c>
      <c r="H391" s="893">
        <v>35.088999999999999</v>
      </c>
      <c r="I391" s="1231" t="s">
        <v>667</v>
      </c>
      <c r="J391" s="1232"/>
      <c r="K391" s="1232"/>
      <c r="L391" s="1232"/>
      <c r="M391" s="811">
        <v>46077</v>
      </c>
      <c r="N391" s="888" t="s">
        <v>692</v>
      </c>
      <c r="O391" s="807">
        <v>45</v>
      </c>
      <c r="P391" s="807"/>
      <c r="Q391" s="1"/>
      <c r="R391" s="1"/>
      <c r="S391" s="1"/>
      <c r="T391" s="1"/>
    </row>
    <row r="392" spans="1:20" ht="17.55" customHeight="1" x14ac:dyDescent="0.35">
      <c r="A392" s="1"/>
      <c r="B392" s="874">
        <f t="shared" si="7"/>
        <v>48</v>
      </c>
      <c r="C392" s="904" t="s">
        <v>624</v>
      </c>
      <c r="D392" s="672" t="s">
        <v>87</v>
      </c>
      <c r="E392" s="671" t="s">
        <v>92</v>
      </c>
      <c r="F392" s="807"/>
      <c r="G392" s="811">
        <v>46075</v>
      </c>
      <c r="H392" s="893">
        <v>35.088999999999999</v>
      </c>
      <c r="I392" s="1231" t="s">
        <v>667</v>
      </c>
      <c r="J392" s="1232"/>
      <c r="K392" s="1232"/>
      <c r="L392" s="1232"/>
      <c r="M392" s="811">
        <v>46077</v>
      </c>
      <c r="N392" s="888" t="s">
        <v>693</v>
      </c>
      <c r="O392" s="807">
        <v>32</v>
      </c>
      <c r="P392" s="807"/>
      <c r="Q392" s="1"/>
      <c r="R392" s="1"/>
      <c r="S392" s="1"/>
      <c r="T392" s="1"/>
    </row>
    <row r="393" spans="1:20" ht="17.55" customHeight="1" x14ac:dyDescent="0.35">
      <c r="A393" s="1"/>
      <c r="B393" s="874">
        <f t="shared" si="7"/>
        <v>49</v>
      </c>
      <c r="C393" s="680" t="s">
        <v>242</v>
      </c>
      <c r="D393" s="678" t="s">
        <v>91</v>
      </c>
      <c r="E393" s="677" t="s">
        <v>92</v>
      </c>
      <c r="F393" s="807"/>
      <c r="G393" s="905">
        <v>46075</v>
      </c>
      <c r="H393" s="906">
        <v>36.771000000000001</v>
      </c>
      <c r="I393" s="1231" t="s">
        <v>667</v>
      </c>
      <c r="J393" s="1232"/>
      <c r="K393" s="1232"/>
      <c r="L393" s="1232"/>
      <c r="M393" s="905">
        <v>46078</v>
      </c>
      <c r="N393" s="907" t="s">
        <v>690</v>
      </c>
      <c r="O393" s="908">
        <v>40</v>
      </c>
      <c r="P393" s="908"/>
      <c r="Q393" s="1"/>
      <c r="R393" s="1"/>
      <c r="S393" s="1"/>
      <c r="T393" s="1"/>
    </row>
    <row r="394" spans="1:20" ht="17.55" customHeight="1" x14ac:dyDescent="0.35">
      <c r="A394" s="1"/>
      <c r="B394" s="874">
        <f t="shared" si="7"/>
        <v>50</v>
      </c>
      <c r="C394" s="680" t="s">
        <v>254</v>
      </c>
      <c r="D394" s="672" t="s">
        <v>91</v>
      </c>
      <c r="E394" s="671" t="s">
        <v>542</v>
      </c>
      <c r="F394" s="702"/>
      <c r="G394" s="811">
        <v>46073</v>
      </c>
      <c r="H394" s="889">
        <v>36.771000000000001</v>
      </c>
      <c r="I394" s="1231" t="s">
        <v>667</v>
      </c>
      <c r="J394" s="1232"/>
      <c r="K394" s="1232"/>
      <c r="L394" s="1232"/>
      <c r="M394" s="811">
        <v>46079</v>
      </c>
      <c r="N394" s="896" t="s">
        <v>666</v>
      </c>
      <c r="O394" s="819">
        <v>30</v>
      </c>
      <c r="P394" s="807"/>
      <c r="Q394" s="1"/>
      <c r="R394" s="1"/>
      <c r="S394" s="1"/>
      <c r="T394" s="1"/>
    </row>
    <row r="395" spans="1:20" ht="17.55" customHeight="1" x14ac:dyDescent="0.35">
      <c r="A395" s="1"/>
      <c r="B395" s="874">
        <f t="shared" si="7"/>
        <v>51</v>
      </c>
      <c r="C395" s="891" t="s">
        <v>622</v>
      </c>
      <c r="D395" s="681" t="s">
        <v>87</v>
      </c>
      <c r="E395" s="671" t="s">
        <v>92</v>
      </c>
      <c r="F395" s="807"/>
      <c r="G395" s="811">
        <v>46077</v>
      </c>
      <c r="H395" s="893">
        <v>35.088999999999999</v>
      </c>
      <c r="I395" s="1231" t="s">
        <v>667</v>
      </c>
      <c r="J395" s="1232"/>
      <c r="K395" s="1232"/>
      <c r="L395" s="1232"/>
      <c r="M395" s="811">
        <v>46080</v>
      </c>
      <c r="N395" s="888" t="s">
        <v>693</v>
      </c>
      <c r="O395" s="807">
        <v>32</v>
      </c>
      <c r="P395" s="807"/>
      <c r="Q395" s="1"/>
      <c r="R395" s="1"/>
      <c r="S395" s="1"/>
      <c r="T395" s="1"/>
    </row>
    <row r="396" spans="1:20" ht="17.55" customHeight="1" x14ac:dyDescent="0.35">
      <c r="A396" s="1"/>
      <c r="B396" s="874">
        <f t="shared" si="7"/>
        <v>52</v>
      </c>
      <c r="C396" s="807" t="s">
        <v>327</v>
      </c>
      <c r="D396" s="681" t="s">
        <v>87</v>
      </c>
      <c r="E396" s="671" t="s">
        <v>92</v>
      </c>
      <c r="F396" s="807"/>
      <c r="G396" s="811">
        <v>46077</v>
      </c>
      <c r="H396" s="893">
        <v>35.088999999999999</v>
      </c>
      <c r="I396" s="1231" t="s">
        <v>667</v>
      </c>
      <c r="J396" s="1232"/>
      <c r="K396" s="1232"/>
      <c r="L396" s="1232"/>
      <c r="M396" s="811">
        <v>46081</v>
      </c>
      <c r="N396" s="840" t="s">
        <v>732</v>
      </c>
      <c r="O396" s="807">
        <v>24</v>
      </c>
      <c r="P396" s="807"/>
      <c r="Q396" s="1"/>
      <c r="R396" s="1"/>
      <c r="S396" s="1"/>
      <c r="T396" s="1"/>
    </row>
    <row r="397" spans="1:20" ht="17.55" customHeight="1" x14ac:dyDescent="0.35">
      <c r="A397" s="1"/>
      <c r="B397" s="874">
        <f t="shared" si="7"/>
        <v>53</v>
      </c>
      <c r="C397" s="836" t="s">
        <v>243</v>
      </c>
      <c r="D397" s="672" t="s">
        <v>87</v>
      </c>
      <c r="E397" s="671" t="s">
        <v>542</v>
      </c>
      <c r="F397" s="702"/>
      <c r="G397" s="811">
        <v>46078</v>
      </c>
      <c r="H397" s="893">
        <v>35.088999999999999</v>
      </c>
      <c r="I397" s="1231" t="s">
        <v>667</v>
      </c>
      <c r="J397" s="1232"/>
      <c r="K397" s="1232"/>
      <c r="L397" s="1232"/>
      <c r="M397" s="811">
        <v>46081</v>
      </c>
      <c r="N397" s="840" t="s">
        <v>690</v>
      </c>
      <c r="O397" s="807">
        <v>40</v>
      </c>
      <c r="P397" s="807"/>
      <c r="Q397" s="1"/>
      <c r="R397" s="1"/>
      <c r="S397" s="1"/>
      <c r="T397" s="1"/>
    </row>
    <row r="398" spans="1:20" ht="17.55" customHeight="1" x14ac:dyDescent="0.35">
      <c r="A398" s="1"/>
      <c r="B398" s="874">
        <f t="shared" si="7"/>
        <v>54</v>
      </c>
      <c r="C398" s="672" t="s">
        <v>616</v>
      </c>
      <c r="D398" s="672" t="s">
        <v>87</v>
      </c>
      <c r="E398" s="672" t="s">
        <v>542</v>
      </c>
      <c r="F398" s="909"/>
      <c r="G398" s="910">
        <v>46080</v>
      </c>
      <c r="H398" s="911">
        <v>35.088999999999999</v>
      </c>
      <c r="I398" s="1240" t="s">
        <v>667</v>
      </c>
      <c r="J398" s="1241"/>
      <c r="K398" s="1241"/>
      <c r="L398" s="1241"/>
      <c r="M398" s="910">
        <v>46083</v>
      </c>
      <c r="N398" s="912" t="s">
        <v>693</v>
      </c>
      <c r="O398" s="913">
        <v>32</v>
      </c>
      <c r="P398" s="807"/>
      <c r="Q398" s="1"/>
      <c r="R398" s="1"/>
      <c r="S398" s="1"/>
      <c r="T398" s="1"/>
    </row>
    <row r="399" spans="1:20" ht="17.55" customHeight="1" x14ac:dyDescent="0.35">
      <c r="A399" s="1"/>
      <c r="B399" s="874">
        <f t="shared" si="7"/>
        <v>55</v>
      </c>
      <c r="C399" s="672" t="s">
        <v>482</v>
      </c>
      <c r="D399" s="672" t="s">
        <v>558</v>
      </c>
      <c r="E399" s="671" t="s">
        <v>542</v>
      </c>
      <c r="F399" s="849"/>
      <c r="G399" s="811">
        <v>46073</v>
      </c>
      <c r="H399" s="893">
        <v>54.72</v>
      </c>
      <c r="I399" s="1231" t="s">
        <v>667</v>
      </c>
      <c r="J399" s="1232"/>
      <c r="K399" s="1232"/>
      <c r="L399" s="1232"/>
      <c r="M399" s="811">
        <v>46084</v>
      </c>
      <c r="N399" s="888" t="s">
        <v>692</v>
      </c>
      <c r="O399" s="807">
        <v>45</v>
      </c>
      <c r="P399" s="807"/>
      <c r="Q399" s="1"/>
      <c r="R399" s="1"/>
      <c r="S399" s="1"/>
      <c r="T399" s="1"/>
    </row>
    <row r="400" spans="1:20" ht="17.55" customHeight="1" x14ac:dyDescent="0.35">
      <c r="A400" s="1"/>
      <c r="B400" s="874">
        <f t="shared" si="7"/>
        <v>56</v>
      </c>
      <c r="C400" s="672" t="s">
        <v>235</v>
      </c>
      <c r="D400" s="807" t="s">
        <v>91</v>
      </c>
      <c r="E400" s="671" t="s">
        <v>92</v>
      </c>
      <c r="F400" s="807"/>
      <c r="G400" s="746">
        <v>46081</v>
      </c>
      <c r="H400" s="889">
        <v>36.771000000000001</v>
      </c>
      <c r="I400" s="1231" t="s">
        <v>667</v>
      </c>
      <c r="J400" s="1232"/>
      <c r="K400" s="1232"/>
      <c r="L400" s="1232"/>
      <c r="M400" s="811">
        <v>46086</v>
      </c>
      <c r="N400" s="840" t="s">
        <v>690</v>
      </c>
      <c r="O400" s="807">
        <v>40</v>
      </c>
      <c r="P400" s="807"/>
      <c r="Q400" s="1"/>
      <c r="R400" s="1"/>
      <c r="S400" s="1"/>
      <c r="T400" s="1"/>
    </row>
    <row r="401" spans="1:20" ht="17.55" customHeight="1" x14ac:dyDescent="0.35">
      <c r="A401" s="1"/>
      <c r="B401" s="874">
        <f t="shared" si="7"/>
        <v>57</v>
      </c>
      <c r="C401" s="672" t="s">
        <v>255</v>
      </c>
      <c r="D401" s="674" t="s">
        <v>87</v>
      </c>
      <c r="E401" s="673" t="s">
        <v>92</v>
      </c>
      <c r="F401" s="849"/>
      <c r="G401" s="895">
        <v>46078</v>
      </c>
      <c r="H401" s="902">
        <v>35.088999999999999</v>
      </c>
      <c r="I401" s="1231" t="s">
        <v>667</v>
      </c>
      <c r="J401" s="1232"/>
      <c r="K401" s="1232"/>
      <c r="L401" s="1232"/>
      <c r="M401" s="895">
        <v>46088</v>
      </c>
      <c r="N401" s="896" t="s">
        <v>666</v>
      </c>
      <c r="O401" s="819">
        <v>30</v>
      </c>
      <c r="P401" s="819"/>
      <c r="Q401" s="1"/>
      <c r="R401" s="1"/>
      <c r="S401" s="1"/>
      <c r="T401" s="1"/>
    </row>
    <row r="402" spans="1:20" ht="17.55" customHeight="1" x14ac:dyDescent="0.35">
      <c r="A402" s="1"/>
      <c r="B402" s="874">
        <f t="shared" si="7"/>
        <v>58</v>
      </c>
      <c r="C402" s="672" t="s">
        <v>340</v>
      </c>
      <c r="D402" s="681" t="s">
        <v>87</v>
      </c>
      <c r="E402" s="671" t="s">
        <v>92</v>
      </c>
      <c r="F402" s="807"/>
      <c r="G402" s="811">
        <v>46077</v>
      </c>
      <c r="H402" s="893">
        <v>35.088999999999999</v>
      </c>
      <c r="I402" s="1231" t="s">
        <v>667</v>
      </c>
      <c r="J402" s="1232"/>
      <c r="K402" s="1232"/>
      <c r="L402" s="1232"/>
      <c r="M402" s="811">
        <v>46090</v>
      </c>
      <c r="N402" s="840" t="s">
        <v>732</v>
      </c>
      <c r="O402" s="807">
        <v>24</v>
      </c>
      <c r="P402" s="807"/>
      <c r="Q402" s="1"/>
      <c r="R402" s="1"/>
      <c r="S402" s="1"/>
      <c r="T402" s="1"/>
    </row>
    <row r="403" spans="1:20" ht="17.55" customHeight="1" x14ac:dyDescent="0.35">
      <c r="A403" s="1"/>
      <c r="B403" s="874">
        <f t="shared" si="7"/>
        <v>59</v>
      </c>
      <c r="C403" s="672" t="s">
        <v>346</v>
      </c>
      <c r="D403" s="672" t="s">
        <v>109</v>
      </c>
      <c r="E403" s="671" t="s">
        <v>664</v>
      </c>
      <c r="F403" s="807"/>
      <c r="G403" s="811">
        <v>46089</v>
      </c>
      <c r="H403" s="893">
        <v>43.575000000000003</v>
      </c>
      <c r="I403" s="1231" t="s">
        <v>667</v>
      </c>
      <c r="J403" s="1232"/>
      <c r="K403" s="1232"/>
      <c r="L403" s="1232"/>
      <c r="M403" s="811">
        <v>46092</v>
      </c>
      <c r="N403" s="840" t="s">
        <v>690</v>
      </c>
      <c r="O403" s="807">
        <v>40</v>
      </c>
      <c r="P403" s="807"/>
      <c r="Q403" s="1"/>
      <c r="R403" s="1"/>
      <c r="S403" s="1"/>
      <c r="T403" s="1"/>
    </row>
    <row r="404" spans="1:20" ht="17.55" customHeight="1" x14ac:dyDescent="0.35">
      <c r="A404" s="1"/>
      <c r="B404" s="874">
        <f t="shared" si="7"/>
        <v>60</v>
      </c>
      <c r="C404" s="672" t="s">
        <v>405</v>
      </c>
      <c r="D404" s="672" t="s">
        <v>87</v>
      </c>
      <c r="E404" s="671" t="s">
        <v>92</v>
      </c>
      <c r="F404" s="807"/>
      <c r="G404" s="811">
        <v>46091</v>
      </c>
      <c r="H404" s="893">
        <v>35.088999999999999</v>
      </c>
      <c r="I404" s="1231" t="s">
        <v>667</v>
      </c>
      <c r="J404" s="1232"/>
      <c r="K404" s="1232"/>
      <c r="L404" s="1232"/>
      <c r="M404" s="811">
        <v>46097</v>
      </c>
      <c r="N404" s="840" t="s">
        <v>732</v>
      </c>
      <c r="O404" s="807">
        <v>24</v>
      </c>
      <c r="P404" s="807"/>
      <c r="Q404" s="1"/>
      <c r="R404" s="1"/>
      <c r="S404" s="1"/>
      <c r="T404" s="1"/>
    </row>
    <row r="405" spans="1:20" ht="17.55" customHeight="1" x14ac:dyDescent="0.35">
      <c r="A405" s="1"/>
      <c r="B405" s="874">
        <f t="shared" si="7"/>
        <v>61</v>
      </c>
      <c r="C405" s="672" t="s">
        <v>617</v>
      </c>
      <c r="D405" s="672" t="s">
        <v>87</v>
      </c>
      <c r="E405" s="671" t="s">
        <v>92</v>
      </c>
      <c r="F405" s="807"/>
      <c r="G405" s="811">
        <v>46094</v>
      </c>
      <c r="H405" s="893">
        <v>35.088999999999999</v>
      </c>
      <c r="I405" s="1231" t="s">
        <v>667</v>
      </c>
      <c r="J405" s="1232"/>
      <c r="K405" s="1232"/>
      <c r="L405" s="1232"/>
      <c r="M405" s="811">
        <v>46097</v>
      </c>
      <c r="N405" s="840" t="s">
        <v>690</v>
      </c>
      <c r="O405" s="807">
        <v>40</v>
      </c>
      <c r="P405" s="819"/>
      <c r="Q405" s="1"/>
      <c r="R405" s="1"/>
      <c r="S405" s="1"/>
      <c r="T405" s="1"/>
    </row>
    <row r="406" spans="1:20" ht="17.55" customHeight="1" x14ac:dyDescent="0.35">
      <c r="A406" s="1"/>
      <c r="B406" s="874">
        <f t="shared" si="7"/>
        <v>62</v>
      </c>
      <c r="C406" s="672" t="s">
        <v>252</v>
      </c>
      <c r="D406" s="672" t="s">
        <v>87</v>
      </c>
      <c r="E406" s="671" t="s">
        <v>542</v>
      </c>
      <c r="F406" s="807"/>
      <c r="G406" s="811">
        <v>46092</v>
      </c>
      <c r="H406" s="893">
        <v>35.088999999999999</v>
      </c>
      <c r="I406" s="1231" t="s">
        <v>667</v>
      </c>
      <c r="J406" s="1232"/>
      <c r="K406" s="1232"/>
      <c r="L406" s="1232"/>
      <c r="M406" s="811">
        <v>46099</v>
      </c>
      <c r="N406" s="888" t="s">
        <v>666</v>
      </c>
      <c r="O406" s="807">
        <v>30</v>
      </c>
      <c r="P406" s="807"/>
      <c r="Q406" s="1"/>
      <c r="R406" s="1"/>
      <c r="S406" s="1"/>
      <c r="T406" s="1"/>
    </row>
    <row r="407" spans="1:20" ht="16.2" customHeight="1" x14ac:dyDescent="0.35">
      <c r="A407" s="1"/>
      <c r="B407" s="874">
        <f t="shared" si="7"/>
        <v>63</v>
      </c>
      <c r="C407" s="672" t="s">
        <v>618</v>
      </c>
      <c r="D407" s="684" t="s">
        <v>87</v>
      </c>
      <c r="E407" s="671" t="s">
        <v>92</v>
      </c>
      <c r="F407" s="702"/>
      <c r="G407" s="811">
        <v>46097</v>
      </c>
      <c r="H407" s="893">
        <v>35.088999999999999</v>
      </c>
      <c r="I407" s="1231" t="s">
        <v>667</v>
      </c>
      <c r="J407" s="1232"/>
      <c r="K407" s="1232"/>
      <c r="L407" s="1232"/>
      <c r="M407" s="811">
        <v>46101</v>
      </c>
      <c r="N407" s="840" t="s">
        <v>690</v>
      </c>
      <c r="O407" s="807">
        <v>40</v>
      </c>
      <c r="P407" s="807"/>
      <c r="Q407" s="1"/>
      <c r="R407" s="1"/>
      <c r="S407" s="1"/>
      <c r="T407" s="1"/>
    </row>
    <row r="408" spans="1:20" ht="17.55" customHeight="1" x14ac:dyDescent="0.35">
      <c r="A408" s="1"/>
      <c r="B408" s="874">
        <f t="shared" si="7"/>
        <v>64</v>
      </c>
      <c r="C408" s="672" t="s">
        <v>406</v>
      </c>
      <c r="D408" s="672" t="s">
        <v>91</v>
      </c>
      <c r="E408" s="671" t="s">
        <v>92</v>
      </c>
      <c r="F408" s="702"/>
      <c r="G408" s="811">
        <v>46097</v>
      </c>
      <c r="H408" s="889">
        <v>36.771000000000001</v>
      </c>
      <c r="I408" s="1231" t="s">
        <v>667</v>
      </c>
      <c r="J408" s="1232"/>
      <c r="K408" s="1232"/>
      <c r="L408" s="1232"/>
      <c r="M408" s="811">
        <v>46104</v>
      </c>
      <c r="N408" s="840" t="s">
        <v>732</v>
      </c>
      <c r="O408" s="807">
        <v>24</v>
      </c>
      <c r="P408" s="807"/>
      <c r="Q408" s="1"/>
      <c r="R408" s="1"/>
      <c r="S408" s="1"/>
      <c r="T408" s="1"/>
    </row>
    <row r="409" spans="1:20" ht="17.55" customHeight="1" x14ac:dyDescent="0.35">
      <c r="A409" s="1"/>
      <c r="B409" s="874">
        <f t="shared" si="7"/>
        <v>65</v>
      </c>
      <c r="C409" s="672" t="s">
        <v>256</v>
      </c>
      <c r="D409" s="672" t="s">
        <v>91</v>
      </c>
      <c r="E409" s="807" t="s">
        <v>664</v>
      </c>
      <c r="F409" s="849"/>
      <c r="G409" s="811">
        <v>46099</v>
      </c>
      <c r="H409" s="889">
        <v>36.771000000000001</v>
      </c>
      <c r="I409" s="1231" t="s">
        <v>667</v>
      </c>
      <c r="J409" s="1232"/>
      <c r="K409" s="1232"/>
      <c r="L409" s="1232"/>
      <c r="M409" s="811">
        <v>46106</v>
      </c>
      <c r="N409" s="888" t="s">
        <v>666</v>
      </c>
      <c r="O409" s="807">
        <v>30</v>
      </c>
      <c r="P409" s="807"/>
      <c r="Q409" s="1"/>
      <c r="R409" s="1"/>
      <c r="S409" s="1"/>
      <c r="T409" s="1"/>
    </row>
    <row r="410" spans="1:20" ht="17.55" customHeight="1" x14ac:dyDescent="0.35">
      <c r="A410" s="1"/>
      <c r="B410" s="874">
        <f t="shared" ref="B410:B469" si="8">B409+1</f>
        <v>66</v>
      </c>
      <c r="C410" s="828" t="s">
        <v>403</v>
      </c>
      <c r="D410" s="674" t="s">
        <v>87</v>
      </c>
      <c r="E410" s="673" t="s">
        <v>92</v>
      </c>
      <c r="F410" s="914"/>
      <c r="G410" s="915">
        <v>46101</v>
      </c>
      <c r="H410" s="916">
        <v>35.088999999999999</v>
      </c>
      <c r="I410" s="1240" t="s">
        <v>667</v>
      </c>
      <c r="J410" s="1241"/>
      <c r="K410" s="1241"/>
      <c r="L410" s="1241"/>
      <c r="M410" s="915">
        <v>46110</v>
      </c>
      <c r="N410" s="917" t="s">
        <v>732</v>
      </c>
      <c r="O410" s="918">
        <v>24</v>
      </c>
      <c r="P410" s="819"/>
      <c r="Q410" s="1"/>
      <c r="R410" s="1"/>
      <c r="S410" s="1"/>
      <c r="T410" s="1"/>
    </row>
    <row r="411" spans="1:20" ht="17.55" customHeight="1" x14ac:dyDescent="0.35">
      <c r="A411" s="1"/>
      <c r="B411" s="874">
        <f t="shared" si="8"/>
        <v>67</v>
      </c>
      <c r="C411" s="807" t="s">
        <v>245</v>
      </c>
      <c r="D411" s="672" t="s">
        <v>87</v>
      </c>
      <c r="E411" s="807" t="s">
        <v>664</v>
      </c>
      <c r="F411" s="807"/>
      <c r="G411" s="811">
        <v>46107</v>
      </c>
      <c r="H411" s="893">
        <v>35.088999999999999</v>
      </c>
      <c r="I411" s="1231" t="s">
        <v>667</v>
      </c>
      <c r="J411" s="1232"/>
      <c r="K411" s="1232"/>
      <c r="L411" s="1232"/>
      <c r="M411" s="811">
        <v>46113</v>
      </c>
      <c r="N411" s="888" t="s">
        <v>666</v>
      </c>
      <c r="O411" s="807">
        <v>30</v>
      </c>
      <c r="P411" s="807"/>
      <c r="Q411" s="1"/>
      <c r="R411" s="1"/>
      <c r="S411" s="1"/>
      <c r="T411" s="1"/>
    </row>
    <row r="412" spans="1:20" ht="17.55" customHeight="1" x14ac:dyDescent="0.35">
      <c r="A412" s="1"/>
      <c r="B412" s="874">
        <f t="shared" si="8"/>
        <v>68</v>
      </c>
      <c r="C412" s="673" t="s">
        <v>407</v>
      </c>
      <c r="D412" s="674" t="s">
        <v>87</v>
      </c>
      <c r="E412" s="673" t="s">
        <v>92</v>
      </c>
      <c r="F412" s="849"/>
      <c r="G412" s="895">
        <v>46111</v>
      </c>
      <c r="H412" s="902">
        <v>35.088999999999999</v>
      </c>
      <c r="I412" s="1231" t="s">
        <v>667</v>
      </c>
      <c r="J412" s="1232"/>
      <c r="K412" s="1232"/>
      <c r="L412" s="1232"/>
      <c r="M412" s="895">
        <v>46116</v>
      </c>
      <c r="N412" s="842" t="s">
        <v>732</v>
      </c>
      <c r="O412" s="819">
        <v>24</v>
      </c>
      <c r="P412" s="819"/>
      <c r="Q412" s="1"/>
      <c r="R412" s="1"/>
      <c r="S412" s="1"/>
      <c r="T412" s="1"/>
    </row>
    <row r="413" spans="1:20" ht="17.55" customHeight="1" x14ac:dyDescent="0.35">
      <c r="A413" s="1"/>
      <c r="B413" s="874">
        <f t="shared" si="8"/>
        <v>69</v>
      </c>
      <c r="C413" s="891" t="s">
        <v>246</v>
      </c>
      <c r="D413" s="672" t="s">
        <v>87</v>
      </c>
      <c r="E413" s="671" t="s">
        <v>542</v>
      </c>
      <c r="F413" s="919"/>
      <c r="G413" s="811" t="s">
        <v>761</v>
      </c>
      <c r="H413" s="893">
        <v>35.088999999999999</v>
      </c>
      <c r="I413" s="1231" t="s">
        <v>667</v>
      </c>
      <c r="J413" s="1232"/>
      <c r="K413" s="1232"/>
      <c r="L413" s="1232"/>
      <c r="M413" s="811">
        <v>46119</v>
      </c>
      <c r="N413" s="888" t="s">
        <v>666</v>
      </c>
      <c r="O413" s="807">
        <v>30</v>
      </c>
      <c r="P413" s="807"/>
      <c r="Q413" s="1"/>
      <c r="R413" s="1"/>
      <c r="S413" s="1"/>
      <c r="T413" s="1"/>
    </row>
    <row r="414" spans="1:20" ht="17.55" customHeight="1" x14ac:dyDescent="0.35">
      <c r="A414" s="1"/>
      <c r="B414" s="874">
        <f t="shared" si="8"/>
        <v>70</v>
      </c>
      <c r="C414" s="920" t="s">
        <v>481</v>
      </c>
      <c r="D414" s="688" t="s">
        <v>685</v>
      </c>
      <c r="E414" s="671" t="s">
        <v>92</v>
      </c>
      <c r="F414" s="849"/>
      <c r="G414" s="811">
        <v>46117</v>
      </c>
      <c r="H414" s="893">
        <v>54.72</v>
      </c>
      <c r="I414" s="1231" t="s">
        <v>667</v>
      </c>
      <c r="J414" s="1232"/>
      <c r="K414" s="1232"/>
      <c r="L414" s="1232"/>
      <c r="M414" s="811">
        <v>46124</v>
      </c>
      <c r="N414" s="840" t="s">
        <v>732</v>
      </c>
      <c r="O414" s="807">
        <v>24</v>
      </c>
      <c r="P414" s="807"/>
      <c r="Q414" s="1"/>
      <c r="R414" s="1"/>
      <c r="S414" s="1"/>
      <c r="T414" s="1"/>
    </row>
    <row r="415" spans="1:20" ht="17.55" customHeight="1" x14ac:dyDescent="0.35">
      <c r="A415" s="1"/>
      <c r="B415" s="874">
        <f t="shared" si="8"/>
        <v>71</v>
      </c>
      <c r="C415" s="1066" t="s">
        <v>430</v>
      </c>
      <c r="D415" s="921" t="s">
        <v>685</v>
      </c>
      <c r="E415" s="922" t="s">
        <v>92</v>
      </c>
      <c r="F415" s="923"/>
      <c r="G415" s="924">
        <v>46147</v>
      </c>
      <c r="H415" s="925">
        <v>54.72</v>
      </c>
      <c r="I415" s="1235" t="s">
        <v>667</v>
      </c>
      <c r="J415" s="1236"/>
      <c r="K415" s="1236"/>
      <c r="L415" s="1236"/>
      <c r="M415" s="895">
        <v>46160</v>
      </c>
      <c r="N415" s="842" t="s">
        <v>666</v>
      </c>
      <c r="O415" s="819">
        <v>24</v>
      </c>
      <c r="P415" s="819"/>
      <c r="Q415" s="1"/>
      <c r="R415" s="1"/>
      <c r="S415" s="1"/>
      <c r="T415" s="1"/>
    </row>
    <row r="416" spans="1:20" ht="17.55" customHeight="1" x14ac:dyDescent="0.35">
      <c r="A416" s="1"/>
      <c r="B416" s="874">
        <f t="shared" si="8"/>
        <v>72</v>
      </c>
      <c r="C416" s="926" t="s">
        <v>429</v>
      </c>
      <c r="D416" s="926" t="s">
        <v>669</v>
      </c>
      <c r="E416" s="927" t="s">
        <v>92</v>
      </c>
      <c r="F416" s="926"/>
      <c r="G416" s="928">
        <v>46161</v>
      </c>
      <c r="H416" s="926">
        <v>62.500999999999998</v>
      </c>
      <c r="I416" s="1235" t="s">
        <v>667</v>
      </c>
      <c r="J416" s="1236"/>
      <c r="K416" s="1236"/>
      <c r="L416" s="1236"/>
      <c r="M416" s="811">
        <v>46175</v>
      </c>
      <c r="N416" s="840" t="s">
        <v>901</v>
      </c>
      <c r="O416" s="807">
        <v>24</v>
      </c>
      <c r="P416" s="807"/>
      <c r="Q416" s="1"/>
      <c r="R416" s="1"/>
      <c r="S416" s="1"/>
      <c r="T416" s="1"/>
    </row>
    <row r="417" spans="1:20" ht="17.55" customHeight="1" x14ac:dyDescent="0.35">
      <c r="A417" s="1"/>
      <c r="B417" s="874">
        <f t="shared" si="8"/>
        <v>73</v>
      </c>
      <c r="C417" s="926" t="s">
        <v>219</v>
      </c>
      <c r="D417" s="926" t="s">
        <v>87</v>
      </c>
      <c r="E417" s="927" t="s">
        <v>92</v>
      </c>
      <c r="F417" s="923"/>
      <c r="G417" s="928">
        <v>46179</v>
      </c>
      <c r="H417" s="926">
        <v>35.088999999999999</v>
      </c>
      <c r="I417" s="1235" t="s">
        <v>667</v>
      </c>
      <c r="J417" s="1236"/>
      <c r="K417" s="1236"/>
      <c r="L417" s="1236"/>
      <c r="M417" s="811">
        <v>46185</v>
      </c>
      <c r="N417" s="840" t="s">
        <v>903</v>
      </c>
      <c r="O417" s="807">
        <v>30</v>
      </c>
      <c r="P417" s="807"/>
      <c r="Q417" s="1"/>
      <c r="R417" s="1"/>
      <c r="S417" s="1"/>
      <c r="T417" s="1"/>
    </row>
    <row r="418" spans="1:20" ht="17.55" customHeight="1" x14ac:dyDescent="0.35">
      <c r="A418" s="1"/>
      <c r="B418" s="874">
        <f t="shared" si="8"/>
        <v>74</v>
      </c>
      <c r="C418" s="691" t="s">
        <v>277</v>
      </c>
      <c r="D418" s="672" t="s">
        <v>95</v>
      </c>
      <c r="E418" s="671" t="s">
        <v>542</v>
      </c>
      <c r="F418" s="702"/>
      <c r="G418" s="811">
        <v>46176</v>
      </c>
      <c r="H418" s="889">
        <v>41.88</v>
      </c>
      <c r="I418" s="1235" t="s">
        <v>667</v>
      </c>
      <c r="J418" s="1236"/>
      <c r="K418" s="1236"/>
      <c r="L418" s="1236"/>
      <c r="M418" s="811">
        <v>46186</v>
      </c>
      <c r="N418" s="840" t="s">
        <v>901</v>
      </c>
      <c r="O418" s="807">
        <v>30</v>
      </c>
      <c r="P418" s="807"/>
      <c r="Q418" s="1"/>
      <c r="R418" s="1"/>
      <c r="S418" s="1"/>
      <c r="T418" s="1"/>
    </row>
    <row r="419" spans="1:20" ht="17.55" customHeight="1" x14ac:dyDescent="0.35">
      <c r="A419" s="1"/>
      <c r="B419" s="874">
        <f t="shared" si="8"/>
        <v>75</v>
      </c>
      <c r="C419" s="685" t="s">
        <v>236</v>
      </c>
      <c r="D419" s="688" t="s">
        <v>87</v>
      </c>
      <c r="E419" s="671" t="s">
        <v>664</v>
      </c>
      <c r="F419" s="702"/>
      <c r="G419" s="811">
        <v>46182</v>
      </c>
      <c r="H419" s="893">
        <v>35.088999999999999</v>
      </c>
      <c r="I419" s="1235" t="s">
        <v>667</v>
      </c>
      <c r="J419" s="1236"/>
      <c r="K419" s="1236"/>
      <c r="L419" s="1236"/>
      <c r="M419" s="811">
        <v>46189</v>
      </c>
      <c r="N419" s="840" t="s">
        <v>905</v>
      </c>
      <c r="O419" s="807">
        <v>30</v>
      </c>
      <c r="P419" s="807"/>
      <c r="Q419" s="1"/>
      <c r="R419" s="1"/>
      <c r="S419" s="1"/>
      <c r="T419" s="1"/>
    </row>
    <row r="420" spans="1:20" ht="17.55" customHeight="1" x14ac:dyDescent="0.35">
      <c r="A420" s="1"/>
      <c r="B420" s="874">
        <f t="shared" si="8"/>
        <v>76</v>
      </c>
      <c r="C420" s="685" t="s">
        <v>221</v>
      </c>
      <c r="D420" s="672" t="s">
        <v>87</v>
      </c>
      <c r="E420" s="671" t="s">
        <v>92</v>
      </c>
      <c r="F420" s="702"/>
      <c r="G420" s="811">
        <v>46181</v>
      </c>
      <c r="H420" s="893">
        <v>35.088999999999999</v>
      </c>
      <c r="I420" s="1235" t="s">
        <v>667</v>
      </c>
      <c r="J420" s="1236"/>
      <c r="K420" s="1236"/>
      <c r="L420" s="1236"/>
      <c r="M420" s="811">
        <v>46191</v>
      </c>
      <c r="N420" s="840" t="s">
        <v>904</v>
      </c>
      <c r="O420" s="807">
        <v>30</v>
      </c>
      <c r="P420" s="807"/>
      <c r="Q420" s="1"/>
      <c r="R420" s="1"/>
      <c r="S420" s="1"/>
      <c r="T420" s="1"/>
    </row>
    <row r="421" spans="1:20" ht="17.55" customHeight="1" x14ac:dyDescent="0.35">
      <c r="A421" s="1"/>
      <c r="B421" s="874">
        <f t="shared" si="8"/>
        <v>77</v>
      </c>
      <c r="C421" s="929" t="s">
        <v>297</v>
      </c>
      <c r="D421" s="837" t="s">
        <v>95</v>
      </c>
      <c r="E421" s="673" t="s">
        <v>92</v>
      </c>
      <c r="F421" s="849"/>
      <c r="G421" s="895">
        <v>46183</v>
      </c>
      <c r="H421" s="902">
        <v>35.088999999999999</v>
      </c>
      <c r="I421" s="1235" t="s">
        <v>667</v>
      </c>
      <c r="J421" s="1236"/>
      <c r="K421" s="1236"/>
      <c r="L421" s="1236"/>
      <c r="M421" s="895">
        <v>46192</v>
      </c>
      <c r="N421" s="842" t="s">
        <v>690</v>
      </c>
      <c r="O421" s="807">
        <v>30</v>
      </c>
      <c r="P421" s="819"/>
      <c r="Q421" s="1"/>
      <c r="R421" s="1"/>
      <c r="S421" s="1"/>
      <c r="T421" s="1"/>
    </row>
    <row r="422" spans="1:20" ht="17.55" customHeight="1" x14ac:dyDescent="0.35">
      <c r="A422" s="1"/>
      <c r="B422" s="874">
        <f t="shared" si="8"/>
        <v>78</v>
      </c>
      <c r="C422" s="685" t="s">
        <v>222</v>
      </c>
      <c r="D422" s="684" t="s">
        <v>87</v>
      </c>
      <c r="E422" s="671" t="s">
        <v>541</v>
      </c>
      <c r="F422" s="807"/>
      <c r="G422" s="811">
        <v>46186</v>
      </c>
      <c r="H422" s="893">
        <v>35.088999999999999</v>
      </c>
      <c r="I422" s="1235" t="s">
        <v>667</v>
      </c>
      <c r="J422" s="1236"/>
      <c r="K422" s="1236"/>
      <c r="L422" s="1236"/>
      <c r="M422" s="895">
        <v>46192</v>
      </c>
      <c r="N422" s="840" t="s">
        <v>903</v>
      </c>
      <c r="O422" s="807">
        <v>30</v>
      </c>
      <c r="P422" s="807"/>
      <c r="Q422" s="1"/>
      <c r="R422" s="1"/>
      <c r="S422" s="1"/>
      <c r="T422" s="1"/>
    </row>
    <row r="423" spans="1:20" ht="17.55" customHeight="1" x14ac:dyDescent="0.35">
      <c r="A423" s="1"/>
      <c r="B423" s="874">
        <f t="shared" si="8"/>
        <v>79</v>
      </c>
      <c r="C423" s="692" t="s">
        <v>257</v>
      </c>
      <c r="D423" s="688" t="s">
        <v>91</v>
      </c>
      <c r="E423" s="671" t="s">
        <v>88</v>
      </c>
      <c r="F423" s="807"/>
      <c r="G423" s="811">
        <v>46187</v>
      </c>
      <c r="H423" s="889">
        <v>36.771000000000001</v>
      </c>
      <c r="I423" s="1235" t="s">
        <v>667</v>
      </c>
      <c r="J423" s="1236"/>
      <c r="K423" s="1236"/>
      <c r="L423" s="1236"/>
      <c r="M423" s="811">
        <v>46193</v>
      </c>
      <c r="N423" s="840" t="s">
        <v>901</v>
      </c>
      <c r="O423" s="807">
        <v>30</v>
      </c>
      <c r="P423" s="807"/>
      <c r="Q423" s="1"/>
      <c r="R423" s="1"/>
      <c r="S423" s="1"/>
      <c r="T423" s="1"/>
    </row>
    <row r="424" spans="1:20" ht="17.55" customHeight="1" x14ac:dyDescent="0.35">
      <c r="A424" s="1"/>
      <c r="B424" s="874">
        <f t="shared" si="8"/>
        <v>80</v>
      </c>
      <c r="C424" s="685" t="s">
        <v>234</v>
      </c>
      <c r="D424" s="688" t="s">
        <v>87</v>
      </c>
      <c r="E424" s="671" t="s">
        <v>92</v>
      </c>
      <c r="F424" s="702"/>
      <c r="G424" s="811">
        <v>46189</v>
      </c>
      <c r="H424" s="893">
        <v>35.088999999999999</v>
      </c>
      <c r="I424" s="1235" t="s">
        <v>667</v>
      </c>
      <c r="J424" s="1236"/>
      <c r="K424" s="1236"/>
      <c r="L424" s="1236"/>
      <c r="M424" s="811">
        <v>46196</v>
      </c>
      <c r="N424" s="840" t="s">
        <v>905</v>
      </c>
      <c r="O424" s="807">
        <v>30</v>
      </c>
      <c r="P424" s="807"/>
      <c r="Q424" s="1"/>
      <c r="R424" s="1"/>
      <c r="S424" s="1"/>
      <c r="T424" s="1"/>
    </row>
    <row r="425" spans="1:20" ht="17.55" customHeight="1" x14ac:dyDescent="0.35">
      <c r="A425" s="1"/>
      <c r="B425" s="874">
        <f t="shared" si="8"/>
        <v>81</v>
      </c>
      <c r="C425" s="692" t="s">
        <v>295</v>
      </c>
      <c r="D425" s="688" t="s">
        <v>87</v>
      </c>
      <c r="E425" s="671" t="s">
        <v>92</v>
      </c>
      <c r="F425" s="807"/>
      <c r="G425" s="811">
        <v>46192</v>
      </c>
      <c r="H425" s="893">
        <v>35.088999999999999</v>
      </c>
      <c r="I425" s="1235" t="s">
        <v>667</v>
      </c>
      <c r="J425" s="1236"/>
      <c r="K425" s="1236"/>
      <c r="L425" s="1236"/>
      <c r="M425" s="811">
        <v>46196</v>
      </c>
      <c r="N425" s="840" t="s">
        <v>690</v>
      </c>
      <c r="O425" s="807">
        <v>30</v>
      </c>
      <c r="P425" s="807"/>
      <c r="Q425" s="1"/>
      <c r="R425" s="1"/>
      <c r="S425" s="1"/>
      <c r="T425" s="1"/>
    </row>
    <row r="426" spans="1:20" ht="17.55" customHeight="1" x14ac:dyDescent="0.35">
      <c r="A426" s="1"/>
      <c r="B426" s="874">
        <f t="shared" si="8"/>
        <v>82</v>
      </c>
      <c r="C426" s="691" t="s">
        <v>224</v>
      </c>
      <c r="D426" s="684" t="s">
        <v>87</v>
      </c>
      <c r="E426" s="680" t="s">
        <v>664</v>
      </c>
      <c r="F426" s="15"/>
      <c r="G426" s="934">
        <v>46193</v>
      </c>
      <c r="H426" s="938">
        <v>35.088999999999999</v>
      </c>
      <c r="I426" s="1235" t="s">
        <v>667</v>
      </c>
      <c r="J426" s="1236"/>
      <c r="K426" s="1236"/>
      <c r="L426" s="1236"/>
      <c r="M426" s="934">
        <v>46198</v>
      </c>
      <c r="N426" s="840" t="s">
        <v>903</v>
      </c>
      <c r="O426" s="807">
        <v>30</v>
      </c>
      <c r="P426" s="807"/>
      <c r="Q426" s="1"/>
      <c r="R426" s="1"/>
      <c r="S426" s="1"/>
      <c r="T426" s="1"/>
    </row>
    <row r="427" spans="1:20" ht="17.399999999999999" x14ac:dyDescent="0.35">
      <c r="A427" s="1"/>
      <c r="B427" s="874">
        <f t="shared" si="8"/>
        <v>83</v>
      </c>
      <c r="C427" s="692" t="s">
        <v>225</v>
      </c>
      <c r="D427" s="837" t="s">
        <v>91</v>
      </c>
      <c r="E427" s="673" t="s">
        <v>92</v>
      </c>
      <c r="F427" s="280"/>
      <c r="G427" s="939">
        <v>46192</v>
      </c>
      <c r="H427" s="940">
        <v>36.771000000000001</v>
      </c>
      <c r="I427" s="1235" t="s">
        <v>667</v>
      </c>
      <c r="J427" s="1236"/>
      <c r="K427" s="1236"/>
      <c r="L427" s="1236"/>
      <c r="M427" s="934">
        <v>46198</v>
      </c>
      <c r="N427" s="842" t="s">
        <v>904</v>
      </c>
      <c r="O427" s="807">
        <v>30</v>
      </c>
      <c r="P427" s="807"/>
      <c r="Q427" s="1"/>
      <c r="R427" s="1"/>
      <c r="S427" s="1"/>
      <c r="T427" s="1"/>
    </row>
    <row r="428" spans="1:20" ht="17.55" customHeight="1" x14ac:dyDescent="0.35">
      <c r="A428" s="1"/>
      <c r="B428" s="874">
        <f t="shared" si="8"/>
        <v>84</v>
      </c>
      <c r="C428" s="692" t="s">
        <v>305</v>
      </c>
      <c r="D428" s="690" t="s">
        <v>95</v>
      </c>
      <c r="E428" s="691" t="s">
        <v>92</v>
      </c>
      <c r="F428" s="702"/>
      <c r="G428" s="934">
        <v>46188</v>
      </c>
      <c r="H428" s="941">
        <v>41.88</v>
      </c>
      <c r="I428" s="1235" t="s">
        <v>667</v>
      </c>
      <c r="J428" s="1236"/>
      <c r="K428" s="1236"/>
      <c r="L428" s="1236"/>
      <c r="M428" s="934">
        <v>46200</v>
      </c>
      <c r="N428" s="930" t="s">
        <v>910</v>
      </c>
      <c r="O428" s="807">
        <v>30</v>
      </c>
      <c r="P428" s="807"/>
      <c r="Q428" s="1"/>
      <c r="R428" s="1"/>
      <c r="S428" s="1"/>
      <c r="T428" s="1"/>
    </row>
    <row r="429" spans="1:20" ht="17.55" customHeight="1" x14ac:dyDescent="0.35">
      <c r="A429" s="1"/>
      <c r="B429" s="874">
        <f t="shared" si="8"/>
        <v>85</v>
      </c>
      <c r="C429" s="692" t="s">
        <v>306</v>
      </c>
      <c r="D429" s="688" t="s">
        <v>109</v>
      </c>
      <c r="E429" s="671" t="s">
        <v>92</v>
      </c>
      <c r="F429" s="702"/>
      <c r="G429" s="934">
        <v>46188</v>
      </c>
      <c r="H429" s="938">
        <v>43.575000000000003</v>
      </c>
      <c r="I429" s="1231" t="s">
        <v>667</v>
      </c>
      <c r="J429" s="1232"/>
      <c r="K429" s="1232"/>
      <c r="L429" s="1232"/>
      <c r="M429" s="934">
        <v>46201</v>
      </c>
      <c r="N429" s="931" t="s">
        <v>909</v>
      </c>
      <c r="O429" s="807">
        <v>30</v>
      </c>
      <c r="P429" s="807"/>
      <c r="Q429" s="1"/>
      <c r="R429" s="1"/>
      <c r="S429" s="1"/>
      <c r="T429" s="1"/>
    </row>
    <row r="430" spans="1:20" ht="17.399999999999999" customHeight="1" x14ac:dyDescent="0.35">
      <c r="A430" s="1"/>
      <c r="B430" s="874">
        <f t="shared" si="8"/>
        <v>86</v>
      </c>
      <c r="C430" s="692" t="s">
        <v>262</v>
      </c>
      <c r="D430" s="688" t="s">
        <v>87</v>
      </c>
      <c r="E430" s="671" t="s">
        <v>92</v>
      </c>
      <c r="F430" s="281"/>
      <c r="G430" s="934">
        <v>46194</v>
      </c>
      <c r="H430" s="938">
        <v>35.088999999999999</v>
      </c>
      <c r="I430" s="1231" t="s">
        <v>667</v>
      </c>
      <c r="J430" s="1232"/>
      <c r="K430" s="1232"/>
      <c r="L430" s="1232"/>
      <c r="M430" s="934">
        <v>46201</v>
      </c>
      <c r="N430" s="840" t="s">
        <v>901</v>
      </c>
      <c r="O430" s="807">
        <v>30</v>
      </c>
      <c r="P430" s="281"/>
      <c r="Q430" s="1"/>
      <c r="R430" s="1"/>
      <c r="S430" s="1"/>
      <c r="T430" s="1"/>
    </row>
    <row r="431" spans="1:20" ht="17.399999999999999" customHeight="1" x14ac:dyDescent="0.35">
      <c r="A431" s="1"/>
      <c r="B431" s="874">
        <f t="shared" si="8"/>
        <v>87</v>
      </c>
      <c r="C431" s="692" t="s">
        <v>439</v>
      </c>
      <c r="D431" s="688" t="s">
        <v>237</v>
      </c>
      <c r="E431" s="671" t="s">
        <v>92</v>
      </c>
      <c r="F431" s="15"/>
      <c r="G431" s="934">
        <v>46197</v>
      </c>
      <c r="H431" s="942">
        <v>54.72</v>
      </c>
      <c r="I431" s="1231" t="s">
        <v>667</v>
      </c>
      <c r="J431" s="1232"/>
      <c r="K431" s="1232"/>
      <c r="L431" s="1232"/>
      <c r="M431" s="934">
        <v>46201</v>
      </c>
      <c r="N431" s="840" t="s">
        <v>690</v>
      </c>
      <c r="O431" s="807">
        <v>30</v>
      </c>
      <c r="P431" s="281"/>
      <c r="Q431" s="1"/>
      <c r="R431" s="1"/>
      <c r="S431" s="1"/>
      <c r="T431" s="1"/>
    </row>
    <row r="432" spans="1:20" ht="17.399999999999999" customHeight="1" x14ac:dyDescent="0.35">
      <c r="A432" s="1"/>
      <c r="B432" s="672">
        <f t="shared" si="8"/>
        <v>88</v>
      </c>
      <c r="C432" s="692" t="s">
        <v>238</v>
      </c>
      <c r="D432" s="837" t="s">
        <v>109</v>
      </c>
      <c r="E432" s="673" t="s">
        <v>92</v>
      </c>
      <c r="F432" s="280"/>
      <c r="G432" s="934">
        <v>46197</v>
      </c>
      <c r="H432" s="938">
        <v>43.575000000000003</v>
      </c>
      <c r="I432" s="1231" t="s">
        <v>667</v>
      </c>
      <c r="J432" s="1232"/>
      <c r="K432" s="1232"/>
      <c r="L432" s="1232"/>
      <c r="M432" s="934">
        <v>46203</v>
      </c>
      <c r="N432" s="840" t="s">
        <v>905</v>
      </c>
      <c r="O432" s="807">
        <v>30</v>
      </c>
      <c r="P432" s="281"/>
      <c r="Q432" s="1"/>
      <c r="R432" s="1"/>
      <c r="S432" s="1"/>
      <c r="T432" s="1"/>
    </row>
    <row r="433" spans="1:20" s="484" customFormat="1" ht="17.399999999999999" customHeight="1" x14ac:dyDescent="0.35">
      <c r="A433" s="485"/>
      <c r="B433" s="692">
        <f t="shared" si="8"/>
        <v>89</v>
      </c>
      <c r="C433" s="692" t="s">
        <v>202</v>
      </c>
      <c r="D433" s="690" t="s">
        <v>95</v>
      </c>
      <c r="E433" s="691" t="s">
        <v>92</v>
      </c>
      <c r="F433" s="1051"/>
      <c r="G433" s="1052">
        <v>46199</v>
      </c>
      <c r="H433" s="1053">
        <v>41.88</v>
      </c>
      <c r="I433" s="1231" t="s">
        <v>667</v>
      </c>
      <c r="J433" s="1232"/>
      <c r="K433" s="1232"/>
      <c r="L433" s="1232"/>
      <c r="M433" s="1052">
        <v>46206</v>
      </c>
      <c r="N433" s="1054" t="s">
        <v>904</v>
      </c>
      <c r="O433" s="816">
        <v>30</v>
      </c>
      <c r="P433" s="1055"/>
      <c r="Q433" s="485"/>
      <c r="R433" s="485"/>
      <c r="S433" s="485"/>
      <c r="T433" s="485"/>
    </row>
    <row r="434" spans="1:20" s="484" customFormat="1" ht="17.399999999999999" customHeight="1" x14ac:dyDescent="0.35">
      <c r="A434" s="485"/>
      <c r="B434" s="692">
        <f t="shared" si="8"/>
        <v>90</v>
      </c>
      <c r="C434" s="692" t="s">
        <v>443</v>
      </c>
      <c r="D434" s="690" t="s">
        <v>668</v>
      </c>
      <c r="E434" s="691" t="s">
        <v>664</v>
      </c>
      <c r="F434" s="1056"/>
      <c r="G434" s="1057">
        <v>46200</v>
      </c>
      <c r="H434" s="1100">
        <v>64.67</v>
      </c>
      <c r="I434" s="1231" t="s">
        <v>667</v>
      </c>
      <c r="J434" s="1232"/>
      <c r="K434" s="1232"/>
      <c r="L434" s="1232"/>
      <c r="M434" s="1052">
        <v>46207</v>
      </c>
      <c r="N434" s="930" t="s">
        <v>910</v>
      </c>
      <c r="O434" s="816">
        <v>30</v>
      </c>
      <c r="P434" s="1055"/>
      <c r="Q434" s="485"/>
      <c r="R434" s="485"/>
      <c r="S434" s="485"/>
      <c r="T434" s="485"/>
    </row>
    <row r="435" spans="1:20" s="484" customFormat="1" ht="17.399999999999999" customHeight="1" x14ac:dyDescent="0.35">
      <c r="A435" s="485"/>
      <c r="B435" s="692">
        <f t="shared" si="8"/>
        <v>91</v>
      </c>
      <c r="C435" s="692" t="s">
        <v>264</v>
      </c>
      <c r="D435" s="690" t="s">
        <v>87</v>
      </c>
      <c r="E435" s="691" t="s">
        <v>88</v>
      </c>
      <c r="F435" s="1059"/>
      <c r="G435" s="1052">
        <v>46202</v>
      </c>
      <c r="H435" s="1060">
        <v>35.088999999999999</v>
      </c>
      <c r="I435" s="1231" t="s">
        <v>667</v>
      </c>
      <c r="J435" s="1232"/>
      <c r="K435" s="1232"/>
      <c r="L435" s="1232"/>
      <c r="M435" s="1052">
        <v>46208</v>
      </c>
      <c r="N435" s="1054" t="s">
        <v>901</v>
      </c>
      <c r="O435" s="816">
        <v>30</v>
      </c>
      <c r="P435" s="1055"/>
      <c r="Q435" s="485"/>
      <c r="R435" s="485"/>
      <c r="S435" s="485"/>
      <c r="T435" s="485"/>
    </row>
    <row r="436" spans="1:20" s="484" customFormat="1" ht="17.399999999999999" customHeight="1" x14ac:dyDescent="0.35">
      <c r="A436" s="485"/>
      <c r="B436" s="692">
        <f t="shared" si="8"/>
        <v>92</v>
      </c>
      <c r="C436" s="692" t="s">
        <v>440</v>
      </c>
      <c r="D436" s="690" t="s">
        <v>579</v>
      </c>
      <c r="E436" s="691" t="s">
        <v>92</v>
      </c>
      <c r="F436" s="1059"/>
      <c r="G436" s="1052">
        <v>46202</v>
      </c>
      <c r="H436" s="1058">
        <v>75.191000000000003</v>
      </c>
      <c r="I436" s="1231" t="s">
        <v>667</v>
      </c>
      <c r="J436" s="1232"/>
      <c r="K436" s="1232"/>
      <c r="L436" s="1232"/>
      <c r="M436" s="1052">
        <v>46208</v>
      </c>
      <c r="N436" s="1054" t="s">
        <v>690</v>
      </c>
      <c r="O436" s="816">
        <v>30</v>
      </c>
      <c r="P436" s="1055"/>
      <c r="Q436" s="485"/>
      <c r="R436" s="485"/>
      <c r="S436" s="485"/>
      <c r="T436" s="485"/>
    </row>
    <row r="437" spans="1:20" s="484" customFormat="1" ht="17.399999999999999" customHeight="1" x14ac:dyDescent="0.35">
      <c r="A437" s="485"/>
      <c r="B437" s="692">
        <f t="shared" si="8"/>
        <v>93</v>
      </c>
      <c r="C437" s="685" t="s">
        <v>232</v>
      </c>
      <c r="D437" s="690" t="s">
        <v>91</v>
      </c>
      <c r="E437" s="691" t="s">
        <v>92</v>
      </c>
      <c r="F437" s="1059"/>
      <c r="G437" s="1052">
        <v>46204</v>
      </c>
      <c r="H437" s="1053">
        <v>36.771000000000001</v>
      </c>
      <c r="I437" s="1231" t="s">
        <v>667</v>
      </c>
      <c r="J437" s="1232"/>
      <c r="K437" s="1232"/>
      <c r="L437" s="1232"/>
      <c r="M437" s="1052">
        <v>46209</v>
      </c>
      <c r="N437" s="1054" t="s">
        <v>905</v>
      </c>
      <c r="O437" s="816">
        <v>30</v>
      </c>
      <c r="P437" s="1055"/>
      <c r="Q437" s="485"/>
      <c r="R437" s="485"/>
      <c r="S437" s="485"/>
      <c r="T437" s="485"/>
    </row>
    <row r="438" spans="1:20" s="484" customFormat="1" ht="17.399999999999999" x14ac:dyDescent="0.35">
      <c r="A438" s="485"/>
      <c r="B438" s="692">
        <f t="shared" si="8"/>
        <v>94</v>
      </c>
      <c r="C438" s="685" t="s">
        <v>416</v>
      </c>
      <c r="D438" s="690" t="s">
        <v>754</v>
      </c>
      <c r="E438" s="927" t="s">
        <v>541</v>
      </c>
      <c r="F438" s="1055"/>
      <c r="G438" s="1052">
        <v>45834</v>
      </c>
      <c r="H438" s="1058">
        <v>62.500999999999998</v>
      </c>
      <c r="I438" s="1231" t="s">
        <v>667</v>
      </c>
      <c r="J438" s="1232"/>
      <c r="K438" s="1232"/>
      <c r="L438" s="1232"/>
      <c r="M438" s="1052">
        <v>46209</v>
      </c>
      <c r="N438" s="1054" t="s">
        <v>903</v>
      </c>
      <c r="O438" s="816">
        <v>30</v>
      </c>
      <c r="P438" s="1055"/>
      <c r="Q438" s="485"/>
      <c r="R438" s="485"/>
      <c r="S438" s="485"/>
      <c r="T438" s="485"/>
    </row>
    <row r="439" spans="1:20" s="484" customFormat="1" ht="17.399999999999999" customHeight="1" x14ac:dyDescent="0.35">
      <c r="A439" s="485"/>
      <c r="B439" s="692">
        <f t="shared" si="8"/>
        <v>95</v>
      </c>
      <c r="C439" s="692" t="s">
        <v>201</v>
      </c>
      <c r="D439" s="690" t="s">
        <v>87</v>
      </c>
      <c r="E439" s="691" t="s">
        <v>92</v>
      </c>
      <c r="F439" s="1059"/>
      <c r="G439" s="1052">
        <v>46207</v>
      </c>
      <c r="H439" s="1060">
        <v>35.088999999999999</v>
      </c>
      <c r="I439" s="1231" t="s">
        <v>667</v>
      </c>
      <c r="J439" s="1232"/>
      <c r="K439" s="1232"/>
      <c r="L439" s="1232"/>
      <c r="M439" s="1052">
        <v>46211</v>
      </c>
      <c r="N439" s="1054" t="s">
        <v>904</v>
      </c>
      <c r="O439" s="816">
        <v>30</v>
      </c>
      <c r="P439" s="1055"/>
      <c r="Q439" s="485"/>
      <c r="R439" s="485"/>
      <c r="S439" s="485"/>
      <c r="T439" s="485"/>
    </row>
    <row r="440" spans="1:20" s="484" customFormat="1" ht="17.399999999999999" x14ac:dyDescent="0.35">
      <c r="A440" s="485"/>
      <c r="B440" s="692">
        <f t="shared" si="8"/>
        <v>96</v>
      </c>
      <c r="C440" s="692" t="s">
        <v>307</v>
      </c>
      <c r="D440" s="690" t="s">
        <v>87</v>
      </c>
      <c r="E440" s="691" t="s">
        <v>92</v>
      </c>
      <c r="F440" s="1059"/>
      <c r="G440" s="1052">
        <v>46202</v>
      </c>
      <c r="H440" s="1060">
        <v>35.088999999999999</v>
      </c>
      <c r="I440" s="1231" t="s">
        <v>667</v>
      </c>
      <c r="J440" s="1232"/>
      <c r="K440" s="1232"/>
      <c r="L440" s="1232"/>
      <c r="M440" s="1052">
        <v>46212</v>
      </c>
      <c r="N440" s="930" t="s">
        <v>909</v>
      </c>
      <c r="O440" s="816">
        <v>30</v>
      </c>
      <c r="P440" s="1055"/>
      <c r="Q440" s="485"/>
      <c r="R440" s="485"/>
      <c r="S440" s="485"/>
      <c r="T440" s="485"/>
    </row>
    <row r="441" spans="1:20" s="484" customFormat="1" ht="17.399999999999999" x14ac:dyDescent="0.35">
      <c r="A441" s="485"/>
      <c r="B441" s="692">
        <f t="shared" si="8"/>
        <v>97</v>
      </c>
      <c r="C441" s="685" t="s">
        <v>233</v>
      </c>
      <c r="D441" s="690" t="s">
        <v>213</v>
      </c>
      <c r="E441" s="691" t="s">
        <v>92</v>
      </c>
      <c r="F441" s="1059"/>
      <c r="G441" s="1052">
        <v>46210</v>
      </c>
      <c r="H441" s="1061">
        <v>36.771000000000001</v>
      </c>
      <c r="I441" s="1231" t="s">
        <v>667</v>
      </c>
      <c r="J441" s="1232"/>
      <c r="K441" s="1232"/>
      <c r="L441" s="1232"/>
      <c r="M441" s="1062">
        <v>46214</v>
      </c>
      <c r="N441" s="1054" t="s">
        <v>905</v>
      </c>
      <c r="O441" s="816">
        <v>30</v>
      </c>
      <c r="P441" s="1055"/>
      <c r="Q441" s="485"/>
      <c r="R441" s="485"/>
      <c r="S441" s="485"/>
      <c r="T441" s="485"/>
    </row>
    <row r="442" spans="1:20" s="484" customFormat="1" ht="17.399999999999999" x14ac:dyDescent="0.35">
      <c r="A442" s="485"/>
      <c r="B442" s="692">
        <f t="shared" si="8"/>
        <v>98</v>
      </c>
      <c r="C442" s="692" t="s">
        <v>263</v>
      </c>
      <c r="D442" s="690" t="s">
        <v>87</v>
      </c>
      <c r="E442" s="691" t="s">
        <v>664</v>
      </c>
      <c r="F442" s="1051"/>
      <c r="G442" s="1052">
        <v>46209</v>
      </c>
      <c r="H442" s="899">
        <v>35.088999999999999</v>
      </c>
      <c r="I442" s="1231" t="s">
        <v>667</v>
      </c>
      <c r="J442" s="1232"/>
      <c r="K442" s="1232"/>
      <c r="L442" s="1232"/>
      <c r="M442" s="1062">
        <v>46214</v>
      </c>
      <c r="N442" s="1054" t="s">
        <v>901</v>
      </c>
      <c r="O442" s="816">
        <v>30</v>
      </c>
      <c r="P442" s="1055"/>
      <c r="Q442" s="485"/>
      <c r="R442" s="485"/>
      <c r="S442" s="485"/>
      <c r="T442" s="485"/>
    </row>
    <row r="443" spans="1:20" s="484" customFormat="1" ht="17.399999999999999" x14ac:dyDescent="0.35">
      <c r="A443" s="485"/>
      <c r="B443" s="692">
        <f t="shared" si="8"/>
        <v>99</v>
      </c>
      <c r="C443" s="1063" t="s">
        <v>480</v>
      </c>
      <c r="D443" s="1063" t="s">
        <v>669</v>
      </c>
      <c r="E443" s="816" t="s">
        <v>92</v>
      </c>
      <c r="F443" s="1055"/>
      <c r="G443" s="1052">
        <v>46212</v>
      </c>
      <c r="H443" s="1058">
        <v>62.500999999999998</v>
      </c>
      <c r="I443" s="1231" t="s">
        <v>667</v>
      </c>
      <c r="J443" s="1232"/>
      <c r="K443" s="1232"/>
      <c r="L443" s="1232"/>
      <c r="M443" s="1062">
        <v>46215</v>
      </c>
      <c r="N443" s="1054" t="s">
        <v>690</v>
      </c>
      <c r="O443" s="816">
        <v>30</v>
      </c>
      <c r="P443" s="1055"/>
      <c r="Q443" s="485"/>
      <c r="R443" s="485"/>
      <c r="S443" s="485"/>
      <c r="T443" s="485"/>
    </row>
    <row r="444" spans="1:20" s="484" customFormat="1" ht="17.399999999999999" x14ac:dyDescent="0.35">
      <c r="A444" s="485"/>
      <c r="B444" s="692">
        <f t="shared" si="8"/>
        <v>100</v>
      </c>
      <c r="C444" s="1063" t="s">
        <v>390</v>
      </c>
      <c r="D444" s="1063" t="s">
        <v>91</v>
      </c>
      <c r="E444" s="816" t="s">
        <v>88</v>
      </c>
      <c r="F444" s="1055"/>
      <c r="G444" s="1052">
        <v>46210</v>
      </c>
      <c r="H444" s="1053">
        <v>36.771000000000001</v>
      </c>
      <c r="I444" s="1231" t="s">
        <v>667</v>
      </c>
      <c r="J444" s="1232"/>
      <c r="K444" s="1232"/>
      <c r="L444" s="1232"/>
      <c r="M444" s="1062">
        <v>46215</v>
      </c>
      <c r="N444" s="930" t="s">
        <v>910</v>
      </c>
      <c r="O444" s="816">
        <v>30</v>
      </c>
      <c r="P444" s="1055"/>
      <c r="Q444" s="485"/>
      <c r="R444" s="485"/>
      <c r="S444" s="485"/>
      <c r="T444" s="485"/>
    </row>
    <row r="445" spans="1:20" s="484" customFormat="1" ht="17.399999999999999" x14ac:dyDescent="0.35">
      <c r="A445" s="485"/>
      <c r="B445" s="692">
        <f t="shared" si="8"/>
        <v>101</v>
      </c>
      <c r="C445" s="692" t="s">
        <v>207</v>
      </c>
      <c r="D445" s="690" t="s">
        <v>87</v>
      </c>
      <c r="E445" s="691" t="s">
        <v>92</v>
      </c>
      <c r="F445" s="1059"/>
      <c r="G445" s="1052">
        <v>46210</v>
      </c>
      <c r="H445" s="1060">
        <v>35.088999999999999</v>
      </c>
      <c r="I445" s="1231" t="s">
        <v>667</v>
      </c>
      <c r="J445" s="1232"/>
      <c r="K445" s="1232"/>
      <c r="L445" s="1232"/>
      <c r="M445" s="1052">
        <v>46216</v>
      </c>
      <c r="N445" s="1054" t="s">
        <v>903</v>
      </c>
      <c r="O445" s="816">
        <v>30</v>
      </c>
      <c r="P445" s="1055"/>
      <c r="Q445" s="485"/>
      <c r="R445" s="485"/>
      <c r="S445" s="485"/>
      <c r="T445" s="485"/>
    </row>
    <row r="446" spans="1:20" s="484" customFormat="1" ht="17.399999999999999" x14ac:dyDescent="0.35">
      <c r="A446" s="485"/>
      <c r="B446" s="692">
        <f t="shared" si="8"/>
        <v>102</v>
      </c>
      <c r="C446" s="692" t="s">
        <v>227</v>
      </c>
      <c r="D446" s="690" t="s">
        <v>91</v>
      </c>
      <c r="E446" s="691" t="s">
        <v>92</v>
      </c>
      <c r="F446" s="1059"/>
      <c r="G446" s="1052">
        <v>46212</v>
      </c>
      <c r="H446" s="1053">
        <v>36.771000000000001</v>
      </c>
      <c r="I446" s="1231" t="s">
        <v>667</v>
      </c>
      <c r="J446" s="1232"/>
      <c r="K446" s="1232"/>
      <c r="L446" s="1232"/>
      <c r="M446" s="1052">
        <v>46217</v>
      </c>
      <c r="N446" s="1054" t="s">
        <v>904</v>
      </c>
      <c r="O446" s="816">
        <v>30</v>
      </c>
      <c r="P446" s="1055"/>
      <c r="Q446" s="485"/>
      <c r="R446" s="485"/>
      <c r="S446" s="485"/>
      <c r="T446" s="485"/>
    </row>
    <row r="447" spans="1:20" s="484" customFormat="1" ht="17.399999999999999" x14ac:dyDescent="0.35">
      <c r="A447" s="485"/>
      <c r="B447" s="692">
        <f t="shared" si="8"/>
        <v>103</v>
      </c>
      <c r="C447" s="692" t="s">
        <v>388</v>
      </c>
      <c r="D447" s="690" t="s">
        <v>87</v>
      </c>
      <c r="E447" s="691" t="s">
        <v>92</v>
      </c>
      <c r="F447" s="1059"/>
      <c r="G447" s="1052">
        <v>46216</v>
      </c>
      <c r="H447" s="1060">
        <v>35.088999999999999</v>
      </c>
      <c r="I447" s="1231" t="s">
        <v>667</v>
      </c>
      <c r="J447" s="1232"/>
      <c r="K447" s="1232"/>
      <c r="L447" s="1232"/>
      <c r="M447" s="1052">
        <v>46219</v>
      </c>
      <c r="N447" s="1054" t="s">
        <v>690</v>
      </c>
      <c r="O447" s="816">
        <v>30</v>
      </c>
      <c r="P447" s="1055"/>
      <c r="Q447" s="485"/>
      <c r="R447" s="485"/>
      <c r="S447" s="485"/>
      <c r="T447" s="485"/>
    </row>
    <row r="448" spans="1:20" s="484" customFormat="1" ht="17.399999999999999" x14ac:dyDescent="0.35">
      <c r="A448" s="485"/>
      <c r="B448" s="692">
        <f t="shared" si="8"/>
        <v>104</v>
      </c>
      <c r="C448" s="685" t="s">
        <v>389</v>
      </c>
      <c r="D448" s="690" t="s">
        <v>87</v>
      </c>
      <c r="E448" s="691" t="s">
        <v>92</v>
      </c>
      <c r="F448" s="1059"/>
      <c r="G448" s="1052">
        <v>46216</v>
      </c>
      <c r="H448" s="1060">
        <v>35.088999999999999</v>
      </c>
      <c r="I448" s="1231" t="s">
        <v>667</v>
      </c>
      <c r="J448" s="1232"/>
      <c r="K448" s="1232"/>
      <c r="L448" s="1232"/>
      <c r="M448" s="1052">
        <v>46219</v>
      </c>
      <c r="N448" s="930" t="s">
        <v>910</v>
      </c>
      <c r="O448" s="816">
        <v>30</v>
      </c>
      <c r="P448" s="1055"/>
      <c r="Q448" s="485"/>
      <c r="R448" s="485"/>
      <c r="S448" s="485"/>
      <c r="T448" s="485"/>
    </row>
    <row r="449" spans="1:20" s="484" customFormat="1" ht="17.399999999999999" x14ac:dyDescent="0.35">
      <c r="A449" s="485"/>
      <c r="B449" s="692">
        <f t="shared" si="8"/>
        <v>105</v>
      </c>
      <c r="C449" s="692" t="s">
        <v>208</v>
      </c>
      <c r="D449" s="690" t="s">
        <v>87</v>
      </c>
      <c r="E449" s="691" t="s">
        <v>92</v>
      </c>
      <c r="F449" s="1059"/>
      <c r="G449" s="1052">
        <v>46217</v>
      </c>
      <c r="H449" s="1060">
        <v>35.088999999999999</v>
      </c>
      <c r="I449" s="1231" t="s">
        <v>667</v>
      </c>
      <c r="J449" s="1232"/>
      <c r="K449" s="1232"/>
      <c r="L449" s="1232"/>
      <c r="M449" s="1052">
        <v>46222</v>
      </c>
      <c r="N449" s="930" t="s">
        <v>903</v>
      </c>
      <c r="O449" s="816">
        <v>30</v>
      </c>
      <c r="P449" s="1055"/>
      <c r="Q449" s="485"/>
      <c r="R449" s="485"/>
      <c r="S449" s="485"/>
      <c r="T449" s="485"/>
    </row>
    <row r="450" spans="1:20" s="484" customFormat="1" ht="17.399999999999999" x14ac:dyDescent="0.35">
      <c r="A450" s="485"/>
      <c r="B450" s="692">
        <f t="shared" si="8"/>
        <v>106</v>
      </c>
      <c r="C450" s="692" t="s">
        <v>228</v>
      </c>
      <c r="D450" s="690" t="s">
        <v>87</v>
      </c>
      <c r="E450" s="691" t="s">
        <v>92</v>
      </c>
      <c r="F450" s="1059"/>
      <c r="G450" s="1052">
        <v>46218</v>
      </c>
      <c r="H450" s="1060">
        <v>35.088999999999999</v>
      </c>
      <c r="I450" s="1231" t="s">
        <v>667</v>
      </c>
      <c r="J450" s="1232"/>
      <c r="K450" s="1232"/>
      <c r="L450" s="1232"/>
      <c r="M450" s="1052">
        <v>46222</v>
      </c>
      <c r="N450" s="930" t="s">
        <v>904</v>
      </c>
      <c r="O450" s="816">
        <v>30</v>
      </c>
      <c r="P450" s="1055"/>
      <c r="Q450" s="485"/>
      <c r="R450" s="485"/>
      <c r="S450" s="485"/>
      <c r="T450" s="485"/>
    </row>
    <row r="451" spans="1:20" s="484" customFormat="1" ht="17.399999999999999" x14ac:dyDescent="0.35">
      <c r="A451" s="485"/>
      <c r="B451" s="692">
        <f t="shared" si="8"/>
        <v>107</v>
      </c>
      <c r="C451" s="692" t="s">
        <v>421</v>
      </c>
      <c r="D451" s="690" t="s">
        <v>755</v>
      </c>
      <c r="E451" s="691" t="s">
        <v>762</v>
      </c>
      <c r="F451" s="1059"/>
      <c r="G451" s="1052">
        <v>46215</v>
      </c>
      <c r="H451" s="1055">
        <v>57.484000000000002</v>
      </c>
      <c r="I451" s="1231" t="s">
        <v>667</v>
      </c>
      <c r="J451" s="1232"/>
      <c r="K451" s="1232"/>
      <c r="L451" s="1232"/>
      <c r="M451" s="1052">
        <v>46222</v>
      </c>
      <c r="N451" s="930" t="s">
        <v>905</v>
      </c>
      <c r="O451" s="816">
        <v>30</v>
      </c>
      <c r="P451" s="1055"/>
      <c r="Q451" s="485"/>
      <c r="R451" s="485"/>
      <c r="S451" s="485"/>
      <c r="T451" s="485"/>
    </row>
    <row r="452" spans="1:20" s="484" customFormat="1" ht="17.399999999999999" x14ac:dyDescent="0.35">
      <c r="A452" s="485"/>
      <c r="B452" s="692">
        <f t="shared" si="8"/>
        <v>108</v>
      </c>
      <c r="C452" s="692" t="s">
        <v>384</v>
      </c>
      <c r="D452" s="690" t="s">
        <v>87</v>
      </c>
      <c r="E452" s="691" t="s">
        <v>92</v>
      </c>
      <c r="F452" s="1059"/>
      <c r="G452" s="1098">
        <v>46220</v>
      </c>
      <c r="H452" s="1060">
        <v>35.088999999999999</v>
      </c>
      <c r="I452" s="1231" t="s">
        <v>667</v>
      </c>
      <c r="J452" s="1232"/>
      <c r="K452" s="1232"/>
      <c r="L452" s="1232"/>
      <c r="M452" s="1098">
        <v>46223</v>
      </c>
      <c r="N452" s="1054" t="s">
        <v>690</v>
      </c>
      <c r="O452" s="816">
        <v>30</v>
      </c>
      <c r="P452" s="1055"/>
      <c r="Q452" s="485"/>
      <c r="R452" s="485"/>
      <c r="S452" s="485"/>
      <c r="T452" s="485"/>
    </row>
    <row r="453" spans="1:20" s="484" customFormat="1" ht="17.399999999999999" x14ac:dyDescent="0.35">
      <c r="A453" s="485"/>
      <c r="B453" s="692">
        <f t="shared" si="8"/>
        <v>109</v>
      </c>
      <c r="C453" s="692" t="s">
        <v>424</v>
      </c>
      <c r="D453" s="690" t="s">
        <v>685</v>
      </c>
      <c r="E453" s="691" t="s">
        <v>92</v>
      </c>
      <c r="F453" s="1059"/>
      <c r="G453" s="1098">
        <v>46215</v>
      </c>
      <c r="H453" s="942">
        <v>54.72</v>
      </c>
      <c r="I453" s="1231" t="s">
        <v>667</v>
      </c>
      <c r="J453" s="1232"/>
      <c r="K453" s="1232"/>
      <c r="L453" s="1232"/>
      <c r="M453" s="1098">
        <v>46224</v>
      </c>
      <c r="N453" s="1054" t="s">
        <v>901</v>
      </c>
      <c r="O453" s="816">
        <v>30</v>
      </c>
      <c r="P453" s="1055"/>
      <c r="Q453" s="485"/>
      <c r="R453" s="485"/>
      <c r="S453" s="485"/>
      <c r="T453" s="485"/>
    </row>
    <row r="454" spans="1:20" s="484" customFormat="1" ht="17.399999999999999" x14ac:dyDescent="0.35">
      <c r="A454" s="485"/>
      <c r="B454" s="692">
        <f t="shared" si="8"/>
        <v>110</v>
      </c>
      <c r="C454" s="692" t="s">
        <v>391</v>
      </c>
      <c r="D454" s="690" t="s">
        <v>91</v>
      </c>
      <c r="E454" s="691" t="s">
        <v>92</v>
      </c>
      <c r="F454" s="1059"/>
      <c r="G454" s="1098">
        <v>46220</v>
      </c>
      <c r="H454" s="1053">
        <v>36.771000000000001</v>
      </c>
      <c r="I454" s="1231" t="s">
        <v>667</v>
      </c>
      <c r="J454" s="1232"/>
      <c r="K454" s="1232"/>
      <c r="L454" s="1232"/>
      <c r="M454" s="1098">
        <v>46224</v>
      </c>
      <c r="N454" s="930" t="s">
        <v>910</v>
      </c>
      <c r="O454" s="816">
        <v>30</v>
      </c>
      <c r="P454" s="1055"/>
      <c r="Q454" s="485"/>
      <c r="R454" s="485"/>
      <c r="S454" s="485"/>
      <c r="T454" s="485"/>
    </row>
    <row r="455" spans="1:20" s="484" customFormat="1" ht="17.399999999999999" x14ac:dyDescent="0.35">
      <c r="A455" s="485"/>
      <c r="B455" s="692">
        <f t="shared" si="8"/>
        <v>111</v>
      </c>
      <c r="C455" s="692" t="s">
        <v>392</v>
      </c>
      <c r="D455" s="690" t="s">
        <v>87</v>
      </c>
      <c r="E455" s="691" t="s">
        <v>92</v>
      </c>
      <c r="F455" s="1059"/>
      <c r="G455" s="1098">
        <v>46224</v>
      </c>
      <c r="H455" s="1060">
        <v>35.088999999999999</v>
      </c>
      <c r="I455" s="1231" t="s">
        <v>667</v>
      </c>
      <c r="J455" s="1232"/>
      <c r="K455" s="1232"/>
      <c r="L455" s="1232"/>
      <c r="M455" s="1098">
        <v>46226</v>
      </c>
      <c r="N455" s="1054" t="s">
        <v>690</v>
      </c>
      <c r="O455" s="816">
        <v>30</v>
      </c>
      <c r="P455" s="1055"/>
      <c r="Q455" s="485"/>
      <c r="R455" s="485"/>
      <c r="S455" s="485"/>
      <c r="T455" s="485"/>
    </row>
    <row r="456" spans="1:20" s="484" customFormat="1" ht="17.399999999999999" x14ac:dyDescent="0.35">
      <c r="A456" s="485"/>
      <c r="B456" s="929">
        <f t="shared" si="8"/>
        <v>112</v>
      </c>
      <c r="C456" s="929" t="s">
        <v>385</v>
      </c>
      <c r="D456" s="1117" t="s">
        <v>87</v>
      </c>
      <c r="E456" s="1097" t="s">
        <v>92</v>
      </c>
      <c r="F456" s="1051"/>
      <c r="G456" s="1099">
        <v>46225</v>
      </c>
      <c r="H456" s="1069">
        <v>35.088999999999999</v>
      </c>
      <c r="I456" s="1235" t="s">
        <v>667</v>
      </c>
      <c r="J456" s="1236"/>
      <c r="K456" s="1236"/>
      <c r="L456" s="1236"/>
      <c r="M456" s="1099">
        <v>46228</v>
      </c>
      <c r="N456" s="1070" t="s">
        <v>910</v>
      </c>
      <c r="O456" s="1071">
        <v>30</v>
      </c>
      <c r="P456" s="1118"/>
      <c r="Q456" s="485"/>
      <c r="R456" s="485"/>
      <c r="S456" s="485"/>
      <c r="T456" s="485"/>
    </row>
    <row r="457" spans="1:20" s="484" customFormat="1" ht="17.399999999999999" x14ac:dyDescent="0.35">
      <c r="A457" s="485"/>
      <c r="B457" s="692">
        <f t="shared" si="8"/>
        <v>113</v>
      </c>
      <c r="C457" s="692" t="s">
        <v>239</v>
      </c>
      <c r="D457" s="690" t="s">
        <v>87</v>
      </c>
      <c r="E457" s="691" t="s">
        <v>88</v>
      </c>
      <c r="F457" s="1055"/>
      <c r="G457" s="1098">
        <v>46223</v>
      </c>
      <c r="H457" s="1060">
        <v>35.088999999999999</v>
      </c>
      <c r="I457" s="1231" t="s">
        <v>667</v>
      </c>
      <c r="J457" s="1232"/>
      <c r="K457" s="1232"/>
      <c r="L457" s="1232"/>
      <c r="M457" s="1098">
        <v>46230</v>
      </c>
      <c r="N457" s="1072" t="s">
        <v>931</v>
      </c>
      <c r="O457" s="816">
        <v>30</v>
      </c>
      <c r="P457" s="1055"/>
      <c r="Q457" s="485"/>
      <c r="R457" s="485"/>
      <c r="S457" s="485"/>
      <c r="T457" s="485"/>
    </row>
    <row r="458" spans="1:20" s="484" customFormat="1" ht="17.399999999999999" x14ac:dyDescent="0.35">
      <c r="A458" s="485"/>
      <c r="B458" s="692">
        <f t="shared" si="8"/>
        <v>114</v>
      </c>
      <c r="C458" s="692" t="s">
        <v>386</v>
      </c>
      <c r="D458" s="690" t="s">
        <v>87</v>
      </c>
      <c r="E458" s="691" t="s">
        <v>92</v>
      </c>
      <c r="F458" s="1055"/>
      <c r="G458" s="1098">
        <v>46213</v>
      </c>
      <c r="H458" s="1060">
        <v>35.088999999999999</v>
      </c>
      <c r="I458" s="1231" t="s">
        <v>667</v>
      </c>
      <c r="J458" s="1232"/>
      <c r="K458" s="1232"/>
      <c r="L458" s="1232"/>
      <c r="M458" s="1098">
        <v>46230</v>
      </c>
      <c r="N458" s="1072" t="s">
        <v>923</v>
      </c>
      <c r="O458" s="816">
        <v>30</v>
      </c>
      <c r="P458" s="1055"/>
      <c r="Q458" s="485"/>
      <c r="R458" s="485"/>
      <c r="S458" s="485"/>
      <c r="T458" s="485"/>
    </row>
    <row r="459" spans="1:20" s="484" customFormat="1" ht="17.399999999999999" x14ac:dyDescent="0.35">
      <c r="A459" s="485"/>
      <c r="B459" s="692">
        <f t="shared" si="8"/>
        <v>115</v>
      </c>
      <c r="C459" s="692" t="s">
        <v>387</v>
      </c>
      <c r="D459" s="690" t="s">
        <v>95</v>
      </c>
      <c r="E459" s="691" t="s">
        <v>88</v>
      </c>
      <c r="F459" s="1055"/>
      <c r="G459" s="1098">
        <v>46227</v>
      </c>
      <c r="H459" s="1053">
        <v>41.88</v>
      </c>
      <c r="I459" s="1231" t="s">
        <v>667</v>
      </c>
      <c r="J459" s="1232"/>
      <c r="K459" s="1232"/>
      <c r="L459" s="1232"/>
      <c r="M459" s="1098">
        <v>46230</v>
      </c>
      <c r="N459" s="1072" t="s">
        <v>690</v>
      </c>
      <c r="O459" s="816">
        <v>30</v>
      </c>
      <c r="P459" s="1055"/>
      <c r="Q459" s="485"/>
      <c r="R459" s="485"/>
      <c r="S459" s="485"/>
      <c r="T459" s="485"/>
    </row>
    <row r="460" spans="1:20" s="484" customFormat="1" ht="17.399999999999999" x14ac:dyDescent="0.35">
      <c r="A460" s="485"/>
      <c r="B460" s="692">
        <f t="shared" si="8"/>
        <v>116</v>
      </c>
      <c r="C460" s="692" t="s">
        <v>417</v>
      </c>
      <c r="D460" s="690" t="s">
        <v>754</v>
      </c>
      <c r="E460" s="691" t="s">
        <v>92</v>
      </c>
      <c r="F460" s="354"/>
      <c r="G460" s="731">
        <v>46223</v>
      </c>
      <c r="H460" s="1058">
        <v>62.500999999999998</v>
      </c>
      <c r="I460" s="1231" t="s">
        <v>667</v>
      </c>
      <c r="J460" s="1232"/>
      <c r="K460" s="1232"/>
      <c r="L460" s="1232"/>
      <c r="M460" s="1098">
        <v>46231</v>
      </c>
      <c r="N460" s="930" t="s">
        <v>904</v>
      </c>
      <c r="O460" s="816">
        <v>30</v>
      </c>
      <c r="P460" s="1055"/>
      <c r="Q460" s="485"/>
      <c r="R460" s="485"/>
      <c r="S460" s="485"/>
      <c r="T460" s="485"/>
    </row>
    <row r="461" spans="1:20" s="484" customFormat="1" ht="17.399999999999999" x14ac:dyDescent="0.35">
      <c r="A461" s="485"/>
      <c r="B461" s="692">
        <f t="shared" si="8"/>
        <v>117</v>
      </c>
      <c r="C461" s="692" t="s">
        <v>220</v>
      </c>
      <c r="D461" s="690" t="s">
        <v>87</v>
      </c>
      <c r="E461" s="691" t="s">
        <v>92</v>
      </c>
      <c r="F461" s="1059"/>
      <c r="G461" s="731">
        <v>46223</v>
      </c>
      <c r="H461" s="1060">
        <v>35.088999999999999</v>
      </c>
      <c r="I461" s="1231" t="s">
        <v>667</v>
      </c>
      <c r="J461" s="1232"/>
      <c r="K461" s="1232"/>
      <c r="L461" s="1232"/>
      <c r="M461" s="1098">
        <v>46232</v>
      </c>
      <c r="N461" s="930" t="s">
        <v>903</v>
      </c>
      <c r="O461" s="816">
        <v>30</v>
      </c>
      <c r="P461" s="1055"/>
      <c r="Q461" s="485"/>
      <c r="R461" s="485"/>
      <c r="S461" s="485"/>
      <c r="T461" s="485"/>
    </row>
    <row r="462" spans="1:20" s="484" customFormat="1" ht="17.399999999999999" x14ac:dyDescent="0.35">
      <c r="A462" s="485"/>
      <c r="B462" s="692">
        <f t="shared" si="8"/>
        <v>118</v>
      </c>
      <c r="C462" s="692" t="s">
        <v>383</v>
      </c>
      <c r="D462" s="690" t="s">
        <v>91</v>
      </c>
      <c r="E462" s="691" t="s">
        <v>92</v>
      </c>
      <c r="F462" s="1059"/>
      <c r="G462" s="1098">
        <v>46231</v>
      </c>
      <c r="H462" s="1053">
        <v>36.771000000000001</v>
      </c>
      <c r="I462" s="1231" t="s">
        <v>667</v>
      </c>
      <c r="J462" s="1232"/>
      <c r="K462" s="1232"/>
      <c r="L462" s="1232"/>
      <c r="M462" s="1098">
        <v>46234</v>
      </c>
      <c r="N462" s="1072" t="s">
        <v>690</v>
      </c>
      <c r="O462" s="816">
        <v>30</v>
      </c>
      <c r="P462" s="1055"/>
      <c r="Q462" s="485"/>
      <c r="R462" s="485"/>
      <c r="S462" s="485"/>
      <c r="T462" s="485"/>
    </row>
    <row r="463" spans="1:20" ht="17.399999999999999" x14ac:dyDescent="0.35">
      <c r="A463" s="1"/>
      <c r="B463" s="692">
        <f t="shared" si="8"/>
        <v>119</v>
      </c>
      <c r="C463" s="672" t="s">
        <v>427</v>
      </c>
      <c r="D463" s="688" t="s">
        <v>914</v>
      </c>
      <c r="E463" s="671" t="s">
        <v>92</v>
      </c>
      <c r="F463" s="15"/>
      <c r="G463" s="1065">
        <v>46225</v>
      </c>
      <c r="H463" s="281">
        <v>75.879000000000005</v>
      </c>
      <c r="I463" s="1231" t="s">
        <v>667</v>
      </c>
      <c r="J463" s="1232"/>
      <c r="K463" s="1232"/>
      <c r="L463" s="1232"/>
      <c r="M463" s="1065">
        <v>46237</v>
      </c>
      <c r="N463" s="1054" t="s">
        <v>901</v>
      </c>
      <c r="O463" s="816">
        <v>30</v>
      </c>
      <c r="P463" s="281"/>
      <c r="Q463" s="1"/>
      <c r="R463" s="1"/>
      <c r="S463" s="1"/>
      <c r="T463" s="1"/>
    </row>
    <row r="464" spans="1:20" ht="17.399999999999999" x14ac:dyDescent="0.35">
      <c r="A464" s="1"/>
      <c r="B464" s="692">
        <f t="shared" si="8"/>
        <v>120</v>
      </c>
      <c r="C464" s="672" t="s">
        <v>450</v>
      </c>
      <c r="D464" s="688" t="s">
        <v>668</v>
      </c>
      <c r="E464" s="671" t="s">
        <v>92</v>
      </c>
      <c r="F464" s="15"/>
      <c r="G464" s="1065">
        <v>46229</v>
      </c>
      <c r="H464" s="281">
        <v>64.671999999999997</v>
      </c>
      <c r="I464" s="1231" t="s">
        <v>667</v>
      </c>
      <c r="J464" s="1232"/>
      <c r="K464" s="1232"/>
      <c r="L464" s="1232"/>
      <c r="M464" s="1065">
        <v>46240</v>
      </c>
      <c r="N464" s="930" t="s">
        <v>910</v>
      </c>
      <c r="O464" s="816">
        <v>30</v>
      </c>
      <c r="P464" s="281"/>
      <c r="Q464" s="1"/>
      <c r="R464" s="1"/>
      <c r="S464" s="1"/>
      <c r="T464" s="1"/>
    </row>
    <row r="465" spans="1:20" ht="17.399999999999999" x14ac:dyDescent="0.35">
      <c r="A465" s="1"/>
      <c r="B465" s="692">
        <f t="shared" si="8"/>
        <v>121</v>
      </c>
      <c r="C465" s="672" t="s">
        <v>215</v>
      </c>
      <c r="D465" s="690" t="s">
        <v>87</v>
      </c>
      <c r="E465" s="691" t="s">
        <v>92</v>
      </c>
      <c r="F465" s="15"/>
      <c r="G465" s="1065">
        <v>46233</v>
      </c>
      <c r="H465" s="1060">
        <v>35.088999999999999</v>
      </c>
      <c r="I465" s="1231" t="s">
        <v>667</v>
      </c>
      <c r="J465" s="1232"/>
      <c r="K465" s="1232"/>
      <c r="L465" s="1232"/>
      <c r="M465" s="1065">
        <v>46242</v>
      </c>
      <c r="N465" s="930" t="s">
        <v>903</v>
      </c>
      <c r="O465" s="816">
        <v>30</v>
      </c>
      <c r="P465" s="281"/>
      <c r="Q465" s="1"/>
      <c r="R465" s="1"/>
      <c r="S465" s="1"/>
      <c r="T465" s="1"/>
    </row>
    <row r="466" spans="1:20" ht="17.399999999999999" x14ac:dyDescent="0.35">
      <c r="A466" s="1"/>
      <c r="B466" s="692">
        <f t="shared" si="8"/>
        <v>122</v>
      </c>
      <c r="C466" s="672" t="s">
        <v>378</v>
      </c>
      <c r="D466" s="691" t="s">
        <v>87</v>
      </c>
      <c r="E466" s="691" t="s">
        <v>92</v>
      </c>
      <c r="F466" s="15"/>
      <c r="G466" s="281"/>
      <c r="H466" s="1060">
        <v>35.088999999999999</v>
      </c>
      <c r="I466" s="1231" t="s">
        <v>667</v>
      </c>
      <c r="J466" s="1232"/>
      <c r="K466" s="1232"/>
      <c r="L466" s="1232"/>
      <c r="M466" s="1065">
        <v>46243</v>
      </c>
      <c r="N466" s="1072" t="s">
        <v>690</v>
      </c>
      <c r="O466" s="816">
        <v>30</v>
      </c>
      <c r="P466" s="281"/>
      <c r="Q466" s="1"/>
      <c r="R466" s="1"/>
      <c r="S466" s="1"/>
      <c r="T466" s="1"/>
    </row>
    <row r="467" spans="1:20" ht="17.399999999999999" x14ac:dyDescent="0.35">
      <c r="A467" s="1"/>
      <c r="B467" s="692">
        <f t="shared" si="8"/>
        <v>123</v>
      </c>
      <c r="C467" s="677" t="s">
        <v>402</v>
      </c>
      <c r="D467" s="678" t="s">
        <v>87</v>
      </c>
      <c r="E467" s="677" t="s">
        <v>92</v>
      </c>
      <c r="F467" s="15"/>
      <c r="G467" s="1065">
        <v>46231</v>
      </c>
      <c r="H467" s="1060">
        <v>35.088999999999999</v>
      </c>
      <c r="I467" s="1231" t="s">
        <v>667</v>
      </c>
      <c r="J467" s="1232"/>
      <c r="K467" s="1232"/>
      <c r="L467" s="1232"/>
      <c r="M467" s="1065">
        <v>46243</v>
      </c>
      <c r="N467" s="1072" t="s">
        <v>923</v>
      </c>
      <c r="O467" s="816">
        <v>30</v>
      </c>
      <c r="P467" s="281"/>
      <c r="Q467" s="1"/>
      <c r="R467" s="1"/>
      <c r="S467" s="1"/>
      <c r="T467" s="1"/>
    </row>
    <row r="468" spans="1:20" ht="17.399999999999999" x14ac:dyDescent="0.35">
      <c r="A468" s="1"/>
      <c r="B468" s="692">
        <f t="shared" si="8"/>
        <v>124</v>
      </c>
      <c r="C468" s="672" t="s">
        <v>379</v>
      </c>
      <c r="D468" s="690" t="s">
        <v>91</v>
      </c>
      <c r="E468" s="691" t="s">
        <v>92</v>
      </c>
      <c r="F468" s="15"/>
      <c r="G468" s="1065">
        <v>46240</v>
      </c>
      <c r="H468" s="1053">
        <v>36.771000000000001</v>
      </c>
      <c r="I468" s="1231" t="s">
        <v>667</v>
      </c>
      <c r="J468" s="1232"/>
      <c r="K468" s="1232"/>
      <c r="L468" s="1232"/>
      <c r="M468" s="1065">
        <v>46243</v>
      </c>
      <c r="N468" s="1072" t="s">
        <v>690</v>
      </c>
      <c r="O468" s="816">
        <v>30</v>
      </c>
      <c r="P468" s="281"/>
      <c r="Q468" s="1"/>
      <c r="R468" s="1"/>
      <c r="S468" s="1"/>
      <c r="T468" s="1"/>
    </row>
    <row r="469" spans="1:20" ht="17.399999999999999" x14ac:dyDescent="0.35">
      <c r="A469" s="1"/>
      <c r="B469" s="692">
        <f t="shared" si="8"/>
        <v>125</v>
      </c>
      <c r="C469" s="692" t="s">
        <v>415</v>
      </c>
      <c r="D469" s="688" t="s">
        <v>669</v>
      </c>
      <c r="E469" s="671" t="s">
        <v>92</v>
      </c>
      <c r="F469" s="15"/>
      <c r="G469" s="1065">
        <v>46232</v>
      </c>
      <c r="H469" s="1058">
        <v>62.500999999999998</v>
      </c>
      <c r="I469" s="1231" t="s">
        <v>667</v>
      </c>
      <c r="J469" s="1232"/>
      <c r="K469" s="1232"/>
      <c r="L469" s="1232"/>
      <c r="M469" s="1065">
        <v>46244</v>
      </c>
      <c r="N469" s="930" t="s">
        <v>904</v>
      </c>
      <c r="O469" s="816">
        <v>30</v>
      </c>
      <c r="P469" s="281"/>
      <c r="Q469" s="1"/>
      <c r="R469" s="1"/>
      <c r="S469" s="1"/>
      <c r="T469" s="1"/>
    </row>
    <row r="470" spans="1:20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</row>
    <row r="471" spans="1:20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</row>
    <row r="472" spans="1:20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</row>
    <row r="473" spans="1:20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</row>
    <row r="474" spans="1:20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</row>
    <row r="475" spans="1:20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</row>
    <row r="476" spans="1:20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</row>
    <row r="477" spans="1:20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</row>
    <row r="478" spans="1:20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</row>
    <row r="479" spans="1:20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</row>
    <row r="480" spans="1:20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</row>
    <row r="481" spans="1:20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</row>
    <row r="482" spans="1:20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</row>
    <row r="483" spans="1:20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</row>
    <row r="484" spans="1:20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</row>
    <row r="485" spans="1:20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</row>
    <row r="486" spans="1:20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</row>
    <row r="487" spans="1:20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</row>
    <row r="488" spans="1:20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</row>
    <row r="489" spans="1:20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</row>
    <row r="490" spans="1:20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</row>
    <row r="491" spans="1:20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</row>
    <row r="492" spans="1:20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</row>
    <row r="493" spans="1:20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</row>
    <row r="494" spans="1:20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</row>
    <row r="495" spans="1:20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</row>
    <row r="496" spans="1:20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</row>
    <row r="497" spans="1:20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</row>
    <row r="498" spans="1:20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</row>
    <row r="499" spans="1:20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</row>
    <row r="500" spans="1:20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</row>
    <row r="501" spans="1:20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</row>
    <row r="502" spans="1:20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</row>
    <row r="503" spans="1:20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</row>
    <row r="504" spans="1:20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</row>
    <row r="505" spans="1:20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</row>
    <row r="506" spans="1:20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</row>
    <row r="507" spans="1:20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</row>
    <row r="508" spans="1:20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  <c r="R508" s="1"/>
      <c r="S508" s="1"/>
      <c r="T508" s="1"/>
    </row>
    <row r="509" spans="1:20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  <c r="R509" s="1"/>
      <c r="S509" s="1"/>
      <c r="T509" s="1"/>
    </row>
    <row r="510" spans="1:20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  <c r="R510" s="1"/>
      <c r="S510" s="1"/>
      <c r="T510" s="1"/>
    </row>
    <row r="511" spans="1:20" ht="13.5" customHeight="1" x14ac:dyDescent="0.3">
      <c r="A511" s="1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"/>
      <c r="R511" s="1"/>
      <c r="S511" s="1"/>
      <c r="T511" s="1"/>
    </row>
    <row r="512" spans="1:20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  <row r="1280" ht="13.8" x14ac:dyDescent="0.3"/>
  </sheetData>
  <autoFilter ref="A12:CX199" xr:uid="{00000000-0001-0000-0100-000000000000}">
    <filterColumn colId="8" showButton="0"/>
    <filterColumn colId="9" showButton="0"/>
    <filterColumn colId="10" showButton="0"/>
  </autoFilter>
  <mergeCells count="362">
    <mergeCell ref="I469:L469"/>
    <mergeCell ref="I446:L446"/>
    <mergeCell ref="I432:L432"/>
    <mergeCell ref="I420:L420"/>
    <mergeCell ref="I393:L393"/>
    <mergeCell ref="I419:L419"/>
    <mergeCell ref="I409:L409"/>
    <mergeCell ref="I403:L403"/>
    <mergeCell ref="I417:L417"/>
    <mergeCell ref="I408:L408"/>
    <mergeCell ref="I411:L411"/>
    <mergeCell ref="I441:L441"/>
    <mergeCell ref="I434:L434"/>
    <mergeCell ref="I406:L406"/>
    <mergeCell ref="I405:L405"/>
    <mergeCell ref="I426:L426"/>
    <mergeCell ref="I400:L400"/>
    <mergeCell ref="I394:L394"/>
    <mergeCell ref="I412:L412"/>
    <mergeCell ref="I442:L442"/>
    <mergeCell ref="I431:L431"/>
    <mergeCell ref="I100:L100"/>
    <mergeCell ref="H203:K203"/>
    <mergeCell ref="I104:L104"/>
    <mergeCell ref="H248:K248"/>
    <mergeCell ref="H249:K249"/>
    <mergeCell ref="H259:K259"/>
    <mergeCell ref="H258:K258"/>
    <mergeCell ref="I354:L354"/>
    <mergeCell ref="I344:L344"/>
    <mergeCell ref="H265:K265"/>
    <mergeCell ref="H291:K291"/>
    <mergeCell ref="H271:K271"/>
    <mergeCell ref="H272:K272"/>
    <mergeCell ref="H273:K273"/>
    <mergeCell ref="H269:K269"/>
    <mergeCell ref="H319:K319"/>
    <mergeCell ref="I105:L105"/>
    <mergeCell ref="I101:L101"/>
    <mergeCell ref="H209:K209"/>
    <mergeCell ref="H241:K241"/>
    <mergeCell ref="H245:K245"/>
    <mergeCell ref="H247:K247"/>
    <mergeCell ref="H246:K246"/>
    <mergeCell ref="I103:L103"/>
    <mergeCell ref="I421:L421"/>
    <mergeCell ref="I430:L430"/>
    <mergeCell ref="I428:L428"/>
    <mergeCell ref="I429:L429"/>
    <mergeCell ref="I425:L425"/>
    <mergeCell ref="I423:L423"/>
    <mergeCell ref="I422:L422"/>
    <mergeCell ref="I418:L418"/>
    <mergeCell ref="I383:L383"/>
    <mergeCell ref="I414:L414"/>
    <mergeCell ref="I427:L427"/>
    <mergeCell ref="I399:L399"/>
    <mergeCell ref="I389:L389"/>
    <mergeCell ref="I97:L97"/>
    <mergeCell ref="H292:K292"/>
    <mergeCell ref="H293:K293"/>
    <mergeCell ref="H294:K294"/>
    <mergeCell ref="H205:K205"/>
    <mergeCell ref="H232:K232"/>
    <mergeCell ref="H236:K236"/>
    <mergeCell ref="H238:K238"/>
    <mergeCell ref="H206:K206"/>
    <mergeCell ref="H262:K262"/>
    <mergeCell ref="H251:K251"/>
    <mergeCell ref="H274:K274"/>
    <mergeCell ref="H278:K278"/>
    <mergeCell ref="H277:K277"/>
    <mergeCell ref="H276:K276"/>
    <mergeCell ref="H260:K260"/>
    <mergeCell ref="H256:K256"/>
    <mergeCell ref="H264:K264"/>
    <mergeCell ref="H270:K270"/>
    <mergeCell ref="H253:K253"/>
    <mergeCell ref="H254:K254"/>
    <mergeCell ref="H257:K257"/>
    <mergeCell ref="H220:K220"/>
    <mergeCell ref="H235:K235"/>
    <mergeCell ref="I94:L94"/>
    <mergeCell ref="H204:K204"/>
    <mergeCell ref="I98:L98"/>
    <mergeCell ref="I99:L99"/>
    <mergeCell ref="H207:K207"/>
    <mergeCell ref="H217:K217"/>
    <mergeCell ref="H234:K234"/>
    <mergeCell ref="H233:K233"/>
    <mergeCell ref="H212:K212"/>
    <mergeCell ref="H208:K208"/>
    <mergeCell ref="H211:K211"/>
    <mergeCell ref="H210:K210"/>
    <mergeCell ref="H219:K219"/>
    <mergeCell ref="H221:K221"/>
    <mergeCell ref="H226:K226"/>
    <mergeCell ref="H228:K228"/>
    <mergeCell ref="H218:K218"/>
    <mergeCell ref="H231:K231"/>
    <mergeCell ref="H227:K227"/>
    <mergeCell ref="H224:K224"/>
    <mergeCell ref="H213:K213"/>
    <mergeCell ref="H214:K214"/>
    <mergeCell ref="H215:K215"/>
    <mergeCell ref="I102:L102"/>
    <mergeCell ref="I81:L81"/>
    <mergeCell ref="I73:L73"/>
    <mergeCell ref="I85:L85"/>
    <mergeCell ref="I72:L72"/>
    <mergeCell ref="I82:L82"/>
    <mergeCell ref="I87:L87"/>
    <mergeCell ref="I88:L88"/>
    <mergeCell ref="I92:L92"/>
    <mergeCell ref="I90:L90"/>
    <mergeCell ref="I17:L17"/>
    <mergeCell ref="I36:L36"/>
    <mergeCell ref="I38:L38"/>
    <mergeCell ref="I26:L26"/>
    <mergeCell ref="I28:L28"/>
    <mergeCell ref="I31:L31"/>
    <mergeCell ref="I86:L86"/>
    <mergeCell ref="I55:L55"/>
    <mergeCell ref="I68:L68"/>
    <mergeCell ref="I59:L59"/>
    <mergeCell ref="I69:L69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21:L21"/>
    <mergeCell ref="I32:L32"/>
    <mergeCell ref="I23:L23"/>
    <mergeCell ref="I19:L19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66:L66"/>
    <mergeCell ref="I70:L70"/>
    <mergeCell ref="I67:L67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29:L29"/>
    <mergeCell ref="I25:L25"/>
    <mergeCell ref="I54:L54"/>
    <mergeCell ref="I52:L52"/>
    <mergeCell ref="I65:L65"/>
    <mergeCell ref="I62:L62"/>
    <mergeCell ref="I64:L64"/>
    <mergeCell ref="I56:L56"/>
    <mergeCell ref="I57:L57"/>
    <mergeCell ref="I58:L58"/>
    <mergeCell ref="I60:L60"/>
    <mergeCell ref="I61:L61"/>
    <mergeCell ref="I45:L45"/>
    <mergeCell ref="I49:L49"/>
    <mergeCell ref="I43:L43"/>
    <mergeCell ref="I41:L41"/>
    <mergeCell ref="I44:L44"/>
    <mergeCell ref="I46:L46"/>
    <mergeCell ref="I40:L40"/>
    <mergeCell ref="I50:L50"/>
    <mergeCell ref="I51:L51"/>
    <mergeCell ref="I47:L47"/>
    <mergeCell ref="H242:K242"/>
    <mergeCell ref="H240:K240"/>
    <mergeCell ref="H222:K222"/>
    <mergeCell ref="H225:K225"/>
    <mergeCell ref="H223:K223"/>
    <mergeCell ref="H229:K229"/>
    <mergeCell ref="H230:K230"/>
    <mergeCell ref="H243:K243"/>
    <mergeCell ref="H216:K216"/>
    <mergeCell ref="H244:K244"/>
    <mergeCell ref="H239:K239"/>
    <mergeCell ref="B343:D343"/>
    <mergeCell ref="H237:K237"/>
    <mergeCell ref="H255:K255"/>
    <mergeCell ref="H275:K275"/>
    <mergeCell ref="H268:K268"/>
    <mergeCell ref="H282:K282"/>
    <mergeCell ref="H283:K283"/>
    <mergeCell ref="H284:K284"/>
    <mergeCell ref="H285:K285"/>
    <mergeCell ref="H252:K252"/>
    <mergeCell ref="H261:K261"/>
    <mergeCell ref="H266:K266"/>
    <mergeCell ref="H267:K267"/>
    <mergeCell ref="H263:K263"/>
    <mergeCell ref="H295:K295"/>
    <mergeCell ref="H296:K296"/>
    <mergeCell ref="H297:K297"/>
    <mergeCell ref="H314:K314"/>
    <mergeCell ref="H250:K250"/>
    <mergeCell ref="H279:K279"/>
    <mergeCell ref="H280:K280"/>
    <mergeCell ref="H327:K327"/>
    <mergeCell ref="H290:K290"/>
    <mergeCell ref="H317:K317"/>
    <mergeCell ref="H328:K328"/>
    <mergeCell ref="H320:K320"/>
    <mergeCell ref="H329:K329"/>
    <mergeCell ref="H330:K330"/>
    <mergeCell ref="H325:K325"/>
    <mergeCell ref="H326:K326"/>
    <mergeCell ref="H334:K334"/>
    <mergeCell ref="H318:K318"/>
    <mergeCell ref="H306:K306"/>
    <mergeCell ref="H304:K304"/>
    <mergeCell ref="H298:K298"/>
    <mergeCell ref="H299:K299"/>
    <mergeCell ref="H300:K300"/>
    <mergeCell ref="H301:K301"/>
    <mergeCell ref="H307:K307"/>
    <mergeCell ref="H308:K308"/>
    <mergeCell ref="H316:K316"/>
    <mergeCell ref="H315:K315"/>
    <mergeCell ref="H322:K322"/>
    <mergeCell ref="H321:K321"/>
    <mergeCell ref="H333:K333"/>
    <mergeCell ref="H332:K332"/>
    <mergeCell ref="I433:L433"/>
    <mergeCell ref="I392:L392"/>
    <mergeCell ref="I379:L379"/>
    <mergeCell ref="H281:K281"/>
    <mergeCell ref="H311:K311"/>
    <mergeCell ref="H303:K303"/>
    <mergeCell ref="I424:L424"/>
    <mergeCell ref="I347:L347"/>
    <mergeCell ref="H287:K287"/>
    <mergeCell ref="H289:K289"/>
    <mergeCell ref="H288:K288"/>
    <mergeCell ref="H286:K286"/>
    <mergeCell ref="H323:K323"/>
    <mergeCell ref="H313:K313"/>
    <mergeCell ref="H309:K309"/>
    <mergeCell ref="H310:K310"/>
    <mergeCell ref="H312:K312"/>
    <mergeCell ref="H302:K302"/>
    <mergeCell ref="H305:K305"/>
    <mergeCell ref="H324:K324"/>
    <mergeCell ref="I363:L363"/>
    <mergeCell ref="I378:L378"/>
    <mergeCell ref="I402:L402"/>
    <mergeCell ref="I391:L391"/>
    <mergeCell ref="I443:L443"/>
    <mergeCell ref="I362:L362"/>
    <mergeCell ref="I360:L360"/>
    <mergeCell ref="I445:L445"/>
    <mergeCell ref="I357:L357"/>
    <mergeCell ref="I371:L371"/>
    <mergeCell ref="I388:L388"/>
    <mergeCell ref="I384:L384"/>
    <mergeCell ref="I385:L385"/>
    <mergeCell ref="I361:L361"/>
    <mergeCell ref="I365:L365"/>
    <mergeCell ref="I369:L369"/>
    <mergeCell ref="I373:L373"/>
    <mergeCell ref="I367:L367"/>
    <mergeCell ref="I374:L374"/>
    <mergeCell ref="I372:L372"/>
    <mergeCell ref="I359:L359"/>
    <mergeCell ref="I358:L358"/>
    <mergeCell ref="I366:L366"/>
    <mergeCell ref="I444:L444"/>
    <mergeCell ref="I381:L381"/>
    <mergeCell ref="I440:L440"/>
    <mergeCell ref="I437:L437"/>
    <mergeCell ref="I438:L438"/>
    <mergeCell ref="I349:L349"/>
    <mergeCell ref="I345:L345"/>
    <mergeCell ref="I352:L352"/>
    <mergeCell ref="I413:L413"/>
    <mergeCell ref="I407:L407"/>
    <mergeCell ref="I397:L397"/>
    <mergeCell ref="I401:L401"/>
    <mergeCell ref="I410:L410"/>
    <mergeCell ref="I395:L395"/>
    <mergeCell ref="I398:L398"/>
    <mergeCell ref="I386:L386"/>
    <mergeCell ref="I380:L380"/>
    <mergeCell ref="I387:L387"/>
    <mergeCell ref="I364:L364"/>
    <mergeCell ref="I376:L376"/>
    <mergeCell ref="I346:L346"/>
    <mergeCell ref="I382:L382"/>
    <mergeCell ref="H331:K331"/>
    <mergeCell ref="I449:L449"/>
    <mergeCell ref="I450:L450"/>
    <mergeCell ref="I451:L451"/>
    <mergeCell ref="I368:L368"/>
    <mergeCell ref="I350:L350"/>
    <mergeCell ref="I356:L356"/>
    <mergeCell ref="I377:L377"/>
    <mergeCell ref="I390:L390"/>
    <mergeCell ref="I415:L415"/>
    <mergeCell ref="I404:L404"/>
    <mergeCell ref="I396:L396"/>
    <mergeCell ref="I439:L439"/>
    <mergeCell ref="I435:L435"/>
    <mergeCell ref="I436:L436"/>
    <mergeCell ref="I416:L416"/>
    <mergeCell ref="I370:L370"/>
    <mergeCell ref="I375:L375"/>
    <mergeCell ref="I447:L447"/>
    <mergeCell ref="I448:L448"/>
    <mergeCell ref="I355:L355"/>
    <mergeCell ref="I348:L348"/>
    <mergeCell ref="I351:L351"/>
    <mergeCell ref="I353:L353"/>
    <mergeCell ref="I466:L466"/>
    <mergeCell ref="I467:L467"/>
    <mergeCell ref="I468:L468"/>
    <mergeCell ref="I464:L464"/>
    <mergeCell ref="I463:L463"/>
    <mergeCell ref="I462:L462"/>
    <mergeCell ref="I460:L460"/>
    <mergeCell ref="I455:L455"/>
    <mergeCell ref="I452:L452"/>
    <mergeCell ref="I465:L465"/>
    <mergeCell ref="I461:L461"/>
    <mergeCell ref="I457:L457"/>
    <mergeCell ref="I458:L458"/>
    <mergeCell ref="I459:L459"/>
    <mergeCell ref="I456:L456"/>
    <mergeCell ref="I453:L453"/>
    <mergeCell ref="I454:L454"/>
  </mergeCells>
  <phoneticPr fontId="56" type="noConversion"/>
  <conditionalFormatting sqref="C13:C200">
    <cfRule type="duplicateValues" dxfId="159" priority="356"/>
  </conditionalFormatting>
  <conditionalFormatting sqref="C267">
    <cfRule type="duplicateValues" dxfId="158" priority="128"/>
  </conditionalFormatting>
  <conditionalFormatting sqref="C268">
    <cfRule type="duplicateValues" dxfId="157" priority="127"/>
  </conditionalFormatting>
  <conditionalFormatting sqref="C269:C270">
    <cfRule type="duplicateValues" dxfId="156" priority="126"/>
  </conditionalFormatting>
  <conditionalFormatting sqref="C271:C273 C275:C277 C279:C282">
    <cfRule type="duplicateValues" dxfId="155" priority="184"/>
  </conditionalFormatting>
  <conditionalFormatting sqref="C274">
    <cfRule type="duplicateValues" dxfId="154" priority="113"/>
  </conditionalFormatting>
  <conditionalFormatting sqref="C278">
    <cfRule type="duplicateValues" dxfId="153" priority="112"/>
  </conditionalFormatting>
  <conditionalFormatting sqref="C283">
    <cfRule type="duplicateValues" dxfId="152" priority="116"/>
  </conditionalFormatting>
  <conditionalFormatting sqref="C284">
    <cfRule type="duplicateValues" dxfId="151" priority="115"/>
  </conditionalFormatting>
  <conditionalFormatting sqref="C285">
    <cfRule type="duplicateValues" dxfId="150" priority="114"/>
  </conditionalFormatting>
  <conditionalFormatting sqref="C286">
    <cfRule type="duplicateValues" dxfId="149" priority="111"/>
  </conditionalFormatting>
  <conditionalFormatting sqref="C287">
    <cfRule type="duplicateValues" dxfId="148" priority="110"/>
  </conditionalFormatting>
  <conditionalFormatting sqref="C288">
    <cfRule type="duplicateValues" dxfId="147" priority="109"/>
  </conditionalFormatting>
  <conditionalFormatting sqref="C289">
    <cfRule type="duplicateValues" dxfId="146" priority="108"/>
  </conditionalFormatting>
  <conditionalFormatting sqref="C290">
    <cfRule type="duplicateValues" dxfId="145" priority="107"/>
  </conditionalFormatting>
  <conditionalFormatting sqref="C291">
    <cfRule type="duplicateValues" dxfId="144" priority="106"/>
  </conditionalFormatting>
  <conditionalFormatting sqref="C292">
    <cfRule type="duplicateValues" dxfId="143" priority="105"/>
  </conditionalFormatting>
  <conditionalFormatting sqref="C293">
    <cfRule type="duplicateValues" dxfId="142" priority="104"/>
  </conditionalFormatting>
  <conditionalFormatting sqref="C294 C296">
    <cfRule type="duplicateValues" dxfId="141" priority="103"/>
  </conditionalFormatting>
  <conditionalFormatting sqref="C295">
    <cfRule type="duplicateValues" dxfId="140" priority="101"/>
  </conditionalFormatting>
  <conditionalFormatting sqref="C297">
    <cfRule type="duplicateValues" dxfId="139" priority="100"/>
  </conditionalFormatting>
  <conditionalFormatting sqref="C299">
    <cfRule type="duplicateValues" dxfId="138" priority="99"/>
  </conditionalFormatting>
  <conditionalFormatting sqref="C300">
    <cfRule type="duplicateValues" dxfId="137" priority="98"/>
  </conditionalFormatting>
  <conditionalFormatting sqref="C301">
    <cfRule type="duplicateValues" dxfId="136" priority="97"/>
  </conditionalFormatting>
  <conditionalFormatting sqref="C302">
    <cfRule type="duplicateValues" dxfId="135" priority="96"/>
  </conditionalFormatting>
  <conditionalFormatting sqref="C303">
    <cfRule type="duplicateValues" dxfId="134" priority="95"/>
  </conditionalFormatting>
  <conditionalFormatting sqref="C304">
    <cfRule type="duplicateValues" dxfId="133" priority="94"/>
  </conditionalFormatting>
  <conditionalFormatting sqref="C305">
    <cfRule type="duplicateValues" dxfId="132" priority="93"/>
  </conditionalFormatting>
  <conditionalFormatting sqref="C306">
    <cfRule type="duplicateValues" dxfId="131" priority="91"/>
  </conditionalFormatting>
  <conditionalFormatting sqref="C307">
    <cfRule type="duplicateValues" dxfId="130" priority="88"/>
  </conditionalFormatting>
  <conditionalFormatting sqref="C308">
    <cfRule type="duplicateValues" dxfId="129" priority="82"/>
  </conditionalFormatting>
  <conditionalFormatting sqref="C309">
    <cfRule type="duplicateValues" dxfId="128" priority="68"/>
  </conditionalFormatting>
  <conditionalFormatting sqref="C310">
    <cfRule type="duplicateValues" dxfId="127" priority="267"/>
  </conditionalFormatting>
  <conditionalFormatting sqref="C311">
    <cfRule type="duplicateValues" dxfId="126" priority="59"/>
  </conditionalFormatting>
  <conditionalFormatting sqref="C312">
    <cfRule type="duplicateValues" dxfId="125" priority="60"/>
  </conditionalFormatting>
  <conditionalFormatting sqref="C313">
    <cfRule type="duplicateValues" dxfId="124" priority="57"/>
  </conditionalFormatting>
  <conditionalFormatting sqref="C314 C316">
    <cfRule type="duplicateValues" dxfId="123" priority="56"/>
  </conditionalFormatting>
  <conditionalFormatting sqref="C315">
    <cfRule type="duplicateValues" dxfId="122" priority="47"/>
  </conditionalFormatting>
  <conditionalFormatting sqref="C317">
    <cfRule type="duplicateValues" dxfId="121" priority="45"/>
  </conditionalFormatting>
  <conditionalFormatting sqref="C318">
    <cfRule type="duplicateValues" dxfId="120" priority="42"/>
  </conditionalFormatting>
  <conditionalFormatting sqref="C319">
    <cfRule type="duplicateValues" dxfId="119" priority="41"/>
  </conditionalFormatting>
  <conditionalFormatting sqref="C320">
    <cfRule type="duplicateValues" dxfId="118" priority="40"/>
  </conditionalFormatting>
  <conditionalFormatting sqref="C321">
    <cfRule type="duplicateValues" dxfId="117" priority="39"/>
  </conditionalFormatting>
  <conditionalFormatting sqref="C322 C335">
    <cfRule type="duplicateValues" dxfId="116" priority="297"/>
  </conditionalFormatting>
  <conditionalFormatting sqref="C323">
    <cfRule type="duplicateValues" dxfId="115" priority="37"/>
  </conditionalFormatting>
  <conditionalFormatting sqref="C324">
    <cfRule type="duplicateValues" dxfId="114" priority="36"/>
  </conditionalFormatting>
  <conditionalFormatting sqref="C325">
    <cfRule type="duplicateValues" dxfId="113" priority="35"/>
  </conditionalFormatting>
  <conditionalFormatting sqref="C326">
    <cfRule type="duplicateValues" dxfId="112" priority="33"/>
  </conditionalFormatting>
  <conditionalFormatting sqref="C327">
    <cfRule type="duplicateValues" dxfId="111" priority="32"/>
  </conditionalFormatting>
  <conditionalFormatting sqref="C328">
    <cfRule type="duplicateValues" dxfId="110" priority="28"/>
  </conditionalFormatting>
  <conditionalFormatting sqref="C329">
    <cfRule type="duplicateValues" dxfId="109" priority="27"/>
  </conditionalFormatting>
  <conditionalFormatting sqref="C330">
    <cfRule type="duplicateValues" dxfId="108" priority="26"/>
  </conditionalFormatting>
  <conditionalFormatting sqref="C331:C332">
    <cfRule type="duplicateValues" dxfId="107" priority="25"/>
  </conditionalFormatting>
  <conditionalFormatting sqref="C333">
    <cfRule type="duplicateValues" dxfId="106" priority="12"/>
  </conditionalFormatting>
  <conditionalFormatting sqref="C334">
    <cfRule type="duplicateValues" dxfId="105" priority="11"/>
  </conditionalFormatting>
  <conditionalFormatting sqref="C414">
    <cfRule type="duplicateValues" dxfId="104" priority="124"/>
  </conditionalFormatting>
  <conditionalFormatting sqref="C415">
    <cfRule type="duplicateValues" dxfId="103" priority="102"/>
  </conditionalFormatting>
  <conditionalFormatting sqref="C418">
    <cfRule type="duplicateValues" dxfId="102" priority="92"/>
  </conditionalFormatting>
  <conditionalFormatting sqref="C419">
    <cfRule type="duplicateValues" dxfId="101" priority="79"/>
  </conditionalFormatting>
  <conditionalFormatting sqref="C420">
    <cfRule type="duplicateValues" dxfId="100" priority="89"/>
  </conditionalFormatting>
  <conditionalFormatting sqref="C421">
    <cfRule type="duplicateValues" dxfId="99" priority="221"/>
  </conditionalFormatting>
  <conditionalFormatting sqref="C422">
    <cfRule type="duplicateValues" dxfId="98" priority="85"/>
  </conditionalFormatting>
  <conditionalFormatting sqref="C423">
    <cfRule type="duplicateValues" dxfId="97" priority="83"/>
  </conditionalFormatting>
  <conditionalFormatting sqref="C424">
    <cfRule type="duplicateValues" dxfId="96" priority="73"/>
  </conditionalFormatting>
  <conditionalFormatting sqref="C425">
    <cfRule type="duplicateValues" dxfId="95" priority="84"/>
  </conditionalFormatting>
  <conditionalFormatting sqref="C426">
    <cfRule type="duplicateValues" dxfId="94" priority="71"/>
  </conditionalFormatting>
  <conditionalFormatting sqref="C427">
    <cfRule type="duplicateValues" dxfId="93" priority="70"/>
  </conditionalFormatting>
  <conditionalFormatting sqref="C428">
    <cfRule type="duplicateValues" dxfId="92" priority="80"/>
  </conditionalFormatting>
  <conditionalFormatting sqref="C429">
    <cfRule type="duplicateValues" dxfId="91" priority="81"/>
  </conditionalFormatting>
  <conditionalFormatting sqref="C430">
    <cfRule type="duplicateValues" dxfId="90" priority="75"/>
  </conditionalFormatting>
  <conditionalFormatting sqref="C431">
    <cfRule type="duplicateValues" dxfId="89" priority="74"/>
  </conditionalFormatting>
  <conditionalFormatting sqref="C432">
    <cfRule type="duplicateValues" dxfId="88" priority="72"/>
  </conditionalFormatting>
  <conditionalFormatting sqref="C433">
    <cfRule type="duplicateValues" dxfId="87" priority="55"/>
  </conditionalFormatting>
  <conditionalFormatting sqref="C434">
    <cfRule type="duplicateValues" dxfId="86" priority="54"/>
  </conditionalFormatting>
  <conditionalFormatting sqref="C435">
    <cfRule type="duplicateValues" dxfId="85" priority="50"/>
  </conditionalFormatting>
  <conditionalFormatting sqref="C436">
    <cfRule type="duplicateValues" dxfId="84" priority="49"/>
  </conditionalFormatting>
  <conditionalFormatting sqref="C437">
    <cfRule type="duplicateValues" dxfId="83" priority="46"/>
  </conditionalFormatting>
  <conditionalFormatting sqref="C438">
    <cfRule type="duplicateValues" dxfId="82" priority="277"/>
  </conditionalFormatting>
  <conditionalFormatting sqref="C439">
    <cfRule type="duplicateValues" dxfId="81" priority="43"/>
  </conditionalFormatting>
  <conditionalFormatting sqref="C440">
    <cfRule type="duplicateValues" dxfId="80" priority="63"/>
  </conditionalFormatting>
  <conditionalFormatting sqref="C441">
    <cfRule type="duplicateValues" dxfId="79" priority="52"/>
  </conditionalFormatting>
  <conditionalFormatting sqref="C442">
    <cfRule type="duplicateValues" dxfId="78" priority="51"/>
  </conditionalFormatting>
  <conditionalFormatting sqref="C445">
    <cfRule type="duplicateValues" dxfId="77" priority="34"/>
  </conditionalFormatting>
  <conditionalFormatting sqref="C446">
    <cfRule type="duplicateValues" dxfId="76" priority="31"/>
  </conditionalFormatting>
  <conditionalFormatting sqref="C447">
    <cfRule type="duplicateValues" dxfId="75" priority="30"/>
  </conditionalFormatting>
  <conditionalFormatting sqref="C448">
    <cfRule type="duplicateValues" dxfId="74" priority="29"/>
  </conditionalFormatting>
  <conditionalFormatting sqref="C449">
    <cfRule type="duplicateValues" dxfId="73" priority="24"/>
  </conditionalFormatting>
  <conditionalFormatting sqref="C450">
    <cfRule type="duplicateValues" dxfId="72" priority="23"/>
  </conditionalFormatting>
  <conditionalFormatting sqref="C451">
    <cfRule type="duplicateValues" dxfId="71" priority="22"/>
  </conditionalFormatting>
  <conditionalFormatting sqref="C452">
    <cfRule type="duplicateValues" dxfId="70" priority="21"/>
  </conditionalFormatting>
  <conditionalFormatting sqref="C453">
    <cfRule type="duplicateValues" dxfId="69" priority="20"/>
  </conditionalFormatting>
  <conditionalFormatting sqref="C454">
    <cfRule type="duplicateValues" dxfId="68" priority="19"/>
  </conditionalFormatting>
  <conditionalFormatting sqref="C455">
    <cfRule type="duplicateValues" dxfId="67" priority="18"/>
  </conditionalFormatting>
  <conditionalFormatting sqref="C456">
    <cfRule type="duplicateValues" dxfId="66" priority="17"/>
  </conditionalFormatting>
  <conditionalFormatting sqref="C457">
    <cfRule type="duplicateValues" dxfId="65" priority="16"/>
  </conditionalFormatting>
  <conditionalFormatting sqref="C458">
    <cfRule type="duplicateValues" dxfId="64" priority="15"/>
  </conditionalFormatting>
  <conditionalFormatting sqref="C459">
    <cfRule type="duplicateValues" dxfId="63" priority="14"/>
  </conditionalFormatting>
  <conditionalFormatting sqref="C460">
    <cfRule type="duplicateValues" dxfId="62" priority="10"/>
  </conditionalFormatting>
  <conditionalFormatting sqref="C461">
    <cfRule type="duplicateValues" dxfId="61" priority="9"/>
  </conditionalFormatting>
  <conditionalFormatting sqref="C462">
    <cfRule type="duplicateValues" dxfId="60" priority="8"/>
  </conditionalFormatting>
  <conditionalFormatting sqref="C463">
    <cfRule type="duplicateValues" dxfId="59" priority="7"/>
  </conditionalFormatting>
  <conditionalFormatting sqref="C464">
    <cfRule type="duplicateValues" dxfId="58" priority="6"/>
  </conditionalFormatting>
  <conditionalFormatting sqref="C465">
    <cfRule type="duplicateValues" dxfId="57" priority="5"/>
  </conditionalFormatting>
  <conditionalFormatting sqref="C466">
    <cfRule type="duplicateValues" dxfId="56" priority="4"/>
  </conditionalFormatting>
  <conditionalFormatting sqref="C467">
    <cfRule type="duplicateValues" dxfId="55" priority="3"/>
  </conditionalFormatting>
  <conditionalFormatting sqref="C468">
    <cfRule type="duplicateValues" dxfId="54" priority="2"/>
  </conditionalFormatting>
  <conditionalFormatting sqref="D316">
    <cfRule type="duplicateValues" dxfId="53" priority="48"/>
  </conditionalFormatting>
  <conditionalFormatting sqref="C469">
    <cfRule type="duplicateValues" dxfId="52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200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27"/>
  <sheetViews>
    <sheetView zoomScale="87" workbookViewId="0">
      <selection activeCell="E139" sqref="E139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56"/>
      <c r="E1" s="1357"/>
      <c r="F1" s="444"/>
      <c r="G1" s="483"/>
    </row>
    <row r="2" spans="1:10" s="1124" customFormat="1" ht="13.5" customHeight="1" x14ac:dyDescent="0.3">
      <c r="A2" s="1122" t="s">
        <v>98</v>
      </c>
      <c r="B2" s="1122" t="s">
        <v>74</v>
      </c>
      <c r="C2" s="1122" t="s">
        <v>75</v>
      </c>
      <c r="D2" s="1122" t="s">
        <v>76</v>
      </c>
      <c r="E2" s="1122" t="s">
        <v>78</v>
      </c>
      <c r="F2" s="1122" t="s">
        <v>107</v>
      </c>
      <c r="G2" s="1123" t="s">
        <v>99</v>
      </c>
      <c r="H2" s="1122" t="s">
        <v>81</v>
      </c>
      <c r="I2" s="1122" t="s">
        <v>82</v>
      </c>
      <c r="J2" s="1122" t="s">
        <v>84</v>
      </c>
    </row>
    <row r="3" spans="1:10" s="284" customFormat="1" ht="13.5" customHeight="1" x14ac:dyDescent="0.3">
      <c r="A3" s="1132">
        <v>1</v>
      </c>
      <c r="B3" s="1133" t="s">
        <v>259</v>
      </c>
      <c r="C3" s="1134" t="s">
        <v>87</v>
      </c>
      <c r="D3" s="1134" t="s">
        <v>92</v>
      </c>
      <c r="E3" s="1135">
        <v>46006</v>
      </c>
      <c r="F3" s="1136">
        <v>35.088999999999999</v>
      </c>
      <c r="G3" s="1125" t="s">
        <v>667</v>
      </c>
      <c r="H3" s="1135">
        <v>46011</v>
      </c>
      <c r="I3" s="1137" t="s">
        <v>666</v>
      </c>
      <c r="J3" s="1134">
        <v>35</v>
      </c>
    </row>
    <row r="4" spans="1:10" s="284" customFormat="1" ht="13.5" customHeight="1" x14ac:dyDescent="0.3">
      <c r="A4" s="1132">
        <f>A3+1</f>
        <v>2</v>
      </c>
      <c r="B4" s="1132" t="s">
        <v>271</v>
      </c>
      <c r="C4" s="1134" t="s">
        <v>87</v>
      </c>
      <c r="D4" s="1132" t="s">
        <v>542</v>
      </c>
      <c r="E4" s="1138">
        <v>46013</v>
      </c>
      <c r="F4" s="1136">
        <v>35.088999999999999</v>
      </c>
      <c r="G4" s="1125" t="s">
        <v>667</v>
      </c>
      <c r="H4" s="1139">
        <v>46018</v>
      </c>
      <c r="I4" s="1137" t="s">
        <v>666</v>
      </c>
      <c r="J4" s="1134">
        <v>35</v>
      </c>
    </row>
    <row r="5" spans="1:10" s="284" customFormat="1" ht="13.5" customHeight="1" x14ac:dyDescent="0.3">
      <c r="A5" s="1132">
        <f t="shared" ref="A5:A68" si="0">A4+1</f>
        <v>3</v>
      </c>
      <c r="B5" s="1133" t="s">
        <v>321</v>
      </c>
      <c r="C5" s="1134" t="s">
        <v>87</v>
      </c>
      <c r="D5" s="1134" t="s">
        <v>92</v>
      </c>
      <c r="E5" s="1135">
        <v>46013</v>
      </c>
      <c r="F5" s="1136">
        <v>35.088999999999999</v>
      </c>
      <c r="G5" s="1125" t="s">
        <v>667</v>
      </c>
      <c r="H5" s="1140">
        <v>46022</v>
      </c>
      <c r="I5" s="1137" t="s">
        <v>691</v>
      </c>
      <c r="J5" s="1134">
        <v>49</v>
      </c>
    </row>
    <row r="6" spans="1:10" s="284" customFormat="1" ht="13.5" customHeight="1" x14ac:dyDescent="0.3">
      <c r="A6" s="1132">
        <f t="shared" si="0"/>
        <v>4</v>
      </c>
      <c r="B6" s="1141" t="s">
        <v>266</v>
      </c>
      <c r="C6" s="1134" t="s">
        <v>87</v>
      </c>
      <c r="D6" s="1132" t="s">
        <v>542</v>
      </c>
      <c r="E6" s="1142">
        <v>46016</v>
      </c>
      <c r="F6" s="1136">
        <v>35.088999999999999</v>
      </c>
      <c r="G6" s="1125" t="s">
        <v>667</v>
      </c>
      <c r="H6" s="1142">
        <v>46032</v>
      </c>
      <c r="I6" s="1137" t="s">
        <v>666</v>
      </c>
      <c r="J6" s="1134">
        <v>35</v>
      </c>
    </row>
    <row r="7" spans="1:10" s="284" customFormat="1" ht="13.2" customHeight="1" x14ac:dyDescent="0.3">
      <c r="A7" s="1132">
        <f t="shared" si="0"/>
        <v>5</v>
      </c>
      <c r="B7" s="1141" t="s">
        <v>320</v>
      </c>
      <c r="C7" s="1134" t="s">
        <v>87</v>
      </c>
      <c r="D7" s="1132" t="s">
        <v>542</v>
      </c>
      <c r="E7" s="1126">
        <v>46016</v>
      </c>
      <c r="F7" s="1136">
        <v>35.088999999999999</v>
      </c>
      <c r="G7" s="1125" t="s">
        <v>667</v>
      </c>
      <c r="H7" s="1142">
        <v>46030</v>
      </c>
      <c r="I7" s="1137" t="s">
        <v>691</v>
      </c>
      <c r="J7" s="1134">
        <v>49</v>
      </c>
    </row>
    <row r="8" spans="1:10" s="284" customFormat="1" ht="13.2" customHeight="1" x14ac:dyDescent="0.3">
      <c r="A8" s="1132">
        <f t="shared" si="0"/>
        <v>6</v>
      </c>
      <c r="B8" s="1141" t="s">
        <v>265</v>
      </c>
      <c r="C8" s="1141" t="s">
        <v>95</v>
      </c>
      <c r="D8" s="1132" t="s">
        <v>542</v>
      </c>
      <c r="E8" s="1126">
        <v>46024</v>
      </c>
      <c r="F8" s="1143">
        <v>41.88</v>
      </c>
      <c r="G8" s="1125" t="s">
        <v>667</v>
      </c>
      <c r="H8" s="1142">
        <v>46032</v>
      </c>
      <c r="I8" s="1137" t="s">
        <v>666</v>
      </c>
      <c r="J8" s="1134">
        <v>35</v>
      </c>
    </row>
    <row r="9" spans="1:10" s="284" customFormat="1" ht="13.5" customHeight="1" x14ac:dyDescent="0.3">
      <c r="A9" s="1132">
        <f t="shared" si="0"/>
        <v>7</v>
      </c>
      <c r="B9" s="1141" t="s">
        <v>318</v>
      </c>
      <c r="C9" s="1134" t="s">
        <v>87</v>
      </c>
      <c r="D9" s="1132" t="s">
        <v>542</v>
      </c>
      <c r="E9" s="1126">
        <v>46023</v>
      </c>
      <c r="F9" s="1136">
        <v>35.088999999999999</v>
      </c>
      <c r="G9" s="1125" t="s">
        <v>667</v>
      </c>
      <c r="H9" s="1142">
        <v>46035</v>
      </c>
      <c r="I9" s="1137" t="s">
        <v>691</v>
      </c>
      <c r="J9" s="1134">
        <v>49</v>
      </c>
    </row>
    <row r="10" spans="1:10" s="284" customFormat="1" ht="13.5" customHeight="1" x14ac:dyDescent="0.3">
      <c r="A10" s="1132">
        <f t="shared" si="0"/>
        <v>8</v>
      </c>
      <c r="B10" s="1141" t="s">
        <v>267</v>
      </c>
      <c r="C10" s="1134" t="s">
        <v>87</v>
      </c>
      <c r="D10" s="1132" t="s">
        <v>542</v>
      </c>
      <c r="E10" s="1126">
        <v>46031</v>
      </c>
      <c r="F10" s="1136">
        <v>35.088999999999999</v>
      </c>
      <c r="G10" s="1125" t="s">
        <v>667</v>
      </c>
      <c r="H10" s="1142">
        <v>46036</v>
      </c>
      <c r="I10" s="1137" t="s">
        <v>666</v>
      </c>
      <c r="J10" s="1134">
        <v>35</v>
      </c>
    </row>
    <row r="11" spans="1:10" s="284" customFormat="1" ht="13.2" customHeight="1" x14ac:dyDescent="0.3">
      <c r="A11" s="1132">
        <f t="shared" si="0"/>
        <v>9</v>
      </c>
      <c r="B11" s="1141" t="s">
        <v>322</v>
      </c>
      <c r="C11" s="1134" t="s">
        <v>87</v>
      </c>
      <c r="D11" s="1132" t="s">
        <v>542</v>
      </c>
      <c r="E11" s="1126">
        <v>46029</v>
      </c>
      <c r="F11" s="1136">
        <v>35.088999999999999</v>
      </c>
      <c r="G11" s="1125" t="s">
        <v>667</v>
      </c>
      <c r="H11" s="1142">
        <v>46038</v>
      </c>
      <c r="I11" s="1144" t="s">
        <v>670</v>
      </c>
      <c r="J11" s="1141">
        <v>21</v>
      </c>
    </row>
    <row r="12" spans="1:10" s="284" customFormat="1" ht="13.5" customHeight="1" x14ac:dyDescent="0.3">
      <c r="A12" s="1132">
        <f t="shared" si="0"/>
        <v>10</v>
      </c>
      <c r="B12" s="1141" t="s">
        <v>86</v>
      </c>
      <c r="C12" s="1134" t="s">
        <v>87</v>
      </c>
      <c r="D12" s="1141" t="s">
        <v>88</v>
      </c>
      <c r="E12" s="1126">
        <v>46033</v>
      </c>
      <c r="F12" s="1136">
        <v>35.088999999999999</v>
      </c>
      <c r="G12" s="1125" t="s">
        <v>667</v>
      </c>
      <c r="H12" s="1142">
        <v>46038</v>
      </c>
      <c r="I12" s="1144" t="s">
        <v>690</v>
      </c>
      <c r="J12" s="1141">
        <v>31</v>
      </c>
    </row>
    <row r="13" spans="1:10" s="284" customFormat="1" ht="13.2" customHeight="1" x14ac:dyDescent="0.3">
      <c r="A13" s="1132">
        <f t="shared" si="0"/>
        <v>11</v>
      </c>
      <c r="B13" s="1141" t="s">
        <v>96</v>
      </c>
      <c r="C13" s="1141" t="s">
        <v>87</v>
      </c>
      <c r="D13" s="1141" t="s">
        <v>689</v>
      </c>
      <c r="E13" s="1126">
        <v>46037</v>
      </c>
      <c r="F13" s="1136">
        <v>35.088999999999999</v>
      </c>
      <c r="G13" s="1125" t="s">
        <v>667</v>
      </c>
      <c r="H13" s="1142">
        <v>46042</v>
      </c>
      <c r="I13" s="1144" t="s">
        <v>690</v>
      </c>
      <c r="J13" s="1141">
        <v>31</v>
      </c>
    </row>
    <row r="14" spans="1:10" s="284" customFormat="1" ht="13.5" customHeight="1" x14ac:dyDescent="0.3">
      <c r="A14" s="1132">
        <f t="shared" si="0"/>
        <v>12</v>
      </c>
      <c r="B14" s="1141" t="s">
        <v>273</v>
      </c>
      <c r="C14" s="1141" t="s">
        <v>95</v>
      </c>
      <c r="D14" s="1141" t="s">
        <v>542</v>
      </c>
      <c r="E14" s="1126">
        <v>46037</v>
      </c>
      <c r="F14" s="1143">
        <v>41.88</v>
      </c>
      <c r="G14" s="1125" t="s">
        <v>667</v>
      </c>
      <c r="H14" s="1142">
        <v>46043</v>
      </c>
      <c r="I14" s="1137" t="s">
        <v>666</v>
      </c>
      <c r="J14" s="1134">
        <v>35</v>
      </c>
    </row>
    <row r="15" spans="1:10" s="284" customFormat="1" ht="13.5" customHeight="1" x14ac:dyDescent="0.3">
      <c r="A15" s="1132">
        <f t="shared" si="0"/>
        <v>13</v>
      </c>
      <c r="B15" s="1141" t="s">
        <v>325</v>
      </c>
      <c r="C15" s="1141" t="s">
        <v>87</v>
      </c>
      <c r="D15" s="1141" t="s">
        <v>92</v>
      </c>
      <c r="E15" s="1126">
        <v>46039</v>
      </c>
      <c r="F15" s="1136">
        <v>35.088999999999999</v>
      </c>
      <c r="G15" s="1125" t="s">
        <v>667</v>
      </c>
      <c r="H15" s="1142">
        <v>46043</v>
      </c>
      <c r="I15" s="1144" t="s">
        <v>670</v>
      </c>
      <c r="J15" s="1141">
        <v>21</v>
      </c>
    </row>
    <row r="16" spans="1:10" s="284" customFormat="1" ht="13.5" customHeight="1" x14ac:dyDescent="0.3">
      <c r="A16" s="1132">
        <f t="shared" si="0"/>
        <v>14</v>
      </c>
      <c r="B16" s="1141" t="s">
        <v>342</v>
      </c>
      <c r="C16" s="1141" t="s">
        <v>87</v>
      </c>
      <c r="D16" s="1141" t="s">
        <v>542</v>
      </c>
      <c r="E16" s="1126">
        <v>46038</v>
      </c>
      <c r="F16" s="1136">
        <v>35.088999999999999</v>
      </c>
      <c r="G16" s="1125" t="s">
        <v>667</v>
      </c>
      <c r="H16" s="1142">
        <v>46043</v>
      </c>
      <c r="I16" s="1144" t="s">
        <v>693</v>
      </c>
      <c r="J16" s="1141">
        <v>32</v>
      </c>
    </row>
    <row r="17" spans="1:10" s="284" customFormat="1" ht="13.5" customHeight="1" x14ac:dyDescent="0.3">
      <c r="A17" s="1132">
        <f t="shared" si="0"/>
        <v>15</v>
      </c>
      <c r="B17" s="1141" t="s">
        <v>398</v>
      </c>
      <c r="C17" s="1141" t="s">
        <v>87</v>
      </c>
      <c r="D17" s="1141" t="s">
        <v>92</v>
      </c>
      <c r="E17" s="1126">
        <v>46039</v>
      </c>
      <c r="F17" s="1136">
        <v>35.088999999999999</v>
      </c>
      <c r="G17" s="1125" t="s">
        <v>667</v>
      </c>
      <c r="H17" s="1142">
        <v>46043</v>
      </c>
      <c r="I17" s="1145" t="s">
        <v>692</v>
      </c>
      <c r="J17" s="1141">
        <v>45</v>
      </c>
    </row>
    <row r="18" spans="1:10" s="284" customFormat="1" ht="13.5" customHeight="1" x14ac:dyDescent="0.3">
      <c r="A18" s="1132">
        <f t="shared" si="0"/>
        <v>16</v>
      </c>
      <c r="B18" s="1141" t="s">
        <v>343</v>
      </c>
      <c r="C18" s="1134" t="s">
        <v>87</v>
      </c>
      <c r="D18" s="1141" t="s">
        <v>542</v>
      </c>
      <c r="E18" s="1126">
        <v>46041</v>
      </c>
      <c r="F18" s="1136">
        <v>35.088999999999999</v>
      </c>
      <c r="G18" s="1125" t="s">
        <v>667</v>
      </c>
      <c r="H18" s="1142">
        <v>46046</v>
      </c>
      <c r="I18" s="1144" t="s">
        <v>693</v>
      </c>
      <c r="J18" s="1141">
        <v>32</v>
      </c>
    </row>
    <row r="19" spans="1:10" s="284" customFormat="1" ht="13.5" customHeight="1" x14ac:dyDescent="0.3">
      <c r="A19" s="1132">
        <f t="shared" si="0"/>
        <v>17</v>
      </c>
      <c r="B19" s="1141" t="s">
        <v>94</v>
      </c>
      <c r="C19" s="1141" t="s">
        <v>95</v>
      </c>
      <c r="D19" s="1141" t="s">
        <v>541</v>
      </c>
      <c r="E19" s="1126">
        <v>46041</v>
      </c>
      <c r="F19" s="1143">
        <v>41.88</v>
      </c>
      <c r="G19" s="1125" t="s">
        <v>667</v>
      </c>
      <c r="H19" s="1142">
        <v>46047</v>
      </c>
      <c r="I19" s="1144" t="s">
        <v>690</v>
      </c>
      <c r="J19" s="1141">
        <v>31</v>
      </c>
    </row>
    <row r="20" spans="1:10" s="284" customFormat="1" ht="13.5" customHeight="1" x14ac:dyDescent="0.3">
      <c r="A20" s="1132">
        <f t="shared" si="0"/>
        <v>18</v>
      </c>
      <c r="B20" s="1141" t="s">
        <v>274</v>
      </c>
      <c r="C20" s="1134" t="s">
        <v>87</v>
      </c>
      <c r="D20" s="1141" t="s">
        <v>542</v>
      </c>
      <c r="E20" s="1126">
        <v>46044</v>
      </c>
      <c r="F20" s="1136">
        <v>35.088999999999999</v>
      </c>
      <c r="G20" s="1125" t="s">
        <v>667</v>
      </c>
      <c r="H20" s="1142">
        <v>46049</v>
      </c>
      <c r="I20" s="1144" t="s">
        <v>666</v>
      </c>
      <c r="J20" s="1134">
        <v>35</v>
      </c>
    </row>
    <row r="21" spans="1:10" s="284" customFormat="1" ht="13.5" customHeight="1" x14ac:dyDescent="0.3">
      <c r="A21" s="1132">
        <f t="shared" si="0"/>
        <v>19</v>
      </c>
      <c r="B21" s="1141" t="s">
        <v>397</v>
      </c>
      <c r="C21" s="1141" t="s">
        <v>87</v>
      </c>
      <c r="D21" s="1141" t="s">
        <v>92</v>
      </c>
      <c r="E21" s="1126">
        <v>46045</v>
      </c>
      <c r="F21" s="1136">
        <v>35.088999999999999</v>
      </c>
      <c r="G21" s="1125" t="s">
        <v>667</v>
      </c>
      <c r="H21" s="1142">
        <v>46049</v>
      </c>
      <c r="I21" s="1145" t="s">
        <v>692</v>
      </c>
      <c r="J21" s="1141">
        <v>45</v>
      </c>
    </row>
    <row r="22" spans="1:10" s="284" customFormat="1" ht="13.5" customHeight="1" x14ac:dyDescent="0.3">
      <c r="A22" s="1132">
        <f t="shared" si="0"/>
        <v>20</v>
      </c>
      <c r="B22" s="1141" t="s">
        <v>341</v>
      </c>
      <c r="C22" s="1141" t="s">
        <v>95</v>
      </c>
      <c r="D22" s="1141" t="s">
        <v>542</v>
      </c>
      <c r="E22" s="1126">
        <v>46047</v>
      </c>
      <c r="F22" s="1143">
        <v>41.88</v>
      </c>
      <c r="G22" s="1125" t="s">
        <v>667</v>
      </c>
      <c r="H22" s="1142">
        <v>46050</v>
      </c>
      <c r="I22" s="1144" t="s">
        <v>693</v>
      </c>
      <c r="J22" s="1141">
        <v>32</v>
      </c>
    </row>
    <row r="23" spans="1:10" s="284" customFormat="1" ht="13.5" customHeight="1" x14ac:dyDescent="0.3">
      <c r="A23" s="1132">
        <f t="shared" si="0"/>
        <v>21</v>
      </c>
      <c r="B23" s="1141" t="s">
        <v>394</v>
      </c>
      <c r="C23" s="1134" t="s">
        <v>87</v>
      </c>
      <c r="D23" s="1132" t="s">
        <v>542</v>
      </c>
      <c r="E23" s="1126">
        <v>46034</v>
      </c>
      <c r="F23" s="1136">
        <v>35.088999999999999</v>
      </c>
      <c r="G23" s="1125" t="s">
        <v>667</v>
      </c>
      <c r="H23" s="1142">
        <v>46051</v>
      </c>
      <c r="I23" s="1137" t="s">
        <v>691</v>
      </c>
      <c r="J23" s="1134">
        <v>49</v>
      </c>
    </row>
    <row r="24" spans="1:10" s="284" customFormat="1" ht="13.5" customHeight="1" x14ac:dyDescent="0.3">
      <c r="A24" s="1132">
        <f t="shared" si="0"/>
        <v>22</v>
      </c>
      <c r="B24" s="1141" t="s">
        <v>328</v>
      </c>
      <c r="C24" s="1141" t="s">
        <v>91</v>
      </c>
      <c r="D24" s="1141" t="s">
        <v>542</v>
      </c>
      <c r="E24" s="1126">
        <v>46048</v>
      </c>
      <c r="F24" s="1143">
        <v>36.771000000000001</v>
      </c>
      <c r="G24" s="1125" t="s">
        <v>667</v>
      </c>
      <c r="H24" s="1142">
        <v>46052</v>
      </c>
      <c r="I24" s="1144" t="s">
        <v>670</v>
      </c>
      <c r="J24" s="1141">
        <v>21</v>
      </c>
    </row>
    <row r="25" spans="1:10" s="284" customFormat="1" ht="13.5" customHeight="1" x14ac:dyDescent="0.3">
      <c r="A25" s="1132">
        <f t="shared" si="0"/>
        <v>23</v>
      </c>
      <c r="B25" s="1141" t="s">
        <v>333</v>
      </c>
      <c r="C25" s="1141" t="s">
        <v>95</v>
      </c>
      <c r="D25" s="1141" t="s">
        <v>92</v>
      </c>
      <c r="E25" s="1126">
        <v>46049</v>
      </c>
      <c r="F25" s="1143">
        <v>41.88</v>
      </c>
      <c r="G25" s="1125" t="s">
        <v>667</v>
      </c>
      <c r="H25" s="1142">
        <v>46053</v>
      </c>
      <c r="I25" s="1144" t="s">
        <v>690</v>
      </c>
      <c r="J25" s="1141">
        <v>31</v>
      </c>
    </row>
    <row r="26" spans="1:10" s="284" customFormat="1" ht="14.4" customHeight="1" x14ac:dyDescent="0.3">
      <c r="A26" s="1132">
        <f t="shared" si="0"/>
        <v>24</v>
      </c>
      <c r="B26" s="1141" t="s">
        <v>401</v>
      </c>
      <c r="C26" s="1141" t="s">
        <v>91</v>
      </c>
      <c r="D26" s="1141" t="s">
        <v>92</v>
      </c>
      <c r="E26" s="1126">
        <v>46049</v>
      </c>
      <c r="F26" s="1143">
        <v>36.771000000000001</v>
      </c>
      <c r="G26" s="1125" t="s">
        <v>667</v>
      </c>
      <c r="H26" s="1142">
        <v>46053</v>
      </c>
      <c r="I26" s="1137" t="s">
        <v>692</v>
      </c>
      <c r="J26" s="1141">
        <v>45</v>
      </c>
    </row>
    <row r="27" spans="1:10" s="284" customFormat="1" ht="13.5" customHeight="1" x14ac:dyDescent="0.3">
      <c r="A27" s="1132">
        <f t="shared" si="0"/>
        <v>25</v>
      </c>
      <c r="B27" s="1141" t="s">
        <v>276</v>
      </c>
      <c r="C27" s="1141" t="s">
        <v>87</v>
      </c>
      <c r="D27" s="1141" t="s">
        <v>92</v>
      </c>
      <c r="E27" s="1126">
        <v>46049</v>
      </c>
      <c r="F27" s="1136">
        <v>35.088999999999999</v>
      </c>
      <c r="G27" s="1125" t="s">
        <v>667</v>
      </c>
      <c r="H27" s="1142">
        <v>46055</v>
      </c>
      <c r="I27" s="1137" t="s">
        <v>666</v>
      </c>
      <c r="J27" s="1134">
        <v>35</v>
      </c>
    </row>
    <row r="28" spans="1:10" s="284" customFormat="1" ht="13.5" customHeight="1" x14ac:dyDescent="0.3">
      <c r="A28" s="1132">
        <f t="shared" si="0"/>
        <v>26</v>
      </c>
      <c r="B28" s="1141" t="s">
        <v>395</v>
      </c>
      <c r="C28" s="1141" t="s">
        <v>87</v>
      </c>
      <c r="D28" s="1141" t="s">
        <v>92</v>
      </c>
      <c r="E28" s="1126">
        <v>46052</v>
      </c>
      <c r="F28" s="1136">
        <v>35.088999999999999</v>
      </c>
      <c r="G28" s="1125" t="s">
        <v>667</v>
      </c>
      <c r="H28" s="1142">
        <v>46056</v>
      </c>
      <c r="I28" s="1137" t="s">
        <v>691</v>
      </c>
      <c r="J28" s="1134">
        <v>49</v>
      </c>
    </row>
    <row r="29" spans="1:10" s="284" customFormat="1" ht="13.5" customHeight="1" x14ac:dyDescent="0.3">
      <c r="A29" s="1132">
        <f t="shared" si="0"/>
        <v>27</v>
      </c>
      <c r="B29" s="1146" t="s">
        <v>347</v>
      </c>
      <c r="C29" s="1132" t="s">
        <v>87</v>
      </c>
      <c r="D29" s="1146" t="s">
        <v>684</v>
      </c>
      <c r="E29" s="1126">
        <v>46053</v>
      </c>
      <c r="F29" s="1136">
        <v>35.088999999999999</v>
      </c>
      <c r="G29" s="1125" t="s">
        <v>667</v>
      </c>
      <c r="H29" s="1142">
        <v>46056</v>
      </c>
      <c r="I29" s="1144" t="s">
        <v>693</v>
      </c>
      <c r="J29" s="1141">
        <v>32</v>
      </c>
    </row>
    <row r="30" spans="1:10" s="284" customFormat="1" ht="13.5" customHeight="1" x14ac:dyDescent="0.3">
      <c r="A30" s="1132">
        <f t="shared" si="0"/>
        <v>28</v>
      </c>
      <c r="B30" s="1146" t="s">
        <v>334</v>
      </c>
      <c r="C30" s="1132" t="s">
        <v>109</v>
      </c>
      <c r="D30" s="1146" t="s">
        <v>92</v>
      </c>
      <c r="E30" s="1126">
        <v>46054</v>
      </c>
      <c r="F30" s="1136">
        <v>43.575000000000003</v>
      </c>
      <c r="G30" s="1125" t="s">
        <v>667</v>
      </c>
      <c r="H30" s="1142">
        <v>46057</v>
      </c>
      <c r="I30" s="1144" t="s">
        <v>690</v>
      </c>
      <c r="J30" s="1141">
        <v>31</v>
      </c>
    </row>
    <row r="31" spans="1:10" s="284" customFormat="1" ht="13.5" customHeight="1" x14ac:dyDescent="0.3">
      <c r="A31" s="1132">
        <f t="shared" si="0"/>
        <v>29</v>
      </c>
      <c r="B31" s="1141" t="s">
        <v>344</v>
      </c>
      <c r="C31" s="1141" t="s">
        <v>109</v>
      </c>
      <c r="D31" s="1141" t="s">
        <v>542</v>
      </c>
      <c r="E31" s="1126">
        <v>46050</v>
      </c>
      <c r="F31" s="1136">
        <v>43.575000000000003</v>
      </c>
      <c r="G31" s="1125" t="s">
        <v>667</v>
      </c>
      <c r="H31" s="1142">
        <v>46058</v>
      </c>
      <c r="I31" s="1144" t="s">
        <v>693</v>
      </c>
      <c r="J31" s="1141">
        <v>32</v>
      </c>
    </row>
    <row r="32" spans="1:10" s="284" customFormat="1" ht="13.2" customHeight="1" x14ac:dyDescent="0.3">
      <c r="A32" s="1132">
        <f t="shared" si="0"/>
        <v>30</v>
      </c>
      <c r="B32" s="1146" t="s">
        <v>400</v>
      </c>
      <c r="C32" s="1132" t="s">
        <v>91</v>
      </c>
      <c r="D32" s="1146" t="s">
        <v>541</v>
      </c>
      <c r="E32" s="1126">
        <v>46052</v>
      </c>
      <c r="F32" s="1143">
        <v>36.771000000000001</v>
      </c>
      <c r="G32" s="1125" t="s">
        <v>667</v>
      </c>
      <c r="H32" s="1142">
        <v>46058</v>
      </c>
      <c r="I32" s="1137" t="s">
        <v>692</v>
      </c>
      <c r="J32" s="1141">
        <v>45</v>
      </c>
    </row>
    <row r="33" spans="1:10" s="284" customFormat="1" ht="13.5" customHeight="1" x14ac:dyDescent="0.3">
      <c r="A33" s="1132">
        <f t="shared" si="0"/>
        <v>31</v>
      </c>
      <c r="B33" s="1147" t="s">
        <v>260</v>
      </c>
      <c r="C33" s="1132" t="s">
        <v>87</v>
      </c>
      <c r="D33" s="1146" t="s">
        <v>88</v>
      </c>
      <c r="E33" s="1126">
        <v>46059</v>
      </c>
      <c r="F33" s="1136">
        <v>35.088999999999999</v>
      </c>
      <c r="G33" s="1125" t="s">
        <v>667</v>
      </c>
      <c r="H33" s="1142">
        <v>46062</v>
      </c>
      <c r="I33" s="1144" t="s">
        <v>690</v>
      </c>
      <c r="J33" s="1141">
        <v>35</v>
      </c>
    </row>
    <row r="34" spans="1:10" s="284" customFormat="1" ht="13.2" customHeight="1" x14ac:dyDescent="0.3">
      <c r="A34" s="1132">
        <f t="shared" si="0"/>
        <v>32</v>
      </c>
      <c r="B34" s="1141" t="s">
        <v>393</v>
      </c>
      <c r="C34" s="1141" t="s">
        <v>87</v>
      </c>
      <c r="D34" s="1141" t="s">
        <v>92</v>
      </c>
      <c r="E34" s="1126">
        <v>46361</v>
      </c>
      <c r="F34" s="1136">
        <v>35.088999999999999</v>
      </c>
      <c r="G34" s="1125" t="s">
        <v>667</v>
      </c>
      <c r="H34" s="1142">
        <v>46062</v>
      </c>
      <c r="I34" s="1137" t="s">
        <v>691</v>
      </c>
      <c r="J34" s="1134">
        <v>49</v>
      </c>
    </row>
    <row r="35" spans="1:10" s="284" customFormat="1" ht="13.5" customHeight="1" x14ac:dyDescent="0.3">
      <c r="A35" s="1132">
        <f t="shared" si="0"/>
        <v>33</v>
      </c>
      <c r="B35" s="1141" t="s">
        <v>464</v>
      </c>
      <c r="C35" s="1141" t="s">
        <v>558</v>
      </c>
      <c r="D35" s="1146" t="s">
        <v>92</v>
      </c>
      <c r="E35" s="1126">
        <v>46058</v>
      </c>
      <c r="F35" s="1136">
        <v>54.72</v>
      </c>
      <c r="G35" s="1125" t="s">
        <v>667</v>
      </c>
      <c r="H35" s="1142">
        <v>46063</v>
      </c>
      <c r="I35" s="1144" t="s">
        <v>693</v>
      </c>
      <c r="J35" s="1141">
        <v>32</v>
      </c>
    </row>
    <row r="36" spans="1:10" s="284" customFormat="1" ht="13.5" customHeight="1" x14ac:dyDescent="0.3">
      <c r="A36" s="1132">
        <f t="shared" si="0"/>
        <v>34</v>
      </c>
      <c r="B36" s="1141" t="s">
        <v>258</v>
      </c>
      <c r="C36" s="1134" t="s">
        <v>87</v>
      </c>
      <c r="D36" s="1148" t="s">
        <v>542</v>
      </c>
      <c r="E36" s="1126">
        <v>46056</v>
      </c>
      <c r="F36" s="1136">
        <v>35.088999999999999</v>
      </c>
      <c r="G36" s="1125" t="s">
        <v>667</v>
      </c>
      <c r="H36" s="1142">
        <v>46064</v>
      </c>
      <c r="I36" s="1137" t="s">
        <v>666</v>
      </c>
      <c r="J36" s="1134">
        <v>35</v>
      </c>
    </row>
    <row r="37" spans="1:10" s="284" customFormat="1" ht="13.5" customHeight="1" x14ac:dyDescent="0.3">
      <c r="A37" s="1132">
        <f t="shared" si="0"/>
        <v>35</v>
      </c>
      <c r="B37" s="1147" t="s">
        <v>409</v>
      </c>
      <c r="C37" s="1132" t="s">
        <v>87</v>
      </c>
      <c r="D37" s="1146" t="s">
        <v>92</v>
      </c>
      <c r="E37" s="1126">
        <v>46058</v>
      </c>
      <c r="F37" s="1136">
        <v>35.088999999999999</v>
      </c>
      <c r="G37" s="1125" t="s">
        <v>667</v>
      </c>
      <c r="H37" s="1142">
        <v>46065</v>
      </c>
      <c r="I37" s="1137" t="s">
        <v>692</v>
      </c>
      <c r="J37" s="1141">
        <v>45</v>
      </c>
    </row>
    <row r="38" spans="1:10" s="284" customFormat="1" ht="13.5" customHeight="1" x14ac:dyDescent="0.3">
      <c r="A38" s="1132">
        <f t="shared" si="0"/>
        <v>36</v>
      </c>
      <c r="B38" s="1141" t="s">
        <v>261</v>
      </c>
      <c r="C38" s="1141" t="s">
        <v>95</v>
      </c>
      <c r="D38" s="1141" t="s">
        <v>542</v>
      </c>
      <c r="E38" s="1126">
        <v>46063</v>
      </c>
      <c r="F38" s="1143">
        <v>41.88</v>
      </c>
      <c r="G38" s="1125" t="s">
        <v>667</v>
      </c>
      <c r="H38" s="1142">
        <v>46066</v>
      </c>
      <c r="I38" s="1144" t="s">
        <v>690</v>
      </c>
      <c r="J38" s="1141">
        <v>31</v>
      </c>
    </row>
    <row r="39" spans="1:10" s="284" customFormat="1" ht="13.5" customHeight="1" x14ac:dyDescent="0.3">
      <c r="A39" s="1132">
        <f t="shared" si="0"/>
        <v>37</v>
      </c>
      <c r="B39" s="1141" t="s">
        <v>93</v>
      </c>
      <c r="C39" s="1132" t="s">
        <v>87</v>
      </c>
      <c r="D39" s="1146" t="s">
        <v>92</v>
      </c>
      <c r="E39" s="1126">
        <v>46063</v>
      </c>
      <c r="F39" s="1136">
        <v>35.088999999999999</v>
      </c>
      <c r="G39" s="1125" t="s">
        <v>667</v>
      </c>
      <c r="H39" s="1142">
        <v>46066</v>
      </c>
      <c r="I39" s="1144" t="s">
        <v>693</v>
      </c>
      <c r="J39" s="1141">
        <v>32</v>
      </c>
    </row>
    <row r="40" spans="1:10" s="284" customFormat="1" ht="13.5" customHeight="1" x14ac:dyDescent="0.3">
      <c r="A40" s="1132">
        <f t="shared" si="0"/>
        <v>38</v>
      </c>
      <c r="B40" s="1146" t="s">
        <v>396</v>
      </c>
      <c r="C40" s="1132" t="s">
        <v>87</v>
      </c>
      <c r="D40" s="1146" t="s">
        <v>542</v>
      </c>
      <c r="E40" s="1126">
        <v>46053</v>
      </c>
      <c r="F40" s="1136">
        <v>35.088999999999999</v>
      </c>
      <c r="G40" s="1125" t="s">
        <v>667</v>
      </c>
      <c r="H40" s="1142">
        <v>46069</v>
      </c>
      <c r="I40" s="1137" t="s">
        <v>691</v>
      </c>
      <c r="J40" s="1141">
        <v>49</v>
      </c>
    </row>
    <row r="41" spans="1:10" s="284" customFormat="1" ht="13.5" customHeight="1" x14ac:dyDescent="0.3">
      <c r="A41" s="1132">
        <f t="shared" si="0"/>
        <v>39</v>
      </c>
      <c r="B41" s="1141" t="s">
        <v>614</v>
      </c>
      <c r="C41" s="1132" t="s">
        <v>87</v>
      </c>
      <c r="D41" s="1146" t="s">
        <v>542</v>
      </c>
      <c r="E41" s="1126">
        <v>46065</v>
      </c>
      <c r="F41" s="1136">
        <v>35.088999999999999</v>
      </c>
      <c r="G41" s="1125" t="s">
        <v>667</v>
      </c>
      <c r="H41" s="1142">
        <v>46069</v>
      </c>
      <c r="I41" s="1137" t="s">
        <v>692</v>
      </c>
      <c r="J41" s="1141">
        <v>45</v>
      </c>
    </row>
    <row r="42" spans="1:10" s="284" customFormat="1" ht="13.5" customHeight="1" x14ac:dyDescent="0.3">
      <c r="A42" s="1132">
        <f t="shared" si="0"/>
        <v>40</v>
      </c>
      <c r="B42" s="1132" t="s">
        <v>625</v>
      </c>
      <c r="C42" s="1132" t="s">
        <v>87</v>
      </c>
      <c r="D42" s="1132" t="s">
        <v>92</v>
      </c>
      <c r="E42" s="1138">
        <v>46067</v>
      </c>
      <c r="F42" s="1136">
        <v>35.088999999999999</v>
      </c>
      <c r="G42" s="1125" t="s">
        <v>667</v>
      </c>
      <c r="H42" s="1142">
        <v>46070</v>
      </c>
      <c r="I42" s="1137" t="s">
        <v>693</v>
      </c>
      <c r="J42" s="1141">
        <v>32</v>
      </c>
    </row>
    <row r="43" spans="1:10" s="284" customFormat="1" ht="13.5" customHeight="1" x14ac:dyDescent="0.3">
      <c r="A43" s="1132">
        <f t="shared" si="0"/>
        <v>41</v>
      </c>
      <c r="B43" s="1141" t="s">
        <v>250</v>
      </c>
      <c r="C43" s="1132" t="s">
        <v>87</v>
      </c>
      <c r="D43" s="1146" t="s">
        <v>542</v>
      </c>
      <c r="E43" s="1126">
        <v>46067</v>
      </c>
      <c r="F43" s="1136">
        <v>35.088999999999999</v>
      </c>
      <c r="G43" s="1125" t="s">
        <v>667</v>
      </c>
      <c r="H43" s="1142">
        <v>46070</v>
      </c>
      <c r="I43" s="1137" t="s">
        <v>690</v>
      </c>
      <c r="J43" s="1141">
        <v>35</v>
      </c>
    </row>
    <row r="44" spans="1:10" s="284" customFormat="1" ht="13.5" customHeight="1" x14ac:dyDescent="0.3">
      <c r="A44" s="1132">
        <f t="shared" si="0"/>
        <v>42</v>
      </c>
      <c r="B44" s="1141" t="s">
        <v>626</v>
      </c>
      <c r="C44" s="1132" t="s">
        <v>87</v>
      </c>
      <c r="D44" s="1146" t="s">
        <v>541</v>
      </c>
      <c r="E44" s="1126">
        <v>46068</v>
      </c>
      <c r="F44" s="1136">
        <v>35.088999999999999</v>
      </c>
      <c r="G44" s="1125" t="s">
        <v>667</v>
      </c>
      <c r="H44" s="1142">
        <v>46072</v>
      </c>
      <c r="I44" s="1137" t="s">
        <v>693</v>
      </c>
      <c r="J44" s="1141">
        <v>32</v>
      </c>
    </row>
    <row r="45" spans="1:10" s="284" customFormat="1" ht="13.5" customHeight="1" x14ac:dyDescent="0.3">
      <c r="A45" s="1132">
        <f t="shared" si="0"/>
        <v>43</v>
      </c>
      <c r="B45" s="1141" t="s">
        <v>259</v>
      </c>
      <c r="C45" s="1132" t="s">
        <v>558</v>
      </c>
      <c r="D45" s="1146" t="s">
        <v>542</v>
      </c>
      <c r="E45" s="1126">
        <v>46065</v>
      </c>
      <c r="F45" s="1136">
        <v>54.72</v>
      </c>
      <c r="G45" s="1125" t="s">
        <v>667</v>
      </c>
      <c r="H45" s="1142">
        <v>46073</v>
      </c>
      <c r="I45" s="1137" t="s">
        <v>666</v>
      </c>
      <c r="J45" s="1141">
        <v>35</v>
      </c>
    </row>
    <row r="46" spans="1:10" s="284" customFormat="1" ht="13.5" customHeight="1" x14ac:dyDescent="0.3">
      <c r="A46" s="1132">
        <f t="shared" si="0"/>
        <v>44</v>
      </c>
      <c r="B46" s="1132" t="s">
        <v>408</v>
      </c>
      <c r="C46" s="1132" t="s">
        <v>87</v>
      </c>
      <c r="D46" s="1132" t="s">
        <v>542</v>
      </c>
      <c r="E46" s="1138">
        <v>46069</v>
      </c>
      <c r="F46" s="1136">
        <v>35.088999999999999</v>
      </c>
      <c r="G46" s="1125" t="s">
        <v>667</v>
      </c>
      <c r="H46" s="1142">
        <v>46073</v>
      </c>
      <c r="I46" s="1137" t="s">
        <v>692</v>
      </c>
      <c r="J46" s="1141">
        <v>45</v>
      </c>
    </row>
    <row r="47" spans="1:10" s="284" customFormat="1" ht="13.5" customHeight="1" x14ac:dyDescent="0.3">
      <c r="A47" s="1132">
        <f t="shared" si="0"/>
        <v>45</v>
      </c>
      <c r="B47" s="1141" t="s">
        <v>418</v>
      </c>
      <c r="C47" s="1132" t="s">
        <v>685</v>
      </c>
      <c r="D47" s="1146" t="s">
        <v>92</v>
      </c>
      <c r="E47" s="1126">
        <v>46070</v>
      </c>
      <c r="F47" s="1136">
        <v>54.72</v>
      </c>
      <c r="G47" s="1125" t="s">
        <v>667</v>
      </c>
      <c r="H47" s="1142">
        <v>46074</v>
      </c>
      <c r="I47" s="1137" t="s">
        <v>690</v>
      </c>
      <c r="J47" s="1141">
        <v>35</v>
      </c>
    </row>
    <row r="48" spans="1:10" s="284" customFormat="1" ht="13.5" customHeight="1" x14ac:dyDescent="0.3">
      <c r="A48" s="1132">
        <f t="shared" si="0"/>
        <v>46</v>
      </c>
      <c r="B48" s="1141" t="s">
        <v>623</v>
      </c>
      <c r="C48" s="1132" t="s">
        <v>87</v>
      </c>
      <c r="D48" s="1146" t="s">
        <v>92</v>
      </c>
      <c r="E48" s="1126">
        <v>46073</v>
      </c>
      <c r="F48" s="1136">
        <v>35.088999999999999</v>
      </c>
      <c r="G48" s="1125" t="s">
        <v>667</v>
      </c>
      <c r="H48" s="1142">
        <v>46075</v>
      </c>
      <c r="I48" s="1137" t="s">
        <v>693</v>
      </c>
      <c r="J48" s="1141">
        <v>32</v>
      </c>
    </row>
    <row r="49" spans="1:10" s="284" customFormat="1" ht="13.5" customHeight="1" x14ac:dyDescent="0.3">
      <c r="A49" s="1132">
        <f t="shared" si="0"/>
        <v>47</v>
      </c>
      <c r="B49" s="1141" t="s">
        <v>404</v>
      </c>
      <c r="C49" s="1132" t="s">
        <v>87</v>
      </c>
      <c r="D49" s="1146" t="s">
        <v>92</v>
      </c>
      <c r="E49" s="1126">
        <v>46061</v>
      </c>
      <c r="F49" s="1136">
        <v>35.088999999999999</v>
      </c>
      <c r="G49" s="1125" t="s">
        <v>667</v>
      </c>
      <c r="H49" s="1142">
        <v>46077</v>
      </c>
      <c r="I49" s="1137" t="s">
        <v>692</v>
      </c>
      <c r="J49" s="1141">
        <v>45</v>
      </c>
    </row>
    <row r="50" spans="1:10" s="284" customFormat="1" ht="13.5" customHeight="1" x14ac:dyDescent="0.3">
      <c r="A50" s="1132">
        <f t="shared" si="0"/>
        <v>48</v>
      </c>
      <c r="B50" s="1149" t="s">
        <v>624</v>
      </c>
      <c r="C50" s="1132" t="s">
        <v>87</v>
      </c>
      <c r="D50" s="1146" t="s">
        <v>92</v>
      </c>
      <c r="E50" s="1126">
        <v>46075</v>
      </c>
      <c r="F50" s="1136">
        <v>35.088999999999999</v>
      </c>
      <c r="G50" s="1125" t="s">
        <v>667</v>
      </c>
      <c r="H50" s="1142">
        <v>46077</v>
      </c>
      <c r="I50" s="1137" t="s">
        <v>693</v>
      </c>
      <c r="J50" s="1141">
        <v>32</v>
      </c>
    </row>
    <row r="51" spans="1:10" s="284" customFormat="1" ht="13.5" customHeight="1" x14ac:dyDescent="0.3">
      <c r="A51" s="1132">
        <f t="shared" si="0"/>
        <v>49</v>
      </c>
      <c r="B51" s="1149" t="s">
        <v>242</v>
      </c>
      <c r="C51" s="1132" t="s">
        <v>213</v>
      </c>
      <c r="D51" s="1146" t="s">
        <v>92</v>
      </c>
      <c r="E51" s="1126">
        <v>46075</v>
      </c>
      <c r="F51" s="1143">
        <v>36.771000000000001</v>
      </c>
      <c r="G51" s="1125" t="s">
        <v>667</v>
      </c>
      <c r="H51" s="1142">
        <v>46078</v>
      </c>
      <c r="I51" s="1137" t="s">
        <v>690</v>
      </c>
      <c r="J51" s="1141">
        <v>40</v>
      </c>
    </row>
    <row r="52" spans="1:10" s="284" customFormat="1" ht="13.5" customHeight="1" x14ac:dyDescent="0.3">
      <c r="A52" s="1132">
        <f t="shared" si="0"/>
        <v>50</v>
      </c>
      <c r="B52" s="1149" t="s">
        <v>254</v>
      </c>
      <c r="C52" s="1132" t="s">
        <v>91</v>
      </c>
      <c r="D52" s="1146" t="s">
        <v>542</v>
      </c>
      <c r="E52" s="1126">
        <v>46073</v>
      </c>
      <c r="F52" s="1143">
        <v>36.771000000000001</v>
      </c>
      <c r="G52" s="1125" t="s">
        <v>667</v>
      </c>
      <c r="H52" s="1150">
        <v>46079</v>
      </c>
      <c r="I52" s="1151" t="s">
        <v>666</v>
      </c>
      <c r="J52" s="1152">
        <v>30</v>
      </c>
    </row>
    <row r="53" spans="1:10" s="284" customFormat="1" ht="13.5" customHeight="1" x14ac:dyDescent="0.3">
      <c r="A53" s="1132">
        <f t="shared" si="0"/>
        <v>51</v>
      </c>
      <c r="B53" s="1141" t="s">
        <v>622</v>
      </c>
      <c r="C53" s="1153" t="s">
        <v>87</v>
      </c>
      <c r="D53" s="1146" t="s">
        <v>92</v>
      </c>
      <c r="E53" s="1126">
        <v>46077</v>
      </c>
      <c r="F53" s="1136">
        <v>35.088999999999999</v>
      </c>
      <c r="G53" s="1127" t="s">
        <v>667</v>
      </c>
      <c r="H53" s="1142">
        <v>46080</v>
      </c>
      <c r="I53" s="1137" t="s">
        <v>693</v>
      </c>
      <c r="J53" s="1141">
        <v>32</v>
      </c>
    </row>
    <row r="54" spans="1:10" ht="14.4" x14ac:dyDescent="0.3">
      <c r="A54" s="1132">
        <f t="shared" si="0"/>
        <v>52</v>
      </c>
      <c r="B54" s="1141" t="s">
        <v>327</v>
      </c>
      <c r="C54" s="1153" t="s">
        <v>87</v>
      </c>
      <c r="D54" s="1146" t="s">
        <v>92</v>
      </c>
      <c r="E54" s="1126">
        <v>46077</v>
      </c>
      <c r="F54" s="1136">
        <v>35.088999999999999</v>
      </c>
      <c r="G54" s="1127" t="s">
        <v>667</v>
      </c>
      <c r="H54" s="1142">
        <v>46081</v>
      </c>
      <c r="I54" s="1144" t="s">
        <v>732</v>
      </c>
      <c r="J54" s="1141">
        <v>24</v>
      </c>
    </row>
    <row r="55" spans="1:10" ht="14.4" x14ac:dyDescent="0.3">
      <c r="A55" s="1132">
        <f t="shared" si="0"/>
        <v>53</v>
      </c>
      <c r="B55" s="1154" t="s">
        <v>243</v>
      </c>
      <c r="C55" s="1132" t="s">
        <v>87</v>
      </c>
      <c r="D55" s="1146" t="s">
        <v>542</v>
      </c>
      <c r="E55" s="1126">
        <v>46078</v>
      </c>
      <c r="F55" s="1136">
        <v>35.088999999999999</v>
      </c>
      <c r="G55" s="1127" t="s">
        <v>667</v>
      </c>
      <c r="H55" s="1142">
        <v>46081</v>
      </c>
      <c r="I55" s="1144" t="s">
        <v>690</v>
      </c>
      <c r="J55" s="1141">
        <v>40</v>
      </c>
    </row>
    <row r="56" spans="1:10" ht="13.8" customHeight="1" x14ac:dyDescent="0.3">
      <c r="A56" s="1132">
        <f t="shared" si="0"/>
        <v>54</v>
      </c>
      <c r="B56" s="1132" t="s">
        <v>616</v>
      </c>
      <c r="C56" s="1132" t="s">
        <v>87</v>
      </c>
      <c r="D56" s="1132" t="s">
        <v>542</v>
      </c>
      <c r="E56" s="1155">
        <v>46080</v>
      </c>
      <c r="F56" s="1136">
        <v>35.088999999999999</v>
      </c>
      <c r="G56" s="1127" t="s">
        <v>667</v>
      </c>
      <c r="H56" s="1155">
        <v>46083</v>
      </c>
      <c r="I56" s="1137" t="s">
        <v>693</v>
      </c>
      <c r="J56" s="1141">
        <v>32</v>
      </c>
    </row>
    <row r="57" spans="1:10" ht="13.8" customHeight="1" x14ac:dyDescent="0.3">
      <c r="A57" s="1132">
        <f t="shared" si="0"/>
        <v>55</v>
      </c>
      <c r="B57" s="1154" t="s">
        <v>482</v>
      </c>
      <c r="C57" s="1132" t="s">
        <v>558</v>
      </c>
      <c r="D57" s="1146" t="s">
        <v>542</v>
      </c>
      <c r="E57" s="1142">
        <v>46073</v>
      </c>
      <c r="F57" s="1136">
        <v>54.72</v>
      </c>
      <c r="G57" s="1127" t="s">
        <v>667</v>
      </c>
      <c r="H57" s="1142">
        <v>46084</v>
      </c>
      <c r="I57" s="1137" t="s">
        <v>692</v>
      </c>
      <c r="J57" s="1141">
        <v>45</v>
      </c>
    </row>
    <row r="58" spans="1:10" ht="13.8" customHeight="1" x14ac:dyDescent="0.3">
      <c r="A58" s="1156">
        <f t="shared" si="0"/>
        <v>56</v>
      </c>
      <c r="B58" s="1152" t="s">
        <v>235</v>
      </c>
      <c r="C58" s="1152" t="s">
        <v>91</v>
      </c>
      <c r="D58" s="1157" t="s">
        <v>92</v>
      </c>
      <c r="E58" s="1158">
        <v>46081</v>
      </c>
      <c r="F58" s="1159">
        <v>36.771000000000001</v>
      </c>
      <c r="G58" s="1128" t="s">
        <v>667</v>
      </c>
      <c r="H58" s="1150">
        <v>46086</v>
      </c>
      <c r="I58" s="1160" t="s">
        <v>690</v>
      </c>
      <c r="J58" s="1152">
        <v>40</v>
      </c>
    </row>
    <row r="59" spans="1:10" ht="14.4" x14ac:dyDescent="0.3">
      <c r="A59" s="1132">
        <f t="shared" si="0"/>
        <v>57</v>
      </c>
      <c r="B59" s="1146" t="s">
        <v>255</v>
      </c>
      <c r="C59" s="1132" t="s">
        <v>87</v>
      </c>
      <c r="D59" s="1146" t="s">
        <v>92</v>
      </c>
      <c r="E59" s="1142">
        <v>46078</v>
      </c>
      <c r="F59" s="1136">
        <v>35.088999999999999</v>
      </c>
      <c r="G59" s="1128" t="s">
        <v>667</v>
      </c>
      <c r="H59" s="1142">
        <v>46089</v>
      </c>
      <c r="I59" s="1137" t="s">
        <v>666</v>
      </c>
      <c r="J59" s="1141">
        <v>30</v>
      </c>
    </row>
    <row r="60" spans="1:10" ht="13.8" customHeight="1" x14ac:dyDescent="0.3">
      <c r="A60" s="1132">
        <f t="shared" si="0"/>
        <v>58</v>
      </c>
      <c r="B60" s="1141" t="s">
        <v>340</v>
      </c>
      <c r="C60" s="1153" t="s">
        <v>87</v>
      </c>
      <c r="D60" s="1146" t="s">
        <v>92</v>
      </c>
      <c r="E60" s="1142">
        <v>46077</v>
      </c>
      <c r="F60" s="1136">
        <v>35.088999999999999</v>
      </c>
      <c r="G60" s="1125" t="s">
        <v>667</v>
      </c>
      <c r="H60" s="1142">
        <v>46090</v>
      </c>
      <c r="I60" s="1144" t="s">
        <v>732</v>
      </c>
      <c r="J60" s="1141">
        <v>24</v>
      </c>
    </row>
    <row r="61" spans="1:10" ht="13.8" customHeight="1" x14ac:dyDescent="0.3">
      <c r="A61" s="1132">
        <f t="shared" si="0"/>
        <v>59</v>
      </c>
      <c r="B61" s="1141" t="s">
        <v>346</v>
      </c>
      <c r="C61" s="1132" t="s">
        <v>109</v>
      </c>
      <c r="D61" s="1146" t="s">
        <v>664</v>
      </c>
      <c r="E61" s="1142">
        <v>46089</v>
      </c>
      <c r="F61" s="1136">
        <v>43.575000000000003</v>
      </c>
      <c r="G61" s="1125" t="s">
        <v>667</v>
      </c>
      <c r="H61" s="1142">
        <v>46092</v>
      </c>
      <c r="I61" s="1144" t="s">
        <v>690</v>
      </c>
      <c r="J61" s="1141">
        <v>40</v>
      </c>
    </row>
    <row r="62" spans="1:10" ht="13.8" customHeight="1" x14ac:dyDescent="0.3">
      <c r="A62" s="1132">
        <f t="shared" si="0"/>
        <v>60</v>
      </c>
      <c r="B62" s="1141" t="s">
        <v>405</v>
      </c>
      <c r="C62" s="1132" t="s">
        <v>87</v>
      </c>
      <c r="D62" s="1146" t="s">
        <v>92</v>
      </c>
      <c r="E62" s="1142">
        <v>46091</v>
      </c>
      <c r="F62" s="1136">
        <v>35.088999999999999</v>
      </c>
      <c r="G62" s="1125" t="s">
        <v>667</v>
      </c>
      <c r="H62" s="1142">
        <v>46097</v>
      </c>
      <c r="I62" s="1144" t="s">
        <v>732</v>
      </c>
      <c r="J62" s="1141">
        <v>24</v>
      </c>
    </row>
    <row r="63" spans="1:10" ht="13.8" customHeight="1" x14ac:dyDescent="0.3">
      <c r="A63" s="1132">
        <f t="shared" si="0"/>
        <v>61</v>
      </c>
      <c r="B63" s="1141" t="s">
        <v>617</v>
      </c>
      <c r="C63" s="1132" t="s">
        <v>87</v>
      </c>
      <c r="D63" s="1146" t="s">
        <v>92</v>
      </c>
      <c r="E63" s="1142">
        <v>46094</v>
      </c>
      <c r="F63" s="1136">
        <v>35.088999999999999</v>
      </c>
      <c r="G63" s="1125" t="s">
        <v>667</v>
      </c>
      <c r="H63" s="1142">
        <v>46097</v>
      </c>
      <c r="I63" s="1144" t="s">
        <v>690</v>
      </c>
      <c r="J63" s="1141">
        <v>40</v>
      </c>
    </row>
    <row r="64" spans="1:10" ht="13.8" customHeight="1" x14ac:dyDescent="0.3">
      <c r="A64" s="1132">
        <f t="shared" si="0"/>
        <v>62</v>
      </c>
      <c r="B64" s="1146" t="s">
        <v>252</v>
      </c>
      <c r="C64" s="1132" t="s">
        <v>87</v>
      </c>
      <c r="D64" s="1146" t="s">
        <v>542</v>
      </c>
      <c r="E64" s="1142">
        <v>46092</v>
      </c>
      <c r="F64" s="1136">
        <v>35.088999999999999</v>
      </c>
      <c r="G64" s="1125" t="s">
        <v>667</v>
      </c>
      <c r="H64" s="1142">
        <v>46099</v>
      </c>
      <c r="I64" s="1137" t="s">
        <v>666</v>
      </c>
      <c r="J64" s="1141">
        <v>30</v>
      </c>
    </row>
    <row r="65" spans="1:10" ht="14.4" x14ac:dyDescent="0.3">
      <c r="A65" s="1132">
        <f t="shared" si="0"/>
        <v>63</v>
      </c>
      <c r="B65" s="1161" t="s">
        <v>618</v>
      </c>
      <c r="C65" s="1162" t="s">
        <v>87</v>
      </c>
      <c r="D65" s="1146" t="s">
        <v>92</v>
      </c>
      <c r="E65" s="1142">
        <v>46097</v>
      </c>
      <c r="F65" s="1136">
        <v>35.088999999999999</v>
      </c>
      <c r="G65" s="1125" t="s">
        <v>667</v>
      </c>
      <c r="H65" s="1142">
        <v>46101</v>
      </c>
      <c r="I65" s="1144" t="s">
        <v>690</v>
      </c>
      <c r="J65" s="1141">
        <v>40</v>
      </c>
    </row>
    <row r="66" spans="1:10" ht="13.8" customHeight="1" x14ac:dyDescent="0.3">
      <c r="A66" s="1132">
        <f t="shared" si="0"/>
        <v>64</v>
      </c>
      <c r="B66" s="1161" t="s">
        <v>406</v>
      </c>
      <c r="C66" s="1132" t="s">
        <v>91</v>
      </c>
      <c r="D66" s="1146" t="s">
        <v>92</v>
      </c>
      <c r="E66" s="1142">
        <v>46097</v>
      </c>
      <c r="F66" s="1143">
        <v>36.771000000000001</v>
      </c>
      <c r="G66" s="1125" t="s">
        <v>667</v>
      </c>
      <c r="H66" s="1142">
        <v>45739</v>
      </c>
      <c r="I66" s="1144" t="s">
        <v>732</v>
      </c>
      <c r="J66" s="1152">
        <v>24</v>
      </c>
    </row>
    <row r="67" spans="1:10" ht="14.4" x14ac:dyDescent="0.3">
      <c r="A67" s="1132">
        <f t="shared" si="0"/>
        <v>65</v>
      </c>
      <c r="B67" s="1163" t="s">
        <v>256</v>
      </c>
      <c r="C67" s="1132" t="s">
        <v>91</v>
      </c>
      <c r="D67" s="1141" t="s">
        <v>664</v>
      </c>
      <c r="E67" s="1142">
        <v>46099</v>
      </c>
      <c r="F67" s="1143">
        <v>36.771000000000001</v>
      </c>
      <c r="G67" s="1125" t="s">
        <v>667</v>
      </c>
      <c r="H67" s="1142">
        <v>46106</v>
      </c>
      <c r="I67" s="1137" t="s">
        <v>666</v>
      </c>
      <c r="J67" s="1152">
        <v>24</v>
      </c>
    </row>
    <row r="68" spans="1:10" ht="13.8" customHeight="1" x14ac:dyDescent="0.3">
      <c r="A68" s="1132">
        <f t="shared" si="0"/>
        <v>66</v>
      </c>
      <c r="B68" s="1147" t="s">
        <v>403</v>
      </c>
      <c r="C68" s="1132" t="s">
        <v>87</v>
      </c>
      <c r="D68" s="1146" t="s">
        <v>92</v>
      </c>
      <c r="E68" s="1142">
        <v>46101</v>
      </c>
      <c r="F68" s="1136">
        <v>35.088999999999999</v>
      </c>
      <c r="G68" s="1125" t="s">
        <v>667</v>
      </c>
      <c r="H68" s="1142">
        <v>46110</v>
      </c>
      <c r="I68" s="1144" t="s">
        <v>732</v>
      </c>
      <c r="J68" s="1141">
        <v>24</v>
      </c>
    </row>
    <row r="69" spans="1:10" ht="13.8" customHeight="1" x14ac:dyDescent="0.3">
      <c r="A69" s="1132">
        <f t="shared" ref="A69:A127" si="1">A68+1</f>
        <v>67</v>
      </c>
      <c r="B69" s="1141" t="s">
        <v>245</v>
      </c>
      <c r="C69" s="1132" t="s">
        <v>87</v>
      </c>
      <c r="D69" s="1141" t="s">
        <v>664</v>
      </c>
      <c r="E69" s="1142">
        <v>46107</v>
      </c>
      <c r="F69" s="1136">
        <v>35.088999999999999</v>
      </c>
      <c r="G69" s="1125" t="s">
        <v>667</v>
      </c>
      <c r="H69" s="1142">
        <v>46113</v>
      </c>
      <c r="I69" s="1137" t="s">
        <v>666</v>
      </c>
      <c r="J69" s="1152">
        <v>30</v>
      </c>
    </row>
    <row r="70" spans="1:10" ht="13.8" customHeight="1" x14ac:dyDescent="0.3">
      <c r="A70" s="1132">
        <f t="shared" si="1"/>
        <v>68</v>
      </c>
      <c r="B70" s="1146" t="s">
        <v>407</v>
      </c>
      <c r="C70" s="1132" t="s">
        <v>87</v>
      </c>
      <c r="D70" s="1146" t="s">
        <v>92</v>
      </c>
      <c r="E70" s="1142">
        <v>46111</v>
      </c>
      <c r="F70" s="1136">
        <v>35.088999999999999</v>
      </c>
      <c r="G70" s="1125" t="s">
        <v>667</v>
      </c>
      <c r="H70" s="1142">
        <v>46085</v>
      </c>
      <c r="I70" s="1164" t="s">
        <v>732</v>
      </c>
      <c r="J70" s="1141">
        <v>24</v>
      </c>
    </row>
    <row r="71" spans="1:10" ht="13.8" customHeight="1" x14ac:dyDescent="0.3">
      <c r="A71" s="1132">
        <f t="shared" si="1"/>
        <v>69</v>
      </c>
      <c r="B71" s="1141" t="s">
        <v>246</v>
      </c>
      <c r="C71" s="1132" t="s">
        <v>87</v>
      </c>
      <c r="D71" s="1146" t="s">
        <v>542</v>
      </c>
      <c r="E71" s="1142" t="s">
        <v>761</v>
      </c>
      <c r="F71" s="1136">
        <v>35.088999999999999</v>
      </c>
      <c r="G71" s="1125" t="s">
        <v>667</v>
      </c>
      <c r="H71" s="1142">
        <v>46119</v>
      </c>
      <c r="I71" s="1165" t="s">
        <v>666</v>
      </c>
      <c r="J71" s="1141">
        <v>30</v>
      </c>
    </row>
    <row r="72" spans="1:10" ht="13.8" customHeight="1" x14ac:dyDescent="0.3">
      <c r="A72" s="1132">
        <f t="shared" si="1"/>
        <v>70</v>
      </c>
      <c r="B72" s="1166" t="s">
        <v>481</v>
      </c>
      <c r="C72" s="1167" t="s">
        <v>685</v>
      </c>
      <c r="D72" s="1157" t="s">
        <v>92</v>
      </c>
      <c r="E72" s="1150">
        <v>46117</v>
      </c>
      <c r="F72" s="1168">
        <v>54.72</v>
      </c>
      <c r="G72" s="1129" t="s">
        <v>667</v>
      </c>
      <c r="H72" s="1150">
        <v>46124</v>
      </c>
      <c r="I72" s="1169" t="s">
        <v>732</v>
      </c>
      <c r="J72" s="1152">
        <v>24</v>
      </c>
    </row>
    <row r="73" spans="1:10" ht="13.8" customHeight="1" x14ac:dyDescent="0.3">
      <c r="A73" s="1170">
        <f t="shared" si="1"/>
        <v>71</v>
      </c>
      <c r="B73" s="1132" t="s">
        <v>430</v>
      </c>
      <c r="C73" s="1171" t="s">
        <v>685</v>
      </c>
      <c r="D73" s="1172" t="s">
        <v>92</v>
      </c>
      <c r="E73" s="1142">
        <v>46147</v>
      </c>
      <c r="F73" s="1136">
        <v>54.72</v>
      </c>
      <c r="G73" s="1125" t="s">
        <v>667</v>
      </c>
      <c r="H73" s="1142">
        <v>46160</v>
      </c>
      <c r="I73" s="1144" t="s">
        <v>666</v>
      </c>
      <c r="J73" s="1141">
        <v>24</v>
      </c>
    </row>
    <row r="74" spans="1:10" ht="13.8" customHeight="1" x14ac:dyDescent="0.3">
      <c r="A74" s="1170">
        <f t="shared" si="1"/>
        <v>72</v>
      </c>
      <c r="B74" s="1173" t="s">
        <v>429</v>
      </c>
      <c r="C74" s="1173" t="s">
        <v>669</v>
      </c>
      <c r="D74" s="1174" t="s">
        <v>92</v>
      </c>
      <c r="E74" s="1175">
        <v>46161</v>
      </c>
      <c r="F74" s="1173">
        <v>62.500999999999998</v>
      </c>
      <c r="G74" s="1125" t="s">
        <v>667</v>
      </c>
      <c r="H74" s="1142">
        <v>46175</v>
      </c>
      <c r="I74" s="1144" t="s">
        <v>666</v>
      </c>
      <c r="J74" s="1152">
        <v>24</v>
      </c>
    </row>
    <row r="75" spans="1:10" ht="13.8" customHeight="1" x14ac:dyDescent="0.3">
      <c r="A75" s="1170">
        <f t="shared" si="1"/>
        <v>73</v>
      </c>
      <c r="B75" s="1173" t="s">
        <v>219</v>
      </c>
      <c r="C75" s="1173" t="s">
        <v>87</v>
      </c>
      <c r="D75" s="1174" t="s">
        <v>92</v>
      </c>
      <c r="E75" s="1175">
        <v>46179</v>
      </c>
      <c r="F75" s="1173">
        <v>35.088999999999999</v>
      </c>
      <c r="G75" s="1125" t="s">
        <v>667</v>
      </c>
      <c r="H75" s="1142">
        <v>46185</v>
      </c>
      <c r="I75" s="1164" t="s">
        <v>903</v>
      </c>
      <c r="J75" s="1141">
        <v>30</v>
      </c>
    </row>
    <row r="76" spans="1:10" ht="14.4" x14ac:dyDescent="0.3">
      <c r="A76" s="1170">
        <f t="shared" si="1"/>
        <v>74</v>
      </c>
      <c r="B76" s="1146" t="s">
        <v>277</v>
      </c>
      <c r="C76" s="1132" t="s">
        <v>95</v>
      </c>
      <c r="D76" s="1146" t="s">
        <v>542</v>
      </c>
      <c r="E76" s="1142">
        <v>46176</v>
      </c>
      <c r="F76" s="1143">
        <v>41.88</v>
      </c>
      <c r="G76" s="1125" t="s">
        <v>667</v>
      </c>
      <c r="H76" s="1176">
        <v>46186</v>
      </c>
      <c r="I76" s="1144" t="s">
        <v>901</v>
      </c>
      <c r="J76" s="1141">
        <v>31</v>
      </c>
    </row>
    <row r="77" spans="1:10" ht="14.4" x14ac:dyDescent="0.3">
      <c r="A77" s="1170">
        <f t="shared" si="1"/>
        <v>75</v>
      </c>
      <c r="B77" s="1161" t="s">
        <v>236</v>
      </c>
      <c r="C77" s="1177" t="s">
        <v>87</v>
      </c>
      <c r="D77" s="1146" t="s">
        <v>664</v>
      </c>
      <c r="E77" s="1142">
        <v>46182</v>
      </c>
      <c r="F77" s="1136">
        <v>35.088999999999999</v>
      </c>
      <c r="G77" s="1125" t="s">
        <v>667</v>
      </c>
      <c r="H77" s="1178">
        <v>46189</v>
      </c>
      <c r="I77" s="1144" t="s">
        <v>905</v>
      </c>
      <c r="J77" s="1141">
        <v>32</v>
      </c>
    </row>
    <row r="78" spans="1:10" ht="17.399999999999999" customHeight="1" x14ac:dyDescent="0.3">
      <c r="A78" s="1132">
        <f t="shared" si="1"/>
        <v>76</v>
      </c>
      <c r="B78" s="1161" t="s">
        <v>221</v>
      </c>
      <c r="C78" s="1132" t="s">
        <v>87</v>
      </c>
      <c r="D78" s="1146" t="s">
        <v>92</v>
      </c>
      <c r="E78" s="1142">
        <v>46181</v>
      </c>
      <c r="F78" s="1136">
        <v>35.088999999999999</v>
      </c>
      <c r="G78" s="1125" t="s">
        <v>667</v>
      </c>
      <c r="H78" s="1142">
        <v>46181</v>
      </c>
      <c r="I78" s="1144" t="s">
        <v>904</v>
      </c>
      <c r="J78" s="1141">
        <v>30</v>
      </c>
    </row>
    <row r="79" spans="1:10" ht="14.4" x14ac:dyDescent="0.3">
      <c r="A79" s="1132">
        <f t="shared" si="1"/>
        <v>77</v>
      </c>
      <c r="B79" s="1179" t="s">
        <v>297</v>
      </c>
      <c r="C79" s="1177" t="s">
        <v>95</v>
      </c>
      <c r="D79" s="1146" t="s">
        <v>92</v>
      </c>
      <c r="E79" s="1142">
        <v>46183</v>
      </c>
      <c r="F79" s="1136">
        <v>35.088999999999999</v>
      </c>
      <c r="G79" s="1125" t="s">
        <v>667</v>
      </c>
      <c r="H79" s="1142">
        <v>46192</v>
      </c>
      <c r="I79" s="1144" t="s">
        <v>690</v>
      </c>
      <c r="J79" s="1141">
        <v>30</v>
      </c>
    </row>
    <row r="80" spans="1:10" ht="14.4" x14ac:dyDescent="0.3">
      <c r="A80" s="1132">
        <f t="shared" si="1"/>
        <v>78</v>
      </c>
      <c r="B80" s="1161" t="s">
        <v>222</v>
      </c>
      <c r="C80" s="1162" t="s">
        <v>87</v>
      </c>
      <c r="D80" s="1146" t="s">
        <v>541</v>
      </c>
      <c r="E80" s="1142">
        <v>46186</v>
      </c>
      <c r="F80" s="1136">
        <v>35.088999999999999</v>
      </c>
      <c r="G80" s="1125" t="s">
        <v>667</v>
      </c>
      <c r="H80" s="1142">
        <v>46192</v>
      </c>
      <c r="I80" s="1144" t="s">
        <v>903</v>
      </c>
      <c r="J80" s="1141">
        <v>30</v>
      </c>
    </row>
    <row r="81" spans="1:10" ht="14.4" x14ac:dyDescent="0.3">
      <c r="A81" s="1132">
        <f t="shared" si="1"/>
        <v>79</v>
      </c>
      <c r="B81" s="1132" t="s">
        <v>257</v>
      </c>
      <c r="C81" s="1177" t="s">
        <v>91</v>
      </c>
      <c r="D81" s="1146" t="s">
        <v>88</v>
      </c>
      <c r="E81" s="1142">
        <v>46187</v>
      </c>
      <c r="F81" s="1143">
        <v>36.771000000000001</v>
      </c>
      <c r="G81" s="1125" t="s">
        <v>667</v>
      </c>
      <c r="H81" s="1142">
        <v>46193</v>
      </c>
      <c r="I81" s="1144" t="s">
        <v>901</v>
      </c>
      <c r="J81" s="1141">
        <v>30</v>
      </c>
    </row>
    <row r="82" spans="1:10" ht="14.4" x14ac:dyDescent="0.3">
      <c r="A82" s="1132">
        <f t="shared" si="1"/>
        <v>80</v>
      </c>
      <c r="B82" s="1161" t="s">
        <v>234</v>
      </c>
      <c r="C82" s="1177" t="s">
        <v>87</v>
      </c>
      <c r="D82" s="1146" t="s">
        <v>92</v>
      </c>
      <c r="E82" s="1142">
        <v>46189</v>
      </c>
      <c r="F82" s="1136">
        <v>35.088999999999999</v>
      </c>
      <c r="G82" s="1125" t="s">
        <v>667</v>
      </c>
      <c r="H82" s="1178">
        <v>46196</v>
      </c>
      <c r="I82" s="1144" t="s">
        <v>905</v>
      </c>
      <c r="J82" s="1141">
        <v>32</v>
      </c>
    </row>
    <row r="83" spans="1:10" ht="14.4" x14ac:dyDescent="0.3">
      <c r="A83" s="1132">
        <f t="shared" si="1"/>
        <v>81</v>
      </c>
      <c r="B83" s="1179" t="s">
        <v>295</v>
      </c>
      <c r="C83" s="1177" t="s">
        <v>87</v>
      </c>
      <c r="D83" s="1146" t="s">
        <v>92</v>
      </c>
      <c r="E83" s="1142">
        <v>46192</v>
      </c>
      <c r="F83" s="1136">
        <v>35.088999999999999</v>
      </c>
      <c r="G83" s="1125" t="s">
        <v>667</v>
      </c>
      <c r="H83" s="1178">
        <v>46196</v>
      </c>
      <c r="I83" s="1144" t="s">
        <v>690</v>
      </c>
      <c r="J83" s="1141">
        <v>30</v>
      </c>
    </row>
    <row r="84" spans="1:10" ht="14.4" x14ac:dyDescent="0.3">
      <c r="A84" s="1132">
        <f t="shared" si="1"/>
        <v>82</v>
      </c>
      <c r="B84" s="1146" t="s">
        <v>224</v>
      </c>
      <c r="C84" s="1180" t="s">
        <v>87</v>
      </c>
      <c r="D84" s="1181" t="s">
        <v>664</v>
      </c>
      <c r="E84" s="1150">
        <v>46193</v>
      </c>
      <c r="F84" s="1168">
        <v>35.088999999999999</v>
      </c>
      <c r="G84" s="1129" t="s">
        <v>667</v>
      </c>
      <c r="H84" s="1182">
        <v>46198</v>
      </c>
      <c r="I84" s="1160" t="s">
        <v>903</v>
      </c>
      <c r="J84" s="1141">
        <v>30</v>
      </c>
    </row>
    <row r="85" spans="1:10" ht="14.4" x14ac:dyDescent="0.3">
      <c r="A85" s="1132">
        <f t="shared" si="1"/>
        <v>83</v>
      </c>
      <c r="B85" s="1132" t="s">
        <v>225</v>
      </c>
      <c r="C85" s="1177" t="s">
        <v>91</v>
      </c>
      <c r="D85" s="1146" t="s">
        <v>92</v>
      </c>
      <c r="E85" s="1142">
        <v>46192</v>
      </c>
      <c r="F85" s="1143">
        <v>36.771000000000001</v>
      </c>
      <c r="G85" s="1125" t="s">
        <v>667</v>
      </c>
      <c r="H85" s="1176">
        <v>46198</v>
      </c>
      <c r="I85" s="1144" t="s">
        <v>904</v>
      </c>
      <c r="J85" s="1141">
        <v>30</v>
      </c>
    </row>
    <row r="86" spans="1:10" ht="14.4" x14ac:dyDescent="0.3">
      <c r="A86" s="1183">
        <f t="shared" si="1"/>
        <v>84</v>
      </c>
      <c r="B86" s="1184" t="s">
        <v>305</v>
      </c>
      <c r="C86" s="1185" t="s">
        <v>95</v>
      </c>
      <c r="D86" s="1186" t="s">
        <v>92</v>
      </c>
      <c r="E86" s="1187">
        <v>46188</v>
      </c>
      <c r="F86" s="1188">
        <v>41.88</v>
      </c>
      <c r="G86" s="1130" t="s">
        <v>667</v>
      </c>
      <c r="H86" s="1189">
        <v>46199</v>
      </c>
      <c r="I86" s="1190" t="s">
        <v>910</v>
      </c>
      <c r="J86" s="1191">
        <v>30</v>
      </c>
    </row>
    <row r="87" spans="1:10" ht="14.4" x14ac:dyDescent="0.3">
      <c r="A87" s="1183">
        <f t="shared" si="1"/>
        <v>85</v>
      </c>
      <c r="B87" s="1183" t="s">
        <v>306</v>
      </c>
      <c r="C87" s="1192" t="s">
        <v>109</v>
      </c>
      <c r="D87" s="1193" t="s">
        <v>92</v>
      </c>
      <c r="E87" s="1187">
        <v>46188</v>
      </c>
      <c r="F87" s="1188">
        <v>43.575000000000003</v>
      </c>
      <c r="G87" s="1130" t="s">
        <v>667</v>
      </c>
      <c r="H87" s="1187">
        <v>46201</v>
      </c>
      <c r="I87" s="1194" t="s">
        <v>909</v>
      </c>
      <c r="J87" s="1195">
        <v>30</v>
      </c>
    </row>
    <row r="88" spans="1:10" ht="14.4" x14ac:dyDescent="0.3">
      <c r="A88" s="1183">
        <f t="shared" si="1"/>
        <v>86</v>
      </c>
      <c r="B88" s="1183" t="s">
        <v>262</v>
      </c>
      <c r="C88" s="1192" t="s">
        <v>87</v>
      </c>
      <c r="D88" s="1193" t="s">
        <v>92</v>
      </c>
      <c r="E88" s="1187">
        <v>46194</v>
      </c>
      <c r="F88" s="1188">
        <v>35.088999999999999</v>
      </c>
      <c r="G88" s="1130" t="s">
        <v>667</v>
      </c>
      <c r="H88" s="1187">
        <v>46201</v>
      </c>
      <c r="I88" s="1196" t="s">
        <v>901</v>
      </c>
      <c r="J88" s="1195">
        <v>30</v>
      </c>
    </row>
    <row r="89" spans="1:10" ht="14.4" x14ac:dyDescent="0.3">
      <c r="A89" s="1183">
        <f t="shared" si="1"/>
        <v>87</v>
      </c>
      <c r="B89" s="1183" t="s">
        <v>439</v>
      </c>
      <c r="C89" s="1192" t="s">
        <v>237</v>
      </c>
      <c r="D89" s="1193" t="s">
        <v>92</v>
      </c>
      <c r="E89" s="1187">
        <v>46197</v>
      </c>
      <c r="F89" s="1197">
        <v>54.72</v>
      </c>
      <c r="G89" s="1130" t="s">
        <v>667</v>
      </c>
      <c r="H89" s="1187">
        <v>46201</v>
      </c>
      <c r="I89" s="1196" t="s">
        <v>690</v>
      </c>
      <c r="J89" s="1195">
        <v>30</v>
      </c>
    </row>
    <row r="90" spans="1:10" ht="14.4" x14ac:dyDescent="0.3">
      <c r="A90" s="1183">
        <f t="shared" si="1"/>
        <v>88</v>
      </c>
      <c r="B90" s="1179" t="s">
        <v>238</v>
      </c>
      <c r="C90" s="1177" t="s">
        <v>109</v>
      </c>
      <c r="D90" s="1146" t="s">
        <v>92</v>
      </c>
      <c r="E90" s="1142">
        <v>46197</v>
      </c>
      <c r="F90" s="1136">
        <v>43.575000000000003</v>
      </c>
      <c r="G90" s="1130" t="s">
        <v>667</v>
      </c>
      <c r="H90" s="1142">
        <v>46203</v>
      </c>
      <c r="I90" s="1144" t="s">
        <v>905</v>
      </c>
      <c r="J90" s="1141">
        <v>30</v>
      </c>
    </row>
    <row r="91" spans="1:10" ht="14.4" x14ac:dyDescent="0.3">
      <c r="A91" s="1183">
        <f t="shared" si="1"/>
        <v>89</v>
      </c>
      <c r="B91" s="1132" t="s">
        <v>202</v>
      </c>
      <c r="C91" s="1177" t="s">
        <v>95</v>
      </c>
      <c r="D91" s="1146" t="s">
        <v>92</v>
      </c>
      <c r="E91" s="1142">
        <v>46199</v>
      </c>
      <c r="F91" s="1143">
        <v>41.88</v>
      </c>
      <c r="G91" s="1130" t="s">
        <v>667</v>
      </c>
      <c r="H91" s="1142">
        <v>46206</v>
      </c>
      <c r="I91" s="1144" t="s">
        <v>904</v>
      </c>
      <c r="J91" s="1141">
        <v>30</v>
      </c>
    </row>
    <row r="92" spans="1:10" ht="14.4" x14ac:dyDescent="0.3">
      <c r="A92" s="1183">
        <f t="shared" si="1"/>
        <v>90</v>
      </c>
      <c r="B92" s="1179" t="s">
        <v>443</v>
      </c>
      <c r="C92" s="1171" t="s">
        <v>668</v>
      </c>
      <c r="D92" s="1172" t="s">
        <v>664</v>
      </c>
      <c r="E92" s="1198">
        <v>46200</v>
      </c>
      <c r="F92" s="1213">
        <v>64.671999999999997</v>
      </c>
      <c r="G92" s="1130" t="s">
        <v>667</v>
      </c>
      <c r="H92" s="1142">
        <v>46207</v>
      </c>
      <c r="I92" s="1199" t="s">
        <v>910</v>
      </c>
      <c r="J92" s="1141">
        <v>30</v>
      </c>
    </row>
    <row r="93" spans="1:10" ht="14.4" x14ac:dyDescent="0.3">
      <c r="A93" s="1132">
        <f t="shared" si="1"/>
        <v>91</v>
      </c>
      <c r="B93" s="1132" t="s">
        <v>264</v>
      </c>
      <c r="C93" s="1177" t="s">
        <v>87</v>
      </c>
      <c r="D93" s="1146" t="s">
        <v>88</v>
      </c>
      <c r="E93" s="1135">
        <v>46202</v>
      </c>
      <c r="F93" s="1136">
        <v>35.088999999999999</v>
      </c>
      <c r="G93" s="1131" t="s">
        <v>667</v>
      </c>
      <c r="H93" s="1178">
        <v>46208</v>
      </c>
      <c r="I93" s="1137" t="s">
        <v>901</v>
      </c>
      <c r="J93" s="1134">
        <v>30</v>
      </c>
    </row>
    <row r="94" spans="1:10" ht="14.4" x14ac:dyDescent="0.3">
      <c r="A94" s="1132">
        <f t="shared" si="1"/>
        <v>92</v>
      </c>
      <c r="B94" s="1179" t="s">
        <v>440</v>
      </c>
      <c r="C94" s="1177" t="s">
        <v>579</v>
      </c>
      <c r="D94" s="1146" t="s">
        <v>92</v>
      </c>
      <c r="E94" s="1135">
        <v>46202</v>
      </c>
      <c r="F94" s="1200">
        <v>75.19</v>
      </c>
      <c r="G94" s="1131" t="s">
        <v>667</v>
      </c>
      <c r="H94" s="1178">
        <v>46208</v>
      </c>
      <c r="I94" s="1201" t="s">
        <v>690</v>
      </c>
      <c r="J94" s="1134">
        <v>30</v>
      </c>
    </row>
    <row r="95" spans="1:10" ht="14.4" x14ac:dyDescent="0.3">
      <c r="A95" s="1132">
        <f t="shared" si="1"/>
        <v>93</v>
      </c>
      <c r="B95" s="1161" t="s">
        <v>232</v>
      </c>
      <c r="C95" s="1177" t="s">
        <v>91</v>
      </c>
      <c r="D95" s="1146" t="s">
        <v>92</v>
      </c>
      <c r="E95" s="1135">
        <v>46204</v>
      </c>
      <c r="F95" s="1136">
        <v>36.771000000000001</v>
      </c>
      <c r="G95" s="1131" t="s">
        <v>667</v>
      </c>
      <c r="H95" s="1178">
        <v>46209</v>
      </c>
      <c r="I95" s="1137" t="s">
        <v>905</v>
      </c>
      <c r="J95" s="1134">
        <v>30</v>
      </c>
    </row>
    <row r="96" spans="1:10" ht="14.4" x14ac:dyDescent="0.3">
      <c r="A96" s="1132">
        <f t="shared" si="1"/>
        <v>94</v>
      </c>
      <c r="B96" s="1161" t="s">
        <v>416</v>
      </c>
      <c r="C96" s="1177" t="s">
        <v>754</v>
      </c>
      <c r="D96" s="1202" t="s">
        <v>541</v>
      </c>
      <c r="E96" s="1135">
        <v>45834</v>
      </c>
      <c r="F96" s="1134">
        <v>62.500999999999998</v>
      </c>
      <c r="G96" s="1131" t="s">
        <v>667</v>
      </c>
      <c r="H96" s="1178">
        <v>46209</v>
      </c>
      <c r="I96" s="1137" t="s">
        <v>903</v>
      </c>
      <c r="J96" s="1134">
        <v>30</v>
      </c>
    </row>
    <row r="97" spans="1:10" ht="17.399999999999999" customHeight="1" x14ac:dyDescent="0.3">
      <c r="A97" s="1132">
        <f t="shared" si="1"/>
        <v>95</v>
      </c>
      <c r="B97" s="1132" t="s">
        <v>201</v>
      </c>
      <c r="C97" s="1177" t="s">
        <v>87</v>
      </c>
      <c r="D97" s="1146" t="s">
        <v>92</v>
      </c>
      <c r="E97" s="1142">
        <v>46207</v>
      </c>
      <c r="F97" s="1136">
        <v>35.088999999999999</v>
      </c>
      <c r="G97" s="1131" t="s">
        <v>667</v>
      </c>
      <c r="H97" s="1142">
        <v>46211</v>
      </c>
      <c r="I97" s="1144" t="s">
        <v>904</v>
      </c>
      <c r="J97" s="1141">
        <v>30</v>
      </c>
    </row>
    <row r="98" spans="1:10" ht="14.4" x14ac:dyDescent="0.3">
      <c r="A98" s="1132">
        <f t="shared" si="1"/>
        <v>96</v>
      </c>
      <c r="B98" s="1179" t="s">
        <v>307</v>
      </c>
      <c r="C98" s="1177" t="s">
        <v>87</v>
      </c>
      <c r="D98" s="1146" t="s">
        <v>92</v>
      </c>
      <c r="E98" s="1142">
        <v>46202</v>
      </c>
      <c r="F98" s="1136">
        <v>35.088999999999999</v>
      </c>
      <c r="G98" s="1131" t="s">
        <v>667</v>
      </c>
      <c r="H98" s="1142">
        <v>46212</v>
      </c>
      <c r="I98" s="1203" t="s">
        <v>909</v>
      </c>
      <c r="J98" s="1141">
        <v>30</v>
      </c>
    </row>
    <row r="99" spans="1:10" ht="14.4" x14ac:dyDescent="0.3">
      <c r="A99" s="1132">
        <f t="shared" si="1"/>
        <v>97</v>
      </c>
      <c r="B99" s="1161" t="s">
        <v>233</v>
      </c>
      <c r="C99" s="1177" t="s">
        <v>213</v>
      </c>
      <c r="D99" s="1146" t="s">
        <v>92</v>
      </c>
      <c r="E99" s="1142">
        <v>46210</v>
      </c>
      <c r="F99" s="1159">
        <v>36.771000000000001</v>
      </c>
      <c r="G99" s="1131" t="s">
        <v>667</v>
      </c>
      <c r="H99" s="1142">
        <v>46214</v>
      </c>
      <c r="I99" s="1144" t="s">
        <v>905</v>
      </c>
      <c r="J99" s="1141">
        <v>30</v>
      </c>
    </row>
    <row r="100" spans="1:10" ht="14.4" x14ac:dyDescent="0.3">
      <c r="A100" s="1132">
        <f t="shared" si="1"/>
        <v>98</v>
      </c>
      <c r="B100" s="1132" t="s">
        <v>263</v>
      </c>
      <c r="C100" s="1177" t="s">
        <v>87</v>
      </c>
      <c r="D100" s="1146" t="s">
        <v>664</v>
      </c>
      <c r="E100" s="1142">
        <v>46209</v>
      </c>
      <c r="F100" s="1136">
        <v>35.088999999999999</v>
      </c>
      <c r="G100" s="1131" t="s">
        <v>667</v>
      </c>
      <c r="H100" s="1142">
        <v>46214</v>
      </c>
      <c r="I100" s="1144" t="s">
        <v>901</v>
      </c>
      <c r="J100" s="1141">
        <v>30</v>
      </c>
    </row>
    <row r="101" spans="1:10" ht="14.4" x14ac:dyDescent="0.3">
      <c r="A101" s="1132">
        <f t="shared" si="1"/>
        <v>99</v>
      </c>
      <c r="B101" s="1204" t="s">
        <v>480</v>
      </c>
      <c r="C101" s="1204" t="s">
        <v>669</v>
      </c>
      <c r="D101" s="1141" t="s">
        <v>92</v>
      </c>
      <c r="E101" s="1142">
        <v>46212</v>
      </c>
      <c r="F101" s="1141">
        <v>62.500999999999998</v>
      </c>
      <c r="G101" s="1131" t="s">
        <v>667</v>
      </c>
      <c r="H101" s="1135">
        <v>46215</v>
      </c>
      <c r="I101" s="1144" t="s">
        <v>690</v>
      </c>
      <c r="J101" s="1141">
        <v>30</v>
      </c>
    </row>
    <row r="102" spans="1:10" ht="14.4" x14ac:dyDescent="0.3">
      <c r="A102" s="1132">
        <f t="shared" si="1"/>
        <v>100</v>
      </c>
      <c r="B102" s="1204" t="s">
        <v>390</v>
      </c>
      <c r="C102" s="1204" t="s">
        <v>91</v>
      </c>
      <c r="D102" s="1141" t="s">
        <v>88</v>
      </c>
      <c r="E102" s="1142">
        <v>46210</v>
      </c>
      <c r="F102" s="1143">
        <v>36.771000000000001</v>
      </c>
      <c r="G102" s="1131" t="s">
        <v>667</v>
      </c>
      <c r="H102" s="1135">
        <v>46215</v>
      </c>
      <c r="I102" s="1199" t="s">
        <v>910</v>
      </c>
      <c r="J102" s="1141">
        <v>30</v>
      </c>
    </row>
    <row r="103" spans="1:10" ht="14.4" x14ac:dyDescent="0.3">
      <c r="A103" s="1132">
        <f t="shared" si="1"/>
        <v>101</v>
      </c>
      <c r="B103" s="1204" t="s">
        <v>207</v>
      </c>
      <c r="C103" s="1204" t="s">
        <v>87</v>
      </c>
      <c r="D103" s="1204" t="s">
        <v>92</v>
      </c>
      <c r="E103" s="1205">
        <v>46210</v>
      </c>
      <c r="F103" s="1204">
        <v>35.088999999999999</v>
      </c>
      <c r="G103" s="1131" t="s">
        <v>667</v>
      </c>
      <c r="H103" s="1205">
        <v>46216</v>
      </c>
      <c r="I103" s="1199" t="s">
        <v>903</v>
      </c>
      <c r="J103" s="1204">
        <v>30</v>
      </c>
    </row>
    <row r="104" spans="1:10" ht="14.4" x14ac:dyDescent="0.3">
      <c r="A104" s="1132">
        <f t="shared" si="1"/>
        <v>102</v>
      </c>
      <c r="B104" s="1204" t="s">
        <v>227</v>
      </c>
      <c r="C104" s="1204" t="s">
        <v>91</v>
      </c>
      <c r="D104" s="1204" t="s">
        <v>92</v>
      </c>
      <c r="E104" s="1205">
        <v>46212</v>
      </c>
      <c r="F104" s="1204">
        <v>36.771000000000001</v>
      </c>
      <c r="G104" s="1131" t="s">
        <v>667</v>
      </c>
      <c r="H104" s="1205">
        <v>46217</v>
      </c>
      <c r="I104" s="1199" t="s">
        <v>904</v>
      </c>
      <c r="J104" s="1204">
        <v>30</v>
      </c>
    </row>
    <row r="105" spans="1:10" ht="14.4" x14ac:dyDescent="0.3">
      <c r="A105" s="1132">
        <f t="shared" si="1"/>
        <v>103</v>
      </c>
      <c r="B105" s="1204" t="s">
        <v>388</v>
      </c>
      <c r="C105" s="1204" t="s">
        <v>87</v>
      </c>
      <c r="D105" s="1204" t="s">
        <v>92</v>
      </c>
      <c r="E105" s="1205">
        <v>46216</v>
      </c>
      <c r="F105" s="1204">
        <v>35.088999999999999</v>
      </c>
      <c r="G105" s="1131" t="s">
        <v>667</v>
      </c>
      <c r="H105" s="1205">
        <v>46219</v>
      </c>
      <c r="I105" s="1199" t="s">
        <v>690</v>
      </c>
      <c r="J105" s="1204">
        <v>30</v>
      </c>
    </row>
    <row r="106" spans="1:10" ht="14.4" x14ac:dyDescent="0.3">
      <c r="A106" s="1132">
        <f t="shared" si="1"/>
        <v>104</v>
      </c>
      <c r="B106" s="1204" t="s">
        <v>389</v>
      </c>
      <c r="C106" s="1204" t="s">
        <v>87</v>
      </c>
      <c r="D106" s="1204" t="s">
        <v>92</v>
      </c>
      <c r="E106" s="1205">
        <v>46216</v>
      </c>
      <c r="F106" s="1204">
        <v>35.088999999999999</v>
      </c>
      <c r="G106" s="1131" t="s">
        <v>667</v>
      </c>
      <c r="H106" s="1205">
        <v>46219</v>
      </c>
      <c r="I106" s="1199" t="s">
        <v>910</v>
      </c>
      <c r="J106" s="1204">
        <v>30</v>
      </c>
    </row>
    <row r="107" spans="1:10" ht="17.399999999999999" customHeight="1" x14ac:dyDescent="0.3">
      <c r="A107" s="1132">
        <f t="shared" si="1"/>
        <v>105</v>
      </c>
      <c r="B107" s="1206" t="s">
        <v>208</v>
      </c>
      <c r="C107" s="1207" t="s">
        <v>87</v>
      </c>
      <c r="D107" s="1208" t="s">
        <v>92</v>
      </c>
      <c r="E107" s="1209">
        <v>46217</v>
      </c>
      <c r="F107" s="1210">
        <v>35.088999999999999</v>
      </c>
      <c r="G107" s="1131" t="s">
        <v>667</v>
      </c>
      <c r="H107" s="1209">
        <v>46222</v>
      </c>
      <c r="I107" s="1199" t="s">
        <v>903</v>
      </c>
      <c r="J107" s="1211">
        <v>30</v>
      </c>
    </row>
    <row r="108" spans="1:10" ht="17.399999999999999" customHeight="1" x14ac:dyDescent="0.3">
      <c r="A108" s="1132">
        <f t="shared" si="1"/>
        <v>106</v>
      </c>
      <c r="B108" s="1212" t="s">
        <v>228</v>
      </c>
      <c r="C108" s="1207" t="s">
        <v>87</v>
      </c>
      <c r="D108" s="1208" t="s">
        <v>92</v>
      </c>
      <c r="E108" s="1209">
        <v>46218</v>
      </c>
      <c r="F108" s="1210">
        <v>35.088999999999999</v>
      </c>
      <c r="G108" s="1131" t="s">
        <v>667</v>
      </c>
      <c r="H108" s="1209">
        <v>46222</v>
      </c>
      <c r="I108" s="1199" t="s">
        <v>904</v>
      </c>
      <c r="J108" s="1211">
        <v>30</v>
      </c>
    </row>
    <row r="109" spans="1:10" ht="17.399999999999999" customHeight="1" x14ac:dyDescent="0.3">
      <c r="A109" s="1132">
        <f t="shared" si="1"/>
        <v>107</v>
      </c>
      <c r="B109" s="1206" t="s">
        <v>421</v>
      </c>
      <c r="C109" s="1207" t="s">
        <v>755</v>
      </c>
      <c r="D109" s="1208" t="s">
        <v>762</v>
      </c>
      <c r="E109" s="1209">
        <v>46215</v>
      </c>
      <c r="F109" s="1213"/>
      <c r="G109" s="1131" t="s">
        <v>667</v>
      </c>
      <c r="H109" s="1209">
        <v>46222</v>
      </c>
      <c r="I109" s="1199" t="s">
        <v>905</v>
      </c>
      <c r="J109" s="1211">
        <v>30</v>
      </c>
    </row>
    <row r="110" spans="1:10" ht="17.399999999999999" customHeight="1" x14ac:dyDescent="0.3">
      <c r="A110" s="1132">
        <f t="shared" si="1"/>
        <v>108</v>
      </c>
      <c r="B110" s="1212" t="s">
        <v>384</v>
      </c>
      <c r="C110" s="1207" t="s">
        <v>87</v>
      </c>
      <c r="D110" s="1208" t="s">
        <v>92</v>
      </c>
      <c r="E110" s="1209">
        <v>46220</v>
      </c>
      <c r="F110" s="1210">
        <v>35.088999999999999</v>
      </c>
      <c r="G110" s="1131" t="s">
        <v>667</v>
      </c>
      <c r="H110" s="1209">
        <v>46223</v>
      </c>
      <c r="I110" s="1214" t="s">
        <v>690</v>
      </c>
      <c r="J110" s="1211">
        <v>30</v>
      </c>
    </row>
    <row r="111" spans="1:10" ht="17.399999999999999" customHeight="1" x14ac:dyDescent="0.3">
      <c r="A111" s="1132">
        <f t="shared" si="1"/>
        <v>109</v>
      </c>
      <c r="B111" s="1206" t="s">
        <v>424</v>
      </c>
      <c r="C111" s="1207" t="s">
        <v>685</v>
      </c>
      <c r="D111" s="1208" t="s">
        <v>92</v>
      </c>
      <c r="E111" s="1209">
        <v>46215</v>
      </c>
      <c r="F111" s="1215">
        <v>54.72</v>
      </c>
      <c r="G111" s="1131" t="s">
        <v>667</v>
      </c>
      <c r="H111" s="1209">
        <v>46224</v>
      </c>
      <c r="I111" s="1214" t="s">
        <v>901</v>
      </c>
      <c r="J111" s="1211">
        <v>30</v>
      </c>
    </row>
    <row r="112" spans="1:10" ht="17.399999999999999" customHeight="1" x14ac:dyDescent="0.3">
      <c r="A112" s="1132">
        <f t="shared" si="1"/>
        <v>110</v>
      </c>
      <c r="B112" s="1206" t="s">
        <v>391</v>
      </c>
      <c r="C112" s="1207" t="s">
        <v>91</v>
      </c>
      <c r="D112" s="1208" t="s">
        <v>92</v>
      </c>
      <c r="E112" s="1209">
        <v>46220</v>
      </c>
      <c r="F112" s="1216">
        <v>36.771000000000001</v>
      </c>
      <c r="G112" s="1131" t="s">
        <v>667</v>
      </c>
      <c r="H112" s="1209">
        <v>46224</v>
      </c>
      <c r="I112" s="1199" t="s">
        <v>910</v>
      </c>
      <c r="J112" s="1211">
        <v>30</v>
      </c>
    </row>
    <row r="113" spans="1:10" ht="17.399999999999999" customHeight="1" x14ac:dyDescent="0.3">
      <c r="A113" s="1206">
        <f t="shared" si="1"/>
        <v>111</v>
      </c>
      <c r="B113" s="1212" t="s">
        <v>392</v>
      </c>
      <c r="C113" s="1207" t="s">
        <v>87</v>
      </c>
      <c r="D113" s="1208" t="s">
        <v>92</v>
      </c>
      <c r="E113" s="1209">
        <v>46224</v>
      </c>
      <c r="F113" s="1204">
        <v>35.088999999999999</v>
      </c>
      <c r="G113" s="1131" t="s">
        <v>667</v>
      </c>
      <c r="H113" s="1209">
        <v>46226</v>
      </c>
      <c r="I113" s="1214" t="s">
        <v>690</v>
      </c>
      <c r="J113" s="1211">
        <v>30</v>
      </c>
    </row>
    <row r="114" spans="1:10" ht="17.399999999999999" customHeight="1" x14ac:dyDescent="0.3">
      <c r="A114" s="1206">
        <f t="shared" si="1"/>
        <v>112</v>
      </c>
      <c r="B114" s="1212" t="s">
        <v>385</v>
      </c>
      <c r="C114" s="1207" t="s">
        <v>87</v>
      </c>
      <c r="D114" s="1208" t="s">
        <v>92</v>
      </c>
      <c r="E114" s="1209">
        <v>46225</v>
      </c>
      <c r="F114" s="1210">
        <v>35.088999999999999</v>
      </c>
      <c r="G114" s="1131" t="s">
        <v>667</v>
      </c>
      <c r="H114" s="1209">
        <v>46228</v>
      </c>
      <c r="I114" s="1199" t="s">
        <v>910</v>
      </c>
      <c r="J114" s="1211">
        <v>30</v>
      </c>
    </row>
    <row r="115" spans="1:10" ht="17.399999999999999" customHeight="1" x14ac:dyDescent="0.3">
      <c r="A115" s="1206">
        <f t="shared" si="1"/>
        <v>113</v>
      </c>
      <c r="B115" s="1212" t="s">
        <v>239</v>
      </c>
      <c r="C115" s="1207" t="s">
        <v>87</v>
      </c>
      <c r="D115" s="1208" t="s">
        <v>88</v>
      </c>
      <c r="E115" s="1209">
        <v>46223</v>
      </c>
      <c r="F115" s="1210">
        <v>35.088999999999999</v>
      </c>
      <c r="G115" s="1131" t="s">
        <v>667</v>
      </c>
      <c r="H115" s="1209">
        <v>46230</v>
      </c>
      <c r="I115" s="1199" t="s">
        <v>931</v>
      </c>
      <c r="J115" s="1211">
        <v>30</v>
      </c>
    </row>
    <row r="116" spans="1:10" ht="17.399999999999999" customHeight="1" x14ac:dyDescent="0.3">
      <c r="A116" s="1206">
        <f t="shared" si="1"/>
        <v>114</v>
      </c>
      <c r="B116" s="1212" t="s">
        <v>386</v>
      </c>
      <c r="C116" s="1207" t="s">
        <v>87</v>
      </c>
      <c r="D116" s="1208" t="s">
        <v>92</v>
      </c>
      <c r="E116" s="1209">
        <v>46213</v>
      </c>
      <c r="F116" s="1210">
        <v>35.088999999999999</v>
      </c>
      <c r="G116" s="1131" t="s">
        <v>667</v>
      </c>
      <c r="H116" s="1209">
        <v>46230</v>
      </c>
      <c r="I116" s="1199" t="s">
        <v>923</v>
      </c>
      <c r="J116" s="1211">
        <v>30</v>
      </c>
    </row>
    <row r="117" spans="1:10" ht="17.399999999999999" customHeight="1" x14ac:dyDescent="0.3">
      <c r="A117" s="1206">
        <f t="shared" si="1"/>
        <v>115</v>
      </c>
      <c r="B117" s="1212" t="s">
        <v>387</v>
      </c>
      <c r="C117" s="1207" t="s">
        <v>95</v>
      </c>
      <c r="D117" s="1208" t="s">
        <v>88</v>
      </c>
      <c r="E117" s="1209">
        <v>46227</v>
      </c>
      <c r="F117" s="1216">
        <v>41.88</v>
      </c>
      <c r="G117" s="1131" t="s">
        <v>667</v>
      </c>
      <c r="H117" s="1209">
        <v>46230</v>
      </c>
      <c r="I117" s="1199" t="s">
        <v>690</v>
      </c>
      <c r="J117" s="1211">
        <v>30</v>
      </c>
    </row>
    <row r="118" spans="1:10" ht="17.399999999999999" customHeight="1" x14ac:dyDescent="0.3">
      <c r="A118" s="1206">
        <f t="shared" si="1"/>
        <v>116</v>
      </c>
      <c r="B118" s="1212" t="s">
        <v>417</v>
      </c>
      <c r="C118" s="1207" t="s">
        <v>754</v>
      </c>
      <c r="D118" s="1208" t="s">
        <v>92</v>
      </c>
      <c r="E118" s="1217">
        <v>46223</v>
      </c>
      <c r="F118" s="1211">
        <v>62.500999999999998</v>
      </c>
      <c r="G118" s="1131" t="s">
        <v>667</v>
      </c>
      <c r="H118" s="1209">
        <v>46231</v>
      </c>
      <c r="I118" s="1199" t="s">
        <v>904</v>
      </c>
      <c r="J118" s="1211">
        <v>30</v>
      </c>
    </row>
    <row r="119" spans="1:10" ht="17.399999999999999" customHeight="1" x14ac:dyDescent="0.3">
      <c r="A119" s="1206">
        <f t="shared" si="1"/>
        <v>117</v>
      </c>
      <c r="B119" s="1206" t="s">
        <v>220</v>
      </c>
      <c r="C119" s="1207" t="s">
        <v>87</v>
      </c>
      <c r="D119" s="1208" t="s">
        <v>92</v>
      </c>
      <c r="E119" s="1217">
        <v>46223</v>
      </c>
      <c r="F119" s="1210">
        <v>35.088999999999999</v>
      </c>
      <c r="G119" s="1131" t="s">
        <v>667</v>
      </c>
      <c r="H119" s="1209">
        <v>46232</v>
      </c>
      <c r="I119" s="1199" t="s">
        <v>903</v>
      </c>
      <c r="J119" s="1211">
        <v>30</v>
      </c>
    </row>
    <row r="120" spans="1:10" ht="17.399999999999999" customHeight="1" x14ac:dyDescent="0.3">
      <c r="A120" s="1206">
        <f t="shared" si="1"/>
        <v>118</v>
      </c>
      <c r="B120" s="1212" t="s">
        <v>383</v>
      </c>
      <c r="C120" s="1207" t="s">
        <v>91</v>
      </c>
      <c r="D120" s="1208" t="s">
        <v>92</v>
      </c>
      <c r="E120" s="1209">
        <v>46231</v>
      </c>
      <c r="F120" s="1216">
        <v>36.771000000000001</v>
      </c>
      <c r="G120" s="1131" t="s">
        <v>667</v>
      </c>
      <c r="H120" s="1209">
        <v>46234</v>
      </c>
      <c r="I120" s="1199" t="s">
        <v>690</v>
      </c>
      <c r="J120" s="1211">
        <v>30</v>
      </c>
    </row>
    <row r="121" spans="1:10" ht="17.399999999999999" customHeight="1" x14ac:dyDescent="0.3">
      <c r="A121" s="1206">
        <f t="shared" si="1"/>
        <v>119</v>
      </c>
      <c r="B121" s="1212" t="s">
        <v>427</v>
      </c>
      <c r="C121" s="1207" t="s">
        <v>914</v>
      </c>
      <c r="D121" s="1208" t="s">
        <v>92</v>
      </c>
      <c r="E121" s="1209">
        <v>46225</v>
      </c>
      <c r="F121" s="1213">
        <v>75.879000000000005</v>
      </c>
      <c r="G121" s="1131" t="s">
        <v>667</v>
      </c>
      <c r="H121" s="1209">
        <v>46237</v>
      </c>
      <c r="I121" s="1214" t="s">
        <v>901</v>
      </c>
      <c r="J121" s="1211">
        <v>30</v>
      </c>
    </row>
    <row r="122" spans="1:10" ht="17.399999999999999" customHeight="1" x14ac:dyDescent="0.3">
      <c r="A122" s="1206">
        <f t="shared" si="1"/>
        <v>120</v>
      </c>
      <c r="B122" s="1212" t="s">
        <v>450</v>
      </c>
      <c r="C122" s="1207" t="s">
        <v>668</v>
      </c>
      <c r="D122" s="1208" t="s">
        <v>92</v>
      </c>
      <c r="E122" s="1209">
        <v>46229</v>
      </c>
      <c r="F122" s="1213">
        <v>64.671999999999997</v>
      </c>
      <c r="G122" s="1131" t="s">
        <v>667</v>
      </c>
      <c r="H122" s="1209">
        <v>46240</v>
      </c>
      <c r="I122" s="1199" t="s">
        <v>910</v>
      </c>
      <c r="J122" s="1211">
        <v>30</v>
      </c>
    </row>
    <row r="123" spans="1:10" ht="17.399999999999999" customHeight="1" x14ac:dyDescent="0.3">
      <c r="A123" s="1206">
        <f t="shared" si="1"/>
        <v>121</v>
      </c>
      <c r="B123" s="1212" t="s">
        <v>215</v>
      </c>
      <c r="C123" s="1218" t="s">
        <v>87</v>
      </c>
      <c r="D123" s="1219" t="s">
        <v>92</v>
      </c>
      <c r="E123" s="1209">
        <v>46233</v>
      </c>
      <c r="F123" s="1210">
        <v>35.088999999999999</v>
      </c>
      <c r="G123" s="1131" t="s">
        <v>667</v>
      </c>
      <c r="H123" s="1209">
        <v>46242</v>
      </c>
      <c r="I123" s="1199" t="s">
        <v>903</v>
      </c>
      <c r="J123" s="1211">
        <v>30</v>
      </c>
    </row>
    <row r="124" spans="1:10" ht="17.399999999999999" customHeight="1" x14ac:dyDescent="0.3">
      <c r="A124" s="1206">
        <f t="shared" si="1"/>
        <v>122</v>
      </c>
      <c r="B124" s="1212" t="s">
        <v>378</v>
      </c>
      <c r="C124" s="1219" t="s">
        <v>87</v>
      </c>
      <c r="D124" s="1219" t="s">
        <v>92</v>
      </c>
      <c r="E124" s="1213"/>
      <c r="F124" s="1210">
        <v>35.088999999999999</v>
      </c>
      <c r="G124" s="1131" t="s">
        <v>667</v>
      </c>
      <c r="H124" s="1209">
        <v>46243</v>
      </c>
      <c r="I124" s="1199" t="s">
        <v>690</v>
      </c>
      <c r="J124" s="1211">
        <v>30</v>
      </c>
    </row>
    <row r="125" spans="1:10" ht="17.399999999999999" customHeight="1" x14ac:dyDescent="0.3">
      <c r="A125" s="1206">
        <f t="shared" si="1"/>
        <v>123</v>
      </c>
      <c r="B125" s="1229" t="s">
        <v>402</v>
      </c>
      <c r="C125" s="1230" t="s">
        <v>87</v>
      </c>
      <c r="D125" s="1229" t="s">
        <v>92</v>
      </c>
      <c r="E125" s="1209">
        <v>46231</v>
      </c>
      <c r="F125" s="1210">
        <v>35.088999999999999</v>
      </c>
      <c r="G125" s="1131" t="s">
        <v>667</v>
      </c>
      <c r="H125" s="1209">
        <v>46243</v>
      </c>
      <c r="I125" s="1199" t="s">
        <v>923</v>
      </c>
      <c r="J125" s="1211">
        <v>30</v>
      </c>
    </row>
    <row r="126" spans="1:10" ht="17.399999999999999" customHeight="1" x14ac:dyDescent="0.3">
      <c r="A126" s="1206">
        <f t="shared" si="1"/>
        <v>124</v>
      </c>
      <c r="B126" s="1212" t="s">
        <v>379</v>
      </c>
      <c r="C126" s="1218" t="s">
        <v>91</v>
      </c>
      <c r="D126" s="1219" t="s">
        <v>92</v>
      </c>
      <c r="E126" s="1209">
        <v>46240</v>
      </c>
      <c r="F126" s="1216">
        <v>36.771000000000001</v>
      </c>
      <c r="G126" s="1131" t="s">
        <v>667</v>
      </c>
      <c r="H126" s="1209">
        <v>46243</v>
      </c>
      <c r="I126" s="1199" t="s">
        <v>690</v>
      </c>
      <c r="J126" s="1211">
        <v>30</v>
      </c>
    </row>
    <row r="127" spans="1:10" ht="17.399999999999999" customHeight="1" x14ac:dyDescent="0.3">
      <c r="A127" s="1206">
        <f t="shared" si="1"/>
        <v>125</v>
      </c>
      <c r="B127" s="1206" t="s">
        <v>415</v>
      </c>
      <c r="C127" s="1207" t="s">
        <v>669</v>
      </c>
      <c r="D127" s="1208" t="s">
        <v>92</v>
      </c>
      <c r="E127" s="1209">
        <v>46232</v>
      </c>
      <c r="F127" s="1211">
        <v>62.500999999999998</v>
      </c>
      <c r="G127" s="1131" t="s">
        <v>667</v>
      </c>
      <c r="H127" s="1209">
        <v>46244</v>
      </c>
      <c r="I127" s="1199" t="s">
        <v>904</v>
      </c>
      <c r="J127" s="1211">
        <v>30</v>
      </c>
    </row>
  </sheetData>
  <mergeCells count="1">
    <mergeCell ref="D1:E1"/>
  </mergeCells>
  <conditionalFormatting sqref="B54:B55">
    <cfRule type="duplicateValues" dxfId="51" priority="53"/>
  </conditionalFormatting>
  <conditionalFormatting sqref="B72">
    <cfRule type="duplicateValues" dxfId="50" priority="52"/>
  </conditionalFormatting>
  <conditionalFormatting sqref="B73">
    <cfRule type="duplicateValues" dxfId="49" priority="51"/>
  </conditionalFormatting>
  <conditionalFormatting sqref="B76">
    <cfRule type="duplicateValues" dxfId="48" priority="50"/>
  </conditionalFormatting>
  <conditionalFormatting sqref="B77">
    <cfRule type="duplicateValues" dxfId="47" priority="49"/>
  </conditionalFormatting>
  <conditionalFormatting sqref="B78">
    <cfRule type="duplicateValues" dxfId="46" priority="48"/>
  </conditionalFormatting>
  <conditionalFormatting sqref="B79">
    <cfRule type="duplicateValues" dxfId="45" priority="47"/>
  </conditionalFormatting>
  <conditionalFormatting sqref="B80">
    <cfRule type="duplicateValues" dxfId="44" priority="46"/>
  </conditionalFormatting>
  <conditionalFormatting sqref="B81">
    <cfRule type="duplicateValues" dxfId="43" priority="45"/>
  </conditionalFormatting>
  <conditionalFormatting sqref="B82">
    <cfRule type="duplicateValues" dxfId="42" priority="43"/>
  </conditionalFormatting>
  <conditionalFormatting sqref="B83">
    <cfRule type="duplicateValues" dxfId="41" priority="44"/>
  </conditionalFormatting>
  <conditionalFormatting sqref="B84">
    <cfRule type="duplicateValues" dxfId="40" priority="42"/>
  </conditionalFormatting>
  <conditionalFormatting sqref="B85">
    <cfRule type="duplicateValues" dxfId="39" priority="41"/>
  </conditionalFormatting>
  <conditionalFormatting sqref="B86">
    <cfRule type="duplicateValues" dxfId="38" priority="40"/>
  </conditionalFormatting>
  <conditionalFormatting sqref="B87">
    <cfRule type="duplicateValues" dxfId="37" priority="39"/>
  </conditionalFormatting>
  <conditionalFormatting sqref="B88">
    <cfRule type="duplicateValues" dxfId="36" priority="38"/>
  </conditionalFormatting>
  <conditionalFormatting sqref="B89">
    <cfRule type="duplicateValues" dxfId="35" priority="37"/>
  </conditionalFormatting>
  <conditionalFormatting sqref="B90">
    <cfRule type="duplicateValues" dxfId="34" priority="36"/>
  </conditionalFormatting>
  <conditionalFormatting sqref="B91">
    <cfRule type="duplicateValues" dxfId="33" priority="35"/>
  </conditionalFormatting>
  <conditionalFormatting sqref="B92">
    <cfRule type="duplicateValues" dxfId="32" priority="34"/>
  </conditionalFormatting>
  <conditionalFormatting sqref="B93">
    <cfRule type="duplicateValues" dxfId="31" priority="33"/>
  </conditionalFormatting>
  <conditionalFormatting sqref="B94">
    <cfRule type="duplicateValues" dxfId="30" priority="32"/>
  </conditionalFormatting>
  <conditionalFormatting sqref="B95">
    <cfRule type="duplicateValues" dxfId="29" priority="30"/>
  </conditionalFormatting>
  <conditionalFormatting sqref="B96">
    <cfRule type="duplicateValues" dxfId="28" priority="31"/>
  </conditionalFormatting>
  <conditionalFormatting sqref="B97">
    <cfRule type="duplicateValues" dxfId="27" priority="29"/>
  </conditionalFormatting>
  <conditionalFormatting sqref="B98">
    <cfRule type="duplicateValues" dxfId="26" priority="28"/>
  </conditionalFormatting>
  <conditionalFormatting sqref="B99">
    <cfRule type="duplicateValues" dxfId="25" priority="27"/>
  </conditionalFormatting>
  <conditionalFormatting sqref="B100">
    <cfRule type="duplicateValues" dxfId="24" priority="26"/>
  </conditionalFormatting>
  <conditionalFormatting sqref="B107">
    <cfRule type="duplicateValues" dxfId="23" priority="21"/>
  </conditionalFormatting>
  <conditionalFormatting sqref="B108">
    <cfRule type="duplicateValues" dxfId="22" priority="20"/>
  </conditionalFormatting>
  <conditionalFormatting sqref="B109">
    <cfRule type="duplicateValues" dxfId="21" priority="19"/>
  </conditionalFormatting>
  <conditionalFormatting sqref="B110">
    <cfRule type="duplicateValues" dxfId="20" priority="18"/>
  </conditionalFormatting>
  <conditionalFormatting sqref="B111">
    <cfRule type="duplicateValues" dxfId="19" priority="17"/>
  </conditionalFormatting>
  <conditionalFormatting sqref="B112">
    <cfRule type="duplicateValues" dxfId="18" priority="16"/>
  </conditionalFormatting>
  <conditionalFormatting sqref="B113">
    <cfRule type="duplicateValues" dxfId="17" priority="15"/>
  </conditionalFormatting>
  <conditionalFormatting sqref="B114">
    <cfRule type="duplicateValues" dxfId="16" priority="14"/>
  </conditionalFormatting>
  <conditionalFormatting sqref="B115">
    <cfRule type="duplicateValues" dxfId="15" priority="13"/>
  </conditionalFormatting>
  <conditionalFormatting sqref="B116">
    <cfRule type="duplicateValues" dxfId="14" priority="12"/>
  </conditionalFormatting>
  <conditionalFormatting sqref="B117">
    <cfRule type="duplicateValues" dxfId="13" priority="11"/>
  </conditionalFormatting>
  <conditionalFormatting sqref="B118">
    <cfRule type="duplicateValues" dxfId="12" priority="10"/>
  </conditionalFormatting>
  <conditionalFormatting sqref="B119">
    <cfRule type="duplicateValues" dxfId="11" priority="9"/>
  </conditionalFormatting>
  <conditionalFormatting sqref="B120">
    <cfRule type="duplicateValues" dxfId="10" priority="8"/>
  </conditionalFormatting>
  <conditionalFormatting sqref="B121">
    <cfRule type="duplicateValues" dxfId="9" priority="7"/>
  </conditionalFormatting>
  <conditionalFormatting sqref="B122">
    <cfRule type="duplicateValues" dxfId="8" priority="6"/>
  </conditionalFormatting>
  <conditionalFormatting sqref="B123">
    <cfRule type="duplicateValues" dxfId="7" priority="5"/>
  </conditionalFormatting>
  <conditionalFormatting sqref="B124">
    <cfRule type="duplicateValues" dxfId="6" priority="4"/>
  </conditionalFormatting>
  <conditionalFormatting sqref="B125">
    <cfRule type="duplicateValues" dxfId="5" priority="3"/>
  </conditionalFormatting>
  <conditionalFormatting sqref="B126">
    <cfRule type="duplicateValues" dxfId="4" priority="2"/>
  </conditionalFormatting>
  <conditionalFormatting sqref="B127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topLeftCell="A11" zoomScale="62" zoomScaleNormal="81" workbookViewId="0">
      <selection activeCell="L63" sqref="L63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945"/>
      <c r="B1" s="1375" t="s">
        <v>111</v>
      </c>
      <c r="C1" s="1364"/>
      <c r="D1" s="1364"/>
      <c r="E1" s="1364"/>
      <c r="F1" s="1364"/>
      <c r="G1" s="1364"/>
      <c r="H1" s="1364"/>
      <c r="I1" s="1365"/>
      <c r="J1" s="637"/>
      <c r="K1" s="946"/>
      <c r="L1" s="946"/>
      <c r="M1" s="946"/>
      <c r="N1" s="945"/>
      <c r="O1" s="945"/>
      <c r="P1" s="945"/>
      <c r="Q1" s="945"/>
      <c r="R1" s="945"/>
      <c r="S1" s="945"/>
      <c r="T1" s="945"/>
      <c r="U1" s="945"/>
      <c r="V1" s="945"/>
      <c r="W1" s="945"/>
      <c r="X1" s="945"/>
      <c r="Y1" s="945"/>
      <c r="Z1" s="945"/>
    </row>
    <row r="2" spans="1:26" ht="18" customHeight="1" thickBot="1" x14ac:dyDescent="0.4">
      <c r="A2" s="945"/>
      <c r="B2" s="1366" t="s">
        <v>112</v>
      </c>
      <c r="C2" s="1376"/>
      <c r="D2" s="1376"/>
      <c r="E2" s="1376"/>
      <c r="F2" s="1376"/>
      <c r="G2" s="1376"/>
      <c r="H2" s="1376"/>
      <c r="I2" s="1377"/>
      <c r="J2" s="637"/>
      <c r="K2" s="946"/>
      <c r="L2" s="946"/>
      <c r="M2" s="946"/>
      <c r="N2" s="945"/>
      <c r="O2" s="945"/>
      <c r="P2" s="945"/>
      <c r="Q2" s="945"/>
      <c r="R2" s="945"/>
      <c r="S2" s="945"/>
      <c r="T2" s="945"/>
      <c r="U2" s="945"/>
      <c r="V2" s="945"/>
      <c r="W2" s="945"/>
      <c r="X2" s="945"/>
      <c r="Y2" s="945"/>
      <c r="Z2" s="945"/>
    </row>
    <row r="3" spans="1:26" ht="18" customHeight="1" thickBot="1" x14ac:dyDescent="0.4">
      <c r="A3" s="945"/>
      <c r="B3" s="1026" t="s">
        <v>113</v>
      </c>
      <c r="C3" s="1040" t="s">
        <v>114</v>
      </c>
      <c r="D3" s="1016" t="s">
        <v>23</v>
      </c>
      <c r="E3" s="1016" t="s">
        <v>115</v>
      </c>
      <c r="F3" s="1016" t="s">
        <v>116</v>
      </c>
      <c r="G3" s="1039" t="s">
        <v>57</v>
      </c>
      <c r="H3" s="1016"/>
      <c r="I3" s="1038"/>
      <c r="J3" s="637"/>
      <c r="K3" s="946"/>
      <c r="L3" s="946"/>
      <c r="M3" s="946"/>
      <c r="N3" s="945"/>
      <c r="O3" s="945"/>
      <c r="P3" s="945"/>
      <c r="Q3" s="945"/>
      <c r="R3" s="945"/>
      <c r="S3" s="945"/>
      <c r="T3" s="945"/>
      <c r="U3" s="945"/>
      <c r="V3" s="945"/>
      <c r="W3" s="945"/>
      <c r="X3" s="945"/>
      <c r="Y3" s="945"/>
      <c r="Z3" s="945"/>
    </row>
    <row r="4" spans="1:26" ht="18" customHeight="1" x14ac:dyDescent="0.35">
      <c r="A4" s="945"/>
      <c r="B4" s="1036">
        <v>1</v>
      </c>
      <c r="C4" s="1002" t="s">
        <v>117</v>
      </c>
      <c r="D4" s="1002" t="s">
        <v>64</v>
      </c>
      <c r="E4" s="1002"/>
      <c r="F4" s="1035">
        <v>208</v>
      </c>
      <c r="G4" s="1034"/>
      <c r="H4" s="1002"/>
      <c r="I4" s="1033"/>
      <c r="J4" s="1037"/>
      <c r="K4" s="946"/>
      <c r="L4" s="946"/>
      <c r="M4" s="946"/>
      <c r="N4" s="945"/>
      <c r="O4" s="945"/>
      <c r="P4" s="945"/>
      <c r="Q4" s="945"/>
      <c r="R4" s="945"/>
      <c r="S4" s="945"/>
      <c r="T4" s="945"/>
      <c r="U4" s="945"/>
      <c r="V4" s="945"/>
      <c r="W4" s="945"/>
      <c r="X4" s="945"/>
      <c r="Y4" s="945"/>
      <c r="Z4" s="945"/>
    </row>
    <row r="5" spans="1:26" ht="18" customHeight="1" x14ac:dyDescent="0.35">
      <c r="A5" s="945"/>
      <c r="B5" s="1036">
        <v>2</v>
      </c>
      <c r="C5" s="1002" t="s">
        <v>118</v>
      </c>
      <c r="D5" s="1002" t="s">
        <v>64</v>
      </c>
      <c r="E5" s="1002"/>
      <c r="F5" s="1035">
        <v>37</v>
      </c>
      <c r="G5" s="1034"/>
      <c r="H5" s="1002"/>
      <c r="I5" s="1033"/>
      <c r="J5" s="1037"/>
      <c r="K5" s="946"/>
      <c r="L5" s="946"/>
      <c r="M5" s="946"/>
      <c r="N5" s="945"/>
      <c r="O5" s="945"/>
      <c r="P5" s="945"/>
      <c r="Q5" s="945"/>
      <c r="R5" s="945"/>
      <c r="S5" s="945"/>
      <c r="T5" s="945"/>
      <c r="U5" s="945"/>
      <c r="V5" s="945"/>
      <c r="W5" s="945"/>
      <c r="X5" s="945"/>
      <c r="Y5" s="945"/>
      <c r="Z5" s="945"/>
    </row>
    <row r="6" spans="1:26" ht="18" customHeight="1" x14ac:dyDescent="0.35">
      <c r="A6" s="945"/>
      <c r="B6" s="1036">
        <v>3</v>
      </c>
      <c r="C6" s="1002" t="s">
        <v>119</v>
      </c>
      <c r="D6" s="1002" t="s">
        <v>64</v>
      </c>
      <c r="E6" s="1002"/>
      <c r="F6" s="1035">
        <v>20</v>
      </c>
      <c r="G6" s="1034"/>
      <c r="H6" s="1002"/>
      <c r="I6" s="1033"/>
      <c r="J6" s="1037"/>
      <c r="K6" s="946"/>
      <c r="L6" s="946"/>
      <c r="M6" s="946"/>
      <c r="N6" s="945"/>
      <c r="O6" s="945"/>
      <c r="P6" s="945"/>
      <c r="Q6" s="945"/>
      <c r="R6" s="945"/>
      <c r="S6" s="945"/>
      <c r="T6" s="945"/>
      <c r="U6" s="945"/>
      <c r="V6" s="945"/>
      <c r="W6" s="945"/>
      <c r="X6" s="945"/>
      <c r="Y6" s="945"/>
      <c r="Z6" s="945"/>
    </row>
    <row r="7" spans="1:26" ht="18" customHeight="1" x14ac:dyDescent="0.35">
      <c r="A7" s="945"/>
      <c r="B7" s="1036">
        <v>4</v>
      </c>
      <c r="C7" s="1002" t="s">
        <v>120</v>
      </c>
      <c r="D7" s="1002" t="s">
        <v>64</v>
      </c>
      <c r="E7" s="1002"/>
      <c r="F7" s="1035">
        <v>8</v>
      </c>
      <c r="G7" s="1034"/>
      <c r="H7" s="1002"/>
      <c r="I7" s="1033"/>
      <c r="J7" s="1037"/>
      <c r="K7" s="946"/>
      <c r="L7" s="946"/>
      <c r="M7" s="946"/>
      <c r="N7" s="945"/>
      <c r="O7" s="945"/>
      <c r="P7" s="945"/>
      <c r="Q7" s="945"/>
      <c r="R7" s="945"/>
      <c r="S7" s="945"/>
      <c r="T7" s="945"/>
      <c r="U7" s="945"/>
      <c r="V7" s="945"/>
      <c r="W7" s="945"/>
      <c r="X7" s="945"/>
      <c r="Y7" s="945"/>
      <c r="Z7" s="945"/>
    </row>
    <row r="8" spans="1:26" ht="18" customHeight="1" x14ac:dyDescent="0.35">
      <c r="A8" s="945"/>
      <c r="B8" s="1036">
        <v>5</v>
      </c>
      <c r="C8" s="1002" t="s">
        <v>121</v>
      </c>
      <c r="D8" s="1002" t="s">
        <v>64</v>
      </c>
      <c r="E8" s="1002"/>
      <c r="F8" s="1035">
        <v>4</v>
      </c>
      <c r="G8" s="1034"/>
      <c r="H8" s="1002"/>
      <c r="I8" s="1033"/>
      <c r="J8" s="1032"/>
      <c r="K8" s="946"/>
      <c r="L8" s="946"/>
      <c r="M8" s="946"/>
      <c r="N8" s="945"/>
      <c r="O8" s="945"/>
      <c r="P8" s="945"/>
      <c r="Q8" s="945"/>
      <c r="R8" s="945"/>
      <c r="S8" s="945"/>
      <c r="T8" s="945"/>
      <c r="U8" s="945"/>
      <c r="V8" s="945"/>
      <c r="W8" s="945"/>
      <c r="X8" s="945"/>
      <c r="Y8" s="945"/>
      <c r="Z8" s="945"/>
    </row>
    <row r="9" spans="1:26" ht="18" customHeight="1" thickBot="1" x14ac:dyDescent="0.4">
      <c r="A9" s="945"/>
      <c r="B9" s="1031"/>
      <c r="C9" s="1028" t="s">
        <v>122</v>
      </c>
      <c r="D9" s="1028" t="s">
        <v>64</v>
      </c>
      <c r="E9" s="1028">
        <f>SUM(E4:E8)</f>
        <v>0</v>
      </c>
      <c r="F9" s="1030">
        <f>SUM(F4:F8)</f>
        <v>277</v>
      </c>
      <c r="G9" s="1029">
        <f>SUM(G4:G8)</f>
        <v>0</v>
      </c>
      <c r="H9" s="1028">
        <f>SUM(H4:H8)</f>
        <v>0</v>
      </c>
      <c r="I9" s="1028">
        <f>SUM(I4:I8)</f>
        <v>0</v>
      </c>
      <c r="J9" s="637"/>
      <c r="K9" s="946"/>
      <c r="L9" s="946"/>
      <c r="M9" s="946"/>
      <c r="N9" s="945"/>
      <c r="O9" s="945"/>
      <c r="P9" s="945"/>
      <c r="Q9" s="945"/>
      <c r="R9" s="945"/>
      <c r="S9" s="945"/>
      <c r="T9" s="945"/>
      <c r="U9" s="945"/>
      <c r="V9" s="945"/>
      <c r="W9" s="945"/>
      <c r="X9" s="945"/>
      <c r="Y9" s="945"/>
      <c r="Z9" s="945"/>
    </row>
    <row r="10" spans="1:26" ht="18" customHeight="1" thickBot="1" x14ac:dyDescent="0.4">
      <c r="A10" s="945"/>
      <c r="B10" s="637"/>
      <c r="C10" s="637"/>
      <c r="D10" s="637"/>
      <c r="E10" s="637"/>
      <c r="F10" s="637"/>
      <c r="G10" s="637"/>
      <c r="H10" s="1027"/>
      <c r="I10" s="1027"/>
      <c r="J10" s="637"/>
      <c r="K10" s="946"/>
      <c r="L10" s="946"/>
      <c r="M10" s="946"/>
      <c r="N10" s="945"/>
      <c r="O10" s="945"/>
      <c r="P10" s="945"/>
      <c r="Q10" s="945"/>
      <c r="R10" s="945"/>
      <c r="S10" s="945"/>
      <c r="T10" s="945"/>
      <c r="U10" s="945"/>
      <c r="V10" s="945"/>
      <c r="W10" s="945"/>
      <c r="X10" s="945"/>
      <c r="Y10" s="945"/>
      <c r="Z10" s="945"/>
    </row>
    <row r="11" spans="1:26" ht="18" customHeight="1" thickBot="1" x14ac:dyDescent="0.4">
      <c r="A11" s="945"/>
      <c r="B11" s="1374" t="s">
        <v>123</v>
      </c>
      <c r="C11" s="1364"/>
      <c r="D11" s="1364"/>
      <c r="E11" s="1364"/>
      <c r="F11" s="1364"/>
      <c r="G11" s="1364"/>
      <c r="H11" s="1364"/>
      <c r="I11" s="1364"/>
      <c r="J11" s="1365"/>
      <c r="K11" s="946"/>
      <c r="L11" s="946"/>
      <c r="M11" s="946"/>
      <c r="N11" s="945"/>
      <c r="O11" s="945"/>
      <c r="P11" s="945"/>
      <c r="Q11" s="945"/>
      <c r="R11" s="945"/>
      <c r="S11" s="945"/>
      <c r="T11" s="945"/>
      <c r="U11" s="945"/>
      <c r="V11" s="945"/>
      <c r="W11" s="945"/>
      <c r="X11" s="945"/>
      <c r="Y11" s="945"/>
      <c r="Z11" s="945"/>
    </row>
    <row r="12" spans="1:26" ht="18" customHeight="1" thickBot="1" x14ac:dyDescent="0.4">
      <c r="A12" s="945"/>
      <c r="B12" s="980" t="s">
        <v>113</v>
      </c>
      <c r="C12" s="1026" t="s">
        <v>124</v>
      </c>
      <c r="D12" s="1025" t="s">
        <v>114</v>
      </c>
      <c r="E12" s="1025" t="s">
        <v>115</v>
      </c>
      <c r="F12" s="1025" t="s">
        <v>116</v>
      </c>
      <c r="G12" s="1025" t="s">
        <v>125</v>
      </c>
      <c r="H12" s="1025"/>
      <c r="I12" s="1025"/>
      <c r="J12" s="1024" t="s">
        <v>85</v>
      </c>
      <c r="K12" s="946"/>
      <c r="L12" s="946"/>
      <c r="M12" s="946"/>
      <c r="N12" s="945"/>
      <c r="O12" s="945"/>
      <c r="P12" s="945"/>
      <c r="Q12" s="945"/>
      <c r="R12" s="945"/>
      <c r="S12" s="945"/>
      <c r="T12" s="945"/>
      <c r="U12" s="945"/>
      <c r="V12" s="945"/>
      <c r="W12" s="945"/>
      <c r="X12" s="945"/>
      <c r="Y12" s="945"/>
      <c r="Z12" s="945"/>
    </row>
    <row r="13" spans="1:26" ht="18" customHeight="1" x14ac:dyDescent="0.35">
      <c r="A13" s="945"/>
      <c r="B13" s="1366">
        <v>1</v>
      </c>
      <c r="C13" s="1369" t="s">
        <v>126</v>
      </c>
      <c r="D13" s="1016" t="s">
        <v>127</v>
      </c>
      <c r="E13" s="1018"/>
      <c r="F13" s="1017">
        <v>216</v>
      </c>
      <c r="G13" s="1016"/>
      <c r="H13" s="1016"/>
      <c r="I13" s="1020"/>
      <c r="J13" s="1023"/>
      <c r="K13" s="946"/>
      <c r="L13" s="946"/>
      <c r="M13" s="946"/>
      <c r="N13" s="945"/>
      <c r="O13" s="945"/>
      <c r="P13" s="945"/>
      <c r="Q13" s="945"/>
      <c r="R13" s="945"/>
      <c r="S13" s="945"/>
      <c r="T13" s="945"/>
      <c r="U13" s="945"/>
      <c r="V13" s="945"/>
      <c r="W13" s="945"/>
      <c r="X13" s="945"/>
      <c r="Y13" s="945"/>
      <c r="Z13" s="945"/>
    </row>
    <row r="14" spans="1:26" ht="18" customHeight="1" x14ac:dyDescent="0.35">
      <c r="A14" s="945"/>
      <c r="B14" s="1367"/>
      <c r="C14" s="1370"/>
      <c r="D14" s="1004" t="s">
        <v>128</v>
      </c>
      <c r="E14" s="1003"/>
      <c r="F14" s="1005">
        <v>168</v>
      </c>
      <c r="G14" s="1002"/>
      <c r="H14" s="1002"/>
      <c r="I14" s="1013"/>
      <c r="J14" s="1022"/>
      <c r="K14" s="946"/>
      <c r="L14" s="946"/>
      <c r="M14" s="946"/>
      <c r="N14" s="945"/>
      <c r="O14" s="945"/>
      <c r="P14" s="945"/>
      <c r="Q14" s="945"/>
      <c r="R14" s="945"/>
      <c r="S14" s="945"/>
      <c r="T14" s="945"/>
      <c r="U14" s="945"/>
      <c r="V14" s="945"/>
      <c r="W14" s="945"/>
      <c r="X14" s="945"/>
      <c r="Y14" s="945"/>
      <c r="Z14" s="945"/>
    </row>
    <row r="15" spans="1:26" ht="18" customHeight="1" x14ac:dyDescent="0.35">
      <c r="A15" s="945"/>
      <c r="B15" s="1367"/>
      <c r="C15" s="1370"/>
      <c r="D15" s="1004" t="s">
        <v>129</v>
      </c>
      <c r="E15" s="1003"/>
      <c r="F15" s="1005">
        <v>48</v>
      </c>
      <c r="G15" s="1002"/>
      <c r="H15" s="1002"/>
      <c r="I15" s="1013"/>
      <c r="J15" s="1022"/>
      <c r="K15" s="946"/>
      <c r="L15" s="946"/>
      <c r="M15" s="946"/>
      <c r="N15" s="945"/>
      <c r="O15" s="945"/>
      <c r="P15" s="945"/>
      <c r="Q15" s="945"/>
      <c r="R15" s="945"/>
      <c r="S15" s="945"/>
      <c r="T15" s="945"/>
      <c r="U15" s="945"/>
      <c r="V15" s="945"/>
      <c r="W15" s="945"/>
      <c r="X15" s="945"/>
      <c r="Y15" s="945"/>
      <c r="Z15" s="945"/>
    </row>
    <row r="16" spans="1:26" ht="18" customHeight="1" x14ac:dyDescent="0.35">
      <c r="A16" s="945"/>
      <c r="B16" s="1367"/>
      <c r="C16" s="1370"/>
      <c r="D16" s="1004" t="s">
        <v>130</v>
      </c>
      <c r="E16" s="1003"/>
      <c r="F16" s="1005">
        <v>21</v>
      </c>
      <c r="G16" s="1002"/>
      <c r="H16" s="1002"/>
      <c r="I16" s="1013"/>
      <c r="J16" s="1022"/>
      <c r="K16" s="946"/>
      <c r="L16" s="946"/>
      <c r="M16" s="946"/>
      <c r="N16" s="945"/>
      <c r="O16" s="945"/>
      <c r="P16" s="945"/>
      <c r="Q16" s="945"/>
      <c r="R16" s="945"/>
      <c r="S16" s="945"/>
      <c r="T16" s="945"/>
      <c r="U16" s="945"/>
      <c r="V16" s="945"/>
      <c r="W16" s="945"/>
      <c r="X16" s="945"/>
      <c r="Y16" s="945"/>
      <c r="Z16" s="945"/>
    </row>
    <row r="17" spans="1:26" ht="18" customHeight="1" thickBot="1" x14ac:dyDescent="0.4">
      <c r="A17" s="945"/>
      <c r="B17" s="1368"/>
      <c r="C17" s="1378"/>
      <c r="D17" s="1004" t="s">
        <v>131</v>
      </c>
      <c r="E17" s="1003"/>
      <c r="F17" s="1005">
        <v>12</v>
      </c>
      <c r="G17" s="1002"/>
      <c r="H17" s="1002"/>
      <c r="I17" s="1013"/>
      <c r="J17" s="1022"/>
      <c r="K17" s="946"/>
      <c r="L17" s="946"/>
      <c r="M17" s="946"/>
      <c r="N17" s="945"/>
      <c r="O17" s="945"/>
      <c r="P17" s="945"/>
      <c r="Q17" s="945"/>
      <c r="R17" s="945"/>
      <c r="S17" s="945"/>
      <c r="T17" s="945"/>
      <c r="U17" s="945"/>
      <c r="V17" s="945"/>
      <c r="W17" s="945"/>
      <c r="X17" s="945"/>
      <c r="Y17" s="945"/>
      <c r="Z17" s="945"/>
    </row>
    <row r="18" spans="1:26" ht="18" customHeight="1" thickBot="1" x14ac:dyDescent="0.4">
      <c r="A18" s="945"/>
      <c r="B18" s="1366">
        <v>2</v>
      </c>
      <c r="C18" s="1369" t="s">
        <v>132</v>
      </c>
      <c r="D18" s="1016" t="s">
        <v>127</v>
      </c>
      <c r="E18" s="1018"/>
      <c r="F18" s="1017">
        <v>38</v>
      </c>
      <c r="G18" s="1016"/>
      <c r="H18" s="1016"/>
      <c r="I18" s="1020"/>
      <c r="J18" s="1015"/>
      <c r="K18" s="1358"/>
      <c r="L18" s="637"/>
      <c r="M18" s="946"/>
      <c r="N18" s="945"/>
      <c r="O18" s="945"/>
      <c r="P18" s="945"/>
      <c r="Q18" s="945"/>
      <c r="R18" s="945"/>
      <c r="S18" s="945"/>
      <c r="T18" s="945"/>
      <c r="U18" s="945"/>
      <c r="V18" s="945"/>
      <c r="W18" s="945"/>
      <c r="X18" s="945"/>
      <c r="Y18" s="945"/>
      <c r="Z18" s="945"/>
    </row>
    <row r="19" spans="1:26" ht="18" customHeight="1" x14ac:dyDescent="0.35">
      <c r="A19" s="945"/>
      <c r="B19" s="1367"/>
      <c r="C19" s="1370"/>
      <c r="D19" s="1004" t="s">
        <v>128</v>
      </c>
      <c r="E19" s="1003"/>
      <c r="F19" s="1017">
        <v>33</v>
      </c>
      <c r="G19" s="1002"/>
      <c r="H19" s="1002"/>
      <c r="I19" s="1013"/>
      <c r="J19" s="1012"/>
      <c r="K19" s="1359"/>
      <c r="L19" s="637"/>
      <c r="M19" s="946"/>
      <c r="N19" s="945"/>
      <c r="O19" s="945"/>
      <c r="P19" s="945"/>
      <c r="Q19" s="945"/>
      <c r="R19" s="945"/>
      <c r="S19" s="945"/>
      <c r="T19" s="945"/>
      <c r="U19" s="945"/>
      <c r="V19" s="945"/>
      <c r="W19" s="945"/>
      <c r="X19" s="945"/>
      <c r="Y19" s="945"/>
      <c r="Z19" s="945"/>
    </row>
    <row r="20" spans="1:26" ht="18" customHeight="1" x14ac:dyDescent="0.35">
      <c r="A20" s="945"/>
      <c r="B20" s="1367"/>
      <c r="C20" s="1370"/>
      <c r="D20" s="1004" t="s">
        <v>129</v>
      </c>
      <c r="E20" s="1021"/>
      <c r="F20" s="1005">
        <v>5</v>
      </c>
      <c r="G20" s="1002"/>
      <c r="H20" s="1002"/>
      <c r="I20" s="1013"/>
      <c r="J20" s="1012"/>
      <c r="K20" s="1359"/>
      <c r="L20" s="637"/>
      <c r="M20" s="946"/>
      <c r="N20" s="945"/>
      <c r="O20" s="945"/>
      <c r="P20" s="945"/>
      <c r="Q20" s="945"/>
      <c r="R20" s="945"/>
      <c r="S20" s="945"/>
      <c r="T20" s="945"/>
      <c r="U20" s="945"/>
      <c r="V20" s="945"/>
      <c r="W20" s="945"/>
      <c r="X20" s="945"/>
      <c r="Y20" s="945"/>
      <c r="Z20" s="945"/>
    </row>
    <row r="21" spans="1:26" ht="18" customHeight="1" x14ac:dyDescent="0.35">
      <c r="A21" s="945"/>
      <c r="B21" s="1367"/>
      <c r="C21" s="1370"/>
      <c r="D21" s="1004" t="s">
        <v>130</v>
      </c>
      <c r="E21" s="1003"/>
      <c r="F21" s="1005">
        <v>5</v>
      </c>
      <c r="G21" s="1002"/>
      <c r="H21" s="1002"/>
      <c r="I21" s="1013"/>
      <c r="J21" s="1012"/>
      <c r="K21" s="1359"/>
      <c r="L21" s="637"/>
      <c r="M21" s="946"/>
      <c r="N21" s="945"/>
      <c r="O21" s="945"/>
      <c r="P21" s="945"/>
      <c r="Q21" s="945"/>
      <c r="R21" s="945"/>
      <c r="S21" s="945"/>
      <c r="T21" s="945"/>
      <c r="U21" s="945"/>
      <c r="V21" s="945"/>
      <c r="W21" s="945"/>
      <c r="X21" s="945"/>
      <c r="Y21" s="945"/>
      <c r="Z21" s="945"/>
    </row>
    <row r="22" spans="1:26" ht="18" customHeight="1" thickBot="1" x14ac:dyDescent="0.4">
      <c r="A22" s="945"/>
      <c r="B22" s="1368"/>
      <c r="C22" s="1378"/>
      <c r="D22" s="1004" t="s">
        <v>131</v>
      </c>
      <c r="E22" s="1003"/>
      <c r="F22" s="1005">
        <v>10</v>
      </c>
      <c r="G22" s="1002"/>
      <c r="H22" s="1002"/>
      <c r="I22" s="1013"/>
      <c r="J22" s="1012"/>
      <c r="K22" s="1359"/>
      <c r="L22" s="637"/>
      <c r="M22" s="946"/>
      <c r="N22" s="945"/>
      <c r="O22" s="945"/>
      <c r="P22" s="945"/>
      <c r="Q22" s="945"/>
      <c r="R22" s="945"/>
      <c r="S22" s="945"/>
      <c r="T22" s="945"/>
      <c r="U22" s="945"/>
      <c r="V22" s="945"/>
      <c r="W22" s="945"/>
      <c r="X22" s="945"/>
      <c r="Y22" s="945"/>
      <c r="Z22" s="945"/>
    </row>
    <row r="23" spans="1:26" ht="18" customHeight="1" x14ac:dyDescent="0.35">
      <c r="A23" s="945"/>
      <c r="B23" s="1366">
        <v>3</v>
      </c>
      <c r="C23" s="1369" t="s">
        <v>133</v>
      </c>
      <c r="D23" s="1016" t="s">
        <v>127</v>
      </c>
      <c r="E23" s="1018"/>
      <c r="F23" s="1017">
        <v>21</v>
      </c>
      <c r="G23" s="1016"/>
      <c r="H23" s="1016"/>
      <c r="I23" s="1020"/>
      <c r="J23" s="1015"/>
      <c r="K23" s="1359"/>
      <c r="L23" s="637"/>
      <c r="M23" s="946"/>
      <c r="N23" s="945"/>
      <c r="O23" s="945"/>
      <c r="P23" s="945"/>
      <c r="Q23" s="945"/>
      <c r="R23" s="945"/>
      <c r="S23" s="945"/>
      <c r="T23" s="945"/>
      <c r="U23" s="945"/>
      <c r="V23" s="945"/>
      <c r="W23" s="945"/>
      <c r="X23" s="945"/>
      <c r="Y23" s="945"/>
      <c r="Z23" s="945"/>
    </row>
    <row r="24" spans="1:26" ht="18" customHeight="1" x14ac:dyDescent="0.35">
      <c r="A24" s="945"/>
      <c r="B24" s="1367"/>
      <c r="C24" s="1370"/>
      <c r="D24" s="1004" t="s">
        <v>128</v>
      </c>
      <c r="E24" s="1003"/>
      <c r="F24" s="1005">
        <v>18</v>
      </c>
      <c r="G24" s="1002"/>
      <c r="H24" s="1002"/>
      <c r="I24" s="1013"/>
      <c r="J24" s="1012"/>
      <c r="K24" s="1359"/>
      <c r="L24" s="637"/>
      <c r="M24" s="946"/>
      <c r="N24" s="945"/>
      <c r="O24" s="945"/>
      <c r="P24" s="945"/>
      <c r="Q24" s="945"/>
      <c r="R24" s="945"/>
      <c r="S24" s="945"/>
      <c r="T24" s="945"/>
      <c r="U24" s="945"/>
      <c r="V24" s="945"/>
      <c r="W24" s="945"/>
      <c r="X24" s="945"/>
      <c r="Y24" s="945"/>
      <c r="Z24" s="945"/>
    </row>
    <row r="25" spans="1:26" ht="18" customHeight="1" x14ac:dyDescent="0.35">
      <c r="A25" s="945"/>
      <c r="B25" s="1367"/>
      <c r="C25" s="1370"/>
      <c r="D25" s="1004" t="s">
        <v>129</v>
      </c>
      <c r="E25" s="1003"/>
      <c r="F25" s="1005">
        <v>3</v>
      </c>
      <c r="G25" s="1002"/>
      <c r="H25" s="1002"/>
      <c r="I25" s="1013"/>
      <c r="J25" s="1012"/>
      <c r="K25" s="1359"/>
      <c r="L25" s="637"/>
      <c r="M25" s="946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Y25" s="945"/>
      <c r="Z25" s="945"/>
    </row>
    <row r="26" spans="1:26" ht="18" customHeight="1" x14ac:dyDescent="0.35">
      <c r="A26" s="945"/>
      <c r="B26" s="1367"/>
      <c r="C26" s="1370"/>
      <c r="D26" s="1004" t="s">
        <v>130</v>
      </c>
      <c r="E26" s="1003"/>
      <c r="F26" s="1005">
        <v>2</v>
      </c>
      <c r="G26" s="1002"/>
      <c r="H26" s="1002"/>
      <c r="I26" s="1013"/>
      <c r="J26" s="1012"/>
      <c r="K26" s="1359"/>
      <c r="L26" s="1019"/>
      <c r="M26" s="946"/>
      <c r="N26" s="945"/>
      <c r="O26" s="945"/>
      <c r="P26" s="945"/>
      <c r="Q26" s="945"/>
      <c r="R26" s="945"/>
      <c r="S26" s="945"/>
      <c r="T26" s="945"/>
      <c r="U26" s="945"/>
      <c r="V26" s="945"/>
      <c r="W26" s="945"/>
      <c r="X26" s="945"/>
      <c r="Y26" s="945"/>
      <c r="Z26" s="945"/>
    </row>
    <row r="27" spans="1:26" ht="18" customHeight="1" thickBot="1" x14ac:dyDescent="0.4">
      <c r="A27" s="945"/>
      <c r="B27" s="1367"/>
      <c r="C27" s="1370"/>
      <c r="D27" s="1004" t="s">
        <v>131</v>
      </c>
      <c r="E27" s="1003"/>
      <c r="F27" s="1005">
        <v>3</v>
      </c>
      <c r="G27" s="1002"/>
      <c r="H27" s="1002"/>
      <c r="I27" s="1013"/>
      <c r="J27" s="1012"/>
      <c r="K27" s="1359"/>
      <c r="L27" s="637"/>
      <c r="M27" s="946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Y27" s="945"/>
      <c r="Z27" s="945"/>
    </row>
    <row r="28" spans="1:26" ht="18" customHeight="1" x14ac:dyDescent="0.35">
      <c r="A28" s="945"/>
      <c r="B28" s="1366">
        <v>4</v>
      </c>
      <c r="C28" s="1369" t="s">
        <v>134</v>
      </c>
      <c r="D28" s="1016" t="s">
        <v>127</v>
      </c>
      <c r="E28" s="1018"/>
      <c r="F28" s="1017">
        <v>7</v>
      </c>
      <c r="G28" s="1016"/>
      <c r="H28" s="1016"/>
      <c r="I28" s="1015"/>
      <c r="J28" s="1015"/>
      <c r="K28" s="1360"/>
      <c r="L28" s="1359"/>
      <c r="M28" s="946"/>
      <c r="N28" s="945"/>
      <c r="O28" s="945"/>
      <c r="P28" s="945"/>
      <c r="Q28" s="945"/>
      <c r="R28" s="945"/>
      <c r="S28" s="945"/>
      <c r="T28" s="945"/>
      <c r="U28" s="945"/>
      <c r="V28" s="945"/>
      <c r="W28" s="945"/>
      <c r="X28" s="945"/>
      <c r="Y28" s="945"/>
      <c r="Z28" s="945"/>
    </row>
    <row r="29" spans="1:26" ht="18" customHeight="1" x14ac:dyDescent="0.35">
      <c r="A29" s="945"/>
      <c r="B29" s="1367"/>
      <c r="C29" s="1370"/>
      <c r="D29" s="1004" t="s">
        <v>128</v>
      </c>
      <c r="E29" s="1003"/>
      <c r="F29" s="1014">
        <v>6</v>
      </c>
      <c r="G29" s="1002"/>
      <c r="H29" s="1002"/>
      <c r="I29" s="1012"/>
      <c r="J29" s="1012"/>
      <c r="K29" s="1361"/>
      <c r="L29" s="1362"/>
      <c r="M29" s="946"/>
      <c r="N29" s="945"/>
      <c r="O29" s="945"/>
      <c r="P29" s="945"/>
      <c r="Q29" s="945"/>
      <c r="R29" s="945"/>
      <c r="S29" s="945"/>
      <c r="T29" s="945"/>
      <c r="U29" s="945"/>
      <c r="V29" s="945"/>
      <c r="W29" s="945"/>
      <c r="X29" s="945"/>
      <c r="Y29" s="945"/>
      <c r="Z29" s="945"/>
    </row>
    <row r="30" spans="1:26" ht="18" x14ac:dyDescent="0.35">
      <c r="A30" s="945"/>
      <c r="B30" s="1367"/>
      <c r="C30" s="1370"/>
      <c r="D30" s="1004" t="s">
        <v>129</v>
      </c>
      <c r="E30" s="1003"/>
      <c r="F30" s="1005">
        <v>1</v>
      </c>
      <c r="G30" s="1002"/>
      <c r="H30" s="1002"/>
      <c r="I30" s="1013"/>
      <c r="J30" s="1012"/>
      <c r="K30" s="1359"/>
      <c r="L30" s="1359"/>
      <c r="M30" s="946"/>
      <c r="N30" s="945"/>
      <c r="O30" s="945"/>
      <c r="P30" s="945"/>
      <c r="Q30" s="945"/>
      <c r="R30" s="945"/>
      <c r="S30" s="945"/>
      <c r="T30" s="945"/>
      <c r="U30" s="945"/>
      <c r="V30" s="945"/>
      <c r="W30" s="945"/>
      <c r="X30" s="945"/>
      <c r="Y30" s="945"/>
      <c r="Z30" s="945"/>
    </row>
    <row r="31" spans="1:26" ht="18" customHeight="1" x14ac:dyDescent="0.35">
      <c r="A31" s="945"/>
      <c r="B31" s="1367"/>
      <c r="C31" s="1370"/>
      <c r="D31" s="1004" t="s">
        <v>130</v>
      </c>
      <c r="E31" s="1003"/>
      <c r="F31" s="1005">
        <v>0</v>
      </c>
      <c r="G31" s="1002"/>
      <c r="H31" s="1002"/>
      <c r="I31" s="1013"/>
      <c r="J31" s="1012"/>
      <c r="K31" s="1359"/>
      <c r="L31" s="1359"/>
      <c r="M31" s="946"/>
      <c r="N31" s="945"/>
      <c r="O31" s="945"/>
      <c r="P31" s="945"/>
      <c r="Q31" s="945"/>
      <c r="R31" s="945"/>
      <c r="S31" s="945"/>
      <c r="T31" s="945"/>
      <c r="U31" s="945"/>
      <c r="V31" s="945"/>
      <c r="W31" s="945"/>
      <c r="X31" s="945"/>
      <c r="Y31" s="945"/>
      <c r="Z31" s="945"/>
    </row>
    <row r="32" spans="1:26" ht="18" customHeight="1" x14ac:dyDescent="0.35">
      <c r="A32" s="945"/>
      <c r="B32" s="1367"/>
      <c r="C32" s="1370"/>
      <c r="D32" s="1011" t="s">
        <v>131</v>
      </c>
      <c r="E32" s="1010"/>
      <c r="F32" s="1009">
        <v>4</v>
      </c>
      <c r="G32" s="1006"/>
      <c r="H32" s="1006"/>
      <c r="I32" s="1008"/>
      <c r="J32" s="1007"/>
      <c r="K32" s="376"/>
      <c r="L32" s="376"/>
      <c r="M32" s="946"/>
      <c r="N32" s="945"/>
      <c r="O32" s="945"/>
      <c r="P32" s="945"/>
      <c r="Q32" s="945"/>
      <c r="R32" s="945"/>
      <c r="S32" s="945"/>
      <c r="T32" s="945"/>
      <c r="U32" s="945"/>
      <c r="V32" s="945"/>
      <c r="W32" s="945"/>
      <c r="X32" s="945"/>
      <c r="Y32" s="945"/>
      <c r="Z32" s="945"/>
    </row>
    <row r="33" spans="1:26" ht="18" customHeight="1" x14ac:dyDescent="0.35">
      <c r="A33" s="945"/>
      <c r="B33" s="1371">
        <v>5</v>
      </c>
      <c r="C33" s="1371" t="s">
        <v>135</v>
      </c>
      <c r="D33" s="1002" t="s">
        <v>127</v>
      </c>
      <c r="E33" s="1003"/>
      <c r="F33" s="1005">
        <v>2</v>
      </c>
      <c r="G33" s="1002"/>
      <c r="H33" s="1002"/>
      <c r="I33" s="1002"/>
      <c r="J33" s="958"/>
      <c r="K33" s="376"/>
      <c r="L33" s="376"/>
      <c r="M33" s="946"/>
      <c r="N33" s="945"/>
      <c r="O33" s="945"/>
      <c r="P33" s="945"/>
      <c r="Q33" s="945"/>
      <c r="R33" s="945"/>
      <c r="S33" s="945"/>
      <c r="T33" s="945"/>
      <c r="U33" s="945"/>
      <c r="V33" s="945"/>
      <c r="W33" s="945"/>
      <c r="X33" s="945"/>
      <c r="Y33" s="945"/>
      <c r="Z33" s="945"/>
    </row>
    <row r="34" spans="1:26" ht="18" customHeight="1" x14ac:dyDescent="0.35">
      <c r="A34" s="945"/>
      <c r="B34" s="1372"/>
      <c r="C34" s="1372"/>
      <c r="D34" s="1004" t="s">
        <v>128</v>
      </c>
      <c r="E34" s="1003"/>
      <c r="F34" s="1002">
        <v>2</v>
      </c>
      <c r="G34" s="1002"/>
      <c r="H34" s="1002"/>
      <c r="I34" s="1002"/>
      <c r="J34" s="958"/>
      <c r="K34" s="376"/>
      <c r="L34" s="376"/>
      <c r="M34" s="946"/>
      <c r="N34" s="945"/>
      <c r="O34" s="945"/>
      <c r="P34" s="945"/>
      <c r="Q34" s="945"/>
      <c r="R34" s="945"/>
      <c r="S34" s="945"/>
      <c r="T34" s="945"/>
      <c r="U34" s="945"/>
      <c r="V34" s="945"/>
      <c r="W34" s="945"/>
      <c r="X34" s="945"/>
      <c r="Y34" s="945"/>
      <c r="Z34" s="945"/>
    </row>
    <row r="35" spans="1:26" ht="18" customHeight="1" x14ac:dyDescent="0.35">
      <c r="A35" s="945"/>
      <c r="B35" s="1372"/>
      <c r="C35" s="1372"/>
      <c r="D35" s="1004" t="s">
        <v>129</v>
      </c>
      <c r="E35" s="1003"/>
      <c r="F35" s="1002">
        <v>0</v>
      </c>
      <c r="G35" s="1002"/>
      <c r="H35" s="1002"/>
      <c r="I35" s="1002"/>
      <c r="J35" s="958"/>
      <c r="K35" s="376"/>
      <c r="L35" s="376"/>
      <c r="M35" s="946"/>
      <c r="N35" s="945"/>
      <c r="O35" s="945"/>
      <c r="P35" s="945"/>
      <c r="Q35" s="945"/>
      <c r="R35" s="945"/>
      <c r="S35" s="945"/>
      <c r="T35" s="945"/>
      <c r="U35" s="945"/>
      <c r="V35" s="945"/>
      <c r="W35" s="945"/>
      <c r="X35" s="945"/>
      <c r="Y35" s="945"/>
      <c r="Z35" s="945"/>
    </row>
    <row r="36" spans="1:26" ht="18" customHeight="1" x14ac:dyDescent="0.35">
      <c r="A36" s="945"/>
      <c r="B36" s="1372"/>
      <c r="C36" s="1372"/>
      <c r="D36" s="1004" t="s">
        <v>130</v>
      </c>
      <c r="E36" s="1003"/>
      <c r="F36" s="1002">
        <v>0</v>
      </c>
      <c r="G36" s="1002"/>
      <c r="H36" s="1002"/>
      <c r="I36" s="1002"/>
      <c r="J36" s="958"/>
      <c r="K36" s="376"/>
      <c r="L36" s="376"/>
      <c r="M36" s="946"/>
      <c r="N36" s="945"/>
      <c r="O36" s="945"/>
      <c r="P36" s="945"/>
      <c r="Q36" s="945"/>
      <c r="R36" s="945"/>
      <c r="S36" s="945"/>
      <c r="T36" s="945"/>
      <c r="U36" s="945"/>
      <c r="V36" s="945"/>
      <c r="W36" s="945"/>
      <c r="X36" s="945"/>
      <c r="Y36" s="945"/>
      <c r="Z36" s="945"/>
    </row>
    <row r="37" spans="1:26" ht="18" customHeight="1" x14ac:dyDescent="0.35">
      <c r="A37" s="945"/>
      <c r="B37" s="1373"/>
      <c r="C37" s="1373"/>
      <c r="D37" s="1004" t="s">
        <v>131</v>
      </c>
      <c r="E37" s="1003"/>
      <c r="F37" s="1002">
        <v>0</v>
      </c>
      <c r="G37" s="1002"/>
      <c r="H37" s="1002"/>
      <c r="I37" s="1002"/>
      <c r="J37" s="958"/>
      <c r="K37" s="376"/>
      <c r="L37" s="376"/>
      <c r="M37" s="946"/>
      <c r="N37" s="945"/>
      <c r="O37" s="945"/>
      <c r="P37" s="945"/>
      <c r="Q37" s="945"/>
      <c r="R37" s="945"/>
      <c r="S37" s="945"/>
      <c r="T37" s="945"/>
      <c r="U37" s="945"/>
      <c r="V37" s="945"/>
      <c r="W37" s="945"/>
      <c r="X37" s="945"/>
      <c r="Y37" s="945"/>
      <c r="Z37" s="945"/>
    </row>
    <row r="38" spans="1:26" ht="18" customHeight="1" x14ac:dyDescent="0.35">
      <c r="A38" s="945"/>
      <c r="B38" s="998"/>
      <c r="C38" s="998"/>
      <c r="D38" s="1001"/>
      <c r="E38" s="1001"/>
      <c r="F38" s="1001"/>
      <c r="G38" s="1001"/>
      <c r="H38" s="1001"/>
      <c r="I38" s="1000"/>
      <c r="J38" s="999"/>
      <c r="K38" s="376"/>
      <c r="L38" s="376"/>
      <c r="M38" s="946"/>
      <c r="N38" s="945"/>
      <c r="O38" s="945"/>
      <c r="P38" s="945"/>
      <c r="Q38" s="945"/>
      <c r="R38" s="945"/>
      <c r="S38" s="945"/>
      <c r="T38" s="945"/>
      <c r="U38" s="945"/>
      <c r="V38" s="945"/>
      <c r="W38" s="945"/>
      <c r="X38" s="945"/>
      <c r="Y38" s="945"/>
      <c r="Z38" s="945"/>
    </row>
    <row r="39" spans="1:26" ht="18" customHeight="1" x14ac:dyDescent="0.35">
      <c r="A39" s="945"/>
      <c r="B39" s="998"/>
      <c r="C39" s="998"/>
      <c r="D39" s="996" t="s">
        <v>122</v>
      </c>
      <c r="E39" s="996"/>
      <c r="F39" s="997">
        <f>F13+F18+F23+F28+F33</f>
        <v>284</v>
      </c>
      <c r="G39" s="996"/>
      <c r="H39" s="996"/>
      <c r="I39" s="995"/>
      <c r="J39" s="994"/>
      <c r="K39" s="946"/>
      <c r="L39" s="946"/>
      <c r="M39" s="946"/>
      <c r="N39" s="945"/>
      <c r="O39" s="945"/>
      <c r="P39" s="945"/>
      <c r="Q39" s="945"/>
      <c r="R39" s="945"/>
      <c r="S39" s="945"/>
      <c r="T39" s="945"/>
      <c r="U39" s="945"/>
      <c r="V39" s="945"/>
      <c r="W39" s="945"/>
      <c r="X39" s="945"/>
      <c r="Y39" s="945"/>
      <c r="Z39" s="945"/>
    </row>
    <row r="40" spans="1:26" ht="18" customHeight="1" x14ac:dyDescent="0.35">
      <c r="A40" s="945"/>
      <c r="B40" s="993"/>
      <c r="C40" s="993"/>
      <c r="D40" s="376"/>
      <c r="E40" s="376"/>
      <c r="F40" s="376"/>
      <c r="G40" s="376"/>
      <c r="H40" s="376"/>
      <c r="I40" s="376"/>
      <c r="J40" s="376"/>
      <c r="K40" s="946"/>
      <c r="L40" s="946"/>
      <c r="M40" s="946"/>
      <c r="N40" s="945"/>
      <c r="O40" s="945"/>
      <c r="P40" s="945"/>
      <c r="Q40" s="945"/>
      <c r="R40" s="945"/>
      <c r="S40" s="945"/>
      <c r="T40" s="945"/>
      <c r="U40" s="945"/>
      <c r="V40" s="945"/>
      <c r="W40" s="945"/>
      <c r="X40" s="945"/>
      <c r="Y40" s="945"/>
      <c r="Z40" s="945"/>
    </row>
    <row r="41" spans="1:26" ht="18" customHeight="1" x14ac:dyDescent="0.35">
      <c r="A41" s="945"/>
      <c r="B41" s="993"/>
      <c r="C41" s="993"/>
      <c r="D41" s="376"/>
      <c r="E41" s="376"/>
      <c r="F41" s="376"/>
      <c r="G41" s="376"/>
      <c r="H41" s="376"/>
      <c r="I41" s="376"/>
      <c r="J41" s="376"/>
      <c r="K41" s="946"/>
      <c r="L41" s="946"/>
      <c r="M41" s="946"/>
      <c r="N41" s="945"/>
      <c r="O41" s="945"/>
      <c r="P41" s="945"/>
      <c r="Q41" s="945"/>
      <c r="R41" s="945"/>
      <c r="S41" s="945"/>
      <c r="T41" s="945"/>
      <c r="U41" s="945"/>
      <c r="V41" s="945"/>
      <c r="W41" s="945"/>
      <c r="X41" s="945"/>
      <c r="Y41" s="945"/>
      <c r="Z41" s="945"/>
    </row>
    <row r="42" spans="1:26" ht="18" customHeight="1" thickBot="1" x14ac:dyDescent="0.4">
      <c r="A42" s="945"/>
      <c r="B42" s="993"/>
      <c r="C42" s="993"/>
      <c r="D42" s="376"/>
      <c r="E42" s="376"/>
      <c r="F42" s="376"/>
      <c r="G42" s="376"/>
      <c r="H42" s="376"/>
      <c r="I42" s="376"/>
      <c r="J42" s="376"/>
      <c r="K42" s="946"/>
      <c r="L42" s="946"/>
      <c r="M42" s="946"/>
      <c r="N42" s="945"/>
      <c r="O42" s="945"/>
      <c r="P42" s="945"/>
      <c r="Q42" s="945"/>
      <c r="R42" s="945"/>
      <c r="S42" s="945"/>
      <c r="T42" s="945"/>
      <c r="U42" s="945"/>
      <c r="V42" s="945"/>
      <c r="W42" s="945"/>
      <c r="X42" s="945"/>
      <c r="Y42" s="945"/>
      <c r="Z42" s="945"/>
    </row>
    <row r="43" spans="1:26" ht="18" customHeight="1" thickBot="1" x14ac:dyDescent="0.55000000000000004">
      <c r="A43" s="945"/>
      <c r="B43" s="1363"/>
      <c r="C43" s="1364"/>
      <c r="D43" s="1364"/>
      <c r="E43" s="1364"/>
      <c r="F43" s="1364"/>
      <c r="G43" s="1364"/>
      <c r="H43" s="1364"/>
      <c r="I43" s="1364"/>
      <c r="J43" s="1364"/>
      <c r="K43" s="1365"/>
      <c r="L43" s="946"/>
      <c r="M43" s="946"/>
      <c r="N43" s="945"/>
      <c r="O43" s="945"/>
      <c r="P43" s="945"/>
      <c r="Q43" s="945"/>
      <c r="R43" s="945"/>
      <c r="S43" s="945"/>
      <c r="T43" s="945"/>
      <c r="U43" s="945"/>
      <c r="V43" s="945"/>
      <c r="W43" s="945"/>
      <c r="X43" s="945"/>
      <c r="Y43" s="945"/>
      <c r="Z43" s="945"/>
    </row>
    <row r="44" spans="1:26" ht="27.6" x14ac:dyDescent="0.3">
      <c r="A44" s="945"/>
      <c r="B44" s="992" t="s">
        <v>22</v>
      </c>
      <c r="C44" s="991" t="s">
        <v>23</v>
      </c>
      <c r="D44" s="991" t="s">
        <v>24</v>
      </c>
      <c r="E44" s="991" t="s">
        <v>25</v>
      </c>
      <c r="F44" s="991" t="s">
        <v>56</v>
      </c>
      <c r="G44" s="991" t="s">
        <v>57</v>
      </c>
      <c r="H44" s="991" t="s">
        <v>58</v>
      </c>
      <c r="I44" s="991" t="s">
        <v>59</v>
      </c>
      <c r="J44" s="991" t="s">
        <v>60</v>
      </c>
      <c r="K44" s="991" t="s">
        <v>61</v>
      </c>
      <c r="L44" s="991" t="s">
        <v>62</v>
      </c>
      <c r="M44" s="990" t="s">
        <v>33</v>
      </c>
      <c r="N44" s="945"/>
      <c r="O44" s="945"/>
      <c r="P44" s="945"/>
      <c r="Q44" s="945"/>
      <c r="R44" s="945"/>
      <c r="S44" s="945"/>
      <c r="T44" s="945"/>
      <c r="U44" s="945"/>
      <c r="V44" s="945"/>
      <c r="W44" s="945"/>
      <c r="X44" s="945"/>
      <c r="Y44" s="945"/>
      <c r="Z44" s="945"/>
    </row>
    <row r="45" spans="1:26" ht="63.75" customHeight="1" x14ac:dyDescent="0.3">
      <c r="A45" s="945"/>
      <c r="B45" s="989" t="s">
        <v>63</v>
      </c>
      <c r="C45" s="988" t="s">
        <v>64</v>
      </c>
      <c r="D45" s="988">
        <f>'Master Sheet'!D42</f>
        <v>292</v>
      </c>
      <c r="E45" s="988">
        <f>'Master Sheet'!E42</f>
        <v>316</v>
      </c>
      <c r="F45" s="988">
        <f>'Master Sheet'!F42</f>
        <v>277</v>
      </c>
      <c r="G45" s="988">
        <f>'Master Sheet'!G42</f>
        <v>15</v>
      </c>
      <c r="H45" s="988">
        <f>'Master Sheet'!H42</f>
        <v>0</v>
      </c>
      <c r="I45" s="988">
        <f>'Master Sheet'!I42</f>
        <v>15</v>
      </c>
      <c r="J45" s="988">
        <f>'Master Sheet'!J42</f>
        <v>0</v>
      </c>
      <c r="K45" s="988">
        <f>'Master Sheet'!K42</f>
        <v>277</v>
      </c>
      <c r="L45" s="1110">
        <f>'Master Sheet'!L42</f>
        <v>39</v>
      </c>
      <c r="M45" s="987"/>
      <c r="N45" s="945"/>
      <c r="O45" s="945"/>
      <c r="P45" s="945"/>
      <c r="Q45" s="945"/>
      <c r="R45" s="945"/>
      <c r="S45" s="945"/>
      <c r="T45" s="945"/>
      <c r="U45" s="945"/>
      <c r="V45" s="945"/>
      <c r="W45" s="945"/>
      <c r="X45" s="945"/>
      <c r="Y45" s="945"/>
      <c r="Z45" s="945"/>
    </row>
    <row r="46" spans="1:26" ht="13.8" x14ac:dyDescent="0.3">
      <c r="A46" s="945"/>
      <c r="B46" s="986" t="s">
        <v>65</v>
      </c>
      <c r="C46" s="985" t="s">
        <v>66</v>
      </c>
      <c r="D46" s="985">
        <f>'Master Sheet'!D43</f>
        <v>292</v>
      </c>
      <c r="E46" s="985">
        <f>'Master Sheet'!E43</f>
        <v>316</v>
      </c>
      <c r="F46" s="985">
        <f>'Master Sheet'!F43</f>
        <v>284</v>
      </c>
      <c r="G46" s="985">
        <f>'Master Sheet'!G43</f>
        <v>8</v>
      </c>
      <c r="H46" s="985">
        <f>'Master Sheet'!H43</f>
        <v>0</v>
      </c>
      <c r="I46" s="985">
        <f>'Master Sheet'!I43</f>
        <v>8</v>
      </c>
      <c r="J46" s="985">
        <f>'Master Sheet'!J43</f>
        <v>0</v>
      </c>
      <c r="K46" s="985">
        <f>'Master Sheet'!K43</f>
        <v>284</v>
      </c>
      <c r="L46" s="1111">
        <f>'Master Sheet'!L43</f>
        <v>32</v>
      </c>
      <c r="M46" s="984"/>
      <c r="N46" s="945"/>
      <c r="O46" s="945"/>
      <c r="P46" s="945"/>
      <c r="Q46" s="945"/>
      <c r="R46" s="945"/>
      <c r="S46" s="945"/>
      <c r="T46" s="945"/>
      <c r="U46" s="945"/>
      <c r="V46" s="945"/>
      <c r="W46" s="945"/>
      <c r="X46" s="945"/>
      <c r="Y46" s="945"/>
      <c r="Z46" s="945"/>
    </row>
    <row r="47" spans="1:26" ht="49.2" customHeight="1" thickBot="1" x14ac:dyDescent="0.35">
      <c r="A47" s="945"/>
      <c r="B47" s="983" t="s">
        <v>543</v>
      </c>
      <c r="C47" s="982" t="s">
        <v>35</v>
      </c>
      <c r="D47" s="982">
        <f>'Master Sheet'!D44</f>
        <v>4118</v>
      </c>
      <c r="E47" s="982">
        <f>'Master Sheet'!E44</f>
        <v>3800</v>
      </c>
      <c r="F47" s="982">
        <f>'Master Sheet'!F44</f>
        <v>4109.0569999999998</v>
      </c>
      <c r="G47" s="982">
        <f>'Master Sheet'!G44</f>
        <v>8.943000000000211</v>
      </c>
      <c r="H47" s="982">
        <f>'Master Sheet'!H44</f>
        <v>514</v>
      </c>
      <c r="I47" s="982">
        <f>'Master Sheet'!I44</f>
        <v>8.943000000000211</v>
      </c>
      <c r="J47" s="982">
        <f>'Master Sheet'!J44</f>
        <v>0</v>
      </c>
      <c r="K47" s="982">
        <f>'Master Sheet'!K44</f>
        <v>4109.0569999999998</v>
      </c>
      <c r="L47" s="982">
        <f>'Master Sheet'!L44</f>
        <v>204.94300000000021</v>
      </c>
      <c r="M47" s="981"/>
      <c r="N47" s="945"/>
      <c r="O47" s="945"/>
      <c r="P47" s="945"/>
      <c r="Q47" s="945"/>
      <c r="R47" s="945"/>
      <c r="S47" s="945"/>
      <c r="T47" s="945"/>
      <c r="U47" s="945"/>
      <c r="V47" s="945"/>
      <c r="W47" s="945"/>
      <c r="X47" s="945"/>
      <c r="Y47" s="945"/>
      <c r="Z47" s="945"/>
    </row>
    <row r="48" spans="1:26" ht="18" customHeight="1" x14ac:dyDescent="0.35">
      <c r="A48" s="945"/>
      <c r="B48" s="376"/>
      <c r="C48" s="376"/>
      <c r="D48" s="376"/>
      <c r="E48" s="376"/>
      <c r="F48" s="376"/>
      <c r="G48" s="376"/>
      <c r="H48" s="376"/>
      <c r="I48" s="376"/>
      <c r="J48" s="376"/>
      <c r="K48" s="946"/>
      <c r="L48" s="946"/>
      <c r="M48" s="946"/>
      <c r="N48" s="945"/>
      <c r="O48" s="945"/>
      <c r="P48" s="945"/>
      <c r="Q48" s="945"/>
      <c r="R48" s="945"/>
      <c r="S48" s="945"/>
      <c r="T48" s="945"/>
      <c r="U48" s="945"/>
      <c r="V48" s="945"/>
      <c r="W48" s="945"/>
      <c r="X48" s="945"/>
      <c r="Y48" s="945"/>
      <c r="Z48" s="945"/>
    </row>
    <row r="49" spans="1:26" ht="18" customHeight="1" thickBot="1" x14ac:dyDescent="0.4">
      <c r="A49" s="945"/>
      <c r="B49" s="376"/>
      <c r="C49" s="376"/>
      <c r="D49" s="376"/>
      <c r="E49" s="376"/>
      <c r="F49" s="376"/>
      <c r="G49" s="376"/>
      <c r="H49" s="376"/>
      <c r="I49" s="376"/>
      <c r="J49" s="376"/>
      <c r="K49" s="946"/>
      <c r="L49" s="946"/>
      <c r="M49" s="946"/>
      <c r="N49" s="945"/>
      <c r="O49" s="945"/>
      <c r="P49" s="945"/>
      <c r="Q49" s="945"/>
      <c r="R49" s="945"/>
      <c r="S49" s="945"/>
      <c r="T49" s="945"/>
      <c r="U49" s="945"/>
      <c r="V49" s="945"/>
      <c r="W49" s="945"/>
      <c r="X49" s="945"/>
      <c r="Y49" s="945"/>
      <c r="Z49" s="945"/>
    </row>
    <row r="50" spans="1:26" ht="18" customHeight="1" thickBot="1" x14ac:dyDescent="0.35">
      <c r="A50" s="945"/>
      <c r="B50" s="1374" t="s">
        <v>136</v>
      </c>
      <c r="C50" s="1364"/>
      <c r="D50" s="1364"/>
      <c r="E50" s="1364"/>
      <c r="F50" s="1364"/>
      <c r="G50" s="1364"/>
      <c r="H50" s="1364"/>
      <c r="I50" s="1364"/>
      <c r="J50" s="1365"/>
      <c r="K50" s="979"/>
      <c r="L50" s="978"/>
      <c r="M50" s="977"/>
      <c r="N50" s="945"/>
      <c r="O50" s="945"/>
      <c r="P50" s="945"/>
      <c r="Q50" s="945"/>
      <c r="R50" s="945"/>
      <c r="S50" s="945"/>
      <c r="T50" s="945"/>
      <c r="U50" s="945"/>
      <c r="V50" s="945"/>
      <c r="W50" s="945"/>
      <c r="X50" s="945"/>
      <c r="Y50" s="945"/>
      <c r="Z50" s="945"/>
    </row>
    <row r="51" spans="1:26" ht="41.4" x14ac:dyDescent="0.3">
      <c r="A51" s="945"/>
      <c r="B51" s="976" t="s">
        <v>137</v>
      </c>
      <c r="C51" s="975" t="s">
        <v>138</v>
      </c>
      <c r="D51" s="975" t="s">
        <v>23</v>
      </c>
      <c r="E51" s="975" t="s">
        <v>139</v>
      </c>
      <c r="F51" s="975" t="s">
        <v>1053</v>
      </c>
      <c r="G51" s="975" t="s">
        <v>1054</v>
      </c>
      <c r="H51" s="975" t="s">
        <v>140</v>
      </c>
      <c r="I51" s="974" t="s">
        <v>1055</v>
      </c>
      <c r="J51" s="973" t="s">
        <v>1056</v>
      </c>
      <c r="K51" s="973" t="s">
        <v>1057</v>
      </c>
      <c r="L51" s="972" t="s">
        <v>141</v>
      </c>
      <c r="M51" s="972" t="s">
        <v>142</v>
      </c>
      <c r="N51" s="945"/>
      <c r="O51" s="945"/>
      <c r="P51" s="945"/>
      <c r="Q51" s="945"/>
      <c r="R51" s="945"/>
      <c r="S51" s="945"/>
      <c r="T51" s="945"/>
      <c r="U51" s="945"/>
      <c r="V51" s="945"/>
      <c r="W51" s="945"/>
      <c r="X51" s="945"/>
      <c r="Y51" s="945"/>
      <c r="Z51" s="945"/>
    </row>
    <row r="52" spans="1:26" ht="18" customHeight="1" x14ac:dyDescent="0.3">
      <c r="A52" s="945"/>
      <c r="B52" s="954">
        <v>1</v>
      </c>
      <c r="C52" s="958" t="s">
        <v>143</v>
      </c>
      <c r="D52" s="971" t="s">
        <v>144</v>
      </c>
      <c r="E52" s="970">
        <v>292</v>
      </c>
      <c r="F52" s="958">
        <f>'Master Sheet'!E42</f>
        <v>316</v>
      </c>
      <c r="G52" s="958">
        <f>'Master Sheet'!F42</f>
        <v>277</v>
      </c>
      <c r="H52" s="961">
        <f>'Master Sheet'!H42</f>
        <v>0</v>
      </c>
      <c r="I52" s="961">
        <f>E52-G52</f>
        <v>15</v>
      </c>
      <c r="J52" s="965">
        <v>0</v>
      </c>
      <c r="K52" s="964">
        <v>51</v>
      </c>
      <c r="L52" s="949">
        <v>277</v>
      </c>
      <c r="M52" s="960">
        <f>E52-L52</f>
        <v>15</v>
      </c>
      <c r="N52" s="945"/>
      <c r="O52" s="945"/>
      <c r="P52" s="945"/>
      <c r="Q52" s="945"/>
      <c r="R52" s="945"/>
      <c r="S52" s="945"/>
      <c r="T52" s="945"/>
      <c r="U52" s="945"/>
      <c r="V52" s="945"/>
      <c r="W52" s="945"/>
      <c r="X52" s="945"/>
      <c r="Y52" s="945"/>
      <c r="Z52" s="945"/>
    </row>
    <row r="53" spans="1:26" ht="18" customHeight="1" x14ac:dyDescent="0.3">
      <c r="A53" s="945"/>
      <c r="B53" s="954">
        <v>2</v>
      </c>
      <c r="C53" s="958" t="s">
        <v>145</v>
      </c>
      <c r="D53" s="958" t="s">
        <v>146</v>
      </c>
      <c r="E53" s="970">
        <v>292</v>
      </c>
      <c r="F53" s="958">
        <f>'Master Sheet'!E43</f>
        <v>316</v>
      </c>
      <c r="G53" s="958">
        <f>'Master Sheet'!F43</f>
        <v>284</v>
      </c>
      <c r="H53" s="966">
        <v>0</v>
      </c>
      <c r="I53" s="961">
        <f>E53-G53</f>
        <v>8</v>
      </c>
      <c r="J53" s="966">
        <v>0</v>
      </c>
      <c r="K53" s="958">
        <v>28</v>
      </c>
      <c r="L53" s="949">
        <v>284</v>
      </c>
      <c r="M53" s="960">
        <f>E53-L53</f>
        <v>8</v>
      </c>
      <c r="N53" s="945"/>
      <c r="O53" s="945"/>
      <c r="P53" s="945"/>
      <c r="Q53" s="945"/>
      <c r="R53" s="945"/>
      <c r="S53" s="945"/>
      <c r="T53" s="945"/>
      <c r="U53" s="945"/>
      <c r="V53" s="945"/>
      <c r="W53" s="945"/>
      <c r="X53" s="945"/>
      <c r="Y53" s="945"/>
      <c r="Z53" s="945"/>
    </row>
    <row r="54" spans="1:26" ht="18" customHeight="1" x14ac:dyDescent="0.3">
      <c r="A54" s="945"/>
      <c r="B54" s="954">
        <v>3</v>
      </c>
      <c r="C54" s="958" t="s">
        <v>147</v>
      </c>
      <c r="D54" s="971" t="s">
        <v>148</v>
      </c>
      <c r="E54" s="970">
        <v>114</v>
      </c>
      <c r="F54" s="962">
        <v>110</v>
      </c>
      <c r="G54" s="962">
        <v>86</v>
      </c>
      <c r="H54" s="966">
        <v>18</v>
      </c>
      <c r="I54" s="961">
        <f>E54-G54</f>
        <v>28</v>
      </c>
      <c r="J54" s="965">
        <v>0</v>
      </c>
      <c r="K54" s="964">
        <v>0</v>
      </c>
      <c r="L54" s="949">
        <v>86</v>
      </c>
      <c r="M54" s="960">
        <f>E54-L54</f>
        <v>28</v>
      </c>
      <c r="N54" s="945"/>
      <c r="O54" s="945"/>
      <c r="P54" s="945"/>
      <c r="Q54" s="945"/>
      <c r="R54" s="945"/>
      <c r="S54" s="945"/>
      <c r="T54" s="945"/>
      <c r="U54" s="945"/>
      <c r="V54" s="945"/>
      <c r="W54" s="945"/>
      <c r="X54" s="945"/>
      <c r="Y54" s="945"/>
      <c r="Z54" s="945"/>
    </row>
    <row r="55" spans="1:26" ht="18" customHeight="1" x14ac:dyDescent="0.3">
      <c r="A55" s="945"/>
      <c r="B55" s="954">
        <v>4</v>
      </c>
      <c r="C55" s="958" t="s">
        <v>149</v>
      </c>
      <c r="D55" s="971" t="s">
        <v>148</v>
      </c>
      <c r="E55" s="970">
        <v>4118</v>
      </c>
      <c r="F55" s="958">
        <f>'Master Sheet'!E44</f>
        <v>3800</v>
      </c>
      <c r="G55" s="958">
        <f>'Master Sheet'!F44</f>
        <v>4109.0569999999998</v>
      </c>
      <c r="H55" s="966">
        <v>514</v>
      </c>
      <c r="I55" s="961">
        <f>E55-G55</f>
        <v>8.943000000000211</v>
      </c>
      <c r="J55" s="965">
        <v>0</v>
      </c>
      <c r="K55" s="964">
        <v>143.66499999999999</v>
      </c>
      <c r="L55" s="949">
        <v>4109.0569999999998</v>
      </c>
      <c r="M55" s="960">
        <f>E55-L55</f>
        <v>8.943000000000211</v>
      </c>
      <c r="N55" s="945"/>
      <c r="O55" s="945"/>
      <c r="P55" s="945"/>
      <c r="Q55" s="945"/>
      <c r="R55" s="945"/>
      <c r="S55" s="945"/>
      <c r="T55" s="945"/>
      <c r="U55" s="945"/>
      <c r="V55" s="945"/>
      <c r="W55" s="945"/>
      <c r="X55" s="945"/>
      <c r="Y55" s="945"/>
      <c r="Z55" s="945"/>
    </row>
    <row r="56" spans="1:26" ht="18" customHeight="1" x14ac:dyDescent="0.3">
      <c r="A56" s="945"/>
      <c r="B56" s="954">
        <v>5</v>
      </c>
      <c r="C56" s="958" t="s">
        <v>150</v>
      </c>
      <c r="D56" s="958" t="s">
        <v>151</v>
      </c>
      <c r="E56" s="952">
        <v>1</v>
      </c>
      <c r="F56" s="950">
        <v>0.9</v>
      </c>
      <c r="G56" s="950">
        <f>F56</f>
        <v>0.9</v>
      </c>
      <c r="H56" s="950">
        <v>0.1</v>
      </c>
      <c r="I56" s="950">
        <v>0.1</v>
      </c>
      <c r="J56" s="969">
        <v>0</v>
      </c>
      <c r="K56" s="959">
        <v>0.2</v>
      </c>
      <c r="L56" s="1112">
        <v>0.9</v>
      </c>
      <c r="M56" s="948">
        <v>1</v>
      </c>
      <c r="N56" s="945"/>
      <c r="O56" s="945"/>
      <c r="P56" s="945"/>
      <c r="Q56" s="945"/>
      <c r="R56" s="945"/>
      <c r="S56" s="945"/>
      <c r="T56" s="945"/>
      <c r="U56" s="945"/>
      <c r="V56" s="945"/>
      <c r="W56" s="945"/>
      <c r="X56" s="945"/>
      <c r="Y56" s="945"/>
      <c r="Z56" s="945"/>
    </row>
    <row r="57" spans="1:26" ht="18" customHeight="1" x14ac:dyDescent="0.3">
      <c r="A57" s="945"/>
      <c r="B57" s="954">
        <v>6</v>
      </c>
      <c r="C57" s="958" t="s">
        <v>152</v>
      </c>
      <c r="D57" s="958" t="s">
        <v>146</v>
      </c>
      <c r="E57" s="968">
        <v>12384</v>
      </c>
      <c r="F57" s="967">
        <v>11869</v>
      </c>
      <c r="G57" s="962">
        <v>0</v>
      </c>
      <c r="H57" s="966">
        <v>1477</v>
      </c>
      <c r="I57" s="961">
        <f t="shared" ref="I57:I63" si="0">E57-G57</f>
        <v>12384</v>
      </c>
      <c r="J57" s="965">
        <v>0</v>
      </c>
      <c r="K57" s="964">
        <v>0</v>
      </c>
      <c r="L57" s="949">
        <f t="shared" ref="L57:L62" si="1">K57+G57</f>
        <v>0</v>
      </c>
      <c r="M57" s="960">
        <f t="shared" ref="M57:M63" si="2">E57-L57</f>
        <v>12384</v>
      </c>
      <c r="N57" s="945"/>
      <c r="O57" s="945"/>
      <c r="P57" s="945"/>
      <c r="Q57" s="945"/>
      <c r="R57" s="945"/>
      <c r="S57" s="945"/>
      <c r="T57" s="945"/>
      <c r="U57" s="945"/>
      <c r="V57" s="945"/>
      <c r="W57" s="945"/>
      <c r="X57" s="945"/>
      <c r="Y57" s="945"/>
      <c r="Z57" s="945"/>
    </row>
    <row r="58" spans="1:26" ht="18" customHeight="1" x14ac:dyDescent="0.3">
      <c r="A58" s="945"/>
      <c r="B58" s="954">
        <v>7</v>
      </c>
      <c r="C58" s="958" t="s">
        <v>153</v>
      </c>
      <c r="D58" s="958" t="s">
        <v>151</v>
      </c>
      <c r="E58" s="952">
        <v>1</v>
      </c>
      <c r="F58" s="963">
        <v>0.5</v>
      </c>
      <c r="G58" s="962">
        <v>0</v>
      </c>
      <c r="H58" s="950">
        <v>0.5</v>
      </c>
      <c r="I58" s="961">
        <f t="shared" si="0"/>
        <v>1</v>
      </c>
      <c r="J58" s="956">
        <v>0</v>
      </c>
      <c r="K58" s="956">
        <v>0</v>
      </c>
      <c r="L58" s="949">
        <f t="shared" si="1"/>
        <v>0</v>
      </c>
      <c r="M58" s="960">
        <f t="shared" si="2"/>
        <v>1</v>
      </c>
      <c r="N58" s="945"/>
      <c r="O58" s="945"/>
      <c r="P58" s="945"/>
      <c r="Q58" s="945"/>
      <c r="R58" s="945"/>
      <c r="S58" s="945"/>
      <c r="T58" s="945"/>
      <c r="U58" s="945"/>
      <c r="V58" s="945"/>
      <c r="W58" s="945"/>
      <c r="X58" s="945"/>
      <c r="Y58" s="945"/>
      <c r="Z58" s="945"/>
    </row>
    <row r="59" spans="1:26" ht="18" customHeight="1" x14ac:dyDescent="0.3">
      <c r="A59" s="945"/>
      <c r="B59" s="954">
        <v>8</v>
      </c>
      <c r="C59" s="958" t="s">
        <v>154</v>
      </c>
      <c r="D59" s="958" t="s">
        <v>151</v>
      </c>
      <c r="E59" s="952">
        <v>1</v>
      </c>
      <c r="F59" s="957">
        <v>0.5</v>
      </c>
      <c r="G59" s="950">
        <v>0</v>
      </c>
      <c r="H59" s="950">
        <v>0.5</v>
      </c>
      <c r="I59" s="950">
        <f t="shared" si="0"/>
        <v>1</v>
      </c>
      <c r="J59" s="956">
        <v>0</v>
      </c>
      <c r="K59" s="956">
        <v>0</v>
      </c>
      <c r="L59" s="949">
        <f t="shared" si="1"/>
        <v>0</v>
      </c>
      <c r="M59" s="948">
        <f t="shared" si="2"/>
        <v>1</v>
      </c>
      <c r="N59" s="945"/>
      <c r="O59" s="945"/>
      <c r="P59" s="945"/>
      <c r="Q59" s="945"/>
      <c r="R59" s="945"/>
      <c r="S59" s="945"/>
      <c r="T59" s="945"/>
      <c r="U59" s="945"/>
      <c r="V59" s="945"/>
      <c r="W59" s="945"/>
      <c r="X59" s="945"/>
      <c r="Y59" s="945"/>
      <c r="Z59" s="945"/>
    </row>
    <row r="60" spans="1:26" ht="18" customHeight="1" x14ac:dyDescent="0.3">
      <c r="A60" s="945"/>
      <c r="B60" s="954">
        <v>9</v>
      </c>
      <c r="C60" s="958" t="s">
        <v>155</v>
      </c>
      <c r="D60" s="958" t="s">
        <v>151</v>
      </c>
      <c r="E60" s="952">
        <v>1</v>
      </c>
      <c r="F60" s="950">
        <v>1</v>
      </c>
      <c r="G60" s="950">
        <v>0.92</v>
      </c>
      <c r="H60" s="950">
        <v>0</v>
      </c>
      <c r="I60" s="950">
        <f t="shared" si="0"/>
        <v>7.999999999999996E-2</v>
      </c>
      <c r="J60" s="950">
        <v>0</v>
      </c>
      <c r="K60" s="950">
        <v>0</v>
      </c>
      <c r="L60" s="959">
        <f t="shared" si="1"/>
        <v>0.92</v>
      </c>
      <c r="M60" s="948">
        <f t="shared" si="2"/>
        <v>7.999999999999996E-2</v>
      </c>
      <c r="N60" s="945"/>
      <c r="O60" s="945">
        <f>50/296</f>
        <v>0.16891891891891891</v>
      </c>
      <c r="P60" s="945"/>
      <c r="Q60" s="945"/>
      <c r="R60" s="945"/>
      <c r="S60" s="945"/>
      <c r="T60" s="945"/>
      <c r="U60" s="945"/>
      <c r="V60" s="945"/>
      <c r="W60" s="945"/>
      <c r="X60" s="945"/>
      <c r="Y60" s="945"/>
      <c r="Z60" s="945"/>
    </row>
    <row r="61" spans="1:26" ht="18" customHeight="1" x14ac:dyDescent="0.3">
      <c r="A61" s="945"/>
      <c r="B61" s="954">
        <v>10</v>
      </c>
      <c r="C61" s="958" t="s">
        <v>156</v>
      </c>
      <c r="D61" s="958" t="s">
        <v>151</v>
      </c>
      <c r="E61" s="952">
        <v>1</v>
      </c>
      <c r="F61" s="950">
        <v>0.9</v>
      </c>
      <c r="G61" s="950">
        <v>0.9</v>
      </c>
      <c r="H61" s="950">
        <v>0.1</v>
      </c>
      <c r="I61" s="950">
        <f t="shared" si="0"/>
        <v>9.9999999999999978E-2</v>
      </c>
      <c r="J61" s="957">
        <v>0</v>
      </c>
      <c r="K61" s="950">
        <v>0</v>
      </c>
      <c r="L61" s="959">
        <f t="shared" si="1"/>
        <v>0.9</v>
      </c>
      <c r="M61" s="948">
        <f t="shared" si="2"/>
        <v>9.9999999999999978E-2</v>
      </c>
      <c r="N61" s="945"/>
      <c r="O61" s="945">
        <f>132/296</f>
        <v>0.44594594594594594</v>
      </c>
      <c r="P61" s="945"/>
      <c r="Q61" s="945"/>
      <c r="R61" s="945"/>
      <c r="S61" s="945"/>
      <c r="T61" s="945"/>
      <c r="U61" s="945"/>
      <c r="V61" s="945"/>
      <c r="W61" s="945"/>
      <c r="X61" s="945"/>
      <c r="Y61" s="945"/>
      <c r="Z61" s="945"/>
    </row>
    <row r="62" spans="1:26" ht="18" customHeight="1" x14ac:dyDescent="0.3">
      <c r="A62" s="945"/>
      <c r="B62" s="954">
        <v>11</v>
      </c>
      <c r="C62" s="958" t="s">
        <v>157</v>
      </c>
      <c r="D62" s="958" t="s">
        <v>151</v>
      </c>
      <c r="E62" s="952">
        <v>1</v>
      </c>
      <c r="F62" s="957">
        <v>0.2</v>
      </c>
      <c r="G62" s="950">
        <v>0</v>
      </c>
      <c r="H62" s="956">
        <v>0</v>
      </c>
      <c r="I62" s="950">
        <f t="shared" si="0"/>
        <v>1</v>
      </c>
      <c r="J62" s="955">
        <v>0</v>
      </c>
      <c r="K62" s="950">
        <v>0</v>
      </c>
      <c r="L62" s="949">
        <f t="shared" si="1"/>
        <v>0</v>
      </c>
      <c r="M62" s="948">
        <f t="shared" si="2"/>
        <v>1</v>
      </c>
      <c r="N62" s="945"/>
      <c r="O62" s="945"/>
      <c r="P62" s="945"/>
      <c r="Q62" s="945"/>
      <c r="R62" s="945"/>
      <c r="S62" s="945"/>
      <c r="T62" s="945"/>
      <c r="U62" s="945"/>
      <c r="V62" s="945"/>
      <c r="W62" s="945"/>
      <c r="X62" s="945"/>
      <c r="Y62" s="945"/>
      <c r="Z62" s="945"/>
    </row>
    <row r="63" spans="1:26" ht="18" customHeight="1" thickBot="1" x14ac:dyDescent="0.35">
      <c r="A63" s="945"/>
      <c r="B63" s="954">
        <v>12</v>
      </c>
      <c r="C63" s="953" t="s">
        <v>158</v>
      </c>
      <c r="D63" s="953" t="s">
        <v>151</v>
      </c>
      <c r="E63" s="952">
        <v>1</v>
      </c>
      <c r="F63" s="950">
        <v>0.9</v>
      </c>
      <c r="G63" s="950">
        <v>0.9</v>
      </c>
      <c r="H63" s="950">
        <v>0.1</v>
      </c>
      <c r="I63" s="950">
        <f t="shared" si="0"/>
        <v>9.9999999999999978E-2</v>
      </c>
      <c r="J63" s="951">
        <v>0.4</v>
      </c>
      <c r="K63" s="950">
        <v>0.75</v>
      </c>
      <c r="L63" s="1112">
        <v>0.9</v>
      </c>
      <c r="M63" s="948">
        <f t="shared" si="2"/>
        <v>9.9999999999999978E-2</v>
      </c>
      <c r="N63" s="945"/>
      <c r="O63" s="945"/>
      <c r="P63" s="945"/>
      <c r="Q63" s="945"/>
      <c r="R63" s="945"/>
      <c r="S63" s="945"/>
      <c r="T63" s="945"/>
      <c r="U63" s="945"/>
      <c r="V63" s="945"/>
      <c r="W63" s="945"/>
      <c r="X63" s="945"/>
      <c r="Y63" s="945"/>
      <c r="Z63" s="945"/>
    </row>
    <row r="64" spans="1:26" ht="18" customHeight="1" x14ac:dyDescent="0.35">
      <c r="A64" s="945"/>
      <c r="B64" s="376"/>
      <c r="C64" s="376"/>
      <c r="D64" s="376"/>
      <c r="E64" s="376"/>
      <c r="F64" s="376"/>
      <c r="G64" s="376"/>
      <c r="H64" s="376"/>
      <c r="I64" s="376"/>
      <c r="J64" s="376"/>
      <c r="K64" s="946"/>
      <c r="L64" s="946"/>
      <c r="M64" s="946"/>
      <c r="N64" s="945"/>
      <c r="O64" s="945"/>
      <c r="P64" s="945"/>
      <c r="Q64" s="945"/>
      <c r="R64" s="945"/>
      <c r="S64" s="945"/>
      <c r="T64" s="945"/>
      <c r="U64" s="945"/>
      <c r="V64" s="945"/>
      <c r="W64" s="945"/>
      <c r="X64" s="945"/>
      <c r="Y64" s="945"/>
      <c r="Z64" s="945"/>
    </row>
    <row r="65" spans="1:26" ht="18" customHeight="1" x14ac:dyDescent="0.35">
      <c r="A65" s="945"/>
      <c r="B65" s="376"/>
      <c r="C65" s="376"/>
      <c r="D65" s="376"/>
      <c r="E65" s="376"/>
      <c r="F65" s="947"/>
      <c r="G65" s="376"/>
      <c r="H65" s="376"/>
      <c r="I65" s="376"/>
      <c r="J65" s="376"/>
      <c r="K65" s="946"/>
      <c r="L65" s="946"/>
      <c r="M65" s="946"/>
      <c r="N65" s="945"/>
      <c r="O65" s="945"/>
      <c r="P65" s="945"/>
      <c r="Q65" s="945"/>
      <c r="R65" s="945"/>
      <c r="S65" s="945"/>
      <c r="T65" s="945"/>
      <c r="U65" s="945"/>
      <c r="V65" s="945"/>
      <c r="W65" s="945"/>
      <c r="X65" s="945"/>
      <c r="Y65" s="945"/>
      <c r="Z65" s="945"/>
    </row>
    <row r="66" spans="1:26" ht="18" customHeight="1" x14ac:dyDescent="0.35">
      <c r="A66" s="945"/>
      <c r="B66" s="376"/>
      <c r="C66" s="376"/>
      <c r="D66" s="376"/>
      <c r="E66" s="376"/>
      <c r="F66" s="376"/>
      <c r="G66" s="376"/>
      <c r="H66" s="376"/>
      <c r="I66" s="376"/>
      <c r="J66" s="376"/>
      <c r="K66" s="946"/>
      <c r="L66" s="946"/>
      <c r="M66" s="946"/>
      <c r="N66" s="945"/>
      <c r="O66" s="945"/>
      <c r="P66" s="945"/>
      <c r="Q66" s="945"/>
      <c r="R66" s="945"/>
      <c r="S66" s="945"/>
      <c r="T66" s="945"/>
      <c r="U66" s="945"/>
      <c r="V66" s="945"/>
      <c r="W66" s="945"/>
      <c r="X66" s="945"/>
      <c r="Y66" s="945"/>
      <c r="Z66" s="945"/>
    </row>
    <row r="67" spans="1:26" ht="18" customHeight="1" x14ac:dyDescent="0.35">
      <c r="A67" s="945"/>
      <c r="B67" s="376"/>
      <c r="C67" s="376"/>
      <c r="D67" s="376"/>
      <c r="E67" s="376"/>
      <c r="F67" s="376"/>
      <c r="G67" s="376"/>
      <c r="H67" s="376"/>
      <c r="I67" s="376"/>
      <c r="J67" s="376"/>
      <c r="K67" s="946"/>
      <c r="L67" s="946"/>
      <c r="M67" s="946"/>
      <c r="N67" s="945"/>
      <c r="O67" s="945"/>
      <c r="P67" s="945"/>
      <c r="Q67" s="945"/>
      <c r="R67" s="945"/>
      <c r="S67" s="945"/>
      <c r="T67" s="945"/>
      <c r="U67" s="945"/>
      <c r="V67" s="945"/>
      <c r="W67" s="945"/>
      <c r="X67" s="945"/>
      <c r="Y67" s="945"/>
      <c r="Z67" s="945"/>
    </row>
    <row r="68" spans="1:26" ht="18" customHeight="1" x14ac:dyDescent="0.35">
      <c r="A68" s="945"/>
      <c r="B68" s="376"/>
      <c r="C68" s="376"/>
      <c r="D68" s="376"/>
      <c r="E68" s="376"/>
      <c r="F68" s="376"/>
      <c r="G68" s="376"/>
      <c r="H68" s="376"/>
      <c r="I68" s="376"/>
      <c r="J68" s="376"/>
      <c r="K68" s="946"/>
      <c r="L68" s="946"/>
      <c r="M68" s="946"/>
      <c r="N68" s="945"/>
      <c r="O68" s="945"/>
      <c r="P68" s="945"/>
      <c r="Q68" s="945"/>
      <c r="R68" s="945"/>
      <c r="S68" s="945"/>
      <c r="T68" s="945"/>
      <c r="U68" s="945"/>
      <c r="V68" s="945"/>
      <c r="W68" s="945"/>
      <c r="X68" s="945"/>
      <c r="Y68" s="945"/>
      <c r="Z68" s="945"/>
    </row>
    <row r="69" spans="1:26" ht="18" customHeight="1" x14ac:dyDescent="0.35">
      <c r="A69" s="945"/>
      <c r="B69" s="376"/>
      <c r="C69" s="376"/>
      <c r="D69" s="376"/>
      <c r="E69" s="376"/>
      <c r="F69" s="376"/>
      <c r="G69" s="376"/>
      <c r="H69" s="376"/>
      <c r="I69" s="376"/>
      <c r="J69" s="376"/>
      <c r="K69" s="946"/>
      <c r="L69" s="946"/>
      <c r="M69" s="946"/>
      <c r="N69" s="945"/>
      <c r="O69" s="945"/>
      <c r="P69" s="945"/>
      <c r="Q69" s="945"/>
      <c r="R69" s="945"/>
      <c r="S69" s="945"/>
      <c r="T69" s="945"/>
      <c r="U69" s="945"/>
      <c r="V69" s="945"/>
      <c r="W69" s="945"/>
      <c r="X69" s="945"/>
      <c r="Y69" s="945"/>
      <c r="Z69" s="945"/>
    </row>
    <row r="70" spans="1:26" ht="18" customHeight="1" x14ac:dyDescent="0.35">
      <c r="A70" s="945"/>
      <c r="B70" s="376"/>
      <c r="C70" s="376"/>
      <c r="D70" s="376"/>
      <c r="E70" s="376"/>
      <c r="F70" s="376"/>
      <c r="G70" s="376"/>
      <c r="H70" s="376"/>
      <c r="I70" s="376"/>
      <c r="J70" s="376"/>
      <c r="K70" s="946"/>
      <c r="L70" s="946"/>
      <c r="M70" s="946"/>
      <c r="N70" s="945"/>
      <c r="O70" s="945"/>
      <c r="P70" s="945"/>
      <c r="Q70" s="945"/>
      <c r="R70" s="945"/>
      <c r="S70" s="945"/>
      <c r="T70" s="945"/>
      <c r="U70" s="945"/>
      <c r="V70" s="945"/>
      <c r="W70" s="945"/>
      <c r="X70" s="945"/>
      <c r="Y70" s="945"/>
      <c r="Z70" s="945"/>
    </row>
    <row r="71" spans="1:26" ht="18" customHeight="1" x14ac:dyDescent="0.35">
      <c r="A71" s="945"/>
      <c r="B71" s="376"/>
      <c r="C71" s="376"/>
      <c r="D71" s="376"/>
      <c r="E71" s="376"/>
      <c r="F71" s="376"/>
      <c r="G71" s="376"/>
      <c r="H71" s="376"/>
      <c r="I71" s="376"/>
      <c r="J71" s="376"/>
      <c r="K71" s="946"/>
      <c r="L71" s="946"/>
      <c r="M71" s="946"/>
      <c r="N71" s="945"/>
      <c r="O71" s="945"/>
      <c r="P71" s="945"/>
      <c r="Q71" s="945"/>
      <c r="R71" s="945"/>
      <c r="S71" s="945"/>
      <c r="T71" s="945"/>
      <c r="U71" s="945"/>
      <c r="V71" s="945"/>
      <c r="W71" s="945"/>
      <c r="X71" s="945"/>
      <c r="Y71" s="945"/>
      <c r="Z71" s="945"/>
    </row>
    <row r="72" spans="1:26" ht="18" customHeight="1" x14ac:dyDescent="0.35">
      <c r="A72" s="945"/>
      <c r="B72" s="376"/>
      <c r="C72" s="376"/>
      <c r="D72" s="376"/>
      <c r="E72" s="376"/>
      <c r="F72" s="376"/>
      <c r="G72" s="376"/>
      <c r="H72" s="376"/>
      <c r="I72" s="376"/>
      <c r="J72" s="376"/>
      <c r="K72" s="946"/>
      <c r="L72" s="946"/>
      <c r="M72" s="946"/>
      <c r="N72" s="945"/>
      <c r="O72" s="945"/>
      <c r="P72" s="945"/>
      <c r="Q72" s="945"/>
      <c r="R72" s="945"/>
      <c r="S72" s="945"/>
      <c r="T72" s="945"/>
      <c r="U72" s="945"/>
      <c r="V72" s="945"/>
      <c r="W72" s="945"/>
      <c r="X72" s="945"/>
      <c r="Y72" s="945"/>
      <c r="Z72" s="945"/>
    </row>
    <row r="73" spans="1:26" ht="18" customHeight="1" x14ac:dyDescent="0.35">
      <c r="A73" s="945"/>
      <c r="B73" s="376"/>
      <c r="C73" s="376"/>
      <c r="D73" s="376"/>
      <c r="E73" s="376"/>
      <c r="F73" s="376"/>
      <c r="G73" s="376"/>
      <c r="H73" s="376"/>
      <c r="I73" s="376"/>
      <c r="J73" s="376"/>
      <c r="K73" s="946"/>
      <c r="L73" s="946"/>
      <c r="M73" s="946"/>
      <c r="N73" s="945"/>
      <c r="O73" s="945"/>
      <c r="P73" s="945"/>
      <c r="Q73" s="945"/>
      <c r="R73" s="945"/>
      <c r="S73" s="945"/>
      <c r="T73" s="945"/>
      <c r="U73" s="945"/>
      <c r="V73" s="945"/>
      <c r="W73" s="945"/>
      <c r="X73" s="945"/>
      <c r="Y73" s="945"/>
      <c r="Z73" s="945"/>
    </row>
    <row r="74" spans="1:26" ht="18" customHeight="1" x14ac:dyDescent="0.35">
      <c r="A74" s="945"/>
      <c r="B74" s="376"/>
      <c r="C74" s="376"/>
      <c r="D74" s="376"/>
      <c r="E74" s="376"/>
      <c r="F74" s="376"/>
      <c r="G74" s="376"/>
      <c r="H74" s="376"/>
      <c r="I74" s="376"/>
      <c r="J74" s="376"/>
      <c r="K74" s="946"/>
      <c r="L74" s="946"/>
      <c r="M74" s="946"/>
      <c r="N74" s="945"/>
      <c r="O74" s="945"/>
      <c r="P74" s="945"/>
      <c r="Q74" s="945"/>
      <c r="R74" s="945"/>
      <c r="S74" s="945"/>
      <c r="T74" s="945"/>
      <c r="U74" s="945"/>
      <c r="V74" s="945"/>
      <c r="W74" s="945"/>
      <c r="X74" s="945"/>
      <c r="Y74" s="945"/>
      <c r="Z74" s="945"/>
    </row>
    <row r="75" spans="1:26" ht="18" customHeight="1" x14ac:dyDescent="0.35">
      <c r="A75" s="945"/>
      <c r="B75" s="376"/>
      <c r="C75" s="376"/>
      <c r="D75" s="376"/>
      <c r="E75" s="376"/>
      <c r="F75" s="376"/>
      <c r="G75" s="376"/>
      <c r="H75" s="376"/>
      <c r="I75" s="376"/>
      <c r="J75" s="376"/>
      <c r="K75" s="946"/>
      <c r="L75" s="946"/>
      <c r="M75" s="946"/>
      <c r="N75" s="945"/>
      <c r="O75" s="945"/>
      <c r="P75" s="945"/>
      <c r="Q75" s="945"/>
      <c r="R75" s="945"/>
      <c r="S75" s="945"/>
      <c r="T75" s="945"/>
      <c r="U75" s="945"/>
      <c r="V75" s="945"/>
      <c r="W75" s="945"/>
      <c r="X75" s="945"/>
      <c r="Y75" s="945"/>
      <c r="Z75" s="945"/>
    </row>
    <row r="76" spans="1:26" ht="18" customHeight="1" x14ac:dyDescent="0.35">
      <c r="A76" s="945"/>
      <c r="B76" s="376"/>
      <c r="C76" s="376"/>
      <c r="D76" s="376"/>
      <c r="E76" s="376"/>
      <c r="F76" s="376"/>
      <c r="G76" s="376"/>
      <c r="H76" s="376"/>
      <c r="I76" s="376"/>
      <c r="J76" s="376"/>
      <c r="K76" s="946"/>
      <c r="L76" s="946"/>
      <c r="M76" s="946"/>
      <c r="N76" s="945"/>
      <c r="O76" s="945"/>
      <c r="P76" s="945"/>
      <c r="Q76" s="945"/>
      <c r="R76" s="945"/>
      <c r="S76" s="945"/>
      <c r="T76" s="945"/>
      <c r="U76" s="945"/>
      <c r="V76" s="945"/>
      <c r="W76" s="945"/>
      <c r="X76" s="945"/>
      <c r="Y76" s="945"/>
      <c r="Z76" s="945"/>
    </row>
    <row r="77" spans="1:26" ht="18" customHeight="1" x14ac:dyDescent="0.35">
      <c r="A77" s="945"/>
      <c r="B77" s="376"/>
      <c r="C77" s="376"/>
      <c r="D77" s="376"/>
      <c r="E77" s="376"/>
      <c r="F77" s="376"/>
      <c r="G77" s="376"/>
      <c r="H77" s="376"/>
      <c r="I77" s="376"/>
      <c r="J77" s="376"/>
      <c r="K77" s="946"/>
      <c r="L77" s="946"/>
      <c r="M77" s="946"/>
      <c r="N77" s="945"/>
      <c r="O77" s="945"/>
      <c r="P77" s="945"/>
      <c r="Q77" s="945"/>
      <c r="R77" s="945"/>
      <c r="S77" s="945"/>
      <c r="T77" s="945"/>
      <c r="U77" s="945"/>
      <c r="V77" s="945"/>
      <c r="W77" s="945"/>
      <c r="X77" s="945"/>
      <c r="Y77" s="945"/>
      <c r="Z77" s="945"/>
    </row>
    <row r="78" spans="1:26" ht="18" customHeight="1" x14ac:dyDescent="0.35">
      <c r="A78" s="945"/>
      <c r="B78" s="376"/>
      <c r="C78" s="376"/>
      <c r="D78" s="376"/>
      <c r="E78" s="376"/>
      <c r="F78" s="376"/>
      <c r="G78" s="376"/>
      <c r="H78" s="376"/>
      <c r="I78" s="376"/>
      <c r="J78" s="376"/>
      <c r="K78" s="946"/>
      <c r="L78" s="946"/>
      <c r="M78" s="946"/>
      <c r="N78" s="945"/>
      <c r="O78" s="945"/>
      <c r="P78" s="945"/>
      <c r="Q78" s="945"/>
      <c r="R78" s="945"/>
      <c r="S78" s="945"/>
      <c r="T78" s="945"/>
      <c r="U78" s="945"/>
      <c r="V78" s="945"/>
      <c r="W78" s="945"/>
      <c r="X78" s="945"/>
      <c r="Y78" s="945"/>
      <c r="Z78" s="945"/>
    </row>
    <row r="79" spans="1:26" ht="18" customHeight="1" x14ac:dyDescent="0.35">
      <c r="A79" s="945"/>
      <c r="B79" s="376"/>
      <c r="C79" s="376"/>
      <c r="D79" s="376"/>
      <c r="E79" s="376"/>
      <c r="F79" s="376"/>
      <c r="G79" s="376"/>
      <c r="H79" s="376"/>
      <c r="I79" s="376"/>
      <c r="J79" s="376"/>
      <c r="K79" s="946"/>
      <c r="L79" s="946"/>
      <c r="M79" s="946"/>
      <c r="N79" s="945"/>
      <c r="O79" s="945"/>
      <c r="P79" s="945"/>
      <c r="Q79" s="945"/>
      <c r="R79" s="945"/>
      <c r="S79" s="945"/>
      <c r="T79" s="945"/>
      <c r="U79" s="945"/>
      <c r="V79" s="945"/>
      <c r="W79" s="945"/>
      <c r="X79" s="945"/>
      <c r="Y79" s="945"/>
      <c r="Z79" s="945"/>
    </row>
    <row r="80" spans="1:26" ht="18" customHeight="1" x14ac:dyDescent="0.35">
      <c r="A80" s="945"/>
      <c r="B80" s="376"/>
      <c r="C80" s="376"/>
      <c r="D80" s="376"/>
      <c r="E80" s="376"/>
      <c r="F80" s="376"/>
      <c r="G80" s="376"/>
      <c r="H80" s="376"/>
      <c r="I80" s="376"/>
      <c r="J80" s="376"/>
      <c r="K80" s="946"/>
      <c r="L80" s="946"/>
      <c r="M80" s="946"/>
      <c r="N80" s="945"/>
      <c r="O80" s="945"/>
      <c r="P80" s="945"/>
      <c r="Q80" s="945"/>
      <c r="R80" s="945"/>
      <c r="S80" s="945"/>
      <c r="T80" s="945"/>
      <c r="U80" s="945"/>
      <c r="V80" s="945"/>
      <c r="W80" s="945"/>
      <c r="X80" s="945"/>
      <c r="Y80" s="945"/>
      <c r="Z80" s="945"/>
    </row>
    <row r="81" spans="1:26" ht="18" customHeight="1" x14ac:dyDescent="0.35">
      <c r="A81" s="945"/>
      <c r="B81" s="376"/>
      <c r="C81" s="376"/>
      <c r="D81" s="376"/>
      <c r="E81" s="376"/>
      <c r="F81" s="376"/>
      <c r="G81" s="376"/>
      <c r="H81" s="376"/>
      <c r="I81" s="376"/>
      <c r="J81" s="376"/>
      <c r="K81" s="946"/>
      <c r="L81" s="946"/>
      <c r="M81" s="946"/>
      <c r="N81" s="945"/>
      <c r="O81" s="945"/>
      <c r="P81" s="945"/>
      <c r="Q81" s="945"/>
      <c r="R81" s="945"/>
      <c r="S81" s="945"/>
      <c r="T81" s="945"/>
      <c r="U81" s="945"/>
      <c r="V81" s="945"/>
      <c r="W81" s="945"/>
      <c r="X81" s="945"/>
      <c r="Y81" s="945"/>
      <c r="Z81" s="945"/>
    </row>
    <row r="82" spans="1:26" ht="18" customHeight="1" x14ac:dyDescent="0.35">
      <c r="A82" s="945"/>
      <c r="B82" s="376"/>
      <c r="C82" s="376"/>
      <c r="D82" s="376"/>
      <c r="E82" s="376"/>
      <c r="F82" s="376"/>
      <c r="G82" s="376"/>
      <c r="H82" s="376"/>
      <c r="I82" s="376"/>
      <c r="J82" s="376"/>
      <c r="K82" s="946"/>
      <c r="L82" s="946"/>
      <c r="M82" s="946"/>
      <c r="N82" s="945"/>
      <c r="O82" s="945"/>
      <c r="P82" s="945"/>
      <c r="Q82" s="945"/>
      <c r="R82" s="945"/>
      <c r="S82" s="945"/>
      <c r="T82" s="945"/>
      <c r="U82" s="945"/>
      <c r="V82" s="945"/>
      <c r="W82" s="945"/>
      <c r="X82" s="945"/>
      <c r="Y82" s="945"/>
      <c r="Z82" s="945"/>
    </row>
    <row r="83" spans="1:26" ht="18" customHeight="1" x14ac:dyDescent="0.35">
      <c r="A83" s="945"/>
      <c r="B83" s="376"/>
      <c r="C83" s="376"/>
      <c r="D83" s="376"/>
      <c r="E83" s="376"/>
      <c r="F83" s="376"/>
      <c r="G83" s="376"/>
      <c r="H83" s="376"/>
      <c r="I83" s="376"/>
      <c r="J83" s="376"/>
      <c r="K83" s="946"/>
      <c r="L83" s="946"/>
      <c r="M83" s="946"/>
      <c r="N83" s="945"/>
      <c r="O83" s="945"/>
      <c r="P83" s="945"/>
      <c r="Q83" s="945"/>
      <c r="R83" s="945"/>
      <c r="S83" s="945"/>
      <c r="T83" s="945"/>
      <c r="U83" s="945"/>
      <c r="V83" s="945"/>
      <c r="W83" s="945"/>
      <c r="X83" s="945"/>
      <c r="Y83" s="945"/>
      <c r="Z83" s="945"/>
    </row>
    <row r="84" spans="1:26" ht="18" customHeight="1" x14ac:dyDescent="0.35">
      <c r="A84" s="945"/>
      <c r="B84" s="376"/>
      <c r="C84" s="376"/>
      <c r="D84" s="376"/>
      <c r="E84" s="376"/>
      <c r="F84" s="376"/>
      <c r="G84" s="376"/>
      <c r="H84" s="376"/>
      <c r="I84" s="376"/>
      <c r="J84" s="376"/>
      <c r="K84" s="946"/>
      <c r="L84" s="946"/>
      <c r="M84" s="946"/>
      <c r="N84" s="945"/>
      <c r="O84" s="945"/>
      <c r="P84" s="945"/>
      <c r="Q84" s="945"/>
      <c r="R84" s="945"/>
      <c r="S84" s="945"/>
      <c r="T84" s="945"/>
      <c r="U84" s="945"/>
      <c r="V84" s="945"/>
      <c r="W84" s="945"/>
      <c r="X84" s="945"/>
      <c r="Y84" s="945"/>
      <c r="Z84" s="945"/>
    </row>
    <row r="85" spans="1:26" ht="18" customHeight="1" x14ac:dyDescent="0.35">
      <c r="A85" s="945"/>
      <c r="B85" s="376"/>
      <c r="C85" s="376"/>
      <c r="D85" s="376"/>
      <c r="E85" s="376"/>
      <c r="F85" s="376"/>
      <c r="G85" s="376"/>
      <c r="H85" s="376"/>
      <c r="I85" s="376"/>
      <c r="J85" s="376"/>
      <c r="K85" s="946"/>
      <c r="L85" s="946"/>
      <c r="M85" s="946"/>
      <c r="N85" s="945"/>
      <c r="O85" s="945"/>
      <c r="P85" s="945"/>
      <c r="Q85" s="945"/>
      <c r="R85" s="945"/>
      <c r="S85" s="945"/>
      <c r="T85" s="945"/>
      <c r="U85" s="945"/>
      <c r="V85" s="945"/>
      <c r="W85" s="945"/>
      <c r="X85" s="945"/>
      <c r="Y85" s="945"/>
      <c r="Z85" s="945"/>
    </row>
    <row r="86" spans="1:26" ht="18" customHeight="1" x14ac:dyDescent="0.35">
      <c r="A86" s="945"/>
      <c r="B86" s="376"/>
      <c r="C86" s="376"/>
      <c r="D86" s="376"/>
      <c r="E86" s="376"/>
      <c r="F86" s="376"/>
      <c r="G86" s="376"/>
      <c r="H86" s="376"/>
      <c r="I86" s="376"/>
      <c r="J86" s="376"/>
      <c r="K86" s="946"/>
      <c r="L86" s="946"/>
      <c r="M86" s="946"/>
      <c r="N86" s="945"/>
      <c r="O86" s="945"/>
      <c r="P86" s="945"/>
      <c r="Q86" s="945"/>
      <c r="R86" s="945"/>
      <c r="S86" s="945"/>
      <c r="T86" s="945"/>
      <c r="U86" s="945"/>
      <c r="V86" s="945"/>
      <c r="W86" s="945"/>
      <c r="X86" s="945"/>
      <c r="Y86" s="945"/>
      <c r="Z86" s="945"/>
    </row>
    <row r="87" spans="1:26" ht="18" customHeight="1" x14ac:dyDescent="0.35">
      <c r="A87" s="945"/>
      <c r="B87" s="376"/>
      <c r="C87" s="376"/>
      <c r="D87" s="376"/>
      <c r="E87" s="376"/>
      <c r="F87" s="376"/>
      <c r="G87" s="376"/>
      <c r="H87" s="376"/>
      <c r="I87" s="376"/>
      <c r="J87" s="376"/>
      <c r="K87" s="946"/>
      <c r="L87" s="946"/>
      <c r="M87" s="946"/>
      <c r="N87" s="945"/>
      <c r="O87" s="945"/>
      <c r="P87" s="945"/>
      <c r="Q87" s="945"/>
      <c r="R87" s="945"/>
      <c r="S87" s="945"/>
      <c r="T87" s="945"/>
      <c r="U87" s="945"/>
      <c r="V87" s="945"/>
      <c r="W87" s="945"/>
      <c r="X87" s="945"/>
      <c r="Y87" s="945"/>
      <c r="Z87" s="945"/>
    </row>
    <row r="88" spans="1:26" ht="18" customHeight="1" x14ac:dyDescent="0.35">
      <c r="A88" s="945"/>
      <c r="B88" s="376"/>
      <c r="C88" s="376"/>
      <c r="D88" s="376"/>
      <c r="E88" s="376"/>
      <c r="F88" s="376"/>
      <c r="G88" s="376"/>
      <c r="H88" s="376"/>
      <c r="I88" s="376"/>
      <c r="J88" s="376"/>
      <c r="K88" s="946"/>
      <c r="L88" s="946"/>
      <c r="M88" s="946"/>
      <c r="N88" s="945"/>
      <c r="O88" s="945"/>
      <c r="P88" s="945"/>
      <c r="Q88" s="945"/>
      <c r="R88" s="945"/>
      <c r="S88" s="945"/>
      <c r="T88" s="945"/>
      <c r="U88" s="945"/>
      <c r="V88" s="945"/>
      <c r="W88" s="945"/>
      <c r="X88" s="945"/>
      <c r="Y88" s="945"/>
      <c r="Z88" s="945"/>
    </row>
    <row r="89" spans="1:26" ht="18" customHeight="1" x14ac:dyDescent="0.35">
      <c r="A89" s="945"/>
      <c r="B89" s="376"/>
      <c r="C89" s="376"/>
      <c r="D89" s="376"/>
      <c r="E89" s="376"/>
      <c r="F89" s="376"/>
      <c r="G89" s="376"/>
      <c r="H89" s="376"/>
      <c r="I89" s="376"/>
      <c r="J89" s="376"/>
      <c r="K89" s="946"/>
      <c r="L89" s="946"/>
      <c r="M89" s="946"/>
      <c r="N89" s="945"/>
      <c r="O89" s="945"/>
      <c r="P89" s="945"/>
      <c r="Q89" s="945"/>
      <c r="R89" s="945"/>
      <c r="S89" s="945"/>
      <c r="T89" s="945"/>
      <c r="U89" s="945"/>
      <c r="V89" s="945"/>
      <c r="W89" s="945"/>
      <c r="X89" s="945"/>
      <c r="Y89" s="945"/>
      <c r="Z89" s="945"/>
    </row>
    <row r="90" spans="1:26" ht="18" customHeight="1" x14ac:dyDescent="0.35">
      <c r="A90" s="945"/>
      <c r="B90" s="376"/>
      <c r="C90" s="376"/>
      <c r="D90" s="376"/>
      <c r="E90" s="376"/>
      <c r="F90" s="376"/>
      <c r="G90" s="376"/>
      <c r="H90" s="376"/>
      <c r="I90" s="376"/>
      <c r="J90" s="376"/>
      <c r="K90" s="946"/>
      <c r="L90" s="946"/>
      <c r="M90" s="946"/>
      <c r="N90" s="945"/>
      <c r="O90" s="945"/>
      <c r="P90" s="945"/>
      <c r="Q90" s="945"/>
      <c r="R90" s="945"/>
      <c r="S90" s="945"/>
      <c r="T90" s="945"/>
      <c r="U90" s="945"/>
      <c r="V90" s="945"/>
      <c r="W90" s="945"/>
      <c r="X90" s="945"/>
      <c r="Y90" s="945"/>
      <c r="Z90" s="945"/>
    </row>
    <row r="91" spans="1:26" ht="18" customHeight="1" x14ac:dyDescent="0.35">
      <c r="A91" s="945"/>
      <c r="B91" s="376"/>
      <c r="C91" s="376"/>
      <c r="D91" s="376"/>
      <c r="E91" s="376"/>
      <c r="F91" s="376"/>
      <c r="G91" s="376"/>
      <c r="H91" s="376"/>
      <c r="I91" s="376"/>
      <c r="J91" s="376"/>
      <c r="K91" s="946"/>
      <c r="L91" s="946"/>
      <c r="M91" s="946"/>
      <c r="N91" s="945"/>
      <c r="O91" s="945"/>
      <c r="P91" s="945"/>
      <c r="Q91" s="945"/>
      <c r="R91" s="945"/>
      <c r="S91" s="945"/>
      <c r="T91" s="945"/>
      <c r="U91" s="945"/>
      <c r="V91" s="945"/>
      <c r="W91" s="945"/>
      <c r="X91" s="945"/>
      <c r="Y91" s="945"/>
      <c r="Z91" s="945"/>
    </row>
    <row r="92" spans="1:26" ht="18" customHeight="1" x14ac:dyDescent="0.35">
      <c r="A92" s="945"/>
      <c r="B92" s="376"/>
      <c r="C92" s="376"/>
      <c r="D92" s="376"/>
      <c r="E92" s="376"/>
      <c r="F92" s="376"/>
      <c r="G92" s="376"/>
      <c r="H92" s="376"/>
      <c r="I92" s="376"/>
      <c r="J92" s="376"/>
      <c r="K92" s="946"/>
      <c r="L92" s="946"/>
      <c r="M92" s="946"/>
      <c r="N92" s="945"/>
      <c r="O92" s="945"/>
      <c r="P92" s="945"/>
      <c r="Q92" s="945"/>
      <c r="R92" s="945"/>
      <c r="S92" s="945"/>
      <c r="T92" s="945"/>
      <c r="U92" s="945"/>
      <c r="V92" s="945"/>
      <c r="W92" s="945"/>
      <c r="X92" s="945"/>
      <c r="Y92" s="945"/>
      <c r="Z92" s="945"/>
    </row>
    <row r="93" spans="1:26" ht="18" customHeight="1" x14ac:dyDescent="0.35">
      <c r="A93" s="945"/>
      <c r="B93" s="376"/>
      <c r="C93" s="376"/>
      <c r="D93" s="376"/>
      <c r="E93" s="376"/>
      <c r="F93" s="376"/>
      <c r="G93" s="376"/>
      <c r="H93" s="376"/>
      <c r="I93" s="376"/>
      <c r="J93" s="376"/>
      <c r="K93" s="946"/>
      <c r="L93" s="946"/>
      <c r="M93" s="946"/>
      <c r="N93" s="945"/>
      <c r="O93" s="945"/>
      <c r="P93" s="945"/>
      <c r="Q93" s="945"/>
      <c r="R93" s="945"/>
      <c r="S93" s="945"/>
      <c r="T93" s="945"/>
      <c r="U93" s="945"/>
      <c r="V93" s="945"/>
      <c r="W93" s="945"/>
      <c r="X93" s="945"/>
      <c r="Y93" s="945"/>
      <c r="Z93" s="945"/>
    </row>
    <row r="94" spans="1:26" ht="18" customHeight="1" x14ac:dyDescent="0.35">
      <c r="A94" s="945"/>
      <c r="B94" s="376"/>
      <c r="C94" s="376"/>
      <c r="D94" s="376"/>
      <c r="E94" s="376"/>
      <c r="F94" s="376"/>
      <c r="G94" s="376"/>
      <c r="H94" s="376"/>
      <c r="I94" s="376"/>
      <c r="J94" s="376"/>
      <c r="K94" s="946"/>
      <c r="L94" s="946"/>
      <c r="M94" s="946"/>
      <c r="N94" s="945"/>
      <c r="O94" s="945"/>
      <c r="P94" s="945"/>
      <c r="Q94" s="945"/>
      <c r="R94" s="945"/>
      <c r="S94" s="945"/>
      <c r="T94" s="945"/>
      <c r="U94" s="945"/>
      <c r="V94" s="945"/>
      <c r="W94" s="945"/>
      <c r="X94" s="945"/>
      <c r="Y94" s="945"/>
      <c r="Z94" s="945"/>
    </row>
    <row r="95" spans="1:26" ht="18" customHeight="1" x14ac:dyDescent="0.35">
      <c r="A95" s="945"/>
      <c r="B95" s="376"/>
      <c r="C95" s="376"/>
      <c r="D95" s="376"/>
      <c r="E95" s="376"/>
      <c r="F95" s="376"/>
      <c r="G95" s="376"/>
      <c r="H95" s="376"/>
      <c r="I95" s="376"/>
      <c r="J95" s="376"/>
      <c r="K95" s="946"/>
      <c r="L95" s="946"/>
      <c r="M95" s="946"/>
      <c r="N95" s="945"/>
      <c r="O95" s="945"/>
      <c r="P95" s="945"/>
      <c r="Q95" s="945"/>
      <c r="R95" s="945"/>
      <c r="S95" s="945"/>
      <c r="T95" s="945"/>
      <c r="U95" s="945"/>
      <c r="V95" s="945"/>
      <c r="W95" s="945"/>
      <c r="X95" s="945"/>
      <c r="Y95" s="945"/>
      <c r="Z95" s="945"/>
    </row>
    <row r="96" spans="1:26" ht="18" customHeight="1" x14ac:dyDescent="0.35">
      <c r="A96" s="945"/>
      <c r="B96" s="376"/>
      <c r="C96" s="376"/>
      <c r="D96" s="376"/>
      <c r="E96" s="376"/>
      <c r="F96" s="376"/>
      <c r="G96" s="376"/>
      <c r="H96" s="376"/>
      <c r="I96" s="376"/>
      <c r="J96" s="376"/>
      <c r="K96" s="946"/>
      <c r="L96" s="946"/>
      <c r="M96" s="946"/>
      <c r="N96" s="945"/>
      <c r="O96" s="945"/>
      <c r="P96" s="945"/>
      <c r="Q96" s="945"/>
      <c r="R96" s="945"/>
      <c r="S96" s="945"/>
      <c r="T96" s="945"/>
      <c r="U96" s="945"/>
      <c r="V96" s="945"/>
      <c r="W96" s="945"/>
      <c r="X96" s="945"/>
      <c r="Y96" s="945"/>
      <c r="Z96" s="945"/>
    </row>
    <row r="97" spans="1:26" ht="18" customHeight="1" x14ac:dyDescent="0.35">
      <c r="A97" s="945"/>
      <c r="B97" s="376"/>
      <c r="C97" s="376"/>
      <c r="D97" s="376"/>
      <c r="E97" s="376"/>
      <c r="F97" s="376"/>
      <c r="G97" s="376"/>
      <c r="H97" s="376"/>
      <c r="I97" s="376"/>
      <c r="J97" s="376"/>
      <c r="K97" s="946"/>
      <c r="L97" s="946"/>
      <c r="M97" s="946"/>
      <c r="N97" s="945"/>
      <c r="O97" s="945"/>
      <c r="P97" s="945"/>
      <c r="Q97" s="945"/>
      <c r="R97" s="945"/>
      <c r="S97" s="945"/>
      <c r="T97" s="945"/>
      <c r="U97" s="945"/>
      <c r="V97" s="945"/>
      <c r="W97" s="945"/>
      <c r="X97" s="945"/>
      <c r="Y97" s="945"/>
      <c r="Z97" s="945"/>
    </row>
    <row r="98" spans="1:26" ht="18" customHeight="1" x14ac:dyDescent="0.35">
      <c r="A98" s="945"/>
      <c r="B98" s="376"/>
      <c r="C98" s="376"/>
      <c r="D98" s="376"/>
      <c r="E98" s="376"/>
      <c r="F98" s="376"/>
      <c r="G98" s="376"/>
      <c r="H98" s="376"/>
      <c r="I98" s="376"/>
      <c r="J98" s="376"/>
      <c r="K98" s="946"/>
      <c r="L98" s="946"/>
      <c r="M98" s="946"/>
      <c r="N98" s="945"/>
      <c r="O98" s="945"/>
      <c r="P98" s="945"/>
      <c r="Q98" s="945"/>
      <c r="R98" s="945"/>
      <c r="S98" s="945"/>
      <c r="T98" s="945"/>
      <c r="U98" s="945"/>
      <c r="V98" s="945"/>
      <c r="W98" s="945"/>
      <c r="X98" s="945"/>
      <c r="Y98" s="945"/>
      <c r="Z98" s="945"/>
    </row>
    <row r="99" spans="1:26" ht="18" customHeight="1" x14ac:dyDescent="0.35">
      <c r="A99" s="945"/>
      <c r="B99" s="376"/>
      <c r="C99" s="376"/>
      <c r="D99" s="376"/>
      <c r="E99" s="376"/>
      <c r="F99" s="376"/>
      <c r="G99" s="376"/>
      <c r="H99" s="376"/>
      <c r="I99" s="376"/>
      <c r="J99" s="376"/>
      <c r="K99" s="946"/>
      <c r="L99" s="946"/>
      <c r="M99" s="946"/>
      <c r="N99" s="945"/>
      <c r="O99" s="945"/>
      <c r="P99" s="945"/>
      <c r="Q99" s="945"/>
      <c r="R99" s="945"/>
      <c r="S99" s="945"/>
      <c r="T99" s="945"/>
      <c r="U99" s="945"/>
      <c r="V99" s="945"/>
      <c r="W99" s="945"/>
      <c r="X99" s="945"/>
      <c r="Y99" s="945"/>
      <c r="Z99" s="945"/>
    </row>
    <row r="100" spans="1:26" ht="18" customHeight="1" x14ac:dyDescent="0.35">
      <c r="A100" s="945"/>
      <c r="B100" s="376"/>
      <c r="C100" s="376"/>
      <c r="D100" s="376"/>
      <c r="E100" s="376"/>
      <c r="F100" s="376"/>
      <c r="G100" s="376"/>
      <c r="H100" s="376"/>
      <c r="I100" s="376"/>
      <c r="J100" s="376"/>
      <c r="K100" s="946"/>
      <c r="L100" s="946"/>
      <c r="M100" s="946"/>
      <c r="N100" s="945"/>
      <c r="O100" s="945"/>
      <c r="P100" s="945"/>
      <c r="Q100" s="945"/>
      <c r="R100" s="945"/>
      <c r="S100" s="945"/>
      <c r="T100" s="945"/>
      <c r="U100" s="945"/>
      <c r="V100" s="945"/>
      <c r="W100" s="945"/>
      <c r="X100" s="945"/>
      <c r="Y100" s="945"/>
      <c r="Z100" s="945"/>
    </row>
    <row r="101" spans="1:26" ht="18" customHeight="1" x14ac:dyDescent="0.35">
      <c r="A101" s="945"/>
      <c r="B101" s="376"/>
      <c r="C101" s="376"/>
      <c r="D101" s="376"/>
      <c r="E101" s="376"/>
      <c r="F101" s="376"/>
      <c r="G101" s="376"/>
      <c r="H101" s="376"/>
      <c r="I101" s="376"/>
      <c r="J101" s="376"/>
      <c r="K101" s="946"/>
      <c r="L101" s="946"/>
      <c r="M101" s="946"/>
      <c r="N101" s="945"/>
      <c r="O101" s="945"/>
      <c r="P101" s="945"/>
      <c r="Q101" s="945"/>
      <c r="R101" s="945"/>
      <c r="S101" s="945"/>
      <c r="T101" s="945"/>
      <c r="U101" s="945"/>
      <c r="V101" s="945"/>
      <c r="W101" s="945"/>
      <c r="X101" s="945"/>
      <c r="Y101" s="945"/>
      <c r="Z101" s="945"/>
    </row>
    <row r="102" spans="1:26" ht="18" customHeight="1" x14ac:dyDescent="0.35">
      <c r="A102" s="945"/>
      <c r="B102" s="376"/>
      <c r="C102" s="376"/>
      <c r="D102" s="376"/>
      <c r="E102" s="376"/>
      <c r="F102" s="376"/>
      <c r="G102" s="376"/>
      <c r="H102" s="376"/>
      <c r="I102" s="376"/>
      <c r="J102" s="376"/>
      <c r="K102" s="946"/>
      <c r="L102" s="946"/>
      <c r="M102" s="946"/>
      <c r="N102" s="945"/>
      <c r="O102" s="945"/>
      <c r="P102" s="945"/>
      <c r="Q102" s="945"/>
      <c r="R102" s="945"/>
      <c r="S102" s="945"/>
      <c r="T102" s="945"/>
      <c r="U102" s="945"/>
      <c r="V102" s="945"/>
      <c r="W102" s="945"/>
      <c r="X102" s="945"/>
      <c r="Y102" s="945"/>
      <c r="Z102" s="945"/>
    </row>
    <row r="103" spans="1:26" ht="18" customHeight="1" x14ac:dyDescent="0.35">
      <c r="A103" s="945"/>
      <c r="B103" s="376"/>
      <c r="C103" s="376"/>
      <c r="D103" s="376"/>
      <c r="E103" s="376"/>
      <c r="F103" s="376"/>
      <c r="G103" s="376"/>
      <c r="H103" s="376"/>
      <c r="I103" s="376"/>
      <c r="J103" s="376"/>
      <c r="K103" s="946"/>
      <c r="L103" s="946"/>
      <c r="M103" s="946"/>
      <c r="N103" s="945"/>
      <c r="O103" s="945"/>
      <c r="P103" s="945"/>
      <c r="Q103" s="945"/>
      <c r="R103" s="945"/>
      <c r="S103" s="945"/>
      <c r="T103" s="945"/>
      <c r="U103" s="945"/>
      <c r="V103" s="945"/>
      <c r="W103" s="945"/>
      <c r="X103" s="945"/>
      <c r="Y103" s="945"/>
      <c r="Z103" s="945"/>
    </row>
    <row r="104" spans="1:26" ht="18" customHeight="1" x14ac:dyDescent="0.35">
      <c r="A104" s="945"/>
      <c r="B104" s="376"/>
      <c r="C104" s="376"/>
      <c r="D104" s="376"/>
      <c r="E104" s="376"/>
      <c r="F104" s="376"/>
      <c r="G104" s="376"/>
      <c r="H104" s="376"/>
      <c r="I104" s="376"/>
      <c r="J104" s="376"/>
      <c r="K104" s="946"/>
      <c r="L104" s="946"/>
      <c r="M104" s="946"/>
      <c r="N104" s="945"/>
      <c r="O104" s="945"/>
      <c r="P104" s="945"/>
      <c r="Q104" s="945"/>
      <c r="R104" s="945"/>
      <c r="S104" s="945"/>
      <c r="T104" s="945"/>
      <c r="U104" s="945"/>
      <c r="V104" s="945"/>
      <c r="W104" s="945"/>
      <c r="X104" s="945"/>
      <c r="Y104" s="945"/>
      <c r="Z104" s="945"/>
    </row>
    <row r="105" spans="1:26" ht="18" customHeight="1" x14ac:dyDescent="0.35">
      <c r="A105" s="945"/>
      <c r="B105" s="376"/>
      <c r="C105" s="376"/>
      <c r="D105" s="376"/>
      <c r="E105" s="376"/>
      <c r="F105" s="376"/>
      <c r="G105" s="376"/>
      <c r="H105" s="376"/>
      <c r="I105" s="376"/>
      <c r="J105" s="376"/>
      <c r="K105" s="946"/>
      <c r="L105" s="946"/>
      <c r="M105" s="946"/>
      <c r="N105" s="945"/>
      <c r="O105" s="945"/>
      <c r="P105" s="945"/>
      <c r="Q105" s="945"/>
      <c r="R105" s="945"/>
      <c r="S105" s="945"/>
      <c r="T105" s="945"/>
      <c r="U105" s="945"/>
      <c r="V105" s="945"/>
      <c r="W105" s="945"/>
      <c r="X105" s="945"/>
      <c r="Y105" s="945"/>
      <c r="Z105" s="945"/>
    </row>
    <row r="106" spans="1:26" ht="18" customHeight="1" x14ac:dyDescent="0.35">
      <c r="A106" s="945"/>
      <c r="B106" s="376"/>
      <c r="C106" s="376"/>
      <c r="D106" s="376"/>
      <c r="E106" s="376"/>
      <c r="F106" s="376"/>
      <c r="G106" s="376"/>
      <c r="H106" s="376"/>
      <c r="I106" s="376"/>
      <c r="J106" s="376"/>
      <c r="K106" s="946"/>
      <c r="L106" s="946"/>
      <c r="M106" s="946"/>
      <c r="N106" s="945"/>
      <c r="O106" s="945"/>
      <c r="P106" s="945"/>
      <c r="Q106" s="945"/>
      <c r="R106" s="945"/>
      <c r="S106" s="945"/>
      <c r="T106" s="945"/>
      <c r="U106" s="945"/>
      <c r="V106" s="945"/>
      <c r="W106" s="945"/>
      <c r="X106" s="945"/>
      <c r="Y106" s="945"/>
      <c r="Z106" s="945"/>
    </row>
    <row r="107" spans="1:26" ht="18" customHeight="1" x14ac:dyDescent="0.35">
      <c r="A107" s="945"/>
      <c r="B107" s="376"/>
      <c r="C107" s="376"/>
      <c r="D107" s="376"/>
      <c r="E107" s="376"/>
      <c r="F107" s="376"/>
      <c r="G107" s="376"/>
      <c r="H107" s="376"/>
      <c r="I107" s="376"/>
      <c r="J107" s="376"/>
      <c r="K107" s="946"/>
      <c r="L107" s="946"/>
      <c r="M107" s="946"/>
      <c r="N107" s="945"/>
      <c r="O107" s="945"/>
      <c r="P107" s="945"/>
      <c r="Q107" s="945"/>
      <c r="R107" s="945"/>
      <c r="S107" s="945"/>
      <c r="T107" s="945"/>
      <c r="U107" s="945"/>
      <c r="V107" s="945"/>
      <c r="W107" s="945"/>
      <c r="X107" s="945"/>
      <c r="Y107" s="945"/>
      <c r="Z107" s="945"/>
    </row>
    <row r="108" spans="1:26" ht="18" customHeight="1" x14ac:dyDescent="0.35">
      <c r="A108" s="945"/>
      <c r="B108" s="376"/>
      <c r="C108" s="376"/>
      <c r="D108" s="376"/>
      <c r="E108" s="376"/>
      <c r="F108" s="376"/>
      <c r="G108" s="376"/>
      <c r="H108" s="376"/>
      <c r="I108" s="376"/>
      <c r="J108" s="376"/>
      <c r="K108" s="946"/>
      <c r="L108" s="946"/>
      <c r="M108" s="946"/>
      <c r="N108" s="945"/>
      <c r="O108" s="945"/>
      <c r="P108" s="945"/>
      <c r="Q108" s="945"/>
      <c r="R108" s="945"/>
      <c r="S108" s="945"/>
      <c r="T108" s="945"/>
      <c r="U108" s="945"/>
      <c r="V108" s="945"/>
      <c r="W108" s="945"/>
      <c r="X108" s="945"/>
      <c r="Y108" s="945"/>
      <c r="Z108" s="945"/>
    </row>
    <row r="109" spans="1:26" ht="18" customHeight="1" x14ac:dyDescent="0.35">
      <c r="A109" s="945"/>
      <c r="B109" s="376"/>
      <c r="C109" s="376"/>
      <c r="D109" s="376"/>
      <c r="E109" s="376"/>
      <c r="F109" s="376"/>
      <c r="G109" s="376"/>
      <c r="H109" s="376"/>
      <c r="I109" s="376"/>
      <c r="J109" s="376"/>
      <c r="K109" s="946"/>
      <c r="L109" s="946"/>
      <c r="M109" s="946"/>
      <c r="N109" s="945"/>
      <c r="O109" s="945"/>
      <c r="P109" s="945"/>
      <c r="Q109" s="945"/>
      <c r="R109" s="945"/>
      <c r="S109" s="945"/>
      <c r="T109" s="945"/>
      <c r="U109" s="945"/>
      <c r="V109" s="945"/>
      <c r="W109" s="945"/>
      <c r="X109" s="945"/>
      <c r="Y109" s="945"/>
      <c r="Z109" s="945"/>
    </row>
    <row r="110" spans="1:26" ht="18" customHeight="1" x14ac:dyDescent="0.35">
      <c r="A110" s="945"/>
      <c r="B110" s="376"/>
      <c r="C110" s="376"/>
      <c r="D110" s="376"/>
      <c r="E110" s="376"/>
      <c r="F110" s="376"/>
      <c r="G110" s="376"/>
      <c r="H110" s="376"/>
      <c r="I110" s="376"/>
      <c r="J110" s="376"/>
      <c r="K110" s="946"/>
      <c r="L110" s="946"/>
      <c r="M110" s="946"/>
      <c r="N110" s="945"/>
      <c r="O110" s="945"/>
      <c r="P110" s="945"/>
      <c r="Q110" s="945"/>
      <c r="R110" s="945"/>
      <c r="S110" s="945"/>
      <c r="T110" s="945"/>
      <c r="U110" s="945"/>
      <c r="V110" s="945"/>
      <c r="W110" s="945"/>
      <c r="X110" s="945"/>
      <c r="Y110" s="945"/>
      <c r="Z110" s="945"/>
    </row>
    <row r="111" spans="1:26" ht="18" customHeight="1" x14ac:dyDescent="0.35">
      <c r="A111" s="945"/>
      <c r="B111" s="376"/>
      <c r="C111" s="376"/>
      <c r="D111" s="376"/>
      <c r="E111" s="376"/>
      <c r="F111" s="376"/>
      <c r="G111" s="376"/>
      <c r="H111" s="376"/>
      <c r="I111" s="376"/>
      <c r="J111" s="376"/>
      <c r="K111" s="946"/>
      <c r="L111" s="946"/>
      <c r="M111" s="946"/>
      <c r="N111" s="945"/>
      <c r="O111" s="945"/>
      <c r="P111" s="945"/>
      <c r="Q111" s="945"/>
      <c r="R111" s="945"/>
      <c r="S111" s="945"/>
      <c r="T111" s="945"/>
      <c r="U111" s="945"/>
      <c r="V111" s="945"/>
      <c r="W111" s="945"/>
      <c r="X111" s="945"/>
      <c r="Y111" s="945"/>
      <c r="Z111" s="945"/>
    </row>
    <row r="112" spans="1:26" ht="18" customHeight="1" x14ac:dyDescent="0.35">
      <c r="A112" s="945"/>
      <c r="B112" s="376"/>
      <c r="C112" s="376"/>
      <c r="D112" s="376"/>
      <c r="E112" s="376"/>
      <c r="F112" s="376"/>
      <c r="G112" s="376"/>
      <c r="H112" s="376"/>
      <c r="I112" s="376"/>
      <c r="J112" s="376"/>
      <c r="K112" s="946"/>
      <c r="L112" s="946"/>
      <c r="M112" s="946"/>
      <c r="N112" s="945"/>
      <c r="O112" s="945"/>
      <c r="P112" s="945"/>
      <c r="Q112" s="945"/>
      <c r="R112" s="945"/>
      <c r="S112" s="945"/>
      <c r="T112" s="945"/>
      <c r="U112" s="945"/>
      <c r="V112" s="945"/>
      <c r="W112" s="945"/>
      <c r="X112" s="945"/>
      <c r="Y112" s="945"/>
      <c r="Z112" s="945"/>
    </row>
    <row r="113" spans="1:26" ht="18" customHeight="1" x14ac:dyDescent="0.35">
      <c r="A113" s="945"/>
      <c r="B113" s="376"/>
      <c r="C113" s="376"/>
      <c r="D113" s="376"/>
      <c r="E113" s="376"/>
      <c r="F113" s="376"/>
      <c r="G113" s="376"/>
      <c r="H113" s="376"/>
      <c r="I113" s="376"/>
      <c r="J113" s="376"/>
      <c r="K113" s="946"/>
      <c r="L113" s="946"/>
      <c r="M113" s="946"/>
      <c r="N113" s="945"/>
      <c r="O113" s="945"/>
      <c r="P113" s="945"/>
      <c r="Q113" s="945"/>
      <c r="R113" s="945"/>
      <c r="S113" s="945"/>
      <c r="T113" s="945"/>
      <c r="U113" s="945"/>
      <c r="V113" s="945"/>
      <c r="W113" s="945"/>
      <c r="X113" s="945"/>
      <c r="Y113" s="945"/>
      <c r="Z113" s="945"/>
    </row>
    <row r="114" spans="1:26" ht="18" customHeight="1" x14ac:dyDescent="0.35">
      <c r="A114" s="945"/>
      <c r="B114" s="376"/>
      <c r="C114" s="376"/>
      <c r="D114" s="376"/>
      <c r="E114" s="376"/>
      <c r="F114" s="376"/>
      <c r="G114" s="376"/>
      <c r="H114" s="376"/>
      <c r="I114" s="376"/>
      <c r="J114" s="376"/>
      <c r="K114" s="946"/>
      <c r="L114" s="946"/>
      <c r="M114" s="946"/>
      <c r="N114" s="945"/>
      <c r="O114" s="945"/>
      <c r="P114" s="945"/>
      <c r="Q114" s="945"/>
      <c r="R114" s="945"/>
      <c r="S114" s="945"/>
      <c r="T114" s="945"/>
      <c r="U114" s="945"/>
      <c r="V114" s="945"/>
      <c r="W114" s="945"/>
      <c r="X114" s="945"/>
      <c r="Y114" s="945"/>
      <c r="Z114" s="945"/>
    </row>
    <row r="115" spans="1:26" ht="18" customHeight="1" x14ac:dyDescent="0.35">
      <c r="A115" s="945"/>
      <c r="B115" s="376"/>
      <c r="C115" s="376"/>
      <c r="D115" s="376"/>
      <c r="E115" s="376"/>
      <c r="F115" s="376"/>
      <c r="G115" s="376"/>
      <c r="H115" s="376"/>
      <c r="I115" s="376"/>
      <c r="J115" s="376"/>
      <c r="K115" s="946"/>
      <c r="L115" s="946"/>
      <c r="M115" s="946"/>
      <c r="N115" s="945"/>
      <c r="O115" s="945"/>
      <c r="P115" s="945"/>
      <c r="Q115" s="945"/>
      <c r="R115" s="945"/>
      <c r="S115" s="945"/>
      <c r="T115" s="945"/>
      <c r="U115" s="945"/>
      <c r="V115" s="945"/>
      <c r="W115" s="945"/>
      <c r="X115" s="945"/>
      <c r="Y115" s="945"/>
      <c r="Z115" s="945"/>
    </row>
    <row r="116" spans="1:26" ht="18" customHeight="1" x14ac:dyDescent="0.35">
      <c r="A116" s="945"/>
      <c r="B116" s="376"/>
      <c r="C116" s="376"/>
      <c r="D116" s="376"/>
      <c r="E116" s="376"/>
      <c r="F116" s="376"/>
      <c r="G116" s="376"/>
      <c r="H116" s="376"/>
      <c r="I116" s="376"/>
      <c r="J116" s="376"/>
      <c r="K116" s="946"/>
      <c r="L116" s="946"/>
      <c r="M116" s="946"/>
      <c r="N116" s="945"/>
      <c r="O116" s="945"/>
      <c r="P116" s="945"/>
      <c r="Q116" s="945"/>
      <c r="R116" s="945"/>
      <c r="S116" s="945"/>
      <c r="T116" s="945"/>
      <c r="U116" s="945"/>
      <c r="V116" s="945"/>
      <c r="W116" s="945"/>
      <c r="X116" s="945"/>
      <c r="Y116" s="945"/>
      <c r="Z116" s="945"/>
    </row>
    <row r="117" spans="1:26" ht="18" customHeight="1" x14ac:dyDescent="0.35">
      <c r="A117" s="945"/>
      <c r="B117" s="376"/>
      <c r="C117" s="376"/>
      <c r="D117" s="376"/>
      <c r="E117" s="376"/>
      <c r="F117" s="376"/>
      <c r="G117" s="376"/>
      <c r="H117" s="376"/>
      <c r="I117" s="376"/>
      <c r="J117" s="376"/>
      <c r="K117" s="946"/>
      <c r="L117" s="946"/>
      <c r="M117" s="946"/>
      <c r="N117" s="945"/>
      <c r="O117" s="945"/>
      <c r="P117" s="945"/>
      <c r="Q117" s="945"/>
      <c r="R117" s="945"/>
      <c r="S117" s="945"/>
      <c r="T117" s="945"/>
      <c r="U117" s="945"/>
      <c r="V117" s="945"/>
      <c r="W117" s="945"/>
      <c r="X117" s="945"/>
      <c r="Y117" s="945"/>
      <c r="Z117" s="945"/>
    </row>
    <row r="118" spans="1:26" ht="18" customHeight="1" x14ac:dyDescent="0.35">
      <c r="A118" s="945"/>
      <c r="B118" s="376"/>
      <c r="C118" s="376"/>
      <c r="D118" s="376"/>
      <c r="E118" s="376"/>
      <c r="F118" s="376"/>
      <c r="G118" s="376"/>
      <c r="H118" s="376"/>
      <c r="I118" s="376"/>
      <c r="J118" s="376"/>
      <c r="K118" s="946"/>
      <c r="L118" s="946"/>
      <c r="M118" s="946"/>
      <c r="N118" s="945"/>
      <c r="O118" s="945"/>
      <c r="P118" s="945"/>
      <c r="Q118" s="945"/>
      <c r="R118" s="945"/>
      <c r="S118" s="945"/>
      <c r="T118" s="945"/>
      <c r="U118" s="945"/>
      <c r="V118" s="945"/>
      <c r="W118" s="945"/>
      <c r="X118" s="945"/>
      <c r="Y118" s="945"/>
      <c r="Z118" s="945"/>
    </row>
    <row r="119" spans="1:26" ht="18" customHeight="1" x14ac:dyDescent="0.35">
      <c r="A119" s="945"/>
      <c r="B119" s="376"/>
      <c r="C119" s="376"/>
      <c r="D119" s="376"/>
      <c r="E119" s="376"/>
      <c r="F119" s="376"/>
      <c r="G119" s="376"/>
      <c r="H119" s="376"/>
      <c r="I119" s="376"/>
      <c r="J119" s="376"/>
      <c r="K119" s="946"/>
      <c r="L119" s="946"/>
      <c r="M119" s="946"/>
      <c r="N119" s="945"/>
      <c r="O119" s="945"/>
      <c r="P119" s="945"/>
      <c r="Q119" s="945"/>
      <c r="R119" s="945"/>
      <c r="S119" s="945"/>
      <c r="T119" s="945"/>
      <c r="U119" s="945"/>
      <c r="V119" s="945"/>
      <c r="W119" s="945"/>
      <c r="X119" s="945"/>
      <c r="Y119" s="945"/>
      <c r="Z119" s="945"/>
    </row>
    <row r="120" spans="1:26" ht="18" customHeight="1" x14ac:dyDescent="0.35">
      <c r="A120" s="945"/>
      <c r="B120" s="376"/>
      <c r="C120" s="376"/>
      <c r="D120" s="376"/>
      <c r="E120" s="376"/>
      <c r="F120" s="376"/>
      <c r="G120" s="376"/>
      <c r="H120" s="376"/>
      <c r="I120" s="376"/>
      <c r="J120" s="376"/>
      <c r="K120" s="946"/>
      <c r="L120" s="946"/>
      <c r="M120" s="946"/>
      <c r="N120" s="945"/>
      <c r="O120" s="945"/>
      <c r="P120" s="945"/>
      <c r="Q120" s="945"/>
      <c r="R120" s="945"/>
      <c r="S120" s="945"/>
      <c r="T120" s="945"/>
      <c r="U120" s="945"/>
      <c r="V120" s="945"/>
      <c r="W120" s="945"/>
      <c r="X120" s="945"/>
      <c r="Y120" s="945"/>
      <c r="Z120" s="945"/>
    </row>
    <row r="121" spans="1:26" ht="18" customHeight="1" x14ac:dyDescent="0.35">
      <c r="A121" s="945"/>
      <c r="B121" s="376"/>
      <c r="C121" s="376"/>
      <c r="D121" s="376"/>
      <c r="E121" s="376"/>
      <c r="F121" s="376"/>
      <c r="G121" s="376"/>
      <c r="H121" s="376"/>
      <c r="I121" s="376"/>
      <c r="J121" s="376"/>
      <c r="K121" s="946"/>
      <c r="L121" s="946"/>
      <c r="M121" s="946"/>
      <c r="N121" s="945"/>
      <c r="O121" s="945"/>
      <c r="P121" s="945"/>
      <c r="Q121" s="945"/>
      <c r="R121" s="945"/>
      <c r="S121" s="945"/>
      <c r="T121" s="945"/>
      <c r="U121" s="945"/>
      <c r="V121" s="945"/>
      <c r="W121" s="945"/>
      <c r="X121" s="945"/>
      <c r="Y121" s="945"/>
      <c r="Z121" s="945"/>
    </row>
    <row r="122" spans="1:26" ht="18" customHeight="1" x14ac:dyDescent="0.35">
      <c r="A122" s="945"/>
      <c r="B122" s="376"/>
      <c r="C122" s="376"/>
      <c r="D122" s="376"/>
      <c r="E122" s="376"/>
      <c r="F122" s="376"/>
      <c r="G122" s="376"/>
      <c r="H122" s="376"/>
      <c r="I122" s="376"/>
      <c r="J122" s="376"/>
      <c r="K122" s="946"/>
      <c r="L122" s="946"/>
      <c r="M122" s="946"/>
      <c r="N122" s="945"/>
      <c r="O122" s="945"/>
      <c r="P122" s="945"/>
      <c r="Q122" s="945"/>
      <c r="R122" s="945"/>
      <c r="S122" s="945"/>
      <c r="T122" s="945"/>
      <c r="U122" s="945"/>
      <c r="V122" s="945"/>
      <c r="W122" s="945"/>
      <c r="X122" s="945"/>
      <c r="Y122" s="945"/>
      <c r="Z122" s="945"/>
    </row>
    <row r="123" spans="1:26" ht="18" customHeight="1" x14ac:dyDescent="0.35">
      <c r="A123" s="945"/>
      <c r="B123" s="376"/>
      <c r="C123" s="376"/>
      <c r="D123" s="376"/>
      <c r="E123" s="376"/>
      <c r="F123" s="376"/>
      <c r="G123" s="376"/>
      <c r="H123" s="376"/>
      <c r="I123" s="376"/>
      <c r="J123" s="376"/>
      <c r="K123" s="946"/>
      <c r="L123" s="946"/>
      <c r="M123" s="946"/>
      <c r="N123" s="945"/>
      <c r="O123" s="945"/>
      <c r="P123" s="945"/>
      <c r="Q123" s="945"/>
      <c r="R123" s="945"/>
      <c r="S123" s="945"/>
      <c r="T123" s="945"/>
      <c r="U123" s="945"/>
      <c r="V123" s="945"/>
      <c r="W123" s="945"/>
      <c r="X123" s="945"/>
      <c r="Y123" s="945"/>
      <c r="Z123" s="945"/>
    </row>
    <row r="124" spans="1:26" ht="18" customHeight="1" x14ac:dyDescent="0.35">
      <c r="A124" s="945"/>
      <c r="B124" s="376"/>
      <c r="C124" s="376"/>
      <c r="D124" s="376"/>
      <c r="E124" s="376"/>
      <c r="F124" s="376"/>
      <c r="G124" s="376"/>
      <c r="H124" s="376"/>
      <c r="I124" s="376"/>
      <c r="J124" s="376"/>
      <c r="K124" s="946"/>
      <c r="L124" s="946"/>
      <c r="M124" s="946"/>
      <c r="N124" s="945"/>
      <c r="O124" s="945"/>
      <c r="P124" s="945"/>
      <c r="Q124" s="945"/>
      <c r="R124" s="945"/>
      <c r="S124" s="945"/>
      <c r="T124" s="945"/>
      <c r="U124" s="945"/>
      <c r="V124" s="945"/>
      <c r="W124" s="945"/>
      <c r="X124" s="945"/>
      <c r="Y124" s="945"/>
      <c r="Z124" s="945"/>
    </row>
    <row r="125" spans="1:26" ht="18" customHeight="1" x14ac:dyDescent="0.35">
      <c r="A125" s="945"/>
      <c r="B125" s="376"/>
      <c r="C125" s="376"/>
      <c r="D125" s="376"/>
      <c r="E125" s="376"/>
      <c r="F125" s="376"/>
      <c r="G125" s="376"/>
      <c r="H125" s="376"/>
      <c r="I125" s="376"/>
      <c r="J125" s="376"/>
      <c r="K125" s="946"/>
      <c r="L125" s="946"/>
      <c r="M125" s="946"/>
      <c r="N125" s="945"/>
      <c r="O125" s="945"/>
      <c r="P125" s="945"/>
      <c r="Q125" s="945"/>
      <c r="R125" s="945"/>
      <c r="S125" s="945"/>
      <c r="T125" s="945"/>
      <c r="U125" s="945"/>
      <c r="V125" s="945"/>
      <c r="W125" s="945"/>
      <c r="X125" s="945"/>
      <c r="Y125" s="945"/>
      <c r="Z125" s="945"/>
    </row>
    <row r="126" spans="1:26" ht="18" customHeight="1" x14ac:dyDescent="0.35">
      <c r="A126" s="945"/>
      <c r="B126" s="376"/>
      <c r="C126" s="376"/>
      <c r="D126" s="376"/>
      <c r="E126" s="376"/>
      <c r="F126" s="376"/>
      <c r="G126" s="376"/>
      <c r="H126" s="376"/>
      <c r="I126" s="376"/>
      <c r="J126" s="376"/>
      <c r="K126" s="946"/>
      <c r="L126" s="946"/>
      <c r="M126" s="946"/>
      <c r="N126" s="945"/>
      <c r="O126" s="945"/>
      <c r="P126" s="945"/>
      <c r="Q126" s="945"/>
      <c r="R126" s="945"/>
      <c r="S126" s="945"/>
      <c r="T126" s="945"/>
      <c r="U126" s="945"/>
      <c r="V126" s="945"/>
      <c r="W126" s="945"/>
      <c r="X126" s="945"/>
      <c r="Y126" s="945"/>
      <c r="Z126" s="945"/>
    </row>
    <row r="127" spans="1:26" ht="18" customHeight="1" x14ac:dyDescent="0.35">
      <c r="A127" s="945"/>
      <c r="B127" s="376"/>
      <c r="C127" s="376"/>
      <c r="D127" s="376"/>
      <c r="E127" s="376"/>
      <c r="F127" s="376"/>
      <c r="G127" s="376"/>
      <c r="H127" s="376"/>
      <c r="I127" s="376"/>
      <c r="J127" s="376"/>
      <c r="K127" s="946"/>
      <c r="L127" s="946"/>
      <c r="M127" s="946"/>
      <c r="N127" s="945"/>
      <c r="O127" s="945"/>
      <c r="P127" s="945"/>
      <c r="Q127" s="945"/>
      <c r="R127" s="945"/>
      <c r="S127" s="945"/>
      <c r="T127" s="945"/>
      <c r="U127" s="945"/>
      <c r="V127" s="945"/>
      <c r="W127" s="945"/>
      <c r="X127" s="945"/>
      <c r="Y127" s="945"/>
      <c r="Z127" s="945"/>
    </row>
    <row r="128" spans="1:26" ht="18" customHeight="1" x14ac:dyDescent="0.35">
      <c r="A128" s="945"/>
      <c r="B128" s="376"/>
      <c r="C128" s="376"/>
      <c r="D128" s="376"/>
      <c r="E128" s="376"/>
      <c r="F128" s="376"/>
      <c r="G128" s="376"/>
      <c r="H128" s="376"/>
      <c r="I128" s="376"/>
      <c r="J128" s="376"/>
      <c r="K128" s="946"/>
      <c r="L128" s="946"/>
      <c r="M128" s="946"/>
      <c r="N128" s="945"/>
      <c r="O128" s="945"/>
      <c r="P128" s="945"/>
      <c r="Q128" s="945"/>
      <c r="R128" s="945"/>
      <c r="S128" s="945"/>
      <c r="T128" s="945"/>
      <c r="U128" s="945"/>
      <c r="V128" s="945"/>
      <c r="W128" s="945"/>
      <c r="X128" s="945"/>
      <c r="Y128" s="945"/>
      <c r="Z128" s="945"/>
    </row>
    <row r="129" spans="1:26" ht="18" customHeight="1" x14ac:dyDescent="0.35">
      <c r="A129" s="945"/>
      <c r="B129" s="376"/>
      <c r="C129" s="376"/>
      <c r="D129" s="376"/>
      <c r="E129" s="376"/>
      <c r="F129" s="376"/>
      <c r="G129" s="376"/>
      <c r="H129" s="376"/>
      <c r="I129" s="376"/>
      <c r="J129" s="376"/>
      <c r="K129" s="946"/>
      <c r="L129" s="946"/>
      <c r="M129" s="946"/>
      <c r="N129" s="945"/>
      <c r="O129" s="945"/>
      <c r="P129" s="945"/>
      <c r="Q129" s="945"/>
      <c r="R129" s="945"/>
      <c r="S129" s="945"/>
      <c r="T129" s="945"/>
      <c r="U129" s="945"/>
      <c r="V129" s="945"/>
      <c r="W129" s="945"/>
      <c r="X129" s="945"/>
      <c r="Y129" s="945"/>
      <c r="Z129" s="945"/>
    </row>
    <row r="130" spans="1:26" ht="18" customHeight="1" x14ac:dyDescent="0.35">
      <c r="A130" s="945"/>
      <c r="B130" s="376"/>
      <c r="C130" s="376"/>
      <c r="D130" s="376"/>
      <c r="E130" s="376"/>
      <c r="F130" s="376"/>
      <c r="G130" s="376"/>
      <c r="H130" s="376"/>
      <c r="I130" s="376"/>
      <c r="J130" s="376"/>
      <c r="K130" s="946"/>
      <c r="L130" s="946"/>
      <c r="M130" s="946"/>
      <c r="N130" s="945"/>
      <c r="O130" s="945"/>
      <c r="P130" s="945"/>
      <c r="Q130" s="945"/>
      <c r="R130" s="945"/>
      <c r="S130" s="945"/>
      <c r="T130" s="945"/>
      <c r="U130" s="945"/>
      <c r="V130" s="945"/>
      <c r="W130" s="945"/>
      <c r="X130" s="945"/>
      <c r="Y130" s="945"/>
      <c r="Z130" s="945"/>
    </row>
    <row r="131" spans="1:26" ht="18" customHeight="1" x14ac:dyDescent="0.35">
      <c r="A131" s="945"/>
      <c r="B131" s="376"/>
      <c r="C131" s="376"/>
      <c r="D131" s="376"/>
      <c r="E131" s="376"/>
      <c r="F131" s="376"/>
      <c r="G131" s="376"/>
      <c r="H131" s="376"/>
      <c r="I131" s="376"/>
      <c r="J131" s="376"/>
      <c r="K131" s="946"/>
      <c r="L131" s="946"/>
      <c r="M131" s="946"/>
      <c r="N131" s="945"/>
      <c r="O131" s="945"/>
      <c r="P131" s="945"/>
      <c r="Q131" s="945"/>
      <c r="R131" s="945"/>
      <c r="S131" s="945"/>
      <c r="T131" s="945"/>
      <c r="U131" s="945"/>
      <c r="V131" s="945"/>
      <c r="W131" s="945"/>
      <c r="X131" s="945"/>
      <c r="Y131" s="945"/>
      <c r="Z131" s="945"/>
    </row>
    <row r="132" spans="1:26" ht="18" customHeight="1" x14ac:dyDescent="0.35">
      <c r="A132" s="945"/>
      <c r="B132" s="376"/>
      <c r="C132" s="376"/>
      <c r="D132" s="376"/>
      <c r="E132" s="376"/>
      <c r="F132" s="376"/>
      <c r="G132" s="376"/>
      <c r="H132" s="376"/>
      <c r="I132" s="376"/>
      <c r="J132" s="376"/>
      <c r="K132" s="946"/>
      <c r="L132" s="946"/>
      <c r="M132" s="946"/>
      <c r="N132" s="945"/>
      <c r="O132" s="945"/>
      <c r="P132" s="945"/>
      <c r="Q132" s="945"/>
      <c r="R132" s="945"/>
      <c r="S132" s="945"/>
      <c r="T132" s="945"/>
      <c r="U132" s="945"/>
      <c r="V132" s="945"/>
      <c r="W132" s="945"/>
      <c r="X132" s="945"/>
      <c r="Y132" s="945"/>
      <c r="Z132" s="945"/>
    </row>
    <row r="133" spans="1:26" ht="18" customHeight="1" x14ac:dyDescent="0.35">
      <c r="A133" s="945"/>
      <c r="B133" s="376"/>
      <c r="C133" s="376"/>
      <c r="D133" s="376"/>
      <c r="E133" s="376"/>
      <c r="F133" s="376"/>
      <c r="G133" s="376"/>
      <c r="H133" s="376"/>
      <c r="I133" s="376"/>
      <c r="J133" s="376"/>
      <c r="K133" s="946"/>
      <c r="L133" s="946"/>
      <c r="M133" s="946"/>
      <c r="N133" s="945"/>
      <c r="O133" s="945"/>
      <c r="P133" s="945"/>
      <c r="Q133" s="945"/>
      <c r="R133" s="945"/>
      <c r="S133" s="945"/>
      <c r="T133" s="945"/>
      <c r="U133" s="945"/>
      <c r="V133" s="945"/>
      <c r="W133" s="945"/>
      <c r="X133" s="945"/>
      <c r="Y133" s="945"/>
      <c r="Z133" s="945"/>
    </row>
    <row r="134" spans="1:26" ht="18" customHeight="1" x14ac:dyDescent="0.35">
      <c r="A134" s="945"/>
      <c r="B134" s="376"/>
      <c r="C134" s="376"/>
      <c r="D134" s="376"/>
      <c r="E134" s="376"/>
      <c r="F134" s="376"/>
      <c r="G134" s="376"/>
      <c r="H134" s="376"/>
      <c r="I134" s="376"/>
      <c r="J134" s="376"/>
      <c r="K134" s="946"/>
      <c r="L134" s="946"/>
      <c r="M134" s="946"/>
      <c r="N134" s="945"/>
      <c r="O134" s="945"/>
      <c r="P134" s="945"/>
      <c r="Q134" s="945"/>
      <c r="R134" s="945"/>
      <c r="S134" s="945"/>
      <c r="T134" s="945"/>
      <c r="U134" s="945"/>
      <c r="V134" s="945"/>
      <c r="W134" s="945"/>
      <c r="X134" s="945"/>
      <c r="Y134" s="945"/>
      <c r="Z134" s="945"/>
    </row>
    <row r="135" spans="1:26" ht="18" customHeight="1" x14ac:dyDescent="0.35">
      <c r="A135" s="945"/>
      <c r="B135" s="376"/>
      <c r="C135" s="376"/>
      <c r="D135" s="376"/>
      <c r="E135" s="376"/>
      <c r="F135" s="376"/>
      <c r="G135" s="376"/>
      <c r="H135" s="376"/>
      <c r="I135" s="376"/>
      <c r="J135" s="376"/>
      <c r="K135" s="946"/>
      <c r="L135" s="946"/>
      <c r="M135" s="946"/>
      <c r="N135" s="945"/>
      <c r="O135" s="945"/>
      <c r="P135" s="945"/>
      <c r="Q135" s="945"/>
      <c r="R135" s="945"/>
      <c r="S135" s="945"/>
      <c r="T135" s="945"/>
      <c r="U135" s="945"/>
      <c r="V135" s="945"/>
      <c r="W135" s="945"/>
      <c r="X135" s="945"/>
      <c r="Y135" s="945"/>
      <c r="Z135" s="945"/>
    </row>
    <row r="136" spans="1:26" ht="18" customHeight="1" x14ac:dyDescent="0.35">
      <c r="A136" s="945"/>
      <c r="B136" s="376"/>
      <c r="C136" s="376"/>
      <c r="D136" s="376"/>
      <c r="E136" s="376"/>
      <c r="F136" s="376"/>
      <c r="G136" s="376"/>
      <c r="H136" s="376"/>
      <c r="I136" s="376"/>
      <c r="J136" s="376"/>
      <c r="K136" s="946"/>
      <c r="L136" s="946"/>
      <c r="M136" s="946"/>
      <c r="N136" s="945"/>
      <c r="O136" s="945"/>
      <c r="P136" s="945"/>
      <c r="Q136" s="945"/>
      <c r="R136" s="945"/>
      <c r="S136" s="945"/>
      <c r="T136" s="945"/>
      <c r="U136" s="945"/>
      <c r="V136" s="945"/>
      <c r="W136" s="945"/>
      <c r="X136" s="945"/>
      <c r="Y136" s="945"/>
      <c r="Z136" s="945"/>
    </row>
    <row r="137" spans="1:26" ht="18" customHeight="1" x14ac:dyDescent="0.35">
      <c r="A137" s="945"/>
      <c r="B137" s="376"/>
      <c r="C137" s="376"/>
      <c r="D137" s="376"/>
      <c r="E137" s="376"/>
      <c r="F137" s="376"/>
      <c r="G137" s="376"/>
      <c r="H137" s="376"/>
      <c r="I137" s="376"/>
      <c r="J137" s="376"/>
      <c r="K137" s="946"/>
      <c r="L137" s="946"/>
      <c r="M137" s="946"/>
      <c r="N137" s="945"/>
      <c r="O137" s="945"/>
      <c r="P137" s="945"/>
      <c r="Q137" s="945"/>
      <c r="R137" s="945"/>
      <c r="S137" s="945"/>
      <c r="T137" s="945"/>
      <c r="U137" s="945"/>
      <c r="V137" s="945"/>
      <c r="W137" s="945"/>
      <c r="X137" s="945"/>
      <c r="Y137" s="945"/>
      <c r="Z137" s="945"/>
    </row>
    <row r="138" spans="1:26" ht="18" customHeight="1" x14ac:dyDescent="0.35">
      <c r="A138" s="945"/>
      <c r="B138" s="376"/>
      <c r="C138" s="376"/>
      <c r="D138" s="376"/>
      <c r="E138" s="376"/>
      <c r="F138" s="376"/>
      <c r="G138" s="376"/>
      <c r="H138" s="376"/>
      <c r="I138" s="376"/>
      <c r="J138" s="376"/>
      <c r="K138" s="946"/>
      <c r="L138" s="946"/>
      <c r="M138" s="946"/>
      <c r="N138" s="945"/>
      <c r="O138" s="945"/>
      <c r="P138" s="945"/>
      <c r="Q138" s="945"/>
      <c r="R138" s="945"/>
      <c r="S138" s="945"/>
      <c r="T138" s="945"/>
      <c r="U138" s="945"/>
      <c r="V138" s="945"/>
      <c r="W138" s="945"/>
      <c r="X138" s="945"/>
      <c r="Y138" s="945"/>
      <c r="Z138" s="945"/>
    </row>
    <row r="139" spans="1:26" ht="18" customHeight="1" x14ac:dyDescent="0.35">
      <c r="A139" s="945"/>
      <c r="B139" s="376"/>
      <c r="C139" s="376"/>
      <c r="D139" s="376"/>
      <c r="E139" s="376"/>
      <c r="F139" s="376"/>
      <c r="G139" s="376"/>
      <c r="H139" s="376"/>
      <c r="I139" s="376"/>
      <c r="J139" s="376"/>
      <c r="K139" s="946"/>
      <c r="L139" s="946"/>
      <c r="M139" s="946"/>
      <c r="N139" s="945"/>
      <c r="O139" s="945"/>
      <c r="P139" s="945"/>
      <c r="Q139" s="945"/>
      <c r="R139" s="945"/>
      <c r="S139" s="945"/>
      <c r="T139" s="945"/>
      <c r="U139" s="945"/>
      <c r="V139" s="945"/>
      <c r="W139" s="945"/>
      <c r="X139" s="945"/>
      <c r="Y139" s="945"/>
      <c r="Z139" s="945"/>
    </row>
    <row r="140" spans="1:26" ht="18" customHeight="1" x14ac:dyDescent="0.35">
      <c r="A140" s="945"/>
      <c r="B140" s="376"/>
      <c r="C140" s="376"/>
      <c r="D140" s="376"/>
      <c r="E140" s="376"/>
      <c r="F140" s="376"/>
      <c r="G140" s="376"/>
      <c r="H140" s="376"/>
      <c r="I140" s="376"/>
      <c r="J140" s="376"/>
      <c r="K140" s="946"/>
      <c r="L140" s="946"/>
      <c r="M140" s="946"/>
      <c r="N140" s="945"/>
      <c r="O140" s="945"/>
      <c r="P140" s="945"/>
      <c r="Q140" s="945"/>
      <c r="R140" s="945"/>
      <c r="S140" s="945"/>
      <c r="T140" s="945"/>
      <c r="U140" s="945"/>
      <c r="V140" s="945"/>
      <c r="W140" s="945"/>
      <c r="X140" s="945"/>
      <c r="Y140" s="945"/>
      <c r="Z140" s="945"/>
    </row>
    <row r="141" spans="1:26" ht="18" customHeight="1" x14ac:dyDescent="0.35">
      <c r="A141" s="945"/>
      <c r="B141" s="376"/>
      <c r="C141" s="376"/>
      <c r="D141" s="376"/>
      <c r="E141" s="376"/>
      <c r="F141" s="376"/>
      <c r="G141" s="376"/>
      <c r="H141" s="376"/>
      <c r="I141" s="376"/>
      <c r="J141" s="376"/>
      <c r="K141" s="946"/>
      <c r="L141" s="946"/>
      <c r="M141" s="946"/>
      <c r="N141" s="945"/>
      <c r="O141" s="945"/>
      <c r="P141" s="945"/>
      <c r="Q141" s="945"/>
      <c r="R141" s="945"/>
      <c r="S141" s="945"/>
      <c r="T141" s="945"/>
      <c r="U141" s="945"/>
      <c r="V141" s="945"/>
      <c r="W141" s="945"/>
      <c r="X141" s="945"/>
      <c r="Y141" s="945"/>
      <c r="Z141" s="945"/>
    </row>
    <row r="142" spans="1:26" ht="18" customHeight="1" x14ac:dyDescent="0.35">
      <c r="A142" s="945"/>
      <c r="B142" s="376"/>
      <c r="C142" s="376"/>
      <c r="D142" s="376"/>
      <c r="E142" s="376"/>
      <c r="F142" s="376"/>
      <c r="G142" s="376"/>
      <c r="H142" s="376"/>
      <c r="I142" s="376"/>
      <c r="J142" s="376"/>
      <c r="K142" s="946"/>
      <c r="L142" s="946"/>
      <c r="M142" s="946"/>
      <c r="N142" s="945"/>
      <c r="O142" s="945"/>
      <c r="P142" s="945"/>
      <c r="Q142" s="945"/>
      <c r="R142" s="945"/>
      <c r="S142" s="945"/>
      <c r="T142" s="945"/>
      <c r="U142" s="945"/>
      <c r="V142" s="945"/>
      <c r="W142" s="945"/>
      <c r="X142" s="945"/>
      <c r="Y142" s="945"/>
      <c r="Z142" s="945"/>
    </row>
    <row r="143" spans="1:26" ht="18" customHeight="1" x14ac:dyDescent="0.35">
      <c r="A143" s="945"/>
      <c r="B143" s="376"/>
      <c r="C143" s="376"/>
      <c r="D143" s="376"/>
      <c r="E143" s="376"/>
      <c r="F143" s="376"/>
      <c r="G143" s="376"/>
      <c r="H143" s="376"/>
      <c r="I143" s="376"/>
      <c r="J143" s="376"/>
      <c r="K143" s="946"/>
      <c r="L143" s="946"/>
      <c r="M143" s="946"/>
      <c r="N143" s="945"/>
      <c r="O143" s="945"/>
      <c r="P143" s="945"/>
      <c r="Q143" s="945"/>
      <c r="R143" s="945"/>
      <c r="S143" s="945"/>
      <c r="T143" s="945"/>
      <c r="U143" s="945"/>
      <c r="V143" s="945"/>
      <c r="W143" s="945"/>
      <c r="X143" s="945"/>
      <c r="Y143" s="945"/>
      <c r="Z143" s="945"/>
    </row>
    <row r="144" spans="1:26" ht="18" customHeight="1" x14ac:dyDescent="0.35">
      <c r="A144" s="945"/>
      <c r="B144" s="376"/>
      <c r="C144" s="376"/>
      <c r="D144" s="376"/>
      <c r="E144" s="376"/>
      <c r="F144" s="376"/>
      <c r="G144" s="376"/>
      <c r="H144" s="376"/>
      <c r="I144" s="376"/>
      <c r="J144" s="376"/>
      <c r="K144" s="946"/>
      <c r="L144" s="946"/>
      <c r="M144" s="946"/>
      <c r="N144" s="945"/>
      <c r="O144" s="945"/>
      <c r="P144" s="945"/>
      <c r="Q144" s="945"/>
      <c r="R144" s="945"/>
      <c r="S144" s="945"/>
      <c r="T144" s="945"/>
      <c r="U144" s="945"/>
      <c r="V144" s="945"/>
      <c r="W144" s="945"/>
      <c r="X144" s="945"/>
      <c r="Y144" s="945"/>
      <c r="Z144" s="945"/>
    </row>
    <row r="145" spans="1:26" ht="18" customHeight="1" x14ac:dyDescent="0.35">
      <c r="A145" s="945"/>
      <c r="B145" s="376"/>
      <c r="C145" s="376"/>
      <c r="D145" s="376"/>
      <c r="E145" s="376"/>
      <c r="F145" s="376"/>
      <c r="G145" s="376"/>
      <c r="H145" s="376"/>
      <c r="I145" s="376"/>
      <c r="J145" s="376"/>
      <c r="K145" s="946"/>
      <c r="L145" s="946"/>
      <c r="M145" s="946"/>
      <c r="N145" s="945"/>
      <c r="O145" s="945"/>
      <c r="P145" s="945"/>
      <c r="Q145" s="945"/>
      <c r="R145" s="945"/>
      <c r="S145" s="945"/>
      <c r="T145" s="945"/>
      <c r="U145" s="945"/>
      <c r="V145" s="945"/>
      <c r="W145" s="945"/>
      <c r="X145" s="945"/>
      <c r="Y145" s="945"/>
      <c r="Z145" s="945"/>
    </row>
    <row r="146" spans="1:26" ht="18" customHeight="1" x14ac:dyDescent="0.35">
      <c r="A146" s="945"/>
      <c r="B146" s="376"/>
      <c r="C146" s="376"/>
      <c r="D146" s="376"/>
      <c r="E146" s="376"/>
      <c r="F146" s="376"/>
      <c r="G146" s="376"/>
      <c r="H146" s="376"/>
      <c r="I146" s="376"/>
      <c r="J146" s="376"/>
      <c r="K146" s="946"/>
      <c r="L146" s="946"/>
      <c r="M146" s="946"/>
      <c r="N146" s="945"/>
      <c r="O146" s="945"/>
      <c r="P146" s="945"/>
      <c r="Q146" s="945"/>
      <c r="R146" s="945"/>
      <c r="S146" s="945"/>
      <c r="T146" s="945"/>
      <c r="U146" s="945"/>
      <c r="V146" s="945"/>
      <c r="W146" s="945"/>
      <c r="X146" s="945"/>
      <c r="Y146" s="945"/>
      <c r="Z146" s="945"/>
    </row>
    <row r="147" spans="1:26" ht="18" customHeight="1" x14ac:dyDescent="0.35">
      <c r="A147" s="945"/>
      <c r="B147" s="376"/>
      <c r="C147" s="376"/>
      <c r="D147" s="376"/>
      <c r="E147" s="376"/>
      <c r="F147" s="376"/>
      <c r="G147" s="376"/>
      <c r="H147" s="376"/>
      <c r="I147" s="376"/>
      <c r="J147" s="376"/>
      <c r="K147" s="946"/>
      <c r="L147" s="946"/>
      <c r="M147" s="946"/>
      <c r="N147" s="945"/>
      <c r="O147" s="945"/>
      <c r="P147" s="945"/>
      <c r="Q147" s="945"/>
      <c r="R147" s="945"/>
      <c r="S147" s="945"/>
      <c r="T147" s="945"/>
      <c r="U147" s="945"/>
      <c r="V147" s="945"/>
      <c r="W147" s="945"/>
      <c r="X147" s="945"/>
      <c r="Y147" s="945"/>
      <c r="Z147" s="945"/>
    </row>
    <row r="148" spans="1:26" ht="18" customHeight="1" x14ac:dyDescent="0.35">
      <c r="A148" s="945"/>
      <c r="B148" s="376"/>
      <c r="C148" s="376"/>
      <c r="D148" s="376"/>
      <c r="E148" s="376"/>
      <c r="F148" s="376"/>
      <c r="G148" s="376"/>
      <c r="H148" s="376"/>
      <c r="I148" s="376"/>
      <c r="J148" s="376"/>
      <c r="K148" s="946"/>
      <c r="L148" s="946"/>
      <c r="M148" s="946"/>
      <c r="N148" s="945"/>
      <c r="O148" s="945"/>
      <c r="P148" s="945"/>
      <c r="Q148" s="945"/>
      <c r="R148" s="945"/>
      <c r="S148" s="945"/>
      <c r="T148" s="945"/>
      <c r="U148" s="945"/>
      <c r="V148" s="945"/>
      <c r="W148" s="945"/>
      <c r="X148" s="945"/>
      <c r="Y148" s="945"/>
      <c r="Z148" s="945"/>
    </row>
    <row r="149" spans="1:26" ht="18" customHeight="1" x14ac:dyDescent="0.35">
      <c r="A149" s="945"/>
      <c r="B149" s="376"/>
      <c r="C149" s="376"/>
      <c r="D149" s="376"/>
      <c r="E149" s="376"/>
      <c r="F149" s="376"/>
      <c r="G149" s="376"/>
      <c r="H149" s="376"/>
      <c r="I149" s="376"/>
      <c r="J149" s="376"/>
      <c r="K149" s="946"/>
      <c r="L149" s="946"/>
      <c r="M149" s="946"/>
      <c r="N149" s="945"/>
      <c r="O149" s="945"/>
      <c r="P149" s="945"/>
      <c r="Q149" s="945"/>
      <c r="R149" s="945"/>
      <c r="S149" s="945"/>
      <c r="T149" s="945"/>
      <c r="U149" s="945"/>
      <c r="V149" s="945"/>
      <c r="W149" s="945"/>
      <c r="X149" s="945"/>
      <c r="Y149" s="945"/>
      <c r="Z149" s="945"/>
    </row>
    <row r="150" spans="1:26" ht="18" customHeight="1" x14ac:dyDescent="0.35">
      <c r="A150" s="945"/>
      <c r="B150" s="376"/>
      <c r="C150" s="376"/>
      <c r="D150" s="376"/>
      <c r="E150" s="376"/>
      <c r="F150" s="376"/>
      <c r="G150" s="376"/>
      <c r="H150" s="376"/>
      <c r="I150" s="376"/>
      <c r="J150" s="376"/>
      <c r="K150" s="946"/>
      <c r="L150" s="946"/>
      <c r="M150" s="946"/>
      <c r="N150" s="945"/>
      <c r="O150" s="945"/>
      <c r="P150" s="945"/>
      <c r="Q150" s="945"/>
      <c r="R150" s="945"/>
      <c r="S150" s="945"/>
      <c r="T150" s="945"/>
      <c r="U150" s="945"/>
      <c r="V150" s="945"/>
      <c r="W150" s="945"/>
      <c r="X150" s="945"/>
      <c r="Y150" s="945"/>
      <c r="Z150" s="945"/>
    </row>
    <row r="151" spans="1:26" ht="18" customHeight="1" x14ac:dyDescent="0.35">
      <c r="A151" s="945"/>
      <c r="B151" s="376"/>
      <c r="C151" s="376"/>
      <c r="D151" s="376"/>
      <c r="E151" s="376"/>
      <c r="F151" s="376"/>
      <c r="G151" s="376"/>
      <c r="H151" s="376"/>
      <c r="I151" s="376"/>
      <c r="J151" s="376"/>
      <c r="K151" s="946"/>
      <c r="L151" s="946"/>
      <c r="M151" s="946"/>
      <c r="N151" s="945"/>
      <c r="O151" s="945"/>
      <c r="P151" s="945"/>
      <c r="Q151" s="945"/>
      <c r="R151" s="945"/>
      <c r="S151" s="945"/>
      <c r="T151" s="945"/>
      <c r="U151" s="945"/>
      <c r="V151" s="945"/>
      <c r="W151" s="945"/>
      <c r="X151" s="945"/>
      <c r="Y151" s="945"/>
      <c r="Z151" s="945"/>
    </row>
    <row r="152" spans="1:26" ht="18" customHeight="1" x14ac:dyDescent="0.35">
      <c r="A152" s="945"/>
      <c r="B152" s="376"/>
      <c r="C152" s="376"/>
      <c r="D152" s="376"/>
      <c r="E152" s="376"/>
      <c r="F152" s="376"/>
      <c r="G152" s="376"/>
      <c r="H152" s="376"/>
      <c r="I152" s="376"/>
      <c r="J152" s="376"/>
      <c r="K152" s="946"/>
      <c r="L152" s="946"/>
      <c r="M152" s="946"/>
      <c r="N152" s="945"/>
      <c r="O152" s="945"/>
      <c r="P152" s="945"/>
      <c r="Q152" s="945"/>
      <c r="R152" s="945"/>
      <c r="S152" s="945"/>
      <c r="T152" s="945"/>
      <c r="U152" s="945"/>
      <c r="V152" s="945"/>
      <c r="W152" s="945"/>
      <c r="X152" s="945"/>
      <c r="Y152" s="945"/>
      <c r="Z152" s="945"/>
    </row>
    <row r="153" spans="1:26" ht="18" customHeight="1" x14ac:dyDescent="0.35">
      <c r="A153" s="945"/>
      <c r="B153" s="376"/>
      <c r="C153" s="376"/>
      <c r="D153" s="376"/>
      <c r="E153" s="376"/>
      <c r="F153" s="376"/>
      <c r="G153" s="376"/>
      <c r="H153" s="376"/>
      <c r="I153" s="376"/>
      <c r="J153" s="376"/>
      <c r="K153" s="946"/>
      <c r="L153" s="946"/>
      <c r="M153" s="946"/>
      <c r="N153" s="945"/>
      <c r="O153" s="945"/>
      <c r="P153" s="945"/>
      <c r="Q153" s="945"/>
      <c r="R153" s="945"/>
      <c r="S153" s="945"/>
      <c r="T153" s="945"/>
      <c r="U153" s="945"/>
      <c r="V153" s="945"/>
      <c r="W153" s="945"/>
      <c r="X153" s="945"/>
      <c r="Y153" s="945"/>
      <c r="Z153" s="945"/>
    </row>
    <row r="154" spans="1:26" ht="18" customHeight="1" x14ac:dyDescent="0.35">
      <c r="A154" s="945"/>
      <c r="B154" s="376"/>
      <c r="C154" s="376"/>
      <c r="D154" s="376"/>
      <c r="E154" s="376"/>
      <c r="F154" s="376"/>
      <c r="G154" s="376"/>
      <c r="H154" s="376"/>
      <c r="I154" s="376"/>
      <c r="J154" s="376"/>
      <c r="K154" s="946"/>
      <c r="L154" s="946"/>
      <c r="M154" s="946"/>
      <c r="N154" s="945"/>
      <c r="O154" s="945"/>
      <c r="P154" s="945"/>
      <c r="Q154" s="945"/>
      <c r="R154" s="945"/>
      <c r="S154" s="945"/>
      <c r="T154" s="945"/>
      <c r="U154" s="945"/>
      <c r="V154" s="945"/>
      <c r="W154" s="945"/>
      <c r="X154" s="945"/>
      <c r="Y154" s="945"/>
      <c r="Z154" s="945"/>
    </row>
    <row r="155" spans="1:26" ht="18" customHeight="1" x14ac:dyDescent="0.35">
      <c r="A155" s="945"/>
      <c r="B155" s="376"/>
      <c r="C155" s="376"/>
      <c r="D155" s="376"/>
      <c r="E155" s="376"/>
      <c r="F155" s="376"/>
      <c r="G155" s="376"/>
      <c r="H155" s="376"/>
      <c r="I155" s="376"/>
      <c r="J155" s="376"/>
      <c r="K155" s="946"/>
      <c r="L155" s="946"/>
      <c r="M155" s="946"/>
      <c r="N155" s="945"/>
      <c r="O155" s="945"/>
      <c r="P155" s="945"/>
      <c r="Q155" s="945"/>
      <c r="R155" s="945"/>
      <c r="S155" s="945"/>
      <c r="T155" s="945"/>
      <c r="U155" s="945"/>
      <c r="V155" s="945"/>
      <c r="W155" s="945"/>
      <c r="X155" s="945"/>
      <c r="Y155" s="945"/>
      <c r="Z155" s="945"/>
    </row>
    <row r="156" spans="1:26" ht="18" customHeight="1" x14ac:dyDescent="0.35">
      <c r="A156" s="945"/>
      <c r="B156" s="376"/>
      <c r="C156" s="376"/>
      <c r="D156" s="376"/>
      <c r="E156" s="376"/>
      <c r="F156" s="376"/>
      <c r="G156" s="376"/>
      <c r="H156" s="376"/>
      <c r="I156" s="376"/>
      <c r="J156" s="376"/>
      <c r="K156" s="946"/>
      <c r="L156" s="946"/>
      <c r="M156" s="946"/>
      <c r="N156" s="945"/>
      <c r="O156" s="945"/>
      <c r="P156" s="945"/>
      <c r="Q156" s="945"/>
      <c r="R156" s="945"/>
      <c r="S156" s="945"/>
      <c r="T156" s="945"/>
      <c r="U156" s="945"/>
      <c r="V156" s="945"/>
      <c r="W156" s="945"/>
      <c r="X156" s="945"/>
      <c r="Y156" s="945"/>
      <c r="Z156" s="945"/>
    </row>
    <row r="157" spans="1:26" ht="18" customHeight="1" x14ac:dyDescent="0.35">
      <c r="A157" s="945"/>
      <c r="B157" s="376"/>
      <c r="C157" s="376"/>
      <c r="D157" s="376"/>
      <c r="E157" s="376"/>
      <c r="F157" s="376"/>
      <c r="G157" s="376"/>
      <c r="H157" s="376"/>
      <c r="I157" s="376"/>
      <c r="J157" s="376"/>
      <c r="K157" s="946"/>
      <c r="L157" s="946"/>
      <c r="M157" s="946"/>
      <c r="N157" s="945"/>
      <c r="O157" s="945"/>
      <c r="P157" s="945"/>
      <c r="Q157" s="945"/>
      <c r="R157" s="945"/>
      <c r="S157" s="945"/>
      <c r="T157" s="945"/>
      <c r="U157" s="945"/>
      <c r="V157" s="945"/>
      <c r="W157" s="945"/>
      <c r="X157" s="945"/>
      <c r="Y157" s="945"/>
      <c r="Z157" s="945"/>
    </row>
    <row r="158" spans="1:26" ht="18" customHeight="1" x14ac:dyDescent="0.35">
      <c r="A158" s="945"/>
      <c r="B158" s="376"/>
      <c r="C158" s="376"/>
      <c r="D158" s="376"/>
      <c r="E158" s="376"/>
      <c r="F158" s="376"/>
      <c r="G158" s="376"/>
      <c r="H158" s="376"/>
      <c r="I158" s="376"/>
      <c r="J158" s="376"/>
      <c r="K158" s="946"/>
      <c r="L158" s="946"/>
      <c r="M158" s="946"/>
      <c r="N158" s="945"/>
      <c r="O158" s="945"/>
      <c r="P158" s="945"/>
      <c r="Q158" s="945"/>
      <c r="R158" s="945"/>
      <c r="S158" s="945"/>
      <c r="T158" s="945"/>
      <c r="U158" s="945"/>
      <c r="V158" s="945"/>
      <c r="W158" s="945"/>
      <c r="X158" s="945"/>
      <c r="Y158" s="945"/>
      <c r="Z158" s="945"/>
    </row>
    <row r="159" spans="1:26" ht="18" customHeight="1" x14ac:dyDescent="0.35">
      <c r="A159" s="945"/>
      <c r="B159" s="376"/>
      <c r="C159" s="376"/>
      <c r="D159" s="376"/>
      <c r="E159" s="376"/>
      <c r="F159" s="376"/>
      <c r="G159" s="376"/>
      <c r="H159" s="376"/>
      <c r="I159" s="376"/>
      <c r="J159" s="376"/>
      <c r="K159" s="946"/>
      <c r="L159" s="946"/>
      <c r="M159" s="946"/>
      <c r="N159" s="945"/>
      <c r="O159" s="945"/>
      <c r="P159" s="945"/>
      <c r="Q159" s="945"/>
      <c r="R159" s="945"/>
      <c r="S159" s="945"/>
      <c r="T159" s="945"/>
      <c r="U159" s="945"/>
      <c r="V159" s="945"/>
      <c r="W159" s="945"/>
      <c r="X159" s="945"/>
      <c r="Y159" s="945"/>
      <c r="Z159" s="945"/>
    </row>
    <row r="160" spans="1:26" ht="18" customHeight="1" x14ac:dyDescent="0.35">
      <c r="A160" s="945"/>
      <c r="B160" s="376"/>
      <c r="C160" s="376"/>
      <c r="D160" s="376"/>
      <c r="E160" s="376"/>
      <c r="F160" s="376"/>
      <c r="G160" s="376"/>
      <c r="H160" s="376"/>
      <c r="I160" s="376"/>
      <c r="J160" s="376"/>
      <c r="K160" s="946"/>
      <c r="L160" s="946"/>
      <c r="M160" s="946"/>
      <c r="N160" s="945"/>
      <c r="O160" s="945"/>
      <c r="P160" s="945"/>
      <c r="Q160" s="945"/>
      <c r="R160" s="945"/>
      <c r="S160" s="945"/>
      <c r="T160" s="945"/>
      <c r="U160" s="945"/>
      <c r="V160" s="945"/>
      <c r="W160" s="945"/>
      <c r="X160" s="945"/>
      <c r="Y160" s="945"/>
      <c r="Z160" s="945"/>
    </row>
    <row r="161" spans="1:26" ht="18" customHeight="1" x14ac:dyDescent="0.35">
      <c r="A161" s="945"/>
      <c r="B161" s="376"/>
      <c r="C161" s="376"/>
      <c r="D161" s="376"/>
      <c r="E161" s="376"/>
      <c r="F161" s="376"/>
      <c r="G161" s="376"/>
      <c r="H161" s="376"/>
      <c r="I161" s="376"/>
      <c r="J161" s="376"/>
      <c r="K161" s="946"/>
      <c r="L161" s="946"/>
      <c r="M161" s="946"/>
      <c r="N161" s="945"/>
      <c r="O161" s="945"/>
      <c r="P161" s="945"/>
      <c r="Q161" s="945"/>
      <c r="R161" s="945"/>
      <c r="S161" s="945"/>
      <c r="T161" s="945"/>
      <c r="U161" s="945"/>
      <c r="V161" s="945"/>
      <c r="W161" s="945"/>
      <c r="X161" s="945"/>
      <c r="Y161" s="945"/>
      <c r="Z161" s="945"/>
    </row>
    <row r="162" spans="1:26" ht="18" customHeight="1" x14ac:dyDescent="0.35">
      <c r="A162" s="945"/>
      <c r="B162" s="376"/>
      <c r="C162" s="376"/>
      <c r="D162" s="376"/>
      <c r="E162" s="376"/>
      <c r="F162" s="376"/>
      <c r="G162" s="376"/>
      <c r="H162" s="376"/>
      <c r="I162" s="376"/>
      <c r="J162" s="376"/>
      <c r="K162" s="946"/>
      <c r="L162" s="946"/>
      <c r="M162" s="946"/>
      <c r="N162" s="945"/>
      <c r="O162" s="945"/>
      <c r="P162" s="945"/>
      <c r="Q162" s="945"/>
      <c r="R162" s="945"/>
      <c r="S162" s="945"/>
      <c r="T162" s="945"/>
      <c r="U162" s="945"/>
      <c r="V162" s="945"/>
      <c r="W162" s="945"/>
      <c r="X162" s="945"/>
      <c r="Y162" s="945"/>
      <c r="Z162" s="945"/>
    </row>
    <row r="163" spans="1:26" ht="18" customHeight="1" x14ac:dyDescent="0.35">
      <c r="A163" s="945"/>
      <c r="B163" s="376"/>
      <c r="C163" s="376"/>
      <c r="D163" s="376"/>
      <c r="E163" s="376"/>
      <c r="F163" s="376"/>
      <c r="G163" s="376"/>
      <c r="H163" s="376"/>
      <c r="I163" s="376"/>
      <c r="J163" s="376"/>
      <c r="K163" s="946"/>
      <c r="L163" s="946"/>
      <c r="M163" s="946"/>
      <c r="N163" s="945"/>
      <c r="O163" s="945"/>
      <c r="P163" s="945"/>
      <c r="Q163" s="945"/>
      <c r="R163" s="945"/>
      <c r="S163" s="945"/>
      <c r="T163" s="945"/>
      <c r="U163" s="945"/>
      <c r="V163" s="945"/>
      <c r="W163" s="945"/>
      <c r="X163" s="945"/>
      <c r="Y163" s="945"/>
      <c r="Z163" s="945"/>
    </row>
    <row r="164" spans="1:26" ht="18" customHeight="1" x14ac:dyDescent="0.35">
      <c r="A164" s="945"/>
      <c r="B164" s="376"/>
      <c r="C164" s="376"/>
      <c r="D164" s="376"/>
      <c r="E164" s="376"/>
      <c r="F164" s="376"/>
      <c r="G164" s="376"/>
      <c r="H164" s="376"/>
      <c r="I164" s="376"/>
      <c r="J164" s="376"/>
      <c r="K164" s="946"/>
      <c r="L164" s="946"/>
      <c r="M164" s="946"/>
      <c r="N164" s="945"/>
      <c r="O164" s="945"/>
      <c r="P164" s="945"/>
      <c r="Q164" s="945"/>
      <c r="R164" s="945"/>
      <c r="S164" s="945"/>
      <c r="T164" s="945"/>
      <c r="U164" s="945"/>
      <c r="V164" s="945"/>
      <c r="W164" s="945"/>
      <c r="X164" s="945"/>
      <c r="Y164" s="945"/>
      <c r="Z164" s="945"/>
    </row>
    <row r="165" spans="1:26" ht="18" customHeight="1" x14ac:dyDescent="0.35">
      <c r="A165" s="945"/>
      <c r="B165" s="376"/>
      <c r="C165" s="376"/>
      <c r="D165" s="376"/>
      <c r="E165" s="376"/>
      <c r="F165" s="376"/>
      <c r="G165" s="376"/>
      <c r="H165" s="376"/>
      <c r="I165" s="376"/>
      <c r="J165" s="376"/>
      <c r="K165" s="946"/>
      <c r="L165" s="946"/>
      <c r="M165" s="946"/>
      <c r="N165" s="945"/>
      <c r="O165" s="945"/>
      <c r="P165" s="945"/>
      <c r="Q165" s="945"/>
      <c r="R165" s="945"/>
      <c r="S165" s="945"/>
      <c r="T165" s="945"/>
      <c r="U165" s="945"/>
      <c r="V165" s="945"/>
      <c r="W165" s="945"/>
      <c r="X165" s="945"/>
      <c r="Y165" s="945"/>
      <c r="Z165" s="945"/>
    </row>
    <row r="166" spans="1:26" ht="18" customHeight="1" x14ac:dyDescent="0.35">
      <c r="A166" s="945"/>
      <c r="B166" s="376"/>
      <c r="C166" s="376"/>
      <c r="D166" s="376"/>
      <c r="E166" s="376"/>
      <c r="F166" s="376"/>
      <c r="G166" s="376"/>
      <c r="H166" s="376"/>
      <c r="I166" s="376"/>
      <c r="J166" s="376"/>
      <c r="K166" s="946"/>
      <c r="L166" s="946"/>
      <c r="M166" s="946"/>
      <c r="N166" s="945"/>
      <c r="O166" s="945"/>
      <c r="P166" s="945"/>
      <c r="Q166" s="945"/>
      <c r="R166" s="945"/>
      <c r="S166" s="945"/>
      <c r="T166" s="945"/>
      <c r="U166" s="945"/>
      <c r="V166" s="945"/>
      <c r="W166" s="945"/>
      <c r="X166" s="945"/>
      <c r="Y166" s="945"/>
      <c r="Z166" s="945"/>
    </row>
    <row r="167" spans="1:26" ht="18" customHeight="1" x14ac:dyDescent="0.35">
      <c r="A167" s="945"/>
      <c r="B167" s="376"/>
      <c r="C167" s="376"/>
      <c r="D167" s="376"/>
      <c r="E167" s="376"/>
      <c r="F167" s="376"/>
      <c r="G167" s="376"/>
      <c r="H167" s="376"/>
      <c r="I167" s="376"/>
      <c r="J167" s="376"/>
      <c r="K167" s="946"/>
      <c r="L167" s="946"/>
      <c r="M167" s="946"/>
      <c r="N167" s="945"/>
      <c r="O167" s="945"/>
      <c r="P167" s="945"/>
      <c r="Q167" s="945"/>
      <c r="R167" s="945"/>
      <c r="S167" s="945"/>
      <c r="T167" s="945"/>
      <c r="U167" s="945"/>
      <c r="V167" s="945"/>
      <c r="W167" s="945"/>
      <c r="X167" s="945"/>
      <c r="Y167" s="945"/>
      <c r="Z167" s="945"/>
    </row>
    <row r="168" spans="1:26" ht="18" customHeight="1" x14ac:dyDescent="0.35">
      <c r="A168" s="945"/>
      <c r="B168" s="376"/>
      <c r="C168" s="376"/>
      <c r="D168" s="376"/>
      <c r="E168" s="376"/>
      <c r="F168" s="376"/>
      <c r="G168" s="376"/>
      <c r="H168" s="376"/>
      <c r="I168" s="376"/>
      <c r="J168" s="376"/>
      <c r="K168" s="946"/>
      <c r="L168" s="946"/>
      <c r="M168" s="946"/>
      <c r="N168" s="945"/>
      <c r="O168" s="945"/>
      <c r="P168" s="945"/>
      <c r="Q168" s="945"/>
      <c r="R168" s="945"/>
      <c r="S168" s="945"/>
      <c r="T168" s="945"/>
      <c r="U168" s="945"/>
      <c r="V168" s="945"/>
      <c r="W168" s="945"/>
      <c r="X168" s="945"/>
      <c r="Y168" s="945"/>
      <c r="Z168" s="945"/>
    </row>
    <row r="169" spans="1:26" ht="18" customHeight="1" x14ac:dyDescent="0.35">
      <c r="A169" s="945"/>
      <c r="B169" s="376"/>
      <c r="C169" s="376"/>
      <c r="D169" s="376"/>
      <c r="E169" s="376"/>
      <c r="F169" s="376"/>
      <c r="G169" s="376"/>
      <c r="H169" s="376"/>
      <c r="I169" s="376"/>
      <c r="J169" s="376"/>
      <c r="K169" s="946"/>
      <c r="L169" s="946"/>
      <c r="M169" s="946"/>
      <c r="N169" s="945"/>
      <c r="O169" s="945"/>
      <c r="P169" s="945"/>
      <c r="Q169" s="945"/>
      <c r="R169" s="945"/>
      <c r="S169" s="945"/>
      <c r="T169" s="945"/>
      <c r="U169" s="945"/>
      <c r="V169" s="945"/>
      <c r="W169" s="945"/>
      <c r="X169" s="945"/>
      <c r="Y169" s="945"/>
      <c r="Z169" s="945"/>
    </row>
    <row r="170" spans="1:26" ht="18" customHeight="1" x14ac:dyDescent="0.35">
      <c r="A170" s="945"/>
      <c r="B170" s="376"/>
      <c r="C170" s="376"/>
      <c r="D170" s="376"/>
      <c r="E170" s="376"/>
      <c r="F170" s="376"/>
      <c r="G170" s="376"/>
      <c r="H170" s="376"/>
      <c r="I170" s="376"/>
      <c r="J170" s="376"/>
      <c r="K170" s="946"/>
      <c r="L170" s="946"/>
      <c r="M170" s="946"/>
      <c r="N170" s="945"/>
      <c r="O170" s="945"/>
      <c r="P170" s="945"/>
      <c r="Q170" s="945"/>
      <c r="R170" s="945"/>
      <c r="S170" s="945"/>
      <c r="T170" s="945"/>
      <c r="U170" s="945"/>
      <c r="V170" s="945"/>
      <c r="W170" s="945"/>
      <c r="X170" s="945"/>
      <c r="Y170" s="945"/>
      <c r="Z170" s="945"/>
    </row>
    <row r="171" spans="1:26" ht="18" customHeight="1" x14ac:dyDescent="0.35">
      <c r="A171" s="945"/>
      <c r="B171" s="376"/>
      <c r="C171" s="376"/>
      <c r="D171" s="376"/>
      <c r="E171" s="376"/>
      <c r="F171" s="376"/>
      <c r="G171" s="376"/>
      <c r="H171" s="376"/>
      <c r="I171" s="376"/>
      <c r="J171" s="376"/>
      <c r="K171" s="946"/>
      <c r="L171" s="946"/>
      <c r="M171" s="946"/>
      <c r="N171" s="945"/>
      <c r="O171" s="945"/>
      <c r="P171" s="945"/>
      <c r="Q171" s="945"/>
      <c r="R171" s="945"/>
      <c r="S171" s="945"/>
      <c r="T171" s="945"/>
      <c r="U171" s="945"/>
      <c r="V171" s="945"/>
      <c r="W171" s="945"/>
      <c r="X171" s="945"/>
      <c r="Y171" s="945"/>
      <c r="Z171" s="945"/>
    </row>
    <row r="172" spans="1:26" ht="18" customHeight="1" x14ac:dyDescent="0.35">
      <c r="A172" s="945"/>
      <c r="B172" s="376"/>
      <c r="C172" s="376"/>
      <c r="D172" s="376"/>
      <c r="E172" s="376"/>
      <c r="F172" s="376"/>
      <c r="G172" s="376"/>
      <c r="H172" s="376"/>
      <c r="I172" s="376"/>
      <c r="J172" s="376"/>
      <c r="K172" s="946"/>
      <c r="L172" s="946"/>
      <c r="M172" s="946"/>
      <c r="N172" s="945"/>
      <c r="O172" s="945"/>
      <c r="P172" s="945"/>
      <c r="Q172" s="945"/>
      <c r="R172" s="945"/>
      <c r="S172" s="945"/>
      <c r="T172" s="945"/>
      <c r="U172" s="945"/>
      <c r="V172" s="945"/>
      <c r="W172" s="945"/>
      <c r="X172" s="945"/>
      <c r="Y172" s="945"/>
      <c r="Z172" s="945"/>
    </row>
    <row r="173" spans="1:26" ht="18" customHeight="1" x14ac:dyDescent="0.35">
      <c r="A173" s="945"/>
      <c r="B173" s="376"/>
      <c r="C173" s="376"/>
      <c r="D173" s="376"/>
      <c r="E173" s="376"/>
      <c r="F173" s="376"/>
      <c r="G173" s="376"/>
      <c r="H173" s="376"/>
      <c r="I173" s="376"/>
      <c r="J173" s="376"/>
      <c r="K173" s="946"/>
      <c r="L173" s="946"/>
      <c r="M173" s="946"/>
      <c r="N173" s="945"/>
      <c r="O173" s="945"/>
      <c r="P173" s="945"/>
      <c r="Q173" s="945"/>
      <c r="R173" s="945"/>
      <c r="S173" s="945"/>
      <c r="T173" s="945"/>
      <c r="U173" s="945"/>
      <c r="V173" s="945"/>
      <c r="W173" s="945"/>
      <c r="X173" s="945"/>
      <c r="Y173" s="945"/>
      <c r="Z173" s="945"/>
    </row>
    <row r="174" spans="1:26" ht="18" customHeight="1" x14ac:dyDescent="0.35">
      <c r="A174" s="945"/>
      <c r="B174" s="376"/>
      <c r="C174" s="376"/>
      <c r="D174" s="376"/>
      <c r="E174" s="376"/>
      <c r="F174" s="376"/>
      <c r="G174" s="376"/>
      <c r="H174" s="376"/>
      <c r="I174" s="376"/>
      <c r="J174" s="376"/>
      <c r="K174" s="946"/>
      <c r="L174" s="946"/>
      <c r="M174" s="946"/>
      <c r="N174" s="945"/>
      <c r="O174" s="945"/>
      <c r="P174" s="945"/>
      <c r="Q174" s="945"/>
      <c r="R174" s="945"/>
      <c r="S174" s="945"/>
      <c r="T174" s="945"/>
      <c r="U174" s="945"/>
      <c r="V174" s="945"/>
      <c r="W174" s="945"/>
      <c r="X174" s="945"/>
      <c r="Y174" s="945"/>
      <c r="Z174" s="945"/>
    </row>
    <row r="175" spans="1:26" ht="18" customHeight="1" x14ac:dyDescent="0.35">
      <c r="A175" s="945"/>
      <c r="B175" s="376"/>
      <c r="C175" s="376"/>
      <c r="D175" s="376"/>
      <c r="E175" s="376"/>
      <c r="F175" s="376"/>
      <c r="G175" s="376"/>
      <c r="H175" s="376"/>
      <c r="I175" s="376"/>
      <c r="J175" s="376"/>
      <c r="K175" s="946"/>
      <c r="L175" s="946"/>
      <c r="M175" s="946"/>
      <c r="N175" s="945"/>
      <c r="O175" s="945"/>
      <c r="P175" s="945"/>
      <c r="Q175" s="945"/>
      <c r="R175" s="945"/>
      <c r="S175" s="945"/>
      <c r="T175" s="945"/>
      <c r="U175" s="945"/>
      <c r="V175" s="945"/>
      <c r="W175" s="945"/>
      <c r="X175" s="945"/>
      <c r="Y175" s="945"/>
      <c r="Z175" s="945"/>
    </row>
    <row r="176" spans="1:26" ht="18" customHeight="1" x14ac:dyDescent="0.35">
      <c r="A176" s="945"/>
      <c r="B176" s="376"/>
      <c r="C176" s="376"/>
      <c r="D176" s="376"/>
      <c r="E176" s="376"/>
      <c r="F176" s="376"/>
      <c r="G176" s="376"/>
      <c r="H176" s="376"/>
      <c r="I176" s="376"/>
      <c r="J176" s="376"/>
      <c r="K176" s="946"/>
      <c r="L176" s="946"/>
      <c r="M176" s="946"/>
      <c r="N176" s="945"/>
      <c r="O176" s="945"/>
      <c r="P176" s="945"/>
      <c r="Q176" s="945"/>
      <c r="R176" s="945"/>
      <c r="S176" s="945"/>
      <c r="T176" s="945"/>
      <c r="U176" s="945"/>
      <c r="V176" s="945"/>
      <c r="W176" s="945"/>
      <c r="X176" s="945"/>
      <c r="Y176" s="945"/>
      <c r="Z176" s="945"/>
    </row>
    <row r="177" spans="1:26" ht="18" customHeight="1" x14ac:dyDescent="0.35">
      <c r="A177" s="945"/>
      <c r="B177" s="376"/>
      <c r="C177" s="376"/>
      <c r="D177" s="376"/>
      <c r="E177" s="376"/>
      <c r="F177" s="376"/>
      <c r="G177" s="376"/>
      <c r="H177" s="376"/>
      <c r="I177" s="376"/>
      <c r="J177" s="376"/>
      <c r="K177" s="946"/>
      <c r="L177" s="946"/>
      <c r="M177" s="946"/>
      <c r="N177" s="945"/>
      <c r="O177" s="945"/>
      <c r="P177" s="945"/>
      <c r="Q177" s="945"/>
      <c r="R177" s="945"/>
      <c r="S177" s="945"/>
      <c r="T177" s="945"/>
      <c r="U177" s="945"/>
      <c r="V177" s="945"/>
      <c r="W177" s="945"/>
      <c r="X177" s="945"/>
      <c r="Y177" s="945"/>
      <c r="Z177" s="945"/>
    </row>
    <row r="178" spans="1:26" ht="18" customHeight="1" x14ac:dyDescent="0.35">
      <c r="A178" s="945"/>
      <c r="B178" s="376"/>
      <c r="C178" s="376"/>
      <c r="D178" s="376"/>
      <c r="E178" s="376"/>
      <c r="F178" s="376"/>
      <c r="G178" s="376"/>
      <c r="H178" s="376"/>
      <c r="I178" s="376"/>
      <c r="J178" s="376"/>
      <c r="K178" s="946"/>
      <c r="L178" s="946"/>
      <c r="M178" s="946"/>
      <c r="N178" s="945"/>
      <c r="O178" s="945"/>
      <c r="P178" s="945"/>
      <c r="Q178" s="945"/>
      <c r="R178" s="945"/>
      <c r="S178" s="945"/>
      <c r="T178" s="945"/>
      <c r="U178" s="945"/>
      <c r="V178" s="945"/>
      <c r="W178" s="945"/>
      <c r="X178" s="945"/>
      <c r="Y178" s="945"/>
      <c r="Z178" s="945"/>
    </row>
    <row r="179" spans="1:26" ht="18" customHeight="1" x14ac:dyDescent="0.35">
      <c r="A179" s="945"/>
      <c r="B179" s="376"/>
      <c r="C179" s="376"/>
      <c r="D179" s="376"/>
      <c r="E179" s="376"/>
      <c r="F179" s="376"/>
      <c r="G179" s="376"/>
      <c r="H179" s="376"/>
      <c r="I179" s="376"/>
      <c r="J179" s="376"/>
      <c r="K179" s="946"/>
      <c r="L179" s="946"/>
      <c r="M179" s="946"/>
      <c r="N179" s="945"/>
      <c r="O179" s="945"/>
      <c r="P179" s="945"/>
      <c r="Q179" s="945"/>
      <c r="R179" s="945"/>
      <c r="S179" s="945"/>
      <c r="T179" s="945"/>
      <c r="U179" s="945"/>
      <c r="V179" s="945"/>
      <c r="W179" s="945"/>
      <c r="X179" s="945"/>
      <c r="Y179" s="945"/>
      <c r="Z179" s="945"/>
    </row>
    <row r="180" spans="1:26" ht="18" customHeight="1" x14ac:dyDescent="0.35">
      <c r="A180" s="945"/>
      <c r="B180" s="376"/>
      <c r="C180" s="376"/>
      <c r="D180" s="376"/>
      <c r="E180" s="376"/>
      <c r="F180" s="376"/>
      <c r="G180" s="376"/>
      <c r="H180" s="376"/>
      <c r="I180" s="376"/>
      <c r="J180" s="376"/>
      <c r="K180" s="946"/>
      <c r="L180" s="946"/>
      <c r="M180" s="946"/>
      <c r="N180" s="945"/>
      <c r="O180" s="945"/>
      <c r="P180" s="945"/>
      <c r="Q180" s="945"/>
      <c r="R180" s="945"/>
      <c r="S180" s="945"/>
      <c r="T180" s="945"/>
      <c r="U180" s="945"/>
      <c r="V180" s="945"/>
      <c r="W180" s="945"/>
      <c r="X180" s="945"/>
      <c r="Y180" s="945"/>
      <c r="Z180" s="945"/>
    </row>
    <row r="181" spans="1:26" ht="18" customHeight="1" x14ac:dyDescent="0.35">
      <c r="A181" s="945"/>
      <c r="B181" s="376"/>
      <c r="C181" s="376"/>
      <c r="D181" s="376"/>
      <c r="E181" s="376"/>
      <c r="F181" s="376"/>
      <c r="G181" s="376"/>
      <c r="H181" s="376"/>
      <c r="I181" s="376"/>
      <c r="J181" s="376"/>
      <c r="K181" s="946"/>
      <c r="L181" s="946"/>
      <c r="M181" s="946"/>
      <c r="N181" s="945"/>
      <c r="O181" s="945"/>
      <c r="P181" s="945"/>
      <c r="Q181" s="945"/>
      <c r="R181" s="945"/>
      <c r="S181" s="945"/>
      <c r="T181" s="945"/>
      <c r="U181" s="945"/>
      <c r="V181" s="945"/>
      <c r="W181" s="945"/>
      <c r="X181" s="945"/>
      <c r="Y181" s="945"/>
      <c r="Z181" s="945"/>
    </row>
    <row r="182" spans="1:26" ht="18" customHeight="1" x14ac:dyDescent="0.35">
      <c r="A182" s="945"/>
      <c r="B182" s="376"/>
      <c r="C182" s="376"/>
      <c r="D182" s="376"/>
      <c r="E182" s="376"/>
      <c r="F182" s="376"/>
      <c r="G182" s="376"/>
      <c r="H182" s="376"/>
      <c r="I182" s="376"/>
      <c r="J182" s="376"/>
      <c r="K182" s="946"/>
      <c r="L182" s="946"/>
      <c r="M182" s="946"/>
      <c r="N182" s="945"/>
      <c r="O182" s="945"/>
      <c r="P182" s="945"/>
      <c r="Q182" s="945"/>
      <c r="R182" s="945"/>
      <c r="S182" s="945"/>
      <c r="T182" s="945"/>
      <c r="U182" s="945"/>
      <c r="V182" s="945"/>
      <c r="W182" s="945"/>
      <c r="X182" s="945"/>
      <c r="Y182" s="945"/>
      <c r="Z182" s="945"/>
    </row>
    <row r="183" spans="1:26" ht="18" customHeight="1" x14ac:dyDescent="0.35">
      <c r="A183" s="945"/>
      <c r="B183" s="376"/>
      <c r="C183" s="376"/>
      <c r="D183" s="376"/>
      <c r="E183" s="376"/>
      <c r="F183" s="376"/>
      <c r="G183" s="376"/>
      <c r="H183" s="376"/>
      <c r="I183" s="376"/>
      <c r="J183" s="376"/>
      <c r="K183" s="946"/>
      <c r="L183" s="946"/>
      <c r="M183" s="946"/>
      <c r="N183" s="945"/>
      <c r="O183" s="945"/>
      <c r="P183" s="945"/>
      <c r="Q183" s="945"/>
      <c r="R183" s="945"/>
      <c r="S183" s="945"/>
      <c r="T183" s="945"/>
      <c r="U183" s="945"/>
      <c r="V183" s="945"/>
      <c r="W183" s="945"/>
      <c r="X183" s="945"/>
      <c r="Y183" s="945"/>
      <c r="Z183" s="945"/>
    </row>
    <row r="184" spans="1:26" ht="18" customHeight="1" x14ac:dyDescent="0.35">
      <c r="A184" s="945"/>
      <c r="B184" s="376"/>
      <c r="C184" s="376"/>
      <c r="D184" s="376"/>
      <c r="E184" s="376"/>
      <c r="F184" s="376"/>
      <c r="G184" s="376"/>
      <c r="H184" s="376"/>
      <c r="I184" s="376"/>
      <c r="J184" s="376"/>
      <c r="K184" s="946"/>
      <c r="L184" s="946"/>
      <c r="M184" s="946"/>
      <c r="N184" s="945"/>
      <c r="O184" s="945"/>
      <c r="P184" s="945"/>
      <c r="Q184" s="945"/>
      <c r="R184" s="945"/>
      <c r="S184" s="945"/>
      <c r="T184" s="945"/>
      <c r="U184" s="945"/>
      <c r="V184" s="945"/>
      <c r="W184" s="945"/>
      <c r="X184" s="945"/>
      <c r="Y184" s="945"/>
      <c r="Z184" s="945"/>
    </row>
    <row r="185" spans="1:26" ht="18" customHeight="1" x14ac:dyDescent="0.35">
      <c r="A185" s="945"/>
      <c r="B185" s="376"/>
      <c r="C185" s="376"/>
      <c r="D185" s="376"/>
      <c r="E185" s="376"/>
      <c r="F185" s="376"/>
      <c r="G185" s="376"/>
      <c r="H185" s="376"/>
      <c r="I185" s="376"/>
      <c r="J185" s="376"/>
      <c r="K185" s="946"/>
      <c r="L185" s="946"/>
      <c r="M185" s="946"/>
      <c r="N185" s="945"/>
      <c r="O185" s="945"/>
      <c r="P185" s="945"/>
      <c r="Q185" s="945"/>
      <c r="R185" s="945"/>
      <c r="S185" s="945"/>
      <c r="T185" s="945"/>
      <c r="U185" s="945"/>
      <c r="V185" s="945"/>
      <c r="W185" s="945"/>
      <c r="X185" s="945"/>
      <c r="Y185" s="945"/>
      <c r="Z185" s="945"/>
    </row>
    <row r="186" spans="1:26" ht="18" customHeight="1" x14ac:dyDescent="0.35">
      <c r="A186" s="945"/>
      <c r="B186" s="376"/>
      <c r="C186" s="376"/>
      <c r="D186" s="376"/>
      <c r="E186" s="376"/>
      <c r="F186" s="376"/>
      <c r="G186" s="376"/>
      <c r="H186" s="376"/>
      <c r="I186" s="376"/>
      <c r="J186" s="376"/>
      <c r="K186" s="946"/>
      <c r="L186" s="946"/>
      <c r="M186" s="946"/>
      <c r="N186" s="945"/>
      <c r="O186" s="945"/>
      <c r="P186" s="945"/>
      <c r="Q186" s="945"/>
      <c r="R186" s="945"/>
      <c r="S186" s="945"/>
      <c r="T186" s="945"/>
      <c r="U186" s="945"/>
      <c r="V186" s="945"/>
      <c r="W186" s="945"/>
      <c r="X186" s="945"/>
      <c r="Y186" s="945"/>
      <c r="Z186" s="945"/>
    </row>
    <row r="187" spans="1:26" ht="18" customHeight="1" x14ac:dyDescent="0.35">
      <c r="A187" s="945"/>
      <c r="B187" s="376"/>
      <c r="C187" s="376"/>
      <c r="D187" s="376"/>
      <c r="E187" s="376"/>
      <c r="F187" s="376"/>
      <c r="G187" s="376"/>
      <c r="H187" s="376"/>
      <c r="I187" s="376"/>
      <c r="J187" s="376"/>
      <c r="K187" s="946"/>
      <c r="L187" s="946"/>
      <c r="M187" s="946"/>
      <c r="N187" s="945"/>
      <c r="O187" s="945"/>
      <c r="P187" s="945"/>
      <c r="Q187" s="945"/>
      <c r="R187" s="945"/>
      <c r="S187" s="945"/>
      <c r="T187" s="945"/>
      <c r="U187" s="945"/>
      <c r="V187" s="945"/>
      <c r="W187" s="945"/>
      <c r="X187" s="945"/>
      <c r="Y187" s="945"/>
      <c r="Z187" s="945"/>
    </row>
    <row r="188" spans="1:26" ht="18" customHeight="1" x14ac:dyDescent="0.35">
      <c r="A188" s="945"/>
      <c r="B188" s="376"/>
      <c r="C188" s="376"/>
      <c r="D188" s="376"/>
      <c r="E188" s="376"/>
      <c r="F188" s="376"/>
      <c r="G188" s="376"/>
      <c r="H188" s="376"/>
      <c r="I188" s="376"/>
      <c r="J188" s="376"/>
      <c r="K188" s="946"/>
      <c r="L188" s="946"/>
      <c r="M188" s="946"/>
      <c r="N188" s="945"/>
      <c r="O188" s="945"/>
      <c r="P188" s="945"/>
      <c r="Q188" s="945"/>
      <c r="R188" s="945"/>
      <c r="S188" s="945"/>
      <c r="T188" s="945"/>
      <c r="U188" s="945"/>
      <c r="V188" s="945"/>
      <c r="W188" s="945"/>
      <c r="X188" s="945"/>
      <c r="Y188" s="945"/>
      <c r="Z188" s="945"/>
    </row>
    <row r="189" spans="1:26" ht="18" customHeight="1" x14ac:dyDescent="0.35">
      <c r="A189" s="945"/>
      <c r="B189" s="376"/>
      <c r="C189" s="376"/>
      <c r="D189" s="376"/>
      <c r="E189" s="376"/>
      <c r="F189" s="376"/>
      <c r="G189" s="376"/>
      <c r="H189" s="376"/>
      <c r="I189" s="376"/>
      <c r="J189" s="376"/>
      <c r="K189" s="946"/>
      <c r="L189" s="946"/>
      <c r="M189" s="946"/>
      <c r="N189" s="945"/>
      <c r="O189" s="945"/>
      <c r="P189" s="945"/>
      <c r="Q189" s="945"/>
      <c r="R189" s="945"/>
      <c r="S189" s="945"/>
      <c r="T189" s="945"/>
      <c r="U189" s="945"/>
      <c r="V189" s="945"/>
      <c r="W189" s="945"/>
      <c r="X189" s="945"/>
      <c r="Y189" s="945"/>
      <c r="Z189" s="945"/>
    </row>
    <row r="190" spans="1:26" ht="18" customHeight="1" x14ac:dyDescent="0.35">
      <c r="A190" s="945"/>
      <c r="B190" s="376"/>
      <c r="C190" s="376"/>
      <c r="D190" s="376"/>
      <c r="E190" s="376"/>
      <c r="F190" s="376"/>
      <c r="G190" s="376"/>
      <c r="H190" s="376"/>
      <c r="I190" s="376"/>
      <c r="J190" s="376"/>
      <c r="K190" s="946"/>
      <c r="L190" s="946"/>
      <c r="M190" s="946"/>
      <c r="N190" s="945"/>
      <c r="O190" s="945"/>
      <c r="P190" s="945"/>
      <c r="Q190" s="945"/>
      <c r="R190" s="945"/>
      <c r="S190" s="945"/>
      <c r="T190" s="945"/>
      <c r="U190" s="945"/>
      <c r="V190" s="945"/>
      <c r="W190" s="945"/>
      <c r="X190" s="945"/>
      <c r="Y190" s="945"/>
      <c r="Z190" s="945"/>
    </row>
    <row r="191" spans="1:26" ht="18" customHeight="1" x14ac:dyDescent="0.35">
      <c r="A191" s="945"/>
      <c r="B191" s="376"/>
      <c r="C191" s="376"/>
      <c r="D191" s="376"/>
      <c r="E191" s="376"/>
      <c r="F191" s="376"/>
      <c r="G191" s="376"/>
      <c r="H191" s="376"/>
      <c r="I191" s="376"/>
      <c r="J191" s="376"/>
      <c r="K191" s="946"/>
      <c r="L191" s="946"/>
      <c r="M191" s="946"/>
      <c r="N191" s="945"/>
      <c r="O191" s="945"/>
      <c r="P191" s="945"/>
      <c r="Q191" s="945"/>
      <c r="R191" s="945"/>
      <c r="S191" s="945"/>
      <c r="T191" s="945"/>
      <c r="U191" s="945"/>
      <c r="V191" s="945"/>
      <c r="W191" s="945"/>
      <c r="X191" s="945"/>
      <c r="Y191" s="945"/>
      <c r="Z191" s="945"/>
    </row>
    <row r="192" spans="1:26" ht="18" customHeight="1" x14ac:dyDescent="0.35">
      <c r="A192" s="945"/>
      <c r="B192" s="376"/>
      <c r="C192" s="376"/>
      <c r="D192" s="376"/>
      <c r="E192" s="376"/>
      <c r="F192" s="376"/>
      <c r="G192" s="376"/>
      <c r="H192" s="376"/>
      <c r="I192" s="376"/>
      <c r="J192" s="376"/>
      <c r="K192" s="946"/>
      <c r="L192" s="946"/>
      <c r="M192" s="946"/>
      <c r="N192" s="945"/>
      <c r="O192" s="945"/>
      <c r="P192" s="945"/>
      <c r="Q192" s="945"/>
      <c r="R192" s="945"/>
      <c r="S192" s="945"/>
      <c r="T192" s="945"/>
      <c r="U192" s="945"/>
      <c r="V192" s="945"/>
      <c r="W192" s="945"/>
      <c r="X192" s="945"/>
      <c r="Y192" s="945"/>
      <c r="Z192" s="945"/>
    </row>
    <row r="193" spans="1:26" ht="18" customHeight="1" x14ac:dyDescent="0.35">
      <c r="A193" s="945"/>
      <c r="B193" s="376"/>
      <c r="C193" s="376"/>
      <c r="D193" s="376"/>
      <c r="E193" s="376"/>
      <c r="F193" s="376"/>
      <c r="G193" s="376"/>
      <c r="H193" s="376"/>
      <c r="I193" s="376"/>
      <c r="J193" s="376"/>
      <c r="K193" s="946"/>
      <c r="L193" s="946"/>
      <c r="M193" s="946"/>
      <c r="N193" s="945"/>
      <c r="O193" s="945"/>
      <c r="P193" s="945"/>
      <c r="Q193" s="945"/>
      <c r="R193" s="945"/>
      <c r="S193" s="945"/>
      <c r="T193" s="945"/>
      <c r="U193" s="945"/>
      <c r="V193" s="945"/>
      <c r="W193" s="945"/>
      <c r="X193" s="945"/>
      <c r="Y193" s="945"/>
      <c r="Z193" s="945"/>
    </row>
    <row r="194" spans="1:26" ht="18" customHeight="1" x14ac:dyDescent="0.35">
      <c r="A194" s="945"/>
      <c r="B194" s="376"/>
      <c r="C194" s="376"/>
      <c r="D194" s="376"/>
      <c r="E194" s="376"/>
      <c r="F194" s="376"/>
      <c r="G194" s="376"/>
      <c r="H194" s="376"/>
      <c r="I194" s="376"/>
      <c r="J194" s="376"/>
      <c r="K194" s="946"/>
      <c r="L194" s="946"/>
      <c r="M194" s="946"/>
      <c r="N194" s="945"/>
      <c r="O194" s="945"/>
      <c r="P194" s="945"/>
      <c r="Q194" s="945"/>
      <c r="R194" s="945"/>
      <c r="S194" s="945"/>
      <c r="T194" s="945"/>
      <c r="U194" s="945"/>
      <c r="V194" s="945"/>
      <c r="W194" s="945"/>
      <c r="X194" s="945"/>
      <c r="Y194" s="945"/>
      <c r="Z194" s="945"/>
    </row>
    <row r="195" spans="1:26" ht="18" customHeight="1" x14ac:dyDescent="0.35">
      <c r="A195" s="945"/>
      <c r="B195" s="376"/>
      <c r="C195" s="376"/>
      <c r="D195" s="376"/>
      <c r="E195" s="376"/>
      <c r="F195" s="376"/>
      <c r="G195" s="376"/>
      <c r="H195" s="376"/>
      <c r="I195" s="376"/>
      <c r="J195" s="376"/>
      <c r="K195" s="946"/>
      <c r="L195" s="946"/>
      <c r="M195" s="946"/>
      <c r="N195" s="945"/>
      <c r="O195" s="945"/>
      <c r="P195" s="945"/>
      <c r="Q195" s="945"/>
      <c r="R195" s="945"/>
      <c r="S195" s="945"/>
      <c r="T195" s="945"/>
      <c r="U195" s="945"/>
      <c r="V195" s="945"/>
      <c r="W195" s="945"/>
      <c r="X195" s="945"/>
      <c r="Y195" s="945"/>
      <c r="Z195" s="945"/>
    </row>
    <row r="196" spans="1:26" ht="18" customHeight="1" x14ac:dyDescent="0.35">
      <c r="A196" s="945"/>
      <c r="B196" s="376"/>
      <c r="C196" s="376"/>
      <c r="D196" s="376"/>
      <c r="E196" s="376"/>
      <c r="F196" s="376"/>
      <c r="G196" s="376"/>
      <c r="H196" s="376"/>
      <c r="I196" s="376"/>
      <c r="J196" s="376"/>
      <c r="K196" s="946"/>
      <c r="L196" s="946"/>
      <c r="M196" s="946"/>
      <c r="N196" s="945"/>
      <c r="O196" s="945"/>
      <c r="P196" s="945"/>
      <c r="Q196" s="945"/>
      <c r="R196" s="945"/>
      <c r="S196" s="945"/>
      <c r="T196" s="945"/>
      <c r="U196" s="945"/>
      <c r="V196" s="945"/>
      <c r="W196" s="945"/>
      <c r="X196" s="945"/>
      <c r="Y196" s="945"/>
      <c r="Z196" s="945"/>
    </row>
    <row r="197" spans="1:26" ht="18" customHeight="1" x14ac:dyDescent="0.35">
      <c r="A197" s="945"/>
      <c r="B197" s="376"/>
      <c r="C197" s="376"/>
      <c r="D197" s="376"/>
      <c r="E197" s="376"/>
      <c r="F197" s="376"/>
      <c r="G197" s="376"/>
      <c r="H197" s="376"/>
      <c r="I197" s="376"/>
      <c r="J197" s="376"/>
      <c r="K197" s="946"/>
      <c r="L197" s="946"/>
      <c r="M197" s="946"/>
      <c r="N197" s="945"/>
      <c r="O197" s="945"/>
      <c r="P197" s="945"/>
      <c r="Q197" s="945"/>
      <c r="R197" s="945"/>
      <c r="S197" s="945"/>
      <c r="T197" s="945"/>
      <c r="U197" s="945"/>
      <c r="V197" s="945"/>
      <c r="W197" s="945"/>
      <c r="X197" s="945"/>
      <c r="Y197" s="945"/>
      <c r="Z197" s="945"/>
    </row>
    <row r="198" spans="1:26" ht="18" customHeight="1" x14ac:dyDescent="0.35">
      <c r="A198" s="945"/>
      <c r="B198" s="376"/>
      <c r="C198" s="376"/>
      <c r="D198" s="376"/>
      <c r="E198" s="376"/>
      <c r="F198" s="376"/>
      <c r="G198" s="376"/>
      <c r="H198" s="376"/>
      <c r="I198" s="376"/>
      <c r="J198" s="376"/>
      <c r="K198" s="946"/>
      <c r="L198" s="946"/>
      <c r="M198" s="946"/>
      <c r="N198" s="945"/>
      <c r="O198" s="945"/>
      <c r="P198" s="945"/>
      <c r="Q198" s="945"/>
      <c r="R198" s="945"/>
      <c r="S198" s="945"/>
      <c r="T198" s="945"/>
      <c r="U198" s="945"/>
      <c r="V198" s="945"/>
      <c r="W198" s="945"/>
      <c r="X198" s="945"/>
      <c r="Y198" s="945"/>
      <c r="Z198" s="945"/>
    </row>
    <row r="199" spans="1:26" ht="18" customHeight="1" x14ac:dyDescent="0.35">
      <c r="A199" s="945"/>
      <c r="B199" s="376"/>
      <c r="C199" s="376"/>
      <c r="D199" s="376"/>
      <c r="E199" s="376"/>
      <c r="F199" s="376"/>
      <c r="G199" s="376"/>
      <c r="H199" s="376"/>
      <c r="I199" s="376"/>
      <c r="J199" s="376"/>
      <c r="K199" s="946"/>
      <c r="L199" s="946"/>
      <c r="M199" s="946"/>
      <c r="N199" s="945"/>
      <c r="O199" s="945"/>
      <c r="P199" s="945"/>
      <c r="Q199" s="945"/>
      <c r="R199" s="945"/>
      <c r="S199" s="945"/>
      <c r="T199" s="945"/>
      <c r="U199" s="945"/>
      <c r="V199" s="945"/>
      <c r="W199" s="945"/>
      <c r="X199" s="945"/>
      <c r="Y199" s="945"/>
      <c r="Z199" s="945"/>
    </row>
    <row r="200" spans="1:26" ht="18" customHeight="1" x14ac:dyDescent="0.35">
      <c r="A200" s="945"/>
      <c r="B200" s="376"/>
      <c r="C200" s="376"/>
      <c r="D200" s="376"/>
      <c r="E200" s="376"/>
      <c r="F200" s="376"/>
      <c r="G200" s="376"/>
      <c r="H200" s="376"/>
      <c r="I200" s="376"/>
      <c r="J200" s="376"/>
      <c r="K200" s="946"/>
      <c r="L200" s="946"/>
      <c r="M200" s="946"/>
      <c r="N200" s="945"/>
      <c r="O200" s="945"/>
      <c r="P200" s="945"/>
      <c r="Q200" s="945"/>
      <c r="R200" s="945"/>
      <c r="S200" s="945"/>
      <c r="T200" s="945"/>
      <c r="U200" s="945"/>
      <c r="V200" s="945"/>
      <c r="W200" s="945"/>
      <c r="X200" s="945"/>
      <c r="Y200" s="945"/>
      <c r="Z200" s="945"/>
    </row>
    <row r="201" spans="1:26" ht="18" customHeight="1" x14ac:dyDescent="0.35">
      <c r="A201" s="945"/>
      <c r="B201" s="376"/>
      <c r="C201" s="376"/>
      <c r="D201" s="376"/>
      <c r="E201" s="376"/>
      <c r="F201" s="376"/>
      <c r="G201" s="376"/>
      <c r="H201" s="376"/>
      <c r="I201" s="376"/>
      <c r="J201" s="376"/>
      <c r="K201" s="946"/>
      <c r="L201" s="946"/>
      <c r="M201" s="946"/>
      <c r="N201" s="945"/>
      <c r="O201" s="945"/>
      <c r="P201" s="945"/>
      <c r="Q201" s="945"/>
      <c r="R201" s="945"/>
      <c r="S201" s="945"/>
      <c r="T201" s="945"/>
      <c r="U201" s="945"/>
      <c r="V201" s="945"/>
      <c r="W201" s="945"/>
      <c r="X201" s="945"/>
      <c r="Y201" s="945"/>
      <c r="Z201" s="945"/>
    </row>
    <row r="202" spans="1:26" ht="18" customHeight="1" x14ac:dyDescent="0.35">
      <c r="A202" s="945"/>
      <c r="B202" s="376"/>
      <c r="C202" s="376"/>
      <c r="D202" s="376"/>
      <c r="E202" s="376"/>
      <c r="F202" s="376"/>
      <c r="G202" s="376"/>
      <c r="H202" s="376"/>
      <c r="I202" s="376"/>
      <c r="J202" s="376"/>
      <c r="K202" s="946"/>
      <c r="L202" s="946"/>
      <c r="M202" s="946"/>
      <c r="N202" s="945"/>
      <c r="O202" s="945"/>
      <c r="P202" s="945"/>
      <c r="Q202" s="945"/>
      <c r="R202" s="945"/>
      <c r="S202" s="945"/>
      <c r="T202" s="945"/>
      <c r="U202" s="945"/>
      <c r="V202" s="945"/>
      <c r="W202" s="945"/>
      <c r="X202" s="945"/>
      <c r="Y202" s="945"/>
      <c r="Z202" s="945"/>
    </row>
    <row r="203" spans="1:26" ht="18" customHeight="1" x14ac:dyDescent="0.35">
      <c r="A203" s="945"/>
      <c r="B203" s="376"/>
      <c r="C203" s="376"/>
      <c r="D203" s="376"/>
      <c r="E203" s="376"/>
      <c r="F203" s="376"/>
      <c r="G203" s="376"/>
      <c r="H203" s="376"/>
      <c r="I203" s="376"/>
      <c r="J203" s="376"/>
      <c r="K203" s="946"/>
      <c r="L203" s="946"/>
      <c r="M203" s="946"/>
      <c r="N203" s="945"/>
      <c r="O203" s="945"/>
      <c r="P203" s="945"/>
      <c r="Q203" s="945"/>
      <c r="R203" s="945"/>
      <c r="S203" s="945"/>
      <c r="T203" s="945"/>
      <c r="U203" s="945"/>
      <c r="V203" s="945"/>
      <c r="W203" s="945"/>
      <c r="X203" s="945"/>
      <c r="Y203" s="945"/>
      <c r="Z203" s="945"/>
    </row>
    <row r="204" spans="1:26" ht="18" customHeight="1" x14ac:dyDescent="0.35">
      <c r="A204" s="945"/>
      <c r="B204" s="376"/>
      <c r="C204" s="376"/>
      <c r="D204" s="376"/>
      <c r="E204" s="376"/>
      <c r="F204" s="376"/>
      <c r="G204" s="376"/>
      <c r="H204" s="376"/>
      <c r="I204" s="376"/>
      <c r="J204" s="376"/>
      <c r="K204" s="946"/>
      <c r="L204" s="946"/>
      <c r="M204" s="946"/>
      <c r="N204" s="945"/>
      <c r="O204" s="945"/>
      <c r="P204" s="945"/>
      <c r="Q204" s="945"/>
      <c r="R204" s="945"/>
      <c r="S204" s="945"/>
      <c r="T204" s="945"/>
      <c r="U204" s="945"/>
      <c r="V204" s="945"/>
      <c r="W204" s="945"/>
      <c r="X204" s="945"/>
      <c r="Y204" s="945"/>
      <c r="Z204" s="945"/>
    </row>
    <row r="205" spans="1:26" ht="18" customHeight="1" x14ac:dyDescent="0.35">
      <c r="A205" s="945"/>
      <c r="B205" s="376"/>
      <c r="C205" s="376"/>
      <c r="D205" s="376"/>
      <c r="E205" s="376"/>
      <c r="F205" s="376"/>
      <c r="G205" s="376"/>
      <c r="H205" s="376"/>
      <c r="I205" s="376"/>
      <c r="J205" s="376"/>
      <c r="K205" s="946"/>
      <c r="L205" s="946"/>
      <c r="M205" s="946"/>
      <c r="N205" s="945"/>
      <c r="O205" s="945"/>
      <c r="P205" s="945"/>
      <c r="Q205" s="945"/>
      <c r="R205" s="945"/>
      <c r="S205" s="945"/>
      <c r="T205" s="945"/>
      <c r="U205" s="945"/>
      <c r="V205" s="945"/>
      <c r="W205" s="945"/>
      <c r="X205" s="945"/>
      <c r="Y205" s="945"/>
      <c r="Z205" s="945"/>
    </row>
    <row r="206" spans="1:26" ht="18" customHeight="1" x14ac:dyDescent="0.35">
      <c r="A206" s="945"/>
      <c r="B206" s="376"/>
      <c r="C206" s="376"/>
      <c r="D206" s="376"/>
      <c r="E206" s="376"/>
      <c r="F206" s="376"/>
      <c r="G206" s="376"/>
      <c r="H206" s="376"/>
      <c r="I206" s="376"/>
      <c r="J206" s="376"/>
      <c r="K206" s="946"/>
      <c r="L206" s="946"/>
      <c r="M206" s="946"/>
      <c r="N206" s="945"/>
      <c r="O206" s="945"/>
      <c r="P206" s="945"/>
      <c r="Q206" s="945"/>
      <c r="R206" s="945"/>
      <c r="S206" s="945"/>
      <c r="T206" s="945"/>
      <c r="U206" s="945"/>
      <c r="V206" s="945"/>
      <c r="W206" s="945"/>
      <c r="X206" s="945"/>
      <c r="Y206" s="945"/>
      <c r="Z206" s="945"/>
    </row>
    <row r="207" spans="1:26" ht="18" customHeight="1" x14ac:dyDescent="0.35">
      <c r="A207" s="945"/>
      <c r="B207" s="376"/>
      <c r="C207" s="376"/>
      <c r="D207" s="376"/>
      <c r="E207" s="376"/>
      <c r="F207" s="376"/>
      <c r="G207" s="376"/>
      <c r="H207" s="376"/>
      <c r="I207" s="376"/>
      <c r="J207" s="376"/>
      <c r="K207" s="946"/>
      <c r="L207" s="946"/>
      <c r="M207" s="946"/>
      <c r="N207" s="945"/>
      <c r="O207" s="945"/>
      <c r="P207" s="945"/>
      <c r="Q207" s="945"/>
      <c r="R207" s="945"/>
      <c r="S207" s="945"/>
      <c r="T207" s="945"/>
      <c r="U207" s="945"/>
      <c r="V207" s="945"/>
      <c r="W207" s="945"/>
      <c r="X207" s="945"/>
      <c r="Y207" s="945"/>
      <c r="Z207" s="945"/>
    </row>
    <row r="208" spans="1:26" ht="18" customHeight="1" x14ac:dyDescent="0.35">
      <c r="A208" s="945"/>
      <c r="B208" s="376"/>
      <c r="C208" s="376"/>
      <c r="D208" s="376"/>
      <c r="E208" s="376"/>
      <c r="F208" s="376"/>
      <c r="G208" s="376"/>
      <c r="H208" s="376"/>
      <c r="I208" s="376"/>
      <c r="J208" s="376"/>
      <c r="K208" s="946"/>
      <c r="L208" s="946"/>
      <c r="M208" s="946"/>
      <c r="N208" s="945"/>
      <c r="O208" s="945"/>
      <c r="P208" s="945"/>
      <c r="Q208" s="945"/>
      <c r="R208" s="945"/>
      <c r="S208" s="945"/>
      <c r="T208" s="945"/>
      <c r="U208" s="945"/>
      <c r="V208" s="945"/>
      <c r="W208" s="945"/>
      <c r="X208" s="945"/>
      <c r="Y208" s="945"/>
      <c r="Z208" s="945"/>
    </row>
    <row r="209" spans="1:26" ht="18" customHeight="1" x14ac:dyDescent="0.35">
      <c r="A209" s="945"/>
      <c r="B209" s="376"/>
      <c r="C209" s="376"/>
      <c r="D209" s="376"/>
      <c r="E209" s="376"/>
      <c r="F209" s="376"/>
      <c r="G209" s="376"/>
      <c r="H209" s="376"/>
      <c r="I209" s="376"/>
      <c r="J209" s="376"/>
      <c r="K209" s="946"/>
      <c r="L209" s="946"/>
      <c r="M209" s="946"/>
      <c r="N209" s="945"/>
      <c r="O209" s="945"/>
      <c r="P209" s="945"/>
      <c r="Q209" s="945"/>
      <c r="R209" s="945"/>
      <c r="S209" s="945"/>
      <c r="T209" s="945"/>
      <c r="U209" s="945"/>
      <c r="V209" s="945"/>
      <c r="W209" s="945"/>
      <c r="X209" s="945"/>
      <c r="Y209" s="945"/>
      <c r="Z209" s="945"/>
    </row>
    <row r="210" spans="1:26" ht="18" customHeight="1" x14ac:dyDescent="0.35">
      <c r="A210" s="945"/>
      <c r="B210" s="376"/>
      <c r="C210" s="376"/>
      <c r="D210" s="376"/>
      <c r="E210" s="376"/>
      <c r="F210" s="376"/>
      <c r="G210" s="376"/>
      <c r="H210" s="376"/>
      <c r="I210" s="376"/>
      <c r="J210" s="376"/>
      <c r="K210" s="946"/>
      <c r="L210" s="946"/>
      <c r="M210" s="946"/>
      <c r="N210" s="945"/>
      <c r="O210" s="945"/>
      <c r="P210" s="945"/>
      <c r="Q210" s="945"/>
      <c r="R210" s="945"/>
      <c r="S210" s="945"/>
      <c r="T210" s="945"/>
      <c r="U210" s="945"/>
      <c r="V210" s="945"/>
      <c r="W210" s="945"/>
      <c r="X210" s="945"/>
      <c r="Y210" s="945"/>
      <c r="Z210" s="945"/>
    </row>
    <row r="211" spans="1:26" ht="18" customHeight="1" x14ac:dyDescent="0.35">
      <c r="A211" s="945"/>
      <c r="B211" s="376"/>
      <c r="C211" s="376"/>
      <c r="D211" s="376"/>
      <c r="E211" s="376"/>
      <c r="F211" s="376"/>
      <c r="G211" s="376"/>
      <c r="H211" s="376"/>
      <c r="I211" s="376"/>
      <c r="J211" s="376"/>
      <c r="K211" s="946"/>
      <c r="L211" s="946"/>
      <c r="M211" s="946"/>
      <c r="N211" s="945"/>
      <c r="O211" s="945"/>
      <c r="P211" s="945"/>
      <c r="Q211" s="945"/>
      <c r="R211" s="945"/>
      <c r="S211" s="945"/>
      <c r="T211" s="945"/>
      <c r="U211" s="945"/>
      <c r="V211" s="945"/>
      <c r="W211" s="945"/>
      <c r="X211" s="945"/>
      <c r="Y211" s="945"/>
      <c r="Z211" s="945"/>
    </row>
    <row r="212" spans="1:26" ht="18" customHeight="1" x14ac:dyDescent="0.35">
      <c r="A212" s="945"/>
      <c r="B212" s="376"/>
      <c r="C212" s="376"/>
      <c r="D212" s="376"/>
      <c r="E212" s="376"/>
      <c r="F212" s="376"/>
      <c r="G212" s="376"/>
      <c r="H212" s="376"/>
      <c r="I212" s="376"/>
      <c r="J212" s="376"/>
      <c r="K212" s="946"/>
      <c r="L212" s="946"/>
      <c r="M212" s="946"/>
      <c r="N212" s="945"/>
      <c r="O212" s="945"/>
      <c r="P212" s="945"/>
      <c r="Q212" s="945"/>
      <c r="R212" s="945"/>
      <c r="S212" s="945"/>
      <c r="T212" s="945"/>
      <c r="U212" s="945"/>
      <c r="V212" s="945"/>
      <c r="W212" s="945"/>
      <c r="X212" s="945"/>
      <c r="Y212" s="945"/>
      <c r="Z212" s="945"/>
    </row>
    <row r="213" spans="1:26" ht="18" customHeight="1" x14ac:dyDescent="0.35">
      <c r="A213" s="945"/>
      <c r="B213" s="376"/>
      <c r="C213" s="376"/>
      <c r="D213" s="376"/>
      <c r="E213" s="376"/>
      <c r="F213" s="376"/>
      <c r="G213" s="376"/>
      <c r="H213" s="376"/>
      <c r="I213" s="376"/>
      <c r="J213" s="376"/>
      <c r="K213" s="946"/>
      <c r="L213" s="946"/>
      <c r="M213" s="946"/>
      <c r="N213" s="945"/>
      <c r="O213" s="945"/>
      <c r="P213" s="945"/>
      <c r="Q213" s="945"/>
      <c r="R213" s="945"/>
      <c r="S213" s="945"/>
      <c r="T213" s="945"/>
      <c r="U213" s="945"/>
      <c r="V213" s="945"/>
      <c r="W213" s="945"/>
      <c r="X213" s="945"/>
      <c r="Y213" s="945"/>
      <c r="Z213" s="945"/>
    </row>
    <row r="214" spans="1:26" ht="18" customHeight="1" x14ac:dyDescent="0.35">
      <c r="A214" s="945"/>
      <c r="B214" s="376"/>
      <c r="C214" s="376"/>
      <c r="D214" s="376"/>
      <c r="E214" s="376"/>
      <c r="F214" s="376"/>
      <c r="G214" s="376"/>
      <c r="H214" s="376"/>
      <c r="I214" s="376"/>
      <c r="J214" s="376"/>
      <c r="K214" s="946"/>
      <c r="L214" s="946"/>
      <c r="M214" s="946"/>
      <c r="N214" s="945"/>
      <c r="O214" s="945"/>
      <c r="P214" s="945"/>
      <c r="Q214" s="945"/>
      <c r="R214" s="945"/>
      <c r="S214" s="945"/>
      <c r="T214" s="945"/>
      <c r="U214" s="945"/>
      <c r="V214" s="945"/>
      <c r="W214" s="945"/>
      <c r="X214" s="945"/>
      <c r="Y214" s="945"/>
      <c r="Z214" s="945"/>
    </row>
    <row r="215" spans="1:26" ht="18" customHeight="1" x14ac:dyDescent="0.35">
      <c r="A215" s="945"/>
      <c r="B215" s="376"/>
      <c r="C215" s="376"/>
      <c r="D215" s="376"/>
      <c r="E215" s="376"/>
      <c r="F215" s="376"/>
      <c r="G215" s="376"/>
      <c r="H215" s="376"/>
      <c r="I215" s="376"/>
      <c r="J215" s="376"/>
      <c r="K215" s="946"/>
      <c r="L215" s="946"/>
      <c r="M215" s="946"/>
      <c r="N215" s="945"/>
      <c r="O215" s="945"/>
      <c r="P215" s="945"/>
      <c r="Q215" s="945"/>
      <c r="R215" s="945"/>
      <c r="S215" s="945"/>
      <c r="T215" s="945"/>
      <c r="U215" s="945"/>
      <c r="V215" s="945"/>
      <c r="W215" s="945"/>
      <c r="X215" s="945"/>
      <c r="Y215" s="945"/>
      <c r="Z215" s="945"/>
    </row>
    <row r="216" spans="1:26" ht="18" customHeight="1" x14ac:dyDescent="0.35">
      <c r="A216" s="945"/>
      <c r="B216" s="376"/>
      <c r="C216" s="376"/>
      <c r="D216" s="376"/>
      <c r="E216" s="376"/>
      <c r="F216" s="376"/>
      <c r="G216" s="376"/>
      <c r="H216" s="376"/>
      <c r="I216" s="376"/>
      <c r="J216" s="376"/>
      <c r="K216" s="946"/>
      <c r="L216" s="946"/>
      <c r="M216" s="946"/>
      <c r="N216" s="945"/>
      <c r="O216" s="945"/>
      <c r="P216" s="945"/>
      <c r="Q216" s="945"/>
      <c r="R216" s="945"/>
      <c r="S216" s="945"/>
      <c r="T216" s="945"/>
      <c r="U216" s="945"/>
      <c r="V216" s="945"/>
      <c r="W216" s="945"/>
      <c r="X216" s="945"/>
      <c r="Y216" s="945"/>
      <c r="Z216" s="945"/>
    </row>
    <row r="217" spans="1:26" ht="18" customHeight="1" x14ac:dyDescent="0.35">
      <c r="A217" s="945"/>
      <c r="B217" s="376"/>
      <c r="C217" s="376"/>
      <c r="D217" s="376"/>
      <c r="E217" s="376"/>
      <c r="F217" s="376"/>
      <c r="G217" s="376"/>
      <c r="H217" s="376"/>
      <c r="I217" s="376"/>
      <c r="J217" s="376"/>
      <c r="K217" s="946"/>
      <c r="L217" s="946"/>
      <c r="M217" s="946"/>
      <c r="N217" s="945"/>
      <c r="O217" s="945"/>
      <c r="P217" s="945"/>
      <c r="Q217" s="945"/>
      <c r="R217" s="945"/>
      <c r="S217" s="945"/>
      <c r="T217" s="945"/>
      <c r="U217" s="945"/>
      <c r="V217" s="945"/>
      <c r="W217" s="945"/>
      <c r="X217" s="945"/>
      <c r="Y217" s="945"/>
      <c r="Z217" s="945"/>
    </row>
    <row r="218" spans="1:26" ht="18" customHeight="1" x14ac:dyDescent="0.35">
      <c r="A218" s="945"/>
      <c r="B218" s="376"/>
      <c r="C218" s="376"/>
      <c r="D218" s="376"/>
      <c r="E218" s="376"/>
      <c r="F218" s="376"/>
      <c r="G218" s="376"/>
      <c r="H218" s="376"/>
      <c r="I218" s="376"/>
      <c r="J218" s="376"/>
      <c r="K218" s="946"/>
      <c r="L218" s="946"/>
      <c r="M218" s="946"/>
      <c r="N218" s="945"/>
      <c r="O218" s="945"/>
      <c r="P218" s="945"/>
      <c r="Q218" s="945"/>
      <c r="R218" s="945"/>
      <c r="S218" s="945"/>
      <c r="T218" s="945"/>
      <c r="U218" s="945"/>
      <c r="V218" s="945"/>
      <c r="W218" s="945"/>
      <c r="X218" s="945"/>
      <c r="Y218" s="945"/>
      <c r="Z218" s="945"/>
    </row>
    <row r="219" spans="1:26" ht="18" customHeight="1" x14ac:dyDescent="0.35">
      <c r="A219" s="945"/>
      <c r="B219" s="376"/>
      <c r="C219" s="376"/>
      <c r="D219" s="376"/>
      <c r="E219" s="376"/>
      <c r="F219" s="376"/>
      <c r="G219" s="376"/>
      <c r="H219" s="376"/>
      <c r="I219" s="376"/>
      <c r="J219" s="376"/>
      <c r="K219" s="946"/>
      <c r="L219" s="946"/>
      <c r="M219" s="946"/>
      <c r="N219" s="945"/>
      <c r="O219" s="945"/>
      <c r="P219" s="945"/>
      <c r="Q219" s="945"/>
      <c r="R219" s="945"/>
      <c r="S219" s="945"/>
      <c r="T219" s="945"/>
      <c r="U219" s="945"/>
      <c r="V219" s="945"/>
      <c r="W219" s="945"/>
      <c r="X219" s="945"/>
      <c r="Y219" s="945"/>
      <c r="Z219" s="945"/>
    </row>
    <row r="220" spans="1:26" ht="18" customHeight="1" x14ac:dyDescent="0.35">
      <c r="A220" s="945"/>
      <c r="B220" s="376"/>
      <c r="C220" s="376"/>
      <c r="D220" s="376"/>
      <c r="E220" s="376"/>
      <c r="F220" s="376"/>
      <c r="G220" s="376"/>
      <c r="H220" s="376"/>
      <c r="I220" s="376"/>
      <c r="J220" s="376"/>
      <c r="K220" s="946"/>
      <c r="L220" s="946"/>
      <c r="M220" s="946"/>
      <c r="N220" s="945"/>
      <c r="O220" s="945"/>
      <c r="P220" s="945"/>
      <c r="Q220" s="945"/>
      <c r="R220" s="945"/>
      <c r="S220" s="945"/>
      <c r="T220" s="945"/>
      <c r="U220" s="945"/>
      <c r="V220" s="945"/>
      <c r="W220" s="945"/>
      <c r="X220" s="945"/>
      <c r="Y220" s="945"/>
      <c r="Z220" s="945"/>
    </row>
    <row r="221" spans="1:26" ht="18" customHeight="1" x14ac:dyDescent="0.35">
      <c r="A221" s="945"/>
      <c r="B221" s="376"/>
      <c r="C221" s="376"/>
      <c r="D221" s="376"/>
      <c r="E221" s="376"/>
      <c r="F221" s="376"/>
      <c r="G221" s="376"/>
      <c r="H221" s="376"/>
      <c r="I221" s="376"/>
      <c r="J221" s="376"/>
      <c r="K221" s="946"/>
      <c r="L221" s="946"/>
      <c r="M221" s="946"/>
      <c r="N221" s="945"/>
      <c r="O221" s="945"/>
      <c r="P221" s="945"/>
      <c r="Q221" s="945"/>
      <c r="R221" s="945"/>
      <c r="S221" s="945"/>
      <c r="T221" s="945"/>
      <c r="U221" s="945"/>
      <c r="V221" s="945"/>
      <c r="W221" s="945"/>
      <c r="X221" s="945"/>
      <c r="Y221" s="945"/>
      <c r="Z221" s="945"/>
    </row>
    <row r="222" spans="1:26" ht="18" customHeight="1" x14ac:dyDescent="0.35">
      <c r="A222" s="945"/>
      <c r="B222" s="376"/>
      <c r="C222" s="376"/>
      <c r="D222" s="376"/>
      <c r="E222" s="376"/>
      <c r="F222" s="376"/>
      <c r="G222" s="376"/>
      <c r="H222" s="376"/>
      <c r="I222" s="376"/>
      <c r="J222" s="376"/>
      <c r="K222" s="946"/>
      <c r="L222" s="946"/>
      <c r="M222" s="946"/>
      <c r="N222" s="945"/>
      <c r="O222" s="945"/>
      <c r="P222" s="945"/>
      <c r="Q222" s="945"/>
      <c r="R222" s="945"/>
      <c r="S222" s="945"/>
      <c r="T222" s="945"/>
      <c r="U222" s="945"/>
      <c r="V222" s="945"/>
      <c r="W222" s="945"/>
      <c r="X222" s="945"/>
      <c r="Y222" s="945"/>
      <c r="Z222" s="945"/>
    </row>
    <row r="223" spans="1:26" ht="18" customHeight="1" x14ac:dyDescent="0.35">
      <c r="A223" s="945"/>
      <c r="B223" s="376"/>
      <c r="C223" s="376"/>
      <c r="D223" s="376"/>
      <c r="E223" s="376"/>
      <c r="F223" s="376"/>
      <c r="G223" s="376"/>
      <c r="H223" s="376"/>
      <c r="I223" s="376"/>
      <c r="J223" s="376"/>
      <c r="K223" s="946"/>
      <c r="L223" s="946"/>
      <c r="M223" s="946"/>
      <c r="N223" s="945"/>
      <c r="O223" s="945"/>
      <c r="P223" s="945"/>
      <c r="Q223" s="945"/>
      <c r="R223" s="945"/>
      <c r="S223" s="945"/>
      <c r="T223" s="945"/>
      <c r="U223" s="945"/>
      <c r="V223" s="945"/>
      <c r="W223" s="945"/>
      <c r="X223" s="945"/>
      <c r="Y223" s="945"/>
      <c r="Z223" s="945"/>
    </row>
    <row r="224" spans="1:26" ht="18" customHeight="1" x14ac:dyDescent="0.35">
      <c r="A224" s="945"/>
      <c r="B224" s="376"/>
      <c r="C224" s="376"/>
      <c r="D224" s="376"/>
      <c r="E224" s="376"/>
      <c r="F224" s="376"/>
      <c r="G224" s="376"/>
      <c r="H224" s="376"/>
      <c r="I224" s="376"/>
      <c r="J224" s="376"/>
      <c r="K224" s="946"/>
      <c r="L224" s="946"/>
      <c r="M224" s="946"/>
      <c r="N224" s="945"/>
      <c r="O224" s="945"/>
      <c r="P224" s="945"/>
      <c r="Q224" s="945"/>
      <c r="R224" s="945"/>
      <c r="S224" s="945"/>
      <c r="T224" s="945"/>
      <c r="U224" s="945"/>
      <c r="V224" s="945"/>
      <c r="W224" s="945"/>
      <c r="X224" s="945"/>
      <c r="Y224" s="945"/>
      <c r="Z224" s="945"/>
    </row>
    <row r="225" spans="1:26" ht="18" customHeight="1" x14ac:dyDescent="0.35">
      <c r="A225" s="945"/>
      <c r="B225" s="376"/>
      <c r="C225" s="376"/>
      <c r="D225" s="376"/>
      <c r="E225" s="376"/>
      <c r="F225" s="376"/>
      <c r="G225" s="376"/>
      <c r="H225" s="376"/>
      <c r="I225" s="376"/>
      <c r="J225" s="376"/>
      <c r="K225" s="946"/>
      <c r="L225" s="946"/>
      <c r="M225" s="946"/>
      <c r="N225" s="945"/>
      <c r="O225" s="945"/>
      <c r="P225" s="945"/>
      <c r="Q225" s="945"/>
      <c r="R225" s="945"/>
      <c r="S225" s="945"/>
      <c r="T225" s="945"/>
      <c r="U225" s="945"/>
      <c r="V225" s="945"/>
      <c r="W225" s="945"/>
      <c r="X225" s="945"/>
      <c r="Y225" s="945"/>
      <c r="Z225" s="945"/>
    </row>
    <row r="226" spans="1:26" ht="18" customHeight="1" x14ac:dyDescent="0.35">
      <c r="A226" s="945"/>
      <c r="B226" s="376"/>
      <c r="C226" s="376"/>
      <c r="D226" s="376"/>
      <c r="E226" s="376"/>
      <c r="F226" s="376"/>
      <c r="G226" s="376"/>
      <c r="H226" s="376"/>
      <c r="I226" s="376"/>
      <c r="J226" s="376"/>
      <c r="K226" s="946"/>
      <c r="L226" s="946"/>
      <c r="M226" s="946"/>
      <c r="N226" s="945"/>
      <c r="O226" s="945"/>
      <c r="P226" s="945"/>
      <c r="Q226" s="945"/>
      <c r="R226" s="945"/>
      <c r="S226" s="945"/>
      <c r="T226" s="945"/>
      <c r="U226" s="945"/>
      <c r="V226" s="945"/>
      <c r="W226" s="945"/>
      <c r="X226" s="945"/>
      <c r="Y226" s="945"/>
      <c r="Z226" s="945"/>
    </row>
    <row r="227" spans="1:26" ht="18" customHeight="1" x14ac:dyDescent="0.35">
      <c r="A227" s="945"/>
      <c r="B227" s="376"/>
      <c r="C227" s="376"/>
      <c r="D227" s="376"/>
      <c r="E227" s="376"/>
      <c r="F227" s="376"/>
      <c r="G227" s="376"/>
      <c r="H227" s="376"/>
      <c r="I227" s="376"/>
      <c r="J227" s="376"/>
      <c r="K227" s="946"/>
      <c r="L227" s="946"/>
      <c r="M227" s="946"/>
      <c r="N227" s="945"/>
      <c r="O227" s="945"/>
      <c r="P227" s="945"/>
      <c r="Q227" s="945"/>
      <c r="R227" s="945"/>
      <c r="S227" s="945"/>
      <c r="T227" s="945"/>
      <c r="U227" s="945"/>
      <c r="V227" s="945"/>
      <c r="W227" s="945"/>
      <c r="X227" s="945"/>
      <c r="Y227" s="945"/>
      <c r="Z227" s="945"/>
    </row>
    <row r="228" spans="1:26" ht="18" customHeight="1" x14ac:dyDescent="0.35">
      <c r="A228" s="945"/>
      <c r="B228" s="376"/>
      <c r="C228" s="376"/>
      <c r="D228" s="376"/>
      <c r="E228" s="376"/>
      <c r="F228" s="376"/>
      <c r="G228" s="376"/>
      <c r="H228" s="376"/>
      <c r="I228" s="376"/>
      <c r="J228" s="376"/>
      <c r="K228" s="946"/>
      <c r="L228" s="946"/>
      <c r="M228" s="946"/>
      <c r="N228" s="945"/>
      <c r="O228" s="945"/>
      <c r="P228" s="945"/>
      <c r="Q228" s="945"/>
      <c r="R228" s="945"/>
      <c r="S228" s="945"/>
      <c r="T228" s="945"/>
      <c r="U228" s="945"/>
      <c r="V228" s="945"/>
      <c r="W228" s="945"/>
      <c r="X228" s="945"/>
      <c r="Y228" s="945"/>
      <c r="Z228" s="945"/>
    </row>
    <row r="229" spans="1:26" ht="18" customHeight="1" x14ac:dyDescent="0.35">
      <c r="A229" s="945"/>
      <c r="B229" s="376"/>
      <c r="C229" s="376"/>
      <c r="D229" s="376"/>
      <c r="E229" s="376"/>
      <c r="F229" s="376"/>
      <c r="G229" s="376"/>
      <c r="H229" s="376"/>
      <c r="I229" s="376"/>
      <c r="J229" s="376"/>
      <c r="K229" s="946"/>
      <c r="L229" s="946"/>
      <c r="M229" s="946"/>
      <c r="N229" s="945"/>
      <c r="O229" s="945"/>
      <c r="P229" s="945"/>
      <c r="Q229" s="945"/>
      <c r="R229" s="945"/>
      <c r="S229" s="945"/>
      <c r="T229" s="945"/>
      <c r="U229" s="945"/>
      <c r="V229" s="945"/>
      <c r="W229" s="945"/>
      <c r="X229" s="945"/>
      <c r="Y229" s="945"/>
      <c r="Z229" s="945"/>
    </row>
    <row r="230" spans="1:26" ht="18" customHeight="1" x14ac:dyDescent="0.35">
      <c r="A230" s="945"/>
      <c r="B230" s="376"/>
      <c r="C230" s="376"/>
      <c r="D230" s="376"/>
      <c r="E230" s="376"/>
      <c r="F230" s="376"/>
      <c r="G230" s="376"/>
      <c r="H230" s="376"/>
      <c r="I230" s="376"/>
      <c r="J230" s="376"/>
      <c r="K230" s="946"/>
      <c r="L230" s="946"/>
      <c r="M230" s="946"/>
      <c r="N230" s="945"/>
      <c r="O230" s="945"/>
      <c r="P230" s="945"/>
      <c r="Q230" s="945"/>
      <c r="R230" s="945"/>
      <c r="S230" s="945"/>
      <c r="T230" s="945"/>
      <c r="U230" s="945"/>
      <c r="V230" s="945"/>
      <c r="W230" s="945"/>
      <c r="X230" s="945"/>
      <c r="Y230" s="945"/>
      <c r="Z230" s="945"/>
    </row>
    <row r="231" spans="1:26" ht="18" customHeight="1" x14ac:dyDescent="0.35">
      <c r="A231" s="945"/>
      <c r="B231" s="376"/>
      <c r="C231" s="376"/>
      <c r="D231" s="376"/>
      <c r="E231" s="376"/>
      <c r="F231" s="376"/>
      <c r="G231" s="376"/>
      <c r="H231" s="376"/>
      <c r="I231" s="376"/>
      <c r="J231" s="376"/>
      <c r="K231" s="946"/>
      <c r="L231" s="946"/>
      <c r="M231" s="946"/>
      <c r="N231" s="945"/>
      <c r="O231" s="945"/>
      <c r="P231" s="945"/>
      <c r="Q231" s="945"/>
      <c r="R231" s="945"/>
      <c r="S231" s="945"/>
      <c r="T231" s="945"/>
      <c r="U231" s="945"/>
      <c r="V231" s="945"/>
      <c r="W231" s="945"/>
      <c r="X231" s="945"/>
      <c r="Y231" s="945"/>
      <c r="Z231" s="945"/>
    </row>
    <row r="232" spans="1:26" ht="18" customHeight="1" x14ac:dyDescent="0.35">
      <c r="A232" s="945"/>
      <c r="B232" s="376"/>
      <c r="C232" s="376"/>
      <c r="D232" s="376"/>
      <c r="E232" s="376"/>
      <c r="F232" s="376"/>
      <c r="G232" s="376"/>
      <c r="H232" s="376"/>
      <c r="I232" s="376"/>
      <c r="J232" s="376"/>
      <c r="K232" s="946"/>
      <c r="L232" s="946"/>
      <c r="M232" s="946"/>
      <c r="N232" s="945"/>
      <c r="O232" s="945"/>
      <c r="P232" s="945"/>
      <c r="Q232" s="945"/>
      <c r="R232" s="945"/>
      <c r="S232" s="945"/>
      <c r="T232" s="945"/>
      <c r="U232" s="945"/>
      <c r="V232" s="945"/>
      <c r="W232" s="945"/>
      <c r="X232" s="945"/>
      <c r="Y232" s="945"/>
      <c r="Z232" s="945"/>
    </row>
    <row r="233" spans="1:26" ht="18" customHeight="1" x14ac:dyDescent="0.35">
      <c r="A233" s="945"/>
      <c r="B233" s="376"/>
      <c r="C233" s="376"/>
      <c r="D233" s="376"/>
      <c r="E233" s="376"/>
      <c r="F233" s="376"/>
      <c r="G233" s="376"/>
      <c r="H233" s="376"/>
      <c r="I233" s="376"/>
      <c r="J233" s="376"/>
      <c r="K233" s="946"/>
      <c r="L233" s="946"/>
      <c r="M233" s="946"/>
      <c r="N233" s="945"/>
      <c r="O233" s="945"/>
      <c r="P233" s="945"/>
      <c r="Q233" s="945"/>
      <c r="R233" s="945"/>
      <c r="S233" s="945"/>
      <c r="T233" s="945"/>
      <c r="U233" s="945"/>
      <c r="V233" s="945"/>
      <c r="W233" s="945"/>
      <c r="X233" s="945"/>
      <c r="Y233" s="945"/>
      <c r="Z233" s="945"/>
    </row>
    <row r="234" spans="1:26" ht="18" customHeight="1" x14ac:dyDescent="0.35">
      <c r="A234" s="945"/>
      <c r="B234" s="376"/>
      <c r="C234" s="376"/>
      <c r="D234" s="376"/>
      <c r="E234" s="376"/>
      <c r="F234" s="376"/>
      <c r="G234" s="376"/>
      <c r="H234" s="376"/>
      <c r="I234" s="376"/>
      <c r="J234" s="376"/>
      <c r="K234" s="946"/>
      <c r="L234" s="946"/>
      <c r="M234" s="946"/>
      <c r="N234" s="945"/>
      <c r="O234" s="945"/>
      <c r="P234" s="945"/>
      <c r="Q234" s="945"/>
      <c r="R234" s="945"/>
      <c r="S234" s="945"/>
      <c r="T234" s="945"/>
      <c r="U234" s="945"/>
      <c r="V234" s="945"/>
      <c r="W234" s="945"/>
      <c r="X234" s="945"/>
      <c r="Y234" s="945"/>
      <c r="Z234" s="945"/>
    </row>
    <row r="235" spans="1:26" ht="18" customHeight="1" x14ac:dyDescent="0.35">
      <c r="A235" s="945"/>
      <c r="B235" s="376"/>
      <c r="C235" s="376"/>
      <c r="D235" s="376"/>
      <c r="E235" s="376"/>
      <c r="F235" s="376"/>
      <c r="G235" s="376"/>
      <c r="H235" s="376"/>
      <c r="I235" s="376"/>
      <c r="J235" s="376"/>
      <c r="K235" s="946"/>
      <c r="L235" s="946"/>
      <c r="M235" s="946"/>
      <c r="N235" s="945"/>
      <c r="O235" s="945"/>
      <c r="P235" s="945"/>
      <c r="Q235" s="945"/>
      <c r="R235" s="945"/>
      <c r="S235" s="945"/>
      <c r="T235" s="945"/>
      <c r="U235" s="945"/>
      <c r="V235" s="945"/>
      <c r="W235" s="945"/>
      <c r="X235" s="945"/>
      <c r="Y235" s="945"/>
      <c r="Z235" s="945"/>
    </row>
    <row r="236" spans="1:26" ht="18" customHeight="1" x14ac:dyDescent="0.35">
      <c r="A236" s="945"/>
      <c r="B236" s="376"/>
      <c r="C236" s="376"/>
      <c r="D236" s="376"/>
      <c r="E236" s="376"/>
      <c r="F236" s="376"/>
      <c r="G236" s="376"/>
      <c r="H236" s="376"/>
      <c r="I236" s="376"/>
      <c r="J236" s="376"/>
      <c r="K236" s="946"/>
      <c r="L236" s="946"/>
      <c r="M236" s="946"/>
      <c r="N236" s="945"/>
      <c r="O236" s="945"/>
      <c r="P236" s="945"/>
      <c r="Q236" s="945"/>
      <c r="R236" s="945"/>
      <c r="S236" s="945"/>
      <c r="T236" s="945"/>
      <c r="U236" s="945"/>
      <c r="V236" s="945"/>
      <c r="W236" s="945"/>
      <c r="X236" s="945"/>
      <c r="Y236" s="945"/>
      <c r="Z236" s="945"/>
    </row>
    <row r="237" spans="1:26" ht="18" customHeight="1" x14ac:dyDescent="0.35">
      <c r="A237" s="945"/>
      <c r="B237" s="376"/>
      <c r="C237" s="376"/>
      <c r="D237" s="376"/>
      <c r="E237" s="376"/>
      <c r="F237" s="376"/>
      <c r="G237" s="376"/>
      <c r="H237" s="376"/>
      <c r="I237" s="376"/>
      <c r="J237" s="376"/>
      <c r="K237" s="946"/>
      <c r="L237" s="946"/>
      <c r="M237" s="946"/>
      <c r="N237" s="945"/>
      <c r="O237" s="945"/>
      <c r="P237" s="945"/>
      <c r="Q237" s="945"/>
      <c r="R237" s="945"/>
      <c r="S237" s="945"/>
      <c r="T237" s="945"/>
      <c r="U237" s="945"/>
      <c r="V237" s="945"/>
      <c r="W237" s="945"/>
      <c r="X237" s="945"/>
      <c r="Y237" s="945"/>
      <c r="Z237" s="945"/>
    </row>
    <row r="238" spans="1:26" ht="18" customHeight="1" x14ac:dyDescent="0.35">
      <c r="A238" s="945"/>
      <c r="B238" s="376"/>
      <c r="C238" s="376"/>
      <c r="D238" s="376"/>
      <c r="E238" s="376"/>
      <c r="F238" s="376"/>
      <c r="G238" s="376"/>
      <c r="H238" s="376"/>
      <c r="I238" s="376"/>
      <c r="J238" s="376"/>
      <c r="K238" s="946"/>
      <c r="L238" s="946"/>
      <c r="M238" s="946"/>
      <c r="N238" s="945"/>
      <c r="O238" s="945"/>
      <c r="P238" s="945"/>
      <c r="Q238" s="945"/>
      <c r="R238" s="945"/>
      <c r="S238" s="945"/>
      <c r="T238" s="945"/>
      <c r="U238" s="945"/>
      <c r="V238" s="945"/>
      <c r="W238" s="945"/>
      <c r="X238" s="945"/>
      <c r="Y238" s="945"/>
      <c r="Z238" s="945"/>
    </row>
    <row r="239" spans="1:26" ht="18" customHeight="1" x14ac:dyDescent="0.35">
      <c r="A239" s="945"/>
      <c r="B239" s="376"/>
      <c r="C239" s="376"/>
      <c r="D239" s="376"/>
      <c r="E239" s="376"/>
      <c r="F239" s="376"/>
      <c r="G239" s="376"/>
      <c r="H239" s="376"/>
      <c r="I239" s="376"/>
      <c r="J239" s="376"/>
      <c r="K239" s="946"/>
      <c r="L239" s="946"/>
      <c r="M239" s="946"/>
      <c r="N239" s="945"/>
      <c r="O239" s="945"/>
      <c r="P239" s="945"/>
      <c r="Q239" s="945"/>
      <c r="R239" s="945"/>
      <c r="S239" s="945"/>
      <c r="T239" s="945"/>
      <c r="U239" s="945"/>
      <c r="V239" s="945"/>
      <c r="W239" s="945"/>
      <c r="X239" s="945"/>
      <c r="Y239" s="945"/>
      <c r="Z239" s="945"/>
    </row>
    <row r="240" spans="1:26" ht="18" customHeight="1" x14ac:dyDescent="0.35">
      <c r="A240" s="945"/>
      <c r="B240" s="376"/>
      <c r="C240" s="376"/>
      <c r="D240" s="376"/>
      <c r="E240" s="376"/>
      <c r="F240" s="376"/>
      <c r="G240" s="376"/>
      <c r="H240" s="376"/>
      <c r="I240" s="376"/>
      <c r="J240" s="376"/>
      <c r="K240" s="946"/>
      <c r="L240" s="946"/>
      <c r="M240" s="946"/>
      <c r="N240" s="945"/>
      <c r="O240" s="945"/>
      <c r="P240" s="945"/>
      <c r="Q240" s="945"/>
      <c r="R240" s="945"/>
      <c r="S240" s="945"/>
      <c r="T240" s="945"/>
      <c r="U240" s="945"/>
      <c r="V240" s="945"/>
      <c r="W240" s="945"/>
      <c r="X240" s="945"/>
      <c r="Y240" s="945"/>
      <c r="Z240" s="945"/>
    </row>
    <row r="241" spans="1:26" ht="18" customHeight="1" x14ac:dyDescent="0.35">
      <c r="A241" s="945"/>
      <c r="B241" s="376"/>
      <c r="C241" s="376"/>
      <c r="D241" s="376"/>
      <c r="E241" s="376"/>
      <c r="F241" s="376"/>
      <c r="G241" s="376"/>
      <c r="H241" s="376"/>
      <c r="I241" s="376"/>
      <c r="J241" s="376"/>
      <c r="K241" s="946"/>
      <c r="L241" s="946"/>
      <c r="M241" s="946"/>
      <c r="N241" s="945"/>
      <c r="O241" s="945"/>
      <c r="P241" s="945"/>
      <c r="Q241" s="945"/>
      <c r="R241" s="945"/>
      <c r="S241" s="945"/>
      <c r="T241" s="945"/>
      <c r="U241" s="945"/>
      <c r="V241" s="945"/>
      <c r="W241" s="945"/>
      <c r="X241" s="945"/>
      <c r="Y241" s="945"/>
      <c r="Z241" s="945"/>
    </row>
    <row r="242" spans="1:26" ht="18" customHeight="1" x14ac:dyDescent="0.35">
      <c r="A242" s="945"/>
      <c r="B242" s="376"/>
      <c r="C242" s="376"/>
      <c r="D242" s="376"/>
      <c r="E242" s="376"/>
      <c r="F242" s="376"/>
      <c r="G242" s="376"/>
      <c r="H242" s="376"/>
      <c r="I242" s="376"/>
      <c r="J242" s="376"/>
      <c r="K242" s="946"/>
      <c r="L242" s="946"/>
      <c r="M242" s="946"/>
      <c r="N242" s="945"/>
      <c r="O242" s="945"/>
      <c r="P242" s="945"/>
      <c r="Q242" s="945"/>
      <c r="R242" s="945"/>
      <c r="S242" s="945"/>
      <c r="T242" s="945"/>
      <c r="U242" s="945"/>
      <c r="V242" s="945"/>
      <c r="W242" s="945"/>
      <c r="X242" s="945"/>
      <c r="Y242" s="945"/>
      <c r="Z242" s="945"/>
    </row>
    <row r="243" spans="1:26" ht="18" customHeight="1" x14ac:dyDescent="0.35">
      <c r="A243" s="945"/>
      <c r="B243" s="376"/>
      <c r="C243" s="376"/>
      <c r="D243" s="376"/>
      <c r="E243" s="376"/>
      <c r="F243" s="376"/>
      <c r="G243" s="376"/>
      <c r="H243" s="376"/>
      <c r="I243" s="376"/>
      <c r="J243" s="376"/>
      <c r="K243" s="946"/>
      <c r="L243" s="946"/>
      <c r="M243" s="946"/>
      <c r="N243" s="945"/>
      <c r="O243" s="945"/>
      <c r="P243" s="945"/>
      <c r="Q243" s="945"/>
      <c r="R243" s="945"/>
      <c r="S243" s="945"/>
      <c r="T243" s="945"/>
      <c r="U243" s="945"/>
      <c r="V243" s="945"/>
      <c r="W243" s="945"/>
      <c r="X243" s="945"/>
      <c r="Y243" s="945"/>
      <c r="Z243" s="945"/>
    </row>
    <row r="244" spans="1:26" ht="18" customHeight="1" x14ac:dyDescent="0.35">
      <c r="A244" s="945"/>
      <c r="B244" s="376"/>
      <c r="C244" s="376"/>
      <c r="D244" s="376"/>
      <c r="E244" s="376"/>
      <c r="F244" s="376"/>
      <c r="G244" s="376"/>
      <c r="H244" s="376"/>
      <c r="I244" s="376"/>
      <c r="J244" s="376"/>
      <c r="K244" s="946"/>
      <c r="L244" s="946"/>
      <c r="M244" s="946"/>
      <c r="N244" s="945"/>
      <c r="O244" s="945"/>
      <c r="P244" s="945"/>
      <c r="Q244" s="945"/>
      <c r="R244" s="945"/>
      <c r="S244" s="945"/>
      <c r="T244" s="945"/>
      <c r="U244" s="945"/>
      <c r="V244" s="945"/>
      <c r="W244" s="945"/>
      <c r="X244" s="945"/>
      <c r="Y244" s="945"/>
      <c r="Z244" s="945"/>
    </row>
    <row r="245" spans="1:26" ht="18" customHeight="1" x14ac:dyDescent="0.35">
      <c r="A245" s="945"/>
      <c r="B245" s="376"/>
      <c r="C245" s="376"/>
      <c r="D245" s="376"/>
      <c r="E245" s="376"/>
      <c r="F245" s="376"/>
      <c r="G245" s="376"/>
      <c r="H245" s="376"/>
      <c r="I245" s="376"/>
      <c r="J245" s="376"/>
      <c r="K245" s="946"/>
      <c r="L245" s="946"/>
      <c r="M245" s="946"/>
      <c r="N245" s="945"/>
      <c r="O245" s="945"/>
      <c r="P245" s="945"/>
      <c r="Q245" s="945"/>
      <c r="R245" s="945"/>
      <c r="S245" s="945"/>
      <c r="T245" s="945"/>
      <c r="U245" s="945"/>
      <c r="V245" s="945"/>
      <c r="W245" s="945"/>
      <c r="X245" s="945"/>
      <c r="Y245" s="945"/>
      <c r="Z245" s="945"/>
    </row>
    <row r="246" spans="1:26" ht="18" customHeight="1" x14ac:dyDescent="0.35">
      <c r="A246" s="945"/>
      <c r="B246" s="376"/>
      <c r="C246" s="376"/>
      <c r="D246" s="376"/>
      <c r="E246" s="376"/>
      <c r="F246" s="376"/>
      <c r="G246" s="376"/>
      <c r="H246" s="376"/>
      <c r="I246" s="376"/>
      <c r="J246" s="376"/>
      <c r="K246" s="946"/>
      <c r="L246" s="946"/>
      <c r="M246" s="946"/>
      <c r="N246" s="945"/>
      <c r="O246" s="945"/>
      <c r="P246" s="945"/>
      <c r="Q246" s="945"/>
      <c r="R246" s="945"/>
      <c r="S246" s="945"/>
      <c r="T246" s="945"/>
      <c r="U246" s="945"/>
      <c r="V246" s="945"/>
      <c r="W246" s="945"/>
      <c r="X246" s="945"/>
      <c r="Y246" s="945"/>
      <c r="Z246" s="945"/>
    </row>
    <row r="247" spans="1:26" ht="18" customHeight="1" x14ac:dyDescent="0.35">
      <c r="A247" s="945"/>
      <c r="B247" s="376"/>
      <c r="C247" s="376"/>
      <c r="D247" s="376"/>
      <c r="E247" s="376"/>
      <c r="F247" s="376"/>
      <c r="G247" s="376"/>
      <c r="H247" s="376"/>
      <c r="I247" s="376"/>
      <c r="J247" s="376"/>
      <c r="K247" s="946"/>
      <c r="L247" s="946"/>
      <c r="M247" s="946"/>
      <c r="N247" s="945"/>
      <c r="O247" s="945"/>
      <c r="P247" s="945"/>
      <c r="Q247" s="945"/>
      <c r="R247" s="945"/>
      <c r="S247" s="945"/>
      <c r="T247" s="945"/>
      <c r="U247" s="945"/>
      <c r="V247" s="945"/>
      <c r="W247" s="945"/>
      <c r="X247" s="945"/>
      <c r="Y247" s="945"/>
      <c r="Z247" s="945"/>
    </row>
    <row r="248" spans="1:26" ht="18" customHeight="1" x14ac:dyDescent="0.35">
      <c r="A248" s="945"/>
      <c r="B248" s="376"/>
      <c r="C248" s="376"/>
      <c r="D248" s="376"/>
      <c r="E248" s="376"/>
      <c r="F248" s="376"/>
      <c r="G248" s="376"/>
      <c r="H248" s="376"/>
      <c r="I248" s="376"/>
      <c r="J248" s="376"/>
      <c r="K248" s="946"/>
      <c r="L248" s="946"/>
      <c r="M248" s="946"/>
      <c r="N248" s="945"/>
      <c r="O248" s="945"/>
      <c r="P248" s="945"/>
      <c r="Q248" s="945"/>
      <c r="R248" s="945"/>
      <c r="S248" s="945"/>
      <c r="T248" s="945"/>
      <c r="U248" s="945"/>
      <c r="V248" s="945"/>
      <c r="W248" s="945"/>
      <c r="X248" s="945"/>
      <c r="Y248" s="945"/>
      <c r="Z248" s="945"/>
    </row>
    <row r="249" spans="1:26" ht="18" customHeight="1" x14ac:dyDescent="0.35">
      <c r="A249" s="945"/>
      <c r="B249" s="376"/>
      <c r="C249" s="376"/>
      <c r="D249" s="376"/>
      <c r="E249" s="376"/>
      <c r="F249" s="376"/>
      <c r="G249" s="376"/>
      <c r="H249" s="376"/>
      <c r="I249" s="376"/>
      <c r="J249" s="376"/>
      <c r="K249" s="946"/>
      <c r="L249" s="946"/>
      <c r="M249" s="946"/>
      <c r="N249" s="945"/>
      <c r="O249" s="945"/>
      <c r="P249" s="945"/>
      <c r="Q249" s="945"/>
      <c r="R249" s="945"/>
      <c r="S249" s="945"/>
      <c r="T249" s="945"/>
      <c r="U249" s="945"/>
      <c r="V249" s="945"/>
      <c r="W249" s="945"/>
      <c r="X249" s="945"/>
      <c r="Y249" s="945"/>
      <c r="Z249" s="945"/>
    </row>
    <row r="250" spans="1:26" ht="18" customHeight="1" x14ac:dyDescent="0.35">
      <c r="A250" s="945"/>
      <c r="B250" s="376"/>
      <c r="C250" s="376"/>
      <c r="D250" s="376"/>
      <c r="E250" s="376"/>
      <c r="F250" s="376"/>
      <c r="G250" s="376"/>
      <c r="H250" s="376"/>
      <c r="I250" s="376"/>
      <c r="J250" s="376"/>
      <c r="K250" s="946"/>
      <c r="L250" s="946"/>
      <c r="M250" s="946"/>
      <c r="N250" s="945"/>
      <c r="O250" s="945"/>
      <c r="P250" s="945"/>
      <c r="Q250" s="945"/>
      <c r="R250" s="945"/>
      <c r="S250" s="945"/>
      <c r="T250" s="945"/>
      <c r="U250" s="945"/>
      <c r="V250" s="945"/>
      <c r="W250" s="945"/>
      <c r="X250" s="945"/>
      <c r="Y250" s="945"/>
      <c r="Z250" s="945"/>
    </row>
    <row r="251" spans="1:26" ht="18" customHeight="1" x14ac:dyDescent="0.35">
      <c r="A251" s="945"/>
      <c r="B251" s="376"/>
      <c r="C251" s="376"/>
      <c r="D251" s="376"/>
      <c r="E251" s="376"/>
      <c r="F251" s="376"/>
      <c r="G251" s="376"/>
      <c r="H251" s="376"/>
      <c r="I251" s="376"/>
      <c r="J251" s="376"/>
      <c r="K251" s="946"/>
      <c r="L251" s="946"/>
      <c r="M251" s="946"/>
      <c r="N251" s="945"/>
      <c r="O251" s="945"/>
      <c r="P251" s="945"/>
      <c r="Q251" s="945"/>
      <c r="R251" s="945"/>
      <c r="S251" s="945"/>
      <c r="T251" s="945"/>
      <c r="U251" s="945"/>
      <c r="V251" s="945"/>
      <c r="W251" s="945"/>
      <c r="X251" s="945"/>
      <c r="Y251" s="945"/>
      <c r="Z251" s="945"/>
    </row>
    <row r="252" spans="1:26" ht="18" customHeight="1" x14ac:dyDescent="0.35">
      <c r="A252" s="945"/>
      <c r="B252" s="376"/>
      <c r="C252" s="376"/>
      <c r="D252" s="376"/>
      <c r="E252" s="376"/>
      <c r="F252" s="376"/>
      <c r="G252" s="376"/>
      <c r="H252" s="376"/>
      <c r="I252" s="376"/>
      <c r="J252" s="376"/>
      <c r="K252" s="946"/>
      <c r="L252" s="946"/>
      <c r="M252" s="946"/>
      <c r="N252" s="945"/>
      <c r="O252" s="945"/>
      <c r="P252" s="945"/>
      <c r="Q252" s="945"/>
      <c r="R252" s="945"/>
      <c r="S252" s="945"/>
      <c r="T252" s="945"/>
      <c r="U252" s="945"/>
      <c r="V252" s="945"/>
      <c r="W252" s="945"/>
      <c r="X252" s="945"/>
      <c r="Y252" s="945"/>
      <c r="Z252" s="945"/>
    </row>
    <row r="253" spans="1:26" ht="18" customHeight="1" x14ac:dyDescent="0.35">
      <c r="A253" s="945"/>
      <c r="B253" s="376"/>
      <c r="C253" s="376"/>
      <c r="D253" s="376"/>
      <c r="E253" s="376"/>
      <c r="F253" s="376"/>
      <c r="G253" s="376"/>
      <c r="H253" s="376"/>
      <c r="I253" s="376"/>
      <c r="J253" s="376"/>
      <c r="K253" s="946"/>
      <c r="L253" s="946"/>
      <c r="M253" s="946"/>
      <c r="N253" s="945"/>
      <c r="O253" s="945"/>
      <c r="P253" s="945"/>
      <c r="Q253" s="945"/>
      <c r="R253" s="945"/>
      <c r="S253" s="945"/>
      <c r="T253" s="945"/>
      <c r="U253" s="945"/>
      <c r="V253" s="945"/>
      <c r="W253" s="945"/>
      <c r="X253" s="945"/>
      <c r="Y253" s="945"/>
      <c r="Z253" s="945"/>
    </row>
    <row r="254" spans="1:26" ht="18" customHeight="1" x14ac:dyDescent="0.35">
      <c r="A254" s="945"/>
      <c r="B254" s="376"/>
      <c r="C254" s="376"/>
      <c r="D254" s="376"/>
      <c r="E254" s="376"/>
      <c r="F254" s="376"/>
      <c r="G254" s="376"/>
      <c r="H254" s="376"/>
      <c r="I254" s="376"/>
      <c r="J254" s="376"/>
      <c r="K254" s="946"/>
      <c r="L254" s="946"/>
      <c r="M254" s="946"/>
      <c r="N254" s="945"/>
      <c r="O254" s="945"/>
      <c r="P254" s="945"/>
      <c r="Q254" s="945"/>
      <c r="R254" s="945"/>
      <c r="S254" s="945"/>
      <c r="T254" s="945"/>
      <c r="U254" s="945"/>
      <c r="V254" s="945"/>
      <c r="W254" s="945"/>
      <c r="X254" s="945"/>
      <c r="Y254" s="945"/>
      <c r="Z254" s="945"/>
    </row>
    <row r="255" spans="1:26" ht="18" customHeight="1" x14ac:dyDescent="0.35">
      <c r="A255" s="945"/>
      <c r="B255" s="376"/>
      <c r="C255" s="376"/>
      <c r="D255" s="376"/>
      <c r="E255" s="376"/>
      <c r="F255" s="376"/>
      <c r="G255" s="376"/>
      <c r="H255" s="376"/>
      <c r="I255" s="376"/>
      <c r="J255" s="376"/>
      <c r="K255" s="946"/>
      <c r="L255" s="946"/>
      <c r="M255" s="946"/>
      <c r="N255" s="945"/>
      <c r="O255" s="945"/>
      <c r="P255" s="945"/>
      <c r="Q255" s="945"/>
      <c r="R255" s="945"/>
      <c r="S255" s="945"/>
      <c r="T255" s="945"/>
      <c r="U255" s="945"/>
      <c r="V255" s="945"/>
      <c r="W255" s="945"/>
      <c r="X255" s="945"/>
      <c r="Y255" s="945"/>
      <c r="Z255" s="945"/>
    </row>
    <row r="256" spans="1:26" ht="18" customHeight="1" x14ac:dyDescent="0.35">
      <c r="A256" s="945"/>
      <c r="B256" s="376"/>
      <c r="C256" s="376"/>
      <c r="D256" s="376"/>
      <c r="E256" s="376"/>
      <c r="F256" s="376"/>
      <c r="G256" s="376"/>
      <c r="H256" s="376"/>
      <c r="I256" s="376"/>
      <c r="J256" s="376"/>
      <c r="K256" s="946"/>
      <c r="L256" s="946"/>
      <c r="M256" s="946"/>
      <c r="N256" s="945"/>
      <c r="O256" s="945"/>
      <c r="P256" s="945"/>
      <c r="Q256" s="945"/>
      <c r="R256" s="945"/>
      <c r="S256" s="945"/>
      <c r="T256" s="945"/>
      <c r="U256" s="945"/>
      <c r="V256" s="945"/>
      <c r="W256" s="945"/>
      <c r="X256" s="945"/>
      <c r="Y256" s="945"/>
      <c r="Z256" s="945"/>
    </row>
    <row r="257" spans="1:26" ht="18" customHeight="1" x14ac:dyDescent="0.35">
      <c r="A257" s="945"/>
      <c r="B257" s="376"/>
      <c r="C257" s="376"/>
      <c r="D257" s="376"/>
      <c r="E257" s="376"/>
      <c r="F257" s="376"/>
      <c r="G257" s="376"/>
      <c r="H257" s="376"/>
      <c r="I257" s="376"/>
      <c r="J257" s="376"/>
      <c r="K257" s="946"/>
      <c r="L257" s="946"/>
      <c r="M257" s="946"/>
      <c r="N257" s="945"/>
      <c r="O257" s="945"/>
      <c r="P257" s="945"/>
      <c r="Q257" s="945"/>
      <c r="R257" s="945"/>
      <c r="S257" s="945"/>
      <c r="T257" s="945"/>
      <c r="U257" s="945"/>
      <c r="V257" s="945"/>
      <c r="W257" s="945"/>
      <c r="X257" s="945"/>
      <c r="Y257" s="945"/>
      <c r="Z257" s="945"/>
    </row>
    <row r="258" spans="1:26" ht="18" customHeight="1" x14ac:dyDescent="0.35">
      <c r="A258" s="945"/>
      <c r="B258" s="376"/>
      <c r="C258" s="376"/>
      <c r="D258" s="376"/>
      <c r="E258" s="376"/>
      <c r="F258" s="376"/>
      <c r="G258" s="376"/>
      <c r="H258" s="376"/>
      <c r="I258" s="376"/>
      <c r="J258" s="376"/>
      <c r="K258" s="946"/>
      <c r="L258" s="946"/>
      <c r="M258" s="946"/>
      <c r="N258" s="945"/>
      <c r="O258" s="945"/>
      <c r="P258" s="945"/>
      <c r="Q258" s="945"/>
      <c r="R258" s="945"/>
      <c r="S258" s="945"/>
      <c r="T258" s="945"/>
      <c r="U258" s="945"/>
      <c r="V258" s="945"/>
      <c r="W258" s="945"/>
      <c r="X258" s="945"/>
      <c r="Y258" s="945"/>
      <c r="Z258" s="945"/>
    </row>
    <row r="259" spans="1:26" ht="18" customHeight="1" x14ac:dyDescent="0.35">
      <c r="A259" s="945"/>
      <c r="B259" s="376"/>
      <c r="C259" s="376"/>
      <c r="D259" s="376"/>
      <c r="E259" s="376"/>
      <c r="F259" s="376"/>
      <c r="G259" s="376"/>
      <c r="H259" s="376"/>
      <c r="I259" s="376"/>
      <c r="J259" s="376"/>
      <c r="K259" s="946"/>
      <c r="L259" s="946"/>
      <c r="M259" s="946"/>
      <c r="N259" s="945"/>
      <c r="O259" s="945"/>
      <c r="P259" s="945"/>
      <c r="Q259" s="945"/>
      <c r="R259" s="945"/>
      <c r="S259" s="945"/>
      <c r="T259" s="945"/>
      <c r="U259" s="945"/>
      <c r="V259" s="945"/>
      <c r="W259" s="945"/>
      <c r="X259" s="945"/>
      <c r="Y259" s="945"/>
      <c r="Z259" s="945"/>
    </row>
    <row r="260" spans="1:26" ht="18" customHeight="1" x14ac:dyDescent="0.35">
      <c r="A260" s="945"/>
      <c r="B260" s="376"/>
      <c r="C260" s="376"/>
      <c r="D260" s="376"/>
      <c r="E260" s="376"/>
      <c r="F260" s="376"/>
      <c r="G260" s="376"/>
      <c r="H260" s="376"/>
      <c r="I260" s="376"/>
      <c r="J260" s="376"/>
      <c r="K260" s="946"/>
      <c r="L260" s="946"/>
      <c r="M260" s="946"/>
      <c r="N260" s="945"/>
      <c r="O260" s="945"/>
      <c r="P260" s="945"/>
      <c r="Q260" s="945"/>
      <c r="R260" s="945"/>
      <c r="S260" s="945"/>
      <c r="T260" s="945"/>
      <c r="U260" s="945"/>
      <c r="V260" s="945"/>
      <c r="W260" s="945"/>
      <c r="X260" s="945"/>
      <c r="Y260" s="945"/>
      <c r="Z260" s="945"/>
    </row>
    <row r="261" spans="1:26" ht="18" customHeight="1" x14ac:dyDescent="0.35">
      <c r="A261" s="945"/>
      <c r="B261" s="376"/>
      <c r="C261" s="376"/>
      <c r="D261" s="376"/>
      <c r="E261" s="376"/>
      <c r="F261" s="376"/>
      <c r="G261" s="376"/>
      <c r="H261" s="376"/>
      <c r="I261" s="376"/>
      <c r="J261" s="376"/>
      <c r="K261" s="946"/>
      <c r="L261" s="946"/>
      <c r="M261" s="946"/>
      <c r="N261" s="945"/>
      <c r="O261" s="945"/>
      <c r="P261" s="945"/>
      <c r="Q261" s="945"/>
      <c r="R261" s="945"/>
      <c r="S261" s="945"/>
      <c r="T261" s="945"/>
      <c r="U261" s="945"/>
      <c r="V261" s="945"/>
      <c r="W261" s="945"/>
      <c r="X261" s="945"/>
      <c r="Y261" s="945"/>
      <c r="Z261" s="945"/>
    </row>
    <row r="262" spans="1:26" ht="18" customHeight="1" x14ac:dyDescent="0.35">
      <c r="A262" s="945"/>
      <c r="B262" s="376"/>
      <c r="C262" s="376"/>
      <c r="D262" s="376"/>
      <c r="E262" s="376"/>
      <c r="F262" s="376"/>
      <c r="G262" s="376"/>
      <c r="H262" s="376"/>
      <c r="I262" s="376"/>
      <c r="J262" s="376"/>
      <c r="K262" s="946"/>
      <c r="L262" s="946"/>
      <c r="M262" s="946"/>
      <c r="N262" s="945"/>
      <c r="O262" s="945"/>
      <c r="P262" s="945"/>
      <c r="Q262" s="945"/>
      <c r="R262" s="945"/>
      <c r="S262" s="945"/>
      <c r="T262" s="945"/>
      <c r="U262" s="945"/>
      <c r="V262" s="945"/>
      <c r="W262" s="945"/>
      <c r="X262" s="945"/>
      <c r="Y262" s="945"/>
      <c r="Z262" s="945"/>
    </row>
    <row r="263" spans="1:26" ht="18" customHeight="1" x14ac:dyDescent="0.35">
      <c r="A263" s="945"/>
      <c r="B263" s="376"/>
      <c r="C263" s="376"/>
      <c r="D263" s="376"/>
      <c r="E263" s="376"/>
      <c r="F263" s="376"/>
      <c r="G263" s="376"/>
      <c r="H263" s="376"/>
      <c r="I263" s="376"/>
      <c r="J263" s="376"/>
      <c r="K263" s="946"/>
      <c r="L263" s="946"/>
      <c r="M263" s="946"/>
      <c r="N263" s="945"/>
      <c r="O263" s="945"/>
      <c r="P263" s="945"/>
      <c r="Q263" s="945"/>
      <c r="R263" s="945"/>
      <c r="S263" s="945"/>
      <c r="T263" s="945"/>
      <c r="U263" s="945"/>
      <c r="V263" s="945"/>
      <c r="W263" s="945"/>
      <c r="X263" s="945"/>
      <c r="Y263" s="945"/>
      <c r="Z263" s="945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A5" zoomScale="87" workbookViewId="0">
      <selection activeCell="K15" sqref="K15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79" t="s">
        <v>483</v>
      </c>
      <c r="C2" s="1380"/>
      <c r="D2" s="1380"/>
      <c r="E2" s="1380"/>
      <c r="F2" s="1380"/>
      <c r="G2" s="1380"/>
      <c r="H2" s="1380"/>
      <c r="I2" s="1380"/>
      <c r="J2" s="1380"/>
      <c r="K2" s="1381"/>
    </row>
    <row r="3" spans="2:11" ht="14.25" customHeight="1" x14ac:dyDescent="0.3">
      <c r="B3" s="1382"/>
      <c r="C3" s="1332"/>
      <c r="D3" s="1332"/>
      <c r="E3" s="1332"/>
      <c r="F3" s="1332"/>
      <c r="G3" s="1332"/>
      <c r="H3" s="1271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484</v>
      </c>
      <c r="C6" s="295" t="s">
        <v>485</v>
      </c>
      <c r="D6" s="295" t="s">
        <v>486</v>
      </c>
      <c r="E6" s="295" t="s">
        <v>487</v>
      </c>
      <c r="F6" s="295" t="s">
        <v>488</v>
      </c>
      <c r="G6" s="296" t="s">
        <v>489</v>
      </c>
      <c r="H6" s="297" t="s">
        <v>171</v>
      </c>
      <c r="I6" s="244"/>
      <c r="J6" s="245"/>
      <c r="K6" s="245"/>
    </row>
    <row r="7" spans="2:11" ht="14.25" customHeight="1" x14ac:dyDescent="0.3">
      <c r="B7" s="298" t="s">
        <v>490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491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492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493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83" t="s">
        <v>494</v>
      </c>
      <c r="C12" s="1384"/>
      <c r="D12" s="1384"/>
      <c r="E12" s="1384"/>
      <c r="F12" s="1384"/>
      <c r="G12" s="1384"/>
      <c r="H12" s="1384"/>
      <c r="I12" s="1385"/>
      <c r="J12" s="247"/>
      <c r="K12" s="247"/>
    </row>
    <row r="13" spans="2:11" ht="32.25" customHeight="1" x14ac:dyDescent="0.3">
      <c r="B13" s="248" t="s">
        <v>495</v>
      </c>
      <c r="C13" s="249" t="s">
        <v>496</v>
      </c>
      <c r="D13" s="249" t="s">
        <v>497</v>
      </c>
      <c r="E13" s="249" t="s">
        <v>498</v>
      </c>
      <c r="F13" s="249" t="s">
        <v>499</v>
      </c>
      <c r="G13" s="249" t="s">
        <v>500</v>
      </c>
      <c r="H13" s="249" t="s">
        <v>501</v>
      </c>
      <c r="I13" s="250" t="s">
        <v>502</v>
      </c>
      <c r="J13" s="31"/>
      <c r="K13" s="251"/>
    </row>
    <row r="14" spans="2:11" ht="14.4" x14ac:dyDescent="0.3">
      <c r="B14" s="45">
        <v>1</v>
      </c>
      <c r="C14" s="252" t="s">
        <v>503</v>
      </c>
      <c r="D14" s="252" t="s">
        <v>504</v>
      </c>
      <c r="E14" s="253" t="s">
        <v>505</v>
      </c>
      <c r="F14" s="253" t="s">
        <v>53</v>
      </c>
      <c r="G14" s="287">
        <v>45987</v>
      </c>
      <c r="H14" s="36"/>
      <c r="I14" s="254" t="s">
        <v>907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506</v>
      </c>
      <c r="D15" s="255" t="s">
        <v>507</v>
      </c>
      <c r="E15" s="256" t="s">
        <v>508</v>
      </c>
      <c r="F15" s="344" t="s">
        <v>509</v>
      </c>
      <c r="G15" s="285">
        <v>45946</v>
      </c>
      <c r="H15" s="36"/>
      <c r="I15" s="254" t="s">
        <v>907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510</v>
      </c>
      <c r="D16" s="255" t="s">
        <v>511</v>
      </c>
      <c r="E16" s="256" t="s">
        <v>512</v>
      </c>
      <c r="F16" s="345" t="s">
        <v>513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514</v>
      </c>
      <c r="D17" s="255" t="s">
        <v>515</v>
      </c>
      <c r="E17" s="256" t="s">
        <v>516</v>
      </c>
      <c r="F17" s="344" t="s">
        <v>509</v>
      </c>
      <c r="G17" s="282">
        <v>45944</v>
      </c>
      <c r="H17" s="36"/>
      <c r="I17" s="254" t="s">
        <v>907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517</v>
      </c>
      <c r="D18" s="255" t="s">
        <v>518</v>
      </c>
      <c r="E18" s="256" t="s">
        <v>519</v>
      </c>
      <c r="F18" s="345" t="s">
        <v>513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520</v>
      </c>
      <c r="D19" s="255" t="s">
        <v>521</v>
      </c>
      <c r="E19" s="256" t="s">
        <v>522</v>
      </c>
      <c r="F19" s="344" t="s">
        <v>509</v>
      </c>
      <c r="G19" s="282">
        <v>45946</v>
      </c>
      <c r="H19" s="36"/>
      <c r="I19" s="258" t="s">
        <v>907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523</v>
      </c>
      <c r="D20" s="255" t="s">
        <v>524</v>
      </c>
      <c r="E20" s="256" t="s">
        <v>525</v>
      </c>
      <c r="F20" s="344" t="s">
        <v>509</v>
      </c>
      <c r="G20" s="282">
        <v>45946</v>
      </c>
      <c r="H20" s="36"/>
      <c r="I20" s="258" t="s">
        <v>907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526</v>
      </c>
      <c r="D21" s="255" t="s">
        <v>527</v>
      </c>
      <c r="E21" s="256" t="s">
        <v>528</v>
      </c>
      <c r="F21" s="344" t="s">
        <v>509</v>
      </c>
      <c r="G21" s="282">
        <v>45946</v>
      </c>
      <c r="H21" s="36"/>
      <c r="I21" s="258" t="s">
        <v>907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529</v>
      </c>
      <c r="D22" s="255" t="s">
        <v>530</v>
      </c>
      <c r="E22" s="256" t="s">
        <v>531</v>
      </c>
      <c r="F22" s="345" t="s">
        <v>532</v>
      </c>
      <c r="G22" s="35" t="s">
        <v>694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533</v>
      </c>
      <c r="D23" s="255" t="s">
        <v>534</v>
      </c>
      <c r="E23" s="253" t="s">
        <v>535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536</v>
      </c>
      <c r="D24" s="255" t="s">
        <v>537</v>
      </c>
      <c r="E24" s="256" t="s">
        <v>538</v>
      </c>
      <c r="F24" s="344" t="s">
        <v>509</v>
      </c>
      <c r="G24" s="35" t="s">
        <v>663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537</v>
      </c>
      <c r="D25" s="255" t="s">
        <v>539</v>
      </c>
      <c r="E25" s="256" t="s">
        <v>540</v>
      </c>
      <c r="F25" s="345" t="s">
        <v>513</v>
      </c>
      <c r="G25" s="35" t="s">
        <v>663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852-68D3-4997-BB81-298E83014F49}">
  <dimension ref="A1:AE85"/>
  <sheetViews>
    <sheetView zoomScaleNormal="100" workbookViewId="0">
      <pane xSplit="5" ySplit="1" topLeftCell="F71" activePane="bottomRight" state="frozen"/>
      <selection pane="topRight" activeCell="E1" sqref="E1"/>
      <selection pane="bottomLeft" activeCell="A2" sqref="A2"/>
      <selection pane="bottomRight" activeCell="L4" sqref="L4"/>
    </sheetView>
  </sheetViews>
  <sheetFormatPr defaultColWidth="8.77734375" defaultRowHeight="13.8" x14ac:dyDescent="0.3"/>
  <cols>
    <col min="1" max="1" width="5.21875" style="1077" customWidth="1"/>
    <col min="2" max="2" width="8" style="1077" customWidth="1"/>
    <col min="3" max="3" width="6.33203125" style="1077" customWidth="1"/>
    <col min="4" max="4" width="8.21875" style="1077" bestFit="1" customWidth="1"/>
    <col min="5" max="5" width="8.77734375" style="1077" customWidth="1"/>
    <col min="6" max="6" width="7.109375" style="1077" customWidth="1"/>
    <col min="7" max="7" width="6.6640625" style="1077" customWidth="1"/>
    <col min="8" max="8" width="9.33203125" style="1077" customWidth="1"/>
    <col min="9" max="9" width="7.33203125" style="1077" customWidth="1"/>
    <col min="10" max="10" width="6.6640625" style="1077" customWidth="1"/>
    <col min="11" max="11" width="7" style="1077" customWidth="1"/>
    <col min="12" max="12" width="7.21875" style="1105" customWidth="1"/>
    <col min="13" max="13" width="7.109375" style="1077" customWidth="1"/>
    <col min="14" max="14" width="7.5546875" style="1077" customWidth="1"/>
    <col min="15" max="17" width="8.6640625" style="1077" customWidth="1"/>
    <col min="18" max="18" width="10.77734375" style="1077" bestFit="1" customWidth="1"/>
    <col min="19" max="19" width="11.33203125" style="1084" customWidth="1"/>
    <col min="20" max="22" width="8.6640625" style="1077" customWidth="1"/>
    <col min="23" max="23" width="12.21875" style="1077" customWidth="1"/>
    <col min="24" max="24" width="8.77734375" style="1077"/>
    <col min="25" max="25" width="8.6640625" style="1077" bestFit="1" customWidth="1"/>
    <col min="26" max="26" width="13.109375" style="1077" bestFit="1" customWidth="1"/>
    <col min="27" max="27" width="11.88671875" style="1077" bestFit="1" customWidth="1"/>
    <col min="28" max="29" width="13.109375" style="1077" bestFit="1" customWidth="1"/>
    <col min="30" max="30" width="13.109375" style="1077" customWidth="1"/>
    <col min="31" max="31" width="11.88671875" style="1077" bestFit="1" customWidth="1"/>
    <col min="32" max="16384" width="8.77734375" style="1077"/>
  </cols>
  <sheetData>
    <row r="1" spans="1:23" ht="46.95" customHeight="1" x14ac:dyDescent="0.3">
      <c r="A1" s="1075" t="s">
        <v>941</v>
      </c>
      <c r="B1" s="1076" t="s">
        <v>810</v>
      </c>
      <c r="C1" s="1076" t="s">
        <v>811</v>
      </c>
      <c r="D1" s="1076"/>
      <c r="E1" s="1076" t="s">
        <v>942</v>
      </c>
      <c r="F1" s="1076" t="s">
        <v>943</v>
      </c>
      <c r="G1" s="1076" t="s">
        <v>944</v>
      </c>
      <c r="H1" s="1076" t="s">
        <v>945</v>
      </c>
      <c r="I1" s="1076" t="s">
        <v>946</v>
      </c>
      <c r="J1" s="1076" t="s">
        <v>812</v>
      </c>
      <c r="K1" s="1076" t="s">
        <v>947</v>
      </c>
      <c r="L1" s="1076" t="s">
        <v>924</v>
      </c>
      <c r="M1" s="1076" t="s">
        <v>948</v>
      </c>
      <c r="N1" s="1076" t="s">
        <v>813</v>
      </c>
      <c r="O1" s="1076" t="s">
        <v>949</v>
      </c>
      <c r="P1" s="1076" t="s">
        <v>950</v>
      </c>
      <c r="Q1" s="1076" t="s">
        <v>951</v>
      </c>
      <c r="R1" s="1075" t="s">
        <v>814</v>
      </c>
      <c r="S1" s="1076" t="s">
        <v>952</v>
      </c>
      <c r="T1" s="1075" t="s">
        <v>953</v>
      </c>
      <c r="U1" s="1075" t="s">
        <v>815</v>
      </c>
      <c r="V1" s="1075" t="s">
        <v>816</v>
      </c>
      <c r="W1" s="1076" t="s">
        <v>954</v>
      </c>
    </row>
    <row r="2" spans="1:23" s="1105" customFormat="1" ht="19.95" customHeight="1" x14ac:dyDescent="0.3">
      <c r="A2" s="1101">
        <v>1</v>
      </c>
      <c r="B2" s="1101" t="s">
        <v>817</v>
      </c>
      <c r="C2" s="1101" t="s">
        <v>818</v>
      </c>
      <c r="D2" s="1101" t="s">
        <v>955</v>
      </c>
      <c r="E2" s="1101">
        <v>3.3140000000000001</v>
      </c>
      <c r="F2" s="1101" t="s">
        <v>825</v>
      </c>
      <c r="G2" s="1101">
        <v>8</v>
      </c>
      <c r="H2" s="1101">
        <v>4</v>
      </c>
      <c r="I2" s="1101">
        <f>G2-H2</f>
        <v>4</v>
      </c>
      <c r="J2" s="1101">
        <v>0</v>
      </c>
      <c r="K2" s="1101">
        <f>G2</f>
        <v>8</v>
      </c>
      <c r="L2" s="1101">
        <v>2</v>
      </c>
      <c r="M2" s="1101">
        <f>K2-L2</f>
        <v>6</v>
      </c>
      <c r="N2" s="1101">
        <v>0</v>
      </c>
      <c r="O2" s="1101"/>
      <c r="P2" s="1101"/>
      <c r="Q2" s="1101"/>
      <c r="R2" s="1101" t="s">
        <v>820</v>
      </c>
      <c r="S2" s="1102"/>
      <c r="T2" s="1103">
        <v>7</v>
      </c>
      <c r="U2" s="1103">
        <v>1</v>
      </c>
      <c r="V2" s="1104">
        <v>0</v>
      </c>
      <c r="W2" s="1101"/>
    </row>
    <row r="3" spans="1:23" s="1105" customFormat="1" ht="19.95" customHeight="1" x14ac:dyDescent="0.3">
      <c r="A3" s="1101">
        <f>A2+1</f>
        <v>2</v>
      </c>
      <c r="B3" s="1101" t="str">
        <f>C2</f>
        <v>AP49</v>
      </c>
      <c r="C3" s="1101" t="s">
        <v>821</v>
      </c>
      <c r="D3" s="1101" t="s">
        <v>956</v>
      </c>
      <c r="E3" s="1101">
        <v>4.5819999999999999</v>
      </c>
      <c r="F3" s="1101" t="s">
        <v>825</v>
      </c>
      <c r="G3" s="1101">
        <v>12</v>
      </c>
      <c r="H3" s="1101">
        <v>9</v>
      </c>
      <c r="I3" s="1101">
        <f t="shared" ref="I3:I66" si="0">G3-H3</f>
        <v>3</v>
      </c>
      <c r="J3" s="1101">
        <v>3</v>
      </c>
      <c r="K3" s="1101">
        <f t="shared" ref="K3:K66" si="1">G3</f>
        <v>12</v>
      </c>
      <c r="L3" s="1101">
        <v>8</v>
      </c>
      <c r="M3" s="1101">
        <f t="shared" ref="M3:M66" si="2">K3-L3</f>
        <v>4</v>
      </c>
      <c r="N3" s="1101">
        <v>2</v>
      </c>
      <c r="O3" s="1101"/>
      <c r="P3" s="1101"/>
      <c r="Q3" s="1101"/>
      <c r="R3" s="1101" t="s">
        <v>820</v>
      </c>
      <c r="S3" s="1102"/>
      <c r="T3" s="1103">
        <v>2</v>
      </c>
      <c r="U3" s="1104">
        <v>0</v>
      </c>
      <c r="V3" s="1104">
        <v>0</v>
      </c>
      <c r="W3" s="1101"/>
    </row>
    <row r="4" spans="1:23" s="1105" customFormat="1" ht="19.5" customHeight="1" x14ac:dyDescent="0.3">
      <c r="A4" s="1101">
        <f t="shared" ref="A4:A67" si="3">A3+1</f>
        <v>3</v>
      </c>
      <c r="B4" s="1101" t="str">
        <f>C3</f>
        <v>AP50</v>
      </c>
      <c r="C4" s="1101" t="s">
        <v>822</v>
      </c>
      <c r="D4" s="1101" t="s">
        <v>957</v>
      </c>
      <c r="E4" s="1101">
        <v>1.5189999999999999</v>
      </c>
      <c r="F4" s="1101" t="s">
        <v>825</v>
      </c>
      <c r="G4" s="1101">
        <v>4</v>
      </c>
      <c r="H4" s="1101">
        <v>4</v>
      </c>
      <c r="I4" s="1101">
        <f t="shared" si="0"/>
        <v>0</v>
      </c>
      <c r="J4" s="1101">
        <v>0</v>
      </c>
      <c r="K4" s="1101">
        <f t="shared" si="1"/>
        <v>4</v>
      </c>
      <c r="L4" s="1101">
        <v>3</v>
      </c>
      <c r="M4" s="1101">
        <f t="shared" si="2"/>
        <v>1</v>
      </c>
      <c r="N4" s="1101">
        <v>0</v>
      </c>
      <c r="O4" s="1101"/>
      <c r="P4" s="1101"/>
      <c r="Q4" s="1101"/>
      <c r="R4" s="1101" t="s">
        <v>820</v>
      </c>
      <c r="S4" s="1102"/>
      <c r="T4" s="1103">
        <v>1</v>
      </c>
      <c r="U4" s="1103">
        <v>2</v>
      </c>
      <c r="V4" s="1104">
        <v>0</v>
      </c>
      <c r="W4" s="1101"/>
    </row>
    <row r="5" spans="1:23" s="1105" customFormat="1" ht="19.95" customHeight="1" x14ac:dyDescent="0.3">
      <c r="A5" s="1101">
        <f t="shared" si="3"/>
        <v>4</v>
      </c>
      <c r="B5" s="1101" t="str">
        <f t="shared" ref="B5:B68" si="4">C4</f>
        <v>AP51</v>
      </c>
      <c r="C5" s="1101" t="s">
        <v>823</v>
      </c>
      <c r="D5" s="1101" t="s">
        <v>958</v>
      </c>
      <c r="E5" s="1101">
        <v>4.3010000000000002</v>
      </c>
      <c r="F5" s="1101" t="s">
        <v>825</v>
      </c>
      <c r="G5" s="1101">
        <v>11</v>
      </c>
      <c r="H5" s="1101">
        <v>11</v>
      </c>
      <c r="I5" s="1101">
        <f t="shared" si="0"/>
        <v>0</v>
      </c>
      <c r="J5" s="1101">
        <v>0</v>
      </c>
      <c r="K5" s="1101">
        <f t="shared" si="1"/>
        <v>11</v>
      </c>
      <c r="L5" s="1101">
        <v>8</v>
      </c>
      <c r="M5" s="1101">
        <f t="shared" si="2"/>
        <v>3</v>
      </c>
      <c r="N5" s="1101">
        <v>0</v>
      </c>
      <c r="O5" s="1101"/>
      <c r="P5" s="1101"/>
      <c r="Q5" s="1101"/>
      <c r="R5" s="1101" t="s">
        <v>820</v>
      </c>
      <c r="S5" s="1102"/>
      <c r="T5" s="1103">
        <v>5</v>
      </c>
      <c r="U5" s="1103">
        <v>9</v>
      </c>
      <c r="V5" s="1103">
        <v>1</v>
      </c>
      <c r="W5" s="1101"/>
    </row>
    <row r="6" spans="1:23" s="1105" customFormat="1" ht="19.95" customHeight="1" x14ac:dyDescent="0.3">
      <c r="A6" s="1101">
        <f t="shared" si="3"/>
        <v>5</v>
      </c>
      <c r="B6" s="1101" t="str">
        <f t="shared" si="4"/>
        <v>AP52</v>
      </c>
      <c r="C6" s="1101" t="s">
        <v>824</v>
      </c>
      <c r="D6" s="1101" t="s">
        <v>959</v>
      </c>
      <c r="E6" s="1101">
        <v>1.9970000000000001</v>
      </c>
      <c r="F6" s="1101" t="s">
        <v>825</v>
      </c>
      <c r="G6" s="1101">
        <v>5</v>
      </c>
      <c r="H6" s="1101">
        <v>5</v>
      </c>
      <c r="I6" s="1101">
        <f t="shared" si="0"/>
        <v>0</v>
      </c>
      <c r="J6" s="1101">
        <v>0</v>
      </c>
      <c r="K6" s="1101">
        <f t="shared" si="1"/>
        <v>5</v>
      </c>
      <c r="L6" s="1101">
        <v>3</v>
      </c>
      <c r="M6" s="1101">
        <f t="shared" si="2"/>
        <v>2</v>
      </c>
      <c r="N6" s="1101">
        <v>0</v>
      </c>
      <c r="O6" s="1101"/>
      <c r="P6" s="1101"/>
      <c r="Q6" s="1101"/>
      <c r="R6" s="1101" t="s">
        <v>820</v>
      </c>
      <c r="S6" s="1102"/>
      <c r="T6" s="1103">
        <v>6</v>
      </c>
      <c r="U6" s="1103">
        <v>2</v>
      </c>
      <c r="V6" s="1104">
        <v>0</v>
      </c>
      <c r="W6" s="1101"/>
    </row>
    <row r="7" spans="1:23" s="1105" customFormat="1" ht="19.95" customHeight="1" x14ac:dyDescent="0.3">
      <c r="A7" s="1101">
        <f t="shared" si="3"/>
        <v>6</v>
      </c>
      <c r="B7" s="1101" t="str">
        <f t="shared" si="4"/>
        <v>AP53</v>
      </c>
      <c r="C7" s="1101" t="s">
        <v>503</v>
      </c>
      <c r="D7" s="1101" t="s">
        <v>960</v>
      </c>
      <c r="E7" s="1101">
        <v>2.7610000000000001</v>
      </c>
      <c r="F7" s="1101" t="s">
        <v>825</v>
      </c>
      <c r="G7" s="1101">
        <v>7</v>
      </c>
      <c r="H7" s="1101">
        <v>7</v>
      </c>
      <c r="I7" s="1101">
        <f t="shared" si="0"/>
        <v>0</v>
      </c>
      <c r="J7" s="1101">
        <v>0</v>
      </c>
      <c r="K7" s="1101">
        <f t="shared" si="1"/>
        <v>7</v>
      </c>
      <c r="L7" s="1101">
        <v>5</v>
      </c>
      <c r="M7" s="1101">
        <f t="shared" si="2"/>
        <v>2</v>
      </c>
      <c r="N7" s="1101">
        <v>0</v>
      </c>
      <c r="O7" s="1101"/>
      <c r="P7" s="1101"/>
      <c r="Q7" s="1101"/>
      <c r="R7" s="1101" t="s">
        <v>820</v>
      </c>
      <c r="S7" s="1102"/>
      <c r="T7" s="1103">
        <v>1</v>
      </c>
      <c r="U7" s="1103">
        <v>1</v>
      </c>
      <c r="V7" s="1103">
        <v>1</v>
      </c>
      <c r="W7" s="1101"/>
    </row>
    <row r="8" spans="1:23" s="1105" customFormat="1" ht="19.95" customHeight="1" x14ac:dyDescent="0.3">
      <c r="A8" s="1101">
        <f t="shared" si="3"/>
        <v>7</v>
      </c>
      <c r="B8" s="1101" t="str">
        <f t="shared" si="4"/>
        <v>AP54</v>
      </c>
      <c r="C8" s="1101" t="s">
        <v>504</v>
      </c>
      <c r="D8" s="1101" t="s">
        <v>961</v>
      </c>
      <c r="E8" s="1106">
        <v>0.23</v>
      </c>
      <c r="F8" s="1101" t="s">
        <v>819</v>
      </c>
      <c r="G8" s="1101">
        <v>1</v>
      </c>
      <c r="H8" s="1101">
        <v>1</v>
      </c>
      <c r="I8" s="1101">
        <f t="shared" si="0"/>
        <v>0</v>
      </c>
      <c r="J8" s="1101">
        <v>0</v>
      </c>
      <c r="K8" s="1101">
        <f t="shared" si="1"/>
        <v>1</v>
      </c>
      <c r="L8" s="1101">
        <v>0</v>
      </c>
      <c r="M8" s="1101">
        <f t="shared" si="2"/>
        <v>1</v>
      </c>
      <c r="N8" s="1101">
        <v>1</v>
      </c>
      <c r="O8" s="1101"/>
      <c r="P8" s="1101"/>
      <c r="Q8" s="1101"/>
      <c r="R8" s="1101" t="s">
        <v>820</v>
      </c>
      <c r="S8" s="1102" t="s">
        <v>962</v>
      </c>
      <c r="T8" s="1104">
        <v>0</v>
      </c>
      <c r="U8" s="1104">
        <v>0</v>
      </c>
      <c r="V8" s="1104">
        <v>0</v>
      </c>
      <c r="W8" s="1101"/>
    </row>
    <row r="9" spans="1:23" s="1105" customFormat="1" ht="19.95" customHeight="1" x14ac:dyDescent="0.3">
      <c r="A9" s="1101">
        <f t="shared" si="3"/>
        <v>8</v>
      </c>
      <c r="B9" s="1101" t="str">
        <f t="shared" si="4"/>
        <v>AP55</v>
      </c>
      <c r="C9" s="1101" t="s">
        <v>826</v>
      </c>
      <c r="D9" s="1101" t="s">
        <v>963</v>
      </c>
      <c r="E9" s="1101">
        <v>1.4530000000000001</v>
      </c>
      <c r="F9" s="1101" t="s">
        <v>825</v>
      </c>
      <c r="G9" s="1101">
        <v>4</v>
      </c>
      <c r="H9" s="1101">
        <v>2</v>
      </c>
      <c r="I9" s="1101">
        <f t="shared" si="0"/>
        <v>2</v>
      </c>
      <c r="J9" s="1101">
        <v>1</v>
      </c>
      <c r="K9" s="1101">
        <f t="shared" si="1"/>
        <v>4</v>
      </c>
      <c r="L9" s="1101">
        <v>2</v>
      </c>
      <c r="M9" s="1101">
        <f t="shared" si="2"/>
        <v>2</v>
      </c>
      <c r="N9" s="1101">
        <v>0</v>
      </c>
      <c r="O9" s="1101"/>
      <c r="P9" s="1101"/>
      <c r="Q9" s="1101"/>
      <c r="R9" s="1101" t="s">
        <v>820</v>
      </c>
      <c r="S9" s="1102"/>
      <c r="T9" s="1103">
        <v>1</v>
      </c>
      <c r="U9" s="1103">
        <v>1</v>
      </c>
      <c r="V9" s="1104">
        <v>0</v>
      </c>
      <c r="W9" s="1101"/>
    </row>
    <row r="10" spans="1:23" s="1105" customFormat="1" ht="19.95" customHeight="1" x14ac:dyDescent="0.3">
      <c r="A10" s="1101">
        <f t="shared" si="3"/>
        <v>9</v>
      </c>
      <c r="B10" s="1101" t="str">
        <f t="shared" si="4"/>
        <v>AP56</v>
      </c>
      <c r="C10" s="1101" t="s">
        <v>259</v>
      </c>
      <c r="D10" s="1101" t="s">
        <v>964</v>
      </c>
      <c r="E10" s="1101">
        <v>2.7570000000000001</v>
      </c>
      <c r="F10" s="1101" t="s">
        <v>825</v>
      </c>
      <c r="G10" s="1101">
        <v>7</v>
      </c>
      <c r="H10" s="1101">
        <v>7</v>
      </c>
      <c r="I10" s="1101">
        <f t="shared" si="0"/>
        <v>0</v>
      </c>
      <c r="J10" s="1101">
        <v>0</v>
      </c>
      <c r="K10" s="1101">
        <f t="shared" si="1"/>
        <v>7</v>
      </c>
      <c r="L10" s="1101">
        <v>6</v>
      </c>
      <c r="M10" s="1101">
        <f t="shared" si="2"/>
        <v>1</v>
      </c>
      <c r="N10" s="1101">
        <v>0</v>
      </c>
      <c r="O10" s="1101"/>
      <c r="P10" s="1101"/>
      <c r="Q10" s="1101"/>
      <c r="R10" s="1101" t="s">
        <v>820</v>
      </c>
      <c r="S10" s="1102"/>
      <c r="T10" s="1103">
        <v>3</v>
      </c>
      <c r="U10" s="1103">
        <v>5</v>
      </c>
      <c r="V10" s="1103">
        <v>1</v>
      </c>
      <c r="W10" s="1101"/>
    </row>
    <row r="11" spans="1:23" s="1105" customFormat="1" ht="19.95" customHeight="1" x14ac:dyDescent="0.3">
      <c r="A11" s="1101">
        <f t="shared" si="3"/>
        <v>10</v>
      </c>
      <c r="B11" s="1101" t="str">
        <f t="shared" si="4"/>
        <v>56/7</v>
      </c>
      <c r="C11" s="1101" t="s">
        <v>506</v>
      </c>
      <c r="D11" s="1101" t="s">
        <v>965</v>
      </c>
      <c r="E11" s="1101">
        <v>2.476</v>
      </c>
      <c r="F11" s="1101" t="s">
        <v>825</v>
      </c>
      <c r="G11" s="1101">
        <v>6</v>
      </c>
      <c r="H11" s="1101">
        <v>6</v>
      </c>
      <c r="I11" s="1101">
        <f t="shared" si="0"/>
        <v>0</v>
      </c>
      <c r="J11" s="1101">
        <v>0</v>
      </c>
      <c r="K11" s="1101">
        <f t="shared" si="1"/>
        <v>6</v>
      </c>
      <c r="L11" s="1101">
        <v>6</v>
      </c>
      <c r="M11" s="1101">
        <f t="shared" si="2"/>
        <v>0</v>
      </c>
      <c r="N11" s="1101">
        <v>0</v>
      </c>
      <c r="O11" s="1101"/>
      <c r="P11" s="1101"/>
      <c r="Q11" s="1101"/>
      <c r="R11" s="1101" t="s">
        <v>820</v>
      </c>
      <c r="S11" s="1102"/>
      <c r="T11" s="1103">
        <v>2</v>
      </c>
      <c r="U11" s="1104">
        <v>0</v>
      </c>
      <c r="V11" s="1104">
        <v>0</v>
      </c>
      <c r="W11" s="1101"/>
    </row>
    <row r="12" spans="1:23" s="1105" customFormat="1" ht="19.95" customHeight="1" x14ac:dyDescent="0.3">
      <c r="A12" s="1101">
        <f t="shared" si="3"/>
        <v>11</v>
      </c>
      <c r="B12" s="1101" t="str">
        <f t="shared" si="4"/>
        <v>AP57</v>
      </c>
      <c r="C12" s="1101" t="s">
        <v>507</v>
      </c>
      <c r="D12" s="1101" t="s">
        <v>966</v>
      </c>
      <c r="E12" s="1101">
        <v>0.215</v>
      </c>
      <c r="F12" s="1101" t="s">
        <v>819</v>
      </c>
      <c r="G12" s="1101">
        <v>1</v>
      </c>
      <c r="H12" s="1101">
        <v>1</v>
      </c>
      <c r="I12" s="1101">
        <f t="shared" si="0"/>
        <v>0</v>
      </c>
      <c r="J12" s="1101">
        <v>0</v>
      </c>
      <c r="K12" s="1101">
        <f t="shared" si="1"/>
        <v>1</v>
      </c>
      <c r="L12" s="1101">
        <v>1</v>
      </c>
      <c r="M12" s="1107">
        <v>1</v>
      </c>
      <c r="N12" s="1101">
        <v>1</v>
      </c>
      <c r="O12" s="1101"/>
      <c r="P12" s="1101"/>
      <c r="Q12" s="1101"/>
      <c r="R12" s="1101" t="s">
        <v>820</v>
      </c>
      <c r="S12" s="1102" t="s">
        <v>967</v>
      </c>
      <c r="T12" s="1104">
        <v>0</v>
      </c>
      <c r="U12" s="1104">
        <v>0</v>
      </c>
      <c r="V12" s="1104">
        <v>0</v>
      </c>
      <c r="W12" s="1101"/>
    </row>
    <row r="13" spans="1:23" s="1105" customFormat="1" ht="19.95" customHeight="1" x14ac:dyDescent="0.3">
      <c r="A13" s="1101">
        <f t="shared" si="3"/>
        <v>12</v>
      </c>
      <c r="B13" s="1101" t="str">
        <f t="shared" si="4"/>
        <v>AP58</v>
      </c>
      <c r="C13" s="1101" t="s">
        <v>827</v>
      </c>
      <c r="D13" s="1101" t="s">
        <v>968</v>
      </c>
      <c r="E13" s="1101">
        <v>1.5880000000000001</v>
      </c>
      <c r="F13" s="1101" t="s">
        <v>825</v>
      </c>
      <c r="G13" s="1101">
        <v>4</v>
      </c>
      <c r="H13" s="1101">
        <v>4</v>
      </c>
      <c r="I13" s="1101">
        <f t="shared" si="0"/>
        <v>0</v>
      </c>
      <c r="J13" s="1101">
        <v>0</v>
      </c>
      <c r="K13" s="1101">
        <f t="shared" si="1"/>
        <v>4</v>
      </c>
      <c r="L13" s="1101">
        <v>3</v>
      </c>
      <c r="M13" s="1101">
        <f t="shared" si="2"/>
        <v>1</v>
      </c>
      <c r="N13" s="1101">
        <v>0</v>
      </c>
      <c r="O13" s="1101"/>
      <c r="P13" s="1101"/>
      <c r="Q13" s="1101"/>
      <c r="R13" s="1101" t="s">
        <v>820</v>
      </c>
      <c r="S13" s="1102"/>
      <c r="T13" s="1104">
        <v>0</v>
      </c>
      <c r="U13" s="1103">
        <v>2</v>
      </c>
      <c r="V13" s="1104">
        <v>0</v>
      </c>
      <c r="W13" s="1101"/>
    </row>
    <row r="14" spans="1:23" s="1105" customFormat="1" ht="19.95" customHeight="1" x14ac:dyDescent="0.3">
      <c r="A14" s="1101">
        <f t="shared" si="3"/>
        <v>13</v>
      </c>
      <c r="B14" s="1101" t="str">
        <f t="shared" si="4"/>
        <v>AP59</v>
      </c>
      <c r="C14" s="1101" t="s">
        <v>828</v>
      </c>
      <c r="D14" s="1101" t="s">
        <v>969</v>
      </c>
      <c r="E14" s="1101">
        <v>2.3159999999999998</v>
      </c>
      <c r="F14" s="1101" t="s">
        <v>825</v>
      </c>
      <c r="G14" s="1101">
        <v>6</v>
      </c>
      <c r="H14" s="1101">
        <v>5</v>
      </c>
      <c r="I14" s="1101">
        <f t="shared" si="0"/>
        <v>1</v>
      </c>
      <c r="J14" s="1101">
        <v>0</v>
      </c>
      <c r="K14" s="1101">
        <f t="shared" si="1"/>
        <v>6</v>
      </c>
      <c r="L14" s="1101">
        <v>5</v>
      </c>
      <c r="M14" s="1101">
        <f t="shared" si="2"/>
        <v>1</v>
      </c>
      <c r="N14" s="1101">
        <v>0</v>
      </c>
      <c r="O14" s="1101"/>
      <c r="P14" s="1101"/>
      <c r="Q14" s="1101"/>
      <c r="R14" s="1101" t="s">
        <v>820</v>
      </c>
      <c r="S14" s="1102"/>
      <c r="T14" s="1103">
        <v>5</v>
      </c>
      <c r="U14" s="1103">
        <v>1</v>
      </c>
      <c r="V14" s="1104">
        <v>0</v>
      </c>
      <c r="W14" s="1101"/>
    </row>
    <row r="15" spans="1:23" s="1105" customFormat="1" ht="19.95" customHeight="1" x14ac:dyDescent="0.3">
      <c r="A15" s="1101">
        <f t="shared" si="3"/>
        <v>14</v>
      </c>
      <c r="B15" s="1101" t="str">
        <f t="shared" si="4"/>
        <v>AP60</v>
      </c>
      <c r="C15" s="1101" t="s">
        <v>279</v>
      </c>
      <c r="D15" s="1101" t="s">
        <v>970</v>
      </c>
      <c r="E15" s="1101">
        <v>1.9870000000000001</v>
      </c>
      <c r="F15" s="1101" t="s">
        <v>825</v>
      </c>
      <c r="G15" s="1101">
        <v>5</v>
      </c>
      <c r="H15" s="1101">
        <v>4</v>
      </c>
      <c r="I15" s="1101">
        <f t="shared" si="0"/>
        <v>1</v>
      </c>
      <c r="J15" s="1101">
        <v>0</v>
      </c>
      <c r="K15" s="1101">
        <f t="shared" si="1"/>
        <v>5</v>
      </c>
      <c r="L15" s="1101">
        <v>3</v>
      </c>
      <c r="M15" s="1101">
        <f t="shared" si="2"/>
        <v>2</v>
      </c>
      <c r="N15" s="1101">
        <v>0</v>
      </c>
      <c r="O15" s="1101"/>
      <c r="P15" s="1101"/>
      <c r="Q15" s="1101"/>
      <c r="R15" s="1101" t="s">
        <v>820</v>
      </c>
      <c r="S15" s="1102"/>
      <c r="T15" s="1103">
        <v>4</v>
      </c>
      <c r="U15" s="1103">
        <v>2</v>
      </c>
      <c r="V15" s="1104">
        <v>0</v>
      </c>
      <c r="W15" s="1101"/>
    </row>
    <row r="16" spans="1:23" s="1105" customFormat="1" ht="19.95" customHeight="1" x14ac:dyDescent="0.3">
      <c r="A16" s="1101">
        <f t="shared" si="3"/>
        <v>15</v>
      </c>
      <c r="B16" s="1101" t="str">
        <f t="shared" si="4"/>
        <v>60/5</v>
      </c>
      <c r="C16" s="1101" t="s">
        <v>280</v>
      </c>
      <c r="D16" s="1101" t="s">
        <v>971</v>
      </c>
      <c r="E16" s="1106">
        <v>0.48</v>
      </c>
      <c r="F16" s="1101" t="s">
        <v>819</v>
      </c>
      <c r="G16" s="1101">
        <v>1</v>
      </c>
      <c r="H16" s="1101">
        <v>0</v>
      </c>
      <c r="I16" s="1101">
        <f t="shared" si="0"/>
        <v>1</v>
      </c>
      <c r="J16" s="1101">
        <v>0</v>
      </c>
      <c r="K16" s="1101">
        <f t="shared" si="1"/>
        <v>1</v>
      </c>
      <c r="L16" s="1101">
        <v>0</v>
      </c>
      <c r="M16" s="1101">
        <f t="shared" si="2"/>
        <v>1</v>
      </c>
      <c r="N16" s="1101">
        <v>0</v>
      </c>
      <c r="O16" s="1101"/>
      <c r="P16" s="1101"/>
      <c r="Q16" s="1101"/>
      <c r="R16" s="1101" t="s">
        <v>820</v>
      </c>
      <c r="S16" s="1102"/>
      <c r="T16" s="1103">
        <v>2</v>
      </c>
      <c r="U16" s="1103">
        <v>2</v>
      </c>
      <c r="V16" s="1104">
        <v>0</v>
      </c>
      <c r="W16" s="1101"/>
    </row>
    <row r="17" spans="1:23" s="1105" customFormat="1" ht="19.95" customHeight="1" x14ac:dyDescent="0.3">
      <c r="A17" s="1101">
        <f t="shared" si="3"/>
        <v>16</v>
      </c>
      <c r="B17" s="1101" t="str">
        <f t="shared" si="4"/>
        <v>60/6</v>
      </c>
      <c r="C17" s="1101" t="s">
        <v>281</v>
      </c>
      <c r="D17" s="1101" t="s">
        <v>972</v>
      </c>
      <c r="E17" s="1106">
        <v>0.53500000000000003</v>
      </c>
      <c r="F17" s="1101" t="s">
        <v>819</v>
      </c>
      <c r="G17" s="1101">
        <v>1</v>
      </c>
      <c r="H17" s="1101">
        <v>0</v>
      </c>
      <c r="I17" s="1101">
        <f t="shared" si="0"/>
        <v>1</v>
      </c>
      <c r="J17" s="1101">
        <v>0</v>
      </c>
      <c r="K17" s="1101">
        <f t="shared" si="1"/>
        <v>1</v>
      </c>
      <c r="L17" s="1101">
        <v>0</v>
      </c>
      <c r="M17" s="1101">
        <f t="shared" si="2"/>
        <v>1</v>
      </c>
      <c r="N17" s="1101">
        <v>0</v>
      </c>
      <c r="O17" s="1101"/>
      <c r="P17" s="1101"/>
      <c r="Q17" s="1101"/>
      <c r="R17" s="1101" t="s">
        <v>820</v>
      </c>
      <c r="S17" s="1102"/>
      <c r="T17" s="1104">
        <v>0</v>
      </c>
      <c r="U17" s="1103">
        <v>1</v>
      </c>
      <c r="V17" s="1104">
        <v>0</v>
      </c>
      <c r="W17" s="1101"/>
    </row>
    <row r="18" spans="1:23" s="1105" customFormat="1" ht="19.95" customHeight="1" x14ac:dyDescent="0.3">
      <c r="A18" s="1101">
        <f t="shared" si="3"/>
        <v>17</v>
      </c>
      <c r="B18" s="1101" t="str">
        <f t="shared" si="4"/>
        <v>60/7</v>
      </c>
      <c r="C18" s="1101" t="s">
        <v>510</v>
      </c>
      <c r="D18" s="1101" t="s">
        <v>973</v>
      </c>
      <c r="E18" s="1101">
        <v>0.84299999999999997</v>
      </c>
      <c r="F18" s="1101" t="s">
        <v>819</v>
      </c>
      <c r="G18" s="1101">
        <v>2</v>
      </c>
      <c r="H18" s="1101">
        <v>1</v>
      </c>
      <c r="I18" s="1101">
        <f t="shared" si="0"/>
        <v>1</v>
      </c>
      <c r="J18" s="1101">
        <v>1</v>
      </c>
      <c r="K18" s="1101">
        <f t="shared" si="1"/>
        <v>2</v>
      </c>
      <c r="L18" s="1101">
        <v>0</v>
      </c>
      <c r="M18" s="1101">
        <f t="shared" si="2"/>
        <v>2</v>
      </c>
      <c r="N18" s="1101">
        <v>0</v>
      </c>
      <c r="O18" s="1101"/>
      <c r="P18" s="1101"/>
      <c r="Q18" s="1101"/>
      <c r="R18" s="1101" t="s">
        <v>820</v>
      </c>
      <c r="S18" s="1102"/>
      <c r="T18" s="1103">
        <v>3</v>
      </c>
      <c r="U18" s="1103">
        <v>1</v>
      </c>
      <c r="V18" s="1104">
        <v>0</v>
      </c>
      <c r="W18" s="1101"/>
    </row>
    <row r="19" spans="1:23" s="1105" customFormat="1" ht="19.95" customHeight="1" x14ac:dyDescent="0.3">
      <c r="A19" s="1101">
        <f t="shared" si="3"/>
        <v>18</v>
      </c>
      <c r="B19" s="1101" t="str">
        <f t="shared" si="4"/>
        <v>AP61</v>
      </c>
      <c r="C19" s="1101" t="s">
        <v>511</v>
      </c>
      <c r="D19" s="1101" t="s">
        <v>974</v>
      </c>
      <c r="E19" s="1101">
        <v>0.247</v>
      </c>
      <c r="F19" s="1101" t="s">
        <v>819</v>
      </c>
      <c r="G19" s="1101">
        <v>1</v>
      </c>
      <c r="H19" s="1101">
        <v>0</v>
      </c>
      <c r="I19" s="1101">
        <f t="shared" si="0"/>
        <v>1</v>
      </c>
      <c r="J19" s="1101">
        <v>0</v>
      </c>
      <c r="K19" s="1101">
        <f t="shared" si="1"/>
        <v>1</v>
      </c>
      <c r="L19" s="1101">
        <v>0</v>
      </c>
      <c r="M19" s="1101">
        <f t="shared" si="2"/>
        <v>1</v>
      </c>
      <c r="N19" s="1101">
        <v>0</v>
      </c>
      <c r="O19" s="1101"/>
      <c r="P19" s="1101"/>
      <c r="Q19" s="1101"/>
      <c r="R19" s="1101" t="s">
        <v>820</v>
      </c>
      <c r="S19" s="1102" t="s">
        <v>975</v>
      </c>
      <c r="T19" s="1104">
        <v>0</v>
      </c>
      <c r="U19" s="1104">
        <v>0</v>
      </c>
      <c r="V19" s="1103">
        <v>2</v>
      </c>
      <c r="W19" s="1101"/>
    </row>
    <row r="20" spans="1:23" s="1105" customFormat="1" ht="19.95" customHeight="1" x14ac:dyDescent="0.3">
      <c r="A20" s="1101">
        <f t="shared" si="3"/>
        <v>19</v>
      </c>
      <c r="B20" s="1101" t="str">
        <f t="shared" si="4"/>
        <v>AP62</v>
      </c>
      <c r="C20" s="1101" t="s">
        <v>829</v>
      </c>
      <c r="D20" s="1101" t="s">
        <v>976</v>
      </c>
      <c r="E20" s="1101">
        <v>1.82</v>
      </c>
      <c r="F20" s="1101" t="s">
        <v>825</v>
      </c>
      <c r="G20" s="1101">
        <v>5</v>
      </c>
      <c r="H20" s="1101">
        <v>0</v>
      </c>
      <c r="I20" s="1101">
        <f t="shared" si="0"/>
        <v>5</v>
      </c>
      <c r="J20" s="1101">
        <v>0</v>
      </c>
      <c r="K20" s="1101">
        <f t="shared" si="1"/>
        <v>5</v>
      </c>
      <c r="L20" s="1101">
        <v>0</v>
      </c>
      <c r="M20" s="1101">
        <f t="shared" si="2"/>
        <v>5</v>
      </c>
      <c r="N20" s="1101">
        <v>0</v>
      </c>
      <c r="O20" s="1101"/>
      <c r="P20" s="1101"/>
      <c r="Q20" s="1101"/>
      <c r="R20" s="1101" t="s">
        <v>820</v>
      </c>
      <c r="S20" s="1102"/>
      <c r="T20" s="1103">
        <v>1</v>
      </c>
      <c r="U20" s="1103">
        <v>1</v>
      </c>
      <c r="V20" s="1103"/>
      <c r="W20" s="1101"/>
    </row>
    <row r="21" spans="1:23" s="1105" customFormat="1" ht="19.95" customHeight="1" x14ac:dyDescent="0.3">
      <c r="A21" s="1101">
        <f t="shared" si="3"/>
        <v>20</v>
      </c>
      <c r="B21" s="1101" t="str">
        <f t="shared" si="4"/>
        <v>AP63</v>
      </c>
      <c r="C21" s="1101" t="s">
        <v>830</v>
      </c>
      <c r="D21" s="1101" t="s">
        <v>977</v>
      </c>
      <c r="E21" s="1101">
        <v>1.6120000000000001</v>
      </c>
      <c r="F21" s="1101" t="s">
        <v>825</v>
      </c>
      <c r="G21" s="1101">
        <v>4</v>
      </c>
      <c r="H21" s="1101">
        <v>3</v>
      </c>
      <c r="I21" s="1101">
        <f t="shared" si="0"/>
        <v>1</v>
      </c>
      <c r="J21" s="1101">
        <v>1</v>
      </c>
      <c r="K21" s="1101">
        <f t="shared" si="1"/>
        <v>4</v>
      </c>
      <c r="L21" s="1101">
        <v>0</v>
      </c>
      <c r="M21" s="1101">
        <f t="shared" si="2"/>
        <v>4</v>
      </c>
      <c r="N21" s="1101">
        <v>0</v>
      </c>
      <c r="O21" s="1101"/>
      <c r="P21" s="1101"/>
      <c r="Q21" s="1101"/>
      <c r="R21" s="1101" t="s">
        <v>820</v>
      </c>
      <c r="S21" s="1102"/>
      <c r="T21" s="1103">
        <v>2</v>
      </c>
      <c r="U21" s="1103">
        <v>1</v>
      </c>
      <c r="V21" s="1104">
        <v>0</v>
      </c>
      <c r="W21" s="1101"/>
    </row>
    <row r="22" spans="1:23" s="1105" customFormat="1" ht="19.95" customHeight="1" x14ac:dyDescent="0.3">
      <c r="A22" s="1101">
        <f t="shared" si="3"/>
        <v>21</v>
      </c>
      <c r="B22" s="1101" t="str">
        <f t="shared" si="4"/>
        <v>AP64</v>
      </c>
      <c r="C22" s="1101" t="s">
        <v>831</v>
      </c>
      <c r="D22" s="1101" t="s">
        <v>978</v>
      </c>
      <c r="E22" s="1101">
        <v>0.439</v>
      </c>
      <c r="F22" s="1101" t="s">
        <v>819</v>
      </c>
      <c r="G22" s="1101">
        <v>1</v>
      </c>
      <c r="H22" s="1101">
        <v>0</v>
      </c>
      <c r="I22" s="1101">
        <f t="shared" si="0"/>
        <v>1</v>
      </c>
      <c r="J22" s="1101">
        <v>0</v>
      </c>
      <c r="K22" s="1101">
        <f t="shared" si="1"/>
        <v>1</v>
      </c>
      <c r="L22" s="1101">
        <v>0</v>
      </c>
      <c r="M22" s="1101">
        <f t="shared" si="2"/>
        <v>1</v>
      </c>
      <c r="N22" s="1101">
        <v>0</v>
      </c>
      <c r="O22" s="1101"/>
      <c r="P22" s="1101"/>
      <c r="Q22" s="1101"/>
      <c r="R22" s="1101" t="s">
        <v>820</v>
      </c>
      <c r="S22" s="1102"/>
      <c r="T22" s="1103">
        <v>1</v>
      </c>
      <c r="U22" s="1104">
        <v>0</v>
      </c>
      <c r="V22" s="1104">
        <v>0</v>
      </c>
      <c r="W22" s="1101"/>
    </row>
    <row r="23" spans="1:23" s="1105" customFormat="1" ht="19.95" customHeight="1" x14ac:dyDescent="0.3">
      <c r="A23" s="1101">
        <f t="shared" si="3"/>
        <v>22</v>
      </c>
      <c r="B23" s="1101" t="str">
        <f t="shared" si="4"/>
        <v>AP65</v>
      </c>
      <c r="C23" s="1101" t="s">
        <v>832</v>
      </c>
      <c r="D23" s="1101" t="s">
        <v>979</v>
      </c>
      <c r="E23" s="1101">
        <v>1.399</v>
      </c>
      <c r="F23" s="1101" t="s">
        <v>825</v>
      </c>
      <c r="G23" s="1101">
        <v>4</v>
      </c>
      <c r="H23" s="1101">
        <v>2</v>
      </c>
      <c r="I23" s="1101">
        <f t="shared" si="0"/>
        <v>2</v>
      </c>
      <c r="J23" s="1101">
        <v>0</v>
      </c>
      <c r="K23" s="1101">
        <f t="shared" si="1"/>
        <v>4</v>
      </c>
      <c r="L23" s="1101">
        <v>1</v>
      </c>
      <c r="M23" s="1101">
        <f t="shared" si="2"/>
        <v>3</v>
      </c>
      <c r="N23" s="1101">
        <v>0</v>
      </c>
      <c r="O23" s="1101"/>
      <c r="P23" s="1101"/>
      <c r="Q23" s="1101"/>
      <c r="R23" s="1101" t="s">
        <v>820</v>
      </c>
      <c r="S23" s="1102"/>
      <c r="T23" s="1103">
        <v>4</v>
      </c>
      <c r="U23" s="1103">
        <v>1</v>
      </c>
      <c r="V23" s="1104">
        <v>0</v>
      </c>
      <c r="W23" s="1101"/>
    </row>
    <row r="24" spans="1:23" s="1105" customFormat="1" ht="19.95" customHeight="1" x14ac:dyDescent="0.3">
      <c r="A24" s="1101">
        <f t="shared" si="3"/>
        <v>23</v>
      </c>
      <c r="B24" s="1101" t="str">
        <f t="shared" si="4"/>
        <v>AP66</v>
      </c>
      <c r="C24" s="1101" t="s">
        <v>296</v>
      </c>
      <c r="D24" s="1101" t="s">
        <v>980</v>
      </c>
      <c r="E24" s="1101">
        <v>0.42099999999999999</v>
      </c>
      <c r="F24" s="1101" t="s">
        <v>819</v>
      </c>
      <c r="G24" s="1101">
        <v>1</v>
      </c>
      <c r="H24" s="1101">
        <v>1</v>
      </c>
      <c r="I24" s="1101">
        <f t="shared" si="0"/>
        <v>0</v>
      </c>
      <c r="J24" s="1101">
        <v>0</v>
      </c>
      <c r="K24" s="1101">
        <f t="shared" si="1"/>
        <v>1</v>
      </c>
      <c r="L24" s="1101">
        <v>1</v>
      </c>
      <c r="M24" s="1101">
        <f t="shared" si="2"/>
        <v>0</v>
      </c>
      <c r="N24" s="1101">
        <v>0</v>
      </c>
      <c r="O24" s="1101"/>
      <c r="P24" s="1101"/>
      <c r="Q24" s="1101"/>
      <c r="R24" s="1101" t="s">
        <v>820</v>
      </c>
      <c r="S24" s="1102"/>
      <c r="T24" s="1103">
        <v>1</v>
      </c>
      <c r="U24" s="1103">
        <v>2</v>
      </c>
      <c r="V24" s="1104">
        <v>0</v>
      </c>
      <c r="W24" s="1101"/>
    </row>
    <row r="25" spans="1:23" s="1105" customFormat="1" ht="19.95" customHeight="1" x14ac:dyDescent="0.3">
      <c r="A25" s="1101">
        <f t="shared" si="3"/>
        <v>24</v>
      </c>
      <c r="B25" s="1101" t="str">
        <f t="shared" si="4"/>
        <v>66/1</v>
      </c>
      <c r="C25" s="1101" t="s">
        <v>833</v>
      </c>
      <c r="D25" s="1101" t="s">
        <v>981</v>
      </c>
      <c r="E25" s="1101">
        <v>0.46600000000000003</v>
      </c>
      <c r="F25" s="1101" t="s">
        <v>819</v>
      </c>
      <c r="G25" s="1101">
        <v>1</v>
      </c>
      <c r="H25" s="1101">
        <v>1</v>
      </c>
      <c r="I25" s="1101">
        <f t="shared" si="0"/>
        <v>0</v>
      </c>
      <c r="J25" s="1101">
        <v>0</v>
      </c>
      <c r="K25" s="1101">
        <f t="shared" si="1"/>
        <v>1</v>
      </c>
      <c r="L25" s="1101">
        <v>0</v>
      </c>
      <c r="M25" s="1101">
        <f t="shared" si="2"/>
        <v>1</v>
      </c>
      <c r="N25" s="1101">
        <v>0</v>
      </c>
      <c r="O25" s="1101"/>
      <c r="P25" s="1101"/>
      <c r="Q25" s="1101"/>
      <c r="R25" s="1101" t="s">
        <v>820</v>
      </c>
      <c r="S25" s="1102"/>
      <c r="T25" s="1103">
        <v>1</v>
      </c>
      <c r="U25" s="1104">
        <v>0</v>
      </c>
      <c r="V25" s="1104">
        <v>0</v>
      </c>
      <c r="W25" s="1101"/>
    </row>
    <row r="26" spans="1:23" s="1105" customFormat="1" ht="19.95" customHeight="1" x14ac:dyDescent="0.3">
      <c r="A26" s="1101">
        <f t="shared" si="3"/>
        <v>25</v>
      </c>
      <c r="B26" s="1101" t="str">
        <f t="shared" si="4"/>
        <v>AP67</v>
      </c>
      <c r="C26" s="1101" t="s">
        <v>834</v>
      </c>
      <c r="D26" s="1101" t="s">
        <v>982</v>
      </c>
      <c r="E26" s="1101">
        <v>1.841</v>
      </c>
      <c r="F26" s="1101" t="s">
        <v>825</v>
      </c>
      <c r="G26" s="1101">
        <v>5</v>
      </c>
      <c r="H26" s="1101">
        <v>2</v>
      </c>
      <c r="I26" s="1101">
        <f t="shared" si="0"/>
        <v>3</v>
      </c>
      <c r="J26" s="1101">
        <v>0</v>
      </c>
      <c r="K26" s="1101">
        <f t="shared" si="1"/>
        <v>5</v>
      </c>
      <c r="L26" s="1101">
        <v>2</v>
      </c>
      <c r="M26" s="1101">
        <f t="shared" si="2"/>
        <v>3</v>
      </c>
      <c r="N26" s="1101">
        <v>0</v>
      </c>
      <c r="O26" s="1101"/>
      <c r="P26" s="1101"/>
      <c r="Q26" s="1101"/>
      <c r="R26" s="1101" t="s">
        <v>820</v>
      </c>
      <c r="S26" s="1102"/>
      <c r="T26" s="1103">
        <v>2</v>
      </c>
      <c r="U26" s="1103">
        <v>1</v>
      </c>
      <c r="V26" s="1104">
        <v>0</v>
      </c>
      <c r="W26" s="1101"/>
    </row>
    <row r="27" spans="1:23" s="1105" customFormat="1" ht="19.95" customHeight="1" x14ac:dyDescent="0.3">
      <c r="A27" s="1101">
        <f t="shared" si="3"/>
        <v>26</v>
      </c>
      <c r="B27" s="1101" t="str">
        <f t="shared" si="4"/>
        <v>AP68</v>
      </c>
      <c r="C27" s="1101" t="s">
        <v>835</v>
      </c>
      <c r="D27" s="1101" t="s">
        <v>983</v>
      </c>
      <c r="E27" s="1101">
        <v>1.161</v>
      </c>
      <c r="F27" s="1101" t="s">
        <v>825</v>
      </c>
      <c r="G27" s="1101">
        <v>3</v>
      </c>
      <c r="H27" s="1101">
        <v>2</v>
      </c>
      <c r="I27" s="1101">
        <f t="shared" si="0"/>
        <v>1</v>
      </c>
      <c r="J27" s="1101">
        <v>0</v>
      </c>
      <c r="K27" s="1101">
        <f t="shared" si="1"/>
        <v>3</v>
      </c>
      <c r="L27" s="1101">
        <v>0</v>
      </c>
      <c r="M27" s="1101">
        <f t="shared" si="2"/>
        <v>3</v>
      </c>
      <c r="N27" s="1101">
        <v>0</v>
      </c>
      <c r="O27" s="1101"/>
      <c r="P27" s="1101"/>
      <c r="Q27" s="1101"/>
      <c r="R27" s="1101" t="s">
        <v>820</v>
      </c>
      <c r="S27" s="1102"/>
      <c r="T27" s="1103">
        <v>4</v>
      </c>
      <c r="U27" s="1103">
        <v>1</v>
      </c>
      <c r="V27" s="1104">
        <v>0</v>
      </c>
      <c r="W27" s="1101"/>
    </row>
    <row r="28" spans="1:23" s="1105" customFormat="1" ht="19.95" customHeight="1" x14ac:dyDescent="0.3">
      <c r="A28" s="1101">
        <f t="shared" si="3"/>
        <v>27</v>
      </c>
      <c r="B28" s="1101" t="str">
        <f t="shared" si="4"/>
        <v>AP69</v>
      </c>
      <c r="C28" s="1101" t="s">
        <v>836</v>
      </c>
      <c r="D28" s="1101" t="s">
        <v>984</v>
      </c>
      <c r="E28" s="1101">
        <v>1.262</v>
      </c>
      <c r="F28" s="1101" t="s">
        <v>825</v>
      </c>
      <c r="G28" s="1101">
        <v>3</v>
      </c>
      <c r="H28" s="1101">
        <v>3</v>
      </c>
      <c r="I28" s="1101">
        <f t="shared" si="0"/>
        <v>0</v>
      </c>
      <c r="J28" s="1101">
        <v>0</v>
      </c>
      <c r="K28" s="1101">
        <f t="shared" si="1"/>
        <v>3</v>
      </c>
      <c r="L28" s="1101">
        <v>2</v>
      </c>
      <c r="M28" s="1101">
        <f t="shared" si="2"/>
        <v>1</v>
      </c>
      <c r="N28" s="1101">
        <v>0</v>
      </c>
      <c r="O28" s="1101"/>
      <c r="P28" s="1101"/>
      <c r="Q28" s="1101"/>
      <c r="R28" s="1101" t="s">
        <v>820</v>
      </c>
      <c r="S28" s="1102"/>
      <c r="T28" s="1103">
        <v>2</v>
      </c>
      <c r="U28" s="1103">
        <v>1</v>
      </c>
      <c r="V28" s="1104">
        <v>0</v>
      </c>
      <c r="W28" s="1101"/>
    </row>
    <row r="29" spans="1:23" s="1105" customFormat="1" ht="19.95" customHeight="1" x14ac:dyDescent="0.3">
      <c r="A29" s="1101">
        <f t="shared" si="3"/>
        <v>28</v>
      </c>
      <c r="B29" s="1101" t="str">
        <f t="shared" si="4"/>
        <v>AP70</v>
      </c>
      <c r="C29" s="1101" t="s">
        <v>514</v>
      </c>
      <c r="D29" s="1101" t="s">
        <v>985</v>
      </c>
      <c r="E29" s="1101">
        <v>1.9670000000000001</v>
      </c>
      <c r="F29" s="1101" t="s">
        <v>825</v>
      </c>
      <c r="G29" s="1101">
        <v>5</v>
      </c>
      <c r="H29" s="1101">
        <v>4</v>
      </c>
      <c r="I29" s="1101">
        <f t="shared" si="0"/>
        <v>1</v>
      </c>
      <c r="J29" s="1101">
        <v>0</v>
      </c>
      <c r="K29" s="1101">
        <f t="shared" si="1"/>
        <v>5</v>
      </c>
      <c r="L29" s="1101">
        <v>2</v>
      </c>
      <c r="M29" s="1101">
        <f t="shared" si="2"/>
        <v>3</v>
      </c>
      <c r="N29" s="1101">
        <v>0</v>
      </c>
      <c r="O29" s="1101"/>
      <c r="P29" s="1101"/>
      <c r="Q29" s="1101"/>
      <c r="R29" s="1101" t="s">
        <v>986</v>
      </c>
      <c r="S29" s="1102"/>
      <c r="T29" s="1103">
        <v>3</v>
      </c>
      <c r="U29" s="1103">
        <v>2</v>
      </c>
      <c r="V29" s="1104">
        <v>0</v>
      </c>
      <c r="W29" s="1101"/>
    </row>
    <row r="30" spans="1:23" s="1105" customFormat="1" ht="19.95" customHeight="1" x14ac:dyDescent="0.3">
      <c r="A30" s="1101">
        <f t="shared" si="3"/>
        <v>29</v>
      </c>
      <c r="B30" s="1101" t="str">
        <f t="shared" si="4"/>
        <v>AP71</v>
      </c>
      <c r="C30" s="1101" t="s">
        <v>515</v>
      </c>
      <c r="D30" s="1101" t="s">
        <v>987</v>
      </c>
      <c r="E30" s="1101">
        <v>0.249</v>
      </c>
      <c r="F30" s="1101" t="s">
        <v>819</v>
      </c>
      <c r="G30" s="1101">
        <v>1</v>
      </c>
      <c r="H30" s="1101">
        <v>1</v>
      </c>
      <c r="I30" s="1101">
        <f t="shared" si="0"/>
        <v>0</v>
      </c>
      <c r="J30" s="1101">
        <v>0</v>
      </c>
      <c r="K30" s="1101">
        <f t="shared" si="1"/>
        <v>1</v>
      </c>
      <c r="L30" s="1101">
        <v>0</v>
      </c>
      <c r="M30" s="1101">
        <f>K30-L30</f>
        <v>1</v>
      </c>
      <c r="N30" s="1101">
        <v>0</v>
      </c>
      <c r="O30" s="1101"/>
      <c r="P30" s="1101"/>
      <c r="Q30" s="1101"/>
      <c r="R30" s="1101" t="s">
        <v>986</v>
      </c>
      <c r="S30" s="1102" t="s">
        <v>988</v>
      </c>
      <c r="T30" s="1104">
        <v>0</v>
      </c>
      <c r="U30" s="1103">
        <v>2</v>
      </c>
      <c r="V30" s="1104">
        <v>0</v>
      </c>
      <c r="W30" s="1101"/>
    </row>
    <row r="31" spans="1:23" s="1105" customFormat="1" ht="19.95" customHeight="1" x14ac:dyDescent="0.3">
      <c r="A31" s="1101">
        <f t="shared" si="3"/>
        <v>30</v>
      </c>
      <c r="B31" s="1101" t="str">
        <f t="shared" si="4"/>
        <v>AP72</v>
      </c>
      <c r="C31" s="1101" t="s">
        <v>837</v>
      </c>
      <c r="D31" s="1101" t="s">
        <v>989</v>
      </c>
      <c r="E31" s="1101">
        <v>0.82799999999999996</v>
      </c>
      <c r="F31" s="1101" t="s">
        <v>819</v>
      </c>
      <c r="G31" s="1101">
        <v>2</v>
      </c>
      <c r="H31" s="1101">
        <v>2</v>
      </c>
      <c r="I31" s="1101">
        <f t="shared" si="0"/>
        <v>0</v>
      </c>
      <c r="J31" s="1101">
        <v>0</v>
      </c>
      <c r="K31" s="1101">
        <f t="shared" si="1"/>
        <v>2</v>
      </c>
      <c r="L31" s="1101">
        <v>1</v>
      </c>
      <c r="M31" s="1101">
        <f t="shared" si="2"/>
        <v>1</v>
      </c>
      <c r="N31" s="1101">
        <v>1</v>
      </c>
      <c r="O31" s="1101"/>
      <c r="P31" s="1101"/>
      <c r="Q31" s="1101"/>
      <c r="R31" s="1101" t="s">
        <v>986</v>
      </c>
      <c r="S31" s="1102"/>
      <c r="T31" s="1103">
        <v>3</v>
      </c>
      <c r="U31" s="1103">
        <v>2</v>
      </c>
      <c r="V31" s="1104">
        <v>0</v>
      </c>
      <c r="W31" s="1101"/>
    </row>
    <row r="32" spans="1:23" s="1105" customFormat="1" ht="19.95" customHeight="1" x14ac:dyDescent="0.3">
      <c r="A32" s="1101">
        <f t="shared" si="3"/>
        <v>31</v>
      </c>
      <c r="B32" s="1101" t="str">
        <f t="shared" si="4"/>
        <v>AP73</v>
      </c>
      <c r="C32" s="1101" t="s">
        <v>517</v>
      </c>
      <c r="D32" s="1101" t="s">
        <v>990</v>
      </c>
      <c r="E32" s="1101">
        <v>1.2130000000000001</v>
      </c>
      <c r="F32" s="1101" t="s">
        <v>825</v>
      </c>
      <c r="G32" s="1101">
        <v>3</v>
      </c>
      <c r="H32" s="1101">
        <v>3</v>
      </c>
      <c r="I32" s="1101">
        <f t="shared" si="0"/>
        <v>0</v>
      </c>
      <c r="J32" s="1101">
        <v>0</v>
      </c>
      <c r="K32" s="1101">
        <f t="shared" si="1"/>
        <v>3</v>
      </c>
      <c r="L32" s="1101">
        <v>0</v>
      </c>
      <c r="M32" s="1101">
        <f t="shared" si="2"/>
        <v>3</v>
      </c>
      <c r="N32" s="1101">
        <v>0</v>
      </c>
      <c r="O32" s="1101"/>
      <c r="P32" s="1101"/>
      <c r="Q32" s="1101"/>
      <c r="R32" s="1101" t="s">
        <v>986</v>
      </c>
      <c r="S32" s="1102"/>
      <c r="T32" s="1103">
        <v>4</v>
      </c>
      <c r="U32" s="1103">
        <v>6</v>
      </c>
      <c r="V32" s="1104">
        <v>0</v>
      </c>
      <c r="W32" s="1101"/>
    </row>
    <row r="33" spans="1:23" s="1105" customFormat="1" ht="19.95" customHeight="1" x14ac:dyDescent="0.3">
      <c r="A33" s="1101">
        <f t="shared" si="3"/>
        <v>32</v>
      </c>
      <c r="B33" s="1101" t="str">
        <f t="shared" si="4"/>
        <v>AP74</v>
      </c>
      <c r="C33" s="1101" t="s">
        <v>518</v>
      </c>
      <c r="D33" s="1101" t="s">
        <v>991</v>
      </c>
      <c r="E33" s="1101">
        <v>0.25</v>
      </c>
      <c r="F33" s="1101" t="s">
        <v>819</v>
      </c>
      <c r="G33" s="1101">
        <v>1</v>
      </c>
      <c r="H33" s="1101">
        <v>0</v>
      </c>
      <c r="I33" s="1101">
        <f t="shared" si="0"/>
        <v>1</v>
      </c>
      <c r="J33" s="1101">
        <v>0</v>
      </c>
      <c r="K33" s="1101">
        <f t="shared" si="1"/>
        <v>1</v>
      </c>
      <c r="L33" s="1101">
        <v>0</v>
      </c>
      <c r="M33" s="1101">
        <f t="shared" si="2"/>
        <v>1</v>
      </c>
      <c r="N33" s="1101">
        <v>0</v>
      </c>
      <c r="O33" s="1101"/>
      <c r="P33" s="1101"/>
      <c r="Q33" s="1101"/>
      <c r="R33" s="1101" t="s">
        <v>986</v>
      </c>
      <c r="S33" s="1102" t="s">
        <v>975</v>
      </c>
      <c r="T33" s="1104">
        <v>0</v>
      </c>
      <c r="U33" s="1103">
        <v>2</v>
      </c>
      <c r="V33" s="1104">
        <v>0</v>
      </c>
      <c r="W33" s="1101"/>
    </row>
    <row r="34" spans="1:23" s="1105" customFormat="1" ht="19.95" customHeight="1" x14ac:dyDescent="0.3">
      <c r="A34" s="1101">
        <f t="shared" si="3"/>
        <v>33</v>
      </c>
      <c r="B34" s="1101" t="str">
        <f t="shared" si="4"/>
        <v>AP75</v>
      </c>
      <c r="C34" s="1101" t="s">
        <v>520</v>
      </c>
      <c r="D34" s="1101" t="s">
        <v>992</v>
      </c>
      <c r="E34" s="1101">
        <v>1.601</v>
      </c>
      <c r="F34" s="1101" t="s">
        <v>825</v>
      </c>
      <c r="G34" s="1101">
        <v>4</v>
      </c>
      <c r="H34" s="1101">
        <v>3</v>
      </c>
      <c r="I34" s="1101">
        <f t="shared" si="0"/>
        <v>1</v>
      </c>
      <c r="J34" s="1101">
        <v>0</v>
      </c>
      <c r="K34" s="1101">
        <f t="shared" si="1"/>
        <v>4</v>
      </c>
      <c r="L34" s="1101">
        <v>0</v>
      </c>
      <c r="M34" s="1101">
        <f t="shared" si="2"/>
        <v>4</v>
      </c>
      <c r="N34" s="1101">
        <v>0</v>
      </c>
      <c r="O34" s="1101"/>
      <c r="P34" s="1101"/>
      <c r="Q34" s="1101"/>
      <c r="R34" s="1101" t="s">
        <v>986</v>
      </c>
      <c r="S34" s="1102"/>
      <c r="T34" s="1103">
        <v>5</v>
      </c>
      <c r="U34" s="1103">
        <v>2</v>
      </c>
      <c r="V34" s="1104">
        <v>0</v>
      </c>
      <c r="W34" s="1101"/>
    </row>
    <row r="35" spans="1:23" s="1105" customFormat="1" ht="19.95" customHeight="1" x14ac:dyDescent="0.3">
      <c r="A35" s="1101">
        <f t="shared" si="3"/>
        <v>34</v>
      </c>
      <c r="B35" s="1101" t="str">
        <f t="shared" si="4"/>
        <v>AP76</v>
      </c>
      <c r="C35" s="1101" t="s">
        <v>521</v>
      </c>
      <c r="D35" s="1101" t="s">
        <v>993</v>
      </c>
      <c r="E35" s="1101">
        <v>0.20599999999999999</v>
      </c>
      <c r="F35" s="1101" t="s">
        <v>819</v>
      </c>
      <c r="G35" s="1101">
        <v>1</v>
      </c>
      <c r="H35" s="1101">
        <v>1</v>
      </c>
      <c r="I35" s="1101">
        <f t="shared" si="0"/>
        <v>0</v>
      </c>
      <c r="J35" s="1101">
        <v>0</v>
      </c>
      <c r="K35" s="1101">
        <f t="shared" si="1"/>
        <v>1</v>
      </c>
      <c r="L35" s="1101">
        <v>0</v>
      </c>
      <c r="M35" s="1101">
        <f t="shared" si="2"/>
        <v>1</v>
      </c>
      <c r="N35" s="1101">
        <v>0</v>
      </c>
      <c r="O35" s="1101"/>
      <c r="P35" s="1101"/>
      <c r="Q35" s="1101"/>
      <c r="R35" s="1101" t="s">
        <v>986</v>
      </c>
      <c r="S35" s="1102" t="s">
        <v>967</v>
      </c>
      <c r="T35" s="1103">
        <v>1</v>
      </c>
      <c r="U35" s="1104">
        <v>0</v>
      </c>
      <c r="V35" s="1104">
        <v>0</v>
      </c>
      <c r="W35" s="1101"/>
    </row>
    <row r="36" spans="1:23" s="1105" customFormat="1" ht="19.95" customHeight="1" x14ac:dyDescent="0.3">
      <c r="A36" s="1101">
        <f t="shared" si="3"/>
        <v>35</v>
      </c>
      <c r="B36" s="1101" t="str">
        <f t="shared" si="4"/>
        <v>AP77</v>
      </c>
      <c r="C36" s="1101" t="s">
        <v>838</v>
      </c>
      <c r="D36" s="1101" t="s">
        <v>994</v>
      </c>
      <c r="E36" s="1101">
        <v>4.2610000000000001</v>
      </c>
      <c r="F36" s="1101" t="s">
        <v>825</v>
      </c>
      <c r="G36" s="1101">
        <v>11</v>
      </c>
      <c r="H36" s="1101">
        <v>10</v>
      </c>
      <c r="I36" s="1101">
        <f t="shared" si="0"/>
        <v>1</v>
      </c>
      <c r="J36" s="1101">
        <v>0</v>
      </c>
      <c r="K36" s="1101">
        <f t="shared" si="1"/>
        <v>11</v>
      </c>
      <c r="L36" s="1101">
        <v>7</v>
      </c>
      <c r="M36" s="1101">
        <f t="shared" si="2"/>
        <v>4</v>
      </c>
      <c r="N36" s="1101">
        <v>0</v>
      </c>
      <c r="O36" s="1101"/>
      <c r="P36" s="1101"/>
      <c r="Q36" s="1101"/>
      <c r="R36" s="1101" t="s">
        <v>986</v>
      </c>
      <c r="S36" s="1102"/>
      <c r="T36" s="1103">
        <v>5</v>
      </c>
      <c r="U36" s="1103">
        <v>6</v>
      </c>
      <c r="V36" s="1103">
        <v>1</v>
      </c>
      <c r="W36" s="1101"/>
    </row>
    <row r="37" spans="1:23" s="1105" customFormat="1" ht="19.95" customHeight="1" x14ac:dyDescent="0.3">
      <c r="A37" s="1101">
        <f t="shared" si="3"/>
        <v>36</v>
      </c>
      <c r="B37" s="1101" t="str">
        <f t="shared" si="4"/>
        <v>AP78</v>
      </c>
      <c r="C37" s="1101" t="s">
        <v>839</v>
      </c>
      <c r="D37" s="1101" t="s">
        <v>995</v>
      </c>
      <c r="E37" s="1101">
        <v>1.5549999999999999</v>
      </c>
      <c r="F37" s="1101" t="s">
        <v>825</v>
      </c>
      <c r="G37" s="1101">
        <v>4</v>
      </c>
      <c r="H37" s="1101">
        <v>3</v>
      </c>
      <c r="I37" s="1101">
        <f t="shared" si="0"/>
        <v>1</v>
      </c>
      <c r="J37" s="1101">
        <v>0</v>
      </c>
      <c r="K37" s="1101">
        <f t="shared" si="1"/>
        <v>4</v>
      </c>
      <c r="L37" s="1101">
        <v>0</v>
      </c>
      <c r="M37" s="1101">
        <f t="shared" si="2"/>
        <v>4</v>
      </c>
      <c r="N37" s="1101">
        <v>0</v>
      </c>
      <c r="O37" s="1101"/>
      <c r="P37" s="1101"/>
      <c r="Q37" s="1101"/>
      <c r="R37" s="1101" t="s">
        <v>986</v>
      </c>
      <c r="S37" s="1102"/>
      <c r="T37" s="1103">
        <v>1</v>
      </c>
      <c r="U37" s="1103">
        <v>3</v>
      </c>
      <c r="V37" s="1104">
        <v>0</v>
      </c>
      <c r="W37" s="1101"/>
    </row>
    <row r="38" spans="1:23" s="1105" customFormat="1" ht="19.95" customHeight="1" x14ac:dyDescent="0.3">
      <c r="A38" s="1101">
        <f t="shared" si="3"/>
        <v>37</v>
      </c>
      <c r="B38" s="1101" t="str">
        <f t="shared" si="4"/>
        <v>AP79</v>
      </c>
      <c r="C38" s="1101" t="s">
        <v>840</v>
      </c>
      <c r="D38" s="1101" t="s">
        <v>996</v>
      </c>
      <c r="E38" s="1101">
        <v>1.5780000000000001</v>
      </c>
      <c r="F38" s="1101" t="s">
        <v>825</v>
      </c>
      <c r="G38" s="1101">
        <v>4</v>
      </c>
      <c r="H38" s="1101">
        <v>3</v>
      </c>
      <c r="I38" s="1101">
        <f t="shared" si="0"/>
        <v>1</v>
      </c>
      <c r="J38" s="1101">
        <v>0</v>
      </c>
      <c r="K38" s="1101">
        <f t="shared" si="1"/>
        <v>4</v>
      </c>
      <c r="L38" s="1101">
        <v>2</v>
      </c>
      <c r="M38" s="1101">
        <f t="shared" si="2"/>
        <v>2</v>
      </c>
      <c r="N38" s="1101">
        <v>0</v>
      </c>
      <c r="O38" s="1101"/>
      <c r="P38" s="1101"/>
      <c r="Q38" s="1101"/>
      <c r="R38" s="1101" t="s">
        <v>986</v>
      </c>
      <c r="S38" s="1102"/>
      <c r="T38" s="1103">
        <v>2</v>
      </c>
      <c r="U38" s="1103">
        <v>2</v>
      </c>
      <c r="V38" s="1104">
        <v>0</v>
      </c>
      <c r="W38" s="1101"/>
    </row>
    <row r="39" spans="1:23" s="1105" customFormat="1" ht="19.95" customHeight="1" x14ac:dyDescent="0.3">
      <c r="A39" s="1101">
        <f t="shared" si="3"/>
        <v>38</v>
      </c>
      <c r="B39" s="1101" t="str">
        <f t="shared" si="4"/>
        <v>AP80</v>
      </c>
      <c r="C39" s="1101" t="s">
        <v>997</v>
      </c>
      <c r="D39" s="1101" t="s">
        <v>998</v>
      </c>
      <c r="E39" s="1101">
        <v>1.2829999999999999</v>
      </c>
      <c r="F39" s="1101" t="s">
        <v>825</v>
      </c>
      <c r="G39" s="1101">
        <v>3</v>
      </c>
      <c r="H39" s="1101">
        <v>2</v>
      </c>
      <c r="I39" s="1101">
        <f t="shared" si="0"/>
        <v>1</v>
      </c>
      <c r="J39" s="1101">
        <v>0</v>
      </c>
      <c r="K39" s="1101">
        <f t="shared" si="1"/>
        <v>3</v>
      </c>
      <c r="L39" s="1101">
        <v>1</v>
      </c>
      <c r="M39" s="1101">
        <f t="shared" si="2"/>
        <v>2</v>
      </c>
      <c r="N39" s="1101">
        <v>0</v>
      </c>
      <c r="O39" s="1101"/>
      <c r="P39" s="1101"/>
      <c r="Q39" s="1101"/>
      <c r="R39" s="1101" t="s">
        <v>986</v>
      </c>
      <c r="S39" s="1102"/>
      <c r="T39" s="1103">
        <v>2</v>
      </c>
      <c r="U39" s="1103">
        <v>1</v>
      </c>
      <c r="V39" s="1104">
        <v>0</v>
      </c>
      <c r="W39" s="1101"/>
    </row>
    <row r="40" spans="1:23" s="1105" customFormat="1" ht="19.95" customHeight="1" x14ac:dyDescent="0.3">
      <c r="A40" s="1101">
        <f t="shared" si="3"/>
        <v>39</v>
      </c>
      <c r="B40" s="1101" t="str">
        <f t="shared" si="4"/>
        <v>AP80/3</v>
      </c>
      <c r="C40" s="1101" t="s">
        <v>841</v>
      </c>
      <c r="D40" s="1101" t="s">
        <v>999</v>
      </c>
      <c r="E40" s="1101">
        <v>1.2130000000000001</v>
      </c>
      <c r="F40" s="1101" t="s">
        <v>825</v>
      </c>
      <c r="G40" s="1101">
        <v>3</v>
      </c>
      <c r="H40" s="1101">
        <v>2</v>
      </c>
      <c r="I40" s="1101">
        <f t="shared" si="0"/>
        <v>1</v>
      </c>
      <c r="J40" s="1101">
        <v>1</v>
      </c>
      <c r="K40" s="1101">
        <f t="shared" si="1"/>
        <v>3</v>
      </c>
      <c r="L40" s="1101">
        <v>1</v>
      </c>
      <c r="M40" s="1101">
        <f t="shared" si="2"/>
        <v>2</v>
      </c>
      <c r="N40" s="1101">
        <v>0</v>
      </c>
      <c r="O40" s="1101"/>
      <c r="P40" s="1101"/>
      <c r="Q40" s="1101"/>
      <c r="R40" s="1101" t="s">
        <v>986</v>
      </c>
      <c r="S40" s="1102"/>
      <c r="T40" s="1103">
        <v>3</v>
      </c>
      <c r="U40" s="1103">
        <v>2</v>
      </c>
      <c r="V40" s="1103">
        <v>1</v>
      </c>
      <c r="W40" s="1101"/>
    </row>
    <row r="41" spans="1:23" s="1105" customFormat="1" ht="19.95" customHeight="1" x14ac:dyDescent="0.3">
      <c r="A41" s="1101">
        <f t="shared" si="3"/>
        <v>40</v>
      </c>
      <c r="B41" s="1101" t="str">
        <f t="shared" si="4"/>
        <v>AP81</v>
      </c>
      <c r="C41" s="1101" t="s">
        <v>842</v>
      </c>
      <c r="D41" s="1101" t="s">
        <v>1000</v>
      </c>
      <c r="E41" s="1101">
        <v>1.6439999999999999</v>
      </c>
      <c r="F41" s="1101" t="s">
        <v>825</v>
      </c>
      <c r="G41" s="1101">
        <v>4</v>
      </c>
      <c r="H41" s="1101">
        <v>2</v>
      </c>
      <c r="I41" s="1101">
        <f t="shared" si="0"/>
        <v>2</v>
      </c>
      <c r="J41" s="1101">
        <v>0</v>
      </c>
      <c r="K41" s="1101">
        <f t="shared" si="1"/>
        <v>4</v>
      </c>
      <c r="L41" s="1101">
        <v>1</v>
      </c>
      <c r="M41" s="1101">
        <f t="shared" si="2"/>
        <v>3</v>
      </c>
      <c r="N41" s="1101">
        <v>0</v>
      </c>
      <c r="O41" s="1101"/>
      <c r="P41" s="1101"/>
      <c r="Q41" s="1101"/>
      <c r="R41" s="1101" t="s">
        <v>986</v>
      </c>
      <c r="S41" s="1102"/>
      <c r="T41" s="1103">
        <v>4</v>
      </c>
      <c r="U41" s="1103">
        <v>3</v>
      </c>
      <c r="V41" s="1104">
        <v>0</v>
      </c>
      <c r="W41" s="1101"/>
    </row>
    <row r="42" spans="1:23" s="1105" customFormat="1" ht="19.95" customHeight="1" x14ac:dyDescent="0.3">
      <c r="A42" s="1101">
        <f t="shared" si="3"/>
        <v>41</v>
      </c>
      <c r="B42" s="1101" t="str">
        <f t="shared" si="4"/>
        <v>AP82</v>
      </c>
      <c r="C42" s="1101" t="s">
        <v>843</v>
      </c>
      <c r="D42" s="1101" t="s">
        <v>1001</v>
      </c>
      <c r="E42" s="1101">
        <v>1.2809999999999999</v>
      </c>
      <c r="F42" s="1101" t="s">
        <v>825</v>
      </c>
      <c r="G42" s="1101">
        <v>3</v>
      </c>
      <c r="H42" s="1101">
        <v>2</v>
      </c>
      <c r="I42" s="1101">
        <f t="shared" si="0"/>
        <v>1</v>
      </c>
      <c r="J42" s="1101">
        <v>1</v>
      </c>
      <c r="K42" s="1101">
        <f t="shared" si="1"/>
        <v>3</v>
      </c>
      <c r="L42" s="1101">
        <v>1</v>
      </c>
      <c r="M42" s="1101">
        <f t="shared" si="2"/>
        <v>2</v>
      </c>
      <c r="N42" s="1101">
        <v>0</v>
      </c>
      <c r="O42" s="1101"/>
      <c r="P42" s="1101"/>
      <c r="Q42" s="1101"/>
      <c r="R42" s="1101" t="s">
        <v>986</v>
      </c>
      <c r="S42" s="1102"/>
      <c r="T42" s="1103">
        <v>1</v>
      </c>
      <c r="U42" s="1103">
        <v>2</v>
      </c>
      <c r="V42" s="1104">
        <v>0</v>
      </c>
      <c r="W42" s="1101"/>
    </row>
    <row r="43" spans="1:23" s="1105" customFormat="1" ht="19.95" customHeight="1" x14ac:dyDescent="0.3">
      <c r="A43" s="1101">
        <f t="shared" si="3"/>
        <v>42</v>
      </c>
      <c r="B43" s="1101" t="str">
        <f t="shared" si="4"/>
        <v>AP83</v>
      </c>
      <c r="C43" s="1101" t="s">
        <v>844</v>
      </c>
      <c r="D43" s="1101" t="s">
        <v>1002</v>
      </c>
      <c r="E43" s="1101">
        <v>1.153</v>
      </c>
      <c r="F43" s="1101" t="s">
        <v>825</v>
      </c>
      <c r="G43" s="1101">
        <v>3</v>
      </c>
      <c r="H43" s="1101">
        <v>2</v>
      </c>
      <c r="I43" s="1101">
        <f t="shared" si="0"/>
        <v>1</v>
      </c>
      <c r="J43" s="1101">
        <v>0</v>
      </c>
      <c r="K43" s="1101">
        <f t="shared" si="1"/>
        <v>3</v>
      </c>
      <c r="L43" s="1101">
        <v>1</v>
      </c>
      <c r="M43" s="1101">
        <f t="shared" si="2"/>
        <v>2</v>
      </c>
      <c r="N43" s="1101">
        <v>0</v>
      </c>
      <c r="O43" s="1101"/>
      <c r="P43" s="1101"/>
      <c r="Q43" s="1101"/>
      <c r="R43" s="1101" t="s">
        <v>986</v>
      </c>
      <c r="S43" s="1102"/>
      <c r="T43" s="1103">
        <v>1</v>
      </c>
      <c r="U43" s="1103">
        <v>2</v>
      </c>
      <c r="V43" s="1104">
        <v>0</v>
      </c>
      <c r="W43" s="1101"/>
    </row>
    <row r="44" spans="1:23" s="1105" customFormat="1" ht="19.95" customHeight="1" x14ac:dyDescent="0.3">
      <c r="A44" s="1101">
        <f t="shared" si="3"/>
        <v>43</v>
      </c>
      <c r="B44" s="1101" t="str">
        <f t="shared" si="4"/>
        <v>AP84</v>
      </c>
      <c r="C44" s="1101" t="s">
        <v>845</v>
      </c>
      <c r="D44" s="1101" t="s">
        <v>1003</v>
      </c>
      <c r="E44" s="1101">
        <v>2.7389999999999999</v>
      </c>
      <c r="F44" s="1101" t="s">
        <v>825</v>
      </c>
      <c r="G44" s="1101">
        <v>7</v>
      </c>
      <c r="H44" s="1101">
        <v>6</v>
      </c>
      <c r="I44" s="1101">
        <f t="shared" si="0"/>
        <v>1</v>
      </c>
      <c r="J44" s="1101">
        <v>0</v>
      </c>
      <c r="K44" s="1101">
        <f t="shared" si="1"/>
        <v>7</v>
      </c>
      <c r="L44" s="1101">
        <v>5</v>
      </c>
      <c r="M44" s="1101">
        <f t="shared" si="2"/>
        <v>2</v>
      </c>
      <c r="N44" s="1101">
        <v>0</v>
      </c>
      <c r="O44" s="1101"/>
      <c r="P44" s="1101"/>
      <c r="Q44" s="1101"/>
      <c r="R44" s="1101" t="s">
        <v>986</v>
      </c>
      <c r="S44" s="1102"/>
      <c r="T44" s="1103">
        <v>2</v>
      </c>
      <c r="U44" s="1103">
        <v>3</v>
      </c>
      <c r="V44" s="1104">
        <v>0</v>
      </c>
      <c r="W44" s="1101"/>
    </row>
    <row r="45" spans="1:23" s="1105" customFormat="1" ht="19.95" customHeight="1" x14ac:dyDescent="0.3">
      <c r="A45" s="1101">
        <f t="shared" si="3"/>
        <v>44</v>
      </c>
      <c r="B45" s="1101" t="str">
        <f t="shared" si="4"/>
        <v>AP85</v>
      </c>
      <c r="C45" s="1101" t="s">
        <v>846</v>
      </c>
      <c r="D45" s="1101" t="s">
        <v>1004</v>
      </c>
      <c r="E45" s="1101">
        <v>1.8149999999999999</v>
      </c>
      <c r="F45" s="1101" t="s">
        <v>825</v>
      </c>
      <c r="G45" s="1101">
        <v>5</v>
      </c>
      <c r="H45" s="1101">
        <v>2</v>
      </c>
      <c r="I45" s="1101">
        <f t="shared" si="0"/>
        <v>3</v>
      </c>
      <c r="J45" s="1101">
        <v>0</v>
      </c>
      <c r="K45" s="1101">
        <f t="shared" si="1"/>
        <v>5</v>
      </c>
      <c r="L45" s="1101">
        <v>2</v>
      </c>
      <c r="M45" s="1101">
        <f t="shared" si="2"/>
        <v>3</v>
      </c>
      <c r="N45" s="1101">
        <v>0</v>
      </c>
      <c r="O45" s="1101"/>
      <c r="P45" s="1101"/>
      <c r="Q45" s="1101"/>
      <c r="R45" s="1101" t="s">
        <v>986</v>
      </c>
      <c r="S45" s="1102"/>
      <c r="T45" s="1103">
        <v>2</v>
      </c>
      <c r="U45" s="1103">
        <v>4</v>
      </c>
      <c r="V45" s="1103">
        <v>1</v>
      </c>
      <c r="W45" s="1101"/>
    </row>
    <row r="46" spans="1:23" s="1105" customFormat="1" ht="19.95" customHeight="1" x14ac:dyDescent="0.3">
      <c r="A46" s="1101">
        <f t="shared" si="3"/>
        <v>45</v>
      </c>
      <c r="B46" s="1101" t="str">
        <f t="shared" si="4"/>
        <v>AP86</v>
      </c>
      <c r="C46" s="1101" t="s">
        <v>847</v>
      </c>
      <c r="D46" s="1101" t="s">
        <v>1005</v>
      </c>
      <c r="E46" s="1101">
        <v>0.75900000000000001</v>
      </c>
      <c r="F46" s="1101" t="s">
        <v>819</v>
      </c>
      <c r="G46" s="1101">
        <v>2</v>
      </c>
      <c r="H46" s="1101">
        <v>0</v>
      </c>
      <c r="I46" s="1101">
        <f t="shared" si="0"/>
        <v>2</v>
      </c>
      <c r="J46" s="1101">
        <v>0</v>
      </c>
      <c r="K46" s="1101">
        <f t="shared" si="1"/>
        <v>2</v>
      </c>
      <c r="L46" s="1101">
        <v>0</v>
      </c>
      <c r="M46" s="1101">
        <f>K46-L46</f>
        <v>2</v>
      </c>
      <c r="N46" s="1101">
        <v>0</v>
      </c>
      <c r="O46" s="1101"/>
      <c r="P46" s="1101"/>
      <c r="Q46" s="1101"/>
      <c r="R46" s="1101" t="s">
        <v>986</v>
      </c>
      <c r="S46" s="1102"/>
      <c r="T46" s="1103">
        <v>2</v>
      </c>
      <c r="U46" s="1103">
        <v>1</v>
      </c>
      <c r="V46" s="1104">
        <v>0</v>
      </c>
      <c r="W46" s="1101"/>
    </row>
    <row r="47" spans="1:23" s="1105" customFormat="1" ht="19.95" customHeight="1" x14ac:dyDescent="0.3">
      <c r="A47" s="1101">
        <f t="shared" si="3"/>
        <v>46</v>
      </c>
      <c r="B47" s="1101" t="str">
        <f t="shared" si="4"/>
        <v>AP87</v>
      </c>
      <c r="C47" s="1101" t="s">
        <v>523</v>
      </c>
      <c r="D47" s="1101" t="s">
        <v>1006</v>
      </c>
      <c r="E47" s="1101">
        <v>0.46800000000000003</v>
      </c>
      <c r="F47" s="1101" t="s">
        <v>819</v>
      </c>
      <c r="G47" s="1101">
        <v>1</v>
      </c>
      <c r="H47" s="1101">
        <v>0</v>
      </c>
      <c r="I47" s="1101">
        <f t="shared" si="0"/>
        <v>1</v>
      </c>
      <c r="J47" s="1101">
        <v>0</v>
      </c>
      <c r="K47" s="1101">
        <f t="shared" si="1"/>
        <v>1</v>
      </c>
      <c r="L47" s="1101">
        <v>0</v>
      </c>
      <c r="M47" s="1101">
        <f t="shared" si="2"/>
        <v>1</v>
      </c>
      <c r="N47" s="1101">
        <v>0</v>
      </c>
      <c r="O47" s="1101"/>
      <c r="P47" s="1101"/>
      <c r="Q47" s="1101"/>
      <c r="R47" s="1101" t="s">
        <v>986</v>
      </c>
      <c r="S47" s="1102"/>
      <c r="T47" s="1103">
        <v>2</v>
      </c>
      <c r="U47" s="1104">
        <v>0</v>
      </c>
      <c r="V47" s="1104">
        <v>0</v>
      </c>
      <c r="W47" s="1101"/>
    </row>
    <row r="48" spans="1:23" s="1105" customFormat="1" ht="19.95" customHeight="1" x14ac:dyDescent="0.3">
      <c r="A48" s="1101">
        <f t="shared" si="3"/>
        <v>47</v>
      </c>
      <c r="B48" s="1101" t="str">
        <f t="shared" si="4"/>
        <v>AP88</v>
      </c>
      <c r="C48" s="1101" t="s">
        <v>524</v>
      </c>
      <c r="D48" s="1101" t="s">
        <v>1007</v>
      </c>
      <c r="E48" s="1101">
        <v>0.28699999999999998</v>
      </c>
      <c r="F48" s="1101" t="s">
        <v>819</v>
      </c>
      <c r="G48" s="1101">
        <v>1</v>
      </c>
      <c r="H48" s="1101">
        <v>0</v>
      </c>
      <c r="I48" s="1101">
        <f t="shared" si="0"/>
        <v>1</v>
      </c>
      <c r="J48" s="1101">
        <v>0</v>
      </c>
      <c r="K48" s="1101">
        <f t="shared" si="1"/>
        <v>1</v>
      </c>
      <c r="L48" s="1101">
        <v>0</v>
      </c>
      <c r="M48" s="1101">
        <f t="shared" si="2"/>
        <v>1</v>
      </c>
      <c r="N48" s="1101">
        <v>0</v>
      </c>
      <c r="O48" s="1101"/>
      <c r="P48" s="1101"/>
      <c r="Q48" s="1101"/>
      <c r="R48" s="1101" t="s">
        <v>986</v>
      </c>
      <c r="S48" s="1102" t="s">
        <v>1008</v>
      </c>
      <c r="T48" s="1104">
        <v>0</v>
      </c>
      <c r="U48" s="1103">
        <v>1</v>
      </c>
      <c r="V48" s="1104">
        <v>0</v>
      </c>
      <c r="W48" s="1101"/>
    </row>
    <row r="49" spans="1:23" s="1105" customFormat="1" ht="19.95" customHeight="1" x14ac:dyDescent="0.3">
      <c r="A49" s="1101">
        <f t="shared" si="3"/>
        <v>48</v>
      </c>
      <c r="B49" s="1101" t="str">
        <f t="shared" si="4"/>
        <v>AP89</v>
      </c>
      <c r="C49" s="1101" t="s">
        <v>848</v>
      </c>
      <c r="D49" s="1101" t="s">
        <v>1009</v>
      </c>
      <c r="E49" s="1101">
        <v>0.76800000000000002</v>
      </c>
      <c r="F49" s="1101" t="s">
        <v>819</v>
      </c>
      <c r="G49" s="1101">
        <v>2</v>
      </c>
      <c r="H49" s="1101">
        <v>1</v>
      </c>
      <c r="I49" s="1101">
        <f t="shared" si="0"/>
        <v>1</v>
      </c>
      <c r="J49" s="1101">
        <v>0</v>
      </c>
      <c r="K49" s="1101">
        <f t="shared" si="1"/>
        <v>2</v>
      </c>
      <c r="L49" s="1101">
        <v>0</v>
      </c>
      <c r="M49" s="1101">
        <f t="shared" si="2"/>
        <v>2</v>
      </c>
      <c r="N49" s="1101">
        <v>0</v>
      </c>
      <c r="O49" s="1101"/>
      <c r="P49" s="1101"/>
      <c r="Q49" s="1101"/>
      <c r="R49" s="1101" t="s">
        <v>986</v>
      </c>
      <c r="S49" s="1102"/>
      <c r="T49" s="1103">
        <v>2</v>
      </c>
      <c r="U49" s="1103">
        <v>2</v>
      </c>
      <c r="V49" s="1104">
        <v>0</v>
      </c>
      <c r="W49" s="1101"/>
    </row>
    <row r="50" spans="1:23" s="1105" customFormat="1" ht="19.95" customHeight="1" x14ac:dyDescent="0.3">
      <c r="A50" s="1101">
        <f t="shared" si="3"/>
        <v>49</v>
      </c>
      <c r="B50" s="1101" t="str">
        <f t="shared" si="4"/>
        <v>AP90</v>
      </c>
      <c r="C50" s="1101" t="s">
        <v>1010</v>
      </c>
      <c r="D50" s="1101" t="s">
        <v>1011</v>
      </c>
      <c r="E50" s="1101">
        <v>1.9790000000000001</v>
      </c>
      <c r="F50" s="1101" t="s">
        <v>825</v>
      </c>
      <c r="G50" s="1101">
        <v>5</v>
      </c>
      <c r="H50" s="1101">
        <v>1</v>
      </c>
      <c r="I50" s="1101">
        <f t="shared" si="0"/>
        <v>4</v>
      </c>
      <c r="J50" s="1101">
        <v>0</v>
      </c>
      <c r="K50" s="1101">
        <f t="shared" si="1"/>
        <v>5</v>
      </c>
      <c r="L50" s="1101">
        <v>0</v>
      </c>
      <c r="M50" s="1101">
        <f t="shared" si="2"/>
        <v>5</v>
      </c>
      <c r="N50" s="1101">
        <v>0</v>
      </c>
      <c r="O50" s="1101"/>
      <c r="P50" s="1101"/>
      <c r="Q50" s="1101"/>
      <c r="R50" s="1101" t="s">
        <v>986</v>
      </c>
      <c r="S50" s="1102"/>
      <c r="T50" s="1103">
        <v>1</v>
      </c>
      <c r="U50" s="1103">
        <v>4</v>
      </c>
      <c r="V50" s="1104">
        <v>0</v>
      </c>
      <c r="W50" s="1101"/>
    </row>
    <row r="51" spans="1:23" s="1105" customFormat="1" ht="19.95" customHeight="1" x14ac:dyDescent="0.3">
      <c r="A51" s="1101">
        <f t="shared" si="3"/>
        <v>50</v>
      </c>
      <c r="B51" s="1101" t="str">
        <f t="shared" si="4"/>
        <v>AP90/5</v>
      </c>
      <c r="C51" s="1101" t="s">
        <v>849</v>
      </c>
      <c r="D51" s="1101" t="s">
        <v>1012</v>
      </c>
      <c r="E51" s="1101">
        <v>0.48</v>
      </c>
      <c r="F51" s="1101" t="s">
        <v>819</v>
      </c>
      <c r="G51" s="1101">
        <v>1</v>
      </c>
      <c r="H51" s="1101">
        <v>0</v>
      </c>
      <c r="I51" s="1101">
        <f t="shared" si="0"/>
        <v>1</v>
      </c>
      <c r="J51" s="1101">
        <v>0</v>
      </c>
      <c r="K51" s="1101">
        <f t="shared" si="1"/>
        <v>1</v>
      </c>
      <c r="L51" s="1101">
        <v>0</v>
      </c>
      <c r="M51" s="1101">
        <f t="shared" si="2"/>
        <v>1</v>
      </c>
      <c r="N51" s="1101">
        <v>0</v>
      </c>
      <c r="O51" s="1101"/>
      <c r="P51" s="1101"/>
      <c r="Q51" s="1101"/>
      <c r="R51" s="1101" t="s">
        <v>986</v>
      </c>
      <c r="S51" s="1102"/>
      <c r="T51" s="1104">
        <v>0</v>
      </c>
      <c r="U51" s="1103">
        <v>2</v>
      </c>
      <c r="V51" s="1103">
        <v>1</v>
      </c>
      <c r="W51" s="1101"/>
    </row>
    <row r="52" spans="1:23" s="1105" customFormat="1" ht="19.95" customHeight="1" x14ac:dyDescent="0.3">
      <c r="A52" s="1101">
        <f t="shared" si="3"/>
        <v>51</v>
      </c>
      <c r="B52" s="1101" t="str">
        <f t="shared" si="4"/>
        <v>AP91</v>
      </c>
      <c r="C52" s="1101" t="s">
        <v>850</v>
      </c>
      <c r="D52" s="1101" t="s">
        <v>1013</v>
      </c>
      <c r="E52" s="1101">
        <v>1.1419999999999999</v>
      </c>
      <c r="F52" s="1101" t="s">
        <v>825</v>
      </c>
      <c r="G52" s="1101">
        <v>3</v>
      </c>
      <c r="H52" s="1101">
        <v>0</v>
      </c>
      <c r="I52" s="1101">
        <f t="shared" si="0"/>
        <v>3</v>
      </c>
      <c r="J52" s="1101">
        <v>0</v>
      </c>
      <c r="K52" s="1101">
        <f t="shared" si="1"/>
        <v>3</v>
      </c>
      <c r="L52" s="1101">
        <v>0</v>
      </c>
      <c r="M52" s="1101">
        <f t="shared" si="2"/>
        <v>3</v>
      </c>
      <c r="N52" s="1101">
        <v>0</v>
      </c>
      <c r="O52" s="1101"/>
      <c r="P52" s="1101"/>
      <c r="Q52" s="1101"/>
      <c r="R52" s="1101" t="s">
        <v>986</v>
      </c>
      <c r="S52" s="1102"/>
      <c r="T52" s="1103">
        <v>1</v>
      </c>
      <c r="U52" s="1103">
        <v>1</v>
      </c>
      <c r="V52" s="1104">
        <v>0</v>
      </c>
      <c r="W52" s="1101"/>
    </row>
    <row r="53" spans="1:23" s="1105" customFormat="1" ht="19.95" customHeight="1" x14ac:dyDescent="0.3">
      <c r="A53" s="1101">
        <f t="shared" si="3"/>
        <v>52</v>
      </c>
      <c r="B53" s="1101" t="str">
        <f t="shared" si="4"/>
        <v>AP92</v>
      </c>
      <c r="C53" s="1101" t="s">
        <v>1014</v>
      </c>
      <c r="D53" s="1101" t="s">
        <v>1015</v>
      </c>
      <c r="E53" s="1101">
        <v>0.46700000000000003</v>
      </c>
      <c r="F53" s="1101" t="s">
        <v>819</v>
      </c>
      <c r="G53" s="1101">
        <v>1</v>
      </c>
      <c r="H53" s="1101">
        <v>0</v>
      </c>
      <c r="I53" s="1101">
        <f t="shared" si="0"/>
        <v>1</v>
      </c>
      <c r="J53" s="1101">
        <v>0</v>
      </c>
      <c r="K53" s="1101">
        <f t="shared" si="1"/>
        <v>1</v>
      </c>
      <c r="L53" s="1101">
        <v>0</v>
      </c>
      <c r="M53" s="1101">
        <f t="shared" si="2"/>
        <v>1</v>
      </c>
      <c r="N53" s="1101">
        <v>0</v>
      </c>
      <c r="O53" s="1101"/>
      <c r="P53" s="1101"/>
      <c r="Q53" s="1101"/>
      <c r="R53" s="1101" t="s">
        <v>986</v>
      </c>
      <c r="S53" s="1102"/>
      <c r="T53" s="1103">
        <v>1</v>
      </c>
      <c r="U53" s="1104">
        <v>0</v>
      </c>
      <c r="V53" s="1104">
        <v>0</v>
      </c>
      <c r="W53" s="1101"/>
    </row>
    <row r="54" spans="1:23" s="1105" customFormat="1" ht="19.95" customHeight="1" x14ac:dyDescent="0.3">
      <c r="A54" s="1101">
        <f t="shared" si="3"/>
        <v>53</v>
      </c>
      <c r="B54" s="1101" t="str">
        <f t="shared" si="4"/>
        <v>AP92/1</v>
      </c>
      <c r="C54" s="1101" t="s">
        <v>851</v>
      </c>
      <c r="D54" s="1101" t="s">
        <v>1016</v>
      </c>
      <c r="E54" s="1101">
        <v>0.754</v>
      </c>
      <c r="F54" s="1101" t="s">
        <v>819</v>
      </c>
      <c r="G54" s="1101">
        <v>2</v>
      </c>
      <c r="H54" s="1101">
        <v>0</v>
      </c>
      <c r="I54" s="1101">
        <f t="shared" si="0"/>
        <v>2</v>
      </c>
      <c r="J54" s="1101">
        <v>0</v>
      </c>
      <c r="K54" s="1101">
        <f t="shared" si="1"/>
        <v>2</v>
      </c>
      <c r="L54" s="1101">
        <v>0</v>
      </c>
      <c r="M54" s="1101">
        <f t="shared" si="2"/>
        <v>2</v>
      </c>
      <c r="N54" s="1101" t="s">
        <v>1017</v>
      </c>
      <c r="O54" s="1101"/>
      <c r="P54" s="1101"/>
      <c r="Q54" s="1101"/>
      <c r="R54" s="1101" t="s">
        <v>986</v>
      </c>
      <c r="S54" s="1102"/>
      <c r="T54" s="1103">
        <v>1</v>
      </c>
      <c r="U54" s="1104">
        <v>0</v>
      </c>
      <c r="V54" s="1104">
        <v>0</v>
      </c>
      <c r="W54" s="1101"/>
    </row>
    <row r="55" spans="1:23" s="1105" customFormat="1" ht="19.95" customHeight="1" x14ac:dyDescent="0.3">
      <c r="A55" s="1101">
        <f t="shared" si="3"/>
        <v>54</v>
      </c>
      <c r="B55" s="1101" t="str">
        <f t="shared" si="4"/>
        <v>AP93</v>
      </c>
      <c r="C55" s="1101" t="s">
        <v>1018</v>
      </c>
      <c r="D55" s="1101" t="s">
        <v>1019</v>
      </c>
      <c r="E55" s="1101">
        <v>1.306</v>
      </c>
      <c r="F55" s="1101" t="s">
        <v>825</v>
      </c>
      <c r="G55" s="1101">
        <v>3</v>
      </c>
      <c r="H55" s="1101">
        <v>0</v>
      </c>
      <c r="I55" s="1101">
        <f t="shared" si="0"/>
        <v>3</v>
      </c>
      <c r="J55" s="1101">
        <v>0</v>
      </c>
      <c r="K55" s="1101">
        <f t="shared" si="1"/>
        <v>3</v>
      </c>
      <c r="L55" s="1101">
        <v>0</v>
      </c>
      <c r="M55" s="1101">
        <f t="shared" si="2"/>
        <v>3</v>
      </c>
      <c r="N55" s="1101">
        <v>0</v>
      </c>
      <c r="O55" s="1101"/>
      <c r="P55" s="1101"/>
      <c r="Q55" s="1101"/>
      <c r="R55" s="1101" t="s">
        <v>986</v>
      </c>
      <c r="S55" s="1102"/>
      <c r="T55" s="1108">
        <v>3</v>
      </c>
      <c r="U55" s="1108">
        <v>1</v>
      </c>
      <c r="V55" s="1104">
        <v>0</v>
      </c>
      <c r="W55" s="1101"/>
    </row>
    <row r="56" spans="1:23" s="1105" customFormat="1" ht="19.95" customHeight="1" x14ac:dyDescent="0.3">
      <c r="A56" s="1101">
        <f t="shared" si="3"/>
        <v>55</v>
      </c>
      <c r="B56" s="1101" t="str">
        <f t="shared" si="4"/>
        <v>AP93/3</v>
      </c>
      <c r="C56" s="1101" t="s">
        <v>852</v>
      </c>
      <c r="D56" s="1101" t="s">
        <v>1020</v>
      </c>
      <c r="E56" s="1101">
        <v>0.42099999999999999</v>
      </c>
      <c r="F56" s="1101" t="s">
        <v>819</v>
      </c>
      <c r="G56" s="1101">
        <v>1</v>
      </c>
      <c r="H56" s="1101">
        <v>0</v>
      </c>
      <c r="I56" s="1101">
        <f t="shared" si="0"/>
        <v>1</v>
      </c>
      <c r="J56" s="1101">
        <v>0</v>
      </c>
      <c r="K56" s="1101">
        <f t="shared" si="1"/>
        <v>1</v>
      </c>
      <c r="L56" s="1101">
        <v>0</v>
      </c>
      <c r="M56" s="1101">
        <f t="shared" si="2"/>
        <v>1</v>
      </c>
      <c r="N56" s="1101">
        <v>0</v>
      </c>
      <c r="O56" s="1101"/>
      <c r="P56" s="1101"/>
      <c r="Q56" s="1101"/>
      <c r="R56" s="1101" t="s">
        <v>986</v>
      </c>
      <c r="S56" s="1102"/>
      <c r="T56" s="1104">
        <v>0</v>
      </c>
      <c r="U56" s="1104">
        <v>0</v>
      </c>
      <c r="V56" s="1104">
        <v>0</v>
      </c>
      <c r="W56" s="1101"/>
    </row>
    <row r="57" spans="1:23" s="1105" customFormat="1" ht="19.95" customHeight="1" x14ac:dyDescent="0.3">
      <c r="A57" s="1101">
        <f t="shared" si="3"/>
        <v>56</v>
      </c>
      <c r="B57" s="1101" t="str">
        <f t="shared" si="4"/>
        <v>AP94</v>
      </c>
      <c r="C57" s="1101" t="s">
        <v>1021</v>
      </c>
      <c r="D57" s="1101" t="s">
        <v>1022</v>
      </c>
      <c r="E57" s="1101">
        <v>1.262</v>
      </c>
      <c r="F57" s="1101" t="s">
        <v>825</v>
      </c>
      <c r="G57" s="1101">
        <v>3</v>
      </c>
      <c r="H57" s="1101">
        <v>1</v>
      </c>
      <c r="I57" s="1101">
        <f t="shared" si="0"/>
        <v>2</v>
      </c>
      <c r="J57" s="1101">
        <v>0</v>
      </c>
      <c r="K57" s="1101">
        <f t="shared" si="1"/>
        <v>3</v>
      </c>
      <c r="L57" s="1101">
        <v>0</v>
      </c>
      <c r="M57" s="1101">
        <f t="shared" si="2"/>
        <v>3</v>
      </c>
      <c r="N57" s="1101">
        <v>0</v>
      </c>
      <c r="O57" s="1101"/>
      <c r="P57" s="1101"/>
      <c r="Q57" s="1101"/>
      <c r="R57" s="1101" t="s">
        <v>986</v>
      </c>
      <c r="S57" s="1102"/>
      <c r="T57" s="1103">
        <v>2</v>
      </c>
      <c r="U57" s="1103">
        <v>4</v>
      </c>
      <c r="V57" s="1104">
        <v>0</v>
      </c>
      <c r="W57" s="1101"/>
    </row>
    <row r="58" spans="1:23" s="1105" customFormat="1" ht="19.95" customHeight="1" x14ac:dyDescent="0.3">
      <c r="A58" s="1101">
        <f t="shared" si="3"/>
        <v>57</v>
      </c>
      <c r="B58" s="1101" t="str">
        <f t="shared" si="4"/>
        <v>AP94/3</v>
      </c>
      <c r="C58" s="1101" t="s">
        <v>526</v>
      </c>
      <c r="D58" s="1101" t="s">
        <v>1023</v>
      </c>
      <c r="E58" s="1101">
        <v>0.53300000000000003</v>
      </c>
      <c r="F58" s="1101" t="s">
        <v>819</v>
      </c>
      <c r="G58" s="1101">
        <v>1</v>
      </c>
      <c r="H58" s="1101">
        <v>0</v>
      </c>
      <c r="I58" s="1101">
        <f t="shared" si="0"/>
        <v>1</v>
      </c>
      <c r="J58" s="1101">
        <v>0</v>
      </c>
      <c r="K58" s="1101">
        <f t="shared" si="1"/>
        <v>1</v>
      </c>
      <c r="L58" s="1101">
        <v>0</v>
      </c>
      <c r="M58" s="1101">
        <f t="shared" si="2"/>
        <v>1</v>
      </c>
      <c r="N58" s="1101">
        <v>0</v>
      </c>
      <c r="O58" s="1101"/>
      <c r="P58" s="1101"/>
      <c r="Q58" s="1101"/>
      <c r="R58" s="1101" t="s">
        <v>986</v>
      </c>
      <c r="S58" s="1102"/>
      <c r="T58" s="1104">
        <v>0</v>
      </c>
      <c r="U58" s="1104">
        <v>0</v>
      </c>
      <c r="V58" s="1104">
        <v>0</v>
      </c>
      <c r="W58" s="1101"/>
    </row>
    <row r="59" spans="1:23" s="1105" customFormat="1" ht="19.95" customHeight="1" x14ac:dyDescent="0.3">
      <c r="A59" s="1101">
        <f t="shared" si="3"/>
        <v>58</v>
      </c>
      <c r="B59" s="1101" t="str">
        <f t="shared" si="4"/>
        <v>AP95</v>
      </c>
      <c r="C59" s="1101" t="s">
        <v>527</v>
      </c>
      <c r="D59" s="1101" t="s">
        <v>1024</v>
      </c>
      <c r="E59" s="1101">
        <v>0.26500000000000001</v>
      </c>
      <c r="F59" s="1101" t="s">
        <v>819</v>
      </c>
      <c r="G59" s="1101">
        <v>1</v>
      </c>
      <c r="H59" s="1101">
        <v>0</v>
      </c>
      <c r="I59" s="1101">
        <f t="shared" si="0"/>
        <v>1</v>
      </c>
      <c r="J59" s="1101">
        <v>0</v>
      </c>
      <c r="K59" s="1101">
        <f t="shared" si="1"/>
        <v>1</v>
      </c>
      <c r="L59" s="1101">
        <v>0</v>
      </c>
      <c r="M59" s="1101">
        <f t="shared" si="2"/>
        <v>1</v>
      </c>
      <c r="N59" s="1101">
        <v>0</v>
      </c>
      <c r="O59" s="1101"/>
      <c r="P59" s="1101"/>
      <c r="Q59" s="1101"/>
      <c r="R59" s="1101" t="s">
        <v>986</v>
      </c>
      <c r="S59" s="1102" t="s">
        <v>1008</v>
      </c>
      <c r="T59" s="1104">
        <v>0</v>
      </c>
      <c r="U59" s="1104">
        <v>0</v>
      </c>
      <c r="V59" s="1104">
        <v>0</v>
      </c>
      <c r="W59" s="1101"/>
    </row>
    <row r="60" spans="1:23" s="1105" customFormat="1" ht="19.95" customHeight="1" x14ac:dyDescent="0.3">
      <c r="A60" s="1101">
        <f t="shared" si="3"/>
        <v>59</v>
      </c>
      <c r="B60" s="1101" t="str">
        <f t="shared" si="4"/>
        <v>AP96</v>
      </c>
      <c r="C60" s="1101" t="s">
        <v>1025</v>
      </c>
      <c r="D60" s="1101" t="s">
        <v>1026</v>
      </c>
      <c r="E60" s="1101">
        <v>0.48399999999999999</v>
      </c>
      <c r="F60" s="1101" t="s">
        <v>819</v>
      </c>
      <c r="G60" s="1101">
        <v>1</v>
      </c>
      <c r="H60" s="1101">
        <v>0</v>
      </c>
      <c r="I60" s="1101">
        <f t="shared" si="0"/>
        <v>1</v>
      </c>
      <c r="J60" s="1101">
        <v>0</v>
      </c>
      <c r="K60" s="1101">
        <f t="shared" si="1"/>
        <v>1</v>
      </c>
      <c r="L60" s="1101">
        <v>0</v>
      </c>
      <c r="M60" s="1101">
        <f t="shared" si="2"/>
        <v>1</v>
      </c>
      <c r="N60" s="1101">
        <v>0</v>
      </c>
      <c r="O60" s="1101"/>
      <c r="P60" s="1101"/>
      <c r="Q60" s="1101"/>
      <c r="R60" s="1101" t="s">
        <v>986</v>
      </c>
      <c r="S60" s="1102"/>
      <c r="T60" s="1104">
        <v>0</v>
      </c>
      <c r="U60" s="1104">
        <v>0</v>
      </c>
      <c r="V60" s="1104">
        <v>0</v>
      </c>
      <c r="W60" s="1101"/>
    </row>
    <row r="61" spans="1:23" s="1105" customFormat="1" ht="19.95" customHeight="1" x14ac:dyDescent="0.3">
      <c r="A61" s="1101">
        <f t="shared" si="3"/>
        <v>60</v>
      </c>
      <c r="B61" s="1101" t="str">
        <f t="shared" si="4"/>
        <v>AP96/1</v>
      </c>
      <c r="C61" s="1101" t="s">
        <v>1027</v>
      </c>
      <c r="D61" s="1101" t="s">
        <v>1028</v>
      </c>
      <c r="E61" s="1101">
        <v>0.61099999999999999</v>
      </c>
      <c r="F61" s="1101" t="s">
        <v>819</v>
      </c>
      <c r="G61" s="1101">
        <v>1</v>
      </c>
      <c r="H61" s="1101">
        <v>0</v>
      </c>
      <c r="I61" s="1101">
        <f t="shared" si="0"/>
        <v>1</v>
      </c>
      <c r="J61" s="1101">
        <v>0</v>
      </c>
      <c r="K61" s="1101">
        <f t="shared" si="1"/>
        <v>1</v>
      </c>
      <c r="L61" s="1101">
        <v>0</v>
      </c>
      <c r="M61" s="1101">
        <f t="shared" si="2"/>
        <v>1</v>
      </c>
      <c r="N61" s="1101">
        <v>0</v>
      </c>
      <c r="O61" s="1101"/>
      <c r="P61" s="1101"/>
      <c r="Q61" s="1101"/>
      <c r="R61" s="1101" t="s">
        <v>986</v>
      </c>
      <c r="S61" s="1102"/>
      <c r="T61" s="1103">
        <v>1</v>
      </c>
      <c r="U61" s="1104">
        <v>0</v>
      </c>
      <c r="V61" s="1104">
        <v>0</v>
      </c>
      <c r="W61" s="1101"/>
    </row>
    <row r="62" spans="1:23" s="1105" customFormat="1" ht="19.95" customHeight="1" x14ac:dyDescent="0.3">
      <c r="A62" s="1101">
        <f t="shared" si="3"/>
        <v>61</v>
      </c>
      <c r="B62" s="1101" t="str">
        <f t="shared" si="4"/>
        <v>AP96/2</v>
      </c>
      <c r="C62" s="1101" t="s">
        <v>853</v>
      </c>
      <c r="D62" s="1101" t="s">
        <v>1029</v>
      </c>
      <c r="E62" s="1101">
        <v>2.5619999999999998</v>
      </c>
      <c r="F62" s="1101" t="s">
        <v>825</v>
      </c>
      <c r="G62" s="1101">
        <v>7</v>
      </c>
      <c r="H62" s="1101">
        <v>4</v>
      </c>
      <c r="I62" s="1101">
        <f t="shared" si="0"/>
        <v>3</v>
      </c>
      <c r="J62" s="1101">
        <v>1</v>
      </c>
      <c r="K62" s="1101">
        <f t="shared" si="1"/>
        <v>7</v>
      </c>
      <c r="L62" s="1101">
        <v>1</v>
      </c>
      <c r="M62" s="1101">
        <f t="shared" si="2"/>
        <v>6</v>
      </c>
      <c r="N62" s="1101">
        <v>0</v>
      </c>
      <c r="O62" s="1101"/>
      <c r="P62" s="1101"/>
      <c r="Q62" s="1101"/>
      <c r="R62" s="1101" t="s">
        <v>986</v>
      </c>
      <c r="S62" s="1102"/>
      <c r="T62" s="1108">
        <v>4</v>
      </c>
      <c r="U62" s="1108">
        <v>1</v>
      </c>
      <c r="V62" s="1104">
        <v>0</v>
      </c>
      <c r="W62" s="1101"/>
    </row>
    <row r="63" spans="1:23" s="1105" customFormat="1" ht="19.95" customHeight="1" x14ac:dyDescent="0.3">
      <c r="A63" s="1101">
        <f t="shared" si="3"/>
        <v>62</v>
      </c>
      <c r="B63" s="1101" t="str">
        <f t="shared" si="4"/>
        <v>AP97</v>
      </c>
      <c r="C63" s="1101" t="s">
        <v>529</v>
      </c>
      <c r="D63" s="1101" t="s">
        <v>1030</v>
      </c>
      <c r="E63" s="1101">
        <v>1.9379999999999999</v>
      </c>
      <c r="F63" s="1101" t="s">
        <v>825</v>
      </c>
      <c r="G63" s="1101">
        <v>5</v>
      </c>
      <c r="H63" s="1101">
        <v>3</v>
      </c>
      <c r="I63" s="1101">
        <f t="shared" si="0"/>
        <v>2</v>
      </c>
      <c r="J63" s="1101">
        <v>1</v>
      </c>
      <c r="K63" s="1101">
        <f t="shared" si="1"/>
        <v>5</v>
      </c>
      <c r="L63" s="1101">
        <v>1</v>
      </c>
      <c r="M63" s="1101">
        <f t="shared" si="2"/>
        <v>4</v>
      </c>
      <c r="N63" s="1101">
        <v>1</v>
      </c>
      <c r="O63" s="1101"/>
      <c r="P63" s="1101"/>
      <c r="Q63" s="1101"/>
      <c r="R63" s="1101" t="s">
        <v>986</v>
      </c>
      <c r="S63" s="1102"/>
      <c r="T63" s="1103">
        <v>4</v>
      </c>
      <c r="U63" s="1103">
        <v>2</v>
      </c>
      <c r="V63" s="1104">
        <v>0</v>
      </c>
      <c r="W63" s="1101"/>
    </row>
    <row r="64" spans="1:23" s="1105" customFormat="1" ht="19.95" customHeight="1" x14ac:dyDescent="0.3">
      <c r="A64" s="1101">
        <f t="shared" si="3"/>
        <v>63</v>
      </c>
      <c r="B64" s="1101" t="str">
        <f t="shared" si="4"/>
        <v>AP98</v>
      </c>
      <c r="C64" s="1101" t="s">
        <v>530</v>
      </c>
      <c r="D64" s="1101" t="s">
        <v>1031</v>
      </c>
      <c r="E64" s="1101">
        <v>2.3279999999999998</v>
      </c>
      <c r="F64" s="1101" t="s">
        <v>825</v>
      </c>
      <c r="G64" s="1101">
        <v>6</v>
      </c>
      <c r="H64" s="1101">
        <v>6</v>
      </c>
      <c r="I64" s="1101">
        <f t="shared" si="0"/>
        <v>0</v>
      </c>
      <c r="J64" s="1101">
        <v>0</v>
      </c>
      <c r="K64" s="1101">
        <f t="shared" si="1"/>
        <v>6</v>
      </c>
      <c r="L64" s="1101">
        <v>5</v>
      </c>
      <c r="M64" s="1101">
        <f t="shared" si="2"/>
        <v>1</v>
      </c>
      <c r="N64" s="1101">
        <v>0</v>
      </c>
      <c r="O64" s="1101"/>
      <c r="P64" s="1101"/>
      <c r="Q64" s="1101"/>
      <c r="R64" s="1101" t="s">
        <v>986</v>
      </c>
      <c r="S64" s="1102"/>
      <c r="T64" s="1108">
        <v>4</v>
      </c>
      <c r="U64" s="1108">
        <v>2</v>
      </c>
      <c r="V64" s="1108">
        <v>2</v>
      </c>
      <c r="W64" s="1101"/>
    </row>
    <row r="65" spans="1:31" s="1105" customFormat="1" ht="19.95" customHeight="1" x14ac:dyDescent="0.3">
      <c r="A65" s="1101">
        <f t="shared" si="3"/>
        <v>64</v>
      </c>
      <c r="B65" s="1101" t="str">
        <f t="shared" si="4"/>
        <v>AP99</v>
      </c>
      <c r="C65" s="1101" t="s">
        <v>854</v>
      </c>
      <c r="D65" s="1101" t="s">
        <v>1032</v>
      </c>
      <c r="E65" s="1101">
        <v>4.9859999999999998</v>
      </c>
      <c r="F65" s="1101" t="s">
        <v>825</v>
      </c>
      <c r="G65" s="1101">
        <v>13</v>
      </c>
      <c r="H65" s="1101">
        <v>13</v>
      </c>
      <c r="I65" s="1101">
        <f t="shared" si="0"/>
        <v>0</v>
      </c>
      <c r="J65" s="1101">
        <v>0</v>
      </c>
      <c r="K65" s="1101">
        <f t="shared" si="1"/>
        <v>13</v>
      </c>
      <c r="L65" s="1101">
        <v>12</v>
      </c>
      <c r="M65" s="1101">
        <v>1</v>
      </c>
      <c r="N65" s="1101">
        <v>0</v>
      </c>
      <c r="O65" s="1101"/>
      <c r="P65" s="1101"/>
      <c r="Q65" s="1101"/>
      <c r="R65" s="1101" t="s">
        <v>986</v>
      </c>
      <c r="S65" s="1102"/>
      <c r="T65" s="1103">
        <v>6</v>
      </c>
      <c r="U65" s="1103">
        <v>6</v>
      </c>
      <c r="V65" s="1104">
        <v>0</v>
      </c>
      <c r="W65" s="1101"/>
    </row>
    <row r="66" spans="1:31" s="1105" customFormat="1" ht="19.95" customHeight="1" x14ac:dyDescent="0.3">
      <c r="A66" s="1101">
        <f t="shared" si="3"/>
        <v>65</v>
      </c>
      <c r="B66" s="1101" t="str">
        <f t="shared" si="4"/>
        <v>AP100</v>
      </c>
      <c r="C66" s="1101" t="s">
        <v>855</v>
      </c>
      <c r="D66" s="1101" t="s">
        <v>1033</v>
      </c>
      <c r="E66" s="1101">
        <v>3.649</v>
      </c>
      <c r="F66" s="1101" t="s">
        <v>825</v>
      </c>
      <c r="G66" s="1101">
        <v>9</v>
      </c>
      <c r="H66" s="1101">
        <v>9</v>
      </c>
      <c r="I66" s="1101">
        <f t="shared" si="0"/>
        <v>0</v>
      </c>
      <c r="J66" s="1101">
        <v>0</v>
      </c>
      <c r="K66" s="1101">
        <f t="shared" si="1"/>
        <v>9</v>
      </c>
      <c r="L66" s="1101">
        <v>9</v>
      </c>
      <c r="M66" s="1101">
        <f t="shared" si="2"/>
        <v>0</v>
      </c>
      <c r="N66" s="1101">
        <v>1</v>
      </c>
      <c r="O66" s="1101"/>
      <c r="P66" s="1101"/>
      <c r="Q66" s="1101"/>
      <c r="R66" s="1101" t="s">
        <v>986</v>
      </c>
      <c r="S66" s="1102"/>
      <c r="T66" s="1108">
        <v>3</v>
      </c>
      <c r="U66" s="1108">
        <v>4</v>
      </c>
      <c r="V66" s="1104">
        <v>0</v>
      </c>
      <c r="W66" s="1101"/>
    </row>
    <row r="67" spans="1:31" s="1105" customFormat="1" ht="19.95" customHeight="1" x14ac:dyDescent="0.3">
      <c r="A67" s="1101">
        <f t="shared" si="3"/>
        <v>66</v>
      </c>
      <c r="B67" s="1101" t="str">
        <f t="shared" si="4"/>
        <v>AP101</v>
      </c>
      <c r="C67" s="1101" t="s">
        <v>856</v>
      </c>
      <c r="D67" s="1101" t="s">
        <v>1034</v>
      </c>
      <c r="E67" s="1101">
        <v>3.9239999999999999</v>
      </c>
      <c r="F67" s="1101" t="s">
        <v>825</v>
      </c>
      <c r="G67" s="1101">
        <v>10</v>
      </c>
      <c r="H67" s="1101">
        <v>10</v>
      </c>
      <c r="I67" s="1101">
        <f t="shared" ref="I67:I76" si="5">G67-H67</f>
        <v>0</v>
      </c>
      <c r="J67" s="1101">
        <v>1</v>
      </c>
      <c r="K67" s="1101">
        <f t="shared" ref="K67:K76" si="6">G67</f>
        <v>10</v>
      </c>
      <c r="L67" s="1101">
        <v>7</v>
      </c>
      <c r="M67" s="1101">
        <f t="shared" ref="M67:M76" si="7">K67-L67</f>
        <v>3</v>
      </c>
      <c r="N67" s="1101">
        <v>0</v>
      </c>
      <c r="O67" s="1101"/>
      <c r="P67" s="1101"/>
      <c r="Q67" s="1101"/>
      <c r="R67" s="1101" t="s">
        <v>986</v>
      </c>
      <c r="S67" s="1102"/>
      <c r="T67" s="1103">
        <v>3</v>
      </c>
      <c r="U67" s="1103">
        <v>2</v>
      </c>
      <c r="V67" s="1104">
        <v>0</v>
      </c>
      <c r="W67" s="1101"/>
    </row>
    <row r="68" spans="1:31" s="1105" customFormat="1" ht="19.95" customHeight="1" x14ac:dyDescent="0.3">
      <c r="A68" s="1101">
        <f t="shared" ref="A68:A76" si="8">A67+1</f>
        <v>67</v>
      </c>
      <c r="B68" s="1101" t="str">
        <f t="shared" si="4"/>
        <v>AP102</v>
      </c>
      <c r="C68" s="1101" t="s">
        <v>857</v>
      </c>
      <c r="D68" s="1101" t="s">
        <v>1035</v>
      </c>
      <c r="E68" s="1101">
        <v>2.7050000000000001</v>
      </c>
      <c r="F68" s="1101" t="s">
        <v>825</v>
      </c>
      <c r="G68" s="1101">
        <v>7</v>
      </c>
      <c r="H68" s="1101">
        <v>6</v>
      </c>
      <c r="I68" s="1101">
        <f t="shared" si="5"/>
        <v>1</v>
      </c>
      <c r="J68" s="1101">
        <v>0</v>
      </c>
      <c r="K68" s="1101">
        <f t="shared" si="6"/>
        <v>7</v>
      </c>
      <c r="L68" s="1101">
        <v>5</v>
      </c>
      <c r="M68" s="1101">
        <f t="shared" si="7"/>
        <v>2</v>
      </c>
      <c r="N68" s="1101">
        <v>0</v>
      </c>
      <c r="O68" s="1101"/>
      <c r="P68" s="1101"/>
      <c r="Q68" s="1101"/>
      <c r="R68" s="1101" t="s">
        <v>986</v>
      </c>
      <c r="S68" s="1102"/>
      <c r="T68" s="1103">
        <v>1</v>
      </c>
      <c r="U68" s="1103">
        <v>1</v>
      </c>
      <c r="V68" s="1104">
        <v>0</v>
      </c>
      <c r="W68" s="1101"/>
    </row>
    <row r="69" spans="1:31" ht="19.95" customHeight="1" x14ac:dyDescent="0.3">
      <c r="A69" s="1078">
        <f t="shared" si="8"/>
        <v>68</v>
      </c>
      <c r="B69" s="1078" t="str">
        <f t="shared" ref="B69:B76" si="9">C68</f>
        <v>AP103</v>
      </c>
      <c r="C69" s="1078" t="s">
        <v>858</v>
      </c>
      <c r="D69" s="1078" t="s">
        <v>1036</v>
      </c>
      <c r="E69" s="1078">
        <v>1.524</v>
      </c>
      <c r="F69" s="1078" t="s">
        <v>825</v>
      </c>
      <c r="G69" s="1078">
        <v>4</v>
      </c>
      <c r="H69" s="1078">
        <v>0</v>
      </c>
      <c r="I69" s="1078">
        <f t="shared" si="5"/>
        <v>4</v>
      </c>
      <c r="J69" s="1078">
        <v>0</v>
      </c>
      <c r="K69" s="1078">
        <f t="shared" si="6"/>
        <v>4</v>
      </c>
      <c r="L69" s="1101">
        <v>0</v>
      </c>
      <c r="M69" s="1078">
        <f t="shared" si="7"/>
        <v>4</v>
      </c>
      <c r="N69" s="1078">
        <v>0</v>
      </c>
      <c r="O69" s="1078"/>
      <c r="P69" s="1078"/>
      <c r="Q69" s="1078"/>
      <c r="R69" s="1078" t="s">
        <v>986</v>
      </c>
      <c r="S69" s="1079"/>
      <c r="T69" s="1080">
        <v>4</v>
      </c>
      <c r="U69" s="1080">
        <v>2</v>
      </c>
      <c r="V69" s="1080">
        <v>2</v>
      </c>
      <c r="W69" s="1078"/>
    </row>
    <row r="70" spans="1:31" ht="19.95" customHeight="1" x14ac:dyDescent="0.3">
      <c r="A70" s="1078">
        <f t="shared" si="8"/>
        <v>69</v>
      </c>
      <c r="B70" s="1078" t="str">
        <f t="shared" si="9"/>
        <v>AP104</v>
      </c>
      <c r="C70" s="1078" t="s">
        <v>859</v>
      </c>
      <c r="D70" s="1078" t="s">
        <v>1037</v>
      </c>
      <c r="E70" s="1078">
        <v>4.6980000000000004</v>
      </c>
      <c r="F70" s="1078" t="s">
        <v>825</v>
      </c>
      <c r="G70" s="1078">
        <v>12</v>
      </c>
      <c r="H70" s="1078">
        <v>0</v>
      </c>
      <c r="I70" s="1078">
        <f t="shared" si="5"/>
        <v>12</v>
      </c>
      <c r="J70" s="1078">
        <v>0</v>
      </c>
      <c r="K70" s="1078">
        <f t="shared" si="6"/>
        <v>12</v>
      </c>
      <c r="L70" s="1101">
        <v>0</v>
      </c>
      <c r="M70" s="1078">
        <f t="shared" si="7"/>
        <v>12</v>
      </c>
      <c r="N70" s="1078">
        <v>0</v>
      </c>
      <c r="O70" s="1078"/>
      <c r="P70" s="1078"/>
      <c r="Q70" s="1078"/>
      <c r="R70" s="1078" t="s">
        <v>986</v>
      </c>
      <c r="S70" s="1079"/>
      <c r="T70" s="1080">
        <v>9</v>
      </c>
      <c r="U70" s="1080">
        <v>5</v>
      </c>
      <c r="V70" s="1080">
        <v>1</v>
      </c>
      <c r="W70" s="1078"/>
    </row>
    <row r="71" spans="1:31" ht="19.95" customHeight="1" x14ac:dyDescent="0.3">
      <c r="A71" s="1078">
        <f t="shared" si="8"/>
        <v>70</v>
      </c>
      <c r="B71" s="1078" t="str">
        <f t="shared" si="9"/>
        <v>AP105</v>
      </c>
      <c r="C71" s="1078" t="s">
        <v>533</v>
      </c>
      <c r="D71" s="1078" t="s">
        <v>1038</v>
      </c>
      <c r="E71" s="1078">
        <v>1.5469999999999999</v>
      </c>
      <c r="F71" s="1078" t="s">
        <v>825</v>
      </c>
      <c r="G71" s="1078">
        <v>4</v>
      </c>
      <c r="H71" s="1078">
        <v>0</v>
      </c>
      <c r="I71" s="1078">
        <f t="shared" si="5"/>
        <v>4</v>
      </c>
      <c r="J71" s="1078">
        <v>0</v>
      </c>
      <c r="K71" s="1078">
        <f t="shared" si="6"/>
        <v>4</v>
      </c>
      <c r="L71" s="1101">
        <v>0</v>
      </c>
      <c r="M71" s="1078">
        <f t="shared" si="7"/>
        <v>4</v>
      </c>
      <c r="N71" s="1078">
        <v>0</v>
      </c>
      <c r="O71" s="1078"/>
      <c r="P71" s="1078"/>
      <c r="Q71" s="1078"/>
      <c r="R71" s="1078" t="s">
        <v>986</v>
      </c>
      <c r="S71" s="1079"/>
      <c r="T71" s="1082">
        <v>4</v>
      </c>
      <c r="U71" s="1082">
        <v>1</v>
      </c>
      <c r="V71" s="1081">
        <v>0</v>
      </c>
      <c r="W71" s="1078"/>
    </row>
    <row r="72" spans="1:31" ht="19.95" customHeight="1" x14ac:dyDescent="0.3">
      <c r="A72" s="1078">
        <f t="shared" si="8"/>
        <v>71</v>
      </c>
      <c r="B72" s="1078" t="str">
        <f t="shared" si="9"/>
        <v>AP106</v>
      </c>
      <c r="C72" s="1078" t="s">
        <v>534</v>
      </c>
      <c r="D72" s="1078" t="s">
        <v>1039</v>
      </c>
      <c r="E72" s="1078">
        <v>0.26300000000000001</v>
      </c>
      <c r="F72" s="1078" t="s">
        <v>819</v>
      </c>
      <c r="G72" s="1078">
        <v>1</v>
      </c>
      <c r="H72" s="1078">
        <v>0</v>
      </c>
      <c r="I72" s="1078">
        <f t="shared" si="5"/>
        <v>1</v>
      </c>
      <c r="J72" s="1078">
        <v>0</v>
      </c>
      <c r="K72" s="1078">
        <f t="shared" si="6"/>
        <v>1</v>
      </c>
      <c r="L72" s="1101">
        <v>0</v>
      </c>
      <c r="M72" s="1078">
        <f t="shared" si="7"/>
        <v>1</v>
      </c>
      <c r="N72" s="1078">
        <v>0</v>
      </c>
      <c r="O72" s="1078"/>
      <c r="P72" s="1078"/>
      <c r="Q72" s="1078"/>
      <c r="R72" s="1078" t="s">
        <v>986</v>
      </c>
      <c r="S72" s="1079" t="s">
        <v>1040</v>
      </c>
      <c r="T72" s="1081">
        <v>0</v>
      </c>
      <c r="U72" s="1081">
        <v>0</v>
      </c>
      <c r="V72" s="1081">
        <v>0</v>
      </c>
      <c r="W72" s="1078"/>
    </row>
    <row r="73" spans="1:31" ht="19.95" customHeight="1" x14ac:dyDescent="0.3">
      <c r="A73" s="1078">
        <f t="shared" si="8"/>
        <v>72</v>
      </c>
      <c r="B73" s="1078" t="str">
        <f t="shared" si="9"/>
        <v>AP107</v>
      </c>
      <c r="C73" s="1078" t="s">
        <v>860</v>
      </c>
      <c r="D73" s="1078" t="s">
        <v>1041</v>
      </c>
      <c r="E73" s="1078">
        <v>0.77700000000000002</v>
      </c>
      <c r="F73" s="1078" t="s">
        <v>819</v>
      </c>
      <c r="G73" s="1078">
        <v>2</v>
      </c>
      <c r="H73" s="1078">
        <v>0</v>
      </c>
      <c r="I73" s="1078">
        <f t="shared" si="5"/>
        <v>2</v>
      </c>
      <c r="J73" s="1078">
        <v>0</v>
      </c>
      <c r="K73" s="1078">
        <f t="shared" si="6"/>
        <v>2</v>
      </c>
      <c r="L73" s="1101">
        <v>0</v>
      </c>
      <c r="M73" s="1078">
        <f t="shared" si="7"/>
        <v>2</v>
      </c>
      <c r="N73" s="1078">
        <v>0</v>
      </c>
      <c r="O73" s="1078"/>
      <c r="P73" s="1078"/>
      <c r="Q73" s="1078"/>
      <c r="R73" s="1078" t="s">
        <v>986</v>
      </c>
      <c r="S73" s="1079"/>
      <c r="T73" s="1081">
        <v>0</v>
      </c>
      <c r="U73" s="1080">
        <v>2</v>
      </c>
      <c r="V73" s="1081">
        <v>0</v>
      </c>
      <c r="W73" s="1078"/>
    </row>
    <row r="74" spans="1:31" ht="19.95" customHeight="1" x14ac:dyDescent="0.3">
      <c r="A74" s="1078">
        <f t="shared" si="8"/>
        <v>73</v>
      </c>
      <c r="B74" s="1078" t="str">
        <f t="shared" si="9"/>
        <v>AP108</v>
      </c>
      <c r="C74" s="1078" t="s">
        <v>536</v>
      </c>
      <c r="D74" s="1078" t="s">
        <v>1042</v>
      </c>
      <c r="E74" s="1078">
        <v>1.127</v>
      </c>
      <c r="F74" s="1078" t="s">
        <v>825</v>
      </c>
      <c r="G74" s="1078">
        <v>3</v>
      </c>
      <c r="H74" s="1078">
        <v>0</v>
      </c>
      <c r="I74" s="1078">
        <f t="shared" si="5"/>
        <v>3</v>
      </c>
      <c r="J74" s="1078">
        <v>0</v>
      </c>
      <c r="K74" s="1078">
        <f t="shared" si="6"/>
        <v>3</v>
      </c>
      <c r="L74" s="1101">
        <v>0</v>
      </c>
      <c r="M74" s="1078">
        <f t="shared" si="7"/>
        <v>3</v>
      </c>
      <c r="N74" s="1078">
        <v>0</v>
      </c>
      <c r="O74" s="1078"/>
      <c r="P74" s="1078"/>
      <c r="Q74" s="1078"/>
      <c r="R74" s="1078" t="s">
        <v>986</v>
      </c>
      <c r="S74" s="1079"/>
      <c r="T74" s="1081">
        <v>0</v>
      </c>
      <c r="U74" s="1081">
        <v>0</v>
      </c>
      <c r="V74" s="1081">
        <v>0</v>
      </c>
      <c r="W74" s="1078"/>
    </row>
    <row r="75" spans="1:31" ht="19.95" customHeight="1" x14ac:dyDescent="0.3">
      <c r="A75" s="1078">
        <f t="shared" si="8"/>
        <v>74</v>
      </c>
      <c r="B75" s="1078" t="str">
        <f t="shared" si="9"/>
        <v>AP109</v>
      </c>
      <c r="C75" s="1078" t="s">
        <v>537</v>
      </c>
      <c r="D75" s="1078" t="s">
        <v>1043</v>
      </c>
      <c r="E75" s="1078">
        <v>0.19500000000000001</v>
      </c>
      <c r="F75" s="1078" t="s">
        <v>819</v>
      </c>
      <c r="G75" s="1078">
        <v>1</v>
      </c>
      <c r="H75" s="1078">
        <v>0</v>
      </c>
      <c r="I75" s="1078">
        <f t="shared" si="5"/>
        <v>1</v>
      </c>
      <c r="J75" s="1078">
        <v>0</v>
      </c>
      <c r="K75" s="1078">
        <f t="shared" si="6"/>
        <v>1</v>
      </c>
      <c r="L75" s="1101">
        <v>0</v>
      </c>
      <c r="M75" s="1078">
        <f t="shared" si="7"/>
        <v>1</v>
      </c>
      <c r="N75" s="1078">
        <v>0</v>
      </c>
      <c r="O75" s="1078"/>
      <c r="P75" s="1078"/>
      <c r="Q75" s="1078"/>
      <c r="R75" s="1078" t="s">
        <v>986</v>
      </c>
      <c r="S75" s="1079" t="s">
        <v>1008</v>
      </c>
      <c r="T75" s="1081">
        <v>0</v>
      </c>
      <c r="U75" s="1080">
        <v>1</v>
      </c>
      <c r="V75" s="1081">
        <v>0</v>
      </c>
      <c r="W75" s="1078"/>
    </row>
    <row r="76" spans="1:31" ht="19.95" customHeight="1" x14ac:dyDescent="0.3">
      <c r="A76" s="1078">
        <f t="shared" si="8"/>
        <v>75</v>
      </c>
      <c r="B76" s="1078" t="str">
        <f t="shared" si="9"/>
        <v>AP110</v>
      </c>
      <c r="C76" s="1078" t="s">
        <v>539</v>
      </c>
      <c r="D76" s="1078" t="s">
        <v>1044</v>
      </c>
      <c r="E76" s="1078">
        <v>0.20300000000000001</v>
      </c>
      <c r="F76" s="1078" t="s">
        <v>819</v>
      </c>
      <c r="G76" s="1078">
        <v>2</v>
      </c>
      <c r="H76" s="1078">
        <v>0</v>
      </c>
      <c r="I76" s="1078">
        <f t="shared" si="5"/>
        <v>2</v>
      </c>
      <c r="J76" s="1078">
        <v>0</v>
      </c>
      <c r="K76" s="1078">
        <f t="shared" si="6"/>
        <v>2</v>
      </c>
      <c r="L76" s="1101">
        <v>0</v>
      </c>
      <c r="M76" s="1078">
        <f t="shared" si="7"/>
        <v>2</v>
      </c>
      <c r="N76" s="1078">
        <v>0</v>
      </c>
      <c r="O76" s="1078"/>
      <c r="P76" s="1078"/>
      <c r="Q76" s="1078"/>
      <c r="R76" s="1078" t="s">
        <v>986</v>
      </c>
      <c r="S76" s="1079" t="s">
        <v>975</v>
      </c>
      <c r="T76" s="1081">
        <v>0</v>
      </c>
      <c r="U76" s="1080">
        <v>2</v>
      </c>
      <c r="V76" s="1081">
        <v>0</v>
      </c>
      <c r="W76" s="1078"/>
    </row>
    <row r="77" spans="1:31" ht="20.55" customHeight="1" x14ac:dyDescent="0.3">
      <c r="A77" s="1078"/>
      <c r="B77" s="1083"/>
      <c r="C77" s="1083" t="s">
        <v>171</v>
      </c>
      <c r="D77" s="1083"/>
      <c r="E77" s="1083">
        <f>SUM(E2:E76)</f>
        <v>113.27000000000004</v>
      </c>
      <c r="F77" s="1083"/>
      <c r="G77" s="1083">
        <f>SUM(G2:G76)</f>
        <v>292</v>
      </c>
      <c r="H77" s="1083">
        <f t="shared" ref="H77:W77" si="10">SUM(H2:H76)</f>
        <v>187</v>
      </c>
      <c r="I77" s="1083">
        <f t="shared" si="10"/>
        <v>105</v>
      </c>
      <c r="J77" s="1083">
        <f t="shared" si="10"/>
        <v>11</v>
      </c>
      <c r="K77" s="1083">
        <f t="shared" si="10"/>
        <v>292</v>
      </c>
      <c r="L77" s="1109">
        <f>SUM(L2:L76)</f>
        <v>125</v>
      </c>
      <c r="M77" s="1083">
        <f>SUM(M2:M76)</f>
        <v>168</v>
      </c>
      <c r="N77" s="1083">
        <f t="shared" si="10"/>
        <v>7</v>
      </c>
      <c r="O77" s="1083">
        <f t="shared" si="10"/>
        <v>0</v>
      </c>
      <c r="P77" s="1083">
        <f t="shared" si="10"/>
        <v>0</v>
      </c>
      <c r="Q77" s="1083">
        <f t="shared" si="10"/>
        <v>0</v>
      </c>
      <c r="R77" s="1083">
        <f t="shared" si="10"/>
        <v>0</v>
      </c>
      <c r="S77" s="1083">
        <v>11</v>
      </c>
      <c r="T77" s="1083">
        <f t="shared" si="10"/>
        <v>157</v>
      </c>
      <c r="U77" s="1083">
        <f t="shared" si="10"/>
        <v>129</v>
      </c>
      <c r="V77" s="1083">
        <f t="shared" si="10"/>
        <v>14</v>
      </c>
      <c r="W77" s="1083">
        <f t="shared" si="10"/>
        <v>0</v>
      </c>
    </row>
    <row r="80" spans="1:31" ht="15.6" x14ac:dyDescent="0.3">
      <c r="Y80" s="1386" t="s">
        <v>1045</v>
      </c>
      <c r="Z80" s="1386"/>
      <c r="AA80" s="1386"/>
      <c r="AB80" s="1386"/>
      <c r="AC80" s="1386"/>
      <c r="AD80" s="1386"/>
      <c r="AE80" s="1386"/>
    </row>
    <row r="81" spans="13:31" ht="22.5" customHeight="1" x14ac:dyDescent="0.3">
      <c r="Y81" s="1387" t="s">
        <v>101</v>
      </c>
      <c r="Z81" s="1389" t="s">
        <v>820</v>
      </c>
      <c r="AA81" s="1390"/>
      <c r="AB81" s="1391" t="s">
        <v>986</v>
      </c>
      <c r="AC81" s="1392"/>
      <c r="AD81" s="1392" t="s">
        <v>1046</v>
      </c>
      <c r="AE81" s="1392"/>
    </row>
    <row r="82" spans="13:31" ht="22.5" customHeight="1" x14ac:dyDescent="0.3">
      <c r="Y82" s="1388"/>
      <c r="Z82" s="1085" t="s">
        <v>1047</v>
      </c>
      <c r="AA82" s="1085" t="s">
        <v>1048</v>
      </c>
      <c r="AB82" s="1085" t="s">
        <v>1047</v>
      </c>
      <c r="AC82" s="1085" t="s">
        <v>1048</v>
      </c>
      <c r="AD82" s="1085" t="s">
        <v>1047</v>
      </c>
      <c r="AE82" s="1085" t="s">
        <v>1048</v>
      </c>
    </row>
    <row r="83" spans="13:31" ht="20.55" customHeight="1" x14ac:dyDescent="0.3">
      <c r="M83" s="1077">
        <f ca="1">M83</f>
        <v>0</v>
      </c>
      <c r="Y83" s="1086" t="s">
        <v>1049</v>
      </c>
      <c r="Z83" s="1087">
        <v>18</v>
      </c>
      <c r="AA83" s="1087">
        <v>40.146000000000001</v>
      </c>
      <c r="AB83" s="1087">
        <v>28</v>
      </c>
      <c r="AC83" s="1087">
        <v>59.8</v>
      </c>
      <c r="AD83" s="1087">
        <f>Z83+AB83</f>
        <v>46</v>
      </c>
      <c r="AE83" s="1087">
        <f>AA83+AC83</f>
        <v>99.945999999999998</v>
      </c>
    </row>
    <row r="84" spans="13:31" ht="20.55" customHeight="1" x14ac:dyDescent="0.3">
      <c r="Y84" s="1086" t="s">
        <v>1050</v>
      </c>
      <c r="Z84" s="1087">
        <v>9</v>
      </c>
      <c r="AA84" s="1087">
        <v>3.8759999999999999</v>
      </c>
      <c r="AB84" s="1087">
        <v>20</v>
      </c>
      <c r="AC84" s="1087">
        <v>9.2859999999999996</v>
      </c>
      <c r="AD84" s="1087">
        <f>Z84+AB84</f>
        <v>29</v>
      </c>
      <c r="AE84" s="1087">
        <f>AA84+AC84</f>
        <v>13.161999999999999</v>
      </c>
    </row>
    <row r="85" spans="13:31" ht="20.55" customHeight="1" x14ac:dyDescent="0.3">
      <c r="Y85" s="1088" t="s">
        <v>171</v>
      </c>
      <c r="Z85" s="1089">
        <f>SUBTOTAL(9,Z83:Z84)</f>
        <v>27</v>
      </c>
      <c r="AA85" s="1089">
        <f t="shared" ref="AA85:AE85" si="11">SUBTOTAL(9,AA83:AA84)</f>
        <v>44.021999999999998</v>
      </c>
      <c r="AB85" s="1089">
        <f t="shared" si="11"/>
        <v>48</v>
      </c>
      <c r="AC85" s="1089">
        <f t="shared" si="11"/>
        <v>69.085999999999999</v>
      </c>
      <c r="AD85" s="1089">
        <f t="shared" si="11"/>
        <v>75</v>
      </c>
      <c r="AE85" s="1089">
        <f t="shared" si="11"/>
        <v>113.108</v>
      </c>
    </row>
  </sheetData>
  <autoFilter ref="A1:W77" xr:uid="{8D61E6EB-B0C3-4EA0-9CFF-6EADBAF8A4F7}"/>
  <mergeCells count="5">
    <mergeCell ref="Y80:AE80"/>
    <mergeCell ref="Y81:Y82"/>
    <mergeCell ref="Z81:AA81"/>
    <mergeCell ref="AB81:AC81"/>
    <mergeCell ref="AD81:AE8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78" zoomScaleSheetLayoutView="72" workbookViewId="0">
      <selection activeCell="AA22" sqref="AA22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393" t="s">
        <v>159</v>
      </c>
      <c r="B1" s="1394"/>
      <c r="C1" s="1394"/>
      <c r="D1" s="1394"/>
      <c r="E1" s="1394"/>
      <c r="F1" s="1394"/>
      <c r="G1" s="1394"/>
      <c r="H1" s="1394"/>
      <c r="I1" s="1394"/>
      <c r="J1" s="1394"/>
      <c r="K1" s="1394"/>
      <c r="L1" s="1394"/>
      <c r="M1" s="1394"/>
      <c r="N1" s="1394"/>
      <c r="O1" s="1394"/>
      <c r="P1" s="1394"/>
      <c r="Q1" s="1394"/>
      <c r="R1" s="1394"/>
      <c r="S1" s="1394"/>
      <c r="T1" s="1394"/>
      <c r="U1" s="1394"/>
      <c r="V1" s="1394"/>
      <c r="W1" s="1394"/>
      <c r="X1" s="1394"/>
      <c r="Y1" s="1395"/>
    </row>
    <row r="2" spans="1:28" ht="15" thickBot="1" x14ac:dyDescent="0.35">
      <c r="A2" s="1396" t="s">
        <v>550</v>
      </c>
      <c r="B2" s="1397"/>
      <c r="C2" s="1397"/>
      <c r="D2" s="1397"/>
      <c r="E2" s="1397"/>
      <c r="F2" s="1397"/>
      <c r="G2" s="1397"/>
      <c r="H2" s="1397"/>
      <c r="I2" s="1397"/>
      <c r="J2" s="1397"/>
      <c r="K2" s="1397"/>
      <c r="L2" s="1397"/>
      <c r="M2" s="1397"/>
      <c r="N2" s="1397"/>
      <c r="O2" s="1397"/>
      <c r="P2" s="1397"/>
      <c r="Q2" s="1397"/>
      <c r="R2" s="1397"/>
      <c r="S2" s="1397"/>
      <c r="T2" s="1397"/>
      <c r="U2" s="1397"/>
      <c r="V2" s="1397"/>
      <c r="W2" s="1397"/>
      <c r="X2" s="1397"/>
      <c r="Y2" s="1398"/>
    </row>
    <row r="3" spans="1:28" ht="14.25" customHeight="1" thickBot="1" x14ac:dyDescent="0.35">
      <c r="A3" s="461"/>
      <c r="B3" s="1399" t="s">
        <v>160</v>
      </c>
      <c r="C3" s="1400"/>
      <c r="D3" s="518">
        <f>Z16</f>
        <v>187</v>
      </c>
      <c r="E3" s="519" t="s">
        <v>551</v>
      </c>
      <c r="F3" s="1401" t="s">
        <v>161</v>
      </c>
      <c r="G3" s="1400"/>
      <c r="H3" s="520">
        <f>AA16</f>
        <v>125</v>
      </c>
      <c r="I3" s="547" t="s">
        <v>551</v>
      </c>
      <c r="J3" s="1402" t="s">
        <v>162</v>
      </c>
      <c r="K3" s="1400"/>
      <c r="L3" s="520">
        <f>AB16</f>
        <v>131</v>
      </c>
      <c r="M3" s="522" t="s">
        <v>551</v>
      </c>
      <c r="N3" s="1401" t="s">
        <v>163</v>
      </c>
      <c r="O3" s="1400"/>
      <c r="P3" s="523" t="s">
        <v>552</v>
      </c>
      <c r="Q3" s="521">
        <v>113.292</v>
      </c>
      <c r="R3" s="1401" t="s">
        <v>164</v>
      </c>
      <c r="S3" s="1400"/>
      <c r="T3" s="518" t="s">
        <v>553</v>
      </c>
      <c r="U3" s="521">
        <v>113.292</v>
      </c>
      <c r="V3" s="524" t="s">
        <v>165</v>
      </c>
      <c r="W3" s="1403">
        <f ca="1">TODAY()</f>
        <v>46244</v>
      </c>
      <c r="X3" s="1404"/>
      <c r="Y3" s="462"/>
    </row>
    <row r="4" spans="1:28" ht="14.25" customHeight="1" x14ac:dyDescent="0.3">
      <c r="A4" s="461"/>
      <c r="B4" s="1429" t="s">
        <v>166</v>
      </c>
      <c r="C4" s="1432" t="s">
        <v>23</v>
      </c>
      <c r="D4" s="1435">
        <v>0</v>
      </c>
      <c r="E4" s="1435" t="s">
        <v>168</v>
      </c>
      <c r="F4" s="1435">
        <v>6</v>
      </c>
      <c r="G4" s="1436" t="s">
        <v>170</v>
      </c>
      <c r="H4" s="1417" t="s">
        <v>171</v>
      </c>
      <c r="I4" s="1418" t="s">
        <v>115</v>
      </c>
      <c r="J4" s="358"/>
      <c r="K4" s="358"/>
      <c r="L4" s="359"/>
      <c r="M4" s="1421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5"/>
      <c r="Y4" s="462"/>
    </row>
    <row r="5" spans="1:28" ht="14.25" customHeight="1" x14ac:dyDescent="0.3">
      <c r="A5" s="461"/>
      <c r="B5" s="1430"/>
      <c r="C5" s="1433"/>
      <c r="D5" s="1372"/>
      <c r="E5" s="1372"/>
      <c r="F5" s="1372"/>
      <c r="G5" s="1372"/>
      <c r="H5" s="1372"/>
      <c r="I5" s="1419"/>
      <c r="J5" s="593" t="s">
        <v>172</v>
      </c>
      <c r="K5" s="594"/>
      <c r="L5" s="364"/>
      <c r="M5" s="1422"/>
      <c r="N5" s="365"/>
      <c r="O5" s="364"/>
      <c r="P5" s="366" t="s">
        <v>173</v>
      </c>
      <c r="Q5" s="365"/>
      <c r="R5" s="367" t="s">
        <v>174</v>
      </c>
      <c r="S5" s="593"/>
      <c r="T5" s="594"/>
      <c r="U5" s="366"/>
      <c r="V5" s="1423"/>
      <c r="W5" s="1359"/>
      <c r="X5" s="526"/>
      <c r="Y5" s="462"/>
    </row>
    <row r="6" spans="1:28" ht="14.25" customHeight="1" thickBot="1" x14ac:dyDescent="0.35">
      <c r="A6" s="461"/>
      <c r="B6" s="1431"/>
      <c r="C6" s="1434"/>
      <c r="D6" s="1373"/>
      <c r="E6" s="1373"/>
      <c r="F6" s="1373"/>
      <c r="G6" s="1373"/>
      <c r="H6" s="1373"/>
      <c r="I6" s="1420"/>
      <c r="J6" s="546" t="s">
        <v>175</v>
      </c>
      <c r="K6" s="594"/>
      <c r="L6" s="364"/>
      <c r="M6" s="594"/>
      <c r="N6" s="365"/>
      <c r="O6" s="364"/>
      <c r="P6" s="594"/>
      <c r="Q6" s="366"/>
      <c r="R6" s="369"/>
      <c r="S6" s="595"/>
      <c r="T6" s="595"/>
      <c r="U6" s="366"/>
      <c r="V6" s="370" t="s">
        <v>176</v>
      </c>
      <c r="W6" s="595"/>
      <c r="X6" s="526"/>
      <c r="Y6" s="462"/>
    </row>
    <row r="7" spans="1:28" ht="14.25" customHeight="1" x14ac:dyDescent="0.3">
      <c r="A7" s="461"/>
      <c r="B7" s="527" t="s">
        <v>177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48">
        <f t="shared" ref="I7:I15" si="1">H7</f>
        <v>216</v>
      </c>
      <c r="J7" s="1424" t="s">
        <v>182</v>
      </c>
      <c r="K7" s="1426" t="s">
        <v>178</v>
      </c>
      <c r="L7" s="594"/>
      <c r="M7" s="594" t="s">
        <v>179</v>
      </c>
      <c r="N7" s="365"/>
      <c r="O7" s="364"/>
      <c r="P7" s="594"/>
      <c r="Q7" s="365"/>
      <c r="R7" s="364" t="s">
        <v>180</v>
      </c>
      <c r="S7" s="595"/>
      <c r="T7" s="595"/>
      <c r="U7" s="366"/>
      <c r="V7" s="1428"/>
      <c r="W7" s="1359"/>
      <c r="X7" s="526"/>
      <c r="Y7" s="462"/>
    </row>
    <row r="8" spans="1:28" ht="14.25" customHeight="1" x14ac:dyDescent="0.3">
      <c r="A8" s="461"/>
      <c r="B8" s="527" t="s">
        <v>181</v>
      </c>
      <c r="C8" s="371" t="s">
        <v>146</v>
      </c>
      <c r="D8" s="372">
        <v>5</v>
      </c>
      <c r="E8" s="372">
        <v>3</v>
      </c>
      <c r="F8" s="512">
        <v>4</v>
      </c>
      <c r="G8" s="372">
        <v>8</v>
      </c>
      <c r="H8" s="372">
        <f t="shared" si="0"/>
        <v>20</v>
      </c>
      <c r="I8" s="548">
        <f t="shared" si="1"/>
        <v>20</v>
      </c>
      <c r="J8" s="1425"/>
      <c r="K8" s="1427"/>
      <c r="L8" s="594"/>
      <c r="M8" s="594"/>
      <c r="N8" s="365"/>
      <c r="O8" s="364"/>
      <c r="P8" s="594"/>
      <c r="Q8" s="365"/>
      <c r="R8" s="369"/>
      <c r="S8" s="595"/>
      <c r="T8" s="595"/>
      <c r="U8" s="366"/>
      <c r="V8" s="369"/>
      <c r="W8" s="595"/>
      <c r="X8" s="526"/>
      <c r="Y8" s="462"/>
    </row>
    <row r="9" spans="1:28" ht="14.25" customHeight="1" x14ac:dyDescent="0.3">
      <c r="A9" s="461"/>
      <c r="B9" s="528" t="s">
        <v>183</v>
      </c>
      <c r="C9" s="511" t="s">
        <v>146</v>
      </c>
      <c r="D9" s="512">
        <v>13</v>
      </c>
      <c r="E9" s="512">
        <v>2</v>
      </c>
      <c r="F9" s="516"/>
      <c r="G9" s="512">
        <v>2</v>
      </c>
      <c r="H9" s="512">
        <f t="shared" si="0"/>
        <v>17</v>
      </c>
      <c r="I9" s="549">
        <f t="shared" si="1"/>
        <v>17</v>
      </c>
      <c r="J9" s="596"/>
      <c r="K9" s="373"/>
      <c r="L9" s="594"/>
      <c r="M9" s="594"/>
      <c r="N9" s="365"/>
      <c r="O9" s="364" t="s">
        <v>184</v>
      </c>
      <c r="P9" s="594"/>
      <c r="Q9" s="365"/>
      <c r="R9" s="369"/>
      <c r="S9" s="595"/>
      <c r="T9" s="595"/>
      <c r="U9" s="366"/>
      <c r="V9" s="369"/>
      <c r="W9" s="595"/>
      <c r="X9" s="526"/>
      <c r="Y9" s="462"/>
    </row>
    <row r="10" spans="1:28" ht="14.25" customHeight="1" x14ac:dyDescent="0.3">
      <c r="A10" s="461"/>
      <c r="B10" s="529" t="s">
        <v>188</v>
      </c>
      <c r="C10" s="515" t="s">
        <v>146</v>
      </c>
      <c r="D10" s="517">
        <v>1</v>
      </c>
      <c r="E10" s="516"/>
      <c r="G10" s="516"/>
      <c r="H10" s="517">
        <f t="shared" si="0"/>
        <v>1</v>
      </c>
      <c r="I10" s="550">
        <f t="shared" si="1"/>
        <v>1</v>
      </c>
      <c r="J10" s="596"/>
      <c r="K10" s="597"/>
      <c r="L10" s="364"/>
      <c r="M10" s="594"/>
      <c r="N10" s="365"/>
      <c r="O10" s="364"/>
      <c r="P10" s="594"/>
      <c r="Q10" s="365"/>
      <c r="R10" s="369"/>
      <c r="S10" s="595"/>
      <c r="T10" s="595"/>
      <c r="U10" s="366"/>
      <c r="V10" s="369"/>
      <c r="W10" s="595"/>
      <c r="X10" s="526"/>
      <c r="Y10" s="462"/>
    </row>
    <row r="11" spans="1:28" ht="14.25" customHeight="1" x14ac:dyDescent="0.3">
      <c r="A11" s="461"/>
      <c r="B11" s="529" t="s">
        <v>185</v>
      </c>
      <c r="C11" s="515" t="s">
        <v>146</v>
      </c>
      <c r="D11" s="517">
        <v>10</v>
      </c>
      <c r="E11" s="517">
        <v>2</v>
      </c>
      <c r="F11" s="517">
        <v>1</v>
      </c>
      <c r="G11" s="517">
        <v>3</v>
      </c>
      <c r="H11" s="517">
        <f t="shared" si="0"/>
        <v>16</v>
      </c>
      <c r="I11" s="550">
        <f t="shared" si="1"/>
        <v>16</v>
      </c>
      <c r="J11" s="598"/>
      <c r="K11" s="599"/>
      <c r="L11" s="374"/>
      <c r="M11" s="599"/>
      <c r="N11" s="375"/>
      <c r="O11" s="376"/>
      <c r="P11" s="599"/>
      <c r="Q11" s="375"/>
      <c r="R11" s="369"/>
      <c r="S11" s="595" t="s">
        <v>187</v>
      </c>
      <c r="T11" s="595"/>
      <c r="U11" s="366"/>
      <c r="V11" s="369"/>
      <c r="W11" s="595"/>
      <c r="X11" s="526"/>
      <c r="Y11" s="462"/>
    </row>
    <row r="12" spans="1:28" ht="14.25" customHeight="1" thickBot="1" x14ac:dyDescent="0.35">
      <c r="A12" s="461"/>
      <c r="B12" s="530" t="s">
        <v>186</v>
      </c>
      <c r="C12" s="513" t="s">
        <v>146</v>
      </c>
      <c r="D12" s="514">
        <v>3</v>
      </c>
      <c r="E12" s="514">
        <v>3</v>
      </c>
      <c r="F12" s="514">
        <v>1</v>
      </c>
      <c r="G12" s="514">
        <v>0</v>
      </c>
      <c r="H12" s="514">
        <f t="shared" si="0"/>
        <v>7</v>
      </c>
      <c r="I12" s="551">
        <f t="shared" si="1"/>
        <v>7</v>
      </c>
      <c r="J12" s="598"/>
      <c r="K12" s="599"/>
      <c r="L12" s="374"/>
      <c r="M12" s="599"/>
      <c r="N12" s="375"/>
      <c r="O12" s="364"/>
      <c r="P12" s="599"/>
      <c r="Q12" s="366" t="s">
        <v>175</v>
      </c>
      <c r="R12" s="369"/>
      <c r="S12" s="595" t="s">
        <v>192</v>
      </c>
      <c r="T12" s="595"/>
      <c r="U12" s="366"/>
      <c r="V12" s="369"/>
      <c r="W12" s="595"/>
      <c r="X12" s="526"/>
      <c r="Y12" s="462"/>
    </row>
    <row r="13" spans="1:28" ht="14.25" customHeight="1" x14ac:dyDescent="0.3">
      <c r="A13" s="461"/>
      <c r="B13" s="527" t="s">
        <v>188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48">
        <f t="shared" si="1"/>
        <v>0</v>
      </c>
      <c r="J13" s="600" t="s">
        <v>190</v>
      </c>
      <c r="K13" s="601" t="s">
        <v>191</v>
      </c>
      <c r="L13" s="369"/>
      <c r="M13" s="595"/>
      <c r="N13" s="366"/>
      <c r="O13" s="369"/>
      <c r="P13" s="594"/>
      <c r="Q13" s="365"/>
      <c r="R13" s="369"/>
      <c r="T13" s="593"/>
      <c r="U13" s="377"/>
      <c r="V13" s="1405" t="s">
        <v>695</v>
      </c>
      <c r="W13" s="1359"/>
      <c r="X13" s="531"/>
      <c r="Y13" s="462"/>
      <c r="Z13" s="1406" t="s">
        <v>45</v>
      </c>
      <c r="AA13" s="1408" t="s">
        <v>106</v>
      </c>
      <c r="AB13" s="1410" t="s">
        <v>46</v>
      </c>
    </row>
    <row r="14" spans="1:28" ht="14.25" customHeight="1" thickBot="1" x14ac:dyDescent="0.35">
      <c r="A14" s="461"/>
      <c r="B14" s="527" t="s">
        <v>189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48">
        <f t="shared" si="1"/>
        <v>9</v>
      </c>
      <c r="J14" s="602" t="s">
        <v>195</v>
      </c>
      <c r="K14" s="601" t="s">
        <v>196</v>
      </c>
      <c r="L14" s="378"/>
      <c r="M14" s="603" t="s">
        <v>46</v>
      </c>
      <c r="N14" s="379"/>
      <c r="O14" s="594"/>
      <c r="P14" s="1412" t="s">
        <v>50</v>
      </c>
      <c r="Q14" s="379"/>
      <c r="R14" s="369" t="s">
        <v>67</v>
      </c>
      <c r="S14" s="595"/>
      <c r="T14" s="595"/>
      <c r="U14" s="366"/>
      <c r="V14" s="368" t="s">
        <v>197</v>
      </c>
      <c r="W14" s="595"/>
      <c r="X14" s="526"/>
      <c r="Y14" s="462"/>
      <c r="Z14" s="1407"/>
      <c r="AA14" s="1409"/>
      <c r="AB14" s="1411"/>
    </row>
    <row r="15" spans="1:28" ht="14.25" customHeight="1" thickBot="1" x14ac:dyDescent="0.35">
      <c r="A15" s="461"/>
      <c r="B15" s="532" t="s">
        <v>194</v>
      </c>
      <c r="C15" s="533" t="s">
        <v>146</v>
      </c>
      <c r="D15" s="534">
        <v>2</v>
      </c>
      <c r="E15" s="534">
        <v>1</v>
      </c>
      <c r="F15" s="534">
        <v>1</v>
      </c>
      <c r="G15" s="534">
        <v>1</v>
      </c>
      <c r="H15" s="534">
        <f t="shared" si="0"/>
        <v>5</v>
      </c>
      <c r="I15" s="552">
        <f t="shared" si="1"/>
        <v>5</v>
      </c>
      <c r="J15" s="535"/>
      <c r="K15" s="536"/>
      <c r="L15" s="537"/>
      <c r="M15" s="538"/>
      <c r="N15" s="539"/>
      <c r="O15" s="540"/>
      <c r="P15" s="1413"/>
      <c r="Q15" s="539"/>
      <c r="R15" s="541"/>
      <c r="S15" s="542"/>
      <c r="T15" s="542"/>
      <c r="U15" s="543"/>
      <c r="V15" s="544"/>
      <c r="W15" s="542"/>
      <c r="X15" s="545"/>
      <c r="Y15" s="462"/>
      <c r="Z15" s="404"/>
      <c r="AA15" s="404"/>
      <c r="AB15" s="405"/>
    </row>
    <row r="16" spans="1:28" ht="14.25" customHeight="1" thickBot="1" x14ac:dyDescent="0.35">
      <c r="A16" s="461"/>
      <c r="B16" s="1414" t="s">
        <v>198</v>
      </c>
      <c r="C16" s="1415"/>
      <c r="D16" s="1415"/>
      <c r="E16" s="1415"/>
      <c r="F16" s="1415"/>
      <c r="G16" s="1416"/>
      <c r="H16" s="380">
        <f>D3</f>
        <v>187</v>
      </c>
      <c r="I16" s="381">
        <f>292-H16</f>
        <v>105</v>
      </c>
      <c r="J16" s="594"/>
      <c r="K16" s="594"/>
      <c r="L16" s="594"/>
      <c r="M16" s="594"/>
      <c r="N16" s="604"/>
      <c r="O16" s="382"/>
      <c r="P16" s="597"/>
      <c r="Q16" s="594"/>
      <c r="R16" s="595"/>
      <c r="S16" s="595"/>
      <c r="T16" s="595"/>
      <c r="U16" s="595"/>
      <c r="V16" s="605"/>
      <c r="W16" s="605"/>
      <c r="X16" s="595"/>
      <c r="Y16" s="463"/>
      <c r="Z16" s="406">
        <f>SUM(Z18:Z254)</f>
        <v>187</v>
      </c>
      <c r="AA16" s="406">
        <f>SUM(AA18:AA254)</f>
        <v>125</v>
      </c>
      <c r="AB16" s="407">
        <f>SUM(AB18:AB254)</f>
        <v>131</v>
      </c>
    </row>
    <row r="17" spans="1:39" ht="14.25" customHeight="1" x14ac:dyDescent="0.3">
      <c r="A17" s="461"/>
      <c r="B17" s="606" t="s">
        <v>554</v>
      </c>
      <c r="C17" s="606"/>
      <c r="D17" s="606"/>
      <c r="E17" s="607"/>
      <c r="F17" s="607"/>
      <c r="G17" s="607"/>
      <c r="H17" s="607"/>
      <c r="I17" s="594"/>
      <c r="J17" s="594"/>
      <c r="K17" s="594"/>
      <c r="L17" s="594"/>
      <c r="M17" s="594"/>
      <c r="N17" s="604"/>
      <c r="O17" s="382"/>
      <c r="P17" s="597"/>
      <c r="Q17" s="594"/>
      <c r="R17" s="595"/>
      <c r="S17" s="595"/>
      <c r="T17" s="595"/>
      <c r="U17" s="595"/>
      <c r="V17" s="605"/>
      <c r="W17" s="605"/>
      <c r="X17" s="595"/>
      <c r="Y17" s="463"/>
      <c r="Z17" s="456"/>
      <c r="AA17" s="411"/>
      <c r="AB17" s="412"/>
    </row>
    <row r="18" spans="1:39" ht="14.25" customHeight="1" x14ac:dyDescent="0.3">
      <c r="A18" s="464" t="s">
        <v>696</v>
      </c>
      <c r="B18" s="383"/>
      <c r="C18" s="384"/>
      <c r="D18" s="606"/>
      <c r="E18" s="607"/>
      <c r="F18" s="607"/>
      <c r="G18" s="607"/>
      <c r="H18" s="607"/>
      <c r="I18" s="594"/>
      <c r="J18" s="594"/>
      <c r="K18" s="594"/>
      <c r="L18" s="594"/>
      <c r="M18" s="594"/>
      <c r="N18" s="604"/>
      <c r="O18" s="382"/>
      <c r="P18" s="597"/>
      <c r="Q18" s="594"/>
      <c r="R18" s="595"/>
      <c r="S18" s="595"/>
      <c r="T18" s="595"/>
      <c r="U18" s="595"/>
      <c r="V18" s="605"/>
      <c r="W18" s="605"/>
      <c r="X18" s="595"/>
      <c r="Y18" s="463"/>
      <c r="Z18" s="457"/>
      <c r="AA18" s="408"/>
      <c r="AB18" s="413"/>
      <c r="AD18" s="357" t="s">
        <v>697</v>
      </c>
      <c r="AE18" s="357" t="s">
        <v>698</v>
      </c>
      <c r="AF18" s="357" t="s">
        <v>699</v>
      </c>
      <c r="AG18" s="357" t="s">
        <v>700</v>
      </c>
      <c r="AH18" s="357" t="s">
        <v>701</v>
      </c>
      <c r="AI18" s="357" t="s">
        <v>702</v>
      </c>
      <c r="AJ18" s="357" t="s">
        <v>703</v>
      </c>
      <c r="AK18" s="357" t="s">
        <v>704</v>
      </c>
      <c r="AL18" s="357" t="s">
        <v>705</v>
      </c>
      <c r="AM18" s="357" t="s">
        <v>50</v>
      </c>
    </row>
    <row r="19" spans="1:39" ht="14.25" customHeight="1" x14ac:dyDescent="0.3">
      <c r="A19" s="461"/>
      <c r="B19" s="604"/>
      <c r="C19" s="385"/>
      <c r="D19" s="594"/>
      <c r="E19" s="594"/>
      <c r="F19" s="594"/>
      <c r="G19" s="382"/>
      <c r="H19" s="594"/>
      <c r="I19" s="385"/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465"/>
      <c r="Z19" s="457"/>
      <c r="AA19" s="408"/>
      <c r="AB19" s="413"/>
      <c r="AC19" s="357" t="s">
        <v>706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04"/>
      <c r="C20" s="594"/>
      <c r="D20" s="608"/>
      <c r="E20" s="609"/>
      <c r="F20" s="608"/>
      <c r="G20" s="608"/>
      <c r="H20" s="608"/>
      <c r="I20" s="594"/>
      <c r="J20" s="608"/>
      <c r="K20" s="608"/>
      <c r="L20" s="608"/>
      <c r="M20" s="608"/>
      <c r="N20" s="608"/>
      <c r="O20" s="608"/>
      <c r="P20" s="608"/>
      <c r="Q20" s="610"/>
      <c r="R20" s="610"/>
      <c r="S20" s="610"/>
      <c r="T20" s="608"/>
      <c r="U20" s="610"/>
      <c r="V20" s="608"/>
      <c r="W20" s="610"/>
      <c r="X20" s="608"/>
      <c r="Y20" s="466"/>
      <c r="Z20" s="457"/>
      <c r="AA20" s="408"/>
      <c r="AB20" s="413"/>
      <c r="AC20" s="387" t="s">
        <v>707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41" t="s">
        <v>867</v>
      </c>
      <c r="C21" s="389">
        <v>411</v>
      </c>
      <c r="D21" s="1437"/>
      <c r="E21" s="390">
        <v>432</v>
      </c>
      <c r="F21" s="1439" t="s">
        <v>766</v>
      </c>
      <c r="G21" s="390">
        <v>411</v>
      </c>
      <c r="H21" s="1439" t="s">
        <v>766</v>
      </c>
      <c r="I21" s="390">
        <v>432</v>
      </c>
      <c r="J21" s="1437"/>
      <c r="K21" s="1067">
        <v>411</v>
      </c>
      <c r="L21" s="1437"/>
      <c r="M21" s="1067">
        <v>432</v>
      </c>
      <c r="N21" s="1437"/>
      <c r="O21" s="390">
        <v>411</v>
      </c>
      <c r="P21" s="1439" t="s">
        <v>766</v>
      </c>
      <c r="Q21" s="390">
        <v>374.43700000000001</v>
      </c>
      <c r="R21" s="1441" t="s">
        <v>870</v>
      </c>
      <c r="S21" s="390">
        <v>376.00299999999999</v>
      </c>
      <c r="T21" s="1439" t="s">
        <v>870</v>
      </c>
      <c r="U21" s="390">
        <v>405</v>
      </c>
      <c r="V21" s="1439" t="s">
        <v>870</v>
      </c>
      <c r="W21" s="390">
        <v>340</v>
      </c>
      <c r="X21" s="1439" t="s">
        <v>870</v>
      </c>
      <c r="Y21" s="467">
        <v>397</v>
      </c>
      <c r="Z21" s="457">
        <v>8</v>
      </c>
      <c r="AA21" s="408">
        <v>6</v>
      </c>
      <c r="AB21" s="413">
        <v>3</v>
      </c>
      <c r="AC21" s="391" t="s">
        <v>708</v>
      </c>
      <c r="AD21" s="391"/>
      <c r="AE21" s="391"/>
      <c r="AF21" s="391"/>
    </row>
    <row r="22" spans="1:39" ht="14.25" customHeight="1" x14ac:dyDescent="0.3">
      <c r="A22" s="461"/>
      <c r="B22" s="1442"/>
      <c r="C22" s="608"/>
      <c r="D22" s="1438"/>
      <c r="E22" s="608"/>
      <c r="F22" s="1440"/>
      <c r="G22" s="608"/>
      <c r="H22" s="1440"/>
      <c r="I22" s="608"/>
      <c r="J22" s="1438"/>
      <c r="K22" s="626"/>
      <c r="L22" s="1438"/>
      <c r="M22" s="626"/>
      <c r="N22" s="1438"/>
      <c r="O22" s="608"/>
      <c r="P22" s="1440"/>
      <c r="Q22" s="608"/>
      <c r="R22" s="1442"/>
      <c r="S22" s="608"/>
      <c r="T22" s="1440"/>
      <c r="U22" s="608"/>
      <c r="V22" s="1440"/>
      <c r="W22" s="608"/>
      <c r="X22" s="1440"/>
      <c r="Y22" s="468"/>
      <c r="Z22" s="457"/>
      <c r="AA22" s="408"/>
      <c r="AB22" s="413"/>
    </row>
    <row r="23" spans="1:39" ht="14.25" customHeight="1" x14ac:dyDescent="0.3">
      <c r="A23" s="461"/>
      <c r="B23" s="611" t="s">
        <v>556</v>
      </c>
      <c r="C23" s="392"/>
      <c r="D23" s="611" t="s">
        <v>200</v>
      </c>
      <c r="E23" s="392"/>
      <c r="F23" s="611" t="s">
        <v>201</v>
      </c>
      <c r="G23" s="392"/>
      <c r="H23" s="611" t="s">
        <v>202</v>
      </c>
      <c r="I23" s="392"/>
      <c r="J23" s="611" t="s">
        <v>203</v>
      </c>
      <c r="K23" s="392"/>
      <c r="L23" s="611" t="s">
        <v>204</v>
      </c>
      <c r="M23" s="392"/>
      <c r="N23" s="611" t="s">
        <v>205</v>
      </c>
      <c r="O23" s="392"/>
      <c r="P23" s="611" t="s">
        <v>206</v>
      </c>
      <c r="Q23" s="612"/>
      <c r="R23" s="611" t="s">
        <v>557</v>
      </c>
      <c r="S23" s="612"/>
      <c r="T23" s="611" t="s">
        <v>207</v>
      </c>
      <c r="U23" s="613"/>
      <c r="V23" s="611" t="s">
        <v>208</v>
      </c>
      <c r="W23" s="612"/>
      <c r="X23" s="611" t="s">
        <v>209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214</v>
      </c>
      <c r="C24" s="385"/>
      <c r="D24" s="392" t="s">
        <v>211</v>
      </c>
      <c r="E24" s="392"/>
      <c r="F24" s="392" t="s">
        <v>212</v>
      </c>
      <c r="G24" s="394"/>
      <c r="H24" s="392" t="s">
        <v>211</v>
      </c>
      <c r="I24" s="392"/>
      <c r="J24" s="392" t="s">
        <v>213</v>
      </c>
      <c r="K24" s="392"/>
      <c r="L24" s="392" t="s">
        <v>213</v>
      </c>
      <c r="M24" s="392"/>
      <c r="N24" s="392" t="s">
        <v>213</v>
      </c>
      <c r="O24" s="392"/>
      <c r="P24" s="392" t="s">
        <v>213</v>
      </c>
      <c r="Q24" s="614">
        <f>(Q21+O21+M21+K21+I21+G21+E21+C21)/1000</f>
        <v>3.3144369999999999</v>
      </c>
      <c r="R24" s="392" t="s">
        <v>214</v>
      </c>
      <c r="S24" s="385"/>
      <c r="T24" s="392" t="s">
        <v>212</v>
      </c>
      <c r="U24" s="392"/>
      <c r="V24" s="392" t="s">
        <v>212</v>
      </c>
      <c r="W24" s="392"/>
      <c r="X24" s="392" t="s">
        <v>212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872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14"/>
      <c r="R25" s="392"/>
      <c r="S25" s="385"/>
      <c r="T25" s="392"/>
      <c r="U25" s="392"/>
      <c r="V25" s="661" t="s">
        <v>555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661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14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594"/>
      <c r="C28" s="615"/>
      <c r="D28" s="594"/>
      <c r="E28" s="615"/>
      <c r="F28" s="594"/>
      <c r="G28" s="615"/>
      <c r="H28" s="594"/>
      <c r="I28" s="615"/>
      <c r="J28" s="594"/>
      <c r="K28" s="615"/>
      <c r="L28" s="594"/>
      <c r="M28" s="615"/>
      <c r="N28" s="594"/>
      <c r="O28" s="615"/>
      <c r="P28" s="594"/>
      <c r="Q28" s="615"/>
      <c r="R28" s="594"/>
      <c r="S28" s="615"/>
      <c r="T28" s="594"/>
      <c r="U28" s="615"/>
      <c r="V28" s="594"/>
      <c r="W28" s="615"/>
      <c r="X28" s="594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08"/>
      <c r="C29" s="615"/>
      <c r="D29" s="608"/>
      <c r="E29" s="615"/>
      <c r="F29" s="608"/>
      <c r="G29" s="615"/>
      <c r="H29" s="608"/>
      <c r="I29" s="615"/>
      <c r="J29" s="608"/>
      <c r="K29" s="615"/>
      <c r="L29" s="608"/>
      <c r="M29" s="615"/>
      <c r="N29" s="608"/>
      <c r="O29" s="615"/>
      <c r="P29" s="608"/>
      <c r="Q29" s="615"/>
      <c r="R29" s="608"/>
      <c r="S29" s="615"/>
      <c r="T29" s="608"/>
      <c r="U29" s="615"/>
      <c r="V29" s="608"/>
      <c r="W29" s="615"/>
      <c r="X29" s="608"/>
      <c r="Y29" s="471"/>
      <c r="Z29" s="457"/>
      <c r="AA29" s="408"/>
      <c r="AB29" s="413"/>
    </row>
    <row r="30" spans="1:39" ht="14.25" customHeight="1" x14ac:dyDescent="0.3">
      <c r="A30" s="461"/>
      <c r="B30" s="1439" t="s">
        <v>870</v>
      </c>
      <c r="C30" s="389">
        <v>399</v>
      </c>
      <c r="D30" s="1445" t="s">
        <v>870</v>
      </c>
      <c r="E30" s="390">
        <v>393</v>
      </c>
      <c r="F30" s="1445" t="s">
        <v>870</v>
      </c>
      <c r="G30" s="390">
        <v>370</v>
      </c>
      <c r="H30" s="1445" t="s">
        <v>870</v>
      </c>
      <c r="I30" s="390">
        <v>350</v>
      </c>
      <c r="J30" s="1443" t="s">
        <v>735</v>
      </c>
      <c r="K30" s="390">
        <v>395</v>
      </c>
      <c r="L30" s="1443" t="s">
        <v>735</v>
      </c>
      <c r="M30" s="390">
        <v>413</v>
      </c>
      <c r="N30" s="1443" t="s">
        <v>735</v>
      </c>
      <c r="O30" s="390">
        <v>366</v>
      </c>
      <c r="P30" s="1443" t="s">
        <v>735</v>
      </c>
      <c r="Q30" s="390">
        <v>377.77</v>
      </c>
      <c r="R30" s="1443" t="s">
        <v>735</v>
      </c>
      <c r="S30" s="390">
        <v>300</v>
      </c>
      <c r="T30" s="1439" t="s">
        <v>710</v>
      </c>
      <c r="U30" s="390">
        <v>393</v>
      </c>
      <c r="V30" s="1439" t="s">
        <v>710</v>
      </c>
      <c r="W30" s="390">
        <v>415</v>
      </c>
      <c r="X30" s="1439" t="s">
        <v>710</v>
      </c>
      <c r="Y30" s="467">
        <v>411</v>
      </c>
      <c r="Z30" s="457">
        <v>9</v>
      </c>
      <c r="AA30" s="408">
        <v>7</v>
      </c>
      <c r="AB30" s="413">
        <v>7</v>
      </c>
    </row>
    <row r="31" spans="1:39" ht="14.25" customHeight="1" x14ac:dyDescent="0.3">
      <c r="A31" s="461"/>
      <c r="B31" s="1440"/>
      <c r="C31" s="608"/>
      <c r="D31" s="1446"/>
      <c r="E31" s="608"/>
      <c r="F31" s="1446"/>
      <c r="G31" s="608"/>
      <c r="H31" s="1446"/>
      <c r="I31" s="608"/>
      <c r="J31" s="1444"/>
      <c r="K31" s="608"/>
      <c r="L31" s="1444"/>
      <c r="M31" s="608"/>
      <c r="N31" s="1444"/>
      <c r="O31" s="608"/>
      <c r="P31" s="1444"/>
      <c r="Q31" s="608"/>
      <c r="R31" s="1444"/>
      <c r="S31" s="608"/>
      <c r="T31" s="1440"/>
      <c r="U31" s="608"/>
      <c r="V31" s="1440"/>
      <c r="W31" s="608"/>
      <c r="X31" s="1440"/>
      <c r="Y31" s="468"/>
      <c r="Z31" s="457"/>
      <c r="AA31" s="408"/>
      <c r="AB31" s="413"/>
    </row>
    <row r="32" spans="1:39" ht="14.25" customHeight="1" x14ac:dyDescent="0.3">
      <c r="A32" s="461"/>
      <c r="B32" s="611" t="s">
        <v>215</v>
      </c>
      <c r="C32" s="392"/>
      <c r="D32" s="611" t="s">
        <v>216</v>
      </c>
      <c r="E32" s="612"/>
      <c r="F32" s="611" t="s">
        <v>217</v>
      </c>
      <c r="G32" s="612"/>
      <c r="H32" s="611" t="s">
        <v>218</v>
      </c>
      <c r="I32" s="612"/>
      <c r="J32" s="611" t="s">
        <v>219</v>
      </c>
      <c r="K32" s="612"/>
      <c r="L32" s="611" t="s">
        <v>220</v>
      </c>
      <c r="M32" s="612"/>
      <c r="N32" s="611" t="s">
        <v>221</v>
      </c>
      <c r="O32" s="612"/>
      <c r="P32" s="611" t="s">
        <v>222</v>
      </c>
      <c r="Q32" s="612"/>
      <c r="R32" s="611" t="s">
        <v>559</v>
      </c>
      <c r="S32" s="612"/>
      <c r="T32" s="611" t="s">
        <v>223</v>
      </c>
      <c r="U32" s="613"/>
      <c r="V32" s="611" t="s">
        <v>224</v>
      </c>
      <c r="W32" s="612"/>
      <c r="X32" s="611" t="s">
        <v>225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212</v>
      </c>
      <c r="C33" s="392"/>
      <c r="D33" s="392" t="s">
        <v>213</v>
      </c>
      <c r="E33" s="392"/>
      <c r="F33" s="392" t="s">
        <v>212</v>
      </c>
      <c r="G33" s="392"/>
      <c r="H33" s="392" t="s">
        <v>212</v>
      </c>
      <c r="I33" s="392"/>
      <c r="J33" s="392" t="s">
        <v>212</v>
      </c>
      <c r="K33" s="392"/>
      <c r="L33" s="392" t="s">
        <v>212</v>
      </c>
      <c r="M33" s="392"/>
      <c r="N33" s="392" t="s">
        <v>212</v>
      </c>
      <c r="O33" s="392"/>
      <c r="P33" s="392" t="s">
        <v>212</v>
      </c>
      <c r="Q33" s="614">
        <f>(S21+U21+W21+Y21+Q30+O30+M30+K30+I30+G30+E30+C30)/1000</f>
        <v>4.5817730000000001</v>
      </c>
      <c r="R33" s="392" t="s">
        <v>226</v>
      </c>
      <c r="S33" s="392"/>
      <c r="T33" s="392" t="s">
        <v>212</v>
      </c>
      <c r="U33" s="392"/>
      <c r="V33" s="392" t="s">
        <v>212</v>
      </c>
      <c r="W33" s="392"/>
      <c r="X33" s="392" t="s">
        <v>213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577"/>
      <c r="E34" s="577"/>
      <c r="F34" s="577"/>
      <c r="G34" s="577"/>
      <c r="H34" s="577"/>
      <c r="I34" s="577"/>
      <c r="J34" s="577"/>
      <c r="K34" s="392"/>
      <c r="L34" s="392"/>
      <c r="M34" s="392"/>
      <c r="N34" s="392"/>
      <c r="O34" s="392"/>
      <c r="P34" s="392"/>
      <c r="Q34" s="614"/>
      <c r="R34" s="616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14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04"/>
      <c r="C36" s="604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7"/>
      <c r="O36" s="610"/>
      <c r="P36" s="607"/>
      <c r="Q36" s="610"/>
      <c r="R36" s="607"/>
      <c r="S36" s="608"/>
      <c r="T36" s="607"/>
      <c r="U36" s="608"/>
      <c r="V36" s="607"/>
      <c r="W36" s="608"/>
      <c r="X36" s="607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04"/>
      <c r="C37" s="615"/>
      <c r="D37" s="594"/>
      <c r="E37" s="615"/>
      <c r="F37" s="594"/>
      <c r="G37" s="615"/>
      <c r="H37" s="594"/>
      <c r="I37" s="615"/>
      <c r="J37" s="594"/>
      <c r="K37" s="615"/>
      <c r="L37" s="594"/>
      <c r="M37" s="615"/>
      <c r="N37" s="594"/>
      <c r="O37" s="615"/>
      <c r="P37" s="594"/>
      <c r="Q37" s="615"/>
      <c r="R37" s="594"/>
      <c r="S37" s="615"/>
      <c r="T37" s="594"/>
      <c r="U37" s="615"/>
      <c r="V37" s="594"/>
      <c r="W37" s="615"/>
      <c r="X37" s="615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04"/>
      <c r="C38" s="617"/>
      <c r="D38" s="613"/>
      <c r="E38" s="617"/>
      <c r="F38" s="613"/>
      <c r="G38" s="617"/>
      <c r="H38" s="613"/>
      <c r="I38" s="617"/>
      <c r="J38" s="613"/>
      <c r="K38" s="617"/>
      <c r="L38" s="613"/>
      <c r="M38" s="617"/>
      <c r="N38" s="613"/>
      <c r="O38" s="617"/>
      <c r="P38" s="613"/>
      <c r="Q38" s="617"/>
      <c r="R38" s="613"/>
      <c r="S38" s="617"/>
      <c r="T38" s="613"/>
      <c r="U38" s="617"/>
      <c r="V38" s="613"/>
      <c r="W38" s="617"/>
      <c r="X38" s="617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41" t="s">
        <v>908</v>
      </c>
      <c r="C39" s="389">
        <v>378</v>
      </c>
      <c r="D39" s="1439" t="s">
        <v>908</v>
      </c>
      <c r="E39" s="390">
        <v>370</v>
      </c>
      <c r="F39" s="1439" t="s">
        <v>908</v>
      </c>
      <c r="G39" s="390">
        <v>370</v>
      </c>
      <c r="H39" s="1439" t="s">
        <v>908</v>
      </c>
      <c r="I39" s="390">
        <v>404</v>
      </c>
      <c r="J39" s="1439" t="s">
        <v>908</v>
      </c>
      <c r="K39" s="390">
        <v>374</v>
      </c>
      <c r="L39" s="1439" t="s">
        <v>908</v>
      </c>
      <c r="M39" s="390">
        <v>416</v>
      </c>
      <c r="N39" s="1439" t="s">
        <v>710</v>
      </c>
      <c r="O39" s="390">
        <v>425</v>
      </c>
      <c r="P39" s="1439" t="s">
        <v>710</v>
      </c>
      <c r="Q39" s="390">
        <v>411</v>
      </c>
      <c r="R39" s="1439" t="s">
        <v>710</v>
      </c>
      <c r="S39" s="390">
        <v>427</v>
      </c>
      <c r="T39" s="1439" t="s">
        <v>710</v>
      </c>
      <c r="U39" s="390">
        <v>370</v>
      </c>
      <c r="V39" s="1439" t="s">
        <v>710</v>
      </c>
      <c r="W39" s="390">
        <v>356</v>
      </c>
      <c r="X39" s="1441" t="s">
        <v>730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42"/>
      <c r="C40" s="613"/>
      <c r="D40" s="1440"/>
      <c r="E40" s="613"/>
      <c r="F40" s="1440"/>
      <c r="G40" s="613"/>
      <c r="H40" s="1440"/>
      <c r="I40" s="613"/>
      <c r="J40" s="1440"/>
      <c r="K40" s="613"/>
      <c r="L40" s="1440"/>
      <c r="M40" s="613"/>
      <c r="N40" s="1440"/>
      <c r="O40" s="613"/>
      <c r="P40" s="1440"/>
      <c r="Q40" s="613"/>
      <c r="R40" s="1440"/>
      <c r="S40" s="613"/>
      <c r="T40" s="1440"/>
      <c r="U40" s="613"/>
      <c r="V40" s="1440"/>
      <c r="W40" s="613"/>
      <c r="X40" s="1447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11" t="s">
        <v>560</v>
      </c>
      <c r="C41" s="392"/>
      <c r="D41" s="611" t="s">
        <v>227</v>
      </c>
      <c r="E41" s="612"/>
      <c r="F41" s="611" t="s">
        <v>228</v>
      </c>
      <c r="G41" s="612"/>
      <c r="H41" s="611" t="s">
        <v>229</v>
      </c>
      <c r="I41" s="612"/>
      <c r="J41" s="611" t="s">
        <v>230</v>
      </c>
      <c r="K41" s="612"/>
      <c r="L41" s="611" t="s">
        <v>231</v>
      </c>
      <c r="M41" s="612"/>
      <c r="N41" s="611" t="s">
        <v>232</v>
      </c>
      <c r="O41" s="612"/>
      <c r="P41" s="611" t="s">
        <v>233</v>
      </c>
      <c r="Q41" s="612"/>
      <c r="R41" s="611" t="s">
        <v>234</v>
      </c>
      <c r="S41" s="612"/>
      <c r="T41" s="611" t="s">
        <v>235</v>
      </c>
      <c r="U41" s="613"/>
      <c r="V41" s="611" t="s">
        <v>236</v>
      </c>
      <c r="W41" s="612"/>
      <c r="X41" s="611" t="s">
        <v>561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226</v>
      </c>
      <c r="C42" s="392"/>
      <c r="D42" s="392" t="s">
        <v>213</v>
      </c>
      <c r="E42" s="392"/>
      <c r="F42" s="392" t="s">
        <v>212</v>
      </c>
      <c r="G42" s="392"/>
      <c r="H42" s="392" t="s">
        <v>212</v>
      </c>
      <c r="I42" s="392"/>
      <c r="J42" s="392" t="s">
        <v>212</v>
      </c>
      <c r="K42" s="392"/>
      <c r="L42" s="392" t="s">
        <v>212</v>
      </c>
      <c r="M42" s="392"/>
      <c r="N42" s="392" t="s">
        <v>213</v>
      </c>
      <c r="O42" s="392"/>
      <c r="P42" s="392" t="s">
        <v>213</v>
      </c>
      <c r="Q42" s="392"/>
      <c r="R42" s="392" t="s">
        <v>212</v>
      </c>
      <c r="S42" s="392"/>
      <c r="T42" s="392" t="s">
        <v>213</v>
      </c>
      <c r="U42" s="392"/>
      <c r="V42" s="392" t="s">
        <v>212</v>
      </c>
      <c r="W42" s="607">
        <f>(C39+E39+G39+I39+K39+M39+O39+Q39+S39+U39+W39)/1000</f>
        <v>4.3010000000000002</v>
      </c>
      <c r="X42" s="392" t="s">
        <v>237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577"/>
      <c r="O43" s="577"/>
      <c r="P43" s="577"/>
      <c r="Q43" s="577"/>
      <c r="R43" s="577"/>
      <c r="S43" s="392"/>
      <c r="T43" s="392"/>
      <c r="U43" s="392"/>
      <c r="V43" s="392"/>
      <c r="W43" s="607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07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18"/>
      <c r="C45" s="619"/>
      <c r="D45" s="618"/>
      <c r="E45" s="619"/>
      <c r="F45" s="618"/>
      <c r="G45" s="618"/>
      <c r="H45" s="618"/>
      <c r="I45" s="618"/>
      <c r="J45" s="618"/>
      <c r="K45" s="619"/>
      <c r="L45" s="607"/>
      <c r="M45" s="610"/>
      <c r="N45" s="618"/>
      <c r="O45" s="619"/>
      <c r="P45" s="392"/>
      <c r="Q45" s="619"/>
      <c r="R45" s="618"/>
      <c r="S45" s="619"/>
      <c r="T45" s="618"/>
      <c r="U45" s="619"/>
      <c r="V45" s="618"/>
      <c r="W45" s="619"/>
      <c r="X45" s="618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594"/>
      <c r="C46" s="615"/>
      <c r="D46" s="594"/>
      <c r="E46" s="615"/>
      <c r="F46" s="594"/>
      <c r="G46" s="615"/>
      <c r="H46" s="594"/>
      <c r="I46" s="615"/>
      <c r="J46" s="604" t="s">
        <v>934</v>
      </c>
      <c r="K46" s="615"/>
      <c r="L46" s="594"/>
      <c r="M46" s="615"/>
      <c r="N46" s="594"/>
      <c r="O46" s="615"/>
      <c r="P46" s="594"/>
      <c r="Q46" s="615"/>
      <c r="R46" s="594"/>
      <c r="S46" s="615"/>
      <c r="T46" s="594"/>
      <c r="U46" s="615"/>
      <c r="V46" s="594"/>
      <c r="W46" s="615"/>
      <c r="X46" s="615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08"/>
      <c r="C47" s="615"/>
      <c r="D47" s="608"/>
      <c r="E47" s="615"/>
      <c r="F47" s="608"/>
      <c r="G47" s="615"/>
      <c r="H47" s="608"/>
      <c r="I47" s="615"/>
      <c r="J47" s="604"/>
      <c r="K47" s="615"/>
      <c r="L47" s="608"/>
      <c r="M47" s="615"/>
      <c r="N47" s="608"/>
      <c r="O47" s="615"/>
      <c r="P47" s="608"/>
      <c r="Q47" s="615"/>
      <c r="R47" s="608"/>
      <c r="S47" s="615"/>
      <c r="T47" s="608"/>
      <c r="U47" s="615"/>
      <c r="V47" s="608"/>
      <c r="W47" s="615"/>
      <c r="X47" s="615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439" t="s">
        <v>710</v>
      </c>
      <c r="C48" s="389">
        <v>355</v>
      </c>
      <c r="D48" s="1439" t="s">
        <v>920</v>
      </c>
      <c r="E48" s="390">
        <v>348</v>
      </c>
      <c r="F48" s="1439" t="s">
        <v>908</v>
      </c>
      <c r="G48" s="390">
        <v>434</v>
      </c>
      <c r="H48" s="1439" t="s">
        <v>908</v>
      </c>
      <c r="I48" s="390">
        <v>401</v>
      </c>
      <c r="J48" s="1441" t="s">
        <v>710</v>
      </c>
      <c r="K48" s="390">
        <v>400</v>
      </c>
      <c r="L48" s="1439" t="s">
        <v>710</v>
      </c>
      <c r="M48" s="390">
        <v>413</v>
      </c>
      <c r="N48" s="1439" t="s">
        <v>710</v>
      </c>
      <c r="O48" s="390">
        <v>406</v>
      </c>
      <c r="P48" s="1439" t="s">
        <v>710</v>
      </c>
      <c r="Q48" s="390">
        <v>390</v>
      </c>
      <c r="R48" s="1439" t="s">
        <v>710</v>
      </c>
      <c r="S48" s="390">
        <v>390</v>
      </c>
      <c r="T48" s="1439" t="s">
        <v>710</v>
      </c>
      <c r="U48" s="390">
        <v>430</v>
      </c>
      <c r="V48" s="1439" t="s">
        <v>757</v>
      </c>
      <c r="W48" s="390">
        <v>332</v>
      </c>
      <c r="X48" s="1441" t="s">
        <v>922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40"/>
      <c r="C49" s="613"/>
      <c r="D49" s="1448"/>
      <c r="E49" s="613"/>
      <c r="F49" s="1440"/>
      <c r="G49" s="613"/>
      <c r="H49" s="1448"/>
      <c r="I49" s="613"/>
      <c r="J49" s="1442"/>
      <c r="K49" s="613"/>
      <c r="L49" s="1440"/>
      <c r="M49" s="613"/>
      <c r="N49" s="1440"/>
      <c r="O49" s="613"/>
      <c r="P49" s="1440"/>
      <c r="Q49" s="613"/>
      <c r="R49" s="1440"/>
      <c r="S49" s="613"/>
      <c r="T49" s="1440"/>
      <c r="U49" s="613"/>
      <c r="V49" s="1448"/>
      <c r="W49" s="613"/>
      <c r="X49" s="1442"/>
      <c r="Y49" s="468"/>
      <c r="Z49" s="458">
        <v>12</v>
      </c>
      <c r="AA49" s="409">
        <v>7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11" t="s">
        <v>238</v>
      </c>
      <c r="C50" s="392"/>
      <c r="D50" s="611" t="s">
        <v>239</v>
      </c>
      <c r="E50" s="612"/>
      <c r="F50" s="611" t="s">
        <v>240</v>
      </c>
      <c r="G50" s="612"/>
      <c r="H50" s="611" t="s">
        <v>241</v>
      </c>
      <c r="I50" s="612"/>
      <c r="J50" s="611" t="s">
        <v>562</v>
      </c>
      <c r="K50" s="612"/>
      <c r="L50" s="611" t="s">
        <v>242</v>
      </c>
      <c r="M50" s="612"/>
      <c r="N50" s="611" t="s">
        <v>243</v>
      </c>
      <c r="O50" s="612"/>
      <c r="P50" s="611" t="s">
        <v>244</v>
      </c>
      <c r="Q50" s="612"/>
      <c r="R50" s="611" t="s">
        <v>245</v>
      </c>
      <c r="S50" s="612"/>
      <c r="T50" s="611" t="s">
        <v>246</v>
      </c>
      <c r="U50" s="613"/>
      <c r="V50" s="611" t="s">
        <v>247</v>
      </c>
      <c r="W50" s="612"/>
      <c r="X50" s="611" t="s">
        <v>563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248</v>
      </c>
      <c r="C51" s="392"/>
      <c r="D51" s="392" t="s">
        <v>212</v>
      </c>
      <c r="E51" s="392"/>
      <c r="F51" s="392" t="s">
        <v>212</v>
      </c>
      <c r="G51" s="392"/>
      <c r="H51" s="392" t="s">
        <v>212</v>
      </c>
      <c r="I51" s="607">
        <f>(Y39+C48+E48+G48+I48)/1000</f>
        <v>1.9970000000000001</v>
      </c>
      <c r="J51" s="392" t="s">
        <v>564</v>
      </c>
      <c r="K51" s="392"/>
      <c r="L51" s="392" t="s">
        <v>213</v>
      </c>
      <c r="M51" s="392"/>
      <c r="N51" s="392" t="s">
        <v>212</v>
      </c>
      <c r="O51" s="392"/>
      <c r="P51" s="392" t="s">
        <v>213</v>
      </c>
      <c r="Q51" s="392"/>
      <c r="R51" s="392" t="s">
        <v>212</v>
      </c>
      <c r="S51" s="392"/>
      <c r="T51" s="392" t="s">
        <v>212</v>
      </c>
      <c r="U51" s="392"/>
      <c r="V51" s="392" t="s">
        <v>213</v>
      </c>
      <c r="W51" s="607">
        <f>(K48+M48+O48+Q48+S48+U48+W48)/1000</f>
        <v>2.7610000000000001</v>
      </c>
      <c r="X51" s="392" t="s">
        <v>249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577"/>
      <c r="E52" s="577"/>
      <c r="F52" s="577"/>
      <c r="G52" s="577"/>
      <c r="H52" s="577"/>
      <c r="I52" s="620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607"/>
      <c r="X52" s="616" t="s">
        <v>709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07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07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04"/>
      <c r="C54" s="604"/>
      <c r="D54" s="607"/>
      <c r="E54" s="610"/>
      <c r="F54" s="607"/>
      <c r="G54" s="608"/>
      <c r="H54" s="607"/>
      <c r="I54" s="608"/>
      <c r="J54" s="607"/>
      <c r="K54" s="610"/>
      <c r="L54" s="607"/>
      <c r="M54" s="608"/>
      <c r="N54" s="621"/>
      <c r="O54" s="610"/>
      <c r="P54" s="621"/>
      <c r="Q54" s="608"/>
      <c r="R54" s="621"/>
      <c r="S54" s="608"/>
      <c r="T54" s="621"/>
      <c r="U54" s="608"/>
      <c r="V54" s="607"/>
      <c r="W54" s="608"/>
      <c r="X54" s="607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04"/>
      <c r="C55" s="615"/>
      <c r="D55" s="594"/>
      <c r="E55" s="615"/>
      <c r="F55" s="594"/>
      <c r="G55" s="615"/>
      <c r="H55" s="594"/>
      <c r="I55" s="615"/>
      <c r="J55" s="604"/>
      <c r="K55" s="615"/>
      <c r="L55" s="594"/>
      <c r="M55" s="615"/>
      <c r="N55" s="594"/>
      <c r="O55" s="615"/>
      <c r="P55" s="594"/>
      <c r="Q55" s="615"/>
      <c r="R55" s="594"/>
      <c r="S55" s="615"/>
      <c r="T55" s="594"/>
      <c r="U55" s="615"/>
      <c r="V55" s="594"/>
      <c r="W55" s="615"/>
      <c r="X55" s="604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04"/>
      <c r="C56" s="615"/>
      <c r="D56" s="608"/>
      <c r="E56" s="615"/>
      <c r="F56" s="608"/>
      <c r="G56" s="615"/>
      <c r="H56" s="608"/>
      <c r="I56" s="615"/>
      <c r="J56" s="604"/>
      <c r="K56" s="615"/>
      <c r="L56" s="608"/>
      <c r="M56" s="615"/>
      <c r="N56" s="608"/>
      <c r="O56" s="615"/>
      <c r="P56" s="608"/>
      <c r="Q56" s="615"/>
      <c r="R56" s="608"/>
      <c r="S56" s="615"/>
      <c r="T56" s="608"/>
      <c r="U56" s="615"/>
      <c r="V56" s="608"/>
      <c r="W56" s="615"/>
      <c r="X56" s="604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49" t="s">
        <v>922</v>
      </c>
      <c r="C57" s="389">
        <v>339</v>
      </c>
      <c r="D57" s="1439" t="s">
        <v>710</v>
      </c>
      <c r="E57" s="390">
        <v>365</v>
      </c>
      <c r="F57" s="1451" t="s">
        <v>713</v>
      </c>
      <c r="G57" s="390">
        <v>409</v>
      </c>
      <c r="H57" s="1439" t="s">
        <v>710</v>
      </c>
      <c r="I57" s="390">
        <v>340.46199999999999</v>
      </c>
      <c r="J57" s="1453" t="s">
        <v>871</v>
      </c>
      <c r="K57" s="390">
        <v>352</v>
      </c>
      <c r="L57" s="1439" t="s">
        <v>710</v>
      </c>
      <c r="M57" s="390">
        <v>419</v>
      </c>
      <c r="N57" s="1439" t="s">
        <v>710</v>
      </c>
      <c r="O57" s="390">
        <v>410</v>
      </c>
      <c r="P57" s="1439" t="s">
        <v>710</v>
      </c>
      <c r="Q57" s="390">
        <v>413</v>
      </c>
      <c r="R57" s="1439" t="s">
        <v>710</v>
      </c>
      <c r="S57" s="390">
        <v>407</v>
      </c>
      <c r="T57" s="1443" t="s">
        <v>735</v>
      </c>
      <c r="U57" s="390">
        <v>351</v>
      </c>
      <c r="V57" s="1439" t="s">
        <v>710</v>
      </c>
      <c r="W57" s="390">
        <v>405</v>
      </c>
      <c r="X57" s="1441" t="s">
        <v>710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50"/>
      <c r="C58" s="613"/>
      <c r="D58" s="1440"/>
      <c r="E58" s="613"/>
      <c r="F58" s="1452"/>
      <c r="G58" s="613"/>
      <c r="H58" s="1440"/>
      <c r="I58" s="613"/>
      <c r="J58" s="1454"/>
      <c r="K58" s="613"/>
      <c r="L58" s="1440"/>
      <c r="M58" s="613"/>
      <c r="N58" s="1440"/>
      <c r="O58" s="613"/>
      <c r="P58" s="1440"/>
      <c r="Q58" s="613"/>
      <c r="R58" s="1440"/>
      <c r="S58" s="613"/>
      <c r="T58" s="1444"/>
      <c r="U58" s="613"/>
      <c r="V58" s="1440"/>
      <c r="W58" s="613"/>
      <c r="X58" s="1442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11" t="s">
        <v>565</v>
      </c>
      <c r="C59" s="392"/>
      <c r="D59" s="611" t="s">
        <v>250</v>
      </c>
      <c r="E59" s="612"/>
      <c r="F59" s="611" t="s">
        <v>251</v>
      </c>
      <c r="G59" s="612"/>
      <c r="H59" s="611" t="s">
        <v>252</v>
      </c>
      <c r="I59" s="612"/>
      <c r="J59" s="611" t="s">
        <v>566</v>
      </c>
      <c r="K59" s="612"/>
      <c r="L59" s="611" t="s">
        <v>253</v>
      </c>
      <c r="M59" s="612"/>
      <c r="N59" s="611" t="s">
        <v>254</v>
      </c>
      <c r="O59" s="612"/>
      <c r="P59" s="611" t="s">
        <v>255</v>
      </c>
      <c r="Q59" s="612"/>
      <c r="R59" s="611" t="s">
        <v>256</v>
      </c>
      <c r="S59" s="612"/>
      <c r="T59" s="611" t="s">
        <v>257</v>
      </c>
      <c r="U59" s="613"/>
      <c r="V59" s="611" t="s">
        <v>258</v>
      </c>
      <c r="W59" s="612"/>
      <c r="X59" s="611" t="s">
        <v>259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249</v>
      </c>
      <c r="C60" s="392"/>
      <c r="D60" s="392" t="s">
        <v>212</v>
      </c>
      <c r="E60" s="392"/>
      <c r="F60" s="392" t="s">
        <v>212</v>
      </c>
      <c r="G60" s="392"/>
      <c r="H60" s="392" t="s">
        <v>212</v>
      </c>
      <c r="I60" s="614">
        <f>(C57+E57+G57+I57)/1000</f>
        <v>1.453462</v>
      </c>
      <c r="J60" s="392" t="s">
        <v>237</v>
      </c>
      <c r="K60" s="392"/>
      <c r="L60" s="392" t="s">
        <v>213</v>
      </c>
      <c r="M60" s="392"/>
      <c r="N60" s="392" t="s">
        <v>213</v>
      </c>
      <c r="O60" s="392"/>
      <c r="P60" s="392" t="s">
        <v>212</v>
      </c>
      <c r="Q60" s="392"/>
      <c r="R60" s="392" t="s">
        <v>213</v>
      </c>
      <c r="S60" s="392"/>
      <c r="T60" s="392" t="s">
        <v>213</v>
      </c>
      <c r="U60" s="392"/>
      <c r="V60" s="392" t="s">
        <v>212</v>
      </c>
      <c r="W60" s="614">
        <f>(K57+M57+O57+Q57+S57+U57+W57)/1000</f>
        <v>2.7570000000000001</v>
      </c>
      <c r="X60" s="392" t="s">
        <v>210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16" t="s">
        <v>709</v>
      </c>
      <c r="C61" s="392"/>
      <c r="D61" s="392"/>
      <c r="E61" s="392"/>
      <c r="F61" s="577"/>
      <c r="G61" s="577"/>
      <c r="H61" s="577"/>
      <c r="I61" s="622"/>
      <c r="J61" s="577"/>
      <c r="K61" s="392"/>
      <c r="L61" s="392"/>
      <c r="M61" s="392"/>
      <c r="N61" s="392"/>
      <c r="O61" s="392"/>
      <c r="P61" s="577"/>
      <c r="Q61" s="392"/>
      <c r="R61" s="392"/>
      <c r="S61" s="392"/>
      <c r="T61" s="661" t="s">
        <v>555</v>
      </c>
      <c r="U61" s="392"/>
      <c r="V61" s="392"/>
      <c r="W61" s="614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577"/>
      <c r="E62" s="577"/>
      <c r="F62" s="577"/>
      <c r="G62" s="392"/>
      <c r="H62" s="392"/>
      <c r="I62" s="614"/>
      <c r="J62" s="392"/>
      <c r="K62" s="392"/>
      <c r="L62" s="392"/>
      <c r="M62" s="392"/>
      <c r="N62" s="392"/>
      <c r="O62" s="392"/>
      <c r="P62" s="392"/>
      <c r="Q62" s="392"/>
      <c r="R62" s="616"/>
      <c r="S62" s="392"/>
      <c r="T62" s="661"/>
      <c r="U62" s="392"/>
      <c r="V62" s="616"/>
      <c r="W62" s="614"/>
      <c r="X62" s="616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07"/>
      <c r="C63" s="608"/>
      <c r="D63" s="621"/>
      <c r="E63" s="608"/>
      <c r="F63" s="621"/>
      <c r="G63" s="608"/>
      <c r="H63" s="621"/>
      <c r="I63" s="608"/>
      <c r="J63" s="607"/>
      <c r="K63" s="608"/>
      <c r="L63" s="621"/>
      <c r="M63" s="608"/>
      <c r="N63" s="607"/>
      <c r="O63" s="608"/>
      <c r="P63" s="607"/>
      <c r="Q63" s="610"/>
      <c r="R63" s="607"/>
      <c r="S63" s="608"/>
      <c r="T63" s="607"/>
      <c r="U63" s="608"/>
      <c r="V63" s="607"/>
      <c r="W63" s="610"/>
      <c r="X63" s="607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594"/>
      <c r="C64" s="615"/>
      <c r="D64" s="594"/>
      <c r="E64" s="615"/>
      <c r="F64" s="594"/>
      <c r="G64" s="615"/>
      <c r="H64" s="594"/>
      <c r="I64" s="615"/>
      <c r="J64" s="594"/>
      <c r="K64" s="615"/>
      <c r="L64" s="604"/>
      <c r="M64" s="615"/>
      <c r="N64" s="604"/>
      <c r="O64" s="615"/>
      <c r="P64" s="594"/>
      <c r="Q64" s="615"/>
      <c r="R64" s="594"/>
      <c r="S64" s="615"/>
      <c r="T64" s="594"/>
      <c r="U64" s="615"/>
      <c r="V64" s="604"/>
      <c r="W64" s="615"/>
      <c r="X64" s="594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08"/>
      <c r="C65" s="615"/>
      <c r="D65" s="608"/>
      <c r="E65" s="615"/>
      <c r="F65" s="608"/>
      <c r="G65" s="615"/>
      <c r="H65" s="608"/>
      <c r="I65" s="615"/>
      <c r="J65" s="608"/>
      <c r="K65" s="615"/>
      <c r="L65" s="604"/>
      <c r="M65" s="615"/>
      <c r="N65" s="604"/>
      <c r="O65" s="615"/>
      <c r="P65" s="608"/>
      <c r="Q65" s="615"/>
      <c r="R65" s="608"/>
      <c r="S65" s="615"/>
      <c r="T65" s="608"/>
      <c r="U65" s="615"/>
      <c r="V65" s="604"/>
      <c r="W65" s="615"/>
      <c r="X65" s="608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439" t="s">
        <v>710</v>
      </c>
      <c r="C66" s="389">
        <v>439</v>
      </c>
      <c r="D66" s="1439" t="s">
        <v>710</v>
      </c>
      <c r="E66" s="390">
        <v>398</v>
      </c>
      <c r="F66" s="1439" t="s">
        <v>735</v>
      </c>
      <c r="G66" s="390">
        <v>445</v>
      </c>
      <c r="H66" s="1439" t="s">
        <v>735</v>
      </c>
      <c r="I66" s="390">
        <v>355</v>
      </c>
      <c r="J66" s="1439" t="s">
        <v>735</v>
      </c>
      <c r="K66" s="390">
        <v>445.64499999999998</v>
      </c>
      <c r="L66" s="1441" t="s">
        <v>735</v>
      </c>
      <c r="M66" s="390">
        <v>214.74199999999999</v>
      </c>
      <c r="N66" s="1441" t="s">
        <v>735</v>
      </c>
      <c r="O66" s="390">
        <v>498</v>
      </c>
      <c r="P66" s="1439" t="s">
        <v>710</v>
      </c>
      <c r="Q66" s="390">
        <v>325</v>
      </c>
      <c r="R66" s="1439" t="s">
        <v>710</v>
      </c>
      <c r="S66" s="390">
        <v>372</v>
      </c>
      <c r="T66" s="1439" t="s">
        <v>710</v>
      </c>
      <c r="U66" s="390">
        <v>393.05399999999997</v>
      </c>
      <c r="V66" s="1441" t="s">
        <v>710</v>
      </c>
      <c r="W66" s="390">
        <v>349</v>
      </c>
      <c r="X66" s="1439" t="s">
        <v>710</v>
      </c>
      <c r="Y66" s="467">
        <v>373</v>
      </c>
      <c r="Z66" s="458">
        <v>12</v>
      </c>
      <c r="AA66" s="409">
        <v>11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40"/>
      <c r="C67" s="613"/>
      <c r="D67" s="1440"/>
      <c r="E67" s="613"/>
      <c r="F67" s="1440"/>
      <c r="G67" s="613"/>
      <c r="H67" s="1440"/>
      <c r="I67" s="613"/>
      <c r="J67" s="1440"/>
      <c r="K67" s="613"/>
      <c r="L67" s="1442"/>
      <c r="M67" s="613"/>
      <c r="N67" s="1442"/>
      <c r="O67" s="613"/>
      <c r="P67" s="1440"/>
      <c r="Q67" s="613"/>
      <c r="R67" s="1440"/>
      <c r="S67" s="613"/>
      <c r="T67" s="1440"/>
      <c r="U67" s="613" t="s">
        <v>714</v>
      </c>
      <c r="V67" s="1455"/>
      <c r="W67" s="613"/>
      <c r="X67" s="1440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11" t="s">
        <v>260</v>
      </c>
      <c r="C68" s="392"/>
      <c r="D68" s="611" t="s">
        <v>261</v>
      </c>
      <c r="E68" s="612"/>
      <c r="F68" s="611" t="s">
        <v>262</v>
      </c>
      <c r="G68" s="612"/>
      <c r="H68" s="611" t="s">
        <v>263</v>
      </c>
      <c r="I68" s="612"/>
      <c r="J68" s="611" t="s">
        <v>264</v>
      </c>
      <c r="K68" s="612"/>
      <c r="L68" s="611" t="s">
        <v>567</v>
      </c>
      <c r="M68" s="612"/>
      <c r="N68" s="611" t="s">
        <v>568</v>
      </c>
      <c r="O68" s="612"/>
      <c r="P68" s="611" t="s">
        <v>265</v>
      </c>
      <c r="Q68" s="612"/>
      <c r="R68" s="611" t="s">
        <v>266</v>
      </c>
      <c r="S68" s="612"/>
      <c r="T68" s="611" t="s">
        <v>267</v>
      </c>
      <c r="U68" s="613"/>
      <c r="V68" s="611" t="s">
        <v>569</v>
      </c>
      <c r="W68" s="612"/>
      <c r="X68" s="611" t="s">
        <v>268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212</v>
      </c>
      <c r="C69" s="392"/>
      <c r="D69" s="392" t="s">
        <v>211</v>
      </c>
      <c r="E69" s="392"/>
      <c r="F69" s="392" t="s">
        <v>212</v>
      </c>
      <c r="G69" s="392"/>
      <c r="H69" s="392" t="s">
        <v>212</v>
      </c>
      <c r="I69" s="392"/>
      <c r="J69" s="392" t="s">
        <v>212</v>
      </c>
      <c r="K69" s="614">
        <f>(Y57+C66+E66+G66+I66+K66)/1000</f>
        <v>2.4756450000000001</v>
      </c>
      <c r="L69" s="392" t="s">
        <v>269</v>
      </c>
      <c r="M69" s="614">
        <f>M66/1000</f>
        <v>0.21474199999999999</v>
      </c>
      <c r="N69" s="392" t="s">
        <v>270</v>
      </c>
      <c r="O69" s="392"/>
      <c r="P69" s="392" t="s">
        <v>211</v>
      </c>
      <c r="Q69" s="392"/>
      <c r="R69" s="392" t="s">
        <v>212</v>
      </c>
      <c r="S69" s="392"/>
      <c r="T69" s="392" t="s">
        <v>212</v>
      </c>
      <c r="U69" s="614">
        <f>(O66+Q66+S66+U66)/1000</f>
        <v>1.5880540000000001</v>
      </c>
      <c r="V69" s="392" t="s">
        <v>214</v>
      </c>
      <c r="W69" s="392"/>
      <c r="X69" s="392" t="s">
        <v>212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661" t="s">
        <v>555</v>
      </c>
      <c r="G70" s="392"/>
      <c r="H70" s="661" t="s">
        <v>555</v>
      </c>
      <c r="I70" s="392"/>
      <c r="K70" s="392"/>
      <c r="L70" s="623" t="s">
        <v>715</v>
      </c>
      <c r="M70" s="614"/>
      <c r="N70" s="623" t="s">
        <v>715</v>
      </c>
      <c r="O70" s="392"/>
      <c r="P70" s="392"/>
      <c r="Q70" s="392"/>
      <c r="R70" s="392"/>
      <c r="S70" s="392"/>
      <c r="T70" s="392"/>
      <c r="U70" s="614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661"/>
      <c r="G71" s="392"/>
      <c r="H71" s="661"/>
      <c r="I71" s="392"/>
      <c r="J71" s="392"/>
      <c r="K71" s="614"/>
      <c r="L71" s="623"/>
      <c r="M71" s="614"/>
      <c r="N71" s="623"/>
      <c r="O71" s="392"/>
      <c r="P71" s="392"/>
      <c r="Q71" s="392"/>
      <c r="R71" s="385"/>
      <c r="S71" s="392"/>
      <c r="T71" s="392"/>
      <c r="U71" s="614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16"/>
      <c r="C72" s="392"/>
      <c r="D72" s="616"/>
      <c r="E72" s="392"/>
      <c r="F72" s="392"/>
      <c r="G72" s="392"/>
      <c r="H72" s="392"/>
      <c r="I72" s="392"/>
      <c r="J72" s="616"/>
      <c r="K72" s="614"/>
      <c r="L72" s="385"/>
      <c r="M72" s="614"/>
      <c r="N72" s="392"/>
      <c r="O72" s="392"/>
      <c r="P72" s="392"/>
      <c r="Q72" s="392"/>
      <c r="R72" s="392"/>
      <c r="S72" s="392"/>
      <c r="T72" s="392"/>
      <c r="U72" s="614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21"/>
      <c r="C73" s="610"/>
      <c r="D73" s="618"/>
      <c r="E73" s="618"/>
      <c r="G73" s="619"/>
      <c r="H73" s="618"/>
      <c r="I73" s="618"/>
      <c r="K73" s="624"/>
      <c r="L73" s="618"/>
      <c r="M73" s="619"/>
      <c r="N73" s="618"/>
      <c r="O73" s="619"/>
      <c r="P73" s="618"/>
      <c r="Q73" s="619"/>
      <c r="R73" s="619"/>
      <c r="S73" s="619"/>
      <c r="T73" s="618"/>
      <c r="U73" s="619"/>
      <c r="V73" s="618"/>
      <c r="W73" s="619"/>
      <c r="X73" s="618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594"/>
      <c r="C74" s="615"/>
      <c r="D74" s="594"/>
      <c r="E74" s="615"/>
      <c r="F74" s="594"/>
      <c r="G74" s="615"/>
      <c r="H74" s="594"/>
      <c r="I74" s="615"/>
      <c r="J74" s="604"/>
      <c r="K74" s="615"/>
      <c r="L74" s="594"/>
      <c r="M74" s="615"/>
      <c r="N74" s="594"/>
      <c r="O74" s="615"/>
      <c r="P74" s="594"/>
      <c r="Q74" s="615"/>
      <c r="R74" s="594" t="s">
        <v>873</v>
      </c>
      <c r="S74" s="615"/>
      <c r="T74" s="594"/>
      <c r="U74" s="615"/>
      <c r="V74" s="594"/>
      <c r="W74" s="615"/>
      <c r="X74" s="594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08"/>
      <c r="C75" s="615"/>
      <c r="D75" s="608"/>
      <c r="E75" s="615"/>
      <c r="F75" s="608"/>
      <c r="G75" s="615"/>
      <c r="H75" s="608"/>
      <c r="I75" s="615"/>
      <c r="J75" s="604"/>
      <c r="K75" s="615"/>
      <c r="L75" s="608"/>
      <c r="M75" s="615"/>
      <c r="N75" s="608"/>
      <c r="O75" s="615"/>
      <c r="P75" s="608"/>
      <c r="Q75" s="615"/>
      <c r="R75" s="608"/>
      <c r="S75" s="615"/>
      <c r="T75" s="608"/>
      <c r="U75" s="615"/>
      <c r="V75" s="608"/>
      <c r="W75" s="615"/>
      <c r="X75" s="608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439" t="s">
        <v>710</v>
      </c>
      <c r="C76" s="389">
        <v>386</v>
      </c>
      <c r="D76" s="1451" t="s">
        <v>713</v>
      </c>
      <c r="E76" s="390">
        <v>429</v>
      </c>
      <c r="F76" s="1439" t="s">
        <v>710</v>
      </c>
      <c r="G76" s="390">
        <v>377</v>
      </c>
      <c r="H76" s="1439" t="s">
        <v>710</v>
      </c>
      <c r="I76" s="390">
        <v>401.83699999999999</v>
      </c>
      <c r="J76" s="1453" t="s">
        <v>758</v>
      </c>
      <c r="K76" s="390">
        <v>402</v>
      </c>
      <c r="L76" s="1464"/>
      <c r="M76" s="390">
        <v>344</v>
      </c>
      <c r="N76" s="1439" t="s">
        <v>710</v>
      </c>
      <c r="O76" s="390">
        <v>399</v>
      </c>
      <c r="P76" s="1439" t="s">
        <v>710</v>
      </c>
      <c r="Q76" s="390">
        <v>439</v>
      </c>
      <c r="R76" s="1456" t="s">
        <v>760</v>
      </c>
      <c r="S76" s="390">
        <v>403</v>
      </c>
      <c r="T76" s="1458"/>
      <c r="U76" s="390">
        <v>480</v>
      </c>
      <c r="V76" s="1460" t="s">
        <v>555</v>
      </c>
      <c r="W76" s="390">
        <v>535</v>
      </c>
      <c r="X76" s="1462" t="s">
        <v>735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40"/>
      <c r="C77" s="613"/>
      <c r="D77" s="1452"/>
      <c r="E77" s="613"/>
      <c r="F77" s="1440"/>
      <c r="G77" s="613"/>
      <c r="H77" s="1440"/>
      <c r="I77" s="613"/>
      <c r="J77" s="1454"/>
      <c r="K77" s="613"/>
      <c r="L77" s="1465"/>
      <c r="M77" s="613"/>
      <c r="N77" s="1440"/>
      <c r="O77" s="613"/>
      <c r="P77" s="1440"/>
      <c r="Q77" s="613"/>
      <c r="R77" s="1457"/>
      <c r="S77" s="613"/>
      <c r="T77" s="1459"/>
      <c r="U77" s="613"/>
      <c r="V77" s="1461"/>
      <c r="W77" s="613"/>
      <c r="X77" s="1463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11" t="s">
        <v>271</v>
      </c>
      <c r="C78" s="392"/>
      <c r="D78" s="611" t="s">
        <v>272</v>
      </c>
      <c r="E78" s="612"/>
      <c r="F78" s="611" t="s">
        <v>273</v>
      </c>
      <c r="G78" s="612"/>
      <c r="H78" s="611" t="s">
        <v>274</v>
      </c>
      <c r="I78" s="612"/>
      <c r="J78" s="611" t="s">
        <v>570</v>
      </c>
      <c r="K78" s="612"/>
      <c r="L78" s="611" t="s">
        <v>275</v>
      </c>
      <c r="M78" s="612"/>
      <c r="N78" s="611" t="s">
        <v>276</v>
      </c>
      <c r="O78" s="612"/>
      <c r="P78" s="611" t="s">
        <v>277</v>
      </c>
      <c r="Q78" s="612"/>
      <c r="R78" s="611" t="s">
        <v>278</v>
      </c>
      <c r="S78" s="612"/>
      <c r="T78" s="611" t="s">
        <v>279</v>
      </c>
      <c r="U78" s="613"/>
      <c r="V78" s="611" t="s">
        <v>280</v>
      </c>
      <c r="W78" s="612"/>
      <c r="X78" s="611" t="s">
        <v>281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212</v>
      </c>
      <c r="C79" s="392"/>
      <c r="D79" s="392" t="s">
        <v>212</v>
      </c>
      <c r="E79" s="392"/>
      <c r="F79" s="392" t="s">
        <v>211</v>
      </c>
      <c r="G79" s="392"/>
      <c r="H79" s="392" t="s">
        <v>212</v>
      </c>
      <c r="I79" s="614">
        <f>(W66+Y66+C76+E76+G76+I76)/1000</f>
        <v>2.3158370000000001</v>
      </c>
      <c r="J79" s="392" t="s">
        <v>237</v>
      </c>
      <c r="K79" s="392"/>
      <c r="L79" s="392" t="s">
        <v>212</v>
      </c>
      <c r="M79" s="392"/>
      <c r="N79" s="392" t="s">
        <v>212</v>
      </c>
      <c r="O79" s="392"/>
      <c r="P79" s="392" t="s">
        <v>211</v>
      </c>
      <c r="Q79" s="392"/>
      <c r="R79" s="392" t="s">
        <v>212</v>
      </c>
      <c r="S79" s="614">
        <f>(K76+M76+O76+Q76+S76)/1000</f>
        <v>1.9870000000000001</v>
      </c>
      <c r="T79" s="392" t="s">
        <v>282</v>
      </c>
      <c r="U79" s="614">
        <f>(U76)/1000</f>
        <v>0.48</v>
      </c>
      <c r="V79" s="392" t="s">
        <v>283</v>
      </c>
      <c r="W79" s="614">
        <f>(W76)/1000</f>
        <v>0.53500000000000003</v>
      </c>
      <c r="X79" s="392" t="s">
        <v>283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716</v>
      </c>
      <c r="E80" s="392"/>
      <c r="F80" s="392"/>
      <c r="G80" s="392"/>
      <c r="H80" s="392"/>
      <c r="I80" s="614"/>
      <c r="J80" s="392"/>
      <c r="K80" s="392"/>
      <c r="L80" s="385"/>
      <c r="M80" s="392"/>
      <c r="N80" s="392"/>
      <c r="O80" s="392"/>
      <c r="P80" s="392"/>
      <c r="Q80" s="392"/>
      <c r="R80" s="577"/>
      <c r="S80" s="622"/>
      <c r="T80" s="625"/>
      <c r="U80" s="614"/>
      <c r="V80" s="616"/>
      <c r="W80" s="614"/>
      <c r="X80" s="607" t="s">
        <v>555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04"/>
      <c r="C81" s="604"/>
      <c r="D81" s="607"/>
      <c r="E81" s="610"/>
      <c r="F81" s="607"/>
      <c r="G81" s="608"/>
      <c r="H81" s="607"/>
      <c r="I81" s="608"/>
      <c r="J81" s="577"/>
      <c r="K81" s="608"/>
      <c r="L81" s="385"/>
      <c r="M81" s="608"/>
      <c r="N81" s="621"/>
      <c r="O81" s="608"/>
      <c r="P81" s="607"/>
      <c r="Q81" s="610"/>
      <c r="R81" s="577"/>
      <c r="S81" s="626"/>
      <c r="T81" s="577"/>
      <c r="U81" s="608"/>
      <c r="V81" s="607"/>
      <c r="W81" s="608"/>
      <c r="X81" s="608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04"/>
      <c r="C82" s="604"/>
      <c r="D82" s="607"/>
      <c r="E82" s="610"/>
      <c r="F82" s="607"/>
      <c r="G82" s="608"/>
      <c r="H82" s="607"/>
      <c r="I82" s="608"/>
      <c r="J82" s="627"/>
      <c r="K82" s="627"/>
      <c r="L82" s="627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04"/>
      <c r="C83" s="604"/>
      <c r="D83" s="607"/>
      <c r="E83" s="610"/>
      <c r="F83" s="607"/>
      <c r="G83" s="608"/>
      <c r="H83" s="607"/>
      <c r="I83" s="608"/>
      <c r="J83" s="607"/>
      <c r="K83" s="608"/>
      <c r="L83" s="607"/>
      <c r="M83" s="608"/>
      <c r="N83" s="621"/>
      <c r="O83" s="608"/>
      <c r="P83" s="607"/>
      <c r="Q83" s="610"/>
      <c r="R83" s="607"/>
      <c r="S83" s="608"/>
      <c r="T83" s="607"/>
      <c r="U83" s="608"/>
      <c r="V83" s="607"/>
      <c r="W83" s="608"/>
      <c r="X83" s="607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594"/>
      <c r="C84" s="615"/>
      <c r="D84" s="604"/>
      <c r="E84" s="615"/>
      <c r="F84" s="604"/>
      <c r="G84" s="615"/>
      <c r="H84" s="594"/>
      <c r="I84" s="615"/>
      <c r="J84" s="594"/>
      <c r="K84" s="615"/>
      <c r="L84" s="594"/>
      <c r="M84" s="615"/>
      <c r="N84" s="594"/>
      <c r="O84" s="615"/>
      <c r="P84" s="604"/>
      <c r="Q84" s="615"/>
      <c r="R84" s="594"/>
      <c r="S84" s="615"/>
      <c r="T84" s="594"/>
      <c r="U84" s="615"/>
      <c r="V84" s="594"/>
      <c r="W84" s="615"/>
      <c r="X84" s="604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08"/>
      <c r="C85" s="615"/>
      <c r="D85" s="604"/>
      <c r="E85" s="615"/>
      <c r="F85" s="604"/>
      <c r="G85" s="615"/>
      <c r="H85" s="608"/>
      <c r="I85" s="615"/>
      <c r="J85" s="608"/>
      <c r="K85" s="615"/>
      <c r="L85" s="608"/>
      <c r="M85" s="615"/>
      <c r="N85" s="608"/>
      <c r="O85" s="615"/>
      <c r="P85" s="604"/>
      <c r="Q85" s="615"/>
      <c r="R85" s="608"/>
      <c r="S85" s="615"/>
      <c r="T85" s="608"/>
      <c r="U85" s="615"/>
      <c r="V85" s="608"/>
      <c r="W85" s="615"/>
      <c r="X85" s="604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439" t="s">
        <v>710</v>
      </c>
      <c r="C86" s="389">
        <v>454.04700000000003</v>
      </c>
      <c r="D86" s="1458"/>
      <c r="E86" s="390">
        <v>247.49199999999999</v>
      </c>
      <c r="F86" s="1472"/>
      <c r="G86" s="390">
        <v>373</v>
      </c>
      <c r="H86" s="1466" t="s">
        <v>555</v>
      </c>
      <c r="I86" s="390">
        <v>401</v>
      </c>
      <c r="J86" s="1474"/>
      <c r="K86" s="390">
        <v>388</v>
      </c>
      <c r="L86" s="1466" t="s">
        <v>555</v>
      </c>
      <c r="M86" s="390">
        <v>328</v>
      </c>
      <c r="N86" s="1466" t="s">
        <v>555</v>
      </c>
      <c r="O86" s="390">
        <v>329.98200000000003</v>
      </c>
      <c r="P86" s="1468" t="s">
        <v>926</v>
      </c>
      <c r="Q86" s="390">
        <v>433</v>
      </c>
      <c r="R86" s="1470" t="s">
        <v>916</v>
      </c>
      <c r="S86" s="390">
        <v>410</v>
      </c>
      <c r="T86" s="1470" t="s">
        <v>916</v>
      </c>
      <c r="U86" s="390">
        <v>307</v>
      </c>
      <c r="V86" s="1470" t="s">
        <v>916</v>
      </c>
      <c r="W86" s="390">
        <v>461.92700000000002</v>
      </c>
      <c r="X86" s="1460" t="s">
        <v>555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40"/>
      <c r="C87" s="613"/>
      <c r="D87" s="1459"/>
      <c r="E87" s="613"/>
      <c r="F87" s="1473"/>
      <c r="G87" s="613"/>
      <c r="H87" s="1467"/>
      <c r="I87" s="613"/>
      <c r="J87" s="1475"/>
      <c r="K87" s="613"/>
      <c r="L87" s="1467"/>
      <c r="M87" s="613"/>
      <c r="N87" s="1467"/>
      <c r="O87" s="613"/>
      <c r="P87" s="1469"/>
      <c r="Q87" s="613"/>
      <c r="R87" s="1471"/>
      <c r="S87" s="613"/>
      <c r="T87" s="1471"/>
      <c r="U87" s="613"/>
      <c r="V87" s="1471"/>
      <c r="W87" s="613"/>
      <c r="X87" s="1461"/>
      <c r="Y87" s="468"/>
      <c r="Z87" s="458">
        <v>4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11" t="s">
        <v>284</v>
      </c>
      <c r="C88" s="392"/>
      <c r="D88" s="611" t="s">
        <v>571</v>
      </c>
      <c r="E88" s="612"/>
      <c r="F88" s="611" t="s">
        <v>572</v>
      </c>
      <c r="G88" s="612"/>
      <c r="H88" s="611" t="s">
        <v>285</v>
      </c>
      <c r="I88" s="612"/>
      <c r="J88" s="611" t="s">
        <v>286</v>
      </c>
      <c r="K88" s="612"/>
      <c r="L88" s="611" t="s">
        <v>287</v>
      </c>
      <c r="M88" s="612"/>
      <c r="N88" s="611" t="s">
        <v>288</v>
      </c>
      <c r="O88" s="612"/>
      <c r="P88" s="611" t="s">
        <v>573</v>
      </c>
      <c r="Q88" s="612"/>
      <c r="R88" s="611" t="s">
        <v>289</v>
      </c>
      <c r="S88" s="612"/>
      <c r="T88" s="611" t="s">
        <v>290</v>
      </c>
      <c r="U88" s="613"/>
      <c r="V88" s="611" t="s">
        <v>291</v>
      </c>
      <c r="W88" s="612"/>
      <c r="X88" s="611" t="s">
        <v>574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213</v>
      </c>
      <c r="C89" s="614">
        <f>(Y76+C86)/1000</f>
        <v>0.84305099999999999</v>
      </c>
      <c r="D89" s="392" t="s">
        <v>210</v>
      </c>
      <c r="E89" s="614">
        <f>(E86)/1000</f>
        <v>0.24749199999999999</v>
      </c>
      <c r="F89" s="392" t="s">
        <v>214</v>
      </c>
      <c r="G89" s="392"/>
      <c r="H89" s="392" t="s">
        <v>212</v>
      </c>
      <c r="I89" s="392"/>
      <c r="J89" s="392" t="s">
        <v>248</v>
      </c>
      <c r="K89" s="392"/>
      <c r="L89" s="392" t="s">
        <v>212</v>
      </c>
      <c r="M89" s="392"/>
      <c r="N89" s="392" t="s">
        <v>212</v>
      </c>
      <c r="O89" s="614">
        <f>(G86+I86+K86+M86+O86)/1000</f>
        <v>1.819982</v>
      </c>
      <c r="P89" s="392" t="s">
        <v>226</v>
      </c>
      <c r="Q89" s="392"/>
      <c r="R89" s="392" t="s">
        <v>248</v>
      </c>
      <c r="S89" s="392"/>
      <c r="T89" s="392" t="s">
        <v>213</v>
      </c>
      <c r="U89" s="392"/>
      <c r="V89" s="392" t="s">
        <v>248</v>
      </c>
      <c r="W89" s="614">
        <f>(Q86+S86+U86+W86)/1000</f>
        <v>1.6119270000000001</v>
      </c>
      <c r="X89" s="392" t="s">
        <v>292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14"/>
      <c r="D90" s="628" t="s">
        <v>717</v>
      </c>
      <c r="E90" s="614"/>
      <c r="F90" s="628" t="s">
        <v>717</v>
      </c>
      <c r="G90" s="392"/>
      <c r="H90" s="392"/>
      <c r="I90" s="392"/>
      <c r="J90" s="616" t="s">
        <v>713</v>
      </c>
      <c r="K90" s="577"/>
      <c r="L90" s="577"/>
      <c r="M90" s="577"/>
      <c r="N90" s="577"/>
      <c r="O90" s="622"/>
      <c r="P90" s="577"/>
      <c r="Q90" s="392"/>
      <c r="R90" s="392"/>
      <c r="S90" s="392"/>
      <c r="T90" s="1073" t="s">
        <v>555</v>
      </c>
      <c r="U90" s="392"/>
      <c r="V90" s="1073" t="s">
        <v>555</v>
      </c>
      <c r="W90" s="614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14"/>
      <c r="D91" s="628"/>
      <c r="E91" s="614"/>
      <c r="F91" s="628"/>
      <c r="G91" s="392"/>
      <c r="H91" s="392"/>
      <c r="I91" s="392"/>
      <c r="J91" s="616"/>
      <c r="K91" s="392"/>
      <c r="L91" s="392"/>
      <c r="M91" s="392"/>
      <c r="N91" s="392"/>
      <c r="O91" s="614"/>
      <c r="P91" s="392"/>
      <c r="Q91" s="392"/>
      <c r="R91" s="392"/>
      <c r="S91" s="392"/>
      <c r="T91" s="392"/>
      <c r="U91" s="392"/>
      <c r="V91" s="392"/>
      <c r="W91" s="614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392"/>
      <c r="V92" s="629"/>
      <c r="W92" s="629"/>
      <c r="X92" s="629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21"/>
      <c r="C93" s="608"/>
      <c r="D93" s="621"/>
      <c r="E93" s="608"/>
      <c r="F93" s="621"/>
      <c r="G93" s="608"/>
      <c r="H93" s="607"/>
      <c r="I93" s="608"/>
      <c r="J93" s="607"/>
      <c r="K93" s="608"/>
      <c r="L93" s="607"/>
      <c r="M93" s="608"/>
      <c r="N93" s="607"/>
      <c r="O93" s="608"/>
      <c r="P93" s="607"/>
      <c r="Q93" s="608"/>
      <c r="R93" s="607"/>
      <c r="S93" s="608"/>
      <c r="T93" s="607"/>
      <c r="U93" s="608"/>
      <c r="V93" s="607"/>
      <c r="W93" s="608"/>
      <c r="X93" s="607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04"/>
      <c r="C94" s="615"/>
      <c r="D94" s="594"/>
      <c r="E94" s="615"/>
      <c r="F94" s="594"/>
      <c r="G94" s="615"/>
      <c r="H94" s="594"/>
      <c r="I94" s="615"/>
      <c r="J94" s="604"/>
      <c r="K94" s="615"/>
      <c r="L94" s="604"/>
      <c r="M94" s="615"/>
      <c r="N94" s="604"/>
      <c r="O94" s="615"/>
      <c r="P94" s="594"/>
      <c r="Q94" s="615"/>
      <c r="R94" s="594"/>
      <c r="S94" s="615"/>
      <c r="T94" s="594"/>
      <c r="U94" s="615"/>
      <c r="V94" s="594"/>
      <c r="W94" s="615"/>
      <c r="X94" s="604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04"/>
      <c r="C95" s="615"/>
      <c r="D95" s="608"/>
      <c r="E95" s="615"/>
      <c r="F95" s="608"/>
      <c r="H95" s="608"/>
      <c r="I95" s="615"/>
      <c r="J95" s="604"/>
      <c r="K95" s="615"/>
      <c r="L95" s="604"/>
      <c r="M95" s="615"/>
      <c r="N95" s="604"/>
      <c r="O95" s="615"/>
      <c r="P95" s="608"/>
      <c r="Q95" s="615"/>
      <c r="R95" s="608"/>
      <c r="S95" s="615"/>
      <c r="T95" s="608"/>
      <c r="U95" s="615"/>
      <c r="V95" s="608"/>
      <c r="W95" s="615"/>
      <c r="X95" s="604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460" t="s">
        <v>555</v>
      </c>
      <c r="C96" s="389">
        <v>401</v>
      </c>
      <c r="D96" s="1464"/>
      <c r="E96" s="390">
        <v>350</v>
      </c>
      <c r="F96" s="1439" t="s">
        <v>760</v>
      </c>
      <c r="G96" s="390">
        <v>335</v>
      </c>
      <c r="H96" s="1439" t="s">
        <v>760</v>
      </c>
      <c r="I96" s="390">
        <v>313.49</v>
      </c>
      <c r="J96" s="1476" t="s">
        <v>760</v>
      </c>
      <c r="K96" s="390">
        <v>421</v>
      </c>
      <c r="L96" s="1476" t="s">
        <v>760</v>
      </c>
      <c r="M96" s="390">
        <v>465.81799999999998</v>
      </c>
      <c r="N96" s="1476" t="s">
        <v>760</v>
      </c>
      <c r="O96" s="390">
        <v>352</v>
      </c>
      <c r="P96" s="1439" t="s">
        <v>760</v>
      </c>
      <c r="Q96" s="390">
        <v>403</v>
      </c>
      <c r="R96" s="1466" t="s">
        <v>555</v>
      </c>
      <c r="S96" s="390">
        <v>373</v>
      </c>
      <c r="T96" s="1466" t="s">
        <v>555</v>
      </c>
      <c r="U96" s="390">
        <v>362</v>
      </c>
      <c r="V96" s="1466" t="s">
        <v>555</v>
      </c>
      <c r="W96" s="390">
        <v>351.24</v>
      </c>
      <c r="X96" s="1476" t="s">
        <v>760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61"/>
      <c r="C97" s="613"/>
      <c r="D97" s="1465"/>
      <c r="E97" s="613"/>
      <c r="F97" s="1440"/>
      <c r="G97" s="613"/>
      <c r="H97" s="1440"/>
      <c r="I97" s="613"/>
      <c r="J97" s="1477"/>
      <c r="K97" s="613"/>
      <c r="L97" s="1477"/>
      <c r="M97" s="613"/>
      <c r="N97" s="1477"/>
      <c r="O97" s="613"/>
      <c r="P97" s="1440"/>
      <c r="Q97" s="613"/>
      <c r="R97" s="1467"/>
      <c r="S97" s="613"/>
      <c r="T97" s="1467"/>
      <c r="U97" s="613"/>
      <c r="V97" s="1467"/>
      <c r="W97" s="613"/>
      <c r="X97" s="1478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11" t="s">
        <v>575</v>
      </c>
      <c r="C98" s="392"/>
      <c r="D98" s="611" t="s">
        <v>293</v>
      </c>
      <c r="E98" s="612"/>
      <c r="F98" s="611" t="s">
        <v>294</v>
      </c>
      <c r="G98" s="612"/>
      <c r="H98" s="611" t="s">
        <v>295</v>
      </c>
      <c r="I98" s="612"/>
      <c r="J98" s="611" t="s">
        <v>576</v>
      </c>
      <c r="K98" s="612"/>
      <c r="L98" s="611" t="s">
        <v>296</v>
      </c>
      <c r="M98" s="612"/>
      <c r="N98" s="611" t="s">
        <v>577</v>
      </c>
      <c r="O98" s="612"/>
      <c r="P98" s="611" t="s">
        <v>297</v>
      </c>
      <c r="Q98" s="612"/>
      <c r="R98" s="611" t="s">
        <v>298</v>
      </c>
      <c r="S98" s="612"/>
      <c r="T98" s="611" t="s">
        <v>299</v>
      </c>
      <c r="U98" s="613"/>
      <c r="V98" s="611" t="s">
        <v>300</v>
      </c>
      <c r="W98" s="612"/>
      <c r="X98" s="611" t="s">
        <v>578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301</v>
      </c>
      <c r="C99" s="392"/>
      <c r="D99" s="392" t="s">
        <v>212</v>
      </c>
      <c r="E99" s="392"/>
      <c r="F99" s="392" t="s">
        <v>213</v>
      </c>
      <c r="G99" s="392"/>
      <c r="H99" s="392" t="s">
        <v>212</v>
      </c>
      <c r="I99" s="614">
        <f>(C96+E96+G96+I96)/1000</f>
        <v>1.3994899999999999</v>
      </c>
      <c r="J99" s="392" t="s">
        <v>237</v>
      </c>
      <c r="K99" s="614">
        <f>(K96)/1000</f>
        <v>0.42099999999999999</v>
      </c>
      <c r="L99" s="392" t="s">
        <v>283</v>
      </c>
      <c r="M99" s="614">
        <f>(M96)/1000</f>
        <v>0.46581800000000001</v>
      </c>
      <c r="N99" s="392" t="s">
        <v>579</v>
      </c>
      <c r="O99" s="392"/>
      <c r="P99" s="392" t="s">
        <v>211</v>
      </c>
      <c r="Q99" s="392"/>
      <c r="R99" s="392" t="s">
        <v>212</v>
      </c>
      <c r="S99" s="392"/>
      <c r="T99" s="392" t="s">
        <v>212</v>
      </c>
      <c r="U99" s="392"/>
      <c r="V99" s="392" t="s">
        <v>213</v>
      </c>
      <c r="W99" s="614">
        <f>(O96+Q96+S96+U96+W96)/1000</f>
        <v>1.84124</v>
      </c>
      <c r="X99" s="392" t="s">
        <v>237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629"/>
      <c r="E100" s="392"/>
      <c r="F100" s="607" t="s">
        <v>555</v>
      </c>
      <c r="G100" s="392"/>
      <c r="H100" s="629"/>
      <c r="I100" s="614"/>
      <c r="J100" s="577"/>
      <c r="K100" s="622"/>
      <c r="L100" s="625"/>
      <c r="M100" s="622"/>
      <c r="N100" s="577"/>
      <c r="O100" s="629"/>
      <c r="P100" s="629"/>
      <c r="Q100" s="392"/>
      <c r="R100" s="392"/>
      <c r="S100" s="392"/>
      <c r="T100" s="392"/>
      <c r="U100" s="392"/>
      <c r="V100" s="392"/>
      <c r="W100" s="614"/>
      <c r="X100" s="577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629"/>
      <c r="E101" s="392"/>
      <c r="F101" s="392"/>
      <c r="G101" s="392"/>
      <c r="H101" s="629"/>
      <c r="I101" s="614"/>
      <c r="J101" s="392"/>
      <c r="K101" s="614"/>
      <c r="L101" s="392"/>
      <c r="M101" s="614"/>
      <c r="N101" s="392"/>
      <c r="O101" s="629"/>
      <c r="P101" s="629"/>
      <c r="Q101" s="392"/>
      <c r="R101" s="392"/>
      <c r="S101" s="392"/>
      <c r="T101" s="392"/>
      <c r="U101" s="392"/>
      <c r="V101" s="392"/>
      <c r="W101" s="614"/>
      <c r="X101" s="478"/>
      <c r="Y101" s="553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07"/>
      <c r="C103" s="608"/>
      <c r="D103" s="618"/>
      <c r="E103" s="619"/>
      <c r="F103" s="618"/>
      <c r="G103" s="619"/>
      <c r="H103" s="618"/>
      <c r="I103" s="618"/>
      <c r="J103" s="618"/>
      <c r="K103" s="619"/>
      <c r="L103" s="618"/>
      <c r="M103" s="619"/>
      <c r="N103" s="618"/>
      <c r="O103" s="619"/>
      <c r="P103" s="618"/>
      <c r="Q103" s="619"/>
      <c r="R103" s="618"/>
      <c r="S103" s="607"/>
      <c r="T103" s="630"/>
      <c r="U103" s="619"/>
      <c r="V103" s="618"/>
      <c r="W103" s="619"/>
      <c r="X103" s="618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594"/>
      <c r="C104" s="615"/>
      <c r="D104" s="594"/>
      <c r="E104" s="615"/>
      <c r="F104" s="604"/>
      <c r="G104" s="615"/>
      <c r="H104" s="594"/>
      <c r="I104" s="615"/>
      <c r="J104" s="594"/>
      <c r="K104" s="615"/>
      <c r="L104" s="604"/>
      <c r="M104" s="615"/>
      <c r="N104" s="594"/>
      <c r="O104" s="615"/>
      <c r="P104" s="594"/>
      <c r="Q104" s="615"/>
      <c r="R104" s="594"/>
      <c r="S104" s="615"/>
      <c r="T104" s="594"/>
      <c r="U104" s="615"/>
      <c r="V104" s="604"/>
      <c r="W104" s="615"/>
      <c r="X104" s="604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08"/>
      <c r="C105" s="615"/>
      <c r="D105" s="608"/>
      <c r="E105" s="615"/>
      <c r="F105" s="604"/>
      <c r="G105" s="615"/>
      <c r="H105" s="608"/>
      <c r="I105" s="615"/>
      <c r="J105" s="608"/>
      <c r="K105" s="615"/>
      <c r="L105" s="604"/>
      <c r="M105" s="615"/>
      <c r="N105" s="608"/>
      <c r="O105" s="615"/>
      <c r="P105" s="608"/>
      <c r="Q105" s="615"/>
      <c r="R105" s="608"/>
      <c r="S105" s="615"/>
      <c r="T105" s="608"/>
      <c r="U105" s="615"/>
      <c r="V105" s="604"/>
      <c r="W105" s="615"/>
      <c r="X105" s="604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66" t="s">
        <v>555</v>
      </c>
      <c r="C106" s="389">
        <v>375</v>
      </c>
      <c r="D106" s="1439" t="s">
        <v>760</v>
      </c>
      <c r="E106" s="390">
        <v>424.851</v>
      </c>
      <c r="F106" s="1441" t="s">
        <v>760</v>
      </c>
      <c r="G106" s="390">
        <v>414</v>
      </c>
      <c r="H106" s="1439" t="s">
        <v>760</v>
      </c>
      <c r="I106" s="390">
        <v>345</v>
      </c>
      <c r="J106" s="1439" t="s">
        <v>760</v>
      </c>
      <c r="K106" s="390">
        <v>502.62799999999999</v>
      </c>
      <c r="L106" s="1466" t="s">
        <v>555</v>
      </c>
      <c r="M106" s="390">
        <v>453</v>
      </c>
      <c r="N106" s="1439" t="s">
        <v>760</v>
      </c>
      <c r="O106" s="390">
        <v>388</v>
      </c>
      <c r="P106" s="1439" t="s">
        <v>760</v>
      </c>
      <c r="Q106" s="390">
        <v>317</v>
      </c>
      <c r="R106" s="1439" t="s">
        <v>760</v>
      </c>
      <c r="S106" s="390">
        <v>324</v>
      </c>
      <c r="T106" s="1439" t="s">
        <v>760</v>
      </c>
      <c r="U106" s="390">
        <v>484.98399999999998</v>
      </c>
      <c r="V106" s="1441" t="s">
        <v>917</v>
      </c>
      <c r="W106" s="390">
        <v>248.518</v>
      </c>
      <c r="X106" s="1441" t="s">
        <v>917</v>
      </c>
      <c r="Y106" s="467">
        <v>429</v>
      </c>
      <c r="Z106" s="458">
        <v>10</v>
      </c>
      <c r="AA106" s="409">
        <v>5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67"/>
      <c r="C107" s="613"/>
      <c r="D107" s="1440"/>
      <c r="E107" s="613"/>
      <c r="F107" s="1442"/>
      <c r="G107" s="613"/>
      <c r="H107" s="1440"/>
      <c r="I107" s="613"/>
      <c r="J107" s="1440"/>
      <c r="K107" s="613"/>
      <c r="L107" s="1467"/>
      <c r="M107" s="613"/>
      <c r="N107" s="1440"/>
      <c r="O107" s="613"/>
      <c r="P107" s="1440"/>
      <c r="Q107" s="613"/>
      <c r="R107" s="1440"/>
      <c r="S107" s="613"/>
      <c r="T107" s="1440"/>
      <c r="U107" s="613"/>
      <c r="V107" s="1442"/>
      <c r="W107" s="613"/>
      <c r="X107" s="1442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11" t="s">
        <v>302</v>
      </c>
      <c r="C108" s="392"/>
      <c r="D108" s="611" t="s">
        <v>303</v>
      </c>
      <c r="E108" s="612"/>
      <c r="F108" s="611" t="s">
        <v>580</v>
      </c>
      <c r="G108" s="612"/>
      <c r="H108" s="611" t="s">
        <v>304</v>
      </c>
      <c r="I108" s="612"/>
      <c r="J108" s="611" t="s">
        <v>305</v>
      </c>
      <c r="K108" s="612"/>
      <c r="L108" s="611" t="s">
        <v>581</v>
      </c>
      <c r="M108" s="612"/>
      <c r="N108" s="611" t="s">
        <v>306</v>
      </c>
      <c r="O108" s="612"/>
      <c r="P108" s="611" t="s">
        <v>307</v>
      </c>
      <c r="Q108" s="612"/>
      <c r="R108" s="611" t="s">
        <v>308</v>
      </c>
      <c r="S108" s="612"/>
      <c r="T108" s="611" t="s">
        <v>309</v>
      </c>
      <c r="U108" s="613"/>
      <c r="V108" s="611" t="s">
        <v>582</v>
      </c>
      <c r="W108" s="612"/>
      <c r="X108" s="611" t="s">
        <v>583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213</v>
      </c>
      <c r="C109" s="392"/>
      <c r="D109" s="392" t="s">
        <v>213</v>
      </c>
      <c r="E109" s="614">
        <f>(Y96+C106+E106)/1000</f>
        <v>1.1608510000000001</v>
      </c>
      <c r="F109" s="392" t="s">
        <v>270</v>
      </c>
      <c r="G109" s="614"/>
      <c r="H109" s="392" t="s">
        <v>248</v>
      </c>
      <c r="I109" s="392"/>
      <c r="J109" s="392" t="s">
        <v>211</v>
      </c>
      <c r="K109" s="614">
        <f>(G106+I106+K106)/1000</f>
        <v>1.261628</v>
      </c>
      <c r="L109" s="392" t="s">
        <v>301</v>
      </c>
      <c r="M109" s="392"/>
      <c r="N109" s="392" t="s">
        <v>248</v>
      </c>
      <c r="O109" s="392"/>
      <c r="P109" s="392" t="s">
        <v>212</v>
      </c>
      <c r="Q109" s="392"/>
      <c r="R109" s="392" t="s">
        <v>212</v>
      </c>
      <c r="S109" s="392"/>
      <c r="T109" s="392" t="s">
        <v>211</v>
      </c>
      <c r="U109" s="614">
        <f>(M106+O106+Q106+S106+U106)/1000</f>
        <v>1.9669839999999998</v>
      </c>
      <c r="V109" s="392" t="s">
        <v>584</v>
      </c>
      <c r="W109" s="614">
        <f>(W106)/1000</f>
        <v>0.24851799999999999</v>
      </c>
      <c r="X109" s="392" t="s">
        <v>270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577"/>
      <c r="E110" s="622"/>
      <c r="F110" s="577"/>
      <c r="G110" s="622"/>
      <c r="H110" s="577"/>
      <c r="I110" s="577"/>
      <c r="J110" s="577"/>
      <c r="K110" s="622"/>
      <c r="L110" s="577"/>
      <c r="M110" s="577"/>
      <c r="N110" s="577"/>
      <c r="O110" s="577"/>
      <c r="P110" s="577"/>
      <c r="Q110" s="577"/>
      <c r="R110" s="392" t="s">
        <v>712</v>
      </c>
      <c r="S110" s="392"/>
      <c r="T110" s="392"/>
      <c r="U110" s="614"/>
      <c r="V110" s="577" t="s">
        <v>711</v>
      </c>
      <c r="W110" s="614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79"/>
      <c r="C111" s="1479"/>
      <c r="D111" s="1479"/>
      <c r="E111" s="1479"/>
      <c r="F111" s="1479"/>
      <c r="G111" s="1479"/>
      <c r="H111" s="1479"/>
      <c r="I111" s="1479"/>
      <c r="J111" s="1479"/>
      <c r="K111" s="1479"/>
      <c r="L111" s="1479"/>
      <c r="M111" s="392"/>
      <c r="N111" s="392"/>
      <c r="O111" s="392"/>
      <c r="P111" s="392"/>
      <c r="Q111" s="392"/>
      <c r="R111" s="392"/>
      <c r="S111" s="392"/>
      <c r="T111" s="392"/>
      <c r="U111" s="614"/>
      <c r="V111" s="623" t="s">
        <v>715</v>
      </c>
      <c r="W111" s="614"/>
      <c r="X111" s="623" t="s">
        <v>715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629"/>
      <c r="C112" s="629"/>
      <c r="D112" s="629"/>
      <c r="E112" s="629"/>
      <c r="F112" s="629"/>
      <c r="G112" s="629"/>
      <c r="H112" s="629"/>
      <c r="I112" s="629"/>
      <c r="J112" s="629"/>
      <c r="K112" s="629"/>
      <c r="L112" s="1480"/>
      <c r="M112" s="1480"/>
      <c r="N112" s="1480"/>
      <c r="O112" s="1480"/>
      <c r="P112" s="1480"/>
      <c r="Q112" s="1480"/>
      <c r="R112" s="1480"/>
      <c r="S112" s="1480"/>
      <c r="T112" s="1480"/>
      <c r="U112" s="1480"/>
      <c r="V112" s="1480"/>
      <c r="W112" s="1480"/>
      <c r="X112" s="1480"/>
      <c r="Y112" s="1481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631"/>
      <c r="C113" s="632"/>
      <c r="D113" s="392"/>
      <c r="E113" s="604"/>
      <c r="F113" s="392"/>
      <c r="G113" s="633"/>
      <c r="H113" s="392"/>
      <c r="I113" s="613"/>
      <c r="J113" s="392"/>
      <c r="K113" s="613"/>
      <c r="L113" s="392"/>
      <c r="M113" s="613"/>
      <c r="N113" s="634"/>
      <c r="O113" s="613"/>
      <c r="P113" s="634"/>
      <c r="Q113" s="613"/>
      <c r="R113" s="634"/>
      <c r="S113" s="613"/>
      <c r="T113" s="634"/>
      <c r="U113" s="613"/>
      <c r="V113" s="392"/>
      <c r="W113" s="613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635"/>
      <c r="C114" s="617"/>
      <c r="D114" s="604"/>
      <c r="E114" s="617"/>
      <c r="F114" s="635"/>
      <c r="G114" s="617"/>
      <c r="H114" s="635"/>
      <c r="I114" s="617"/>
      <c r="J114" s="604"/>
      <c r="K114" s="617"/>
      <c r="L114" s="604"/>
      <c r="M114" s="617"/>
      <c r="N114" s="635"/>
      <c r="O114" s="617"/>
      <c r="P114" s="635"/>
      <c r="Q114" s="617"/>
      <c r="R114" s="635"/>
      <c r="S114" s="617"/>
      <c r="T114" s="604"/>
      <c r="U114" s="617"/>
      <c r="V114" s="604"/>
      <c r="W114" s="617"/>
      <c r="X114" s="635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13"/>
      <c r="C115" s="617"/>
      <c r="D115" s="604"/>
      <c r="E115" s="617"/>
      <c r="F115" s="613"/>
      <c r="G115" s="617"/>
      <c r="H115" s="613"/>
      <c r="I115" s="617"/>
      <c r="J115" s="604"/>
      <c r="K115" s="617"/>
      <c r="L115" s="604"/>
      <c r="M115" s="617"/>
      <c r="N115" s="613"/>
      <c r="O115" s="617"/>
      <c r="P115" s="613"/>
      <c r="Q115" s="617"/>
      <c r="R115" s="613"/>
      <c r="S115" s="617"/>
      <c r="T115" s="604"/>
      <c r="U115" s="617"/>
      <c r="V115" s="604"/>
      <c r="W115" s="617"/>
      <c r="X115" s="613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439" t="s">
        <v>760</v>
      </c>
      <c r="C116" s="389">
        <v>398.68400000000003</v>
      </c>
      <c r="D116" s="1476" t="s">
        <v>760</v>
      </c>
      <c r="E116" s="390">
        <v>435</v>
      </c>
      <c r="F116" s="1482" t="s">
        <v>718</v>
      </c>
      <c r="G116" s="390">
        <v>404</v>
      </c>
      <c r="H116" s="1484" t="s">
        <v>718</v>
      </c>
      <c r="I116" s="390">
        <v>374.35300000000001</v>
      </c>
      <c r="J116" s="1458"/>
      <c r="K116" s="390">
        <v>250.119</v>
      </c>
      <c r="L116" s="1460" t="s">
        <v>555</v>
      </c>
      <c r="M116" s="390">
        <v>398</v>
      </c>
      <c r="N116" s="1484" t="s">
        <v>760</v>
      </c>
      <c r="O116" s="390">
        <v>364</v>
      </c>
      <c r="P116" s="1484" t="s">
        <v>760</v>
      </c>
      <c r="Q116" s="390">
        <v>380</v>
      </c>
      <c r="R116" s="1484" t="s">
        <v>760</v>
      </c>
      <c r="S116" s="390">
        <v>459.27199999999999</v>
      </c>
      <c r="T116" s="1441" t="s">
        <v>917</v>
      </c>
      <c r="U116" s="390">
        <v>206.441</v>
      </c>
      <c r="V116" s="1460" t="s">
        <v>555</v>
      </c>
      <c r="W116" s="390">
        <v>385</v>
      </c>
      <c r="X116" s="1439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40"/>
      <c r="C117" s="613"/>
      <c r="D117" s="1478"/>
      <c r="E117" s="613"/>
      <c r="F117" s="1483"/>
      <c r="G117" s="613"/>
      <c r="H117" s="1485"/>
      <c r="I117" s="613"/>
      <c r="J117" s="1459"/>
      <c r="K117" s="613"/>
      <c r="L117" s="1461"/>
      <c r="M117" s="613"/>
      <c r="N117" s="1486"/>
      <c r="O117" s="613"/>
      <c r="P117" s="1486"/>
      <c r="Q117" s="613"/>
      <c r="R117" s="1486"/>
      <c r="S117" s="613"/>
      <c r="T117" s="1442"/>
      <c r="U117" s="613"/>
      <c r="V117" s="1487"/>
      <c r="W117" s="613"/>
      <c r="X117" s="1440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11" t="s">
        <v>312</v>
      </c>
      <c r="C118" s="392"/>
      <c r="D118" s="611" t="s">
        <v>585</v>
      </c>
      <c r="E118" s="612"/>
      <c r="F118" s="611" t="s">
        <v>313</v>
      </c>
      <c r="G118" s="612"/>
      <c r="H118" s="611" t="s">
        <v>314</v>
      </c>
      <c r="I118" s="612"/>
      <c r="J118" s="611" t="s">
        <v>586</v>
      </c>
      <c r="K118" s="612"/>
      <c r="L118" s="611" t="s">
        <v>587</v>
      </c>
      <c r="M118" s="612"/>
      <c r="N118" s="611" t="s">
        <v>315</v>
      </c>
      <c r="O118" s="612"/>
      <c r="P118" s="611" t="s">
        <v>316</v>
      </c>
      <c r="Q118" s="612"/>
      <c r="R118" s="611" t="s">
        <v>317</v>
      </c>
      <c r="S118" s="612"/>
      <c r="T118" s="611" t="s">
        <v>588</v>
      </c>
      <c r="U118" s="613"/>
      <c r="V118" s="611" t="s">
        <v>589</v>
      </c>
      <c r="W118" s="612"/>
      <c r="X118" s="611" t="s">
        <v>318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213</v>
      </c>
      <c r="C119" s="614">
        <f>(Y106+C116)/1000</f>
        <v>0.82768399999999998</v>
      </c>
      <c r="D119" s="392" t="s">
        <v>237</v>
      </c>
      <c r="E119" s="392"/>
      <c r="F119" s="392" t="s">
        <v>211</v>
      </c>
      <c r="G119" s="392"/>
      <c r="H119" s="392" t="s">
        <v>212</v>
      </c>
      <c r="I119" s="614">
        <f>(E116+G116+I116)/1000</f>
        <v>1.2133530000000001</v>
      </c>
      <c r="J119" s="392" t="s">
        <v>214</v>
      </c>
      <c r="K119" s="614">
        <f>(K116)/1000</f>
        <v>0.25011899999999998</v>
      </c>
      <c r="L119" s="392" t="s">
        <v>214</v>
      </c>
      <c r="M119" s="392"/>
      <c r="N119" s="392" t="s">
        <v>213</v>
      </c>
      <c r="O119" s="392"/>
      <c r="P119" s="392" t="s">
        <v>212</v>
      </c>
      <c r="Q119" s="392"/>
      <c r="R119" s="392" t="s">
        <v>212</v>
      </c>
      <c r="S119" s="614">
        <f>(M116+O116+Q116+S116)/1000</f>
        <v>1.601272</v>
      </c>
      <c r="T119" s="392" t="s">
        <v>269</v>
      </c>
      <c r="U119" s="614">
        <f>(U116)/1000</f>
        <v>0.20644100000000001</v>
      </c>
      <c r="V119" s="392" t="s">
        <v>292</v>
      </c>
      <c r="W119" s="392"/>
      <c r="X119" s="392" t="s">
        <v>212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14"/>
      <c r="D120" s="392"/>
      <c r="E120" s="392"/>
      <c r="F120" s="392"/>
      <c r="G120" s="392"/>
      <c r="H120" s="577"/>
      <c r="I120" s="614"/>
      <c r="J120" s="628" t="s">
        <v>719</v>
      </c>
      <c r="K120" s="614"/>
      <c r="L120" s="628" t="s">
        <v>719</v>
      </c>
      <c r="M120" s="392"/>
      <c r="N120" s="661" t="s">
        <v>555</v>
      </c>
      <c r="O120" s="392"/>
      <c r="P120" s="392"/>
      <c r="Q120" s="392"/>
      <c r="R120" s="392"/>
      <c r="S120" s="614"/>
      <c r="T120" s="623" t="s">
        <v>715</v>
      </c>
      <c r="U120" s="614"/>
      <c r="V120" s="623" t="s">
        <v>715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14"/>
      <c r="D121" s="392"/>
      <c r="E121" s="392"/>
      <c r="F121" s="392"/>
      <c r="G121" s="392"/>
      <c r="H121" s="392"/>
      <c r="I121" s="614"/>
      <c r="J121" s="628"/>
      <c r="K121" s="614"/>
      <c r="L121" s="628"/>
      <c r="M121" s="392"/>
      <c r="N121" s="392"/>
      <c r="O121" s="392"/>
      <c r="P121" s="392"/>
      <c r="Q121" s="392"/>
      <c r="R121" s="392"/>
      <c r="S121" s="614"/>
      <c r="T121" s="937" t="s">
        <v>555</v>
      </c>
      <c r="U121" s="614"/>
      <c r="V121" s="623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88"/>
      <c r="B122" s="1480"/>
      <c r="C122" s="1480"/>
      <c r="D122" s="1480"/>
      <c r="E122" s="1480"/>
      <c r="F122" s="1480"/>
      <c r="G122" s="1480"/>
      <c r="H122" s="1480"/>
      <c r="I122" s="1480"/>
      <c r="J122" s="1480"/>
      <c r="K122" s="1480"/>
      <c r="L122" s="1480"/>
      <c r="M122" s="1480"/>
      <c r="N122" s="1480"/>
      <c r="O122" s="1480"/>
      <c r="P122" s="1480"/>
      <c r="Q122" s="1480"/>
      <c r="R122" s="1480"/>
      <c r="S122" s="1480"/>
      <c r="T122" s="1480"/>
      <c r="U122" s="1480"/>
      <c r="V122" s="1480"/>
      <c r="W122" s="1480"/>
      <c r="X122" s="1480"/>
      <c r="Y122" s="1481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13"/>
      <c r="D123" s="636"/>
      <c r="E123" s="636"/>
      <c r="F123" s="636"/>
      <c r="G123" s="636"/>
      <c r="H123" s="392"/>
      <c r="I123" s="636"/>
      <c r="J123" s="392"/>
      <c r="K123" s="636"/>
      <c r="L123" s="392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4"/>
      <c r="X123" s="636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635"/>
      <c r="C124" s="617"/>
      <c r="D124" s="635"/>
      <c r="E124" s="617"/>
      <c r="F124" s="635"/>
      <c r="G124" s="617"/>
      <c r="H124" s="635"/>
      <c r="I124" s="617"/>
      <c r="J124" s="635"/>
      <c r="K124" s="617"/>
      <c r="L124" s="635"/>
      <c r="M124" s="617"/>
      <c r="N124" s="635"/>
      <c r="O124" s="617"/>
      <c r="P124" s="635"/>
      <c r="Q124" s="617"/>
      <c r="R124" s="635"/>
      <c r="S124" s="617"/>
      <c r="T124" s="604"/>
      <c r="U124" s="617"/>
      <c r="V124" s="635"/>
      <c r="W124" s="617"/>
      <c r="X124" s="635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13"/>
      <c r="C125" s="617"/>
      <c r="D125" s="613"/>
      <c r="E125" s="617"/>
      <c r="F125" s="613"/>
      <c r="G125" s="617"/>
      <c r="H125" s="613"/>
      <c r="I125" s="617"/>
      <c r="J125" s="613"/>
      <c r="K125" s="617"/>
      <c r="L125" s="613"/>
      <c r="M125" s="617"/>
      <c r="N125" s="613"/>
      <c r="O125" s="617"/>
      <c r="P125" s="613"/>
      <c r="Q125" s="617"/>
      <c r="R125" s="613"/>
      <c r="S125" s="617"/>
      <c r="T125" s="604"/>
      <c r="U125" s="617"/>
      <c r="V125" s="613"/>
      <c r="W125" s="617"/>
      <c r="X125" s="613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439" t="s">
        <v>89</v>
      </c>
      <c r="C126" s="389">
        <v>384</v>
      </c>
      <c r="D126" s="1439" t="s">
        <v>89</v>
      </c>
      <c r="E126" s="390">
        <v>400</v>
      </c>
      <c r="F126" s="1439" t="s">
        <v>659</v>
      </c>
      <c r="G126" s="390">
        <v>386</v>
      </c>
      <c r="H126" s="1439" t="s">
        <v>760</v>
      </c>
      <c r="I126" s="390">
        <v>398</v>
      </c>
      <c r="J126" s="1439" t="s">
        <v>89</v>
      </c>
      <c r="K126" s="390">
        <v>393</v>
      </c>
      <c r="L126" s="1439" t="s">
        <v>659</v>
      </c>
      <c r="M126" s="390">
        <v>387</v>
      </c>
      <c r="N126" s="1439" t="s">
        <v>89</v>
      </c>
      <c r="O126" s="390">
        <v>378</v>
      </c>
      <c r="P126" s="1439" t="s">
        <v>89</v>
      </c>
      <c r="Q126" s="390">
        <v>410</v>
      </c>
      <c r="R126" s="1439" t="s">
        <v>659</v>
      </c>
      <c r="S126" s="390">
        <v>367.58</v>
      </c>
      <c r="T126" s="1494" t="s">
        <v>917</v>
      </c>
      <c r="U126" s="390">
        <v>396</v>
      </c>
      <c r="V126" s="1456" t="s">
        <v>917</v>
      </c>
      <c r="W126" s="390">
        <v>395</v>
      </c>
      <c r="X126" s="1489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40"/>
      <c r="C127" s="613"/>
      <c r="D127" s="1440"/>
      <c r="E127" s="613"/>
      <c r="F127" s="1440"/>
      <c r="G127" s="613"/>
      <c r="H127" s="1440"/>
      <c r="I127" s="613"/>
      <c r="J127" s="1440"/>
      <c r="K127" s="613"/>
      <c r="L127" s="1440"/>
      <c r="M127" s="613"/>
      <c r="N127" s="1440"/>
      <c r="O127" s="613"/>
      <c r="P127" s="1440"/>
      <c r="Q127" s="613"/>
      <c r="R127" s="1440"/>
      <c r="S127" s="613"/>
      <c r="T127" s="1495"/>
      <c r="U127" s="613"/>
      <c r="V127" s="1457"/>
      <c r="W127" s="613"/>
      <c r="X127" s="1490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11" t="s">
        <v>320</v>
      </c>
      <c r="C128" s="392"/>
      <c r="D128" s="611" t="s">
        <v>321</v>
      </c>
      <c r="E128" s="612"/>
      <c r="F128" s="611" t="s">
        <v>322</v>
      </c>
      <c r="G128" s="612"/>
      <c r="H128" s="611" t="s">
        <v>323</v>
      </c>
      <c r="I128" s="612"/>
      <c r="J128" s="611" t="s">
        <v>324</v>
      </c>
      <c r="K128" s="612"/>
      <c r="L128" s="611" t="s">
        <v>325</v>
      </c>
      <c r="M128" s="612"/>
      <c r="N128" s="611" t="s">
        <v>326</v>
      </c>
      <c r="O128" s="612"/>
      <c r="P128" s="611" t="s">
        <v>327</v>
      </c>
      <c r="Q128" s="612"/>
      <c r="R128" s="611" t="s">
        <v>328</v>
      </c>
      <c r="S128" s="612"/>
      <c r="T128" s="611" t="s">
        <v>590</v>
      </c>
      <c r="U128" s="613"/>
      <c r="V128" s="611" t="s">
        <v>329</v>
      </c>
      <c r="W128" s="612"/>
      <c r="X128" s="611" t="s">
        <v>330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212</v>
      </c>
      <c r="C129" s="392"/>
      <c r="D129" s="392" t="s">
        <v>212</v>
      </c>
      <c r="E129" s="392"/>
      <c r="F129" s="392" t="s">
        <v>212</v>
      </c>
      <c r="G129" s="392"/>
      <c r="H129" s="392" t="s">
        <v>212</v>
      </c>
      <c r="I129" s="392"/>
      <c r="J129" s="392" t="s">
        <v>212</v>
      </c>
      <c r="K129" s="392"/>
      <c r="L129" s="392" t="s">
        <v>212</v>
      </c>
      <c r="M129" s="392"/>
      <c r="N129" s="392" t="s">
        <v>212</v>
      </c>
      <c r="O129" s="392"/>
      <c r="P129" s="392" t="s">
        <v>212</v>
      </c>
      <c r="Q129" s="392"/>
      <c r="R129" s="392" t="s">
        <v>213</v>
      </c>
      <c r="S129" s="614">
        <f>(W116+Y116+C126+E126+G126+I126+K126+M126+O126+Q126+S126)/1000</f>
        <v>4.26058</v>
      </c>
      <c r="T129" s="392" t="s">
        <v>214</v>
      </c>
      <c r="U129" s="392"/>
      <c r="V129" s="392" t="s">
        <v>213</v>
      </c>
      <c r="W129" s="392"/>
      <c r="X129" s="392" t="s">
        <v>213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720</v>
      </c>
      <c r="I130" s="392"/>
      <c r="J130" s="392"/>
      <c r="K130" s="392"/>
      <c r="L130" s="577"/>
      <c r="M130" s="577"/>
      <c r="N130" s="577"/>
      <c r="O130" s="392"/>
      <c r="P130" s="392"/>
      <c r="Q130" s="392"/>
      <c r="R130" s="392"/>
      <c r="S130" s="614"/>
      <c r="T130" s="607" t="s">
        <v>555</v>
      </c>
      <c r="U130" s="392"/>
      <c r="V130" s="607" t="s">
        <v>555</v>
      </c>
      <c r="W130" s="392"/>
      <c r="X130" s="392" t="s">
        <v>720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637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14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88"/>
      <c r="B132" s="1480"/>
      <c r="C132" s="1480"/>
      <c r="D132" s="1480"/>
      <c r="E132" s="1480"/>
      <c r="F132" s="1480"/>
      <c r="G132" s="1480"/>
      <c r="H132" s="1480"/>
      <c r="I132" s="1480"/>
      <c r="J132" s="1480"/>
      <c r="K132" s="1480"/>
      <c r="L132" s="1480"/>
      <c r="M132" s="1480"/>
      <c r="N132" s="1480"/>
      <c r="O132" s="1480"/>
      <c r="P132" s="1480"/>
      <c r="Q132" s="1480"/>
      <c r="R132" s="1480"/>
      <c r="S132" s="1480"/>
      <c r="T132" s="1480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636"/>
      <c r="C133" s="634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392"/>
      <c r="Q133" s="604"/>
      <c r="R133" s="392"/>
      <c r="S133" s="604"/>
      <c r="T133" s="604"/>
      <c r="U133" s="604"/>
      <c r="V133" s="604"/>
      <c r="W133" s="604"/>
      <c r="X133" s="604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635"/>
      <c r="C134" s="617"/>
      <c r="D134" s="604"/>
      <c r="E134" s="617"/>
      <c r="F134" s="635"/>
      <c r="G134" s="617"/>
      <c r="H134" s="635"/>
      <c r="I134" s="617"/>
      <c r="J134" s="635"/>
      <c r="K134" s="617"/>
      <c r="L134" s="604"/>
      <c r="M134" s="617"/>
      <c r="N134" s="635"/>
      <c r="O134" s="617"/>
      <c r="P134" s="635"/>
      <c r="Q134" s="617"/>
      <c r="R134" s="617"/>
      <c r="S134" s="617"/>
      <c r="T134" s="635"/>
      <c r="U134" s="617"/>
      <c r="V134" s="635"/>
      <c r="W134" s="617"/>
      <c r="X134" s="604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13"/>
      <c r="C135" s="617"/>
      <c r="D135" s="604"/>
      <c r="E135" s="617"/>
      <c r="F135" s="613"/>
      <c r="G135" s="617"/>
      <c r="H135" s="613"/>
      <c r="I135" s="617"/>
      <c r="J135" s="613"/>
      <c r="K135" s="617"/>
      <c r="L135" s="604"/>
      <c r="M135" s="617"/>
      <c r="N135" s="613"/>
      <c r="O135" s="617"/>
      <c r="P135" s="613"/>
      <c r="Q135" s="617"/>
      <c r="R135" s="617"/>
      <c r="S135" s="617"/>
      <c r="T135" s="613"/>
      <c r="U135" s="617"/>
      <c r="V135" s="613"/>
      <c r="W135" s="617"/>
      <c r="X135" s="604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439" t="s">
        <v>89</v>
      </c>
      <c r="C136" s="389">
        <v>350.09</v>
      </c>
      <c r="D136" s="1472"/>
      <c r="E136" s="390">
        <v>364</v>
      </c>
      <c r="F136" s="1439" t="s">
        <v>89</v>
      </c>
      <c r="G136" s="390">
        <v>452</v>
      </c>
      <c r="H136" s="1439" t="s">
        <v>89</v>
      </c>
      <c r="I136" s="390">
        <v>392</v>
      </c>
      <c r="J136" s="1439" t="s">
        <v>89</v>
      </c>
      <c r="K136" s="390">
        <v>369.64499999999998</v>
      </c>
      <c r="L136" s="1460" t="s">
        <v>555</v>
      </c>
      <c r="M136" s="390">
        <v>446</v>
      </c>
      <c r="N136" s="1439" t="s">
        <v>89</v>
      </c>
      <c r="O136" s="390">
        <v>386</v>
      </c>
      <c r="P136" s="1439" t="s">
        <v>917</v>
      </c>
      <c r="Q136" s="390">
        <v>451</v>
      </c>
      <c r="R136" s="1449" t="s">
        <v>917</v>
      </c>
      <c r="S136" s="390">
        <v>428.50400000000002</v>
      </c>
      <c r="T136" s="1439" t="s">
        <v>89</v>
      </c>
      <c r="U136" s="390">
        <v>354.49599999999998</v>
      </c>
      <c r="V136" s="1439" t="s">
        <v>89</v>
      </c>
      <c r="W136" s="390">
        <v>430.20699999999999</v>
      </c>
      <c r="X136" s="1460" t="s">
        <v>555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40"/>
      <c r="C137" s="613"/>
      <c r="D137" s="1473"/>
      <c r="E137" s="613"/>
      <c r="F137" s="1440"/>
      <c r="G137" s="613"/>
      <c r="H137" s="1440"/>
      <c r="I137" s="613"/>
      <c r="J137" s="1440"/>
      <c r="K137" s="613"/>
      <c r="L137" s="1461"/>
      <c r="M137" s="613"/>
      <c r="N137" s="1440"/>
      <c r="O137" s="613"/>
      <c r="P137" s="1440"/>
      <c r="Q137" s="613"/>
      <c r="R137" s="1450"/>
      <c r="S137" s="613"/>
      <c r="T137" s="1440"/>
      <c r="U137" s="613"/>
      <c r="V137" s="1440"/>
      <c r="W137" s="613"/>
      <c r="X137" s="1461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11" t="s">
        <v>331</v>
      </c>
      <c r="C138" s="392"/>
      <c r="D138" s="611" t="s">
        <v>591</v>
      </c>
      <c r="E138" s="612"/>
      <c r="F138" s="611" t="s">
        <v>332</v>
      </c>
      <c r="G138" s="612"/>
      <c r="H138" s="611" t="s">
        <v>333</v>
      </c>
      <c r="I138" s="612"/>
      <c r="J138" s="611" t="s">
        <v>334</v>
      </c>
      <c r="K138" s="612"/>
      <c r="L138" s="611" t="s">
        <v>592</v>
      </c>
      <c r="M138" s="612"/>
      <c r="N138" s="611" t="s">
        <v>94</v>
      </c>
      <c r="O138" s="612"/>
      <c r="P138" s="611" t="s">
        <v>335</v>
      </c>
      <c r="Q138" s="612"/>
      <c r="R138" s="611" t="s">
        <v>336</v>
      </c>
      <c r="S138" s="612"/>
      <c r="T138" s="611" t="s">
        <v>337</v>
      </c>
      <c r="U138" s="613"/>
      <c r="V138" s="611" t="s">
        <v>96</v>
      </c>
      <c r="W138" s="612"/>
      <c r="X138" s="611" t="s">
        <v>593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212</v>
      </c>
      <c r="C139" s="614">
        <f>(U126+W126+Y126+C136)/1000</f>
        <v>1.5550899999999999</v>
      </c>
      <c r="D139" s="392" t="s">
        <v>214</v>
      </c>
      <c r="E139" s="392"/>
      <c r="F139" s="392" t="s">
        <v>213</v>
      </c>
      <c r="G139" s="392"/>
      <c r="H139" s="392" t="s">
        <v>211</v>
      </c>
      <c r="I139" s="392"/>
      <c r="J139" s="392" t="s">
        <v>248</v>
      </c>
      <c r="K139" s="614">
        <f>(E136+G136+I136+K136)/1000</f>
        <v>1.577645</v>
      </c>
      <c r="L139" s="392" t="s">
        <v>311</v>
      </c>
      <c r="M139" s="392"/>
      <c r="N139" s="392" t="s">
        <v>211</v>
      </c>
      <c r="O139" s="392"/>
      <c r="P139" s="392" t="s">
        <v>248</v>
      </c>
      <c r="Q139" s="614">
        <f>(M136+O136+Q136)/1000</f>
        <v>1.2829999999999999</v>
      </c>
      <c r="R139" s="392" t="s">
        <v>564</v>
      </c>
      <c r="S139" s="392"/>
      <c r="T139" s="392" t="s">
        <v>213</v>
      </c>
      <c r="U139" s="392"/>
      <c r="V139" s="392" t="s">
        <v>212</v>
      </c>
      <c r="W139" s="614">
        <f>(S136+U136+W136)/1000</f>
        <v>1.2132069999999999</v>
      </c>
      <c r="X139" s="392" t="s">
        <v>292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720</v>
      </c>
      <c r="C140" s="614"/>
      <c r="D140" s="577"/>
      <c r="E140" s="577"/>
      <c r="F140" s="577"/>
      <c r="G140" s="577"/>
      <c r="H140" s="577"/>
      <c r="I140" s="577"/>
      <c r="J140" s="577"/>
      <c r="K140" s="622"/>
      <c r="L140" s="577"/>
      <c r="M140" s="392"/>
      <c r="N140" s="392"/>
      <c r="O140" s="392"/>
      <c r="P140" s="392"/>
      <c r="Q140" s="614"/>
      <c r="R140" s="392" t="s">
        <v>720</v>
      </c>
      <c r="S140" s="392"/>
      <c r="T140" s="392"/>
      <c r="U140" s="392"/>
      <c r="V140" s="392"/>
      <c r="W140" s="614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14"/>
      <c r="C141" s="614"/>
      <c r="D141" s="392"/>
      <c r="E141" s="392"/>
      <c r="F141" s="392"/>
      <c r="G141" s="392"/>
      <c r="H141" s="637"/>
      <c r="I141" s="392"/>
      <c r="J141" s="392"/>
      <c r="K141" s="614"/>
      <c r="L141" s="392"/>
      <c r="M141" s="392"/>
      <c r="N141" s="392"/>
      <c r="O141" s="392"/>
      <c r="P141" s="392"/>
      <c r="Q141" s="614"/>
      <c r="R141" s="392"/>
      <c r="S141" s="392"/>
      <c r="T141" s="392"/>
      <c r="U141" s="392"/>
      <c r="V141" s="392"/>
      <c r="W141" s="614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13"/>
      <c r="D142" s="634"/>
      <c r="E142" s="613"/>
      <c r="F142" s="634"/>
      <c r="G142" s="392"/>
      <c r="H142" s="634"/>
      <c r="I142" s="613"/>
      <c r="J142" s="392"/>
      <c r="K142" s="613"/>
      <c r="L142" s="634"/>
      <c r="M142" s="613"/>
      <c r="N142" s="392"/>
      <c r="O142" s="613"/>
      <c r="P142" s="631"/>
      <c r="Q142" s="632"/>
      <c r="R142" s="631"/>
      <c r="S142" s="632"/>
      <c r="T142" s="631"/>
      <c r="U142" s="631"/>
      <c r="V142" s="631"/>
      <c r="W142" s="632"/>
      <c r="X142" s="631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635"/>
      <c r="C143" s="617"/>
      <c r="D143" s="635"/>
      <c r="E143" s="617"/>
      <c r="F143" s="635"/>
      <c r="G143" s="617"/>
      <c r="H143" s="604"/>
      <c r="I143" s="617"/>
      <c r="J143" s="635"/>
      <c r="K143" s="617"/>
      <c r="L143" s="635"/>
      <c r="M143" s="617"/>
      <c r="N143" s="604"/>
      <c r="O143" s="617"/>
      <c r="P143" s="635"/>
      <c r="Q143" s="617"/>
      <c r="R143" s="635"/>
      <c r="S143" s="617"/>
      <c r="T143" s="604"/>
      <c r="U143" s="617"/>
      <c r="V143" s="635"/>
      <c r="W143" s="617"/>
      <c r="X143" s="635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13"/>
      <c r="C144" s="617"/>
      <c r="D144" s="613"/>
      <c r="E144" s="617"/>
      <c r="F144" s="613"/>
      <c r="G144" s="617"/>
      <c r="H144" s="604"/>
      <c r="I144" s="617"/>
      <c r="J144" s="613"/>
      <c r="K144" s="617"/>
      <c r="L144" s="613"/>
      <c r="M144" s="617"/>
      <c r="N144" s="604"/>
      <c r="O144" s="617"/>
      <c r="P144" s="613"/>
      <c r="Q144" s="617"/>
      <c r="R144" s="613"/>
      <c r="S144" s="617"/>
      <c r="T144" s="604"/>
      <c r="U144" s="617"/>
      <c r="V144" s="613"/>
      <c r="W144" s="617"/>
      <c r="X144" s="613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439" t="s">
        <v>89</v>
      </c>
      <c r="C145" s="389">
        <v>415</v>
      </c>
      <c r="D145" s="1439" t="s">
        <v>89</v>
      </c>
      <c r="E145" s="390">
        <v>399</v>
      </c>
      <c r="F145" s="1489"/>
      <c r="G145" s="390">
        <v>436.29500000000002</v>
      </c>
      <c r="H145" s="1491"/>
      <c r="I145" s="390">
        <v>437</v>
      </c>
      <c r="J145" s="1439" t="s">
        <v>89</v>
      </c>
      <c r="K145" s="390">
        <v>406</v>
      </c>
      <c r="L145" s="1456" t="s">
        <v>917</v>
      </c>
      <c r="M145" s="390">
        <v>437.79599999999999</v>
      </c>
      <c r="N145" s="1441" t="s">
        <v>89</v>
      </c>
      <c r="O145" s="390">
        <v>412</v>
      </c>
      <c r="P145" s="1439" t="s">
        <v>89</v>
      </c>
      <c r="Q145" s="390">
        <v>356.62799999999999</v>
      </c>
      <c r="R145" s="1496" t="s">
        <v>917</v>
      </c>
      <c r="S145" s="390">
        <v>384.62400000000002</v>
      </c>
      <c r="T145" s="1494" t="s">
        <v>89</v>
      </c>
      <c r="U145" s="390">
        <v>391</v>
      </c>
      <c r="V145" s="1439" t="s">
        <v>721</v>
      </c>
      <c r="W145" s="390">
        <v>436</v>
      </c>
      <c r="X145" s="1437"/>
      <c r="Y145" s="467">
        <v>406</v>
      </c>
      <c r="Z145" s="458">
        <v>8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40"/>
      <c r="C146" s="613"/>
      <c r="D146" s="1440"/>
      <c r="E146" s="613"/>
      <c r="F146" s="1490"/>
      <c r="G146" s="613"/>
      <c r="H146" s="1492"/>
      <c r="I146" s="613"/>
      <c r="J146" s="1440"/>
      <c r="K146" s="613"/>
      <c r="L146" s="1493"/>
      <c r="M146" s="613"/>
      <c r="N146" s="1455"/>
      <c r="O146" s="613"/>
      <c r="P146" s="1440"/>
      <c r="Q146" s="613"/>
      <c r="R146" s="1497"/>
      <c r="S146" s="613"/>
      <c r="T146" s="1495"/>
      <c r="U146" s="613"/>
      <c r="V146" s="1440"/>
      <c r="W146" s="613"/>
      <c r="X146" s="1438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11" t="s">
        <v>93</v>
      </c>
      <c r="C147" s="392"/>
      <c r="D147" s="611" t="s">
        <v>90</v>
      </c>
      <c r="E147" s="612"/>
      <c r="F147" s="611" t="s">
        <v>338</v>
      </c>
      <c r="G147" s="612"/>
      <c r="H147" s="611" t="s">
        <v>594</v>
      </c>
      <c r="I147" s="612"/>
      <c r="J147" s="611" t="s">
        <v>86</v>
      </c>
      <c r="K147" s="612"/>
      <c r="L147" s="611" t="s">
        <v>339</v>
      </c>
      <c r="M147" s="612"/>
      <c r="N147" s="611" t="s">
        <v>595</v>
      </c>
      <c r="O147" s="612"/>
      <c r="P147" s="611" t="s">
        <v>340</v>
      </c>
      <c r="Q147" s="612"/>
      <c r="R147" s="611" t="s">
        <v>108</v>
      </c>
      <c r="S147" s="612"/>
      <c r="T147" s="611" t="s">
        <v>596</v>
      </c>
      <c r="U147" s="613"/>
      <c r="V147" s="611" t="s">
        <v>341</v>
      </c>
      <c r="W147" s="612"/>
      <c r="X147" s="611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212</v>
      </c>
      <c r="C148" s="392"/>
      <c r="D148" s="392" t="s">
        <v>213</v>
      </c>
      <c r="E148" s="392"/>
      <c r="F148" s="392" t="s">
        <v>212</v>
      </c>
      <c r="G148" s="614">
        <f>(Y136+C145+E145+G145)/1000</f>
        <v>1.6442950000000001</v>
      </c>
      <c r="H148" s="392" t="s">
        <v>269</v>
      </c>
      <c r="I148" s="392"/>
      <c r="J148" s="392" t="s">
        <v>212</v>
      </c>
      <c r="K148" s="392"/>
      <c r="L148" s="392" t="s">
        <v>211</v>
      </c>
      <c r="M148" s="614">
        <f>(I145+K145+M145)/1000</f>
        <v>1.280796</v>
      </c>
      <c r="N148" s="392" t="s">
        <v>270</v>
      </c>
      <c r="O148" s="392"/>
      <c r="P148" s="392" t="s">
        <v>212</v>
      </c>
      <c r="Q148" s="392"/>
      <c r="R148" s="392" t="s">
        <v>248</v>
      </c>
      <c r="S148" s="614">
        <f>(O145+Q145+S145)/1000</f>
        <v>1.1532519999999999</v>
      </c>
      <c r="T148" s="392" t="s">
        <v>210</v>
      </c>
      <c r="U148" s="392"/>
      <c r="V148" s="392" t="s">
        <v>211</v>
      </c>
      <c r="W148" s="392"/>
      <c r="X148" s="392" t="s">
        <v>212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720</v>
      </c>
      <c r="G149" s="614"/>
      <c r="H149" s="392" t="s">
        <v>720</v>
      </c>
      <c r="I149" s="392"/>
      <c r="J149" s="392"/>
      <c r="K149" s="392"/>
      <c r="L149" s="607" t="s">
        <v>555</v>
      </c>
      <c r="M149" s="614"/>
      <c r="N149" s="392"/>
      <c r="O149" s="392"/>
      <c r="P149" s="392"/>
      <c r="Q149" s="392"/>
      <c r="R149" s="607" t="s">
        <v>555</v>
      </c>
      <c r="S149" s="614"/>
      <c r="T149" s="577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14"/>
      <c r="H150" s="392"/>
      <c r="I150" s="392"/>
      <c r="J150" s="392"/>
      <c r="K150" s="392"/>
      <c r="L150" s="392"/>
      <c r="M150" s="614"/>
      <c r="N150" s="392"/>
      <c r="O150" s="392"/>
      <c r="P150" s="577"/>
      <c r="Q150" s="392"/>
      <c r="R150" s="392"/>
      <c r="S150" s="614"/>
      <c r="T150" s="614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04"/>
      <c r="C151" s="604"/>
      <c r="D151" s="634"/>
      <c r="E151" s="613"/>
      <c r="F151" s="392"/>
      <c r="G151" s="613"/>
      <c r="H151" s="392"/>
      <c r="I151" s="613"/>
      <c r="J151" s="392"/>
      <c r="K151" s="604"/>
      <c r="L151" s="392"/>
      <c r="M151" s="613"/>
      <c r="N151" s="392"/>
      <c r="O151" s="613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635"/>
      <c r="C152" s="617"/>
      <c r="D152" s="635"/>
      <c r="E152" s="617"/>
      <c r="F152" s="635"/>
      <c r="G152" s="617"/>
      <c r="H152" s="635"/>
      <c r="I152" s="617"/>
      <c r="J152" s="604"/>
      <c r="K152" s="617"/>
      <c r="L152" s="635"/>
      <c r="M152" s="617"/>
      <c r="N152" s="635"/>
      <c r="O152" s="617"/>
      <c r="P152" s="635"/>
      <c r="Q152" s="617"/>
      <c r="R152" s="635"/>
      <c r="S152" s="617"/>
      <c r="T152" s="635"/>
      <c r="U152" s="617"/>
      <c r="V152" s="635"/>
      <c r="W152" s="617"/>
      <c r="X152" s="604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13"/>
      <c r="C153" s="617"/>
      <c r="D153" s="613"/>
      <c r="E153" s="617"/>
      <c r="F153" s="613"/>
      <c r="G153" s="617"/>
      <c r="H153" s="613"/>
      <c r="I153" s="617"/>
      <c r="J153" s="604"/>
      <c r="K153" s="617"/>
      <c r="L153" s="613"/>
      <c r="M153" s="617"/>
      <c r="N153" s="613"/>
      <c r="O153" s="617"/>
      <c r="P153" s="613"/>
      <c r="Q153" s="617"/>
      <c r="R153" s="613"/>
      <c r="S153" s="617"/>
      <c r="T153" s="613"/>
      <c r="U153" s="617"/>
      <c r="V153" s="613"/>
      <c r="W153" s="617"/>
      <c r="X153" s="604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439" t="s">
        <v>659</v>
      </c>
      <c r="C154" s="389">
        <v>359</v>
      </c>
      <c r="D154" s="1439" t="s">
        <v>659</v>
      </c>
      <c r="E154" s="390">
        <v>439</v>
      </c>
      <c r="F154" s="1439" t="s">
        <v>659</v>
      </c>
      <c r="G154" s="390">
        <v>393</v>
      </c>
      <c r="H154" s="1498" t="s">
        <v>723</v>
      </c>
      <c r="I154" s="390">
        <v>314.94900000000001</v>
      </c>
      <c r="J154" s="1449" t="s">
        <v>917</v>
      </c>
      <c r="K154" s="390">
        <v>437.00099999999998</v>
      </c>
      <c r="L154" s="1498" t="s">
        <v>722</v>
      </c>
      <c r="M154" s="390">
        <v>399</v>
      </c>
      <c r="N154" s="1498" t="s">
        <v>722</v>
      </c>
      <c r="O154" s="390">
        <v>303</v>
      </c>
      <c r="P154" s="1451" t="s">
        <v>713</v>
      </c>
      <c r="Q154" s="390">
        <v>337</v>
      </c>
      <c r="R154" s="1451" t="s">
        <v>713</v>
      </c>
      <c r="S154" s="390">
        <v>339.16899999999998</v>
      </c>
      <c r="T154" s="1460" t="s">
        <v>555</v>
      </c>
      <c r="U154" s="390">
        <v>400</v>
      </c>
      <c r="V154" s="1474"/>
      <c r="W154" s="390">
        <v>358.84899999999999</v>
      </c>
      <c r="X154" s="1460" t="s">
        <v>555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40"/>
      <c r="C155" s="613"/>
      <c r="D155" s="1440"/>
      <c r="E155" s="613"/>
      <c r="F155" s="1440"/>
      <c r="G155" s="613"/>
      <c r="H155" s="1440"/>
      <c r="I155" s="613"/>
      <c r="J155" s="1450"/>
      <c r="K155" s="613"/>
      <c r="L155" s="1440"/>
      <c r="M155" s="613"/>
      <c r="N155" s="1440"/>
      <c r="O155" s="613"/>
      <c r="P155" s="1452"/>
      <c r="Q155" s="613"/>
      <c r="R155" s="1452"/>
      <c r="S155" s="613"/>
      <c r="T155" s="1461"/>
      <c r="U155" s="613"/>
      <c r="V155" s="1475"/>
      <c r="W155" s="613"/>
      <c r="X155" s="1473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11" t="s">
        <v>342</v>
      </c>
      <c r="C156" s="392"/>
      <c r="D156" s="611" t="s">
        <v>343</v>
      </c>
      <c r="E156" s="612"/>
      <c r="F156" s="611" t="s">
        <v>344</v>
      </c>
      <c r="G156" s="612"/>
      <c r="H156" s="611" t="s">
        <v>345</v>
      </c>
      <c r="I156" s="612"/>
      <c r="J156" s="611" t="s">
        <v>597</v>
      </c>
      <c r="K156" s="612"/>
      <c r="L156" s="611" t="s">
        <v>346</v>
      </c>
      <c r="M156" s="612"/>
      <c r="N156" s="611" t="s">
        <v>347</v>
      </c>
      <c r="O156" s="612"/>
      <c r="P156" s="611" t="s">
        <v>348</v>
      </c>
      <c r="Q156" s="612"/>
      <c r="R156" s="611" t="s">
        <v>349</v>
      </c>
      <c r="S156" s="612"/>
      <c r="T156" s="611" t="s">
        <v>598</v>
      </c>
      <c r="U156" s="613"/>
      <c r="V156" s="611" t="s">
        <v>350</v>
      </c>
      <c r="W156" s="612"/>
      <c r="X156" s="611" t="s">
        <v>599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212</v>
      </c>
      <c r="C157" s="392"/>
      <c r="D157" s="392" t="s">
        <v>212</v>
      </c>
      <c r="E157" s="392"/>
      <c r="F157" s="392" t="s">
        <v>248</v>
      </c>
      <c r="G157" s="392"/>
      <c r="H157" s="392" t="s">
        <v>212</v>
      </c>
      <c r="I157" s="614">
        <f>(U145+W145+Y145+C154+E154+G154+I154)/1000</f>
        <v>2.7389489999999999</v>
      </c>
      <c r="J157" s="392" t="s">
        <v>210</v>
      </c>
      <c r="K157" s="385"/>
      <c r="L157" s="392" t="s">
        <v>248</v>
      </c>
      <c r="M157" s="392"/>
      <c r="N157" s="392" t="s">
        <v>212</v>
      </c>
      <c r="O157" s="392"/>
      <c r="P157" s="392" t="s">
        <v>212</v>
      </c>
      <c r="Q157" s="392"/>
      <c r="R157" s="392" t="s">
        <v>212</v>
      </c>
      <c r="S157" s="614">
        <f>(K154+M154++O154+Q154+S154)/1000</f>
        <v>1.8151700000000002</v>
      </c>
      <c r="T157" s="392" t="s">
        <v>351</v>
      </c>
      <c r="U157" s="392"/>
      <c r="V157" s="392" t="s">
        <v>213</v>
      </c>
      <c r="W157" s="614">
        <f>(U154+W154)/1000</f>
        <v>0.75884899999999988</v>
      </c>
      <c r="X157" s="392" t="s">
        <v>352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14"/>
      <c r="J158" s="392"/>
      <c r="K158" s="385"/>
      <c r="L158" s="392"/>
      <c r="M158" s="392"/>
      <c r="N158" s="392"/>
      <c r="O158" s="392"/>
      <c r="P158" s="392"/>
      <c r="Q158" s="392"/>
      <c r="R158" s="577"/>
      <c r="S158" s="622"/>
      <c r="T158" s="577"/>
      <c r="U158" s="577"/>
      <c r="V158" s="577"/>
      <c r="W158" s="614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14"/>
      <c r="J159" s="392"/>
      <c r="K159" s="385"/>
      <c r="L159" s="392"/>
      <c r="M159" s="392"/>
      <c r="N159" s="392"/>
      <c r="O159" s="392"/>
      <c r="P159" s="392"/>
      <c r="Q159" s="392"/>
      <c r="R159" s="392"/>
      <c r="S159" s="614"/>
      <c r="T159" s="392"/>
      <c r="U159" s="392"/>
      <c r="V159" s="392"/>
      <c r="W159" s="614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04"/>
      <c r="C160" s="604"/>
      <c r="D160" s="604"/>
      <c r="E160" s="617"/>
      <c r="F160" s="604"/>
      <c r="G160" s="604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04"/>
      <c r="C161" s="617"/>
      <c r="D161" s="604"/>
      <c r="E161" s="385"/>
      <c r="F161" s="635"/>
      <c r="G161" s="617"/>
      <c r="H161" s="604"/>
      <c r="I161" s="617"/>
      <c r="J161" s="635"/>
      <c r="K161" s="617"/>
      <c r="L161" s="635"/>
      <c r="M161" s="617"/>
      <c r="N161" s="635"/>
      <c r="O161" s="617"/>
      <c r="P161" s="635"/>
      <c r="Q161" s="617"/>
      <c r="R161" s="604"/>
      <c r="S161" s="617"/>
      <c r="T161" s="635"/>
      <c r="U161" s="617"/>
      <c r="V161" s="635"/>
      <c r="W161" s="617"/>
      <c r="X161" s="635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04"/>
      <c r="C162" s="617"/>
      <c r="D162" s="604"/>
      <c r="E162" s="617"/>
      <c r="F162" s="613"/>
      <c r="G162" s="617"/>
      <c r="H162" s="604"/>
      <c r="I162" s="617"/>
      <c r="J162" s="613"/>
      <c r="K162" s="617"/>
      <c r="L162" s="613"/>
      <c r="M162" s="617"/>
      <c r="N162" s="613"/>
      <c r="O162" s="617"/>
      <c r="P162" s="613"/>
      <c r="Q162" s="617"/>
      <c r="R162" s="604"/>
      <c r="S162" s="617"/>
      <c r="T162" s="613"/>
      <c r="U162" s="617"/>
      <c r="V162" s="613"/>
      <c r="W162" s="617"/>
      <c r="X162" s="613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472"/>
      <c r="C163" s="389">
        <v>287.35199999999998</v>
      </c>
      <c r="D163" s="1472"/>
      <c r="E163" s="390">
        <v>416</v>
      </c>
      <c r="F163" s="1499" t="s">
        <v>89</v>
      </c>
      <c r="G163" s="390">
        <v>352.35399999999998</v>
      </c>
      <c r="H163" s="1441" t="s">
        <v>89</v>
      </c>
      <c r="I163" s="390">
        <v>361</v>
      </c>
      <c r="J163" s="1437"/>
      <c r="K163" s="390">
        <v>426</v>
      </c>
      <c r="L163" s="1437"/>
      <c r="M163" s="390">
        <v>394</v>
      </c>
      <c r="N163" s="1437"/>
      <c r="O163" s="390">
        <v>384</v>
      </c>
      <c r="P163" s="1474" t="s">
        <v>555</v>
      </c>
      <c r="Q163" s="390">
        <v>414</v>
      </c>
      <c r="R163" s="1472"/>
      <c r="S163" s="390">
        <v>480</v>
      </c>
      <c r="T163" s="1472"/>
      <c r="U163" s="390">
        <v>395</v>
      </c>
      <c r="V163" s="1474"/>
      <c r="W163" s="390">
        <v>329</v>
      </c>
      <c r="X163" s="1474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473"/>
      <c r="C164" s="613"/>
      <c r="D164" s="1473"/>
      <c r="E164" s="613"/>
      <c r="F164" s="1500"/>
      <c r="G164" s="613"/>
      <c r="H164" s="1455"/>
      <c r="I164" s="613"/>
      <c r="J164" s="1501"/>
      <c r="K164" s="613"/>
      <c r="L164" s="1438"/>
      <c r="M164" s="613"/>
      <c r="N164" s="1438"/>
      <c r="O164" s="613"/>
      <c r="P164" s="1475"/>
      <c r="Q164" s="613"/>
      <c r="R164" s="1473"/>
      <c r="S164" s="613"/>
      <c r="T164" s="1473"/>
      <c r="U164" s="613"/>
      <c r="V164" s="1475"/>
      <c r="W164" s="613"/>
      <c r="X164" s="1475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11" t="s">
        <v>600</v>
      </c>
      <c r="C165" s="392"/>
      <c r="D165" s="611" t="s">
        <v>601</v>
      </c>
      <c r="E165" s="612"/>
      <c r="F165" s="611" t="s">
        <v>353</v>
      </c>
      <c r="G165" s="612"/>
      <c r="H165" s="611" t="s">
        <v>602</v>
      </c>
      <c r="I165" s="612"/>
      <c r="J165" s="611" t="s">
        <v>354</v>
      </c>
      <c r="K165" s="612"/>
      <c r="L165" s="611" t="s">
        <v>355</v>
      </c>
      <c r="M165" s="612"/>
      <c r="N165" s="611" t="s">
        <v>356</v>
      </c>
      <c r="O165" s="612"/>
      <c r="P165" s="611" t="s">
        <v>357</v>
      </c>
      <c r="Q165" s="612"/>
      <c r="R165" s="611" t="s">
        <v>358</v>
      </c>
      <c r="S165" s="612"/>
      <c r="T165" s="611" t="s">
        <v>603</v>
      </c>
      <c r="U165" s="613"/>
      <c r="V165" s="611" t="s">
        <v>359</v>
      </c>
      <c r="W165" s="612"/>
      <c r="X165" s="611" t="s">
        <v>360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283</v>
      </c>
      <c r="C166" s="614">
        <v>0.287352</v>
      </c>
      <c r="D166" s="638" t="s">
        <v>311</v>
      </c>
      <c r="E166" s="392"/>
      <c r="F166" s="392" t="s">
        <v>212</v>
      </c>
      <c r="G166" s="614">
        <f>(E163+G163)/1000</f>
        <v>0.76835400000000009</v>
      </c>
      <c r="H166" s="392" t="s">
        <v>237</v>
      </c>
      <c r="I166" s="392"/>
      <c r="J166" s="392" t="s">
        <v>213</v>
      </c>
      <c r="K166" s="392"/>
      <c r="L166" s="392" t="s">
        <v>213</v>
      </c>
      <c r="M166" s="392"/>
      <c r="N166" s="392" t="s">
        <v>213</v>
      </c>
      <c r="O166" s="392"/>
      <c r="P166" s="392" t="s">
        <v>212</v>
      </c>
      <c r="Q166" s="614">
        <f>(I163+K163+M163++O163+Q163)/1000</f>
        <v>1.9790000000000001</v>
      </c>
      <c r="R166" s="392" t="s">
        <v>564</v>
      </c>
      <c r="S166" s="614">
        <f>(S163)/1000</f>
        <v>0.48</v>
      </c>
      <c r="T166" s="392" t="s">
        <v>301</v>
      </c>
      <c r="U166" s="392"/>
      <c r="V166" s="392" t="s">
        <v>213</v>
      </c>
      <c r="W166" s="392"/>
      <c r="X166" s="392" t="s">
        <v>211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577"/>
      <c r="C167" s="622"/>
      <c r="D167" s="577"/>
      <c r="E167" s="577"/>
      <c r="F167" s="577"/>
      <c r="G167" s="622"/>
      <c r="H167" s="577"/>
      <c r="I167" s="577"/>
      <c r="J167" s="577"/>
      <c r="K167" s="577"/>
      <c r="L167" s="577"/>
      <c r="M167" s="577"/>
      <c r="N167" s="577"/>
      <c r="O167" s="577"/>
      <c r="P167" s="577"/>
      <c r="Q167" s="622"/>
      <c r="R167" s="577"/>
      <c r="S167" s="622"/>
      <c r="T167" s="577"/>
      <c r="U167" s="577"/>
      <c r="V167" s="577"/>
      <c r="W167" s="577"/>
      <c r="X167" s="577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14"/>
      <c r="D168" s="392"/>
      <c r="E168" s="392"/>
      <c r="F168" s="392"/>
      <c r="G168" s="614"/>
      <c r="H168" s="392"/>
      <c r="I168" s="392"/>
      <c r="J168" s="392"/>
      <c r="K168" s="392"/>
      <c r="L168" s="392"/>
      <c r="M168" s="392"/>
      <c r="N168" s="392"/>
      <c r="O168" s="392"/>
      <c r="P168" s="392"/>
      <c r="Q168" s="614"/>
      <c r="R168" s="392"/>
      <c r="S168" s="614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13"/>
      <c r="D169" s="634"/>
      <c r="E169" s="613"/>
      <c r="F169" s="634"/>
      <c r="G169" s="392"/>
      <c r="H169" s="634"/>
      <c r="I169" s="613"/>
      <c r="J169" s="392"/>
      <c r="K169" s="613"/>
      <c r="L169" s="634"/>
      <c r="M169" s="613"/>
      <c r="N169" s="392"/>
      <c r="O169" s="613"/>
      <c r="P169" s="631"/>
      <c r="Q169" s="632"/>
      <c r="R169" s="631"/>
      <c r="S169" s="632"/>
      <c r="T169" s="631"/>
      <c r="U169" s="631"/>
      <c r="V169" s="631"/>
      <c r="W169" s="632"/>
      <c r="X169" s="631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04"/>
      <c r="C170" s="617"/>
      <c r="D170" s="604"/>
      <c r="E170" s="617"/>
      <c r="F170" s="635"/>
      <c r="G170" s="617"/>
      <c r="H170" s="604"/>
      <c r="I170" s="617"/>
      <c r="J170" s="635"/>
      <c r="K170" s="617"/>
      <c r="L170" s="635"/>
      <c r="M170" s="617"/>
      <c r="N170" s="604"/>
      <c r="O170" s="617"/>
      <c r="P170" s="604"/>
      <c r="Q170" s="617"/>
      <c r="R170" s="635"/>
      <c r="S170" s="617"/>
      <c r="T170" s="635"/>
      <c r="U170" s="617"/>
      <c r="V170" s="604"/>
      <c r="W170" s="617"/>
      <c r="X170" s="604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04"/>
      <c r="C171" s="617"/>
      <c r="D171" s="604"/>
      <c r="E171" s="617"/>
      <c r="F171" s="613"/>
      <c r="G171" s="617"/>
      <c r="H171" s="604"/>
      <c r="I171" s="617"/>
      <c r="J171" s="613"/>
      <c r="K171" s="617"/>
      <c r="L171" s="613"/>
      <c r="M171" s="617"/>
      <c r="N171" s="604"/>
      <c r="O171" s="617"/>
      <c r="P171" s="604"/>
      <c r="Q171" s="617"/>
      <c r="R171" s="613"/>
      <c r="S171" s="617"/>
      <c r="T171" s="613"/>
      <c r="U171" s="617"/>
      <c r="V171" s="604"/>
      <c r="W171" s="617"/>
      <c r="X171" s="604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472"/>
      <c r="C172" s="389">
        <v>467</v>
      </c>
      <c r="D172" s="1472"/>
      <c r="E172" s="390">
        <v>443</v>
      </c>
      <c r="F172" s="1474"/>
      <c r="G172" s="390">
        <v>310.74299999999999</v>
      </c>
      <c r="H172" s="1472"/>
      <c r="I172" s="390">
        <v>479</v>
      </c>
      <c r="J172" s="1466" t="s">
        <v>555</v>
      </c>
      <c r="K172" s="390">
        <v>321</v>
      </c>
      <c r="L172" s="1489"/>
      <c r="M172" s="390">
        <v>506</v>
      </c>
      <c r="N172" s="1472"/>
      <c r="O172" s="390">
        <v>421.20699999999999</v>
      </c>
      <c r="P172" s="1472"/>
      <c r="Q172" s="390">
        <v>421</v>
      </c>
      <c r="R172" s="1439" t="s">
        <v>724</v>
      </c>
      <c r="S172" s="390">
        <v>406</v>
      </c>
      <c r="T172" s="1502"/>
      <c r="U172" s="390">
        <v>435</v>
      </c>
      <c r="V172" s="1472"/>
      <c r="W172" s="390">
        <v>532.75900000000001</v>
      </c>
      <c r="X172" s="1460" t="s">
        <v>555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473"/>
      <c r="C173" s="613"/>
      <c r="D173" s="1473"/>
      <c r="E173" s="613"/>
      <c r="F173" s="1475"/>
      <c r="G173" s="613"/>
      <c r="H173" s="1473"/>
      <c r="I173" s="613"/>
      <c r="J173" s="1475"/>
      <c r="K173" s="613"/>
      <c r="L173" s="1490"/>
      <c r="M173" s="613"/>
      <c r="N173" s="1473"/>
      <c r="O173" s="613"/>
      <c r="P173" s="1473"/>
      <c r="Q173" s="613"/>
      <c r="R173" s="1440"/>
      <c r="S173" s="613"/>
      <c r="T173" s="1503"/>
      <c r="U173" s="613"/>
      <c r="V173" s="1473"/>
      <c r="W173" s="613"/>
      <c r="X173" s="1473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11" t="s">
        <v>604</v>
      </c>
      <c r="C174" s="392"/>
      <c r="D174" s="611" t="s">
        <v>361</v>
      </c>
      <c r="E174" s="612"/>
      <c r="F174" s="611" t="s">
        <v>362</v>
      </c>
      <c r="G174" s="612"/>
      <c r="H174" s="611" t="s">
        <v>605</v>
      </c>
      <c r="I174" s="612"/>
      <c r="J174" s="611" t="s">
        <v>363</v>
      </c>
      <c r="K174" s="612"/>
      <c r="L174" s="611" t="s">
        <v>364</v>
      </c>
      <c r="M174" s="612"/>
      <c r="N174" s="611" t="s">
        <v>365</v>
      </c>
      <c r="O174" s="612"/>
      <c r="P174" s="611" t="s">
        <v>606</v>
      </c>
      <c r="Q174" s="612"/>
      <c r="R174" s="611" t="s">
        <v>366</v>
      </c>
      <c r="S174" s="612"/>
      <c r="T174" s="611" t="s">
        <v>367</v>
      </c>
      <c r="U174" s="613"/>
      <c r="V174" s="611" t="s">
        <v>368</v>
      </c>
      <c r="W174" s="612"/>
      <c r="X174" s="611" t="s">
        <v>607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369</v>
      </c>
      <c r="C175" s="614">
        <f>C172/1000</f>
        <v>0.46700000000000003</v>
      </c>
      <c r="D175" s="392" t="s">
        <v>283</v>
      </c>
      <c r="E175" s="392"/>
      <c r="F175" s="392" t="s">
        <v>212</v>
      </c>
      <c r="G175" s="614">
        <f>(E172+G172)/1000</f>
        <v>0.75374299999999994</v>
      </c>
      <c r="H175" s="392" t="s">
        <v>370</v>
      </c>
      <c r="I175" s="392"/>
      <c r="J175" s="392" t="s">
        <v>213</v>
      </c>
      <c r="K175" s="392"/>
      <c r="L175" s="392" t="s">
        <v>248</v>
      </c>
      <c r="M175" s="614">
        <f>(I172+K172+M172)/1000</f>
        <v>1.306</v>
      </c>
      <c r="N175" s="392" t="s">
        <v>283</v>
      </c>
      <c r="O175" s="614">
        <f>O172/1000</f>
        <v>0.421207</v>
      </c>
      <c r="P175" s="392" t="s">
        <v>352</v>
      </c>
      <c r="Q175" s="392"/>
      <c r="R175" s="392" t="s">
        <v>212</v>
      </c>
      <c r="S175" s="392"/>
      <c r="T175" s="392" t="s">
        <v>213</v>
      </c>
      <c r="U175" s="614">
        <f>(+Q172+S172+U172)/1000</f>
        <v>1.262</v>
      </c>
      <c r="V175" s="392" t="s">
        <v>283</v>
      </c>
      <c r="W175" s="614">
        <f>(W172)/1000</f>
        <v>0.53275899999999998</v>
      </c>
      <c r="X175" s="392" t="s">
        <v>292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577"/>
      <c r="C176" s="622"/>
      <c r="D176" s="577"/>
      <c r="E176" s="577"/>
      <c r="F176" s="577"/>
      <c r="G176" s="622"/>
      <c r="H176" s="577"/>
      <c r="I176" s="577"/>
      <c r="J176" s="577"/>
      <c r="K176" s="577"/>
      <c r="L176" s="577"/>
      <c r="M176" s="622"/>
      <c r="N176" s="577"/>
      <c r="O176" s="622"/>
      <c r="P176" s="577"/>
      <c r="Q176" s="577"/>
      <c r="R176" s="392"/>
      <c r="S176" s="392"/>
      <c r="T176" s="392" t="s">
        <v>725</v>
      </c>
      <c r="U176" s="614"/>
      <c r="V176" s="577"/>
      <c r="W176" s="614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14"/>
      <c r="D177" s="392"/>
      <c r="E177" s="392"/>
      <c r="F177" s="392"/>
      <c r="G177" s="614"/>
      <c r="H177" s="392"/>
      <c r="I177" s="392"/>
      <c r="J177" s="392"/>
      <c r="K177" s="392"/>
      <c r="L177" s="392"/>
      <c r="M177" s="614"/>
      <c r="N177" s="392"/>
      <c r="O177" s="614"/>
      <c r="P177" s="392"/>
      <c r="Q177" s="392"/>
      <c r="R177" s="392"/>
      <c r="S177" s="392"/>
      <c r="T177" s="392"/>
      <c r="U177" s="614"/>
      <c r="V177" s="392"/>
      <c r="W177" s="614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14"/>
      <c r="D178" s="392"/>
      <c r="E178" s="392"/>
      <c r="F178" s="392"/>
      <c r="G178" s="614"/>
      <c r="H178" s="392"/>
      <c r="I178" s="392"/>
      <c r="J178" s="392"/>
      <c r="K178" s="392"/>
      <c r="L178" s="392"/>
      <c r="M178" s="614"/>
      <c r="N178" s="392"/>
      <c r="O178" s="614"/>
      <c r="P178" s="392"/>
      <c r="Q178" s="392"/>
      <c r="R178" s="637"/>
      <c r="S178" s="392"/>
      <c r="T178" s="392"/>
      <c r="U178" s="614"/>
      <c r="V178" s="637"/>
      <c r="W178" s="614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04"/>
      <c r="C179" s="604"/>
      <c r="D179" s="634"/>
      <c r="E179" s="613"/>
      <c r="F179" s="392"/>
      <c r="G179" s="613"/>
      <c r="H179" s="392"/>
      <c r="I179" s="613"/>
      <c r="J179" s="392"/>
      <c r="K179" s="604"/>
      <c r="L179" s="392"/>
      <c r="M179" s="613"/>
      <c r="N179" s="392"/>
      <c r="O179" s="613"/>
      <c r="P179" s="392"/>
      <c r="Q179" s="604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04"/>
      <c r="C180" s="617"/>
      <c r="D180" s="604"/>
      <c r="E180" s="617"/>
      <c r="F180" s="604"/>
      <c r="G180" s="617"/>
      <c r="H180" s="635"/>
      <c r="I180" s="617"/>
      <c r="J180" s="635"/>
      <c r="K180" s="617"/>
      <c r="L180" s="635"/>
      <c r="M180" s="617"/>
      <c r="N180" s="635"/>
      <c r="O180" s="617"/>
      <c r="P180" s="635"/>
      <c r="Q180" s="617"/>
      <c r="R180" s="635"/>
      <c r="S180" s="617"/>
      <c r="T180" s="604"/>
      <c r="U180" s="617"/>
      <c r="V180" s="635"/>
      <c r="W180" s="617"/>
      <c r="X180" s="635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04"/>
      <c r="C181" s="617"/>
      <c r="D181" s="604"/>
      <c r="E181" s="617"/>
      <c r="F181" s="604"/>
      <c r="G181" s="617"/>
      <c r="H181" s="613"/>
      <c r="I181" s="617"/>
      <c r="J181" s="613"/>
      <c r="K181" s="617"/>
      <c r="L181" s="613"/>
      <c r="M181" s="617"/>
      <c r="N181" s="613"/>
      <c r="O181" s="617"/>
      <c r="P181" s="613"/>
      <c r="Q181" s="617"/>
      <c r="R181" s="613"/>
      <c r="S181" s="617"/>
      <c r="T181" s="604"/>
      <c r="U181" s="617"/>
      <c r="V181" s="613"/>
      <c r="W181" s="617"/>
      <c r="X181" s="613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472"/>
      <c r="C182" s="389">
        <v>484</v>
      </c>
      <c r="D182" s="1460" t="s">
        <v>555</v>
      </c>
      <c r="E182" s="390">
        <v>611</v>
      </c>
      <c r="F182" s="1472"/>
      <c r="G182" s="390">
        <v>367</v>
      </c>
      <c r="H182" s="1445" t="s">
        <v>760</v>
      </c>
      <c r="I182" s="390">
        <v>468.584</v>
      </c>
      <c r="J182" s="1439" t="s">
        <v>760</v>
      </c>
      <c r="K182" s="390">
        <v>371.416</v>
      </c>
      <c r="L182" s="1439" t="s">
        <v>760</v>
      </c>
      <c r="M182" s="390">
        <v>370</v>
      </c>
      <c r="N182" s="1445" t="s">
        <v>760</v>
      </c>
      <c r="O182" s="390">
        <v>327</v>
      </c>
      <c r="P182" s="1439" t="s">
        <v>760</v>
      </c>
      <c r="Q182" s="390">
        <v>318</v>
      </c>
      <c r="R182" s="1439" t="s">
        <v>760</v>
      </c>
      <c r="S182" s="390">
        <v>339.76900000000001</v>
      </c>
      <c r="T182" s="1458"/>
      <c r="U182" s="390">
        <v>395.99900000000002</v>
      </c>
      <c r="V182" s="1439" t="s">
        <v>760</v>
      </c>
      <c r="W182" s="390">
        <v>377</v>
      </c>
      <c r="X182" s="1489"/>
      <c r="Y182" s="467">
        <v>398</v>
      </c>
      <c r="Z182" s="458">
        <v>5</v>
      </c>
      <c r="AA182" s="409">
        <v>2</v>
      </c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473"/>
      <c r="C183" s="613"/>
      <c r="D183" s="1473"/>
      <c r="E183" s="613"/>
      <c r="F183" s="1473"/>
      <c r="G183" s="613"/>
      <c r="H183" s="1446"/>
      <c r="I183" s="613"/>
      <c r="J183" s="1440"/>
      <c r="K183" s="613"/>
      <c r="L183" s="1440"/>
      <c r="M183" s="613"/>
      <c r="N183" s="1446"/>
      <c r="O183" s="613"/>
      <c r="P183" s="1440"/>
      <c r="Q183" s="613"/>
      <c r="R183" s="1440"/>
      <c r="S183" s="613"/>
      <c r="T183" s="1459"/>
      <c r="U183" s="613"/>
      <c r="V183" s="1440"/>
      <c r="W183" s="613"/>
      <c r="X183" s="1490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11" t="s">
        <v>608</v>
      </c>
      <c r="C184" s="392"/>
      <c r="D184" s="611" t="s">
        <v>371</v>
      </c>
      <c r="E184" s="612"/>
      <c r="F184" s="611" t="s">
        <v>372</v>
      </c>
      <c r="G184" s="612"/>
      <c r="H184" s="611" t="s">
        <v>373</v>
      </c>
      <c r="I184" s="612"/>
      <c r="J184" s="611" t="s">
        <v>374</v>
      </c>
      <c r="K184" s="612"/>
      <c r="L184" s="611" t="s">
        <v>375</v>
      </c>
      <c r="M184" s="612"/>
      <c r="N184" s="611" t="s">
        <v>376</v>
      </c>
      <c r="O184" s="612"/>
      <c r="P184" s="611" t="s">
        <v>377</v>
      </c>
      <c r="Q184" s="612"/>
      <c r="R184" s="611" t="s">
        <v>378</v>
      </c>
      <c r="S184" s="612"/>
      <c r="T184" s="611" t="s">
        <v>609</v>
      </c>
      <c r="U184" s="613"/>
      <c r="V184" s="611" t="s">
        <v>379</v>
      </c>
      <c r="W184" s="612"/>
      <c r="X184" s="611" t="s">
        <v>380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319</v>
      </c>
      <c r="C185" s="614">
        <f>C182/1000</f>
        <v>0.48399999999999999</v>
      </c>
      <c r="D185" s="392" t="s">
        <v>237</v>
      </c>
      <c r="E185" s="614">
        <f>E182/1000</f>
        <v>0.61099999999999999</v>
      </c>
      <c r="F185" s="392" t="s">
        <v>237</v>
      </c>
      <c r="G185" s="392"/>
      <c r="H185" s="392" t="s">
        <v>211</v>
      </c>
      <c r="I185" s="392"/>
      <c r="J185" s="392" t="s">
        <v>213</v>
      </c>
      <c r="K185" s="392"/>
      <c r="L185" s="392" t="s">
        <v>212</v>
      </c>
      <c r="M185" s="392"/>
      <c r="N185" s="392" t="s">
        <v>212</v>
      </c>
      <c r="O185" s="392"/>
      <c r="P185" s="392" t="s">
        <v>212</v>
      </c>
      <c r="Q185" s="392"/>
      <c r="R185" s="392" t="s">
        <v>212</v>
      </c>
      <c r="S185" s="614">
        <f>(G182+I182+K182+M182++O182+Q182+S182)/1000</f>
        <v>2.5617690000000004</v>
      </c>
      <c r="T185" s="392" t="s">
        <v>237</v>
      </c>
      <c r="U185" s="392"/>
      <c r="V185" s="392" t="s">
        <v>213</v>
      </c>
      <c r="W185" s="392"/>
      <c r="X185" s="392" t="s">
        <v>212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577"/>
      <c r="C186" s="622"/>
      <c r="D186" s="577"/>
      <c r="E186" s="622"/>
      <c r="F186" s="577"/>
      <c r="G186" s="577"/>
      <c r="H186" s="620" t="s">
        <v>555</v>
      </c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614"/>
      <c r="T186" s="636"/>
      <c r="U186" s="636"/>
      <c r="V186" s="636"/>
      <c r="W186" s="636"/>
      <c r="X186" s="636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14"/>
      <c r="D187" s="392"/>
      <c r="E187" s="614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14"/>
      <c r="T187" s="1479"/>
      <c r="U187" s="1479"/>
      <c r="V187" s="1479"/>
      <c r="W187" s="1479"/>
      <c r="X187" s="1479"/>
      <c r="Y187" s="1504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13"/>
      <c r="D188" s="636"/>
      <c r="E188" s="636"/>
      <c r="F188" s="636"/>
      <c r="G188" s="636"/>
      <c r="H188" s="392"/>
      <c r="I188" s="636"/>
      <c r="J188" s="392"/>
      <c r="K188" s="636"/>
      <c r="L188" s="392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4"/>
      <c r="X188" s="636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635"/>
      <c r="C189" s="617"/>
      <c r="D189" s="635"/>
      <c r="E189" s="617"/>
      <c r="F189" s="604"/>
      <c r="G189" s="617"/>
      <c r="H189" s="635"/>
      <c r="I189" s="617"/>
      <c r="J189" s="635"/>
      <c r="K189" s="617"/>
      <c r="L189" s="635"/>
      <c r="M189" s="617"/>
      <c r="N189" s="635"/>
      <c r="O189" s="617"/>
      <c r="P189" s="635"/>
      <c r="Q189" s="617"/>
      <c r="R189" s="604"/>
      <c r="S189" s="617"/>
      <c r="T189" s="635"/>
      <c r="U189" s="617"/>
      <c r="V189" s="635"/>
      <c r="W189" s="617"/>
      <c r="X189" s="635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13"/>
      <c r="C190" s="617"/>
      <c r="D190" s="613"/>
      <c r="E190" s="617"/>
      <c r="F190" s="604"/>
      <c r="G190" s="617"/>
      <c r="H190" s="613"/>
      <c r="I190" s="617"/>
      <c r="J190" s="613"/>
      <c r="K190" s="617"/>
      <c r="L190" s="613"/>
      <c r="M190" s="617"/>
      <c r="N190" s="613"/>
      <c r="O190" s="617"/>
      <c r="P190" s="613"/>
      <c r="Q190" s="617"/>
      <c r="R190" s="604"/>
      <c r="S190" s="617"/>
      <c r="T190" s="613"/>
      <c r="U190" s="617"/>
      <c r="V190" s="613"/>
      <c r="W190" s="617"/>
      <c r="X190" s="613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439" t="s">
        <v>760</v>
      </c>
      <c r="C191" s="389">
        <v>393</v>
      </c>
      <c r="D191" s="1439" t="s">
        <v>760</v>
      </c>
      <c r="E191" s="390">
        <v>373.66</v>
      </c>
      <c r="F191" s="1441" t="s">
        <v>760</v>
      </c>
      <c r="G191" s="390">
        <v>363</v>
      </c>
      <c r="H191" s="1439" t="s">
        <v>760</v>
      </c>
      <c r="I191" s="390">
        <v>349</v>
      </c>
      <c r="J191" s="1439" t="s">
        <v>760</v>
      </c>
      <c r="K191" s="390">
        <v>386</v>
      </c>
      <c r="L191" s="1439" t="s">
        <v>760</v>
      </c>
      <c r="M191" s="390">
        <v>390</v>
      </c>
      <c r="N191" s="1439" t="s">
        <v>760</v>
      </c>
      <c r="O191" s="390">
        <v>417</v>
      </c>
      <c r="P191" s="1439" t="s">
        <v>760</v>
      </c>
      <c r="Q191" s="390">
        <v>422.99700000000001</v>
      </c>
      <c r="R191" s="1441" t="s">
        <v>760</v>
      </c>
      <c r="S191" s="390">
        <v>340</v>
      </c>
      <c r="T191" s="1439" t="s">
        <v>760</v>
      </c>
      <c r="U191" s="390">
        <v>365</v>
      </c>
      <c r="V191" s="1439" t="s">
        <v>760</v>
      </c>
      <c r="W191" s="390">
        <v>403</v>
      </c>
      <c r="X191" s="1439" t="s">
        <v>760</v>
      </c>
      <c r="Y191" s="467">
        <v>382</v>
      </c>
      <c r="Z191" s="458">
        <v>12</v>
      </c>
      <c r="AA191" s="409">
        <v>9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40"/>
      <c r="C192" s="613"/>
      <c r="D192" s="1440"/>
      <c r="E192" s="613"/>
      <c r="F192" s="1442"/>
      <c r="G192" s="613"/>
      <c r="H192" s="1440"/>
      <c r="I192" s="613"/>
      <c r="J192" s="1440"/>
      <c r="K192" s="613"/>
      <c r="L192" s="1440"/>
      <c r="M192" s="613"/>
      <c r="N192" s="1440"/>
      <c r="O192" s="613"/>
      <c r="P192" s="1440"/>
      <c r="Q192" s="613"/>
      <c r="R192" s="1442"/>
      <c r="S192" s="613"/>
      <c r="T192" s="1440"/>
      <c r="U192" s="613"/>
      <c r="V192" s="1440"/>
      <c r="W192" s="613"/>
      <c r="X192" s="1440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11" t="s">
        <v>381</v>
      </c>
      <c r="C193" s="392"/>
      <c r="D193" s="611" t="s">
        <v>382</v>
      </c>
      <c r="E193" s="612"/>
      <c r="F193" s="611" t="s">
        <v>610</v>
      </c>
      <c r="G193" s="612"/>
      <c r="H193" s="611" t="s">
        <v>383</v>
      </c>
      <c r="I193" s="612"/>
      <c r="J193" s="611" t="s">
        <v>384</v>
      </c>
      <c r="K193" s="612"/>
      <c r="L193" s="611" t="s">
        <v>385</v>
      </c>
      <c r="M193" s="612"/>
      <c r="N193" s="611" t="s">
        <v>386</v>
      </c>
      <c r="O193" s="612"/>
      <c r="P193" s="611" t="s">
        <v>387</v>
      </c>
      <c r="Q193" s="612"/>
      <c r="R193" s="611" t="s">
        <v>611</v>
      </c>
      <c r="S193" s="612"/>
      <c r="T193" s="611" t="s">
        <v>388</v>
      </c>
      <c r="U193" s="613"/>
      <c r="V193" s="611" t="s">
        <v>389</v>
      </c>
      <c r="W193" s="612"/>
      <c r="X193" s="611" t="s">
        <v>390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212</v>
      </c>
      <c r="C194" s="392"/>
      <c r="D194" s="392" t="s">
        <v>212</v>
      </c>
      <c r="E194" s="614">
        <f>(U182+W182+Y182+C191+E191)/1000</f>
        <v>1.937659</v>
      </c>
      <c r="F194" s="392" t="s">
        <v>214</v>
      </c>
      <c r="G194" s="392"/>
      <c r="H194" s="392" t="s">
        <v>213</v>
      </c>
      <c r="I194" s="392"/>
      <c r="J194" s="392" t="s">
        <v>212</v>
      </c>
      <c r="K194" s="392"/>
      <c r="L194" s="392" t="s">
        <v>212</v>
      </c>
      <c r="M194" s="392"/>
      <c r="N194" s="392" t="s">
        <v>212</v>
      </c>
      <c r="O194" s="392"/>
      <c r="P194" s="392" t="s">
        <v>211</v>
      </c>
      <c r="Q194" s="614">
        <f>(G191+I191+K191++M191+O191+Q191)/1000</f>
        <v>2.3279969999999999</v>
      </c>
      <c r="R194" s="392" t="s">
        <v>214</v>
      </c>
      <c r="S194" s="392"/>
      <c r="T194" s="392" t="s">
        <v>212</v>
      </c>
      <c r="U194" s="392"/>
      <c r="V194" s="392" t="s">
        <v>212</v>
      </c>
      <c r="W194" s="392"/>
      <c r="X194" s="392" t="s">
        <v>213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578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392"/>
      <c r="R195" s="394"/>
      <c r="S195" s="392"/>
      <c r="T195" s="392"/>
      <c r="U195" s="392"/>
      <c r="V195" s="577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505"/>
      <c r="C196" s="1505"/>
      <c r="D196" s="1505"/>
      <c r="E196" s="1505"/>
      <c r="F196" s="1505"/>
      <c r="G196" s="1505"/>
      <c r="H196" s="1505"/>
      <c r="I196" s="1505"/>
      <c r="J196" s="1505"/>
      <c r="K196" s="1505"/>
      <c r="L196" s="1505"/>
      <c r="M196" s="1505"/>
      <c r="N196" s="1505"/>
      <c r="O196" s="1505"/>
      <c r="P196" s="1505"/>
      <c r="Q196" s="1505"/>
      <c r="R196" s="628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04"/>
      <c r="C197" s="604"/>
      <c r="D197" s="604"/>
      <c r="E197" s="604"/>
      <c r="F197" s="604"/>
      <c r="G197" s="604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635"/>
      <c r="C198" s="617"/>
      <c r="D198" s="635"/>
      <c r="E198" s="617"/>
      <c r="F198" s="635"/>
      <c r="G198" s="617"/>
      <c r="H198" s="635"/>
      <c r="I198" s="617"/>
      <c r="J198" s="635"/>
      <c r="K198" s="617"/>
      <c r="L198" s="635"/>
      <c r="M198" s="617"/>
      <c r="N198" s="635"/>
      <c r="O198" s="617"/>
      <c r="P198" s="635"/>
      <c r="Q198" s="617"/>
      <c r="R198" s="635"/>
      <c r="S198" s="617"/>
      <c r="T198" s="604"/>
      <c r="U198" s="617"/>
      <c r="V198" s="635"/>
      <c r="W198" s="617"/>
      <c r="X198" s="635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13"/>
      <c r="C199" s="617"/>
      <c r="D199" s="613"/>
      <c r="E199" s="617"/>
      <c r="F199" s="613"/>
      <c r="G199" s="617"/>
      <c r="H199" s="613"/>
      <c r="I199" s="617"/>
      <c r="J199" s="613"/>
      <c r="K199" s="617"/>
      <c r="L199" s="613"/>
      <c r="M199" s="617"/>
      <c r="N199" s="613"/>
      <c r="O199" s="617"/>
      <c r="P199" s="613"/>
      <c r="Q199" s="617"/>
      <c r="R199" s="613"/>
      <c r="S199" s="617"/>
      <c r="T199" s="604"/>
      <c r="U199" s="617"/>
      <c r="V199" s="613"/>
      <c r="W199" s="617"/>
      <c r="X199" s="613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439" t="s">
        <v>760</v>
      </c>
      <c r="C200" s="389">
        <v>395</v>
      </c>
      <c r="D200" s="1439" t="s">
        <v>760</v>
      </c>
      <c r="E200" s="390">
        <v>385</v>
      </c>
      <c r="F200" s="1498" t="s">
        <v>726</v>
      </c>
      <c r="G200" s="390">
        <v>381</v>
      </c>
      <c r="H200" s="1498" t="s">
        <v>726</v>
      </c>
      <c r="I200" s="390">
        <v>395</v>
      </c>
      <c r="J200" s="1498" t="s">
        <v>726</v>
      </c>
      <c r="K200" s="390">
        <v>403</v>
      </c>
      <c r="L200" s="1498" t="s">
        <v>726</v>
      </c>
      <c r="M200" s="390">
        <v>383</v>
      </c>
      <c r="N200" s="1498" t="s">
        <v>726</v>
      </c>
      <c r="O200" s="390">
        <v>386</v>
      </c>
      <c r="P200" s="1498" t="s">
        <v>726</v>
      </c>
      <c r="Q200" s="390">
        <v>397</v>
      </c>
      <c r="R200" s="1498" t="s">
        <v>726</v>
      </c>
      <c r="S200" s="390">
        <v>370.834</v>
      </c>
      <c r="T200" s="1441" t="s">
        <v>756</v>
      </c>
      <c r="U200" s="390">
        <v>422</v>
      </c>
      <c r="V200" s="1439" t="s">
        <v>727</v>
      </c>
      <c r="W200" s="390">
        <v>417</v>
      </c>
      <c r="X200" s="1439" t="s">
        <v>727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40"/>
      <c r="C201" s="613"/>
      <c r="D201" s="1440"/>
      <c r="E201" s="613"/>
      <c r="F201" s="1440"/>
      <c r="G201" s="613"/>
      <c r="H201" s="1440"/>
      <c r="I201" s="613"/>
      <c r="J201" s="1440"/>
      <c r="K201" s="613"/>
      <c r="L201" s="1440"/>
      <c r="M201" s="613"/>
      <c r="N201" s="1440"/>
      <c r="O201" s="613"/>
      <c r="P201" s="1440"/>
      <c r="Q201" s="613"/>
      <c r="R201" s="1440"/>
      <c r="S201" s="613"/>
      <c r="T201" s="1442"/>
      <c r="U201" s="613"/>
      <c r="V201" s="1440"/>
      <c r="W201" s="613"/>
      <c r="X201" s="1440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11" t="s">
        <v>391</v>
      </c>
      <c r="C202" s="392"/>
      <c r="D202" s="611" t="s">
        <v>392</v>
      </c>
      <c r="E202" s="612"/>
      <c r="F202" s="611" t="s">
        <v>393</v>
      </c>
      <c r="G202" s="612"/>
      <c r="H202" s="611" t="s">
        <v>394</v>
      </c>
      <c r="I202" s="612"/>
      <c r="J202" s="611" t="s">
        <v>395</v>
      </c>
      <c r="K202" s="612"/>
      <c r="L202" s="611" t="s">
        <v>396</v>
      </c>
      <c r="M202" s="612"/>
      <c r="N202" s="611" t="s">
        <v>397</v>
      </c>
      <c r="O202" s="612"/>
      <c r="P202" s="611" t="s">
        <v>398</v>
      </c>
      <c r="Q202" s="612"/>
      <c r="R202" s="611" t="s">
        <v>399</v>
      </c>
      <c r="S202" s="612"/>
      <c r="T202" s="611" t="s">
        <v>612</v>
      </c>
      <c r="U202" s="613"/>
      <c r="V202" s="611" t="s">
        <v>400</v>
      </c>
      <c r="W202" s="612"/>
      <c r="X202" s="611" t="s">
        <v>401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213</v>
      </c>
      <c r="C203" s="392"/>
      <c r="D203" s="392" t="s">
        <v>212</v>
      </c>
      <c r="E203" s="392"/>
      <c r="F203" s="392" t="s">
        <v>212</v>
      </c>
      <c r="G203" s="392"/>
      <c r="H203" s="392" t="s">
        <v>212</v>
      </c>
      <c r="I203" s="392"/>
      <c r="J203" s="392" t="s">
        <v>212</v>
      </c>
      <c r="K203" s="392"/>
      <c r="L203" s="392" t="s">
        <v>212</v>
      </c>
      <c r="M203" s="392"/>
      <c r="N203" s="392" t="s">
        <v>212</v>
      </c>
      <c r="O203" s="392"/>
      <c r="P203" s="392" t="s">
        <v>212</v>
      </c>
      <c r="Q203" s="392"/>
      <c r="R203" s="392" t="s">
        <v>212</v>
      </c>
      <c r="S203" s="614">
        <f>(S191+U191+YU191+W191+Y191+C200+E200+G200+I200+K200+M200++O200+Q200+S200)/1000</f>
        <v>4.9858339999999997</v>
      </c>
      <c r="T203" s="392" t="s">
        <v>237</v>
      </c>
      <c r="U203" s="392"/>
      <c r="V203" s="392" t="s">
        <v>213</v>
      </c>
      <c r="W203" s="392"/>
      <c r="X203" s="392" t="s">
        <v>213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577"/>
      <c r="C204" s="577"/>
      <c r="D204" s="577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14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637"/>
      <c r="Q205" s="392"/>
      <c r="R205" s="637"/>
      <c r="S205" s="614"/>
      <c r="T205" s="392"/>
      <c r="U205" s="392"/>
      <c r="V205" s="637"/>
      <c r="W205" s="392"/>
      <c r="X205" s="637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04"/>
      <c r="C206" s="604"/>
      <c r="D206" s="604"/>
      <c r="E206" s="604"/>
      <c r="F206" s="604"/>
      <c r="G206" s="604"/>
      <c r="H206" s="604"/>
      <c r="I206" s="604"/>
      <c r="J206" s="604"/>
      <c r="K206" s="604"/>
      <c r="L206" s="604"/>
      <c r="M206" s="604"/>
      <c r="N206" s="392"/>
      <c r="O206" s="604"/>
      <c r="P206" s="392"/>
      <c r="Q206" s="604"/>
      <c r="R206" s="392"/>
      <c r="S206" s="613"/>
      <c r="T206" s="392"/>
      <c r="U206" s="613"/>
      <c r="V206" s="392"/>
      <c r="W206" s="617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635"/>
      <c r="C207" s="617"/>
      <c r="D207" s="635"/>
      <c r="E207" s="617"/>
      <c r="F207" s="635"/>
      <c r="G207" s="385"/>
      <c r="H207" s="635"/>
      <c r="I207" s="617"/>
      <c r="J207" s="635"/>
      <c r="K207" s="617"/>
      <c r="L207" s="635"/>
      <c r="M207" s="617"/>
      <c r="N207" s="635"/>
      <c r="O207" s="617"/>
      <c r="P207" s="635"/>
      <c r="Q207" s="617"/>
      <c r="R207" s="635"/>
      <c r="S207" s="617"/>
      <c r="T207" s="635"/>
      <c r="U207" s="617"/>
      <c r="V207" s="635"/>
      <c r="X207" s="635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13"/>
      <c r="C208" s="617"/>
      <c r="D208" s="613"/>
      <c r="E208" s="617"/>
      <c r="F208" s="613"/>
      <c r="G208" s="617"/>
      <c r="H208" s="613"/>
      <c r="I208" s="617"/>
      <c r="J208" s="613"/>
      <c r="K208" s="617"/>
      <c r="L208" s="613"/>
      <c r="M208" s="617"/>
      <c r="N208" s="613"/>
      <c r="O208" s="617"/>
      <c r="P208" s="613"/>
      <c r="Q208" s="617"/>
      <c r="R208" s="613"/>
      <c r="S208" s="617"/>
      <c r="T208" s="613"/>
      <c r="U208" s="617"/>
      <c r="V208" s="613"/>
      <c r="W208" s="617"/>
      <c r="X208" s="613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439" t="s">
        <v>727</v>
      </c>
      <c r="C209" s="389">
        <v>421</v>
      </c>
      <c r="D209" s="1439" t="s">
        <v>727</v>
      </c>
      <c r="E209" s="390">
        <v>419</v>
      </c>
      <c r="F209" s="1439" t="s">
        <v>727</v>
      </c>
      <c r="G209" s="390">
        <v>402</v>
      </c>
      <c r="H209" s="1506" t="s">
        <v>683</v>
      </c>
      <c r="I209" s="390">
        <v>402</v>
      </c>
      <c r="J209" s="1506" t="s">
        <v>683</v>
      </c>
      <c r="K209" s="390">
        <v>411</v>
      </c>
      <c r="L209" s="1506" t="s">
        <v>683</v>
      </c>
      <c r="M209" s="390">
        <v>355.16899999999998</v>
      </c>
      <c r="N209" s="1439" t="s">
        <v>727</v>
      </c>
      <c r="O209" s="390">
        <v>390</v>
      </c>
      <c r="P209" s="1439" t="s">
        <v>724</v>
      </c>
      <c r="Q209" s="390">
        <v>380</v>
      </c>
      <c r="R209" s="1439" t="s">
        <v>724</v>
      </c>
      <c r="S209" s="390">
        <v>390</v>
      </c>
      <c r="T209" s="1439" t="s">
        <v>724</v>
      </c>
      <c r="U209" s="390">
        <v>398</v>
      </c>
      <c r="V209" s="1439" t="s">
        <v>760</v>
      </c>
      <c r="W209" s="390">
        <v>406</v>
      </c>
      <c r="X209" s="1439" t="s">
        <v>724</v>
      </c>
      <c r="Y209" s="467">
        <v>371</v>
      </c>
      <c r="Z209" s="458">
        <v>12</v>
      </c>
      <c r="AA209" s="409">
        <v>11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40"/>
      <c r="C210" s="613"/>
      <c r="D210" s="1440"/>
      <c r="E210" s="613"/>
      <c r="F210" s="1440"/>
      <c r="G210" s="613"/>
      <c r="H210" s="1485"/>
      <c r="I210" s="613"/>
      <c r="J210" s="1485"/>
      <c r="K210" s="613"/>
      <c r="L210" s="1485"/>
      <c r="M210" s="613"/>
      <c r="N210" s="1440"/>
      <c r="O210" s="613"/>
      <c r="P210" s="1440"/>
      <c r="Q210" s="613"/>
      <c r="R210" s="1440"/>
      <c r="S210" s="613"/>
      <c r="T210" s="1440"/>
      <c r="U210" s="613"/>
      <c r="V210" s="1440"/>
      <c r="W210" s="613"/>
      <c r="X210" s="1440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11" t="s">
        <v>402</v>
      </c>
      <c r="C211" s="392"/>
      <c r="D211" s="611" t="s">
        <v>403</v>
      </c>
      <c r="E211" s="612"/>
      <c r="F211" s="611" t="s">
        <v>404</v>
      </c>
      <c r="G211" s="612"/>
      <c r="H211" s="611" t="s">
        <v>405</v>
      </c>
      <c r="I211" s="612"/>
      <c r="J211" s="611" t="s">
        <v>406</v>
      </c>
      <c r="K211" s="612"/>
      <c r="L211" s="611" t="s">
        <v>407</v>
      </c>
      <c r="M211" s="612"/>
      <c r="N211" s="611" t="s">
        <v>613</v>
      </c>
      <c r="O211" s="612"/>
      <c r="P211" s="611" t="s">
        <v>408</v>
      </c>
      <c r="Q211" s="612"/>
      <c r="R211" s="611" t="s">
        <v>409</v>
      </c>
      <c r="S211" s="612"/>
      <c r="T211" s="611" t="s">
        <v>614</v>
      </c>
      <c r="U211" s="613"/>
      <c r="V211" s="611" t="s">
        <v>615</v>
      </c>
      <c r="W211" s="612"/>
      <c r="X211" s="611" t="s">
        <v>616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213</v>
      </c>
      <c r="C212" s="392"/>
      <c r="D212" s="392" t="s">
        <v>212</v>
      </c>
      <c r="E212" s="392"/>
      <c r="F212" s="392" t="s">
        <v>212</v>
      </c>
      <c r="G212" s="392"/>
      <c r="H212" s="392" t="s">
        <v>212</v>
      </c>
      <c r="I212" s="392"/>
      <c r="J212" s="392" t="s">
        <v>213</v>
      </c>
      <c r="K212" s="392"/>
      <c r="L212" s="392" t="s">
        <v>212</v>
      </c>
      <c r="M212" s="614">
        <f>(U200+W200+Y200+C209+E209+G209++I209+K209+M209)/1000</f>
        <v>3.6491689999999997</v>
      </c>
      <c r="N212" s="392" t="s">
        <v>210</v>
      </c>
      <c r="O212" s="392"/>
      <c r="P212" s="392" t="s">
        <v>212</v>
      </c>
      <c r="Q212" s="392"/>
      <c r="R212" s="392" t="s">
        <v>212</v>
      </c>
      <c r="S212" s="392"/>
      <c r="T212" s="392" t="s">
        <v>212</v>
      </c>
      <c r="U212" s="392"/>
      <c r="V212" s="392" t="s">
        <v>212</v>
      </c>
      <c r="W212" s="392"/>
      <c r="X212" s="392" t="s">
        <v>212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711</v>
      </c>
      <c r="G213" s="392"/>
      <c r="H213" s="392"/>
      <c r="I213" s="392"/>
      <c r="J213" s="392"/>
      <c r="K213" s="392"/>
      <c r="L213" s="392"/>
      <c r="M213" s="614"/>
      <c r="N213" s="395" t="s">
        <v>711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614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04"/>
      <c r="C215" s="604"/>
      <c r="D215" s="604"/>
      <c r="E215" s="604"/>
      <c r="F215" s="604"/>
      <c r="G215" s="604"/>
      <c r="H215" s="604"/>
      <c r="I215" s="604"/>
      <c r="J215" s="604"/>
      <c r="K215" s="604"/>
      <c r="L215" s="604"/>
      <c r="M215" s="604"/>
      <c r="N215" s="392"/>
      <c r="O215" s="604"/>
      <c r="P215" s="392"/>
      <c r="Q215" s="604"/>
      <c r="R215" s="392"/>
      <c r="S215" s="613"/>
      <c r="T215" s="392"/>
      <c r="U215" s="613"/>
      <c r="V215" s="392"/>
      <c r="W215" s="613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635"/>
      <c r="C216" s="617"/>
      <c r="D216" s="635"/>
      <c r="E216" s="617"/>
      <c r="F216" s="635"/>
      <c r="G216" s="617"/>
      <c r="H216" s="635"/>
      <c r="I216" s="617"/>
      <c r="J216" s="604"/>
      <c r="K216" s="617"/>
      <c r="L216" s="635"/>
      <c r="M216" s="617"/>
      <c r="N216" s="635"/>
      <c r="O216" s="617"/>
      <c r="P216" s="635"/>
      <c r="Q216" s="617"/>
      <c r="R216" s="635"/>
      <c r="S216" s="617"/>
      <c r="T216" s="635"/>
      <c r="U216" s="617"/>
      <c r="V216" s="635"/>
      <c r="W216" s="617"/>
      <c r="X216" s="604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13"/>
      <c r="C217" s="617"/>
      <c r="D217" s="613"/>
      <c r="E217" s="617"/>
      <c r="F217" s="613"/>
      <c r="G217" s="617"/>
      <c r="H217" s="613"/>
      <c r="I217" s="617"/>
      <c r="J217" s="604"/>
      <c r="K217" s="617"/>
      <c r="L217" s="613"/>
      <c r="M217" s="617"/>
      <c r="N217" s="613"/>
      <c r="O217" s="617"/>
      <c r="P217" s="613"/>
      <c r="Q217" s="617"/>
      <c r="R217" s="613"/>
      <c r="S217" s="617"/>
      <c r="T217" s="613"/>
      <c r="U217" s="617"/>
      <c r="V217" s="613"/>
      <c r="W217" s="617"/>
      <c r="X217" s="604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439" t="s">
        <v>724</v>
      </c>
      <c r="C218" s="389">
        <v>392</v>
      </c>
      <c r="D218" s="1439" t="s">
        <v>724</v>
      </c>
      <c r="E218" s="390">
        <v>390</v>
      </c>
      <c r="F218" s="1443" t="s">
        <v>913</v>
      </c>
      <c r="G218" s="390">
        <v>401</v>
      </c>
      <c r="H218" s="1439" t="s">
        <v>760</v>
      </c>
      <c r="I218" s="390">
        <v>406.005</v>
      </c>
      <c r="J218" s="1476" t="s">
        <v>913</v>
      </c>
      <c r="K218" s="390">
        <v>385</v>
      </c>
      <c r="L218" s="1506" t="s">
        <v>683</v>
      </c>
      <c r="M218" s="390">
        <v>380</v>
      </c>
      <c r="N218" s="1506" t="s">
        <v>683</v>
      </c>
      <c r="O218" s="390">
        <v>380</v>
      </c>
      <c r="P218" s="1506" t="s">
        <v>683</v>
      </c>
      <c r="Q218" s="390">
        <v>382</v>
      </c>
      <c r="R218" s="1506" t="s">
        <v>683</v>
      </c>
      <c r="S218" s="390">
        <v>383.99099999999999</v>
      </c>
      <c r="T218" s="1506" t="s">
        <v>683</v>
      </c>
      <c r="U218" s="390">
        <v>392.29500000000002</v>
      </c>
      <c r="V218" s="1507"/>
      <c r="W218" s="390">
        <v>401.31</v>
      </c>
      <c r="X218" s="1458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40"/>
      <c r="C219" s="613"/>
      <c r="D219" s="1440"/>
      <c r="E219" s="613"/>
      <c r="F219" s="1444"/>
      <c r="G219" s="613"/>
      <c r="H219" s="1448"/>
      <c r="I219" s="613"/>
      <c r="J219" s="1477"/>
      <c r="K219" s="613"/>
      <c r="L219" s="1485"/>
      <c r="M219" s="613"/>
      <c r="N219" s="1485"/>
      <c r="O219" s="613"/>
      <c r="P219" s="1485"/>
      <c r="Q219" s="613"/>
      <c r="R219" s="1485"/>
      <c r="S219" s="613"/>
      <c r="T219" s="1485"/>
      <c r="U219" s="613"/>
      <c r="V219" s="1508"/>
      <c r="W219" s="613"/>
      <c r="X219" s="1459"/>
      <c r="Y219" s="468"/>
      <c r="Z219" s="458">
        <v>10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11" t="s">
        <v>617</v>
      </c>
      <c r="C220" s="392"/>
      <c r="D220" s="611" t="s">
        <v>618</v>
      </c>
      <c r="E220" s="612"/>
      <c r="F220" s="611" t="s">
        <v>619</v>
      </c>
      <c r="G220" s="612"/>
      <c r="H220" s="611" t="s">
        <v>620</v>
      </c>
      <c r="I220" s="612"/>
      <c r="J220" s="611" t="s">
        <v>621</v>
      </c>
      <c r="K220" s="612"/>
      <c r="L220" s="611" t="s">
        <v>622</v>
      </c>
      <c r="M220" s="612"/>
      <c r="N220" s="611" t="s">
        <v>623</v>
      </c>
      <c r="O220" s="612"/>
      <c r="P220" s="611" t="s">
        <v>624</v>
      </c>
      <c r="Q220" s="612"/>
      <c r="R220" s="611" t="s">
        <v>625</v>
      </c>
      <c r="S220" s="612"/>
      <c r="T220" s="611" t="s">
        <v>626</v>
      </c>
      <c r="U220" s="613"/>
      <c r="V220" s="611" t="s">
        <v>627</v>
      </c>
      <c r="W220" s="612"/>
      <c r="X220" s="611" t="s">
        <v>628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212</v>
      </c>
      <c r="C221" s="392"/>
      <c r="D221" s="392" t="s">
        <v>212</v>
      </c>
      <c r="E221" s="392"/>
      <c r="F221" s="392" t="s">
        <v>212</v>
      </c>
      <c r="G221" s="392"/>
      <c r="H221" s="392" t="s">
        <v>212</v>
      </c>
      <c r="I221" s="614">
        <f>(O209+Q209+S209+U209+W209+Y209+C218+E218+G218+I218)/1000</f>
        <v>3.9240050000000002</v>
      </c>
      <c r="J221" s="392" t="s">
        <v>237</v>
      </c>
      <c r="K221" s="392"/>
      <c r="L221" s="392" t="s">
        <v>212</v>
      </c>
      <c r="M221" s="392"/>
      <c r="N221" s="392" t="s">
        <v>212</v>
      </c>
      <c r="O221" s="392"/>
      <c r="P221" s="392" t="s">
        <v>212</v>
      </c>
      <c r="Q221" s="392"/>
      <c r="R221" s="392" t="s">
        <v>212</v>
      </c>
      <c r="S221" s="392"/>
      <c r="T221" s="392" t="s">
        <v>212</v>
      </c>
      <c r="U221" s="392"/>
      <c r="V221" s="392" t="s">
        <v>212</v>
      </c>
      <c r="W221" s="614">
        <f>(K218+M218+O218+Q218+S218+U218+W218)/1000</f>
        <v>2.704596</v>
      </c>
      <c r="X221" s="392" t="s">
        <v>237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07" t="s">
        <v>555</v>
      </c>
      <c r="G222" s="392"/>
      <c r="H222" s="607" t="s">
        <v>555</v>
      </c>
      <c r="I222" s="614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14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14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14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04"/>
      <c r="C224" s="604"/>
      <c r="D224" s="604"/>
      <c r="E224" s="604"/>
      <c r="F224" s="604"/>
      <c r="G224" s="604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392"/>
      <c r="S224" s="604"/>
      <c r="T224" s="604"/>
      <c r="U224" s="604"/>
      <c r="V224" s="604"/>
      <c r="W224" s="604"/>
      <c r="X224" s="604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635"/>
      <c r="C225" s="617"/>
      <c r="D225" s="635"/>
      <c r="E225" s="617"/>
      <c r="F225" s="635"/>
      <c r="G225" s="617"/>
      <c r="H225" s="604"/>
      <c r="I225" s="617"/>
      <c r="J225" s="635"/>
      <c r="K225" s="617"/>
      <c r="L225" s="635"/>
      <c r="M225" s="617"/>
      <c r="N225" s="635"/>
      <c r="O225" s="617"/>
      <c r="P225" s="635"/>
      <c r="Q225" s="617"/>
      <c r="R225" s="635"/>
      <c r="S225" s="617"/>
      <c r="T225" s="635"/>
      <c r="U225" s="617"/>
      <c r="V225" s="635"/>
      <c r="W225" s="617"/>
      <c r="X225" s="635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13"/>
      <c r="C226" s="617"/>
      <c r="D226" s="613"/>
      <c r="E226" s="617"/>
      <c r="F226" s="613"/>
      <c r="G226" s="617"/>
      <c r="H226" s="604"/>
      <c r="I226" s="617"/>
      <c r="J226" s="613"/>
      <c r="K226" s="617"/>
      <c r="L226" s="613"/>
      <c r="M226" s="617"/>
      <c r="N226" s="613"/>
      <c r="O226" s="617"/>
      <c r="P226" s="613"/>
      <c r="Q226" s="617"/>
      <c r="R226" s="613"/>
      <c r="S226" s="617"/>
      <c r="T226" s="613"/>
      <c r="U226" s="617"/>
      <c r="V226" s="613"/>
      <c r="W226" s="617"/>
      <c r="X226" s="613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489"/>
      <c r="C227" s="389">
        <v>368</v>
      </c>
      <c r="D227" s="1489"/>
      <c r="E227" s="390">
        <v>440</v>
      </c>
      <c r="F227" s="1489"/>
      <c r="G227" s="390">
        <v>364.13200000000001</v>
      </c>
      <c r="H227" s="1458"/>
      <c r="I227" s="390">
        <v>407</v>
      </c>
      <c r="J227" s="1489"/>
      <c r="K227" s="390">
        <v>375</v>
      </c>
      <c r="L227" s="1489"/>
      <c r="M227" s="390">
        <v>313</v>
      </c>
      <c r="N227" s="1489"/>
      <c r="O227" s="390">
        <v>388</v>
      </c>
      <c r="P227" s="1474"/>
      <c r="Q227" s="390">
        <v>414</v>
      </c>
      <c r="R227" s="1474"/>
      <c r="S227" s="390">
        <v>385</v>
      </c>
      <c r="T227" s="1489"/>
      <c r="U227" s="390">
        <v>360</v>
      </c>
      <c r="V227" s="1489"/>
      <c r="W227" s="396">
        <v>382</v>
      </c>
      <c r="X227" s="1489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490"/>
      <c r="C228" s="613"/>
      <c r="D228" s="1490"/>
      <c r="E228" s="613"/>
      <c r="F228" s="1490"/>
      <c r="G228" s="613"/>
      <c r="H228" s="1459"/>
      <c r="I228" s="613"/>
      <c r="J228" s="1490"/>
      <c r="K228" s="613"/>
      <c r="L228" s="1490"/>
      <c r="M228" s="613"/>
      <c r="N228" s="1490"/>
      <c r="O228" s="613"/>
      <c r="P228" s="1475"/>
      <c r="Q228" s="613"/>
      <c r="R228" s="1475"/>
      <c r="S228" s="613"/>
      <c r="T228" s="1490"/>
      <c r="U228" s="613"/>
      <c r="V228" s="1490"/>
      <c r="W228" s="613"/>
      <c r="X228" s="1490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11" t="s">
        <v>629</v>
      </c>
      <c r="C229" s="392"/>
      <c r="D229" s="611" t="s">
        <v>630</v>
      </c>
      <c r="E229" s="612"/>
      <c r="F229" s="611" t="s">
        <v>631</v>
      </c>
      <c r="G229" s="612"/>
      <c r="H229" s="611" t="s">
        <v>632</v>
      </c>
      <c r="I229" s="612"/>
      <c r="J229" s="611" t="s">
        <v>633</v>
      </c>
      <c r="K229" s="612"/>
      <c r="L229" s="611" t="s">
        <v>634</v>
      </c>
      <c r="M229" s="612"/>
      <c r="N229" s="611" t="s">
        <v>635</v>
      </c>
      <c r="O229" s="612"/>
      <c r="P229" s="611" t="s">
        <v>636</v>
      </c>
      <c r="Q229" s="612"/>
      <c r="R229" s="611" t="s">
        <v>637</v>
      </c>
      <c r="S229" s="612"/>
      <c r="T229" s="611" t="s">
        <v>638</v>
      </c>
      <c r="U229" s="613"/>
      <c r="V229" s="611" t="s">
        <v>639</v>
      </c>
      <c r="W229" s="612"/>
      <c r="X229" s="639" t="s">
        <v>640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212</v>
      </c>
      <c r="C230" s="392"/>
      <c r="D230" s="392" t="s">
        <v>212</v>
      </c>
      <c r="E230" s="392"/>
      <c r="F230" s="392" t="s">
        <v>211</v>
      </c>
      <c r="G230" s="614">
        <f>(Y218+C227+E227+G227)/1000</f>
        <v>1.524132</v>
      </c>
      <c r="H230" s="392" t="s">
        <v>214</v>
      </c>
      <c r="I230" s="392"/>
      <c r="J230" s="392" t="s">
        <v>212</v>
      </c>
      <c r="K230" s="392"/>
      <c r="L230" s="392" t="s">
        <v>212</v>
      </c>
      <c r="M230" s="392"/>
      <c r="N230" s="392" t="s">
        <v>212</v>
      </c>
      <c r="O230" s="392"/>
      <c r="P230" s="392" t="s">
        <v>211</v>
      </c>
      <c r="Q230" s="392"/>
      <c r="R230" s="392" t="s">
        <v>212</v>
      </c>
      <c r="S230" s="392"/>
      <c r="T230" s="392" t="s">
        <v>212</v>
      </c>
      <c r="U230" s="392"/>
      <c r="V230" s="392" t="s">
        <v>212</v>
      </c>
      <c r="W230" s="392"/>
      <c r="X230" s="392" t="s">
        <v>212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14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14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04"/>
      <c r="C233" s="604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392"/>
      <c r="O233" s="604"/>
      <c r="P233" s="392"/>
      <c r="Q233" s="604"/>
      <c r="R233" s="392"/>
      <c r="S233" s="613"/>
      <c r="T233" s="392"/>
      <c r="U233" s="613"/>
      <c r="V233" s="392"/>
      <c r="W233" s="617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635"/>
      <c r="C234" s="617"/>
      <c r="D234" s="635"/>
      <c r="E234" s="617"/>
      <c r="F234" s="635"/>
      <c r="G234" s="617"/>
      <c r="H234" s="604"/>
      <c r="I234" s="617"/>
      <c r="J234" s="635"/>
      <c r="K234" s="617"/>
      <c r="L234" s="635"/>
      <c r="M234" s="617"/>
      <c r="N234" s="635"/>
      <c r="O234" s="617"/>
      <c r="P234" s="604"/>
      <c r="Q234" s="617"/>
      <c r="R234" s="604"/>
      <c r="S234" s="617"/>
      <c r="T234" s="635"/>
      <c r="U234" s="617"/>
      <c r="V234" s="604"/>
      <c r="W234" s="394"/>
      <c r="X234" s="635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13"/>
      <c r="C235" s="617"/>
      <c r="D235" s="613"/>
      <c r="E235" s="617"/>
      <c r="F235" s="613"/>
      <c r="G235" s="617"/>
      <c r="H235" s="604"/>
      <c r="I235" s="617"/>
      <c r="J235" s="613"/>
      <c r="K235" s="617"/>
      <c r="L235" s="613"/>
      <c r="M235" s="617"/>
      <c r="N235" s="613"/>
      <c r="O235" s="617"/>
      <c r="P235" s="604"/>
      <c r="Q235" s="617"/>
      <c r="R235" s="604"/>
      <c r="S235" s="617"/>
      <c r="T235" s="613"/>
      <c r="U235" s="617"/>
      <c r="V235" s="604"/>
      <c r="W235" s="617"/>
      <c r="X235" s="613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474"/>
      <c r="C236" s="389">
        <v>429</v>
      </c>
      <c r="D236" s="1489"/>
      <c r="E236" s="390">
        <v>383</v>
      </c>
      <c r="F236" s="1489"/>
      <c r="G236" s="390">
        <v>447.10700000000003</v>
      </c>
      <c r="H236" s="1460" t="s">
        <v>555</v>
      </c>
      <c r="I236" s="390">
        <v>416</v>
      </c>
      <c r="J236" s="1489"/>
      <c r="K236" s="390">
        <v>389</v>
      </c>
      <c r="L236" s="1489"/>
      <c r="M236" s="390">
        <v>380</v>
      </c>
      <c r="N236" s="1474"/>
      <c r="O236" s="390">
        <v>362.38400000000001</v>
      </c>
      <c r="P236" s="1472"/>
      <c r="Q236" s="390">
        <v>263.31</v>
      </c>
      <c r="R236" s="1458"/>
      <c r="S236" s="390">
        <v>393</v>
      </c>
      <c r="T236" s="1474"/>
      <c r="U236" s="390">
        <v>384.17</v>
      </c>
      <c r="V236" s="1458"/>
      <c r="W236" s="390">
        <v>348</v>
      </c>
      <c r="X236" s="1489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475"/>
      <c r="C237" s="613"/>
      <c r="D237" s="1490"/>
      <c r="E237" s="613"/>
      <c r="F237" s="1490"/>
      <c r="G237" s="613"/>
      <c r="H237" s="1473"/>
      <c r="I237" s="613"/>
      <c r="J237" s="1490"/>
      <c r="K237" s="613"/>
      <c r="L237" s="1490"/>
      <c r="M237" s="613"/>
      <c r="N237" s="1475"/>
      <c r="O237" s="613"/>
      <c r="P237" s="1473"/>
      <c r="Q237" s="613"/>
      <c r="R237" s="1459"/>
      <c r="S237" s="613"/>
      <c r="T237" s="1475"/>
      <c r="U237" s="613"/>
      <c r="V237" s="1459"/>
      <c r="W237" s="613"/>
      <c r="X237" s="1490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11" t="s">
        <v>641</v>
      </c>
      <c r="C238" s="392"/>
      <c r="D238" s="611" t="s">
        <v>642</v>
      </c>
      <c r="E238" s="612"/>
      <c r="F238" s="611" t="s">
        <v>643</v>
      </c>
      <c r="G238" s="612"/>
      <c r="H238" s="611" t="s">
        <v>644</v>
      </c>
      <c r="I238" s="612"/>
      <c r="J238" s="611" t="s">
        <v>645</v>
      </c>
      <c r="K238" s="612"/>
      <c r="L238" s="611" t="s">
        <v>646</v>
      </c>
      <c r="M238" s="612"/>
      <c r="N238" s="611" t="s">
        <v>647</v>
      </c>
      <c r="O238" s="612"/>
      <c r="P238" s="611" t="s">
        <v>648</v>
      </c>
      <c r="Q238" s="612"/>
      <c r="R238" s="611" t="s">
        <v>649</v>
      </c>
      <c r="S238" s="612"/>
      <c r="T238" s="611" t="s">
        <v>650</v>
      </c>
      <c r="U238" s="613"/>
      <c r="V238" s="611" t="s">
        <v>651</v>
      </c>
      <c r="W238" s="612"/>
      <c r="X238" s="611" t="s">
        <v>652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213</v>
      </c>
      <c r="C239" s="392"/>
      <c r="D239" s="392" t="s">
        <v>211</v>
      </c>
      <c r="E239" s="392"/>
      <c r="F239" s="392" t="s">
        <v>211</v>
      </c>
      <c r="G239" s="614">
        <f>(I227+K227+M227+O227+Q227+S227+U227+W227+Y227+C236+E236+G236)/1000</f>
        <v>4.6981070000000003</v>
      </c>
      <c r="H239" s="392" t="s">
        <v>370</v>
      </c>
      <c r="I239" s="392"/>
      <c r="J239" s="392" t="s">
        <v>212</v>
      </c>
      <c r="K239" s="392"/>
      <c r="L239" s="392" t="s">
        <v>212</v>
      </c>
      <c r="M239" s="392"/>
      <c r="N239" s="392" t="s">
        <v>212</v>
      </c>
      <c r="O239" s="614">
        <f>(I236+K236+M236+O236)/1000</f>
        <v>1.5473840000000001</v>
      </c>
      <c r="P239" s="392" t="s">
        <v>653</v>
      </c>
      <c r="Q239" s="614">
        <f>Q236/1000</f>
        <v>0.26330999999999999</v>
      </c>
      <c r="R239" s="392" t="s">
        <v>765</v>
      </c>
      <c r="S239" s="392"/>
      <c r="T239" s="392" t="s">
        <v>212</v>
      </c>
      <c r="U239" s="614">
        <f>(S236+U236)/1000</f>
        <v>0.77717000000000003</v>
      </c>
      <c r="V239" s="392" t="s">
        <v>369</v>
      </c>
      <c r="W239" s="392"/>
      <c r="X239" s="392" t="s">
        <v>212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14"/>
      <c r="H240" s="392"/>
      <c r="I240" s="392"/>
      <c r="J240" s="392"/>
      <c r="K240" s="392"/>
      <c r="L240" s="392"/>
      <c r="M240" s="392"/>
      <c r="N240" s="392"/>
      <c r="O240" s="614"/>
      <c r="P240" s="616" t="s">
        <v>709</v>
      </c>
      <c r="Q240" s="614"/>
      <c r="R240" s="616" t="s">
        <v>709</v>
      </c>
      <c r="S240" s="392"/>
      <c r="T240" s="392"/>
      <c r="U240" s="614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14"/>
      <c r="H241" s="392"/>
      <c r="I241" s="392"/>
      <c r="J241" s="392"/>
      <c r="K241" s="392"/>
      <c r="L241" s="392"/>
      <c r="M241" s="392"/>
      <c r="N241" s="392"/>
      <c r="O241" s="640"/>
      <c r="P241" s="579"/>
      <c r="Q241" s="579"/>
      <c r="R241" s="580" t="s">
        <v>874</v>
      </c>
      <c r="S241" s="579"/>
      <c r="T241" s="581"/>
      <c r="U241" s="581"/>
      <c r="V241" s="581"/>
      <c r="W241" s="582"/>
      <c r="X241" s="640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04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40"/>
      <c r="P242" s="640"/>
      <c r="Q242" s="640"/>
      <c r="R242" s="640"/>
      <c r="S242" s="640"/>
      <c r="T242" s="583" t="s">
        <v>875</v>
      </c>
      <c r="U242" s="584"/>
      <c r="V242" s="585" t="s">
        <v>876</v>
      </c>
      <c r="W242" s="585"/>
      <c r="X242" s="585" t="s">
        <v>877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594"/>
      <c r="C243" s="615"/>
      <c r="D243" s="604"/>
      <c r="E243" s="615"/>
      <c r="F243" s="604"/>
      <c r="G243" s="615"/>
      <c r="H243" s="604"/>
      <c r="I243" s="615"/>
      <c r="J243" s="385"/>
      <c r="K243" s="385"/>
      <c r="L243" s="385"/>
      <c r="M243" s="385"/>
      <c r="N243" s="385"/>
      <c r="O243" s="651">
        <v>1</v>
      </c>
      <c r="P243" s="652" t="s">
        <v>878</v>
      </c>
      <c r="Q243" s="652" t="s">
        <v>89</v>
      </c>
      <c r="R243" s="652"/>
      <c r="S243" s="650" t="s">
        <v>876</v>
      </c>
      <c r="T243" s="653">
        <v>45854</v>
      </c>
      <c r="U243" s="652"/>
      <c r="V243" s="665">
        <v>46099</v>
      </c>
      <c r="W243" s="652"/>
      <c r="X243" s="652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08"/>
      <c r="C244" s="615"/>
      <c r="D244" s="604"/>
      <c r="E244" s="615"/>
      <c r="F244" s="604"/>
      <c r="G244" s="615"/>
      <c r="H244" s="604"/>
      <c r="I244" s="615"/>
      <c r="J244" s="385"/>
      <c r="K244" s="385"/>
      <c r="L244" s="385"/>
      <c r="M244" s="385"/>
      <c r="N244" s="385"/>
      <c r="O244" s="651">
        <f>O243+1</f>
        <v>2</v>
      </c>
      <c r="P244" s="652" t="s">
        <v>880</v>
      </c>
      <c r="Q244" s="652" t="s">
        <v>881</v>
      </c>
      <c r="R244" s="652"/>
      <c r="S244" s="650" t="s">
        <v>876</v>
      </c>
      <c r="T244" s="654">
        <v>45916</v>
      </c>
      <c r="U244" s="654"/>
      <c r="V244" s="665">
        <v>46290</v>
      </c>
      <c r="W244" s="652"/>
      <c r="X244" s="652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489"/>
      <c r="C245" s="389">
        <v>428.52600000000001</v>
      </c>
      <c r="D245" s="1509" t="s">
        <v>555</v>
      </c>
      <c r="E245" s="390">
        <v>194.62799999999999</v>
      </c>
      <c r="F245" s="1458"/>
      <c r="G245" s="390">
        <v>203.14099999999999</v>
      </c>
      <c r="H245" s="1458"/>
      <c r="I245" s="641"/>
      <c r="J245" s="642"/>
      <c r="K245" s="385"/>
      <c r="L245" s="385"/>
      <c r="M245" s="385"/>
      <c r="N245" s="385"/>
      <c r="O245" s="651">
        <f>O244+1</f>
        <v>3</v>
      </c>
      <c r="P245" s="655" t="s">
        <v>882</v>
      </c>
      <c r="Q245" s="652" t="s">
        <v>659</v>
      </c>
      <c r="R245" s="656"/>
      <c r="S245" s="650" t="s">
        <v>876</v>
      </c>
      <c r="T245" s="654">
        <v>45940</v>
      </c>
      <c r="U245" s="654"/>
      <c r="V245" s="665">
        <v>45970</v>
      </c>
      <c r="W245" s="653"/>
      <c r="X245" s="652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490"/>
      <c r="C246" s="608"/>
      <c r="D246" s="1510"/>
      <c r="E246" s="608"/>
      <c r="F246" s="1459"/>
      <c r="G246" s="608"/>
      <c r="H246" s="1459"/>
      <c r="I246" s="608"/>
      <c r="J246" s="642"/>
      <c r="K246" s="385"/>
      <c r="L246" s="385"/>
      <c r="M246" s="385"/>
      <c r="N246" s="385"/>
      <c r="O246" s="791">
        <f>O245+1</f>
        <v>4</v>
      </c>
      <c r="P246" s="792" t="s">
        <v>883</v>
      </c>
      <c r="Q246" s="793" t="s">
        <v>884</v>
      </c>
      <c r="R246" s="794"/>
      <c r="S246" s="795" t="s">
        <v>879</v>
      </c>
      <c r="T246" s="796">
        <v>45938</v>
      </c>
      <c r="U246" s="796"/>
      <c r="V246" s="797">
        <v>46125</v>
      </c>
      <c r="W246" s="798"/>
      <c r="X246" s="799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11" t="s">
        <v>654</v>
      </c>
      <c r="C247" s="392"/>
      <c r="D247" s="611" t="s">
        <v>655</v>
      </c>
      <c r="E247" s="612"/>
      <c r="F247" s="611" t="s">
        <v>656</v>
      </c>
      <c r="G247" s="612"/>
      <c r="H247" s="611" t="s">
        <v>657</v>
      </c>
      <c r="I247" s="394"/>
      <c r="J247" s="643"/>
      <c r="K247" s="385"/>
      <c r="L247" s="385"/>
      <c r="M247" s="385"/>
      <c r="N247" s="385"/>
      <c r="O247" s="651">
        <f>O246+1</f>
        <v>5</v>
      </c>
      <c r="P247" s="657" t="s">
        <v>885</v>
      </c>
      <c r="Q247" s="658" t="s">
        <v>660</v>
      </c>
      <c r="R247" s="659"/>
      <c r="S247" s="650" t="s">
        <v>876</v>
      </c>
      <c r="T247" s="654">
        <v>45995</v>
      </c>
      <c r="U247" s="654"/>
      <c r="V247" s="664">
        <v>46099</v>
      </c>
      <c r="W247" s="660"/>
      <c r="X247" s="652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212</v>
      </c>
      <c r="C248" s="614">
        <f>(W236+Y236+C245)/1000</f>
        <v>1.1265260000000001</v>
      </c>
      <c r="D248" s="392" t="s">
        <v>283</v>
      </c>
      <c r="E248" s="614">
        <f>E245/1000</f>
        <v>0.194628</v>
      </c>
      <c r="F248" s="392" t="s">
        <v>658</v>
      </c>
      <c r="G248" s="614">
        <f>G245/1000</f>
        <v>0.20314099999999999</v>
      </c>
      <c r="H248" s="392" t="s">
        <v>369</v>
      </c>
      <c r="I248" s="394"/>
      <c r="J248" s="643"/>
      <c r="K248" s="385"/>
      <c r="L248" s="385"/>
      <c r="M248" s="385"/>
      <c r="N248" s="385"/>
      <c r="O248" s="651">
        <f>O247+1</f>
        <v>6</v>
      </c>
      <c r="P248" s="657" t="s">
        <v>886</v>
      </c>
      <c r="Q248" s="658" t="s">
        <v>887</v>
      </c>
      <c r="R248" s="659"/>
      <c r="S248" s="650" t="s">
        <v>876</v>
      </c>
      <c r="T248" s="654">
        <v>45998</v>
      </c>
      <c r="U248" s="654"/>
      <c r="V248" s="664">
        <v>46053</v>
      </c>
      <c r="W248" s="660"/>
      <c r="X248" s="652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14"/>
      <c r="D249" s="392"/>
      <c r="E249" s="614"/>
      <c r="F249" s="392"/>
      <c r="G249" s="614"/>
      <c r="H249" s="397" t="s">
        <v>728</v>
      </c>
      <c r="I249" s="398"/>
      <c r="J249" s="399"/>
      <c r="K249" s="385"/>
      <c r="L249" s="385"/>
      <c r="M249" s="385"/>
      <c r="N249" s="385"/>
      <c r="O249" s="651">
        <v>7</v>
      </c>
      <c r="P249" s="657" t="s">
        <v>888</v>
      </c>
      <c r="Q249" s="658" t="s">
        <v>661</v>
      </c>
      <c r="R249" s="659"/>
      <c r="S249" s="650" t="s">
        <v>876</v>
      </c>
      <c r="T249" s="654">
        <v>46001</v>
      </c>
      <c r="U249" s="654"/>
      <c r="V249" s="664">
        <v>46081</v>
      </c>
      <c r="W249" s="660"/>
      <c r="X249" s="652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0"/>
      <c r="B250" s="644"/>
      <c r="C250" s="644"/>
      <c r="D250" s="644"/>
      <c r="E250" s="644"/>
      <c r="F250" s="644" t="s">
        <v>767</v>
      </c>
      <c r="G250" s="644"/>
      <c r="H250" s="644" t="s">
        <v>767</v>
      </c>
      <c r="I250" s="394"/>
      <c r="J250" s="643"/>
      <c r="K250" s="385"/>
      <c r="L250" s="385"/>
      <c r="M250" s="385"/>
      <c r="N250" s="385"/>
      <c r="O250" s="651">
        <v>8</v>
      </c>
      <c r="P250" s="657" t="s">
        <v>889</v>
      </c>
      <c r="Q250" s="658" t="s">
        <v>890</v>
      </c>
      <c r="R250" s="659"/>
      <c r="S250" s="650" t="s">
        <v>876</v>
      </c>
      <c r="T250" s="654">
        <v>46029</v>
      </c>
      <c r="U250" s="654"/>
      <c r="V250" s="664">
        <v>46046</v>
      </c>
      <c r="W250" s="658"/>
      <c r="X250" s="653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645"/>
      <c r="C251" s="645"/>
      <c r="D251" s="645"/>
      <c r="E251" s="645"/>
      <c r="F251" s="645"/>
      <c r="G251" s="645"/>
      <c r="H251" s="645"/>
      <c r="I251" s="394"/>
      <c r="J251" s="643"/>
      <c r="K251" s="385"/>
      <c r="L251" s="385"/>
      <c r="M251" s="385"/>
      <c r="N251" s="385"/>
      <c r="O251" s="651">
        <v>9</v>
      </c>
      <c r="P251" s="657" t="s">
        <v>891</v>
      </c>
      <c r="Q251" s="658" t="s">
        <v>892</v>
      </c>
      <c r="R251" s="659"/>
      <c r="S251" s="650" t="s">
        <v>879</v>
      </c>
      <c r="T251" s="654">
        <v>46044</v>
      </c>
      <c r="U251" s="654"/>
      <c r="V251" s="664">
        <v>46061</v>
      </c>
      <c r="W251" s="660"/>
      <c r="X251" s="652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729</v>
      </c>
      <c r="B252" s="646"/>
      <c r="C252" s="646"/>
      <c r="D252" s="646"/>
      <c r="E252" s="646"/>
      <c r="F252" s="646"/>
      <c r="G252" s="646"/>
      <c r="H252" s="646"/>
      <c r="I252" s="647"/>
      <c r="J252" s="648"/>
      <c r="K252" s="649"/>
      <c r="L252" s="649"/>
      <c r="M252" s="385"/>
      <c r="N252" s="385"/>
      <c r="O252" s="586">
        <v>10</v>
      </c>
      <c r="P252" s="589" t="s">
        <v>893</v>
      </c>
      <c r="Q252" s="589" t="s">
        <v>870</v>
      </c>
      <c r="R252" s="590"/>
      <c r="S252" s="587" t="s">
        <v>879</v>
      </c>
      <c r="T252" s="588">
        <v>46156</v>
      </c>
      <c r="U252" s="581"/>
      <c r="V252" s="581"/>
      <c r="W252" s="590"/>
      <c r="X252" s="592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645"/>
      <c r="C253" s="645"/>
      <c r="D253" s="645"/>
      <c r="E253" s="645"/>
      <c r="F253" s="645"/>
      <c r="G253" s="645"/>
      <c r="H253" s="645"/>
      <c r="I253" s="394"/>
      <c r="J253" s="643"/>
      <c r="K253" s="385"/>
      <c r="L253" s="385"/>
      <c r="M253" s="385"/>
      <c r="N253" s="385"/>
      <c r="O253" s="591">
        <v>11</v>
      </c>
      <c r="P253" s="582" t="s">
        <v>894</v>
      </c>
      <c r="Q253" s="582" t="s">
        <v>735</v>
      </c>
      <c r="R253" s="582"/>
      <c r="S253" s="587" t="s">
        <v>879</v>
      </c>
      <c r="T253" s="588">
        <v>46077</v>
      </c>
      <c r="U253" s="588"/>
      <c r="V253" s="581"/>
      <c r="W253" s="590"/>
      <c r="X253" s="592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21"/>
      <c r="C254" s="621"/>
      <c r="D254" s="787"/>
      <c r="E254" s="621"/>
      <c r="F254" s="787"/>
      <c r="G254" s="621"/>
      <c r="H254" s="621"/>
      <c r="I254" s="621"/>
      <c r="J254" s="621"/>
      <c r="K254" s="621"/>
      <c r="L254" s="621"/>
      <c r="M254" s="621"/>
      <c r="N254" s="621"/>
      <c r="O254" s="783">
        <v>12</v>
      </c>
      <c r="P254" s="592" t="s">
        <v>895</v>
      </c>
      <c r="Q254" s="592" t="s">
        <v>896</v>
      </c>
      <c r="R254" s="788"/>
      <c r="S254" s="587" t="s">
        <v>879</v>
      </c>
      <c r="T254" s="789">
        <v>46122</v>
      </c>
      <c r="U254" s="788"/>
      <c r="V254" s="788"/>
      <c r="W254" s="788"/>
      <c r="X254" s="788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790">
        <v>13</v>
      </c>
      <c r="P255" s="649" t="s">
        <v>897</v>
      </c>
      <c r="Q255" s="943" t="s">
        <v>766</v>
      </c>
      <c r="R255" s="649"/>
      <c r="S255" s="650" t="s">
        <v>876</v>
      </c>
      <c r="T255" s="784">
        <v>46125</v>
      </c>
      <c r="U255" s="649"/>
      <c r="V255" s="944">
        <v>46203</v>
      </c>
      <c r="W255" s="649"/>
      <c r="X255" s="649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783">
        <v>14</v>
      </c>
      <c r="P256" s="592" t="s">
        <v>899</v>
      </c>
      <c r="Q256" s="592" t="s">
        <v>898</v>
      </c>
      <c r="R256" s="592"/>
      <c r="S256" s="587" t="s">
        <v>879</v>
      </c>
      <c r="T256" s="784">
        <v>46174</v>
      </c>
      <c r="U256" s="649"/>
      <c r="V256" s="649"/>
      <c r="W256" s="649"/>
      <c r="X256" s="785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783">
        <v>15</v>
      </c>
      <c r="P257" s="785" t="s">
        <v>912</v>
      </c>
      <c r="Q257" s="785" t="s">
        <v>911</v>
      </c>
      <c r="R257" s="785"/>
      <c r="S257" s="587" t="s">
        <v>879</v>
      </c>
      <c r="T257" s="786">
        <v>46181</v>
      </c>
      <c r="U257" s="785"/>
      <c r="V257" s="785"/>
      <c r="W257" s="785"/>
      <c r="X257" s="785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873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honeticPr fontId="56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zoomScale="60" zoomScaleNormal="100" zoomScaleSheetLayoutView="59" workbookViewId="0">
      <pane ySplit="2" topLeftCell="A3" activePane="bottomLeft" state="frozen"/>
      <selection pane="bottomLeft" activeCell="S11" sqref="S11"/>
    </sheetView>
  </sheetViews>
  <sheetFormatPr defaultRowHeight="13.2" x14ac:dyDescent="0.25"/>
  <cols>
    <col min="1" max="1" width="8.88671875" style="558"/>
    <col min="2" max="2" width="11.6640625" style="555" customWidth="1"/>
    <col min="3" max="3" width="12" style="555" customWidth="1"/>
    <col min="4" max="4" width="14.88671875" style="555" customWidth="1"/>
    <col min="5" max="5" width="22" style="555" customWidth="1"/>
    <col min="6" max="6" width="19.33203125" style="557" customWidth="1"/>
    <col min="7" max="9" width="21.6640625" style="555" customWidth="1"/>
    <col min="10" max="10" width="19.6640625" style="555" customWidth="1"/>
    <col min="11" max="11" width="41.21875" style="555" customWidth="1"/>
    <col min="12" max="12" width="19.44140625" style="555" customWidth="1"/>
    <col min="13" max="13" width="25" style="555" customWidth="1"/>
    <col min="14" max="14" width="19.109375" style="555" customWidth="1"/>
    <col min="15" max="15" width="22.6640625" style="555" customWidth="1"/>
    <col min="16" max="16" width="24.44140625" style="555" bestFit="1" customWidth="1"/>
    <col min="17" max="17" width="18.88671875" style="556" customWidth="1"/>
    <col min="18" max="18" width="21.33203125" style="555" customWidth="1"/>
    <col min="19" max="19" width="23.33203125" style="554" customWidth="1"/>
    <col min="20" max="16384" width="8.88671875" style="554"/>
  </cols>
  <sheetData>
    <row r="1" spans="1:19" ht="41.25" customHeight="1" x14ac:dyDescent="0.25">
      <c r="A1" s="1511" t="s">
        <v>114</v>
      </c>
      <c r="B1" s="1511"/>
      <c r="C1" s="1511"/>
      <c r="D1" s="1511"/>
      <c r="E1" s="1511"/>
      <c r="F1" s="1511"/>
      <c r="G1" s="1512" t="s">
        <v>809</v>
      </c>
      <c r="H1" s="1512"/>
      <c r="I1" s="1512"/>
      <c r="J1" s="1512"/>
      <c r="K1" s="1512"/>
      <c r="L1" s="1513" t="s">
        <v>808</v>
      </c>
      <c r="M1" s="1513"/>
      <c r="N1" s="1514" t="s">
        <v>807</v>
      </c>
      <c r="O1" s="1514"/>
      <c r="P1" s="1514"/>
      <c r="Q1" s="1514"/>
      <c r="R1" s="1514"/>
      <c r="S1" s="1514"/>
    </row>
    <row r="2" spans="1:19" s="567" customFormat="1" ht="54" x14ac:dyDescent="0.25">
      <c r="A2" s="572" t="s">
        <v>806</v>
      </c>
      <c r="B2" s="572" t="s">
        <v>805</v>
      </c>
      <c r="C2" s="571" t="s">
        <v>804</v>
      </c>
      <c r="D2" s="569" t="s">
        <v>803</v>
      </c>
      <c r="E2" s="569" t="s">
        <v>802</v>
      </c>
      <c r="F2" s="569" t="s">
        <v>801</v>
      </c>
      <c r="G2" s="568" t="s">
        <v>800</v>
      </c>
      <c r="H2" s="568" t="s">
        <v>799</v>
      </c>
      <c r="I2" s="569" t="s">
        <v>793</v>
      </c>
      <c r="J2" s="569" t="s">
        <v>792</v>
      </c>
      <c r="K2" s="569" t="s">
        <v>82</v>
      </c>
      <c r="L2" s="568" t="s">
        <v>798</v>
      </c>
      <c r="M2" s="568" t="s">
        <v>797</v>
      </c>
      <c r="N2" s="568" t="s">
        <v>796</v>
      </c>
      <c r="O2" s="568" t="s">
        <v>795</v>
      </c>
      <c r="P2" s="568" t="s">
        <v>794</v>
      </c>
      <c r="Q2" s="570" t="s">
        <v>793</v>
      </c>
      <c r="R2" s="569" t="s">
        <v>792</v>
      </c>
      <c r="S2" s="568" t="s">
        <v>791</v>
      </c>
    </row>
    <row r="3" spans="1:19" ht="18" x14ac:dyDescent="0.25">
      <c r="A3" s="564">
        <v>1</v>
      </c>
      <c r="B3" s="564" t="s">
        <v>414</v>
      </c>
      <c r="C3" s="565" t="s">
        <v>764</v>
      </c>
      <c r="D3" s="564" t="s">
        <v>92</v>
      </c>
      <c r="E3" s="564" t="s">
        <v>772</v>
      </c>
      <c r="F3" s="564" t="s">
        <v>776</v>
      </c>
      <c r="G3" s="564" t="s">
        <v>776</v>
      </c>
      <c r="H3" s="564" t="s">
        <v>770</v>
      </c>
      <c r="I3" s="562">
        <v>46167</v>
      </c>
      <c r="J3" s="562">
        <v>46195</v>
      </c>
      <c r="K3" s="564" t="s">
        <v>867</v>
      </c>
      <c r="L3" s="564"/>
      <c r="M3" s="562"/>
      <c r="N3" s="564"/>
      <c r="O3" s="564"/>
      <c r="P3" s="564"/>
      <c r="Q3" s="562"/>
      <c r="R3" s="561"/>
      <c r="S3" s="560"/>
    </row>
    <row r="4" spans="1:19" ht="18" x14ac:dyDescent="0.25">
      <c r="A4" s="564">
        <v>2</v>
      </c>
      <c r="B4" s="564" t="s">
        <v>200</v>
      </c>
      <c r="C4" s="565" t="s">
        <v>211</v>
      </c>
      <c r="D4" s="564" t="s">
        <v>92</v>
      </c>
      <c r="E4" s="564" t="s">
        <v>772</v>
      </c>
      <c r="F4" s="564" t="s">
        <v>776</v>
      </c>
      <c r="G4" s="564" t="s">
        <v>776</v>
      </c>
      <c r="H4" s="564" t="s">
        <v>768</v>
      </c>
      <c r="I4" s="562"/>
      <c r="J4" s="562"/>
      <c r="K4" s="564"/>
      <c r="L4" s="564"/>
      <c r="M4" s="562"/>
      <c r="N4" s="566" t="s">
        <v>776</v>
      </c>
      <c r="O4" s="564">
        <v>41.88</v>
      </c>
      <c r="P4" s="564"/>
      <c r="Q4" s="562"/>
      <c r="R4" s="561"/>
      <c r="S4" s="560"/>
    </row>
    <row r="5" spans="1:19" ht="18" x14ac:dyDescent="0.25">
      <c r="A5" s="564">
        <v>3</v>
      </c>
      <c r="B5" s="564" t="s">
        <v>201</v>
      </c>
      <c r="C5" s="565" t="s">
        <v>212</v>
      </c>
      <c r="D5" s="564" t="s">
        <v>92</v>
      </c>
      <c r="E5" s="564" t="s">
        <v>772</v>
      </c>
      <c r="F5" s="564" t="s">
        <v>776</v>
      </c>
      <c r="G5" s="564" t="s">
        <v>776</v>
      </c>
      <c r="H5" s="564" t="s">
        <v>770</v>
      </c>
      <c r="I5" s="562">
        <v>46162</v>
      </c>
      <c r="J5" s="562">
        <v>46166</v>
      </c>
      <c r="K5" s="564" t="s">
        <v>867</v>
      </c>
      <c r="L5" s="564" t="s">
        <v>784</v>
      </c>
      <c r="M5" s="562">
        <v>46173</v>
      </c>
      <c r="N5" s="566" t="s">
        <v>776</v>
      </c>
      <c r="O5" s="564">
        <v>35.088999999999999</v>
      </c>
      <c r="P5" s="564" t="s">
        <v>667</v>
      </c>
      <c r="Q5" s="562">
        <v>46207</v>
      </c>
      <c r="R5" s="561">
        <v>46211</v>
      </c>
      <c r="S5" s="560" t="s">
        <v>903</v>
      </c>
    </row>
    <row r="6" spans="1:19" ht="18" x14ac:dyDescent="0.25">
      <c r="A6" s="564">
        <v>4</v>
      </c>
      <c r="B6" s="564" t="s">
        <v>202</v>
      </c>
      <c r="C6" s="565" t="s">
        <v>211</v>
      </c>
      <c r="D6" s="564" t="s">
        <v>92</v>
      </c>
      <c r="E6" s="564" t="s">
        <v>772</v>
      </c>
      <c r="F6" s="564" t="s">
        <v>776</v>
      </c>
      <c r="G6" s="564" t="s">
        <v>776</v>
      </c>
      <c r="H6" s="564" t="s">
        <v>770</v>
      </c>
      <c r="I6" s="562">
        <v>46153</v>
      </c>
      <c r="J6" s="562">
        <v>46161</v>
      </c>
      <c r="K6" s="564" t="s">
        <v>867</v>
      </c>
      <c r="L6" s="564" t="s">
        <v>784</v>
      </c>
      <c r="M6" s="562">
        <v>46164</v>
      </c>
      <c r="N6" s="566" t="s">
        <v>776</v>
      </c>
      <c r="O6" s="564">
        <v>41.88</v>
      </c>
      <c r="P6" s="564" t="s">
        <v>667</v>
      </c>
      <c r="Q6" s="562">
        <v>46564</v>
      </c>
      <c r="R6" s="561">
        <v>46206</v>
      </c>
      <c r="S6" s="560" t="s">
        <v>903</v>
      </c>
    </row>
    <row r="7" spans="1:19" ht="18" x14ac:dyDescent="0.25">
      <c r="A7" s="564">
        <v>5</v>
      </c>
      <c r="B7" s="564" t="s">
        <v>203</v>
      </c>
      <c r="C7" s="565" t="s">
        <v>213</v>
      </c>
      <c r="D7" s="564" t="s">
        <v>92</v>
      </c>
      <c r="E7" s="564" t="s">
        <v>772</v>
      </c>
      <c r="F7" s="564" t="s">
        <v>776</v>
      </c>
      <c r="G7" s="564" t="s">
        <v>776</v>
      </c>
      <c r="H7" s="564" t="s">
        <v>768</v>
      </c>
      <c r="I7" s="562"/>
      <c r="J7" s="562"/>
      <c r="K7" s="564"/>
      <c r="L7" s="564"/>
      <c r="M7" s="562"/>
      <c r="N7" s="566" t="s">
        <v>776</v>
      </c>
      <c r="O7" s="564">
        <v>36.771000000000001</v>
      </c>
      <c r="P7" s="564"/>
      <c r="Q7" s="562"/>
      <c r="R7" s="561"/>
      <c r="S7" s="560"/>
    </row>
    <row r="8" spans="1:19" ht="18" x14ac:dyDescent="0.25">
      <c r="A8" s="564">
        <v>6</v>
      </c>
      <c r="B8" s="564" t="s">
        <v>204</v>
      </c>
      <c r="C8" s="565" t="s">
        <v>213</v>
      </c>
      <c r="D8" s="564" t="s">
        <v>92</v>
      </c>
      <c r="E8" s="564" t="s">
        <v>772</v>
      </c>
      <c r="F8" s="564" t="s">
        <v>776</v>
      </c>
      <c r="G8" s="564" t="s">
        <v>776</v>
      </c>
      <c r="H8" s="564" t="s">
        <v>785</v>
      </c>
      <c r="I8" s="562"/>
      <c r="J8" s="562"/>
      <c r="K8" s="564"/>
      <c r="L8" s="564"/>
      <c r="M8" s="562"/>
      <c r="N8" s="566" t="s">
        <v>776</v>
      </c>
      <c r="O8" s="564">
        <v>36.771000000000001</v>
      </c>
      <c r="P8" s="564"/>
      <c r="Q8" s="562"/>
      <c r="R8" s="561"/>
      <c r="S8" s="560"/>
    </row>
    <row r="9" spans="1:19" ht="18" x14ac:dyDescent="0.25">
      <c r="A9" s="564">
        <v>7</v>
      </c>
      <c r="B9" s="564" t="s">
        <v>205</v>
      </c>
      <c r="C9" s="565" t="s">
        <v>213</v>
      </c>
      <c r="D9" s="564" t="s">
        <v>92</v>
      </c>
      <c r="E9" s="564" t="s">
        <v>772</v>
      </c>
      <c r="F9" s="564" t="s">
        <v>776</v>
      </c>
      <c r="G9" s="564" t="s">
        <v>776</v>
      </c>
      <c r="H9" s="564" t="s">
        <v>785</v>
      </c>
      <c r="I9" s="562"/>
      <c r="J9" s="562"/>
      <c r="K9" s="564"/>
      <c r="L9" s="564"/>
      <c r="M9" s="562"/>
      <c r="N9" s="566" t="s">
        <v>776</v>
      </c>
      <c r="O9" s="564">
        <v>36.771000000000001</v>
      </c>
      <c r="P9" s="564"/>
      <c r="Q9" s="562"/>
      <c r="R9" s="561"/>
      <c r="S9" s="560"/>
    </row>
    <row r="10" spans="1:19" ht="18" x14ac:dyDescent="0.25">
      <c r="A10" s="564">
        <v>8</v>
      </c>
      <c r="B10" s="564" t="s">
        <v>206</v>
      </c>
      <c r="C10" s="565" t="s">
        <v>213</v>
      </c>
      <c r="D10" s="564" t="s">
        <v>92</v>
      </c>
      <c r="E10" s="564" t="s">
        <v>772</v>
      </c>
      <c r="F10" s="564" t="s">
        <v>776</v>
      </c>
      <c r="G10" s="564" t="s">
        <v>776</v>
      </c>
      <c r="H10" s="564" t="s">
        <v>770</v>
      </c>
      <c r="I10" s="562">
        <v>46132</v>
      </c>
      <c r="J10" s="562">
        <v>46152</v>
      </c>
      <c r="K10" s="564" t="s">
        <v>867</v>
      </c>
      <c r="L10" s="564" t="s">
        <v>784</v>
      </c>
      <c r="M10" s="562">
        <v>46154</v>
      </c>
      <c r="N10" s="566" t="s">
        <v>776</v>
      </c>
      <c r="O10" s="564">
        <v>36.771000000000001</v>
      </c>
      <c r="P10" s="564"/>
      <c r="Q10" s="562"/>
      <c r="R10" s="561"/>
      <c r="S10" s="560"/>
    </row>
    <row r="11" spans="1:19" ht="18" x14ac:dyDescent="0.25">
      <c r="A11" s="564">
        <v>9</v>
      </c>
      <c r="B11" s="564" t="s">
        <v>415</v>
      </c>
      <c r="C11" s="565" t="s">
        <v>214</v>
      </c>
      <c r="D11" s="564" t="s">
        <v>92</v>
      </c>
      <c r="E11" s="564" t="s">
        <v>772</v>
      </c>
      <c r="F11" s="564" t="s">
        <v>773</v>
      </c>
      <c r="G11" s="564" t="s">
        <v>776</v>
      </c>
      <c r="H11" s="564" t="s">
        <v>770</v>
      </c>
      <c r="I11" s="562">
        <v>46156</v>
      </c>
      <c r="J11" s="562">
        <v>46190</v>
      </c>
      <c r="K11" s="564" t="s">
        <v>870</v>
      </c>
      <c r="L11" s="564"/>
      <c r="M11" s="562"/>
      <c r="N11" s="566" t="s">
        <v>776</v>
      </c>
      <c r="O11" s="564">
        <v>62.500999999999998</v>
      </c>
      <c r="P11" s="564" t="s">
        <v>924</v>
      </c>
      <c r="Q11" s="562">
        <v>46232</v>
      </c>
      <c r="R11" s="561">
        <v>46244</v>
      </c>
      <c r="S11" s="560" t="s">
        <v>904</v>
      </c>
    </row>
    <row r="12" spans="1:19" ht="18" x14ac:dyDescent="0.25">
      <c r="A12" s="564">
        <v>10</v>
      </c>
      <c r="B12" s="564" t="s">
        <v>207</v>
      </c>
      <c r="C12" s="565" t="s">
        <v>212</v>
      </c>
      <c r="D12" s="564" t="s">
        <v>92</v>
      </c>
      <c r="E12" s="564" t="s">
        <v>772</v>
      </c>
      <c r="F12" s="564" t="s">
        <v>776</v>
      </c>
      <c r="G12" s="564" t="s">
        <v>776</v>
      </c>
      <c r="H12" s="564" t="s">
        <v>770</v>
      </c>
      <c r="I12" s="562">
        <v>46191</v>
      </c>
      <c r="J12" s="562">
        <v>46193</v>
      </c>
      <c r="K12" s="564" t="s">
        <v>870</v>
      </c>
      <c r="L12" s="564"/>
      <c r="M12" s="562"/>
      <c r="N12" s="566" t="s">
        <v>776</v>
      </c>
      <c r="O12" s="564">
        <v>35.088999999999999</v>
      </c>
      <c r="P12" s="564" t="s">
        <v>924</v>
      </c>
      <c r="Q12" s="562">
        <v>46210</v>
      </c>
      <c r="R12" s="561">
        <v>46216</v>
      </c>
      <c r="S12" s="560" t="s">
        <v>903</v>
      </c>
    </row>
    <row r="13" spans="1:19" ht="18" x14ac:dyDescent="0.25">
      <c r="A13" s="564">
        <v>11</v>
      </c>
      <c r="B13" s="564" t="s">
        <v>208</v>
      </c>
      <c r="C13" s="565" t="s">
        <v>212</v>
      </c>
      <c r="D13" s="564" t="s">
        <v>92</v>
      </c>
      <c r="E13" s="564" t="s">
        <v>776</v>
      </c>
      <c r="F13" s="564" t="s">
        <v>776</v>
      </c>
      <c r="G13" s="564" t="s">
        <v>776</v>
      </c>
      <c r="H13" s="564" t="s">
        <v>770</v>
      </c>
      <c r="I13" s="562">
        <v>46194</v>
      </c>
      <c r="J13" s="562">
        <v>46203</v>
      </c>
      <c r="K13" s="564" t="s">
        <v>870</v>
      </c>
      <c r="L13" s="564"/>
      <c r="M13" s="562"/>
      <c r="N13" s="566" t="s">
        <v>776</v>
      </c>
      <c r="O13" s="564">
        <v>35.088999999999999</v>
      </c>
      <c r="P13" s="564" t="s">
        <v>924</v>
      </c>
      <c r="Q13" s="562">
        <v>46217</v>
      </c>
      <c r="R13" s="561">
        <v>46222</v>
      </c>
      <c r="S13" s="560" t="s">
        <v>903</v>
      </c>
    </row>
    <row r="14" spans="1:19" ht="18" x14ac:dyDescent="0.25">
      <c r="A14" s="564">
        <v>12</v>
      </c>
      <c r="B14" s="564" t="s">
        <v>209</v>
      </c>
      <c r="C14" s="565" t="s">
        <v>212</v>
      </c>
      <c r="D14" s="564" t="s">
        <v>92</v>
      </c>
      <c r="E14" s="564" t="s">
        <v>772</v>
      </c>
      <c r="F14" s="564" t="s">
        <v>776</v>
      </c>
      <c r="G14" s="564" t="s">
        <v>776</v>
      </c>
      <c r="H14" s="564" t="s">
        <v>770</v>
      </c>
      <c r="I14" s="562">
        <v>46204</v>
      </c>
      <c r="J14" s="562">
        <v>46217</v>
      </c>
      <c r="K14" s="564" t="s">
        <v>870</v>
      </c>
      <c r="L14" s="564"/>
      <c r="M14" s="562"/>
      <c r="N14" s="566" t="s">
        <v>776</v>
      </c>
      <c r="O14" s="564">
        <v>35.088999999999999</v>
      </c>
      <c r="P14" s="564" t="s">
        <v>924</v>
      </c>
      <c r="Q14" s="562">
        <v>46233</v>
      </c>
      <c r="R14" s="561">
        <v>46242</v>
      </c>
      <c r="S14" s="560" t="s">
        <v>903</v>
      </c>
    </row>
    <row r="15" spans="1:19" ht="18" x14ac:dyDescent="0.25">
      <c r="A15" s="564">
        <v>13</v>
      </c>
      <c r="B15" s="564" t="s">
        <v>215</v>
      </c>
      <c r="C15" s="565" t="s">
        <v>212</v>
      </c>
      <c r="D15" s="564" t="s">
        <v>92</v>
      </c>
      <c r="E15" s="564" t="s">
        <v>772</v>
      </c>
      <c r="F15" s="564" t="s">
        <v>776</v>
      </c>
      <c r="G15" s="564" t="s">
        <v>776</v>
      </c>
      <c r="H15" s="564" t="s">
        <v>770</v>
      </c>
      <c r="I15" s="562">
        <v>46221</v>
      </c>
      <c r="J15" s="562">
        <v>46229</v>
      </c>
      <c r="K15" s="564" t="s">
        <v>870</v>
      </c>
      <c r="L15" s="564"/>
      <c r="M15" s="562"/>
      <c r="N15" s="566" t="s">
        <v>776</v>
      </c>
      <c r="O15" s="564">
        <v>35.088999999999999</v>
      </c>
      <c r="P15" s="564"/>
      <c r="Q15" s="562"/>
      <c r="R15" s="561"/>
      <c r="S15" s="560"/>
    </row>
    <row r="16" spans="1:19" ht="18" x14ac:dyDescent="0.25">
      <c r="A16" s="564">
        <v>14</v>
      </c>
      <c r="B16" s="564" t="s">
        <v>216</v>
      </c>
      <c r="C16" s="565" t="s">
        <v>213</v>
      </c>
      <c r="D16" s="564" t="s">
        <v>92</v>
      </c>
      <c r="E16" s="564" t="s">
        <v>772</v>
      </c>
      <c r="F16" s="564" t="s">
        <v>776</v>
      </c>
      <c r="G16" s="564" t="s">
        <v>776</v>
      </c>
      <c r="H16" s="564" t="s">
        <v>789</v>
      </c>
      <c r="I16" s="562"/>
      <c r="J16" s="562"/>
      <c r="K16" s="564"/>
      <c r="L16" s="564"/>
      <c r="M16" s="562"/>
      <c r="N16" s="566" t="s">
        <v>776</v>
      </c>
      <c r="O16" s="564">
        <v>36.771000000000001</v>
      </c>
      <c r="P16" s="564"/>
      <c r="Q16" s="562"/>
      <c r="R16" s="561"/>
      <c r="S16" s="560"/>
    </row>
    <row r="17" spans="1:19" ht="18" x14ac:dyDescent="0.25">
      <c r="A17" s="564">
        <v>15</v>
      </c>
      <c r="B17" s="564" t="s">
        <v>217</v>
      </c>
      <c r="C17" s="565" t="s">
        <v>212</v>
      </c>
      <c r="D17" s="564" t="s">
        <v>92</v>
      </c>
      <c r="E17" s="564" t="s">
        <v>772</v>
      </c>
      <c r="F17" s="564" t="s">
        <v>776</v>
      </c>
      <c r="G17" s="564" t="s">
        <v>776</v>
      </c>
      <c r="H17" s="564" t="s">
        <v>789</v>
      </c>
      <c r="I17" s="562"/>
      <c r="J17" s="562"/>
      <c r="K17" s="564"/>
      <c r="L17" s="564"/>
      <c r="M17" s="562"/>
      <c r="N17" s="566" t="s">
        <v>776</v>
      </c>
      <c r="O17" s="564">
        <v>35.088999999999999</v>
      </c>
      <c r="P17" s="564"/>
      <c r="Q17" s="562"/>
      <c r="R17" s="561"/>
      <c r="S17" s="560"/>
    </row>
    <row r="18" spans="1:19" ht="18" x14ac:dyDescent="0.25">
      <c r="A18" s="564">
        <v>16</v>
      </c>
      <c r="B18" s="564" t="s">
        <v>218</v>
      </c>
      <c r="C18" s="565" t="s">
        <v>212</v>
      </c>
      <c r="D18" s="564" t="s">
        <v>92</v>
      </c>
      <c r="E18" s="564" t="s">
        <v>772</v>
      </c>
      <c r="F18" s="564" t="s">
        <v>776</v>
      </c>
      <c r="G18" s="564" t="s">
        <v>776</v>
      </c>
      <c r="H18" s="564" t="s">
        <v>789</v>
      </c>
      <c r="I18" s="562"/>
      <c r="J18" s="562"/>
      <c r="K18" s="564"/>
      <c r="L18" s="564"/>
      <c r="M18" s="562"/>
      <c r="N18" s="566" t="s">
        <v>776</v>
      </c>
      <c r="O18" s="564">
        <v>35.088999999999999</v>
      </c>
      <c r="P18" s="564"/>
      <c r="Q18" s="562"/>
      <c r="R18" s="561"/>
      <c r="S18" s="560"/>
    </row>
    <row r="19" spans="1:19" ht="18" x14ac:dyDescent="0.25">
      <c r="A19" s="564">
        <v>17</v>
      </c>
      <c r="B19" s="564" t="s">
        <v>219</v>
      </c>
      <c r="C19" s="565" t="s">
        <v>212</v>
      </c>
      <c r="D19" s="564" t="s">
        <v>92</v>
      </c>
      <c r="E19" s="564" t="s">
        <v>772</v>
      </c>
      <c r="F19" s="564" t="s">
        <v>776</v>
      </c>
      <c r="G19" s="564" t="s">
        <v>776</v>
      </c>
      <c r="H19" s="564" t="s">
        <v>770</v>
      </c>
      <c r="I19" s="562">
        <v>46136</v>
      </c>
      <c r="J19" s="562">
        <v>46142</v>
      </c>
      <c r="K19" s="564" t="s">
        <v>734</v>
      </c>
      <c r="L19" s="564" t="s">
        <v>784</v>
      </c>
      <c r="M19" s="562">
        <v>46142</v>
      </c>
      <c r="N19" s="566" t="s">
        <v>776</v>
      </c>
      <c r="O19" s="564">
        <v>35.088999999999999</v>
      </c>
      <c r="P19" s="564" t="s">
        <v>667</v>
      </c>
      <c r="Q19" s="562">
        <v>46181</v>
      </c>
      <c r="R19" s="561">
        <v>46185</v>
      </c>
      <c r="S19" s="560" t="s">
        <v>903</v>
      </c>
    </row>
    <row r="20" spans="1:19" ht="18" x14ac:dyDescent="0.25">
      <c r="A20" s="564">
        <v>18</v>
      </c>
      <c r="B20" s="564" t="s">
        <v>220</v>
      </c>
      <c r="C20" s="565" t="s">
        <v>212</v>
      </c>
      <c r="D20" s="564" t="s">
        <v>92</v>
      </c>
      <c r="E20" s="564" t="s">
        <v>772</v>
      </c>
      <c r="F20" s="564" t="s">
        <v>776</v>
      </c>
      <c r="G20" s="564" t="s">
        <v>776</v>
      </c>
      <c r="H20" s="564" t="s">
        <v>770</v>
      </c>
      <c r="I20" s="562">
        <v>46127</v>
      </c>
      <c r="J20" s="562">
        <v>46135</v>
      </c>
      <c r="K20" s="564" t="s">
        <v>734</v>
      </c>
      <c r="L20" s="564"/>
      <c r="M20" s="562"/>
      <c r="N20" s="566" t="s">
        <v>776</v>
      </c>
      <c r="O20" s="564">
        <v>35.088999999999999</v>
      </c>
      <c r="P20" s="564" t="s">
        <v>667</v>
      </c>
      <c r="Q20" s="562">
        <v>46223</v>
      </c>
      <c r="R20" s="561">
        <v>46232</v>
      </c>
      <c r="S20" s="560" t="s">
        <v>903</v>
      </c>
    </row>
    <row r="21" spans="1:19" ht="18" x14ac:dyDescent="0.25">
      <c r="A21" s="564">
        <v>19</v>
      </c>
      <c r="B21" s="564" t="s">
        <v>221</v>
      </c>
      <c r="C21" s="565" t="s">
        <v>212</v>
      </c>
      <c r="D21" s="564" t="s">
        <v>92</v>
      </c>
      <c r="E21" s="564" t="s">
        <v>772</v>
      </c>
      <c r="F21" s="564" t="s">
        <v>776</v>
      </c>
      <c r="G21" s="564" t="s">
        <v>776</v>
      </c>
      <c r="H21" s="564" t="s">
        <v>770</v>
      </c>
      <c r="I21" s="562">
        <v>46077</v>
      </c>
      <c r="J21" s="562">
        <v>46092</v>
      </c>
      <c r="K21" s="564" t="s">
        <v>734</v>
      </c>
      <c r="L21" s="564" t="s">
        <v>784</v>
      </c>
      <c r="M21" s="562">
        <v>46136</v>
      </c>
      <c r="N21" s="566" t="s">
        <v>776</v>
      </c>
      <c r="O21" s="564">
        <v>35.088999999999999</v>
      </c>
      <c r="P21" s="564" t="s">
        <v>667</v>
      </c>
      <c r="Q21" s="562">
        <v>46181</v>
      </c>
      <c r="R21" s="561">
        <v>46191</v>
      </c>
      <c r="S21" s="560" t="s">
        <v>904</v>
      </c>
    </row>
    <row r="22" spans="1:19" ht="18" x14ac:dyDescent="0.25">
      <c r="A22" s="564">
        <v>20</v>
      </c>
      <c r="B22" s="564" t="s">
        <v>222</v>
      </c>
      <c r="C22" s="565" t="s">
        <v>212</v>
      </c>
      <c r="D22" s="564" t="s">
        <v>541</v>
      </c>
      <c r="E22" s="564" t="s">
        <v>772</v>
      </c>
      <c r="F22" s="564" t="s">
        <v>776</v>
      </c>
      <c r="G22" s="564" t="s">
        <v>776</v>
      </c>
      <c r="H22" s="564" t="s">
        <v>770</v>
      </c>
      <c r="I22" s="562">
        <v>46077</v>
      </c>
      <c r="J22" s="562">
        <v>46095</v>
      </c>
      <c r="K22" s="564" t="s">
        <v>734</v>
      </c>
      <c r="L22" s="564" t="s">
        <v>784</v>
      </c>
      <c r="M22" s="562">
        <v>46136</v>
      </c>
      <c r="N22" s="566" t="s">
        <v>776</v>
      </c>
      <c r="O22" s="564">
        <v>35.088999999999999</v>
      </c>
      <c r="P22" s="564" t="s">
        <v>667</v>
      </c>
      <c r="Q22" s="562">
        <v>46186</v>
      </c>
      <c r="R22" s="561">
        <v>46192</v>
      </c>
      <c r="S22" s="560" t="s">
        <v>903</v>
      </c>
    </row>
    <row r="23" spans="1:19" ht="18" x14ac:dyDescent="0.25">
      <c r="A23" s="564">
        <v>21</v>
      </c>
      <c r="B23" s="564" t="s">
        <v>416</v>
      </c>
      <c r="C23" s="565" t="s">
        <v>226</v>
      </c>
      <c r="D23" s="564" t="s">
        <v>541</v>
      </c>
      <c r="E23" s="564" t="s">
        <v>772</v>
      </c>
      <c r="F23" s="564" t="s">
        <v>773</v>
      </c>
      <c r="G23" s="564" t="s">
        <v>776</v>
      </c>
      <c r="H23" s="564" t="s">
        <v>770</v>
      </c>
      <c r="I23" s="562">
        <v>46077</v>
      </c>
      <c r="J23" s="562">
        <v>46128</v>
      </c>
      <c r="K23" s="564" t="s">
        <v>734</v>
      </c>
      <c r="L23" s="564" t="s">
        <v>784</v>
      </c>
      <c r="M23" s="562">
        <v>46114</v>
      </c>
      <c r="N23" s="566" t="s">
        <v>776</v>
      </c>
      <c r="O23" s="564">
        <v>62.500999999999998</v>
      </c>
      <c r="P23" s="564" t="s">
        <v>667</v>
      </c>
      <c r="Q23" s="562">
        <v>46199</v>
      </c>
      <c r="R23" s="561">
        <v>46209</v>
      </c>
      <c r="S23" s="560" t="s">
        <v>903</v>
      </c>
    </row>
    <row r="24" spans="1:19" ht="18" x14ac:dyDescent="0.25">
      <c r="A24" s="564">
        <v>22</v>
      </c>
      <c r="B24" s="564" t="s">
        <v>223</v>
      </c>
      <c r="C24" s="565" t="s">
        <v>212</v>
      </c>
      <c r="D24" s="564" t="s">
        <v>92</v>
      </c>
      <c r="E24" s="564" t="s">
        <v>772</v>
      </c>
      <c r="F24" s="564" t="s">
        <v>776</v>
      </c>
      <c r="G24" s="564" t="s">
        <v>776</v>
      </c>
      <c r="H24" s="564" t="s">
        <v>770</v>
      </c>
      <c r="I24" s="562">
        <v>46060</v>
      </c>
      <c r="J24" s="562">
        <v>46065</v>
      </c>
      <c r="K24" s="564" t="s">
        <v>688</v>
      </c>
      <c r="L24" s="564" t="s">
        <v>784</v>
      </c>
      <c r="M24" s="562">
        <v>46068</v>
      </c>
      <c r="N24" s="566" t="s">
        <v>776</v>
      </c>
      <c r="O24" s="564">
        <v>35.088999999999999</v>
      </c>
      <c r="P24" s="564"/>
      <c r="Q24" s="562"/>
      <c r="R24" s="561"/>
      <c r="S24" s="560"/>
    </row>
    <row r="25" spans="1:19" ht="18" x14ac:dyDescent="0.25">
      <c r="A25" s="564">
        <v>23</v>
      </c>
      <c r="B25" s="564" t="s">
        <v>224</v>
      </c>
      <c r="C25" s="565" t="s">
        <v>212</v>
      </c>
      <c r="D25" s="564" t="s">
        <v>664</v>
      </c>
      <c r="E25" s="564" t="s">
        <v>772</v>
      </c>
      <c r="F25" s="564" t="s">
        <v>776</v>
      </c>
      <c r="G25" s="564" t="s">
        <v>776</v>
      </c>
      <c r="H25" s="564" t="s">
        <v>770</v>
      </c>
      <c r="I25" s="562">
        <v>46059</v>
      </c>
      <c r="J25" s="562">
        <v>46070</v>
      </c>
      <c r="K25" s="564" t="s">
        <v>688</v>
      </c>
      <c r="L25" s="564" t="s">
        <v>863</v>
      </c>
      <c r="M25" s="562">
        <v>46070</v>
      </c>
      <c r="N25" s="566" t="s">
        <v>776</v>
      </c>
      <c r="O25" s="564">
        <v>35.088999999999999</v>
      </c>
      <c r="P25" s="564" t="s">
        <v>667</v>
      </c>
      <c r="Q25" s="562">
        <v>46193</v>
      </c>
      <c r="R25" s="561">
        <v>46198</v>
      </c>
      <c r="S25" s="560" t="s">
        <v>903</v>
      </c>
    </row>
    <row r="26" spans="1:19" ht="18" x14ac:dyDescent="0.25">
      <c r="A26" s="564">
        <v>24</v>
      </c>
      <c r="B26" s="564" t="s">
        <v>225</v>
      </c>
      <c r="C26" s="565" t="s">
        <v>213</v>
      </c>
      <c r="D26" s="564" t="s">
        <v>92</v>
      </c>
      <c r="E26" s="564" t="s">
        <v>772</v>
      </c>
      <c r="F26" s="564" t="s">
        <v>776</v>
      </c>
      <c r="G26" s="564" t="s">
        <v>776</v>
      </c>
      <c r="H26" s="564" t="s">
        <v>770</v>
      </c>
      <c r="I26" s="562">
        <v>46101</v>
      </c>
      <c r="J26" s="562">
        <v>46106</v>
      </c>
      <c r="K26" s="564" t="s">
        <v>688</v>
      </c>
      <c r="L26" s="564" t="s">
        <v>784</v>
      </c>
      <c r="M26" s="562">
        <v>46110</v>
      </c>
      <c r="N26" s="566" t="s">
        <v>776</v>
      </c>
      <c r="O26" s="564">
        <v>36.771000000000001</v>
      </c>
      <c r="P26" s="564" t="s">
        <v>667</v>
      </c>
      <c r="Q26" s="562">
        <v>46192</v>
      </c>
      <c r="R26" s="561">
        <v>46198</v>
      </c>
      <c r="S26" s="560" t="s">
        <v>904</v>
      </c>
    </row>
    <row r="27" spans="1:19" ht="18" x14ac:dyDescent="0.25">
      <c r="A27" s="564">
        <v>25</v>
      </c>
      <c r="B27" s="564" t="s">
        <v>417</v>
      </c>
      <c r="C27" s="565" t="s">
        <v>226</v>
      </c>
      <c r="D27" s="564" t="s">
        <v>92</v>
      </c>
      <c r="E27" s="564" t="s">
        <v>772</v>
      </c>
      <c r="F27" s="564" t="s">
        <v>773</v>
      </c>
      <c r="G27" s="564" t="s">
        <v>776</v>
      </c>
      <c r="H27" s="564" t="s">
        <v>770</v>
      </c>
      <c r="I27" s="562">
        <v>46200</v>
      </c>
      <c r="J27" s="562">
        <v>46205</v>
      </c>
      <c r="K27" s="564" t="s">
        <v>688</v>
      </c>
      <c r="L27" s="564" t="s">
        <v>784</v>
      </c>
      <c r="M27" s="562">
        <v>46213</v>
      </c>
      <c r="N27" s="566" t="s">
        <v>776</v>
      </c>
      <c r="O27" s="564">
        <v>62.500999999999998</v>
      </c>
      <c r="P27" s="564" t="s">
        <v>667</v>
      </c>
      <c r="Q27" s="562">
        <v>46223</v>
      </c>
      <c r="R27" s="561">
        <v>46231</v>
      </c>
      <c r="S27" s="560" t="s">
        <v>904</v>
      </c>
    </row>
    <row r="28" spans="1:19" ht="18" x14ac:dyDescent="0.25">
      <c r="A28" s="564">
        <v>26</v>
      </c>
      <c r="B28" s="564" t="s">
        <v>227</v>
      </c>
      <c r="C28" s="565" t="s">
        <v>213</v>
      </c>
      <c r="D28" s="564" t="s">
        <v>92</v>
      </c>
      <c r="E28" s="564" t="s">
        <v>772</v>
      </c>
      <c r="F28" s="564" t="s">
        <v>776</v>
      </c>
      <c r="G28" s="564" t="s">
        <v>776</v>
      </c>
      <c r="H28" s="564" t="s">
        <v>770</v>
      </c>
      <c r="I28" s="562">
        <v>46189</v>
      </c>
      <c r="J28" s="562">
        <v>46193</v>
      </c>
      <c r="K28" s="564" t="s">
        <v>688</v>
      </c>
      <c r="L28" s="564" t="s">
        <v>861</v>
      </c>
      <c r="M28" s="562">
        <v>46199</v>
      </c>
      <c r="N28" s="566" t="s">
        <v>776</v>
      </c>
      <c r="O28" s="564">
        <v>36.771000000000001</v>
      </c>
      <c r="P28" s="564" t="s">
        <v>924</v>
      </c>
      <c r="Q28" s="562">
        <v>46212</v>
      </c>
      <c r="R28" s="561">
        <v>46217</v>
      </c>
      <c r="S28" s="560" t="s">
        <v>904</v>
      </c>
    </row>
    <row r="29" spans="1:19" ht="18" x14ac:dyDescent="0.25">
      <c r="A29" s="564">
        <v>27</v>
      </c>
      <c r="B29" s="564" t="s">
        <v>228</v>
      </c>
      <c r="C29" s="565" t="s">
        <v>212</v>
      </c>
      <c r="D29" s="564" t="s">
        <v>92</v>
      </c>
      <c r="E29" s="564" t="s">
        <v>772</v>
      </c>
      <c r="F29" s="564" t="s">
        <v>776</v>
      </c>
      <c r="G29" s="564" t="s">
        <v>776</v>
      </c>
      <c r="H29" s="564" t="s">
        <v>770</v>
      </c>
      <c r="I29" s="562">
        <v>46102</v>
      </c>
      <c r="J29" s="562">
        <v>46108</v>
      </c>
      <c r="K29" s="564" t="s">
        <v>688</v>
      </c>
      <c r="L29" s="564" t="s">
        <v>784</v>
      </c>
      <c r="M29" s="562">
        <v>46112</v>
      </c>
      <c r="N29" s="566" t="s">
        <v>776</v>
      </c>
      <c r="O29" s="564">
        <v>35.088999999999999</v>
      </c>
      <c r="P29" s="564" t="s">
        <v>924</v>
      </c>
      <c r="Q29" s="562">
        <v>46218</v>
      </c>
      <c r="R29" s="561">
        <v>46222</v>
      </c>
      <c r="S29" s="560" t="s">
        <v>904</v>
      </c>
    </row>
    <row r="30" spans="1:19" ht="18" x14ac:dyDescent="0.25">
      <c r="A30" s="564">
        <v>28</v>
      </c>
      <c r="B30" s="564" t="s">
        <v>229</v>
      </c>
      <c r="C30" s="565" t="s">
        <v>212</v>
      </c>
      <c r="D30" s="564" t="s">
        <v>92</v>
      </c>
      <c r="E30" s="564" t="s">
        <v>772</v>
      </c>
      <c r="F30" s="564" t="s">
        <v>776</v>
      </c>
      <c r="G30" s="564" t="s">
        <v>776</v>
      </c>
      <c r="H30" s="564" t="s">
        <v>770</v>
      </c>
      <c r="I30" s="562">
        <v>46209</v>
      </c>
      <c r="J30" s="562">
        <v>46211</v>
      </c>
      <c r="K30" s="564" t="s">
        <v>688</v>
      </c>
      <c r="L30" s="564" t="s">
        <v>784</v>
      </c>
      <c r="M30" s="562">
        <v>46215</v>
      </c>
      <c r="N30" s="566" t="s">
        <v>776</v>
      </c>
      <c r="O30" s="564">
        <v>35.088999999999999</v>
      </c>
      <c r="P30" s="564"/>
      <c r="Q30" s="562"/>
      <c r="R30" s="561"/>
      <c r="S30" s="560"/>
    </row>
    <row r="31" spans="1:19" ht="18" x14ac:dyDescent="0.25">
      <c r="A31" s="564">
        <v>29</v>
      </c>
      <c r="B31" s="564" t="s">
        <v>230</v>
      </c>
      <c r="C31" s="565" t="s">
        <v>212</v>
      </c>
      <c r="D31" s="564" t="s">
        <v>664</v>
      </c>
      <c r="E31" s="564" t="s">
        <v>772</v>
      </c>
      <c r="F31" s="564" t="s">
        <v>776</v>
      </c>
      <c r="G31" s="564" t="s">
        <v>776</v>
      </c>
      <c r="H31" s="564" t="s">
        <v>770</v>
      </c>
      <c r="I31" s="562">
        <v>46194</v>
      </c>
      <c r="J31" s="562">
        <v>46196</v>
      </c>
      <c r="K31" s="564" t="s">
        <v>688</v>
      </c>
      <c r="L31" s="564" t="s">
        <v>784</v>
      </c>
      <c r="M31" s="562">
        <v>46199</v>
      </c>
      <c r="N31" s="566" t="s">
        <v>776</v>
      </c>
      <c r="O31" s="564">
        <v>35.088999999999999</v>
      </c>
      <c r="P31" s="564"/>
      <c r="Q31" s="562"/>
      <c r="R31" s="561"/>
      <c r="S31" s="560"/>
    </row>
    <row r="32" spans="1:19" ht="18" x14ac:dyDescent="0.25">
      <c r="A32" s="564">
        <v>30</v>
      </c>
      <c r="B32" s="564" t="s">
        <v>231</v>
      </c>
      <c r="C32" s="565" t="s">
        <v>212</v>
      </c>
      <c r="D32" s="564" t="s">
        <v>92</v>
      </c>
      <c r="E32" s="564" t="s">
        <v>772</v>
      </c>
      <c r="F32" s="564" t="s">
        <v>776</v>
      </c>
      <c r="G32" s="564" t="s">
        <v>776</v>
      </c>
      <c r="H32" s="564" t="s">
        <v>770</v>
      </c>
      <c r="I32" s="562">
        <v>46197</v>
      </c>
      <c r="J32" s="562">
        <v>46199</v>
      </c>
      <c r="K32" s="564" t="s">
        <v>688</v>
      </c>
      <c r="L32" s="564" t="s">
        <v>861</v>
      </c>
      <c r="M32" s="562">
        <v>46215</v>
      </c>
      <c r="N32" s="566" t="s">
        <v>776</v>
      </c>
      <c r="O32" s="564">
        <v>35.088999999999999</v>
      </c>
      <c r="P32" s="564"/>
      <c r="Q32" s="562"/>
      <c r="R32" s="561"/>
      <c r="S32" s="560"/>
    </row>
    <row r="33" spans="1:19" ht="18" x14ac:dyDescent="0.25">
      <c r="A33" s="564">
        <v>31</v>
      </c>
      <c r="B33" s="564" t="s">
        <v>232</v>
      </c>
      <c r="C33" s="565" t="s">
        <v>213</v>
      </c>
      <c r="D33" s="564" t="s">
        <v>92</v>
      </c>
      <c r="E33" s="564" t="s">
        <v>772</v>
      </c>
      <c r="F33" s="564" t="s">
        <v>776</v>
      </c>
      <c r="G33" s="564" t="s">
        <v>776</v>
      </c>
      <c r="H33" s="564" t="s">
        <v>770</v>
      </c>
      <c r="I33" s="562">
        <v>46092</v>
      </c>
      <c r="J33" s="562">
        <v>46100</v>
      </c>
      <c r="K33" s="564" t="s">
        <v>688</v>
      </c>
      <c r="L33" s="564" t="s">
        <v>784</v>
      </c>
      <c r="M33" s="562">
        <v>46110</v>
      </c>
      <c r="N33" s="566" t="s">
        <v>776</v>
      </c>
      <c r="O33" s="564">
        <v>36.771000000000001</v>
      </c>
      <c r="P33" s="564" t="s">
        <v>667</v>
      </c>
      <c r="Q33" s="562">
        <v>46204</v>
      </c>
      <c r="R33" s="561">
        <v>46209</v>
      </c>
      <c r="S33" s="560" t="s">
        <v>905</v>
      </c>
    </row>
    <row r="34" spans="1:19" ht="18" x14ac:dyDescent="0.25">
      <c r="A34" s="564">
        <v>32</v>
      </c>
      <c r="B34" s="564" t="s">
        <v>233</v>
      </c>
      <c r="C34" s="565" t="s">
        <v>213</v>
      </c>
      <c r="D34" s="564" t="s">
        <v>92</v>
      </c>
      <c r="E34" s="564" t="s">
        <v>772</v>
      </c>
      <c r="F34" s="564" t="s">
        <v>776</v>
      </c>
      <c r="G34" s="564" t="s">
        <v>776</v>
      </c>
      <c r="H34" s="564" t="s">
        <v>770</v>
      </c>
      <c r="I34" s="562">
        <v>46087</v>
      </c>
      <c r="J34" s="562">
        <v>46094</v>
      </c>
      <c r="K34" s="564" t="s">
        <v>688</v>
      </c>
      <c r="L34" s="564" t="s">
        <v>784</v>
      </c>
      <c r="M34" s="562">
        <v>46095</v>
      </c>
      <c r="N34" s="566" t="s">
        <v>776</v>
      </c>
      <c r="O34" s="564">
        <v>36.771000000000001</v>
      </c>
      <c r="P34" s="564" t="s">
        <v>667</v>
      </c>
      <c r="Q34" s="562">
        <v>46210</v>
      </c>
      <c r="R34" s="561">
        <v>46214</v>
      </c>
      <c r="S34" s="560" t="s">
        <v>905</v>
      </c>
    </row>
    <row r="35" spans="1:19" ht="18" x14ac:dyDescent="0.25">
      <c r="A35" s="564">
        <v>33</v>
      </c>
      <c r="B35" s="564" t="s">
        <v>234</v>
      </c>
      <c r="C35" s="565" t="s">
        <v>212</v>
      </c>
      <c r="D35" s="564" t="s">
        <v>92</v>
      </c>
      <c r="E35" s="564" t="s">
        <v>772</v>
      </c>
      <c r="F35" s="564" t="s">
        <v>776</v>
      </c>
      <c r="G35" s="564" t="s">
        <v>776</v>
      </c>
      <c r="H35" s="564" t="s">
        <v>770</v>
      </c>
      <c r="I35" s="562">
        <v>46088</v>
      </c>
      <c r="J35" s="562">
        <v>46095</v>
      </c>
      <c r="K35" s="564" t="s">
        <v>688</v>
      </c>
      <c r="L35" s="564" t="s">
        <v>784</v>
      </c>
      <c r="M35" s="562">
        <v>46098</v>
      </c>
      <c r="N35" s="566" t="s">
        <v>776</v>
      </c>
      <c r="O35" s="564">
        <v>35.088999999999999</v>
      </c>
      <c r="P35" s="564" t="s">
        <v>667</v>
      </c>
      <c r="Q35" s="562">
        <v>46189</v>
      </c>
      <c r="R35" s="561">
        <v>46196</v>
      </c>
      <c r="S35" s="560" t="s">
        <v>905</v>
      </c>
    </row>
    <row r="36" spans="1:19" ht="18" x14ac:dyDescent="0.25">
      <c r="A36" s="564">
        <v>34</v>
      </c>
      <c r="B36" s="564" t="s">
        <v>235</v>
      </c>
      <c r="C36" s="565" t="s">
        <v>213</v>
      </c>
      <c r="D36" s="564" t="s">
        <v>92</v>
      </c>
      <c r="E36" s="564" t="s">
        <v>772</v>
      </c>
      <c r="F36" s="564" t="s">
        <v>776</v>
      </c>
      <c r="G36" s="564" t="s">
        <v>776</v>
      </c>
      <c r="H36" s="564" t="s">
        <v>770</v>
      </c>
      <c r="I36" s="562">
        <v>46054</v>
      </c>
      <c r="J36" s="562">
        <v>46058</v>
      </c>
      <c r="K36" s="564" t="s">
        <v>688</v>
      </c>
      <c r="L36" s="564" t="s">
        <v>784</v>
      </c>
      <c r="M36" s="562">
        <v>46069</v>
      </c>
      <c r="N36" s="566" t="s">
        <v>776</v>
      </c>
      <c r="O36" s="564">
        <v>36.771000000000001</v>
      </c>
      <c r="P36" s="564" t="s">
        <v>667</v>
      </c>
      <c r="Q36" s="562">
        <v>46081</v>
      </c>
      <c r="R36" s="561">
        <v>46086</v>
      </c>
      <c r="S36" s="560" t="s">
        <v>690</v>
      </c>
    </row>
    <row r="37" spans="1:19" ht="18" x14ac:dyDescent="0.25">
      <c r="A37" s="564">
        <v>35</v>
      </c>
      <c r="B37" s="564" t="s">
        <v>236</v>
      </c>
      <c r="C37" s="565" t="s">
        <v>212</v>
      </c>
      <c r="D37" s="564" t="s">
        <v>664</v>
      </c>
      <c r="E37" s="564" t="s">
        <v>772</v>
      </c>
      <c r="F37" s="564" t="s">
        <v>776</v>
      </c>
      <c r="G37" s="564" t="s">
        <v>776</v>
      </c>
      <c r="H37" s="564" t="s">
        <v>770</v>
      </c>
      <c r="I37" s="562">
        <v>46090</v>
      </c>
      <c r="J37" s="562">
        <v>46098</v>
      </c>
      <c r="K37" s="564" t="s">
        <v>688</v>
      </c>
      <c r="L37" s="564" t="s">
        <v>786</v>
      </c>
      <c r="M37" s="562">
        <v>46127</v>
      </c>
      <c r="N37" s="566" t="s">
        <v>776</v>
      </c>
      <c r="O37" s="564">
        <v>35.088999999999999</v>
      </c>
      <c r="P37" s="564" t="s">
        <v>667</v>
      </c>
      <c r="Q37" s="562">
        <v>46182</v>
      </c>
      <c r="R37" s="561">
        <v>46189</v>
      </c>
      <c r="S37" s="560" t="s">
        <v>905</v>
      </c>
    </row>
    <row r="38" spans="1:19" ht="18" x14ac:dyDescent="0.25">
      <c r="A38" s="564">
        <v>36</v>
      </c>
      <c r="B38" s="564" t="s">
        <v>418</v>
      </c>
      <c r="C38" s="565" t="s">
        <v>237</v>
      </c>
      <c r="D38" s="564" t="s">
        <v>92</v>
      </c>
      <c r="E38" s="564" t="s">
        <v>772</v>
      </c>
      <c r="F38" s="564"/>
      <c r="G38" s="564" t="s">
        <v>776</v>
      </c>
      <c r="H38" s="564" t="s">
        <v>770</v>
      </c>
      <c r="I38" s="562">
        <v>46045</v>
      </c>
      <c r="J38" s="562">
        <v>46053</v>
      </c>
      <c r="K38" s="564" t="s">
        <v>688</v>
      </c>
      <c r="L38" s="564" t="s">
        <v>784</v>
      </c>
      <c r="M38" s="562">
        <v>46056</v>
      </c>
      <c r="N38" s="566" t="s">
        <v>776</v>
      </c>
      <c r="O38" s="564">
        <v>54.72</v>
      </c>
      <c r="P38" s="564" t="s">
        <v>667</v>
      </c>
      <c r="Q38" s="562">
        <v>46070</v>
      </c>
      <c r="R38" s="561">
        <v>46074</v>
      </c>
      <c r="S38" s="560" t="s">
        <v>690</v>
      </c>
    </row>
    <row r="39" spans="1:19" ht="18" x14ac:dyDescent="0.25">
      <c r="A39" s="564">
        <v>37</v>
      </c>
      <c r="B39" s="564" t="s">
        <v>238</v>
      </c>
      <c r="C39" s="565" t="s">
        <v>248</v>
      </c>
      <c r="D39" s="564" t="s">
        <v>92</v>
      </c>
      <c r="E39" s="564" t="s">
        <v>772</v>
      </c>
      <c r="F39" s="564" t="s">
        <v>776</v>
      </c>
      <c r="G39" s="564" t="s">
        <v>776</v>
      </c>
      <c r="H39" s="564" t="s">
        <v>770</v>
      </c>
      <c r="I39" s="562">
        <v>46098</v>
      </c>
      <c r="J39" s="562">
        <v>46103</v>
      </c>
      <c r="K39" s="564" t="s">
        <v>688</v>
      </c>
      <c r="L39" s="564" t="s">
        <v>784</v>
      </c>
      <c r="M39" s="562">
        <v>46112</v>
      </c>
      <c r="N39" s="566" t="s">
        <v>776</v>
      </c>
      <c r="O39" s="564">
        <v>43.575000000000003</v>
      </c>
      <c r="P39" s="564" t="s">
        <v>667</v>
      </c>
      <c r="Q39" s="562">
        <v>46197</v>
      </c>
      <c r="R39" s="561">
        <v>46203</v>
      </c>
      <c r="S39" s="560" t="s">
        <v>905</v>
      </c>
    </row>
    <row r="40" spans="1:19" ht="18" x14ac:dyDescent="0.25">
      <c r="A40" s="564">
        <v>38</v>
      </c>
      <c r="B40" s="564" t="s">
        <v>239</v>
      </c>
      <c r="C40" s="565" t="s">
        <v>212</v>
      </c>
      <c r="D40" s="564" t="s">
        <v>541</v>
      </c>
      <c r="E40" s="564" t="s">
        <v>772</v>
      </c>
      <c r="F40" s="564" t="s">
        <v>776</v>
      </c>
      <c r="G40" s="564" t="s">
        <v>776</v>
      </c>
      <c r="H40" s="564" t="s">
        <v>770</v>
      </c>
      <c r="I40" s="562">
        <v>46206</v>
      </c>
      <c r="J40" s="562">
        <v>46208</v>
      </c>
      <c r="K40" s="564" t="s">
        <v>688</v>
      </c>
      <c r="L40" s="564"/>
      <c r="M40" s="562"/>
      <c r="N40" s="566" t="s">
        <v>776</v>
      </c>
      <c r="O40" s="564">
        <v>35.088999999999999</v>
      </c>
      <c r="P40" s="564" t="s">
        <v>667</v>
      </c>
      <c r="Q40" s="562">
        <v>46223</v>
      </c>
      <c r="R40" s="561">
        <v>46230</v>
      </c>
      <c r="S40" s="560" t="s">
        <v>905</v>
      </c>
    </row>
    <row r="41" spans="1:19" ht="18" x14ac:dyDescent="0.25">
      <c r="A41" s="564">
        <v>39</v>
      </c>
      <c r="B41" s="564" t="s">
        <v>240</v>
      </c>
      <c r="C41" s="565" t="s">
        <v>212</v>
      </c>
      <c r="D41" s="564" t="s">
        <v>92</v>
      </c>
      <c r="E41" s="564" t="s">
        <v>772</v>
      </c>
      <c r="F41" s="564" t="s">
        <v>776</v>
      </c>
      <c r="G41" s="564" t="s">
        <v>776</v>
      </c>
      <c r="H41" s="564" t="s">
        <v>770</v>
      </c>
      <c r="I41" s="562">
        <v>46211</v>
      </c>
      <c r="J41" s="562">
        <v>46213</v>
      </c>
      <c r="K41" s="564" t="s">
        <v>688</v>
      </c>
      <c r="L41" s="564" t="s">
        <v>861</v>
      </c>
      <c r="M41" s="562">
        <v>46217</v>
      </c>
      <c r="N41" s="566" t="s">
        <v>776</v>
      </c>
      <c r="O41" s="564">
        <v>35.088999999999999</v>
      </c>
      <c r="P41" s="564"/>
      <c r="Q41" s="562"/>
      <c r="R41" s="561"/>
      <c r="S41" s="560"/>
    </row>
    <row r="42" spans="1:19" ht="18" x14ac:dyDescent="0.25">
      <c r="A42" s="564">
        <v>40</v>
      </c>
      <c r="B42" s="564" t="s">
        <v>241</v>
      </c>
      <c r="C42" s="565" t="s">
        <v>212</v>
      </c>
      <c r="D42" s="564" t="s">
        <v>92</v>
      </c>
      <c r="E42" s="564" t="s">
        <v>772</v>
      </c>
      <c r="F42" s="564" t="s">
        <v>776</v>
      </c>
      <c r="G42" s="564" t="s">
        <v>776</v>
      </c>
      <c r="H42" s="564" t="s">
        <v>770</v>
      </c>
      <c r="I42" s="562">
        <v>46227</v>
      </c>
      <c r="J42" s="562">
        <v>46230</v>
      </c>
      <c r="K42" s="564" t="s">
        <v>688</v>
      </c>
      <c r="L42" s="564"/>
      <c r="M42" s="562"/>
      <c r="N42" s="566" t="s">
        <v>776</v>
      </c>
      <c r="O42" s="564">
        <v>35.088999999999999</v>
      </c>
      <c r="P42" s="564"/>
      <c r="Q42" s="562"/>
      <c r="R42" s="561"/>
      <c r="S42" s="560"/>
    </row>
    <row r="43" spans="1:19" ht="18" x14ac:dyDescent="0.25">
      <c r="A43" s="564">
        <v>41</v>
      </c>
      <c r="B43" s="564" t="s">
        <v>421</v>
      </c>
      <c r="C43" s="565" t="s">
        <v>564</v>
      </c>
      <c r="D43" s="564" t="s">
        <v>762</v>
      </c>
      <c r="E43" s="564" t="s">
        <v>772</v>
      </c>
      <c r="F43" s="564" t="s">
        <v>776</v>
      </c>
      <c r="G43" s="564" t="s">
        <v>776</v>
      </c>
      <c r="H43" s="564" t="s">
        <v>770</v>
      </c>
      <c r="I43" s="562">
        <v>46111</v>
      </c>
      <c r="J43" s="562">
        <v>46125</v>
      </c>
      <c r="K43" s="564" t="s">
        <v>757</v>
      </c>
      <c r="L43" s="564" t="s">
        <v>784</v>
      </c>
      <c r="M43" s="562">
        <v>46125</v>
      </c>
      <c r="N43" s="566" t="s">
        <v>776</v>
      </c>
      <c r="O43" s="564">
        <v>57.484000000000002</v>
      </c>
      <c r="P43" s="564" t="s">
        <v>667</v>
      </c>
      <c r="Q43" s="562">
        <v>46215</v>
      </c>
      <c r="R43" s="561">
        <v>46222</v>
      </c>
      <c r="S43" s="560" t="s">
        <v>905</v>
      </c>
    </row>
    <row r="44" spans="1:19" ht="18" x14ac:dyDescent="0.25">
      <c r="A44" s="564">
        <v>42</v>
      </c>
      <c r="B44" s="564" t="s">
        <v>242</v>
      </c>
      <c r="C44" s="565" t="s">
        <v>213</v>
      </c>
      <c r="D44" s="564" t="s">
        <v>92</v>
      </c>
      <c r="E44" s="564" t="s">
        <v>772</v>
      </c>
      <c r="F44" s="564" t="s">
        <v>776</v>
      </c>
      <c r="G44" s="564" t="s">
        <v>776</v>
      </c>
      <c r="H44" s="564" t="s">
        <v>770</v>
      </c>
      <c r="I44" s="562">
        <v>46050</v>
      </c>
      <c r="J44" s="562">
        <v>46061</v>
      </c>
      <c r="K44" s="564" t="s">
        <v>688</v>
      </c>
      <c r="L44" s="564" t="s">
        <v>784</v>
      </c>
      <c r="M44" s="562">
        <v>46070</v>
      </c>
      <c r="N44" s="566" t="s">
        <v>776</v>
      </c>
      <c r="O44" s="564">
        <v>36.771000000000001</v>
      </c>
      <c r="P44" s="564" t="s">
        <v>667</v>
      </c>
      <c r="Q44" s="562">
        <v>46075</v>
      </c>
      <c r="R44" s="561">
        <v>46078</v>
      </c>
      <c r="S44" s="560" t="s">
        <v>690</v>
      </c>
    </row>
    <row r="45" spans="1:19" ht="18" x14ac:dyDescent="0.25">
      <c r="A45" s="564">
        <v>43</v>
      </c>
      <c r="B45" s="564" t="s">
        <v>243</v>
      </c>
      <c r="C45" s="565" t="s">
        <v>212</v>
      </c>
      <c r="D45" s="564" t="s">
        <v>542</v>
      </c>
      <c r="E45" s="564" t="s">
        <v>772</v>
      </c>
      <c r="F45" s="564" t="s">
        <v>776</v>
      </c>
      <c r="G45" s="564" t="s">
        <v>776</v>
      </c>
      <c r="H45" s="564" t="s">
        <v>770</v>
      </c>
      <c r="I45" s="562">
        <v>46048</v>
      </c>
      <c r="J45" s="562">
        <v>46052</v>
      </c>
      <c r="K45" s="564" t="s">
        <v>688</v>
      </c>
      <c r="L45" s="564" t="s">
        <v>786</v>
      </c>
      <c r="M45" s="562">
        <v>46072</v>
      </c>
      <c r="N45" s="566" t="s">
        <v>776</v>
      </c>
      <c r="O45" s="564">
        <v>35.088999999999999</v>
      </c>
      <c r="P45" s="564" t="s">
        <v>667</v>
      </c>
      <c r="Q45" s="562">
        <v>46078</v>
      </c>
      <c r="R45" s="561">
        <v>46081</v>
      </c>
      <c r="S45" s="560" t="s">
        <v>690</v>
      </c>
    </row>
    <row r="46" spans="1:19" ht="18" x14ac:dyDescent="0.25">
      <c r="A46" s="564">
        <v>44</v>
      </c>
      <c r="B46" s="564" t="s">
        <v>244</v>
      </c>
      <c r="C46" s="565" t="s">
        <v>213</v>
      </c>
      <c r="D46" s="564" t="s">
        <v>664</v>
      </c>
      <c r="E46" s="564" t="s">
        <v>772</v>
      </c>
      <c r="F46" s="564" t="s">
        <v>776</v>
      </c>
      <c r="G46" s="564" t="s">
        <v>776</v>
      </c>
      <c r="H46" s="564" t="s">
        <v>770</v>
      </c>
      <c r="I46" s="562">
        <v>46106</v>
      </c>
      <c r="J46" s="562">
        <v>46112</v>
      </c>
      <c r="K46" s="564" t="s">
        <v>688</v>
      </c>
      <c r="L46" s="564" t="s">
        <v>786</v>
      </c>
      <c r="M46" s="562">
        <v>46125</v>
      </c>
      <c r="N46" s="566" t="s">
        <v>776</v>
      </c>
      <c r="O46" s="564">
        <v>36.771000000000001</v>
      </c>
      <c r="P46" s="564"/>
      <c r="Q46" s="562"/>
      <c r="R46" s="561"/>
      <c r="S46" s="560"/>
    </row>
    <row r="47" spans="1:19" ht="18" x14ac:dyDescent="0.25">
      <c r="A47" s="564">
        <v>45</v>
      </c>
      <c r="B47" s="564" t="s">
        <v>245</v>
      </c>
      <c r="C47" s="565" t="s">
        <v>212</v>
      </c>
      <c r="D47" s="564" t="s">
        <v>664</v>
      </c>
      <c r="E47" s="564" t="s">
        <v>772</v>
      </c>
      <c r="F47" s="564" t="s">
        <v>776</v>
      </c>
      <c r="G47" s="564" t="s">
        <v>776</v>
      </c>
      <c r="H47" s="564" t="s">
        <v>770</v>
      </c>
      <c r="I47" s="562">
        <v>46058</v>
      </c>
      <c r="J47" s="562">
        <v>46087</v>
      </c>
      <c r="K47" s="564" t="s">
        <v>688</v>
      </c>
      <c r="L47" s="564" t="s">
        <v>786</v>
      </c>
      <c r="M47" s="562">
        <v>46125</v>
      </c>
      <c r="N47" s="566" t="s">
        <v>776</v>
      </c>
      <c r="O47" s="564">
        <v>35.088999999999999</v>
      </c>
      <c r="P47" s="564" t="s">
        <v>667</v>
      </c>
      <c r="Q47" s="562">
        <v>46107</v>
      </c>
      <c r="R47" s="561">
        <v>46113</v>
      </c>
      <c r="S47" s="560" t="s">
        <v>666</v>
      </c>
    </row>
    <row r="48" spans="1:19" ht="18" x14ac:dyDescent="0.25">
      <c r="A48" s="564">
        <v>46</v>
      </c>
      <c r="B48" s="564" t="s">
        <v>246</v>
      </c>
      <c r="C48" s="565" t="s">
        <v>212</v>
      </c>
      <c r="D48" s="564" t="s">
        <v>542</v>
      </c>
      <c r="E48" s="564" t="s">
        <v>772</v>
      </c>
      <c r="F48" s="564" t="s">
        <v>776</v>
      </c>
      <c r="G48" s="564" t="s">
        <v>776</v>
      </c>
      <c r="H48" s="564" t="s">
        <v>770</v>
      </c>
      <c r="I48" s="562">
        <v>46055</v>
      </c>
      <c r="J48" s="562">
        <v>46089</v>
      </c>
      <c r="K48" s="564" t="s">
        <v>688</v>
      </c>
      <c r="L48" s="564" t="s">
        <v>786</v>
      </c>
      <c r="M48" s="562">
        <v>46125</v>
      </c>
      <c r="N48" s="566" t="s">
        <v>776</v>
      </c>
      <c r="O48" s="564">
        <v>35.088999999999999</v>
      </c>
      <c r="P48" s="564" t="s">
        <v>667</v>
      </c>
      <c r="Q48" s="562" t="s">
        <v>761</v>
      </c>
      <c r="R48" s="561">
        <v>46119</v>
      </c>
      <c r="S48" s="560" t="s">
        <v>666</v>
      </c>
    </row>
    <row r="49" spans="1:19" ht="18" x14ac:dyDescent="0.25">
      <c r="A49" s="564">
        <v>47</v>
      </c>
      <c r="B49" s="564" t="s">
        <v>247</v>
      </c>
      <c r="C49" s="565" t="s">
        <v>213</v>
      </c>
      <c r="D49" s="564" t="s">
        <v>542</v>
      </c>
      <c r="E49" s="564" t="s">
        <v>772</v>
      </c>
      <c r="F49" s="564" t="s">
        <v>776</v>
      </c>
      <c r="G49" s="564" t="s">
        <v>776</v>
      </c>
      <c r="H49" s="564" t="s">
        <v>770</v>
      </c>
      <c r="I49" s="562">
        <v>46225</v>
      </c>
      <c r="J49" s="562">
        <v>46226</v>
      </c>
      <c r="K49" s="564" t="s">
        <v>688</v>
      </c>
      <c r="L49" s="564"/>
      <c r="M49" s="562"/>
      <c r="N49" s="566" t="s">
        <v>776</v>
      </c>
      <c r="O49" s="564">
        <v>36.771000000000001</v>
      </c>
      <c r="P49" s="564"/>
      <c r="Q49" s="562"/>
      <c r="R49" s="561"/>
      <c r="S49" s="560"/>
    </row>
    <row r="50" spans="1:19" ht="18" x14ac:dyDescent="0.25">
      <c r="A50" s="564">
        <v>48</v>
      </c>
      <c r="B50" s="564" t="s">
        <v>422</v>
      </c>
      <c r="C50" s="565" t="s">
        <v>249</v>
      </c>
      <c r="D50" s="564" t="s">
        <v>541</v>
      </c>
      <c r="E50" s="564" t="s">
        <v>772</v>
      </c>
      <c r="F50" s="564" t="s">
        <v>773</v>
      </c>
      <c r="G50" s="564" t="s">
        <v>776</v>
      </c>
      <c r="H50" s="564" t="s">
        <v>770</v>
      </c>
      <c r="I50" s="562">
        <v>46214</v>
      </c>
      <c r="J50" s="562">
        <v>46224</v>
      </c>
      <c r="K50" s="564" t="s">
        <v>688</v>
      </c>
      <c r="L50" s="564" t="s">
        <v>864</v>
      </c>
      <c r="M50" s="562">
        <v>46228</v>
      </c>
      <c r="N50" s="566" t="s">
        <v>776</v>
      </c>
      <c r="O50" s="564">
        <v>74.188999999999993</v>
      </c>
      <c r="P50" s="564"/>
      <c r="Q50" s="562"/>
      <c r="R50" s="561"/>
      <c r="S50" s="560"/>
    </row>
    <row r="51" spans="1:19" ht="18" x14ac:dyDescent="0.25">
      <c r="A51" s="564">
        <v>49</v>
      </c>
      <c r="B51" s="564" t="s">
        <v>423</v>
      </c>
      <c r="C51" s="565" t="s">
        <v>249</v>
      </c>
      <c r="D51" s="564" t="s">
        <v>541</v>
      </c>
      <c r="E51" s="564" t="s">
        <v>772</v>
      </c>
      <c r="F51" s="564" t="s">
        <v>773</v>
      </c>
      <c r="G51" s="564" t="s">
        <v>776</v>
      </c>
      <c r="H51" s="564"/>
      <c r="I51" s="562"/>
      <c r="J51" s="562"/>
      <c r="K51" s="564"/>
      <c r="L51" s="564"/>
      <c r="M51" s="562"/>
      <c r="N51" s="566" t="s">
        <v>776</v>
      </c>
      <c r="O51" s="564">
        <v>74.188999999999993</v>
      </c>
      <c r="P51" s="564"/>
      <c r="Q51" s="562"/>
      <c r="R51" s="561"/>
      <c r="S51" s="560"/>
    </row>
    <row r="52" spans="1:19" ht="18" x14ac:dyDescent="0.25">
      <c r="A52" s="564">
        <v>50</v>
      </c>
      <c r="B52" s="564" t="s">
        <v>250</v>
      </c>
      <c r="C52" s="565" t="s">
        <v>212</v>
      </c>
      <c r="D52" s="564" t="s">
        <v>542</v>
      </c>
      <c r="E52" s="564" t="s">
        <v>772</v>
      </c>
      <c r="F52" s="564" t="s">
        <v>776</v>
      </c>
      <c r="G52" s="564" t="s">
        <v>776</v>
      </c>
      <c r="H52" s="564" t="s">
        <v>770</v>
      </c>
      <c r="I52" s="562">
        <v>46047</v>
      </c>
      <c r="J52" s="562">
        <v>46050</v>
      </c>
      <c r="K52" s="564" t="s">
        <v>688</v>
      </c>
      <c r="L52" s="564" t="s">
        <v>786</v>
      </c>
      <c r="M52" s="562">
        <v>46072</v>
      </c>
      <c r="N52" s="566" t="s">
        <v>776</v>
      </c>
      <c r="O52" s="564">
        <v>35.088999999999999</v>
      </c>
      <c r="P52" s="564" t="s">
        <v>667</v>
      </c>
      <c r="Q52" s="562">
        <v>46067</v>
      </c>
      <c r="R52" s="561">
        <v>46070</v>
      </c>
      <c r="S52" s="560" t="s">
        <v>690</v>
      </c>
    </row>
    <row r="53" spans="1:19" ht="18" x14ac:dyDescent="0.25">
      <c r="A53" s="564">
        <v>51</v>
      </c>
      <c r="B53" s="564" t="s">
        <v>251</v>
      </c>
      <c r="C53" s="565" t="s">
        <v>212</v>
      </c>
      <c r="D53" s="564" t="s">
        <v>92</v>
      </c>
      <c r="E53" s="564" t="s">
        <v>772</v>
      </c>
      <c r="F53" s="564" t="s">
        <v>776</v>
      </c>
      <c r="G53" s="564" t="s">
        <v>776</v>
      </c>
      <c r="H53" s="564" t="s">
        <v>790</v>
      </c>
      <c r="I53" s="562"/>
      <c r="J53" s="562"/>
      <c r="K53" s="564"/>
      <c r="L53" s="564"/>
      <c r="M53" s="562"/>
      <c r="N53" s="566" t="s">
        <v>776</v>
      </c>
      <c r="O53" s="564">
        <v>35.088999999999999</v>
      </c>
      <c r="P53" s="564"/>
      <c r="Q53" s="562"/>
      <c r="R53" s="561"/>
      <c r="S53" s="560"/>
    </row>
    <row r="54" spans="1:19" ht="18" x14ac:dyDescent="0.25">
      <c r="A54" s="564">
        <v>52</v>
      </c>
      <c r="B54" s="564" t="s">
        <v>252</v>
      </c>
      <c r="C54" s="565" t="s">
        <v>212</v>
      </c>
      <c r="D54" s="564" t="s">
        <v>542</v>
      </c>
      <c r="E54" s="564" t="s">
        <v>772</v>
      </c>
      <c r="F54" s="564" t="s">
        <v>776</v>
      </c>
      <c r="G54" s="564" t="s">
        <v>776</v>
      </c>
      <c r="H54" s="564" t="s">
        <v>770</v>
      </c>
      <c r="I54" s="562">
        <v>46016</v>
      </c>
      <c r="J54" s="562">
        <v>46022</v>
      </c>
      <c r="K54" s="564" t="s">
        <v>688</v>
      </c>
      <c r="L54" s="564" t="s">
        <v>786</v>
      </c>
      <c r="M54" s="562">
        <v>46075</v>
      </c>
      <c r="N54" s="566" t="s">
        <v>776</v>
      </c>
      <c r="O54" s="564">
        <v>35.088999999999999</v>
      </c>
      <c r="P54" s="564" t="s">
        <v>667</v>
      </c>
      <c r="Q54" s="562">
        <v>46092</v>
      </c>
      <c r="R54" s="561">
        <v>46099</v>
      </c>
      <c r="S54" s="560" t="s">
        <v>666</v>
      </c>
    </row>
    <row r="55" spans="1:19" ht="18" x14ac:dyDescent="0.25">
      <c r="A55" s="564">
        <v>53</v>
      </c>
      <c r="B55" s="564" t="s">
        <v>424</v>
      </c>
      <c r="C55" s="565" t="s">
        <v>237</v>
      </c>
      <c r="D55" s="564" t="s">
        <v>92</v>
      </c>
      <c r="E55" s="564" t="s">
        <v>772</v>
      </c>
      <c r="F55" s="564"/>
      <c r="G55" s="564" t="s">
        <v>776</v>
      </c>
      <c r="H55" s="564" t="s">
        <v>770</v>
      </c>
      <c r="I55" s="562"/>
      <c r="J55" s="562">
        <v>46203</v>
      </c>
      <c r="K55" s="564" t="s">
        <v>916</v>
      </c>
      <c r="L55" s="564"/>
      <c r="M55" s="562"/>
      <c r="N55" s="566" t="s">
        <v>776</v>
      </c>
      <c r="O55" s="564">
        <v>54.72</v>
      </c>
      <c r="P55" s="564" t="s">
        <v>667</v>
      </c>
      <c r="Q55" s="562">
        <v>46215</v>
      </c>
      <c r="R55" s="561">
        <v>46224</v>
      </c>
      <c r="S55" s="560" t="s">
        <v>932</v>
      </c>
    </row>
    <row r="56" spans="1:19" ht="18" x14ac:dyDescent="0.25">
      <c r="A56" s="564">
        <v>54</v>
      </c>
      <c r="B56" s="564" t="s">
        <v>253</v>
      </c>
      <c r="C56" s="565" t="s">
        <v>213</v>
      </c>
      <c r="D56" s="564" t="s">
        <v>92</v>
      </c>
      <c r="E56" s="564" t="s">
        <v>772</v>
      </c>
      <c r="F56" s="564" t="s">
        <v>776</v>
      </c>
      <c r="G56" s="564" t="s">
        <v>776</v>
      </c>
      <c r="H56" s="564" t="s">
        <v>770</v>
      </c>
      <c r="I56" s="562">
        <v>46012</v>
      </c>
      <c r="J56" s="562">
        <v>46015</v>
      </c>
      <c r="K56" s="564" t="s">
        <v>688</v>
      </c>
      <c r="L56" s="564"/>
      <c r="M56" s="562"/>
      <c r="N56" s="566" t="s">
        <v>776</v>
      </c>
      <c r="O56" s="564">
        <v>36.771000000000001</v>
      </c>
      <c r="P56" s="564"/>
      <c r="Q56" s="562"/>
      <c r="R56" s="561"/>
      <c r="S56" s="560"/>
    </row>
    <row r="57" spans="1:19" ht="18" x14ac:dyDescent="0.25">
      <c r="A57" s="564">
        <v>55</v>
      </c>
      <c r="B57" s="564" t="s">
        <v>254</v>
      </c>
      <c r="C57" s="565" t="s">
        <v>213</v>
      </c>
      <c r="D57" s="564" t="s">
        <v>542</v>
      </c>
      <c r="E57" s="564" t="s">
        <v>772</v>
      </c>
      <c r="F57" s="564" t="s">
        <v>776</v>
      </c>
      <c r="G57" s="564" t="s">
        <v>776</v>
      </c>
      <c r="H57" s="564" t="s">
        <v>770</v>
      </c>
      <c r="I57" s="562">
        <v>46008</v>
      </c>
      <c r="J57" s="562">
        <v>46018</v>
      </c>
      <c r="K57" s="564" t="s">
        <v>688</v>
      </c>
      <c r="L57" s="564" t="s">
        <v>786</v>
      </c>
      <c r="M57" s="562">
        <v>46037</v>
      </c>
      <c r="N57" s="566" t="s">
        <v>776</v>
      </c>
      <c r="O57" s="564">
        <v>36.771000000000001</v>
      </c>
      <c r="P57" s="564" t="s">
        <v>667</v>
      </c>
      <c r="Q57" s="562">
        <v>46073</v>
      </c>
      <c r="R57" s="561">
        <v>46079</v>
      </c>
      <c r="S57" s="560" t="s">
        <v>666</v>
      </c>
    </row>
    <row r="58" spans="1:19" ht="18" x14ac:dyDescent="0.25">
      <c r="A58" s="564">
        <v>56</v>
      </c>
      <c r="B58" s="564" t="s">
        <v>255</v>
      </c>
      <c r="C58" s="565" t="s">
        <v>212</v>
      </c>
      <c r="D58" s="564" t="s">
        <v>92</v>
      </c>
      <c r="E58" s="564" t="s">
        <v>772</v>
      </c>
      <c r="F58" s="564" t="s">
        <v>776</v>
      </c>
      <c r="G58" s="564" t="s">
        <v>776</v>
      </c>
      <c r="H58" s="564" t="s">
        <v>770</v>
      </c>
      <c r="I58" s="562">
        <v>46005</v>
      </c>
      <c r="J58" s="562">
        <v>46010</v>
      </c>
      <c r="K58" s="564" t="s">
        <v>688</v>
      </c>
      <c r="L58" s="564" t="s">
        <v>784</v>
      </c>
      <c r="M58" s="562">
        <v>46016</v>
      </c>
      <c r="N58" s="566" t="s">
        <v>776</v>
      </c>
      <c r="O58" s="564">
        <v>35.088999999999999</v>
      </c>
      <c r="P58" s="564" t="s">
        <v>667</v>
      </c>
      <c r="Q58" s="562">
        <v>46078</v>
      </c>
      <c r="R58" s="561">
        <v>46088</v>
      </c>
      <c r="S58" s="560" t="s">
        <v>666</v>
      </c>
    </row>
    <row r="59" spans="1:19" ht="18" x14ac:dyDescent="0.25">
      <c r="A59" s="564">
        <v>57</v>
      </c>
      <c r="B59" s="564" t="s">
        <v>256</v>
      </c>
      <c r="C59" s="565" t="s">
        <v>213</v>
      </c>
      <c r="D59" s="564" t="s">
        <v>664</v>
      </c>
      <c r="E59" s="564" t="s">
        <v>772</v>
      </c>
      <c r="F59" s="564" t="s">
        <v>776</v>
      </c>
      <c r="G59" s="564" t="s">
        <v>776</v>
      </c>
      <c r="H59" s="564" t="s">
        <v>770</v>
      </c>
      <c r="I59" s="562">
        <v>45992</v>
      </c>
      <c r="J59" s="562">
        <v>46028</v>
      </c>
      <c r="K59" s="564" t="s">
        <v>688</v>
      </c>
      <c r="L59" s="564" t="s">
        <v>786</v>
      </c>
      <c r="M59" s="562">
        <v>46037</v>
      </c>
      <c r="N59" s="566" t="s">
        <v>776</v>
      </c>
      <c r="O59" s="564">
        <v>36.771000000000001</v>
      </c>
      <c r="P59" s="564" t="s">
        <v>667</v>
      </c>
      <c r="Q59" s="562">
        <v>46099</v>
      </c>
      <c r="R59" s="561">
        <v>46106</v>
      </c>
      <c r="S59" s="560" t="s">
        <v>666</v>
      </c>
    </row>
    <row r="60" spans="1:19" ht="18" x14ac:dyDescent="0.25">
      <c r="A60" s="564">
        <v>58</v>
      </c>
      <c r="B60" s="564" t="s">
        <v>257</v>
      </c>
      <c r="C60" s="565" t="s">
        <v>213</v>
      </c>
      <c r="D60" s="564" t="s">
        <v>88</v>
      </c>
      <c r="E60" s="564" t="s">
        <v>776</v>
      </c>
      <c r="F60" s="564" t="s">
        <v>776</v>
      </c>
      <c r="G60" s="564" t="s">
        <v>776</v>
      </c>
      <c r="H60" s="564" t="s">
        <v>770</v>
      </c>
      <c r="I60" s="562">
        <v>46165</v>
      </c>
      <c r="J60" s="562">
        <v>46173</v>
      </c>
      <c r="K60" s="564" t="s">
        <v>734</v>
      </c>
      <c r="L60" s="564" t="s">
        <v>786</v>
      </c>
      <c r="M60" s="562">
        <v>46219</v>
      </c>
      <c r="N60" s="566" t="s">
        <v>776</v>
      </c>
      <c r="O60" s="564">
        <v>36.771000000000001</v>
      </c>
      <c r="P60" s="564" t="s">
        <v>667</v>
      </c>
      <c r="Q60" s="562">
        <v>46187</v>
      </c>
      <c r="R60" s="561">
        <v>46193</v>
      </c>
      <c r="S60" s="560" t="s">
        <v>901</v>
      </c>
    </row>
    <row r="61" spans="1:19" ht="18" x14ac:dyDescent="0.25">
      <c r="A61" s="564">
        <v>59</v>
      </c>
      <c r="B61" s="564" t="s">
        <v>258</v>
      </c>
      <c r="C61" s="565" t="s">
        <v>212</v>
      </c>
      <c r="D61" s="564" t="s">
        <v>542</v>
      </c>
      <c r="E61" s="564" t="s">
        <v>772</v>
      </c>
      <c r="F61" s="564" t="s">
        <v>776</v>
      </c>
      <c r="G61" s="564" t="s">
        <v>776</v>
      </c>
      <c r="H61" s="564" t="s">
        <v>770</v>
      </c>
      <c r="I61" s="562">
        <v>46031</v>
      </c>
      <c r="J61" s="562">
        <v>46039</v>
      </c>
      <c r="K61" s="564" t="s">
        <v>688</v>
      </c>
      <c r="L61" s="564" t="s">
        <v>786</v>
      </c>
      <c r="M61" s="562">
        <v>46043</v>
      </c>
      <c r="N61" s="566" t="s">
        <v>776</v>
      </c>
      <c r="O61" s="564">
        <v>35.088999999999999</v>
      </c>
      <c r="P61" s="564" t="s">
        <v>667</v>
      </c>
      <c r="Q61" s="562">
        <v>46056</v>
      </c>
      <c r="R61" s="561">
        <v>46064</v>
      </c>
      <c r="S61" s="560" t="s">
        <v>666</v>
      </c>
    </row>
    <row r="62" spans="1:19" ht="18" x14ac:dyDescent="0.25">
      <c r="A62" s="564">
        <v>60</v>
      </c>
      <c r="B62" s="564" t="s">
        <v>259</v>
      </c>
      <c r="C62" s="565" t="s">
        <v>210</v>
      </c>
      <c r="D62" s="564" t="s">
        <v>542</v>
      </c>
      <c r="E62" s="564" t="s">
        <v>772</v>
      </c>
      <c r="F62" s="564" t="s">
        <v>776</v>
      </c>
      <c r="G62" s="564" t="s">
        <v>776</v>
      </c>
      <c r="H62" s="564" t="s">
        <v>770</v>
      </c>
      <c r="I62" s="562">
        <v>46029</v>
      </c>
      <c r="J62" s="562">
        <v>46038</v>
      </c>
      <c r="K62" s="564" t="s">
        <v>688</v>
      </c>
      <c r="L62" s="564" t="s">
        <v>786</v>
      </c>
      <c r="M62" s="562">
        <v>46040</v>
      </c>
      <c r="N62" s="566" t="s">
        <v>776</v>
      </c>
      <c r="O62" s="564">
        <v>54.72</v>
      </c>
      <c r="P62" s="564" t="s">
        <v>667</v>
      </c>
      <c r="Q62" s="562">
        <v>46065</v>
      </c>
      <c r="R62" s="561">
        <v>46073</v>
      </c>
      <c r="S62" s="560" t="s">
        <v>666</v>
      </c>
    </row>
    <row r="63" spans="1:19" ht="18" x14ac:dyDescent="0.25">
      <c r="A63" s="564">
        <v>61</v>
      </c>
      <c r="B63" s="564" t="s">
        <v>260</v>
      </c>
      <c r="C63" s="565" t="s">
        <v>212</v>
      </c>
      <c r="D63" s="564" t="s">
        <v>88</v>
      </c>
      <c r="E63" s="564" t="s">
        <v>772</v>
      </c>
      <c r="F63" s="564" t="s">
        <v>776</v>
      </c>
      <c r="G63" s="564" t="s">
        <v>776</v>
      </c>
      <c r="H63" s="564" t="s">
        <v>770</v>
      </c>
      <c r="I63" s="562">
        <v>46039</v>
      </c>
      <c r="J63" s="562">
        <v>46043</v>
      </c>
      <c r="K63" s="564" t="s">
        <v>688</v>
      </c>
      <c r="L63" s="564" t="s">
        <v>786</v>
      </c>
      <c r="M63" s="562">
        <v>46072</v>
      </c>
      <c r="N63" s="566" t="s">
        <v>776</v>
      </c>
      <c r="O63" s="564">
        <v>35.088999999999999</v>
      </c>
      <c r="P63" s="564" t="s">
        <v>667</v>
      </c>
      <c r="Q63" s="562">
        <v>46059</v>
      </c>
      <c r="R63" s="561">
        <v>46062</v>
      </c>
      <c r="S63" s="560" t="s">
        <v>690</v>
      </c>
    </row>
    <row r="64" spans="1:19" ht="18" x14ac:dyDescent="0.25">
      <c r="A64" s="564">
        <v>62</v>
      </c>
      <c r="B64" s="564" t="s">
        <v>261</v>
      </c>
      <c r="C64" s="565" t="s">
        <v>211</v>
      </c>
      <c r="D64" s="564" t="s">
        <v>542</v>
      </c>
      <c r="E64" s="564" t="s">
        <v>772</v>
      </c>
      <c r="F64" s="564" t="s">
        <v>776</v>
      </c>
      <c r="G64" s="564" t="s">
        <v>776</v>
      </c>
      <c r="H64" s="564" t="s">
        <v>770</v>
      </c>
      <c r="I64" s="562">
        <v>46026</v>
      </c>
      <c r="J64" s="562">
        <v>46032</v>
      </c>
      <c r="K64" s="564" t="s">
        <v>688</v>
      </c>
      <c r="L64" s="564" t="s">
        <v>786</v>
      </c>
      <c r="M64" s="562">
        <v>46072</v>
      </c>
      <c r="N64" s="566" t="s">
        <v>776</v>
      </c>
      <c r="O64" s="564">
        <v>41.88</v>
      </c>
      <c r="P64" s="564" t="s">
        <v>667</v>
      </c>
      <c r="Q64" s="562">
        <v>46063</v>
      </c>
      <c r="R64" s="561">
        <v>46066</v>
      </c>
      <c r="S64" s="560" t="s">
        <v>690</v>
      </c>
    </row>
    <row r="65" spans="1:19" ht="18" x14ac:dyDescent="0.25">
      <c r="A65" s="564">
        <v>63</v>
      </c>
      <c r="B65" s="564" t="s">
        <v>262</v>
      </c>
      <c r="C65" s="565" t="s">
        <v>212</v>
      </c>
      <c r="D65" s="564" t="s">
        <v>92</v>
      </c>
      <c r="E65" s="564" t="s">
        <v>776</v>
      </c>
      <c r="F65" s="564" t="s">
        <v>776</v>
      </c>
      <c r="G65" s="564" t="s">
        <v>776</v>
      </c>
      <c r="H65" s="564" t="s">
        <v>770</v>
      </c>
      <c r="I65" s="562">
        <v>46174</v>
      </c>
      <c r="J65" s="562">
        <v>46180</v>
      </c>
      <c r="K65" s="564" t="s">
        <v>734</v>
      </c>
      <c r="L65" s="564" t="s">
        <v>906</v>
      </c>
      <c r="M65" s="562">
        <v>46181</v>
      </c>
      <c r="N65" s="566" t="s">
        <v>776</v>
      </c>
      <c r="O65" s="564">
        <v>35.088999999999999</v>
      </c>
      <c r="P65" s="564" t="s">
        <v>667</v>
      </c>
      <c r="Q65" s="562">
        <v>46194</v>
      </c>
      <c r="R65" s="561">
        <v>46201</v>
      </c>
      <c r="S65" s="560" t="s">
        <v>901</v>
      </c>
    </row>
    <row r="66" spans="1:19" ht="18" x14ac:dyDescent="0.25">
      <c r="A66" s="564">
        <v>64</v>
      </c>
      <c r="B66" s="564" t="s">
        <v>263</v>
      </c>
      <c r="C66" s="565" t="s">
        <v>212</v>
      </c>
      <c r="D66" s="564" t="s">
        <v>541</v>
      </c>
      <c r="E66" s="564" t="s">
        <v>776</v>
      </c>
      <c r="F66" s="564" t="s">
        <v>776</v>
      </c>
      <c r="G66" s="564" t="s">
        <v>776</v>
      </c>
      <c r="H66" s="564" t="s">
        <v>770</v>
      </c>
      <c r="I66" s="562">
        <v>45090</v>
      </c>
      <c r="J66" s="562">
        <v>46196</v>
      </c>
      <c r="K66" s="564" t="s">
        <v>734</v>
      </c>
      <c r="L66" s="564" t="s">
        <v>863</v>
      </c>
      <c r="M66" s="562">
        <v>46202</v>
      </c>
      <c r="N66" s="566" t="s">
        <v>776</v>
      </c>
      <c r="O66" s="564">
        <v>35.088999999999999</v>
      </c>
      <c r="P66" s="564" t="s">
        <v>667</v>
      </c>
      <c r="Q66" s="562">
        <v>46209</v>
      </c>
      <c r="R66" s="561">
        <v>46214</v>
      </c>
      <c r="S66" s="560" t="s">
        <v>901</v>
      </c>
    </row>
    <row r="67" spans="1:19" ht="18" x14ac:dyDescent="0.25">
      <c r="A67" s="564">
        <v>65</v>
      </c>
      <c r="B67" s="564" t="s">
        <v>264</v>
      </c>
      <c r="C67" s="565" t="s">
        <v>212</v>
      </c>
      <c r="D67" s="564" t="s">
        <v>88</v>
      </c>
      <c r="E67" s="564" t="s">
        <v>772</v>
      </c>
      <c r="F67" s="564" t="s">
        <v>776</v>
      </c>
      <c r="G67" s="564" t="s">
        <v>776</v>
      </c>
      <c r="H67" s="564" t="s">
        <v>770</v>
      </c>
      <c r="I67" s="562">
        <v>46181</v>
      </c>
      <c r="J67" s="562">
        <v>46185</v>
      </c>
      <c r="K67" s="564" t="s">
        <v>734</v>
      </c>
      <c r="L67" s="564" t="s">
        <v>863</v>
      </c>
      <c r="M67" s="562">
        <v>46212</v>
      </c>
      <c r="N67" s="566" t="s">
        <v>776</v>
      </c>
      <c r="O67" s="564">
        <v>35.088999999999999</v>
      </c>
      <c r="P67" s="564" t="s">
        <v>667</v>
      </c>
      <c r="Q67" s="562">
        <v>46202</v>
      </c>
      <c r="R67" s="561">
        <v>46208</v>
      </c>
      <c r="S67" s="560" t="s">
        <v>901</v>
      </c>
    </row>
    <row r="68" spans="1:19" ht="18" x14ac:dyDescent="0.25">
      <c r="A68" s="564">
        <v>66</v>
      </c>
      <c r="B68" s="564" t="s">
        <v>427</v>
      </c>
      <c r="C68" s="565" t="s">
        <v>269</v>
      </c>
      <c r="D68" s="564" t="s">
        <v>92</v>
      </c>
      <c r="E68" s="564" t="s">
        <v>772</v>
      </c>
      <c r="F68" s="564" t="s">
        <v>773</v>
      </c>
      <c r="G68" s="564" t="s">
        <v>776</v>
      </c>
      <c r="H68" s="564" t="s">
        <v>770</v>
      </c>
      <c r="I68" s="562">
        <v>46197</v>
      </c>
      <c r="J68" s="562">
        <v>46213</v>
      </c>
      <c r="K68" s="564" t="s">
        <v>734</v>
      </c>
      <c r="L68" s="564" t="s">
        <v>864</v>
      </c>
      <c r="M68" s="562">
        <v>46216</v>
      </c>
      <c r="N68" s="566" t="s">
        <v>776</v>
      </c>
      <c r="O68" s="564">
        <v>75.873999999999995</v>
      </c>
      <c r="P68" s="564" t="s">
        <v>667</v>
      </c>
      <c r="Q68" s="562">
        <v>46225</v>
      </c>
      <c r="R68" s="561">
        <v>46237</v>
      </c>
      <c r="S68" s="560" t="s">
        <v>901</v>
      </c>
    </row>
    <row r="69" spans="1:19" ht="18" x14ac:dyDescent="0.25">
      <c r="A69" s="564">
        <v>67</v>
      </c>
      <c r="B69" s="564" t="s">
        <v>428</v>
      </c>
      <c r="C69" s="565" t="s">
        <v>270</v>
      </c>
      <c r="D69" s="564" t="s">
        <v>664</v>
      </c>
      <c r="E69" s="564" t="s">
        <v>772</v>
      </c>
      <c r="F69" s="564"/>
      <c r="G69" s="564" t="s">
        <v>776</v>
      </c>
      <c r="H69" s="564" t="s">
        <v>770</v>
      </c>
      <c r="I69" s="562">
        <v>46214</v>
      </c>
      <c r="J69" s="562">
        <v>46218</v>
      </c>
      <c r="K69" s="564" t="s">
        <v>734</v>
      </c>
      <c r="L69" s="564" t="s">
        <v>864</v>
      </c>
      <c r="M69" s="562">
        <v>46219</v>
      </c>
      <c r="N69" s="566" t="s">
        <v>776</v>
      </c>
      <c r="O69" s="564">
        <v>64.671999999999997</v>
      </c>
      <c r="P69" s="564"/>
      <c r="Q69" s="562"/>
      <c r="R69" s="561"/>
      <c r="S69" s="560"/>
    </row>
    <row r="70" spans="1:19" ht="18" x14ac:dyDescent="0.25">
      <c r="A70" s="564">
        <v>68</v>
      </c>
      <c r="B70" s="564" t="s">
        <v>265</v>
      </c>
      <c r="C70" s="565" t="s">
        <v>211</v>
      </c>
      <c r="D70" s="564" t="s">
        <v>542</v>
      </c>
      <c r="E70" s="564" t="s">
        <v>772</v>
      </c>
      <c r="F70" s="564" t="s">
        <v>776</v>
      </c>
      <c r="G70" s="564" t="s">
        <v>776</v>
      </c>
      <c r="H70" s="564" t="s">
        <v>770</v>
      </c>
      <c r="I70" s="562">
        <v>45992</v>
      </c>
      <c r="J70" s="562">
        <v>45999</v>
      </c>
      <c r="K70" s="564" t="s">
        <v>688</v>
      </c>
      <c r="L70" s="564" t="s">
        <v>786</v>
      </c>
      <c r="M70" s="562">
        <v>46044</v>
      </c>
      <c r="N70" s="566" t="s">
        <v>776</v>
      </c>
      <c r="O70" s="564">
        <v>41.88</v>
      </c>
      <c r="P70" s="564" t="s">
        <v>667</v>
      </c>
      <c r="Q70" s="562">
        <v>46024</v>
      </c>
      <c r="R70" s="561">
        <v>46032</v>
      </c>
      <c r="S70" s="560" t="s">
        <v>666</v>
      </c>
    </row>
    <row r="71" spans="1:19" ht="18" x14ac:dyDescent="0.25">
      <c r="A71" s="564">
        <v>69</v>
      </c>
      <c r="B71" s="564" t="s">
        <v>266</v>
      </c>
      <c r="C71" s="565" t="s">
        <v>212</v>
      </c>
      <c r="D71" s="564" t="s">
        <v>542</v>
      </c>
      <c r="E71" s="564" t="s">
        <v>772</v>
      </c>
      <c r="F71" s="564" t="s">
        <v>776</v>
      </c>
      <c r="G71" s="564" t="s">
        <v>776</v>
      </c>
      <c r="H71" s="564" t="s">
        <v>770</v>
      </c>
      <c r="I71" s="562">
        <v>45988</v>
      </c>
      <c r="J71" s="562">
        <v>45994</v>
      </c>
      <c r="K71" s="564" t="s">
        <v>688</v>
      </c>
      <c r="L71" s="564" t="s">
        <v>786</v>
      </c>
      <c r="M71" s="562">
        <v>46038</v>
      </c>
      <c r="N71" s="566" t="s">
        <v>776</v>
      </c>
      <c r="O71" s="564">
        <v>35.088999999999999</v>
      </c>
      <c r="P71" s="564" t="s">
        <v>667</v>
      </c>
      <c r="Q71" s="562">
        <v>46016</v>
      </c>
      <c r="R71" s="561">
        <v>46032</v>
      </c>
      <c r="S71" s="560" t="s">
        <v>666</v>
      </c>
    </row>
    <row r="72" spans="1:19" ht="18" x14ac:dyDescent="0.25">
      <c r="A72" s="564">
        <v>70</v>
      </c>
      <c r="B72" s="564" t="s">
        <v>267</v>
      </c>
      <c r="C72" s="565" t="s">
        <v>212</v>
      </c>
      <c r="D72" s="564" t="s">
        <v>542</v>
      </c>
      <c r="E72" s="564" t="s">
        <v>772</v>
      </c>
      <c r="F72" s="564" t="s">
        <v>776</v>
      </c>
      <c r="G72" s="564" t="s">
        <v>776</v>
      </c>
      <c r="H72" s="564" t="s">
        <v>770</v>
      </c>
      <c r="I72" s="562">
        <v>46000</v>
      </c>
      <c r="J72" s="562">
        <v>46005</v>
      </c>
      <c r="K72" s="564" t="s">
        <v>688</v>
      </c>
      <c r="L72" s="564" t="s">
        <v>786</v>
      </c>
      <c r="M72" s="562">
        <v>46038</v>
      </c>
      <c r="N72" s="566" t="s">
        <v>776</v>
      </c>
      <c r="O72" s="564">
        <v>35.088999999999999</v>
      </c>
      <c r="P72" s="564" t="s">
        <v>667</v>
      </c>
      <c r="Q72" s="562">
        <v>46031</v>
      </c>
      <c r="R72" s="561">
        <v>46036</v>
      </c>
      <c r="S72" s="560" t="s">
        <v>666</v>
      </c>
    </row>
    <row r="73" spans="1:19" ht="18" x14ac:dyDescent="0.25">
      <c r="A73" s="564">
        <v>71</v>
      </c>
      <c r="B73" s="564" t="s">
        <v>429</v>
      </c>
      <c r="C73" s="565" t="s">
        <v>214</v>
      </c>
      <c r="D73" s="564" t="s">
        <v>92</v>
      </c>
      <c r="E73" s="564" t="s">
        <v>772</v>
      </c>
      <c r="F73" s="564" t="s">
        <v>773</v>
      </c>
      <c r="G73" s="564" t="s">
        <v>776</v>
      </c>
      <c r="H73" s="564" t="s">
        <v>770</v>
      </c>
      <c r="I73" s="562">
        <v>46029</v>
      </c>
      <c r="J73" s="562">
        <v>46048</v>
      </c>
      <c r="K73" s="564" t="s">
        <v>675</v>
      </c>
      <c r="L73" s="564" t="s">
        <v>784</v>
      </c>
      <c r="M73" s="562">
        <v>46050</v>
      </c>
      <c r="N73" s="566" t="s">
        <v>776</v>
      </c>
      <c r="O73" s="564">
        <v>62.500999999999998</v>
      </c>
      <c r="P73" s="564" t="s">
        <v>667</v>
      </c>
      <c r="Q73" s="562">
        <v>46161</v>
      </c>
      <c r="R73" s="561">
        <v>46175</v>
      </c>
      <c r="S73" s="560" t="s">
        <v>666</v>
      </c>
    </row>
    <row r="74" spans="1:19" ht="18" x14ac:dyDescent="0.25">
      <c r="A74" s="564">
        <v>72</v>
      </c>
      <c r="B74" s="564" t="s">
        <v>268</v>
      </c>
      <c r="C74" s="565" t="s">
        <v>212</v>
      </c>
      <c r="D74" s="564" t="s">
        <v>92</v>
      </c>
      <c r="E74" s="564" t="s">
        <v>772</v>
      </c>
      <c r="F74" s="564" t="s">
        <v>776</v>
      </c>
      <c r="G74" s="564" t="s">
        <v>776</v>
      </c>
      <c r="H74" s="564" t="s">
        <v>770</v>
      </c>
      <c r="I74" s="562">
        <v>45984</v>
      </c>
      <c r="J74" s="562">
        <v>45990</v>
      </c>
      <c r="K74" s="564" t="s">
        <v>688</v>
      </c>
      <c r="L74" s="564" t="s">
        <v>784</v>
      </c>
      <c r="M74" s="562">
        <v>46044</v>
      </c>
      <c r="N74" s="566" t="s">
        <v>776</v>
      </c>
      <c r="O74" s="564">
        <v>35.088999999999999</v>
      </c>
      <c r="P74" s="564" t="s">
        <v>667</v>
      </c>
      <c r="Q74" s="562">
        <v>46006</v>
      </c>
      <c r="R74" s="561">
        <v>46011</v>
      </c>
      <c r="S74" s="560" t="s">
        <v>666</v>
      </c>
    </row>
    <row r="75" spans="1:19" ht="18" x14ac:dyDescent="0.25">
      <c r="A75" s="564">
        <v>73</v>
      </c>
      <c r="B75" s="564" t="s">
        <v>271</v>
      </c>
      <c r="C75" s="565" t="s">
        <v>212</v>
      </c>
      <c r="D75" s="564" t="s">
        <v>542</v>
      </c>
      <c r="E75" s="564" t="s">
        <v>772</v>
      </c>
      <c r="F75" s="564" t="s">
        <v>776</v>
      </c>
      <c r="G75" s="564" t="s">
        <v>776</v>
      </c>
      <c r="H75" s="564" t="s">
        <v>770</v>
      </c>
      <c r="I75" s="562">
        <v>45959</v>
      </c>
      <c r="J75" s="562">
        <v>45969</v>
      </c>
      <c r="K75" s="564" t="s">
        <v>688</v>
      </c>
      <c r="L75" s="564" t="s">
        <v>786</v>
      </c>
      <c r="M75" s="562">
        <v>46075</v>
      </c>
      <c r="N75" s="566" t="s">
        <v>776</v>
      </c>
      <c r="O75" s="564">
        <v>35.088999999999999</v>
      </c>
      <c r="P75" s="564" t="s">
        <v>667</v>
      </c>
      <c r="Q75" s="562">
        <v>46013</v>
      </c>
      <c r="R75" s="561">
        <v>46018</v>
      </c>
      <c r="S75" s="560" t="s">
        <v>666</v>
      </c>
    </row>
    <row r="76" spans="1:19" ht="18" x14ac:dyDescent="0.25">
      <c r="A76" s="564">
        <v>74</v>
      </c>
      <c r="B76" s="564" t="s">
        <v>272</v>
      </c>
      <c r="C76" s="565" t="s">
        <v>212</v>
      </c>
      <c r="D76" s="564" t="s">
        <v>92</v>
      </c>
      <c r="E76" s="564" t="s">
        <v>772</v>
      </c>
      <c r="F76" s="564" t="s">
        <v>776</v>
      </c>
      <c r="G76" s="564" t="s">
        <v>776</v>
      </c>
      <c r="H76" s="564" t="s">
        <v>790</v>
      </c>
      <c r="I76" s="562"/>
      <c r="J76" s="562"/>
      <c r="K76" s="564"/>
      <c r="L76" s="564"/>
      <c r="M76" s="562"/>
      <c r="N76" s="566" t="s">
        <v>776</v>
      </c>
      <c r="O76" s="564">
        <v>35.088999999999999</v>
      </c>
      <c r="P76" s="564"/>
      <c r="Q76" s="562"/>
      <c r="R76" s="561"/>
      <c r="S76" s="560"/>
    </row>
    <row r="77" spans="1:19" ht="18" x14ac:dyDescent="0.25">
      <c r="A77" s="564">
        <v>75</v>
      </c>
      <c r="B77" s="564" t="s">
        <v>273</v>
      </c>
      <c r="C77" s="565" t="s">
        <v>211</v>
      </c>
      <c r="D77" s="564" t="s">
        <v>542</v>
      </c>
      <c r="E77" s="564" t="s">
        <v>772</v>
      </c>
      <c r="F77" s="564" t="s">
        <v>776</v>
      </c>
      <c r="G77" s="564" t="s">
        <v>776</v>
      </c>
      <c r="H77" s="564" t="s">
        <v>770</v>
      </c>
      <c r="I77" s="562">
        <v>45938</v>
      </c>
      <c r="J77" s="562">
        <v>45951</v>
      </c>
      <c r="K77" s="564" t="s">
        <v>688</v>
      </c>
      <c r="L77" s="564" t="s">
        <v>786</v>
      </c>
      <c r="M77" s="562">
        <v>45949</v>
      </c>
      <c r="N77" s="566" t="s">
        <v>776</v>
      </c>
      <c r="O77" s="564">
        <v>41.88</v>
      </c>
      <c r="P77" s="564" t="s">
        <v>667</v>
      </c>
      <c r="Q77" s="562">
        <v>46037</v>
      </c>
      <c r="R77" s="561">
        <v>46043</v>
      </c>
      <c r="S77" s="560" t="s">
        <v>666</v>
      </c>
    </row>
    <row r="78" spans="1:19" ht="18" x14ac:dyDescent="0.25">
      <c r="A78" s="564">
        <v>76</v>
      </c>
      <c r="B78" s="564" t="s">
        <v>274</v>
      </c>
      <c r="C78" s="565" t="s">
        <v>212</v>
      </c>
      <c r="D78" s="564" t="s">
        <v>542</v>
      </c>
      <c r="E78" s="564" t="s">
        <v>772</v>
      </c>
      <c r="F78" s="564" t="s">
        <v>776</v>
      </c>
      <c r="G78" s="564" t="s">
        <v>776</v>
      </c>
      <c r="H78" s="564" t="s">
        <v>770</v>
      </c>
      <c r="I78" s="562">
        <v>45938</v>
      </c>
      <c r="J78" s="562">
        <v>45949</v>
      </c>
      <c r="K78" s="564" t="s">
        <v>688</v>
      </c>
      <c r="L78" s="564" t="s">
        <v>786</v>
      </c>
      <c r="M78" s="562">
        <v>46075</v>
      </c>
      <c r="N78" s="566" t="s">
        <v>776</v>
      </c>
      <c r="O78" s="564">
        <v>35.088999999999999</v>
      </c>
      <c r="P78" s="564" t="s">
        <v>667</v>
      </c>
      <c r="Q78" s="562">
        <v>46044</v>
      </c>
      <c r="R78" s="561">
        <v>46049</v>
      </c>
      <c r="S78" s="560" t="s">
        <v>666</v>
      </c>
    </row>
    <row r="79" spans="1:19" ht="18" x14ac:dyDescent="0.25">
      <c r="A79" s="564">
        <v>77</v>
      </c>
      <c r="B79" s="564" t="s">
        <v>430</v>
      </c>
      <c r="C79" s="565" t="s">
        <v>237</v>
      </c>
      <c r="D79" s="564" t="s">
        <v>92</v>
      </c>
      <c r="E79" s="564" t="s">
        <v>772</v>
      </c>
      <c r="F79" s="564"/>
      <c r="G79" s="564" t="s">
        <v>776</v>
      </c>
      <c r="H79" s="564" t="s">
        <v>770</v>
      </c>
      <c r="I79" s="562">
        <v>46097</v>
      </c>
      <c r="J79" s="562">
        <v>46118</v>
      </c>
      <c r="K79" s="564" t="s">
        <v>675</v>
      </c>
      <c r="L79" s="564" t="s">
        <v>784</v>
      </c>
      <c r="M79" s="562">
        <v>46127</v>
      </c>
      <c r="N79" s="566" t="s">
        <v>776</v>
      </c>
      <c r="O79" s="564">
        <v>54.72</v>
      </c>
      <c r="P79" s="564" t="s">
        <v>667</v>
      </c>
      <c r="Q79" s="562">
        <v>46147</v>
      </c>
      <c r="R79" s="561">
        <v>46160</v>
      </c>
      <c r="S79" s="560" t="s">
        <v>666</v>
      </c>
    </row>
    <row r="80" spans="1:19" ht="18" x14ac:dyDescent="0.25">
      <c r="A80" s="564">
        <v>78</v>
      </c>
      <c r="B80" s="564" t="s">
        <v>275</v>
      </c>
      <c r="C80" s="565" t="s">
        <v>212</v>
      </c>
      <c r="D80" s="564" t="s">
        <v>92</v>
      </c>
      <c r="E80" s="564" t="s">
        <v>772</v>
      </c>
      <c r="F80" s="564" t="s">
        <v>776</v>
      </c>
      <c r="G80" s="564" t="s">
        <v>776</v>
      </c>
      <c r="H80" s="564" t="s">
        <v>789</v>
      </c>
      <c r="I80" s="562"/>
      <c r="J80" s="562"/>
      <c r="K80" s="564"/>
      <c r="L80" s="564"/>
      <c r="M80" s="562"/>
      <c r="N80" s="566" t="s">
        <v>776</v>
      </c>
      <c r="O80" s="564">
        <v>35.088999999999999</v>
      </c>
      <c r="P80" s="564"/>
      <c r="Q80" s="562"/>
      <c r="R80" s="561"/>
      <c r="S80" s="560"/>
    </row>
    <row r="81" spans="1:19" ht="18" x14ac:dyDescent="0.25">
      <c r="A81" s="564">
        <v>79</v>
      </c>
      <c r="B81" s="564" t="s">
        <v>276</v>
      </c>
      <c r="C81" s="565" t="s">
        <v>212</v>
      </c>
      <c r="D81" s="564" t="s">
        <v>92</v>
      </c>
      <c r="E81" s="564" t="s">
        <v>772</v>
      </c>
      <c r="F81" s="564" t="s">
        <v>776</v>
      </c>
      <c r="G81" s="564" t="s">
        <v>776</v>
      </c>
      <c r="H81" s="564" t="s">
        <v>770</v>
      </c>
      <c r="I81" s="562">
        <v>45944</v>
      </c>
      <c r="J81" s="562">
        <v>45955</v>
      </c>
      <c r="K81" s="564" t="s">
        <v>688</v>
      </c>
      <c r="L81" s="564" t="s">
        <v>784</v>
      </c>
      <c r="M81" s="562">
        <v>46045</v>
      </c>
      <c r="N81" s="566" t="s">
        <v>776</v>
      </c>
      <c r="O81" s="564">
        <v>35.088999999999999</v>
      </c>
      <c r="P81" s="564" t="s">
        <v>667</v>
      </c>
      <c r="Q81" s="562">
        <v>46049</v>
      </c>
      <c r="R81" s="561">
        <v>46055</v>
      </c>
      <c r="S81" s="560" t="s">
        <v>666</v>
      </c>
    </row>
    <row r="82" spans="1:19" ht="18" x14ac:dyDescent="0.25">
      <c r="A82" s="564">
        <v>80</v>
      </c>
      <c r="B82" s="564" t="s">
        <v>277</v>
      </c>
      <c r="C82" s="565" t="s">
        <v>211</v>
      </c>
      <c r="D82" s="564" t="s">
        <v>542</v>
      </c>
      <c r="E82" s="564" t="s">
        <v>772</v>
      </c>
      <c r="F82" s="564" t="s">
        <v>776</v>
      </c>
      <c r="G82" s="564" t="s">
        <v>776</v>
      </c>
      <c r="H82" s="564" t="s">
        <v>770</v>
      </c>
      <c r="I82" s="562">
        <v>45953</v>
      </c>
      <c r="J82" s="562">
        <v>45976</v>
      </c>
      <c r="K82" s="564" t="s">
        <v>688</v>
      </c>
      <c r="L82" s="564" t="s">
        <v>786</v>
      </c>
      <c r="M82" s="562">
        <v>46075</v>
      </c>
      <c r="N82" s="566" t="s">
        <v>776</v>
      </c>
      <c r="O82" s="564">
        <v>41.88</v>
      </c>
      <c r="P82" s="564" t="s">
        <v>667</v>
      </c>
      <c r="Q82" s="562">
        <v>46176</v>
      </c>
      <c r="R82" s="561">
        <v>46186</v>
      </c>
      <c r="S82" s="560" t="s">
        <v>666</v>
      </c>
    </row>
    <row r="83" spans="1:19" ht="18" x14ac:dyDescent="0.25">
      <c r="A83" s="564">
        <v>81</v>
      </c>
      <c r="B83" s="564" t="s">
        <v>278</v>
      </c>
      <c r="C83" s="565" t="s">
        <v>212</v>
      </c>
      <c r="D83" s="564" t="s">
        <v>88</v>
      </c>
      <c r="E83" s="564" t="s">
        <v>772</v>
      </c>
      <c r="F83" s="564" t="s">
        <v>776</v>
      </c>
      <c r="G83" s="564" t="s">
        <v>776</v>
      </c>
      <c r="H83" s="564" t="s">
        <v>770</v>
      </c>
      <c r="I83" s="562">
        <v>46189</v>
      </c>
      <c r="J83" s="562">
        <v>46192</v>
      </c>
      <c r="K83" s="564" t="s">
        <v>760</v>
      </c>
      <c r="L83" s="564"/>
      <c r="M83" s="562"/>
      <c r="N83" s="566" t="s">
        <v>776</v>
      </c>
      <c r="O83" s="564">
        <v>35.088999999999999</v>
      </c>
      <c r="P83" s="564"/>
      <c r="Q83" s="562"/>
      <c r="R83" s="561"/>
      <c r="S83" s="560"/>
    </row>
    <row r="84" spans="1:19" ht="18" x14ac:dyDescent="0.25">
      <c r="A84" s="564">
        <v>82</v>
      </c>
      <c r="B84" s="564" t="s">
        <v>279</v>
      </c>
      <c r="C84" s="565" t="s">
        <v>282</v>
      </c>
      <c r="D84" s="564" t="s">
        <v>541</v>
      </c>
      <c r="E84" s="564" t="s">
        <v>772</v>
      </c>
      <c r="F84" s="564" t="s">
        <v>776</v>
      </c>
      <c r="G84" s="564" t="s">
        <v>776</v>
      </c>
      <c r="H84" s="564" t="s">
        <v>787</v>
      </c>
      <c r="I84" s="562"/>
      <c r="J84" s="562"/>
      <c r="K84" s="564"/>
      <c r="L84" s="564"/>
      <c r="M84" s="562"/>
      <c r="N84" s="566" t="s">
        <v>776</v>
      </c>
      <c r="O84" s="564">
        <v>64.671999999999997</v>
      </c>
      <c r="P84" s="564"/>
      <c r="Q84" s="562"/>
      <c r="R84" s="561"/>
      <c r="S84" s="560"/>
    </row>
    <row r="85" spans="1:19" ht="18" x14ac:dyDescent="0.25">
      <c r="A85" s="564">
        <v>83</v>
      </c>
      <c r="B85" s="564" t="s">
        <v>280</v>
      </c>
      <c r="C85" s="565" t="s">
        <v>283</v>
      </c>
      <c r="D85" s="564" t="s">
        <v>788</v>
      </c>
      <c r="E85" s="564" t="s">
        <v>776</v>
      </c>
      <c r="F85" s="564" t="s">
        <v>776</v>
      </c>
      <c r="G85" s="564" t="s">
        <v>776</v>
      </c>
      <c r="H85" s="564" t="s">
        <v>787</v>
      </c>
      <c r="I85" s="562"/>
      <c r="J85" s="562"/>
      <c r="K85" s="564"/>
      <c r="L85" s="564"/>
      <c r="M85" s="562"/>
      <c r="N85" s="566" t="s">
        <v>776</v>
      </c>
      <c r="O85" s="564">
        <v>66.436000000000007</v>
      </c>
      <c r="P85" s="564"/>
      <c r="Q85" s="562"/>
      <c r="R85" s="561"/>
      <c r="S85" s="560"/>
    </row>
    <row r="86" spans="1:19" ht="18" x14ac:dyDescent="0.25">
      <c r="A86" s="564">
        <v>84</v>
      </c>
      <c r="B86" s="564" t="s">
        <v>281</v>
      </c>
      <c r="C86" s="565" t="s">
        <v>283</v>
      </c>
      <c r="D86" s="564" t="s">
        <v>788</v>
      </c>
      <c r="E86" s="564" t="s">
        <v>776</v>
      </c>
      <c r="F86" s="564" t="s">
        <v>776</v>
      </c>
      <c r="G86" s="564" t="s">
        <v>776</v>
      </c>
      <c r="H86" s="564" t="s">
        <v>787</v>
      </c>
      <c r="I86" s="562"/>
      <c r="J86" s="562"/>
      <c r="K86" s="564"/>
      <c r="L86" s="564"/>
      <c r="M86" s="562"/>
      <c r="N86" s="566" t="s">
        <v>776</v>
      </c>
      <c r="O86" s="564">
        <v>66.436000000000007</v>
      </c>
      <c r="P86" s="564"/>
      <c r="Q86" s="562"/>
      <c r="R86" s="561"/>
      <c r="S86" s="560"/>
    </row>
    <row r="87" spans="1:19" ht="18" x14ac:dyDescent="0.25">
      <c r="A87" s="564">
        <v>85</v>
      </c>
      <c r="B87" s="564" t="s">
        <v>284</v>
      </c>
      <c r="C87" s="565" t="s">
        <v>213</v>
      </c>
      <c r="D87" s="564" t="s">
        <v>92</v>
      </c>
      <c r="E87" s="564" t="s">
        <v>772</v>
      </c>
      <c r="F87" s="564" t="s">
        <v>776</v>
      </c>
      <c r="G87" s="564" t="s">
        <v>776</v>
      </c>
      <c r="H87" s="564" t="s">
        <v>770</v>
      </c>
      <c r="I87" s="562">
        <v>45973</v>
      </c>
      <c r="J87" s="562">
        <v>45984</v>
      </c>
      <c r="K87" s="564" t="s">
        <v>688</v>
      </c>
      <c r="L87" s="564" t="s">
        <v>784</v>
      </c>
      <c r="M87" s="562">
        <v>46046</v>
      </c>
      <c r="N87" s="566" t="s">
        <v>776</v>
      </c>
      <c r="O87" s="564">
        <v>36.771000000000001</v>
      </c>
      <c r="P87" s="564"/>
      <c r="Q87" s="562"/>
      <c r="R87" s="561"/>
      <c r="S87" s="560"/>
    </row>
    <row r="88" spans="1:19" ht="18" x14ac:dyDescent="0.25">
      <c r="A88" s="564">
        <v>86</v>
      </c>
      <c r="B88" s="564" t="s">
        <v>433</v>
      </c>
      <c r="C88" s="565" t="s">
        <v>210</v>
      </c>
      <c r="D88" s="564" t="s">
        <v>92</v>
      </c>
      <c r="E88" s="564" t="s">
        <v>772</v>
      </c>
      <c r="F88" s="564" t="s">
        <v>776</v>
      </c>
      <c r="G88" s="564" t="s">
        <v>776</v>
      </c>
      <c r="H88" s="564"/>
      <c r="I88" s="562"/>
      <c r="J88" s="562"/>
      <c r="K88" s="564"/>
      <c r="L88" s="564"/>
      <c r="M88" s="562"/>
      <c r="N88" s="566" t="s">
        <v>776</v>
      </c>
      <c r="O88" s="564">
        <v>54.72</v>
      </c>
      <c r="P88" s="564"/>
      <c r="Q88" s="562"/>
      <c r="R88" s="561"/>
      <c r="S88" s="560"/>
    </row>
    <row r="89" spans="1:19" ht="18" x14ac:dyDescent="0.25">
      <c r="A89" s="564">
        <v>87</v>
      </c>
      <c r="B89" s="564" t="s">
        <v>434</v>
      </c>
      <c r="C89" s="565" t="s">
        <v>214</v>
      </c>
      <c r="D89" s="564" t="s">
        <v>92</v>
      </c>
      <c r="E89" s="564" t="s">
        <v>772</v>
      </c>
      <c r="F89" s="564" t="s">
        <v>773</v>
      </c>
      <c r="G89" s="564" t="s">
        <v>776</v>
      </c>
      <c r="H89" s="564"/>
      <c r="I89" s="562"/>
      <c r="J89" s="562"/>
      <c r="K89" s="564"/>
      <c r="L89" s="564"/>
      <c r="M89" s="562"/>
      <c r="N89" s="566" t="s">
        <v>776</v>
      </c>
      <c r="O89" s="564">
        <v>62.500999999999998</v>
      </c>
      <c r="P89" s="564"/>
      <c r="Q89" s="562"/>
      <c r="R89" s="561"/>
      <c r="S89" s="560"/>
    </row>
    <row r="90" spans="1:19" ht="18" x14ac:dyDescent="0.25">
      <c r="A90" s="564">
        <v>88</v>
      </c>
      <c r="B90" s="564" t="s">
        <v>285</v>
      </c>
      <c r="C90" s="565" t="s">
        <v>212</v>
      </c>
      <c r="D90" s="564" t="s">
        <v>92</v>
      </c>
      <c r="E90" s="564" t="s">
        <v>776</v>
      </c>
      <c r="F90" s="564" t="s">
        <v>776</v>
      </c>
      <c r="G90" s="564" t="s">
        <v>776</v>
      </c>
      <c r="H90" s="564"/>
      <c r="I90" s="562"/>
      <c r="J90" s="562"/>
      <c r="K90" s="564"/>
      <c r="L90" s="564"/>
      <c r="M90" s="562"/>
      <c r="N90" s="566" t="s">
        <v>776</v>
      </c>
      <c r="O90" s="564">
        <v>35.088999999999999</v>
      </c>
      <c r="P90" s="564"/>
      <c r="Q90" s="562"/>
      <c r="R90" s="561"/>
      <c r="S90" s="560"/>
    </row>
    <row r="91" spans="1:19" ht="18" x14ac:dyDescent="0.25">
      <c r="A91" s="564">
        <v>89</v>
      </c>
      <c r="B91" s="564" t="s">
        <v>286</v>
      </c>
      <c r="C91" s="565" t="s">
        <v>248</v>
      </c>
      <c r="D91" s="564" t="s">
        <v>92</v>
      </c>
      <c r="E91" s="564" t="s">
        <v>772</v>
      </c>
      <c r="F91" s="564" t="s">
        <v>776</v>
      </c>
      <c r="G91" s="564" t="s">
        <v>776</v>
      </c>
      <c r="H91" s="564"/>
      <c r="I91" s="562"/>
      <c r="J91" s="562"/>
      <c r="K91" s="564"/>
      <c r="L91" s="564"/>
      <c r="M91" s="562"/>
      <c r="N91" s="566" t="s">
        <v>776</v>
      </c>
      <c r="O91" s="564">
        <v>43.575000000000003</v>
      </c>
      <c r="P91" s="564"/>
      <c r="Q91" s="562"/>
      <c r="R91" s="561"/>
      <c r="S91" s="560"/>
    </row>
    <row r="92" spans="1:19" ht="18" x14ac:dyDescent="0.25">
      <c r="A92" s="564">
        <v>90</v>
      </c>
      <c r="B92" s="564" t="s">
        <v>287</v>
      </c>
      <c r="C92" s="565" t="s">
        <v>212</v>
      </c>
      <c r="D92" s="564" t="s">
        <v>92</v>
      </c>
      <c r="E92" s="564" t="s">
        <v>776</v>
      </c>
      <c r="F92" s="564" t="s">
        <v>776</v>
      </c>
      <c r="G92" s="564" t="s">
        <v>776</v>
      </c>
      <c r="H92" s="564"/>
      <c r="I92" s="562"/>
      <c r="J92" s="562"/>
      <c r="K92" s="564"/>
      <c r="L92" s="564"/>
      <c r="M92" s="562"/>
      <c r="N92" s="566" t="s">
        <v>776</v>
      </c>
      <c r="O92" s="564">
        <v>35.088999999999999</v>
      </c>
      <c r="P92" s="564"/>
      <c r="Q92" s="562"/>
      <c r="R92" s="561"/>
      <c r="S92" s="560"/>
    </row>
    <row r="93" spans="1:19" ht="18" x14ac:dyDescent="0.25">
      <c r="A93" s="564">
        <v>91</v>
      </c>
      <c r="B93" s="564" t="s">
        <v>288</v>
      </c>
      <c r="C93" s="565" t="s">
        <v>212</v>
      </c>
      <c r="D93" s="564" t="s">
        <v>92</v>
      </c>
      <c r="E93" s="564" t="s">
        <v>776</v>
      </c>
      <c r="F93" s="564" t="s">
        <v>776</v>
      </c>
      <c r="G93" s="564" t="s">
        <v>776</v>
      </c>
      <c r="H93" s="564"/>
      <c r="I93" s="562"/>
      <c r="J93" s="562"/>
      <c r="K93" s="564"/>
      <c r="L93" s="564"/>
      <c r="M93" s="562"/>
      <c r="N93" s="566" t="s">
        <v>776</v>
      </c>
      <c r="O93" s="564">
        <v>35.088999999999999</v>
      </c>
      <c r="P93" s="564"/>
      <c r="Q93" s="562"/>
      <c r="R93" s="561"/>
      <c r="S93" s="560"/>
    </row>
    <row r="94" spans="1:19" ht="18" x14ac:dyDescent="0.25">
      <c r="A94" s="564">
        <v>92</v>
      </c>
      <c r="B94" s="564" t="s">
        <v>435</v>
      </c>
      <c r="C94" s="565" t="s">
        <v>226</v>
      </c>
      <c r="D94" s="564" t="s">
        <v>92</v>
      </c>
      <c r="E94" s="564" t="s">
        <v>772</v>
      </c>
      <c r="F94" s="564" t="s">
        <v>773</v>
      </c>
      <c r="G94" s="564" t="s">
        <v>776</v>
      </c>
      <c r="H94" s="564"/>
      <c r="I94" s="562"/>
      <c r="J94" s="562"/>
      <c r="K94" s="564"/>
      <c r="L94" s="564"/>
      <c r="M94" s="562"/>
      <c r="N94" s="566"/>
      <c r="O94" s="564"/>
      <c r="P94" s="564"/>
      <c r="Q94" s="562"/>
      <c r="R94" s="561"/>
      <c r="S94" s="560"/>
    </row>
    <row r="95" spans="1:19" ht="18" x14ac:dyDescent="0.25">
      <c r="A95" s="564">
        <v>93</v>
      </c>
      <c r="B95" s="564" t="s">
        <v>289</v>
      </c>
      <c r="C95" s="565" t="s">
        <v>248</v>
      </c>
      <c r="D95" s="564" t="s">
        <v>92</v>
      </c>
      <c r="E95" s="564" t="s">
        <v>772</v>
      </c>
      <c r="F95" s="564" t="s">
        <v>776</v>
      </c>
      <c r="G95" s="564" t="s">
        <v>776</v>
      </c>
      <c r="H95" s="564" t="s">
        <v>770</v>
      </c>
      <c r="I95" s="562">
        <v>46217</v>
      </c>
      <c r="J95" s="562">
        <v>46230</v>
      </c>
      <c r="K95" s="564" t="s">
        <v>916</v>
      </c>
      <c r="L95" s="564"/>
      <c r="M95" s="562"/>
      <c r="N95" s="566" t="s">
        <v>776</v>
      </c>
      <c r="O95" s="564">
        <v>43.575000000000003</v>
      </c>
      <c r="P95" s="564"/>
      <c r="Q95" s="562"/>
      <c r="R95" s="561"/>
      <c r="S95" s="560"/>
    </row>
    <row r="96" spans="1:19" ht="18" x14ac:dyDescent="0.25">
      <c r="A96" s="564">
        <v>94</v>
      </c>
      <c r="B96" s="564" t="s">
        <v>290</v>
      </c>
      <c r="C96" s="565" t="s">
        <v>213</v>
      </c>
      <c r="D96" s="564" t="s">
        <v>92</v>
      </c>
      <c r="E96" s="564" t="s">
        <v>776</v>
      </c>
      <c r="F96" s="564" t="s">
        <v>776</v>
      </c>
      <c r="G96" s="564" t="s">
        <v>776</v>
      </c>
      <c r="H96" s="564" t="s">
        <v>770</v>
      </c>
      <c r="I96" s="562">
        <v>46209</v>
      </c>
      <c r="J96" s="562">
        <v>46216</v>
      </c>
      <c r="K96" s="564" t="s">
        <v>916</v>
      </c>
      <c r="L96" s="564" t="s">
        <v>864</v>
      </c>
      <c r="M96" s="562">
        <v>46222</v>
      </c>
      <c r="N96" s="566" t="s">
        <v>776</v>
      </c>
      <c r="O96" s="564">
        <v>36.771000000000001</v>
      </c>
      <c r="P96" s="564"/>
      <c r="Q96" s="562"/>
      <c r="R96" s="561"/>
      <c r="S96" s="560"/>
    </row>
    <row r="97" spans="1:19" ht="18" x14ac:dyDescent="0.25">
      <c r="A97" s="564">
        <v>95</v>
      </c>
      <c r="B97" s="564" t="s">
        <v>291</v>
      </c>
      <c r="C97" s="565" t="s">
        <v>248</v>
      </c>
      <c r="D97" s="564" t="s">
        <v>541</v>
      </c>
      <c r="E97" s="564" t="s">
        <v>776</v>
      </c>
      <c r="F97" s="564" t="s">
        <v>776</v>
      </c>
      <c r="G97" s="564" t="s">
        <v>776</v>
      </c>
      <c r="H97" s="564" t="s">
        <v>770</v>
      </c>
      <c r="I97" s="562">
        <v>46231</v>
      </c>
      <c r="J97" s="562">
        <v>46243</v>
      </c>
      <c r="K97" s="564" t="s">
        <v>916</v>
      </c>
      <c r="L97" s="564"/>
      <c r="M97" s="562"/>
      <c r="N97" s="566" t="s">
        <v>776</v>
      </c>
      <c r="O97" s="564">
        <v>43.575000000000003</v>
      </c>
      <c r="P97" s="564"/>
      <c r="Q97" s="562"/>
      <c r="R97" s="561"/>
      <c r="S97" s="560"/>
    </row>
    <row r="98" spans="1:19" ht="18" x14ac:dyDescent="0.25">
      <c r="A98" s="564">
        <v>96</v>
      </c>
      <c r="B98" s="564" t="s">
        <v>437</v>
      </c>
      <c r="C98" s="565" t="s">
        <v>292</v>
      </c>
      <c r="D98" s="564" t="s">
        <v>88</v>
      </c>
      <c r="E98" s="564" t="s">
        <v>776</v>
      </c>
      <c r="F98" s="564" t="s">
        <v>773</v>
      </c>
      <c r="G98" s="564" t="s">
        <v>776</v>
      </c>
      <c r="H98" s="564"/>
      <c r="I98" s="562"/>
      <c r="J98" s="562"/>
      <c r="K98" s="564"/>
      <c r="L98" s="564"/>
      <c r="M98" s="562"/>
      <c r="N98" s="566" t="s">
        <v>776</v>
      </c>
      <c r="O98" s="564">
        <v>83.715999999999994</v>
      </c>
      <c r="P98" s="564"/>
      <c r="Q98" s="562"/>
      <c r="R98" s="561"/>
      <c r="S98" s="560"/>
    </row>
    <row r="99" spans="1:19" ht="18" x14ac:dyDescent="0.25">
      <c r="A99" s="564">
        <v>97</v>
      </c>
      <c r="B99" s="564" t="s">
        <v>438</v>
      </c>
      <c r="C99" s="565" t="s">
        <v>301</v>
      </c>
      <c r="D99" s="564" t="s">
        <v>92</v>
      </c>
      <c r="E99" s="564" t="s">
        <v>776</v>
      </c>
      <c r="F99" s="564" t="s">
        <v>773</v>
      </c>
      <c r="G99" s="564" t="s">
        <v>776</v>
      </c>
      <c r="H99" s="564"/>
      <c r="I99" s="562"/>
      <c r="J99" s="562"/>
      <c r="K99" s="564"/>
      <c r="L99" s="564"/>
      <c r="M99" s="562"/>
      <c r="N99" s="566" t="s">
        <v>776</v>
      </c>
      <c r="O99" s="564">
        <v>65.37</v>
      </c>
      <c r="P99" s="564"/>
      <c r="Q99" s="562"/>
      <c r="R99" s="561"/>
      <c r="S99" s="560"/>
    </row>
    <row r="100" spans="1:19" ht="18" x14ac:dyDescent="0.25">
      <c r="A100" s="564">
        <v>98</v>
      </c>
      <c r="B100" s="564" t="s">
        <v>293</v>
      </c>
      <c r="C100" s="565" t="s">
        <v>212</v>
      </c>
      <c r="D100" s="564" t="s">
        <v>541</v>
      </c>
      <c r="E100" s="564" t="s">
        <v>772</v>
      </c>
      <c r="F100" s="564" t="s">
        <v>776</v>
      </c>
      <c r="G100" s="564" t="s">
        <v>776</v>
      </c>
      <c r="H100" s="564"/>
      <c r="I100" s="562"/>
      <c r="J100" s="562"/>
      <c r="K100" s="564"/>
      <c r="L100" s="564"/>
      <c r="M100" s="562"/>
      <c r="N100" s="566" t="s">
        <v>776</v>
      </c>
      <c r="O100" s="564">
        <v>35.088999999999999</v>
      </c>
      <c r="P100" s="564"/>
      <c r="Q100" s="562"/>
      <c r="R100" s="561"/>
      <c r="S100" s="560"/>
    </row>
    <row r="101" spans="1:19" ht="18" x14ac:dyDescent="0.25">
      <c r="A101" s="564">
        <v>99</v>
      </c>
      <c r="B101" s="564" t="s">
        <v>294</v>
      </c>
      <c r="C101" s="565" t="s">
        <v>213</v>
      </c>
      <c r="D101" s="564" t="s">
        <v>92</v>
      </c>
      <c r="E101" s="564" t="s">
        <v>776</v>
      </c>
      <c r="F101" s="564" t="s">
        <v>776</v>
      </c>
      <c r="G101" s="564" t="s">
        <v>776</v>
      </c>
      <c r="H101" s="564" t="s">
        <v>770</v>
      </c>
      <c r="I101" s="562">
        <v>46219</v>
      </c>
      <c r="J101" s="562">
        <v>46221</v>
      </c>
      <c r="K101" s="564" t="s">
        <v>760</v>
      </c>
      <c r="L101" s="564"/>
      <c r="M101" s="562"/>
      <c r="N101" s="566" t="s">
        <v>776</v>
      </c>
      <c r="O101" s="564">
        <v>36.771000000000001</v>
      </c>
      <c r="P101" s="564"/>
      <c r="Q101" s="562"/>
      <c r="R101" s="561"/>
      <c r="S101" s="560"/>
    </row>
    <row r="102" spans="1:19" ht="18" x14ac:dyDescent="0.25">
      <c r="A102" s="564">
        <v>100</v>
      </c>
      <c r="B102" s="564" t="s">
        <v>295</v>
      </c>
      <c r="C102" s="565" t="s">
        <v>212</v>
      </c>
      <c r="D102" s="564" t="s">
        <v>92</v>
      </c>
      <c r="E102" s="564" t="s">
        <v>772</v>
      </c>
      <c r="F102" s="564" t="s">
        <v>776</v>
      </c>
      <c r="G102" s="564" t="s">
        <v>776</v>
      </c>
      <c r="H102" s="564" t="s">
        <v>770</v>
      </c>
      <c r="I102" s="562">
        <v>46139</v>
      </c>
      <c r="J102" s="562">
        <v>46141</v>
      </c>
      <c r="K102" s="564" t="s">
        <v>760</v>
      </c>
      <c r="L102" s="564" t="s">
        <v>864</v>
      </c>
      <c r="M102" s="562">
        <v>46143</v>
      </c>
      <c r="N102" s="566" t="s">
        <v>776</v>
      </c>
      <c r="O102" s="564">
        <v>35.088999999999999</v>
      </c>
      <c r="P102" s="564" t="s">
        <v>667</v>
      </c>
      <c r="Q102" s="562">
        <v>46192</v>
      </c>
      <c r="R102" s="561">
        <v>46196</v>
      </c>
      <c r="S102" s="560" t="s">
        <v>690</v>
      </c>
    </row>
    <row r="103" spans="1:19" ht="18" x14ac:dyDescent="0.25">
      <c r="A103" s="564">
        <v>101</v>
      </c>
      <c r="B103" s="564" t="s">
        <v>439</v>
      </c>
      <c r="C103" s="565" t="s">
        <v>237</v>
      </c>
      <c r="D103" s="564" t="s">
        <v>92</v>
      </c>
      <c r="E103" s="564" t="s">
        <v>772</v>
      </c>
      <c r="F103" s="564"/>
      <c r="G103" s="564" t="s">
        <v>776</v>
      </c>
      <c r="H103" s="564" t="s">
        <v>770</v>
      </c>
      <c r="I103" s="562">
        <v>46142</v>
      </c>
      <c r="J103" s="562">
        <v>46145</v>
      </c>
      <c r="K103" s="564" t="s">
        <v>760</v>
      </c>
      <c r="L103" s="564" t="s">
        <v>861</v>
      </c>
      <c r="M103" s="562">
        <v>46147</v>
      </c>
      <c r="N103" s="566" t="s">
        <v>776</v>
      </c>
      <c r="O103" s="564">
        <v>54.72</v>
      </c>
      <c r="P103" s="564" t="s">
        <v>667</v>
      </c>
      <c r="Q103" s="562">
        <v>46136</v>
      </c>
      <c r="R103" s="561">
        <v>46201</v>
      </c>
      <c r="S103" s="560" t="s">
        <v>690</v>
      </c>
    </row>
    <row r="104" spans="1:19" ht="18" x14ac:dyDescent="0.25">
      <c r="A104" s="564">
        <v>102</v>
      </c>
      <c r="B104" s="564" t="s">
        <v>296</v>
      </c>
      <c r="C104" s="565" t="s">
        <v>283</v>
      </c>
      <c r="D104" s="564" t="s">
        <v>542</v>
      </c>
      <c r="E104" s="564" t="s">
        <v>772</v>
      </c>
      <c r="F104" s="564" t="s">
        <v>776</v>
      </c>
      <c r="G104" s="564" t="s">
        <v>776</v>
      </c>
      <c r="H104" s="564" t="s">
        <v>770</v>
      </c>
      <c r="I104" s="562">
        <v>46129</v>
      </c>
      <c r="J104" s="562">
        <v>46133</v>
      </c>
      <c r="K104" s="564" t="s">
        <v>760</v>
      </c>
      <c r="L104" s="564" t="s">
        <v>861</v>
      </c>
      <c r="M104" s="562">
        <v>46136</v>
      </c>
      <c r="N104" s="566" t="s">
        <v>776</v>
      </c>
      <c r="O104" s="564">
        <v>66.436000000000007</v>
      </c>
      <c r="P104" s="564"/>
      <c r="Q104" s="562"/>
      <c r="R104" s="561"/>
      <c r="S104" s="560"/>
    </row>
    <row r="105" spans="1:19" ht="18" x14ac:dyDescent="0.25">
      <c r="A105" s="564">
        <v>103</v>
      </c>
      <c r="B105" s="564" t="s">
        <v>440</v>
      </c>
      <c r="C105" s="565" t="s">
        <v>579</v>
      </c>
      <c r="D105" s="564" t="s">
        <v>92</v>
      </c>
      <c r="E105" s="564" t="s">
        <v>772</v>
      </c>
      <c r="F105" s="564" t="s">
        <v>773</v>
      </c>
      <c r="G105" s="564" t="s">
        <v>776</v>
      </c>
      <c r="H105" s="564" t="s">
        <v>770</v>
      </c>
      <c r="I105" s="562">
        <v>46132</v>
      </c>
      <c r="J105" s="562">
        <v>46138</v>
      </c>
      <c r="K105" s="564" t="s">
        <v>760</v>
      </c>
      <c r="L105" s="564" t="s">
        <v>861</v>
      </c>
      <c r="M105" s="562">
        <v>46140</v>
      </c>
      <c r="N105" s="566" t="s">
        <v>776</v>
      </c>
      <c r="O105" s="564">
        <v>72.045000000000002</v>
      </c>
      <c r="P105" s="564" t="s">
        <v>667</v>
      </c>
      <c r="Q105" s="562">
        <v>46202</v>
      </c>
      <c r="R105" s="561">
        <v>46208</v>
      </c>
      <c r="S105" s="560" t="s">
        <v>690</v>
      </c>
    </row>
    <row r="106" spans="1:19" ht="18" x14ac:dyDescent="0.25">
      <c r="A106" s="564">
        <v>104</v>
      </c>
      <c r="B106" s="564" t="s">
        <v>297</v>
      </c>
      <c r="C106" s="565" t="s">
        <v>211</v>
      </c>
      <c r="D106" s="564" t="s">
        <v>88</v>
      </c>
      <c r="E106" s="564" t="s">
        <v>772</v>
      </c>
      <c r="F106" s="564" t="s">
        <v>776</v>
      </c>
      <c r="G106" s="564" t="s">
        <v>776</v>
      </c>
      <c r="H106" s="564" t="s">
        <v>770</v>
      </c>
      <c r="I106" s="562">
        <v>46141</v>
      </c>
      <c r="J106" s="562">
        <v>46147</v>
      </c>
      <c r="K106" s="564" t="s">
        <v>760</v>
      </c>
      <c r="L106" s="564"/>
      <c r="M106" s="562"/>
      <c r="N106" s="566" t="s">
        <v>776</v>
      </c>
      <c r="O106" s="564">
        <v>41.88</v>
      </c>
      <c r="P106" s="564" t="s">
        <v>667</v>
      </c>
      <c r="Q106" s="562">
        <v>46183</v>
      </c>
      <c r="R106" s="561">
        <v>46192</v>
      </c>
      <c r="S106" s="560" t="s">
        <v>690</v>
      </c>
    </row>
    <row r="107" spans="1:19" ht="18" x14ac:dyDescent="0.25">
      <c r="A107" s="564">
        <v>105</v>
      </c>
      <c r="B107" s="564" t="s">
        <v>298</v>
      </c>
      <c r="C107" s="565" t="s">
        <v>212</v>
      </c>
      <c r="D107" s="564" t="s">
        <v>92</v>
      </c>
      <c r="E107" s="564" t="s">
        <v>776</v>
      </c>
      <c r="F107" s="564" t="s">
        <v>776</v>
      </c>
      <c r="G107" s="564" t="s">
        <v>776</v>
      </c>
      <c r="H107" s="564"/>
      <c r="I107" s="562"/>
      <c r="J107" s="562"/>
      <c r="K107" s="564"/>
      <c r="L107" s="564"/>
      <c r="M107" s="562"/>
      <c r="N107" s="566" t="s">
        <v>776</v>
      </c>
      <c r="O107" s="564">
        <v>35.088999999999999</v>
      </c>
      <c r="P107" s="564"/>
      <c r="Q107" s="562"/>
      <c r="R107" s="561"/>
      <c r="S107" s="560"/>
    </row>
    <row r="108" spans="1:19" ht="18" x14ac:dyDescent="0.25">
      <c r="A108" s="564">
        <v>106</v>
      </c>
      <c r="B108" s="564" t="s">
        <v>299</v>
      </c>
      <c r="C108" s="565" t="s">
        <v>212</v>
      </c>
      <c r="D108" s="564" t="s">
        <v>92</v>
      </c>
      <c r="E108" s="564" t="s">
        <v>776</v>
      </c>
      <c r="F108" s="564" t="s">
        <v>776</v>
      </c>
      <c r="G108" s="564" t="s">
        <v>776</v>
      </c>
      <c r="H108" s="564"/>
      <c r="I108" s="562"/>
      <c r="J108" s="562"/>
      <c r="K108" s="564"/>
      <c r="L108" s="564"/>
      <c r="M108" s="562"/>
      <c r="N108" s="566" t="s">
        <v>776</v>
      </c>
      <c r="O108" s="564">
        <v>35.088999999999999</v>
      </c>
      <c r="P108" s="564"/>
      <c r="Q108" s="562"/>
      <c r="R108" s="561"/>
      <c r="S108" s="560"/>
    </row>
    <row r="109" spans="1:19" ht="18" x14ac:dyDescent="0.25">
      <c r="A109" s="564">
        <v>107</v>
      </c>
      <c r="B109" s="564" t="s">
        <v>300</v>
      </c>
      <c r="C109" s="565" t="s">
        <v>213</v>
      </c>
      <c r="D109" s="564" t="s">
        <v>92</v>
      </c>
      <c r="E109" s="564" t="s">
        <v>776</v>
      </c>
      <c r="F109" s="564" t="s">
        <v>776</v>
      </c>
      <c r="G109" s="564" t="s">
        <v>776</v>
      </c>
      <c r="H109" s="564"/>
      <c r="I109" s="562"/>
      <c r="J109" s="562"/>
      <c r="K109" s="564"/>
      <c r="L109" s="564"/>
      <c r="M109" s="562"/>
      <c r="N109" s="566" t="s">
        <v>776</v>
      </c>
      <c r="O109" s="564">
        <v>36.771000000000001</v>
      </c>
      <c r="P109" s="564"/>
      <c r="Q109" s="562"/>
      <c r="R109" s="561"/>
      <c r="S109" s="560"/>
    </row>
    <row r="110" spans="1:19" ht="18" x14ac:dyDescent="0.25">
      <c r="A110" s="564">
        <v>108</v>
      </c>
      <c r="B110" s="564" t="s">
        <v>442</v>
      </c>
      <c r="C110" s="565" t="s">
        <v>237</v>
      </c>
      <c r="D110" s="564" t="s">
        <v>92</v>
      </c>
      <c r="E110" s="564" t="s">
        <v>772</v>
      </c>
      <c r="F110" s="564"/>
      <c r="G110" s="564" t="s">
        <v>776</v>
      </c>
      <c r="H110" s="564" t="s">
        <v>770</v>
      </c>
      <c r="I110" s="562">
        <v>47627</v>
      </c>
      <c r="J110" s="562">
        <v>46172</v>
      </c>
      <c r="K110" s="564" t="s">
        <v>760</v>
      </c>
      <c r="L110" s="564" t="s">
        <v>861</v>
      </c>
      <c r="M110" s="562">
        <v>46186</v>
      </c>
      <c r="N110" s="566" t="s">
        <v>776</v>
      </c>
      <c r="O110" s="564">
        <v>54.72</v>
      </c>
      <c r="P110" s="564"/>
      <c r="Q110" s="562"/>
      <c r="R110" s="561"/>
      <c r="S110" s="560"/>
    </row>
    <row r="111" spans="1:19" ht="18" x14ac:dyDescent="0.25">
      <c r="A111" s="564">
        <v>109</v>
      </c>
      <c r="B111" s="564" t="s">
        <v>302</v>
      </c>
      <c r="C111" s="565" t="s">
        <v>213</v>
      </c>
      <c r="D111" s="564" t="s">
        <v>92</v>
      </c>
      <c r="E111" s="564" t="s">
        <v>776</v>
      </c>
      <c r="F111" s="564" t="s">
        <v>776</v>
      </c>
      <c r="G111" s="564" t="s">
        <v>776</v>
      </c>
      <c r="H111" s="564"/>
      <c r="I111" s="562"/>
      <c r="J111" s="562"/>
      <c r="K111" s="564"/>
      <c r="L111" s="564"/>
      <c r="M111" s="562"/>
      <c r="N111" s="566" t="s">
        <v>776</v>
      </c>
      <c r="O111" s="564">
        <v>36.771000000000001</v>
      </c>
      <c r="P111" s="564"/>
      <c r="Q111" s="562"/>
      <c r="R111" s="561"/>
      <c r="S111" s="560"/>
    </row>
    <row r="112" spans="1:19" ht="18" x14ac:dyDescent="0.25">
      <c r="A112" s="564">
        <v>110</v>
      </c>
      <c r="B112" s="564" t="s">
        <v>303</v>
      </c>
      <c r="C112" s="565" t="s">
        <v>213</v>
      </c>
      <c r="D112" s="564" t="s">
        <v>92</v>
      </c>
      <c r="E112" s="564" t="s">
        <v>772</v>
      </c>
      <c r="F112" s="564" t="s">
        <v>776</v>
      </c>
      <c r="G112" s="564" t="s">
        <v>776</v>
      </c>
      <c r="H112" s="564" t="s">
        <v>770</v>
      </c>
      <c r="I112" s="562">
        <v>46163</v>
      </c>
      <c r="J112" s="562">
        <v>46165</v>
      </c>
      <c r="K112" s="564" t="s">
        <v>760</v>
      </c>
      <c r="L112" s="564" t="s">
        <v>784</v>
      </c>
      <c r="M112" s="562">
        <v>46165</v>
      </c>
      <c r="N112" s="566" t="s">
        <v>776</v>
      </c>
      <c r="O112" s="564">
        <v>36.771000000000001</v>
      </c>
      <c r="P112" s="564"/>
      <c r="Q112" s="562"/>
      <c r="R112" s="561"/>
      <c r="S112" s="560"/>
    </row>
    <row r="113" spans="1:19" ht="18" x14ac:dyDescent="0.25">
      <c r="A113" s="564">
        <v>111</v>
      </c>
      <c r="B113" s="564" t="s">
        <v>443</v>
      </c>
      <c r="C113" s="565" t="s">
        <v>270</v>
      </c>
      <c r="D113" s="564" t="s">
        <v>88</v>
      </c>
      <c r="E113" s="564" t="s">
        <v>772</v>
      </c>
      <c r="F113" s="564"/>
      <c r="G113" s="564" t="s">
        <v>776</v>
      </c>
      <c r="H113" s="564" t="s">
        <v>770</v>
      </c>
      <c r="I113" s="562">
        <v>46148</v>
      </c>
      <c r="J113" s="562">
        <v>46155</v>
      </c>
      <c r="K113" s="564" t="s">
        <v>760</v>
      </c>
      <c r="L113" s="564"/>
      <c r="M113" s="562"/>
      <c r="N113" s="566" t="s">
        <v>776</v>
      </c>
      <c r="O113" s="564">
        <v>64.671999999999997</v>
      </c>
      <c r="P113" s="564" t="s">
        <v>667</v>
      </c>
      <c r="Q113" s="562">
        <v>46200</v>
      </c>
      <c r="R113" s="561">
        <v>46207</v>
      </c>
      <c r="S113" s="560" t="s">
        <v>910</v>
      </c>
    </row>
    <row r="114" spans="1:19" ht="18" x14ac:dyDescent="0.25">
      <c r="A114" s="564">
        <v>112</v>
      </c>
      <c r="B114" s="564" t="s">
        <v>304</v>
      </c>
      <c r="C114" s="565" t="s">
        <v>248</v>
      </c>
      <c r="D114" s="564" t="s">
        <v>92</v>
      </c>
      <c r="E114" s="564" t="s">
        <v>772</v>
      </c>
      <c r="F114" s="564" t="s">
        <v>776</v>
      </c>
      <c r="G114" s="564" t="s">
        <v>776</v>
      </c>
      <c r="H114" s="564" t="s">
        <v>770</v>
      </c>
      <c r="I114" s="562">
        <v>46159</v>
      </c>
      <c r="J114" s="562">
        <v>46162</v>
      </c>
      <c r="K114" s="564" t="s">
        <v>760</v>
      </c>
      <c r="L114" s="564" t="s">
        <v>784</v>
      </c>
      <c r="M114" s="562">
        <v>46163</v>
      </c>
      <c r="N114" s="566" t="s">
        <v>776</v>
      </c>
      <c r="O114" s="564">
        <v>43.575000000000003</v>
      </c>
      <c r="P114" s="564"/>
      <c r="Q114" s="562"/>
      <c r="R114" s="561"/>
      <c r="S114" s="560"/>
    </row>
    <row r="115" spans="1:19" ht="18" x14ac:dyDescent="0.25">
      <c r="A115" s="564">
        <v>113</v>
      </c>
      <c r="B115" s="564" t="s">
        <v>305</v>
      </c>
      <c r="C115" s="565" t="s">
        <v>211</v>
      </c>
      <c r="D115" s="564" t="s">
        <v>541</v>
      </c>
      <c r="E115" s="564" t="s">
        <v>772</v>
      </c>
      <c r="F115" s="564" t="s">
        <v>776</v>
      </c>
      <c r="G115" s="564" t="s">
        <v>776</v>
      </c>
      <c r="H115" s="564" t="s">
        <v>770</v>
      </c>
      <c r="I115" s="562">
        <v>46155</v>
      </c>
      <c r="J115" s="562">
        <v>46158</v>
      </c>
      <c r="K115" s="564" t="s">
        <v>760</v>
      </c>
      <c r="L115" s="564" t="s">
        <v>784</v>
      </c>
      <c r="M115" s="562">
        <v>46162</v>
      </c>
      <c r="N115" s="566" t="s">
        <v>776</v>
      </c>
      <c r="O115" s="564">
        <v>41.88</v>
      </c>
      <c r="P115" s="564" t="s">
        <v>667</v>
      </c>
      <c r="Q115" s="562">
        <v>46188</v>
      </c>
      <c r="R115" s="561">
        <v>46199</v>
      </c>
      <c r="S115" s="560" t="s">
        <v>910</v>
      </c>
    </row>
    <row r="116" spans="1:19" ht="18" x14ac:dyDescent="0.25">
      <c r="A116" s="564">
        <v>114</v>
      </c>
      <c r="B116" s="564" t="s">
        <v>444</v>
      </c>
      <c r="C116" s="565" t="s">
        <v>301</v>
      </c>
      <c r="D116" s="564" t="s">
        <v>541</v>
      </c>
      <c r="E116" s="564" t="s">
        <v>776</v>
      </c>
      <c r="F116" s="564" t="s">
        <v>773</v>
      </c>
      <c r="G116" s="564" t="s">
        <v>776</v>
      </c>
      <c r="H116" s="564"/>
      <c r="I116" s="562"/>
      <c r="J116" s="562"/>
      <c r="K116" s="564"/>
      <c r="L116" s="564"/>
      <c r="M116" s="562"/>
      <c r="N116" s="566"/>
      <c r="O116" s="564"/>
      <c r="P116" s="564"/>
      <c r="Q116" s="562"/>
      <c r="R116" s="561"/>
      <c r="S116" s="560"/>
    </row>
    <row r="117" spans="1:19" ht="18" x14ac:dyDescent="0.25">
      <c r="A117" s="564">
        <v>115</v>
      </c>
      <c r="B117" s="564" t="s">
        <v>306</v>
      </c>
      <c r="C117" s="565" t="s">
        <v>248</v>
      </c>
      <c r="D117" s="564" t="s">
        <v>92</v>
      </c>
      <c r="E117" s="564" t="s">
        <v>772</v>
      </c>
      <c r="F117" s="564" t="s">
        <v>776</v>
      </c>
      <c r="G117" s="564" t="s">
        <v>776</v>
      </c>
      <c r="H117" s="564" t="s">
        <v>770</v>
      </c>
      <c r="I117" s="562">
        <v>46106</v>
      </c>
      <c r="J117" s="562">
        <v>46123</v>
      </c>
      <c r="K117" s="564" t="s">
        <v>760</v>
      </c>
      <c r="L117" s="564" t="s">
        <v>784</v>
      </c>
      <c r="M117" s="562">
        <v>46125</v>
      </c>
      <c r="N117" s="566" t="s">
        <v>776</v>
      </c>
      <c r="O117" s="564">
        <v>43.575000000000003</v>
      </c>
      <c r="P117" s="564" t="s">
        <v>667</v>
      </c>
      <c r="Q117" s="562">
        <v>46188</v>
      </c>
      <c r="R117" s="561">
        <v>46201</v>
      </c>
      <c r="S117" s="560" t="s">
        <v>915</v>
      </c>
    </row>
    <row r="118" spans="1:19" ht="18" x14ac:dyDescent="0.25">
      <c r="A118" s="564">
        <v>116</v>
      </c>
      <c r="B118" s="564" t="s">
        <v>307</v>
      </c>
      <c r="C118" s="565" t="s">
        <v>212</v>
      </c>
      <c r="D118" s="564" t="s">
        <v>92</v>
      </c>
      <c r="E118" s="564" t="s">
        <v>772</v>
      </c>
      <c r="F118" s="564" t="s">
        <v>776</v>
      </c>
      <c r="G118" s="564" t="s">
        <v>776</v>
      </c>
      <c r="H118" s="564" t="s">
        <v>770</v>
      </c>
      <c r="I118" s="562">
        <v>46107</v>
      </c>
      <c r="J118" s="562">
        <v>46125</v>
      </c>
      <c r="K118" s="564" t="s">
        <v>760</v>
      </c>
      <c r="L118" s="564" t="s">
        <v>784</v>
      </c>
      <c r="M118" s="562">
        <v>46127</v>
      </c>
      <c r="N118" s="566" t="s">
        <v>776</v>
      </c>
      <c r="O118" s="564">
        <v>35.088999999999999</v>
      </c>
      <c r="P118" s="564" t="s">
        <v>667</v>
      </c>
      <c r="Q118" s="562">
        <v>46202</v>
      </c>
      <c r="R118" s="561">
        <v>46212</v>
      </c>
      <c r="S118" s="560" t="s">
        <v>915</v>
      </c>
    </row>
    <row r="119" spans="1:19" ht="18" x14ac:dyDescent="0.25">
      <c r="A119" s="564">
        <v>117</v>
      </c>
      <c r="B119" s="564" t="s">
        <v>308</v>
      </c>
      <c r="C119" s="565" t="s">
        <v>212</v>
      </c>
      <c r="D119" s="564" t="s">
        <v>92</v>
      </c>
      <c r="E119" s="564" t="s">
        <v>772</v>
      </c>
      <c r="F119" s="564" t="s">
        <v>776</v>
      </c>
      <c r="G119" s="564" t="s">
        <v>776</v>
      </c>
      <c r="H119" s="564" t="s">
        <v>770</v>
      </c>
      <c r="I119" s="562">
        <v>46121</v>
      </c>
      <c r="J119" s="562">
        <v>46130</v>
      </c>
      <c r="K119" s="564" t="s">
        <v>760</v>
      </c>
      <c r="L119" s="564" t="s">
        <v>784</v>
      </c>
      <c r="M119" s="562">
        <v>46131</v>
      </c>
      <c r="N119" s="566" t="s">
        <v>776</v>
      </c>
      <c r="O119" s="564">
        <v>35.088999999999999</v>
      </c>
      <c r="P119" s="564"/>
      <c r="Q119" s="562"/>
      <c r="R119" s="561"/>
      <c r="S119" s="560"/>
    </row>
    <row r="120" spans="1:19" ht="18" x14ac:dyDescent="0.25">
      <c r="A120" s="564">
        <v>118</v>
      </c>
      <c r="B120" s="564" t="s">
        <v>309</v>
      </c>
      <c r="C120" s="565" t="s">
        <v>211</v>
      </c>
      <c r="D120" s="564" t="s">
        <v>92</v>
      </c>
      <c r="E120" s="564" t="s">
        <v>772</v>
      </c>
      <c r="F120" s="564" t="s">
        <v>776</v>
      </c>
      <c r="G120" s="564" t="s">
        <v>776</v>
      </c>
      <c r="H120" s="564" t="s">
        <v>770</v>
      </c>
      <c r="I120" s="562">
        <v>46107</v>
      </c>
      <c r="J120" s="562">
        <v>46128</v>
      </c>
      <c r="K120" s="564" t="s">
        <v>760</v>
      </c>
      <c r="L120" s="564" t="s">
        <v>784</v>
      </c>
      <c r="M120" s="562">
        <v>46131</v>
      </c>
      <c r="N120" s="566" t="s">
        <v>776</v>
      </c>
      <c r="O120" s="564">
        <v>41.88</v>
      </c>
      <c r="P120" s="564"/>
      <c r="Q120" s="562"/>
      <c r="R120" s="561"/>
      <c r="S120" s="560"/>
    </row>
    <row r="121" spans="1:19" ht="18" x14ac:dyDescent="0.25">
      <c r="A121" s="564">
        <v>119</v>
      </c>
      <c r="B121" s="564" t="s">
        <v>445</v>
      </c>
      <c r="C121" s="565" t="s">
        <v>584</v>
      </c>
      <c r="D121" s="564" t="s">
        <v>92</v>
      </c>
      <c r="E121" s="564" t="s">
        <v>772</v>
      </c>
      <c r="F121" s="564" t="s">
        <v>773</v>
      </c>
      <c r="G121" s="564" t="s">
        <v>776</v>
      </c>
      <c r="H121" s="564" t="s">
        <v>770</v>
      </c>
      <c r="I121" s="562">
        <v>46211</v>
      </c>
      <c r="J121" s="562">
        <v>46213</v>
      </c>
      <c r="K121" s="564" t="s">
        <v>760</v>
      </c>
      <c r="L121" s="564" t="s">
        <v>784</v>
      </c>
      <c r="M121" s="562">
        <v>46214</v>
      </c>
      <c r="N121" s="566" t="s">
        <v>776</v>
      </c>
      <c r="O121" s="564">
        <v>73.494</v>
      </c>
      <c r="P121" s="564"/>
      <c r="Q121" s="562"/>
      <c r="R121" s="561"/>
      <c r="S121" s="560"/>
    </row>
    <row r="122" spans="1:19" ht="18" x14ac:dyDescent="0.25">
      <c r="A122" s="564">
        <v>120</v>
      </c>
      <c r="B122" s="564" t="s">
        <v>450</v>
      </c>
      <c r="C122" s="565" t="s">
        <v>270</v>
      </c>
      <c r="D122" s="564" t="s">
        <v>92</v>
      </c>
      <c r="E122" s="564" t="s">
        <v>772</v>
      </c>
      <c r="F122" s="564"/>
      <c r="G122" s="564" t="s">
        <v>776</v>
      </c>
      <c r="H122" s="564" t="s">
        <v>770</v>
      </c>
      <c r="I122" s="562">
        <v>46204</v>
      </c>
      <c r="J122" s="562">
        <v>46210</v>
      </c>
      <c r="K122" s="564" t="s">
        <v>760</v>
      </c>
      <c r="L122" s="564" t="s">
        <v>861</v>
      </c>
      <c r="M122" s="562">
        <v>46211</v>
      </c>
      <c r="N122" s="566" t="s">
        <v>776</v>
      </c>
      <c r="O122" s="564">
        <v>64.671999999999997</v>
      </c>
      <c r="P122" s="564" t="s">
        <v>667</v>
      </c>
      <c r="Q122" s="562">
        <v>46229</v>
      </c>
      <c r="R122" s="561">
        <v>46240</v>
      </c>
      <c r="S122" s="560" t="s">
        <v>910</v>
      </c>
    </row>
    <row r="123" spans="1:19" ht="18" x14ac:dyDescent="0.25">
      <c r="A123" s="564">
        <v>121</v>
      </c>
      <c r="B123" s="564" t="s">
        <v>312</v>
      </c>
      <c r="C123" s="565" t="s">
        <v>213</v>
      </c>
      <c r="D123" s="564" t="s">
        <v>92</v>
      </c>
      <c r="E123" s="564" t="s">
        <v>772</v>
      </c>
      <c r="F123" s="564" t="s">
        <v>776</v>
      </c>
      <c r="G123" s="564" t="s">
        <v>776</v>
      </c>
      <c r="H123" s="564" t="s">
        <v>770</v>
      </c>
      <c r="I123" s="562">
        <v>46172</v>
      </c>
      <c r="J123" s="562">
        <v>46174</v>
      </c>
      <c r="K123" s="564" t="s">
        <v>760</v>
      </c>
      <c r="L123" s="564" t="s">
        <v>784</v>
      </c>
      <c r="M123" s="562">
        <v>46176</v>
      </c>
      <c r="N123" s="566" t="s">
        <v>776</v>
      </c>
      <c r="O123" s="564">
        <v>36.771000000000001</v>
      </c>
      <c r="P123" s="564"/>
      <c r="Q123" s="562"/>
      <c r="R123" s="561"/>
      <c r="S123" s="560"/>
    </row>
    <row r="124" spans="1:19" ht="18" x14ac:dyDescent="0.25">
      <c r="A124" s="564">
        <v>122</v>
      </c>
      <c r="B124" s="564" t="s">
        <v>451</v>
      </c>
      <c r="C124" s="565" t="s">
        <v>237</v>
      </c>
      <c r="D124" s="564" t="s">
        <v>92</v>
      </c>
      <c r="E124" s="564" t="s">
        <v>772</v>
      </c>
      <c r="F124" s="564"/>
      <c r="G124" s="564" t="s">
        <v>776</v>
      </c>
      <c r="H124" s="564" t="s">
        <v>770</v>
      </c>
      <c r="I124" s="562">
        <v>46175</v>
      </c>
      <c r="J124" s="562">
        <v>46178</v>
      </c>
      <c r="K124" s="564" t="s">
        <v>760</v>
      </c>
      <c r="L124" s="564"/>
      <c r="M124" s="562"/>
      <c r="N124" s="566" t="s">
        <v>776</v>
      </c>
      <c r="O124" s="564">
        <v>54.72</v>
      </c>
      <c r="P124" s="564"/>
      <c r="Q124" s="562"/>
      <c r="R124" s="561"/>
      <c r="S124" s="560"/>
    </row>
    <row r="125" spans="1:19" ht="18" x14ac:dyDescent="0.25">
      <c r="A125" s="564">
        <v>123</v>
      </c>
      <c r="B125" s="564" t="s">
        <v>313</v>
      </c>
      <c r="C125" s="565" t="s">
        <v>211</v>
      </c>
      <c r="D125" s="564" t="s">
        <v>88</v>
      </c>
      <c r="E125" s="564" t="s">
        <v>772</v>
      </c>
      <c r="F125" s="564" t="s">
        <v>776</v>
      </c>
      <c r="G125" s="564" t="s">
        <v>776</v>
      </c>
      <c r="H125" s="564" t="s">
        <v>770</v>
      </c>
      <c r="I125" s="562">
        <v>45995</v>
      </c>
      <c r="J125" s="562">
        <v>46009</v>
      </c>
      <c r="K125" s="564" t="s">
        <v>686</v>
      </c>
      <c r="L125" s="564" t="s">
        <v>786</v>
      </c>
      <c r="M125" s="562">
        <v>46033</v>
      </c>
      <c r="N125" s="566" t="s">
        <v>776</v>
      </c>
      <c r="O125" s="564">
        <v>41.88</v>
      </c>
      <c r="P125" s="564"/>
      <c r="Q125" s="562"/>
      <c r="R125" s="561"/>
      <c r="S125" s="560"/>
    </row>
    <row r="126" spans="1:19" ht="18" x14ac:dyDescent="0.25">
      <c r="A126" s="564">
        <v>124</v>
      </c>
      <c r="B126" s="564" t="s">
        <v>314</v>
      </c>
      <c r="C126" s="565" t="s">
        <v>212</v>
      </c>
      <c r="D126" s="564" t="s">
        <v>88</v>
      </c>
      <c r="E126" s="564" t="s">
        <v>772</v>
      </c>
      <c r="F126" s="564" t="s">
        <v>776</v>
      </c>
      <c r="G126" s="564" t="s">
        <v>776</v>
      </c>
      <c r="H126" s="564" t="s">
        <v>770</v>
      </c>
      <c r="I126" s="562">
        <v>45995</v>
      </c>
      <c r="J126" s="562">
        <v>46015</v>
      </c>
      <c r="K126" s="564" t="s">
        <v>686</v>
      </c>
      <c r="L126" s="564" t="s">
        <v>786</v>
      </c>
      <c r="M126" s="562">
        <v>46033</v>
      </c>
      <c r="N126" s="566" t="s">
        <v>776</v>
      </c>
      <c r="O126" s="564">
        <v>35.088999999999999</v>
      </c>
      <c r="P126" s="564"/>
      <c r="Q126" s="562"/>
      <c r="R126" s="561"/>
      <c r="S126" s="560"/>
    </row>
    <row r="127" spans="1:19" ht="18" x14ac:dyDescent="0.25">
      <c r="A127" s="564">
        <v>125</v>
      </c>
      <c r="B127" s="564" t="s">
        <v>452</v>
      </c>
      <c r="C127" s="565" t="s">
        <v>214</v>
      </c>
      <c r="D127" s="564" t="s">
        <v>541</v>
      </c>
      <c r="E127" s="564" t="s">
        <v>772</v>
      </c>
      <c r="F127" s="564" t="s">
        <v>773</v>
      </c>
      <c r="G127" s="564" t="s">
        <v>776</v>
      </c>
      <c r="H127" s="564"/>
      <c r="I127" s="562"/>
      <c r="J127" s="562"/>
      <c r="K127" s="564"/>
      <c r="L127" s="564"/>
      <c r="M127" s="562"/>
      <c r="N127" s="566" t="s">
        <v>776</v>
      </c>
      <c r="O127" s="564">
        <v>62.500999999999998</v>
      </c>
      <c r="P127" s="564"/>
      <c r="Q127" s="562"/>
      <c r="R127" s="561"/>
      <c r="S127" s="560"/>
    </row>
    <row r="128" spans="1:19" ht="18" x14ac:dyDescent="0.25">
      <c r="A128" s="564">
        <v>126</v>
      </c>
      <c r="B128" s="564" t="s">
        <v>453</v>
      </c>
      <c r="C128" s="565" t="s">
        <v>214</v>
      </c>
      <c r="D128" s="564" t="s">
        <v>541</v>
      </c>
      <c r="E128" s="564" t="s">
        <v>776</v>
      </c>
      <c r="F128" s="564" t="s">
        <v>773</v>
      </c>
      <c r="G128" s="564" t="s">
        <v>776</v>
      </c>
      <c r="H128" s="564"/>
      <c r="I128" s="562"/>
      <c r="J128" s="562"/>
      <c r="K128" s="564"/>
      <c r="L128" s="564"/>
      <c r="M128" s="562"/>
      <c r="N128" s="566" t="s">
        <v>776</v>
      </c>
      <c r="O128" s="564">
        <v>62.500999999999998</v>
      </c>
      <c r="P128" s="564"/>
      <c r="Q128" s="562"/>
      <c r="R128" s="561"/>
      <c r="S128" s="560"/>
    </row>
    <row r="129" spans="1:19" ht="18" x14ac:dyDescent="0.25">
      <c r="A129" s="564">
        <v>127</v>
      </c>
      <c r="B129" s="564" t="s">
        <v>315</v>
      </c>
      <c r="C129" s="565" t="s">
        <v>213</v>
      </c>
      <c r="D129" s="564" t="s">
        <v>88</v>
      </c>
      <c r="E129" s="564" t="s">
        <v>776</v>
      </c>
      <c r="F129" s="564" t="s">
        <v>776</v>
      </c>
      <c r="G129" s="564" t="s">
        <v>776</v>
      </c>
      <c r="H129" s="564" t="s">
        <v>770</v>
      </c>
      <c r="I129" s="562">
        <v>46183</v>
      </c>
      <c r="J129" s="562">
        <v>46185</v>
      </c>
      <c r="K129" s="564" t="s">
        <v>760</v>
      </c>
      <c r="L129" s="564"/>
      <c r="M129" s="562"/>
      <c r="N129" s="566" t="s">
        <v>776</v>
      </c>
      <c r="O129" s="564">
        <v>36.771000000000001</v>
      </c>
      <c r="P129" s="564"/>
      <c r="Q129" s="562"/>
      <c r="R129" s="561"/>
      <c r="S129" s="560"/>
    </row>
    <row r="130" spans="1:19" ht="18" x14ac:dyDescent="0.25">
      <c r="A130" s="564">
        <v>128</v>
      </c>
      <c r="B130" s="564" t="s">
        <v>316</v>
      </c>
      <c r="C130" s="565" t="s">
        <v>212</v>
      </c>
      <c r="D130" s="564" t="s">
        <v>88</v>
      </c>
      <c r="E130" s="564" t="s">
        <v>772</v>
      </c>
      <c r="F130" s="564" t="s">
        <v>776</v>
      </c>
      <c r="G130" s="564" t="s">
        <v>776</v>
      </c>
      <c r="H130" s="564" t="s">
        <v>770</v>
      </c>
      <c r="I130" s="562">
        <v>46177</v>
      </c>
      <c r="J130" s="562">
        <v>46180</v>
      </c>
      <c r="K130" s="564" t="s">
        <v>760</v>
      </c>
      <c r="L130" s="564"/>
      <c r="M130" s="562"/>
      <c r="N130" s="566" t="s">
        <v>776</v>
      </c>
      <c r="O130" s="564">
        <v>35.088999999999999</v>
      </c>
      <c r="P130" s="564"/>
      <c r="Q130" s="562"/>
      <c r="R130" s="561"/>
      <c r="S130" s="560"/>
    </row>
    <row r="131" spans="1:19" ht="18" x14ac:dyDescent="0.25">
      <c r="A131" s="564">
        <v>129</v>
      </c>
      <c r="B131" s="564" t="s">
        <v>317</v>
      </c>
      <c r="C131" s="565" t="s">
        <v>212</v>
      </c>
      <c r="D131" s="564" t="s">
        <v>664</v>
      </c>
      <c r="E131" s="564" t="s">
        <v>776</v>
      </c>
      <c r="F131" s="564" t="s">
        <v>776</v>
      </c>
      <c r="G131" s="564" t="s">
        <v>776</v>
      </c>
      <c r="H131" s="564" t="s">
        <v>770</v>
      </c>
      <c r="I131" s="562">
        <v>46181</v>
      </c>
      <c r="J131" s="562">
        <v>46182</v>
      </c>
      <c r="K131" s="564" t="s">
        <v>760</v>
      </c>
      <c r="L131" s="564"/>
      <c r="M131" s="562"/>
      <c r="N131" s="566" t="s">
        <v>776</v>
      </c>
      <c r="O131" s="564">
        <v>35.088999999999999</v>
      </c>
      <c r="P131" s="564"/>
      <c r="Q131" s="562"/>
      <c r="R131" s="561"/>
      <c r="S131" s="560"/>
    </row>
    <row r="132" spans="1:19" ht="18" x14ac:dyDescent="0.25">
      <c r="A132" s="564">
        <v>130</v>
      </c>
      <c r="B132" s="564" t="s">
        <v>454</v>
      </c>
      <c r="C132" s="565" t="s">
        <v>269</v>
      </c>
      <c r="D132" s="564" t="s">
        <v>92</v>
      </c>
      <c r="E132" s="564" t="s">
        <v>776</v>
      </c>
      <c r="F132" s="564" t="s">
        <v>773</v>
      </c>
      <c r="G132" s="564" t="s">
        <v>776</v>
      </c>
      <c r="H132" s="564" t="s">
        <v>770</v>
      </c>
      <c r="I132" s="562">
        <v>46214</v>
      </c>
      <c r="J132" s="562">
        <v>46219</v>
      </c>
      <c r="K132" s="564" t="s">
        <v>760</v>
      </c>
      <c r="L132" s="564" t="s">
        <v>864</v>
      </c>
      <c r="M132" s="562">
        <v>46219</v>
      </c>
      <c r="N132" s="566" t="s">
        <v>776</v>
      </c>
      <c r="O132" s="564">
        <v>75.873999999999995</v>
      </c>
      <c r="P132" s="564"/>
      <c r="Q132" s="562"/>
      <c r="R132" s="561"/>
      <c r="S132" s="560"/>
    </row>
    <row r="133" spans="1:19" ht="18" x14ac:dyDescent="0.25">
      <c r="A133" s="564">
        <v>131</v>
      </c>
      <c r="B133" s="564" t="s">
        <v>455</v>
      </c>
      <c r="C133" s="565" t="s">
        <v>292</v>
      </c>
      <c r="D133" s="564" t="s">
        <v>92</v>
      </c>
      <c r="E133" s="564" t="s">
        <v>776</v>
      </c>
      <c r="F133" s="564" t="s">
        <v>773</v>
      </c>
      <c r="G133" s="564" t="s">
        <v>776</v>
      </c>
      <c r="H133" s="564"/>
      <c r="I133" s="562"/>
      <c r="J133" s="562"/>
      <c r="K133" s="564"/>
      <c r="L133" s="564"/>
      <c r="M133" s="562"/>
      <c r="N133" s="566" t="s">
        <v>776</v>
      </c>
      <c r="O133" s="564">
        <v>83.715999999999994</v>
      </c>
      <c r="P133" s="564"/>
      <c r="Q133" s="562"/>
      <c r="R133" s="561"/>
      <c r="S133" s="560"/>
    </row>
    <row r="134" spans="1:19" ht="18" x14ac:dyDescent="0.25">
      <c r="A134" s="564">
        <v>132</v>
      </c>
      <c r="B134" s="564" t="s">
        <v>318</v>
      </c>
      <c r="C134" s="565" t="s">
        <v>212</v>
      </c>
      <c r="D134" s="564" t="s">
        <v>542</v>
      </c>
      <c r="E134" s="564" t="s">
        <v>772</v>
      </c>
      <c r="F134" s="564" t="s">
        <v>776</v>
      </c>
      <c r="G134" s="564" t="s">
        <v>776</v>
      </c>
      <c r="H134" s="564" t="s">
        <v>770</v>
      </c>
      <c r="I134" s="562">
        <v>45968</v>
      </c>
      <c r="J134" s="562">
        <v>45986</v>
      </c>
      <c r="K134" s="564" t="s">
        <v>89</v>
      </c>
      <c r="L134" s="564" t="s">
        <v>786</v>
      </c>
      <c r="M134" s="562">
        <v>45992</v>
      </c>
      <c r="N134" s="566" t="s">
        <v>776</v>
      </c>
      <c r="O134" s="564">
        <v>35.088999999999999</v>
      </c>
      <c r="P134" s="564" t="s">
        <v>667</v>
      </c>
      <c r="Q134" s="562">
        <v>46023</v>
      </c>
      <c r="R134" s="561">
        <v>46035</v>
      </c>
      <c r="S134" s="560" t="s">
        <v>691</v>
      </c>
    </row>
    <row r="135" spans="1:19" ht="18" x14ac:dyDescent="0.25">
      <c r="A135" s="564">
        <v>133</v>
      </c>
      <c r="B135" s="564" t="s">
        <v>320</v>
      </c>
      <c r="C135" s="565" t="s">
        <v>212</v>
      </c>
      <c r="D135" s="564" t="s">
        <v>542</v>
      </c>
      <c r="E135" s="564" t="s">
        <v>772</v>
      </c>
      <c r="F135" s="564" t="s">
        <v>776</v>
      </c>
      <c r="G135" s="564" t="s">
        <v>776</v>
      </c>
      <c r="H135" s="564" t="s">
        <v>770</v>
      </c>
      <c r="I135" s="562">
        <v>45979</v>
      </c>
      <c r="J135" s="562">
        <v>45991</v>
      </c>
      <c r="K135" s="564" t="s">
        <v>89</v>
      </c>
      <c r="L135" s="564" t="s">
        <v>786</v>
      </c>
      <c r="M135" s="562">
        <v>46010</v>
      </c>
      <c r="N135" s="566" t="s">
        <v>776</v>
      </c>
      <c r="O135" s="564">
        <v>35.088999999999999</v>
      </c>
      <c r="P135" s="564" t="s">
        <v>667</v>
      </c>
      <c r="Q135" s="562">
        <v>46016</v>
      </c>
      <c r="R135" s="561">
        <v>46030</v>
      </c>
      <c r="S135" s="560" t="s">
        <v>691</v>
      </c>
    </row>
    <row r="136" spans="1:19" ht="18" x14ac:dyDescent="0.25">
      <c r="A136" s="564">
        <v>134</v>
      </c>
      <c r="B136" s="564" t="s">
        <v>321</v>
      </c>
      <c r="C136" s="565" t="s">
        <v>212</v>
      </c>
      <c r="D136" s="564" t="s">
        <v>92</v>
      </c>
      <c r="E136" s="564" t="s">
        <v>772</v>
      </c>
      <c r="F136" s="564" t="s">
        <v>776</v>
      </c>
      <c r="G136" s="564" t="s">
        <v>776</v>
      </c>
      <c r="H136" s="564" t="s">
        <v>770</v>
      </c>
      <c r="I136" s="562">
        <v>45968</v>
      </c>
      <c r="J136" s="562">
        <v>45980</v>
      </c>
      <c r="K136" s="564" t="s">
        <v>89</v>
      </c>
      <c r="L136" s="564" t="s">
        <v>784</v>
      </c>
      <c r="M136" s="562">
        <v>46153</v>
      </c>
      <c r="N136" s="566" t="s">
        <v>776</v>
      </c>
      <c r="O136" s="564">
        <v>35.088999999999999</v>
      </c>
      <c r="P136" s="564" t="s">
        <v>667</v>
      </c>
      <c r="Q136" s="562">
        <v>46013</v>
      </c>
      <c r="R136" s="561">
        <v>46022</v>
      </c>
      <c r="S136" s="560" t="s">
        <v>691</v>
      </c>
    </row>
    <row r="137" spans="1:19" ht="18" x14ac:dyDescent="0.25">
      <c r="A137" s="564">
        <v>135</v>
      </c>
      <c r="B137" s="564" t="s">
        <v>322</v>
      </c>
      <c r="C137" s="565" t="s">
        <v>212</v>
      </c>
      <c r="D137" s="564" t="s">
        <v>542</v>
      </c>
      <c r="E137" s="564" t="s">
        <v>772</v>
      </c>
      <c r="F137" s="564" t="s">
        <v>776</v>
      </c>
      <c r="G137" s="564" t="s">
        <v>776</v>
      </c>
      <c r="H137" s="564" t="s">
        <v>770</v>
      </c>
      <c r="I137" s="562">
        <v>45917</v>
      </c>
      <c r="J137" s="562">
        <v>45961</v>
      </c>
      <c r="K137" s="564" t="s">
        <v>687</v>
      </c>
      <c r="L137" s="564"/>
      <c r="M137" s="562"/>
      <c r="N137" s="566" t="s">
        <v>776</v>
      </c>
      <c r="O137" s="564">
        <v>35.088999999999999</v>
      </c>
      <c r="P137" s="564" t="s">
        <v>667</v>
      </c>
      <c r="Q137" s="562">
        <v>46029</v>
      </c>
      <c r="R137" s="561">
        <v>46038</v>
      </c>
      <c r="S137" s="560" t="s">
        <v>670</v>
      </c>
    </row>
    <row r="138" spans="1:19" ht="18" x14ac:dyDescent="0.25">
      <c r="A138" s="564">
        <v>136</v>
      </c>
      <c r="B138" s="564" t="s">
        <v>323</v>
      </c>
      <c r="C138" s="565" t="s">
        <v>212</v>
      </c>
      <c r="D138" s="564" t="s">
        <v>88</v>
      </c>
      <c r="E138" s="564" t="s">
        <v>772</v>
      </c>
      <c r="F138" s="564" t="s">
        <v>776</v>
      </c>
      <c r="G138" s="564" t="s">
        <v>776</v>
      </c>
      <c r="H138" s="564" t="s">
        <v>770</v>
      </c>
      <c r="I138" s="562">
        <v>46185</v>
      </c>
      <c r="J138" s="562">
        <v>46188</v>
      </c>
      <c r="K138" s="564" t="s">
        <v>760</v>
      </c>
      <c r="L138" s="564"/>
      <c r="M138" s="562"/>
      <c r="N138" s="566" t="s">
        <v>776</v>
      </c>
      <c r="O138" s="564">
        <v>35.088999999999999</v>
      </c>
      <c r="P138" s="564"/>
      <c r="Q138" s="562"/>
      <c r="R138" s="561"/>
      <c r="S138" s="560"/>
    </row>
    <row r="139" spans="1:19" ht="18" x14ac:dyDescent="0.25">
      <c r="A139" s="564">
        <v>137</v>
      </c>
      <c r="B139" s="564" t="s">
        <v>324</v>
      </c>
      <c r="C139" s="565" t="s">
        <v>212</v>
      </c>
      <c r="D139" s="564" t="s">
        <v>88</v>
      </c>
      <c r="E139" s="564" t="s">
        <v>772</v>
      </c>
      <c r="F139" s="564" t="s">
        <v>776</v>
      </c>
      <c r="G139" s="564" t="s">
        <v>776</v>
      </c>
      <c r="H139" s="564" t="s">
        <v>770</v>
      </c>
      <c r="I139" s="562">
        <v>45988</v>
      </c>
      <c r="J139" s="562">
        <v>46003</v>
      </c>
      <c r="K139" s="564" t="s">
        <v>89</v>
      </c>
      <c r="L139" s="564" t="s">
        <v>786</v>
      </c>
      <c r="M139" s="562">
        <v>46011</v>
      </c>
      <c r="N139" s="566" t="s">
        <v>776</v>
      </c>
      <c r="O139" s="564">
        <v>35.088999999999999</v>
      </c>
      <c r="P139" s="564"/>
      <c r="Q139" s="562"/>
      <c r="R139" s="561"/>
      <c r="S139" s="560"/>
    </row>
    <row r="140" spans="1:19" ht="18" x14ac:dyDescent="0.25">
      <c r="A140" s="564">
        <v>138</v>
      </c>
      <c r="B140" s="564" t="s">
        <v>325</v>
      </c>
      <c r="C140" s="565" t="s">
        <v>212</v>
      </c>
      <c r="D140" s="564" t="s">
        <v>92</v>
      </c>
      <c r="E140" s="564" t="s">
        <v>772</v>
      </c>
      <c r="F140" s="564" t="s">
        <v>776</v>
      </c>
      <c r="G140" s="564" t="s">
        <v>776</v>
      </c>
      <c r="H140" s="564" t="s">
        <v>770</v>
      </c>
      <c r="I140" s="562">
        <v>45963</v>
      </c>
      <c r="J140" s="562">
        <v>45970</v>
      </c>
      <c r="K140" s="564" t="s">
        <v>687</v>
      </c>
      <c r="L140" s="564" t="s">
        <v>784</v>
      </c>
      <c r="M140" s="562">
        <v>46153</v>
      </c>
      <c r="N140" s="566" t="s">
        <v>776</v>
      </c>
      <c r="O140" s="564">
        <v>35.088999999999999</v>
      </c>
      <c r="P140" s="564" t="s">
        <v>667</v>
      </c>
      <c r="Q140" s="562">
        <v>46039</v>
      </c>
      <c r="R140" s="561">
        <v>46043</v>
      </c>
      <c r="S140" s="560" t="s">
        <v>670</v>
      </c>
    </row>
    <row r="141" spans="1:19" ht="18" x14ac:dyDescent="0.25">
      <c r="A141" s="564">
        <v>139</v>
      </c>
      <c r="B141" s="564" t="s">
        <v>326</v>
      </c>
      <c r="C141" s="565" t="s">
        <v>212</v>
      </c>
      <c r="D141" s="564" t="s">
        <v>92</v>
      </c>
      <c r="E141" s="564" t="s">
        <v>772</v>
      </c>
      <c r="F141" s="564" t="s">
        <v>776</v>
      </c>
      <c r="G141" s="564" t="s">
        <v>776</v>
      </c>
      <c r="H141" s="564" t="s">
        <v>770</v>
      </c>
      <c r="I141" s="562">
        <v>45963</v>
      </c>
      <c r="J141" s="562">
        <v>45974</v>
      </c>
      <c r="K141" s="564" t="s">
        <v>89</v>
      </c>
      <c r="L141" s="564" t="s">
        <v>784</v>
      </c>
      <c r="M141" s="562">
        <v>46152</v>
      </c>
      <c r="N141" s="566" t="s">
        <v>776</v>
      </c>
      <c r="O141" s="564">
        <v>35.088999999999999</v>
      </c>
      <c r="P141" s="564"/>
      <c r="Q141" s="562"/>
      <c r="R141" s="561"/>
      <c r="S141" s="560"/>
    </row>
    <row r="142" spans="1:19" ht="18" x14ac:dyDescent="0.25">
      <c r="A142" s="564">
        <v>140</v>
      </c>
      <c r="B142" s="564" t="s">
        <v>327</v>
      </c>
      <c r="C142" s="565" t="s">
        <v>212</v>
      </c>
      <c r="D142" s="564" t="s">
        <v>92</v>
      </c>
      <c r="E142" s="564" t="s">
        <v>772</v>
      </c>
      <c r="F142" s="564" t="s">
        <v>776</v>
      </c>
      <c r="G142" s="564" t="s">
        <v>776</v>
      </c>
      <c r="H142" s="564" t="s">
        <v>770</v>
      </c>
      <c r="I142" s="562">
        <v>46055</v>
      </c>
      <c r="J142" s="562">
        <v>46063</v>
      </c>
      <c r="K142" s="564" t="s">
        <v>89</v>
      </c>
      <c r="L142" s="564" t="s">
        <v>784</v>
      </c>
      <c r="M142" s="562">
        <v>46066</v>
      </c>
      <c r="N142" s="566" t="s">
        <v>776</v>
      </c>
      <c r="O142" s="564">
        <v>35.088999999999999</v>
      </c>
      <c r="P142" s="564" t="s">
        <v>667</v>
      </c>
      <c r="Q142" s="562">
        <v>46077</v>
      </c>
      <c r="R142" s="561">
        <v>46081</v>
      </c>
      <c r="S142" s="560" t="s">
        <v>732</v>
      </c>
    </row>
    <row r="143" spans="1:19" ht="18" x14ac:dyDescent="0.25">
      <c r="A143" s="564">
        <v>141</v>
      </c>
      <c r="B143" s="564" t="s">
        <v>328</v>
      </c>
      <c r="C143" s="565" t="s">
        <v>213</v>
      </c>
      <c r="D143" s="564" t="s">
        <v>542</v>
      </c>
      <c r="E143" s="564" t="s">
        <v>772</v>
      </c>
      <c r="F143" s="564" t="s">
        <v>776</v>
      </c>
      <c r="G143" s="564" t="s">
        <v>776</v>
      </c>
      <c r="H143" s="564" t="s">
        <v>770</v>
      </c>
      <c r="I143" s="562">
        <v>45957</v>
      </c>
      <c r="J143" s="562">
        <v>45966</v>
      </c>
      <c r="K143" s="564" t="s">
        <v>687</v>
      </c>
      <c r="L143" s="564"/>
      <c r="M143" s="562"/>
      <c r="N143" s="566" t="s">
        <v>776</v>
      </c>
      <c r="O143" s="564">
        <v>36.771000000000001</v>
      </c>
      <c r="P143" s="564" t="s">
        <v>667</v>
      </c>
      <c r="Q143" s="562">
        <v>46048</v>
      </c>
      <c r="R143" s="561">
        <v>46052</v>
      </c>
      <c r="S143" s="560" t="s">
        <v>670</v>
      </c>
    </row>
    <row r="144" spans="1:19" ht="18" x14ac:dyDescent="0.25">
      <c r="A144" s="564">
        <v>142</v>
      </c>
      <c r="B144" s="564" t="s">
        <v>456</v>
      </c>
      <c r="C144" s="565" t="s">
        <v>214</v>
      </c>
      <c r="D144" s="564" t="s">
        <v>541</v>
      </c>
      <c r="E144" s="564" t="s">
        <v>776</v>
      </c>
      <c r="F144" s="564" t="s">
        <v>773</v>
      </c>
      <c r="G144" s="564" t="s">
        <v>776</v>
      </c>
      <c r="H144" s="564" t="s">
        <v>770</v>
      </c>
      <c r="I144" s="562">
        <v>46225</v>
      </c>
      <c r="J144" s="562">
        <v>46229</v>
      </c>
      <c r="K144" s="564" t="s">
        <v>917</v>
      </c>
      <c r="L144" s="564"/>
      <c r="M144" s="562">
        <v>46231</v>
      </c>
      <c r="N144" s="566" t="s">
        <v>776</v>
      </c>
      <c r="O144" s="564">
        <v>62.500999999999998</v>
      </c>
      <c r="P144" s="564"/>
      <c r="Q144" s="562"/>
      <c r="R144" s="561"/>
      <c r="S144" s="560"/>
    </row>
    <row r="145" spans="1:19" ht="18" x14ac:dyDescent="0.25">
      <c r="A145" s="564">
        <v>143</v>
      </c>
      <c r="B145" s="564" t="s">
        <v>329</v>
      </c>
      <c r="C145" s="565" t="s">
        <v>213</v>
      </c>
      <c r="D145" s="564" t="s">
        <v>88</v>
      </c>
      <c r="E145" s="564" t="s">
        <v>776</v>
      </c>
      <c r="F145" s="564" t="s">
        <v>776</v>
      </c>
      <c r="G145" s="564" t="s">
        <v>776</v>
      </c>
      <c r="H145" s="564" t="s">
        <v>770</v>
      </c>
      <c r="I145" s="562">
        <v>46222</v>
      </c>
      <c r="J145" s="562">
        <v>46224</v>
      </c>
      <c r="K145" s="564" t="s">
        <v>917</v>
      </c>
      <c r="L145" s="564"/>
      <c r="M145" s="562"/>
      <c r="N145" s="566" t="s">
        <v>776</v>
      </c>
      <c r="O145" s="564">
        <v>36.771000000000001</v>
      </c>
      <c r="P145" s="564"/>
      <c r="Q145" s="562"/>
      <c r="R145" s="561"/>
      <c r="S145" s="560"/>
    </row>
    <row r="146" spans="1:19" ht="18" x14ac:dyDescent="0.25">
      <c r="A146" s="564">
        <v>144</v>
      </c>
      <c r="B146" s="564" t="s">
        <v>330</v>
      </c>
      <c r="C146" s="565" t="s">
        <v>213</v>
      </c>
      <c r="D146" s="564" t="s">
        <v>541</v>
      </c>
      <c r="E146" s="564" t="s">
        <v>772</v>
      </c>
      <c r="F146" s="564" t="s">
        <v>776</v>
      </c>
      <c r="G146" s="564" t="s">
        <v>776</v>
      </c>
      <c r="H146" s="564"/>
      <c r="I146" s="562"/>
      <c r="J146" s="562"/>
      <c r="K146" s="564"/>
      <c r="L146" s="564"/>
      <c r="M146" s="562"/>
      <c r="N146" s="566"/>
      <c r="O146" s="564"/>
      <c r="P146" s="564"/>
      <c r="Q146" s="562"/>
      <c r="R146" s="561"/>
      <c r="S146" s="560"/>
    </row>
    <row r="147" spans="1:19" ht="18" x14ac:dyDescent="0.25">
      <c r="A147" s="564">
        <v>145</v>
      </c>
      <c r="B147" s="564" t="s">
        <v>331</v>
      </c>
      <c r="C147" s="565" t="s">
        <v>212</v>
      </c>
      <c r="D147" s="564" t="s">
        <v>542</v>
      </c>
      <c r="E147" s="564" t="s">
        <v>772</v>
      </c>
      <c r="F147" s="564" t="s">
        <v>776</v>
      </c>
      <c r="G147" s="564" t="s">
        <v>776</v>
      </c>
      <c r="H147" s="564" t="s">
        <v>770</v>
      </c>
      <c r="I147" s="562">
        <v>46048</v>
      </c>
      <c r="J147" s="562">
        <v>46059</v>
      </c>
      <c r="K147" s="564" t="s">
        <v>89</v>
      </c>
      <c r="L147" s="564" t="s">
        <v>786</v>
      </c>
      <c r="M147" s="562">
        <v>46067</v>
      </c>
      <c r="N147" s="566" t="s">
        <v>776</v>
      </c>
      <c r="O147" s="564">
        <v>35.088999999999999</v>
      </c>
      <c r="P147" s="564"/>
      <c r="Q147" s="562"/>
      <c r="R147" s="561"/>
      <c r="S147" s="560"/>
    </row>
    <row r="148" spans="1:19" ht="18" x14ac:dyDescent="0.25">
      <c r="A148" s="564">
        <v>146</v>
      </c>
      <c r="B148" s="564" t="s">
        <v>458</v>
      </c>
      <c r="C148" s="565" t="s">
        <v>214</v>
      </c>
      <c r="D148" s="564" t="s">
        <v>92</v>
      </c>
      <c r="E148" s="564" t="s">
        <v>772</v>
      </c>
      <c r="F148" s="564" t="s">
        <v>773</v>
      </c>
      <c r="G148" s="564" t="s">
        <v>776</v>
      </c>
      <c r="H148" s="564"/>
      <c r="I148" s="562"/>
      <c r="J148" s="562"/>
      <c r="K148" s="564"/>
      <c r="L148" s="564"/>
      <c r="M148" s="562"/>
      <c r="N148" s="566" t="s">
        <v>776</v>
      </c>
      <c r="O148" s="564">
        <v>62.500999999999998</v>
      </c>
      <c r="P148" s="564"/>
      <c r="Q148" s="562"/>
      <c r="R148" s="561"/>
      <c r="S148" s="560"/>
    </row>
    <row r="149" spans="1:19" ht="18" x14ac:dyDescent="0.25">
      <c r="A149" s="564">
        <v>147</v>
      </c>
      <c r="B149" s="564" t="s">
        <v>332</v>
      </c>
      <c r="C149" s="565" t="s">
        <v>213</v>
      </c>
      <c r="D149" s="564" t="s">
        <v>664</v>
      </c>
      <c r="E149" s="564" t="s">
        <v>772</v>
      </c>
      <c r="F149" s="564" t="s">
        <v>776</v>
      </c>
      <c r="G149" s="564" t="s">
        <v>776</v>
      </c>
      <c r="H149" s="564" t="s">
        <v>770</v>
      </c>
      <c r="I149" s="562">
        <v>45997</v>
      </c>
      <c r="J149" s="562">
        <v>46016</v>
      </c>
      <c r="K149" s="564" t="s">
        <v>89</v>
      </c>
      <c r="L149" s="564" t="s">
        <v>786</v>
      </c>
      <c r="M149" s="562">
        <v>46020</v>
      </c>
      <c r="N149" s="566" t="s">
        <v>776</v>
      </c>
      <c r="O149" s="564">
        <v>36.771000000000001</v>
      </c>
      <c r="P149" s="564"/>
      <c r="Q149" s="562"/>
      <c r="R149" s="561"/>
      <c r="S149" s="560"/>
    </row>
    <row r="150" spans="1:19" ht="18" x14ac:dyDescent="0.25">
      <c r="A150" s="564">
        <v>148</v>
      </c>
      <c r="B150" s="564" t="s">
        <v>333</v>
      </c>
      <c r="C150" s="565" t="s">
        <v>211</v>
      </c>
      <c r="D150" s="564" t="s">
        <v>92</v>
      </c>
      <c r="E150" s="564" t="s">
        <v>772</v>
      </c>
      <c r="F150" s="564" t="s">
        <v>776</v>
      </c>
      <c r="G150" s="564" t="s">
        <v>776</v>
      </c>
      <c r="H150" s="564" t="s">
        <v>770</v>
      </c>
      <c r="I150" s="562">
        <v>46017</v>
      </c>
      <c r="J150" s="562">
        <v>46027</v>
      </c>
      <c r="K150" s="564" t="s">
        <v>89</v>
      </c>
      <c r="L150" s="564" t="s">
        <v>784</v>
      </c>
      <c r="M150" s="562">
        <v>46129</v>
      </c>
      <c r="N150" s="566" t="s">
        <v>776</v>
      </c>
      <c r="O150" s="564">
        <v>41.88</v>
      </c>
      <c r="P150" s="564" t="s">
        <v>667</v>
      </c>
      <c r="Q150" s="562">
        <v>46049</v>
      </c>
      <c r="R150" s="561">
        <v>46053</v>
      </c>
      <c r="S150" s="560" t="s">
        <v>690</v>
      </c>
    </row>
    <row r="151" spans="1:19" ht="18" x14ac:dyDescent="0.25">
      <c r="A151" s="564">
        <v>149</v>
      </c>
      <c r="B151" s="564" t="s">
        <v>334</v>
      </c>
      <c r="C151" s="565" t="s">
        <v>248</v>
      </c>
      <c r="D151" s="564" t="s">
        <v>92</v>
      </c>
      <c r="E151" s="564" t="s">
        <v>772</v>
      </c>
      <c r="F151" s="564" t="s">
        <v>776</v>
      </c>
      <c r="G151" s="564" t="s">
        <v>776</v>
      </c>
      <c r="H151" s="564" t="s">
        <v>770</v>
      </c>
      <c r="I151" s="562">
        <v>46010</v>
      </c>
      <c r="J151" s="562">
        <v>46021</v>
      </c>
      <c r="K151" s="564" t="s">
        <v>89</v>
      </c>
      <c r="L151" s="564" t="s">
        <v>784</v>
      </c>
      <c r="M151" s="562">
        <v>46129</v>
      </c>
      <c r="N151" s="566" t="s">
        <v>776</v>
      </c>
      <c r="O151" s="564">
        <v>43.575000000000003</v>
      </c>
      <c r="P151" s="564" t="s">
        <v>667</v>
      </c>
      <c r="Q151" s="562">
        <v>46054</v>
      </c>
      <c r="R151" s="561">
        <v>46057</v>
      </c>
      <c r="S151" s="560" t="s">
        <v>690</v>
      </c>
    </row>
    <row r="152" spans="1:19" ht="18" x14ac:dyDescent="0.25">
      <c r="A152" s="564">
        <v>150</v>
      </c>
      <c r="B152" s="564" t="s">
        <v>459</v>
      </c>
      <c r="C152" s="565" t="s">
        <v>311</v>
      </c>
      <c r="D152" s="564" t="s">
        <v>92</v>
      </c>
      <c r="E152" s="564" t="s">
        <v>776</v>
      </c>
      <c r="F152" s="564"/>
      <c r="G152" s="564" t="s">
        <v>776</v>
      </c>
      <c r="H152" s="564"/>
      <c r="I152" s="562"/>
      <c r="J152" s="562"/>
      <c r="K152" s="564"/>
      <c r="L152" s="564"/>
      <c r="M152" s="562"/>
      <c r="N152" s="566" t="s">
        <v>776</v>
      </c>
      <c r="O152" s="564">
        <v>66.436000000000007</v>
      </c>
      <c r="P152" s="564"/>
      <c r="Q152" s="562"/>
      <c r="R152" s="561"/>
      <c r="S152" s="560"/>
    </row>
    <row r="153" spans="1:19" ht="18" x14ac:dyDescent="0.25">
      <c r="A153" s="564">
        <v>151</v>
      </c>
      <c r="B153" s="564" t="s">
        <v>94</v>
      </c>
      <c r="C153" s="565" t="s">
        <v>211</v>
      </c>
      <c r="D153" s="564" t="s">
        <v>541</v>
      </c>
      <c r="E153" s="564" t="s">
        <v>772</v>
      </c>
      <c r="F153" s="564" t="s">
        <v>776</v>
      </c>
      <c r="G153" s="564" t="s">
        <v>776</v>
      </c>
      <c r="H153" s="564" t="s">
        <v>770</v>
      </c>
      <c r="I153" s="562">
        <v>45898</v>
      </c>
      <c r="J153" s="562">
        <v>45940</v>
      </c>
      <c r="K153" s="564" t="s">
        <v>89</v>
      </c>
      <c r="L153" s="564" t="s">
        <v>784</v>
      </c>
      <c r="M153" s="562">
        <v>46021</v>
      </c>
      <c r="N153" s="566" t="s">
        <v>776</v>
      </c>
      <c r="O153" s="564">
        <v>41.88</v>
      </c>
      <c r="P153" s="564" t="s">
        <v>667</v>
      </c>
      <c r="Q153" s="562">
        <v>46041</v>
      </c>
      <c r="R153" s="561">
        <v>46047</v>
      </c>
      <c r="S153" s="560" t="s">
        <v>690</v>
      </c>
    </row>
    <row r="154" spans="1:19" ht="18" x14ac:dyDescent="0.25">
      <c r="A154" s="564">
        <v>152</v>
      </c>
      <c r="B154" s="564" t="s">
        <v>335</v>
      </c>
      <c r="C154" s="565" t="s">
        <v>248</v>
      </c>
      <c r="D154" s="564" t="s">
        <v>541</v>
      </c>
      <c r="E154" s="564" t="s">
        <v>772</v>
      </c>
      <c r="F154" s="564" t="s">
        <v>776</v>
      </c>
      <c r="G154" s="564" t="s">
        <v>776</v>
      </c>
      <c r="H154" s="564" t="s">
        <v>770</v>
      </c>
      <c r="I154" s="562">
        <v>46230</v>
      </c>
      <c r="J154" s="562">
        <v>46231</v>
      </c>
      <c r="K154" s="564" t="s">
        <v>917</v>
      </c>
      <c r="L154" s="564"/>
      <c r="M154" s="562"/>
      <c r="N154" s="566" t="s">
        <v>776</v>
      </c>
      <c r="O154" s="564">
        <v>43.575000000000003</v>
      </c>
      <c r="P154" s="564"/>
      <c r="Q154" s="562"/>
      <c r="R154" s="561"/>
      <c r="S154" s="560"/>
    </row>
    <row r="155" spans="1:19" ht="18" x14ac:dyDescent="0.25">
      <c r="A155" s="564">
        <v>153</v>
      </c>
      <c r="B155" s="564" t="s">
        <v>336</v>
      </c>
      <c r="C155" s="565" t="s">
        <v>564</v>
      </c>
      <c r="D155" s="564" t="s">
        <v>541</v>
      </c>
      <c r="E155" s="564" t="s">
        <v>772</v>
      </c>
      <c r="F155" s="564" t="s">
        <v>776</v>
      </c>
      <c r="G155" s="564" t="s">
        <v>776</v>
      </c>
      <c r="H155" s="564"/>
      <c r="I155" s="562"/>
      <c r="J155" s="562"/>
      <c r="K155" s="564"/>
      <c r="L155" s="564"/>
      <c r="M155" s="562"/>
      <c r="N155" s="566" t="s">
        <v>776</v>
      </c>
      <c r="O155" s="564">
        <v>57.484000000000002</v>
      </c>
      <c r="P155" s="564"/>
      <c r="Q155" s="562"/>
      <c r="R155" s="561"/>
      <c r="S155" s="560"/>
    </row>
    <row r="156" spans="1:19" ht="18" x14ac:dyDescent="0.25">
      <c r="A156" s="564">
        <v>154</v>
      </c>
      <c r="B156" s="564" t="s">
        <v>337</v>
      </c>
      <c r="C156" s="565" t="s">
        <v>213</v>
      </c>
      <c r="D156" s="564" t="s">
        <v>541</v>
      </c>
      <c r="E156" s="564" t="s">
        <v>772</v>
      </c>
      <c r="F156" s="564" t="s">
        <v>776</v>
      </c>
      <c r="G156" s="564" t="s">
        <v>776</v>
      </c>
      <c r="H156" s="564" t="s">
        <v>770</v>
      </c>
      <c r="I156" s="562">
        <v>45923</v>
      </c>
      <c r="J156" s="562">
        <v>45957</v>
      </c>
      <c r="K156" s="564" t="s">
        <v>89</v>
      </c>
      <c r="L156" s="564"/>
      <c r="M156" s="562"/>
      <c r="N156" s="566" t="s">
        <v>776</v>
      </c>
      <c r="O156" s="564">
        <v>36.771000000000001</v>
      </c>
      <c r="P156" s="564"/>
      <c r="Q156" s="562"/>
      <c r="R156" s="561"/>
      <c r="S156" s="560"/>
    </row>
    <row r="157" spans="1:19" ht="18" x14ac:dyDescent="0.25">
      <c r="A157" s="564">
        <v>155</v>
      </c>
      <c r="B157" s="564" t="s">
        <v>96</v>
      </c>
      <c r="C157" s="565" t="s">
        <v>212</v>
      </c>
      <c r="D157" s="564" t="s">
        <v>542</v>
      </c>
      <c r="E157" s="564" t="s">
        <v>772</v>
      </c>
      <c r="F157" s="564" t="s">
        <v>776</v>
      </c>
      <c r="G157" s="564" t="s">
        <v>776</v>
      </c>
      <c r="H157" s="564" t="s">
        <v>770</v>
      </c>
      <c r="I157" s="562">
        <v>45902</v>
      </c>
      <c r="J157" s="562">
        <v>45918</v>
      </c>
      <c r="K157" s="564" t="s">
        <v>89</v>
      </c>
      <c r="L157" s="564" t="s">
        <v>786</v>
      </c>
      <c r="M157" s="562">
        <v>45924</v>
      </c>
      <c r="N157" s="566" t="s">
        <v>776</v>
      </c>
      <c r="O157" s="564">
        <v>35.088999999999999</v>
      </c>
      <c r="P157" s="564" t="s">
        <v>667</v>
      </c>
      <c r="Q157" s="562">
        <v>46037</v>
      </c>
      <c r="R157" s="561">
        <v>46042</v>
      </c>
      <c r="S157" s="560" t="s">
        <v>690</v>
      </c>
    </row>
    <row r="158" spans="1:19" ht="18" x14ac:dyDescent="0.25">
      <c r="A158" s="564">
        <v>156</v>
      </c>
      <c r="B158" s="564" t="s">
        <v>461</v>
      </c>
      <c r="C158" s="565" t="s">
        <v>292</v>
      </c>
      <c r="D158" s="564" t="s">
        <v>92</v>
      </c>
      <c r="E158" s="564" t="s">
        <v>776</v>
      </c>
      <c r="F158" s="564" t="s">
        <v>773</v>
      </c>
      <c r="G158" s="564" t="s">
        <v>776</v>
      </c>
      <c r="H158" s="564"/>
      <c r="I158" s="562"/>
      <c r="J158" s="562"/>
      <c r="K158" s="564"/>
      <c r="L158" s="564"/>
      <c r="M158" s="562"/>
      <c r="N158" s="566" t="s">
        <v>776</v>
      </c>
      <c r="O158" s="564">
        <v>83.715999999999994</v>
      </c>
      <c r="P158" s="564"/>
      <c r="Q158" s="562"/>
      <c r="R158" s="561"/>
      <c r="S158" s="560"/>
    </row>
    <row r="159" spans="1:19" ht="18" x14ac:dyDescent="0.25">
      <c r="A159" s="564">
        <v>157</v>
      </c>
      <c r="B159" s="564" t="s">
        <v>93</v>
      </c>
      <c r="C159" s="565" t="s">
        <v>212</v>
      </c>
      <c r="D159" s="564" t="s">
        <v>92</v>
      </c>
      <c r="E159" s="564" t="s">
        <v>772</v>
      </c>
      <c r="F159" s="564" t="s">
        <v>776</v>
      </c>
      <c r="G159" s="564" t="s">
        <v>776</v>
      </c>
      <c r="H159" s="564" t="s">
        <v>770</v>
      </c>
      <c r="I159" s="562">
        <v>45892</v>
      </c>
      <c r="J159" s="562">
        <v>45913</v>
      </c>
      <c r="K159" s="564" t="s">
        <v>89</v>
      </c>
      <c r="L159" s="564" t="s">
        <v>784</v>
      </c>
      <c r="M159" s="562">
        <v>46151</v>
      </c>
      <c r="N159" s="566" t="s">
        <v>776</v>
      </c>
      <c r="O159" s="564">
        <v>35.088999999999999</v>
      </c>
      <c r="P159" s="564" t="s">
        <v>667</v>
      </c>
      <c r="Q159" s="562">
        <v>46063</v>
      </c>
      <c r="R159" s="561">
        <v>46066</v>
      </c>
      <c r="S159" s="560" t="s">
        <v>693</v>
      </c>
    </row>
    <row r="160" spans="1:19" ht="18" x14ac:dyDescent="0.25">
      <c r="A160" s="564">
        <v>158</v>
      </c>
      <c r="B160" s="564" t="s">
        <v>90</v>
      </c>
      <c r="C160" s="565" t="s">
        <v>213</v>
      </c>
      <c r="D160" s="564" t="s">
        <v>92</v>
      </c>
      <c r="E160" s="564" t="s">
        <v>772</v>
      </c>
      <c r="F160" s="564" t="s">
        <v>776</v>
      </c>
      <c r="G160" s="564" t="s">
        <v>776</v>
      </c>
      <c r="H160" s="564" t="s">
        <v>770</v>
      </c>
      <c r="I160" s="562">
        <v>45854</v>
      </c>
      <c r="J160" s="562">
        <v>45876</v>
      </c>
      <c r="K160" s="564" t="s">
        <v>89</v>
      </c>
      <c r="L160" s="564" t="s">
        <v>784</v>
      </c>
      <c r="M160" s="562">
        <v>46151</v>
      </c>
      <c r="N160" s="566" t="s">
        <v>776</v>
      </c>
      <c r="O160" s="564">
        <v>36.771000000000001</v>
      </c>
      <c r="P160" s="564"/>
      <c r="Q160" s="562"/>
      <c r="R160" s="561"/>
      <c r="S160" s="560"/>
    </row>
    <row r="161" spans="1:19" ht="18" x14ac:dyDescent="0.25">
      <c r="A161" s="564">
        <v>159</v>
      </c>
      <c r="B161" s="564" t="s">
        <v>338</v>
      </c>
      <c r="C161" s="565" t="s">
        <v>212</v>
      </c>
      <c r="D161" s="564" t="s">
        <v>541</v>
      </c>
      <c r="E161" s="564" t="s">
        <v>772</v>
      </c>
      <c r="F161" s="564" t="s">
        <v>776</v>
      </c>
      <c r="G161" s="564" t="s">
        <v>776</v>
      </c>
      <c r="H161" s="564"/>
      <c r="I161" s="562"/>
      <c r="J161" s="562"/>
      <c r="K161" s="564"/>
      <c r="L161" s="564"/>
      <c r="M161" s="562"/>
      <c r="N161" s="566" t="s">
        <v>776</v>
      </c>
      <c r="O161" s="564">
        <v>35.088999999999999</v>
      </c>
      <c r="P161" s="564"/>
      <c r="Q161" s="562"/>
      <c r="R161" s="561"/>
      <c r="S161" s="560"/>
    </row>
    <row r="162" spans="1:19" ht="18" x14ac:dyDescent="0.25">
      <c r="A162" s="564">
        <v>160</v>
      </c>
      <c r="B162" s="564" t="s">
        <v>462</v>
      </c>
      <c r="C162" s="565" t="s">
        <v>269</v>
      </c>
      <c r="D162" s="564" t="s">
        <v>541</v>
      </c>
      <c r="E162" s="564" t="s">
        <v>772</v>
      </c>
      <c r="F162" s="564" t="s">
        <v>773</v>
      </c>
      <c r="G162" s="564" t="s">
        <v>772</v>
      </c>
      <c r="H162" s="564"/>
      <c r="I162" s="562"/>
      <c r="J162" s="562"/>
      <c r="K162" s="564"/>
      <c r="L162" s="564"/>
      <c r="M162" s="562"/>
      <c r="N162" s="566" t="s">
        <v>776</v>
      </c>
      <c r="O162" s="564">
        <v>75.873999999999995</v>
      </c>
      <c r="P162" s="564"/>
      <c r="Q162" s="562"/>
      <c r="R162" s="561"/>
      <c r="S162" s="560"/>
    </row>
    <row r="163" spans="1:19" ht="18" x14ac:dyDescent="0.25">
      <c r="A163" s="564">
        <v>161</v>
      </c>
      <c r="B163" s="564" t="s">
        <v>86</v>
      </c>
      <c r="C163" s="565" t="s">
        <v>212</v>
      </c>
      <c r="D163" s="564" t="s">
        <v>88</v>
      </c>
      <c r="E163" s="564" t="s">
        <v>772</v>
      </c>
      <c r="F163" s="564" t="s">
        <v>776</v>
      </c>
      <c r="G163" s="564" t="s">
        <v>776</v>
      </c>
      <c r="H163" s="564" t="s">
        <v>770</v>
      </c>
      <c r="I163" s="562">
        <v>45849</v>
      </c>
      <c r="J163" s="562">
        <v>45891</v>
      </c>
      <c r="K163" s="564" t="s">
        <v>89</v>
      </c>
      <c r="L163" s="564" t="s">
        <v>786</v>
      </c>
      <c r="M163" s="562">
        <v>45908</v>
      </c>
      <c r="N163" s="566" t="s">
        <v>776</v>
      </c>
      <c r="O163" s="564">
        <v>35.088999999999999</v>
      </c>
      <c r="P163" s="564" t="s">
        <v>667</v>
      </c>
      <c r="Q163" s="562">
        <v>46033</v>
      </c>
      <c r="R163" s="561">
        <v>46038</v>
      </c>
      <c r="S163" s="560" t="s">
        <v>690</v>
      </c>
    </row>
    <row r="164" spans="1:19" ht="18" x14ac:dyDescent="0.25">
      <c r="A164" s="564">
        <v>162</v>
      </c>
      <c r="B164" s="564" t="s">
        <v>339</v>
      </c>
      <c r="C164" s="565" t="s">
        <v>211</v>
      </c>
      <c r="D164" s="564" t="s">
        <v>92</v>
      </c>
      <c r="E164" s="564" t="s">
        <v>776</v>
      </c>
      <c r="F164" s="564" t="s">
        <v>776</v>
      </c>
      <c r="G164" s="564" t="s">
        <v>776</v>
      </c>
      <c r="H164" s="564" t="s">
        <v>770</v>
      </c>
      <c r="I164" s="562">
        <v>46263</v>
      </c>
      <c r="J164" s="562">
        <v>46237</v>
      </c>
      <c r="K164" s="564" t="s">
        <v>917</v>
      </c>
      <c r="L164" s="564"/>
      <c r="M164" s="562"/>
      <c r="N164" s="566" t="s">
        <v>776</v>
      </c>
      <c r="O164" s="564">
        <v>41.88</v>
      </c>
      <c r="P164" s="564"/>
      <c r="Q164" s="562"/>
      <c r="R164" s="561"/>
      <c r="S164" s="560"/>
    </row>
    <row r="165" spans="1:19" ht="18" x14ac:dyDescent="0.25">
      <c r="A165" s="564">
        <v>163</v>
      </c>
      <c r="B165" s="564" t="s">
        <v>463</v>
      </c>
      <c r="C165" s="565" t="s">
        <v>270</v>
      </c>
      <c r="D165" s="564" t="s">
        <v>92</v>
      </c>
      <c r="E165" s="564" t="s">
        <v>772</v>
      </c>
      <c r="F165" s="564"/>
      <c r="G165" s="564" t="s">
        <v>776</v>
      </c>
      <c r="H165" s="564" t="s">
        <v>770</v>
      </c>
      <c r="I165" s="562">
        <v>46028</v>
      </c>
      <c r="J165" s="562">
        <v>46036</v>
      </c>
      <c r="K165" s="564" t="s">
        <v>89</v>
      </c>
      <c r="L165" s="564" t="s">
        <v>784</v>
      </c>
      <c r="M165" s="562">
        <v>46131</v>
      </c>
      <c r="N165" s="566" t="s">
        <v>776</v>
      </c>
      <c r="O165" s="564">
        <v>64.671999999999997</v>
      </c>
      <c r="P165" s="564"/>
      <c r="Q165" s="562"/>
      <c r="R165" s="561"/>
      <c r="S165" s="560"/>
    </row>
    <row r="166" spans="1:19" ht="18" x14ac:dyDescent="0.25">
      <c r="A166" s="564">
        <v>164</v>
      </c>
      <c r="B166" s="564" t="s">
        <v>340</v>
      </c>
      <c r="C166" s="565" t="s">
        <v>212</v>
      </c>
      <c r="D166" s="564" t="s">
        <v>92</v>
      </c>
      <c r="E166" s="564" t="s">
        <v>772</v>
      </c>
      <c r="F166" s="564" t="s">
        <v>776</v>
      </c>
      <c r="G166" s="564" t="s">
        <v>776</v>
      </c>
      <c r="H166" s="564" t="s">
        <v>770</v>
      </c>
      <c r="I166" s="562">
        <v>46061</v>
      </c>
      <c r="J166" s="562">
        <v>46068</v>
      </c>
      <c r="K166" s="564" t="s">
        <v>89</v>
      </c>
      <c r="L166" s="564" t="s">
        <v>784</v>
      </c>
      <c r="M166" s="562">
        <v>46077</v>
      </c>
      <c r="N166" s="566" t="s">
        <v>776</v>
      </c>
      <c r="O166" s="564">
        <v>35.088999999999999</v>
      </c>
      <c r="P166" s="564" t="s">
        <v>667</v>
      </c>
      <c r="Q166" s="562">
        <v>46077</v>
      </c>
      <c r="R166" s="561">
        <v>46090</v>
      </c>
      <c r="S166" s="560" t="s">
        <v>732</v>
      </c>
    </row>
    <row r="167" spans="1:19" ht="18" x14ac:dyDescent="0.25">
      <c r="A167" s="564">
        <v>165</v>
      </c>
      <c r="B167" s="564" t="s">
        <v>108</v>
      </c>
      <c r="C167" s="565" t="s">
        <v>248</v>
      </c>
      <c r="D167" s="564" t="s">
        <v>92</v>
      </c>
      <c r="E167" s="564" t="s">
        <v>776</v>
      </c>
      <c r="F167" s="564" t="s">
        <v>776</v>
      </c>
      <c r="G167" s="564" t="s">
        <v>776</v>
      </c>
      <c r="H167" s="564"/>
      <c r="I167" s="562"/>
      <c r="J167" s="562"/>
      <c r="K167" s="564"/>
      <c r="L167" s="564"/>
      <c r="M167" s="562"/>
      <c r="N167" s="566" t="s">
        <v>776</v>
      </c>
      <c r="O167" s="564">
        <v>43.575000000000003</v>
      </c>
      <c r="P167" s="564"/>
      <c r="Q167" s="562"/>
      <c r="R167" s="561"/>
      <c r="S167" s="560"/>
    </row>
    <row r="168" spans="1:19" ht="18" x14ac:dyDescent="0.25">
      <c r="A168" s="564">
        <v>166</v>
      </c>
      <c r="B168" s="564" t="s">
        <v>464</v>
      </c>
      <c r="C168" s="565" t="s">
        <v>210</v>
      </c>
      <c r="D168" s="564" t="s">
        <v>92</v>
      </c>
      <c r="E168" s="564" t="s">
        <v>772</v>
      </c>
      <c r="F168" s="564" t="s">
        <v>776</v>
      </c>
      <c r="G168" s="564" t="s">
        <v>776</v>
      </c>
      <c r="H168" s="564" t="s">
        <v>770</v>
      </c>
      <c r="I168" s="562">
        <v>46044</v>
      </c>
      <c r="J168" s="562">
        <v>46048</v>
      </c>
      <c r="K168" s="564" t="s">
        <v>89</v>
      </c>
      <c r="L168" s="564" t="s">
        <v>784</v>
      </c>
      <c r="M168" s="562">
        <v>46130</v>
      </c>
      <c r="N168" s="566" t="s">
        <v>776</v>
      </c>
      <c r="O168" s="564">
        <v>54.72</v>
      </c>
      <c r="P168" s="564" t="s">
        <v>667</v>
      </c>
      <c r="Q168" s="562">
        <v>46058</v>
      </c>
      <c r="R168" s="561">
        <v>46063</v>
      </c>
      <c r="S168" s="560" t="s">
        <v>693</v>
      </c>
    </row>
    <row r="169" spans="1:19" ht="18" x14ac:dyDescent="0.25">
      <c r="A169" s="564">
        <v>167</v>
      </c>
      <c r="B169" s="564" t="s">
        <v>341</v>
      </c>
      <c r="C169" s="565" t="s">
        <v>211</v>
      </c>
      <c r="D169" s="564" t="s">
        <v>542</v>
      </c>
      <c r="E169" s="564" t="s">
        <v>772</v>
      </c>
      <c r="F169" s="564" t="s">
        <v>776</v>
      </c>
      <c r="G169" s="564" t="s">
        <v>776</v>
      </c>
      <c r="H169" s="564" t="s">
        <v>770</v>
      </c>
      <c r="I169" s="562">
        <v>46026</v>
      </c>
      <c r="J169" s="562">
        <v>46034</v>
      </c>
      <c r="K169" s="564" t="s">
        <v>686</v>
      </c>
      <c r="L169" s="564" t="s">
        <v>786</v>
      </c>
      <c r="M169" s="562">
        <v>46131</v>
      </c>
      <c r="N169" s="566" t="s">
        <v>776</v>
      </c>
      <c r="O169" s="564">
        <v>41.88</v>
      </c>
      <c r="P169" s="564" t="s">
        <v>667</v>
      </c>
      <c r="Q169" s="562">
        <v>46047</v>
      </c>
      <c r="R169" s="561">
        <v>46050</v>
      </c>
      <c r="S169" s="560" t="s">
        <v>693</v>
      </c>
    </row>
    <row r="170" spans="1:19" ht="18" x14ac:dyDescent="0.25">
      <c r="A170" s="564">
        <v>168</v>
      </c>
      <c r="B170" s="564" t="s">
        <v>110</v>
      </c>
      <c r="C170" s="565" t="s">
        <v>212</v>
      </c>
      <c r="D170" s="564" t="s">
        <v>92</v>
      </c>
      <c r="E170" s="564" t="s">
        <v>772</v>
      </c>
      <c r="F170" s="564" t="s">
        <v>776</v>
      </c>
      <c r="G170" s="564" t="s">
        <v>776</v>
      </c>
      <c r="H170" s="564"/>
      <c r="I170" s="562"/>
      <c r="J170" s="562"/>
      <c r="K170" s="564"/>
      <c r="L170" s="564"/>
      <c r="M170" s="562"/>
      <c r="N170" s="566" t="s">
        <v>776</v>
      </c>
      <c r="O170" s="564">
        <v>35.088999999999999</v>
      </c>
      <c r="P170" s="564"/>
      <c r="Q170" s="562"/>
      <c r="R170" s="561"/>
      <c r="S170" s="560"/>
    </row>
    <row r="171" spans="1:19" ht="18" x14ac:dyDescent="0.25">
      <c r="A171" s="564">
        <v>169</v>
      </c>
      <c r="B171" s="564" t="s">
        <v>342</v>
      </c>
      <c r="C171" s="565" t="s">
        <v>212</v>
      </c>
      <c r="D171" s="564" t="s">
        <v>542</v>
      </c>
      <c r="E171" s="564" t="s">
        <v>772</v>
      </c>
      <c r="F171" s="564" t="s">
        <v>776</v>
      </c>
      <c r="G171" s="564" t="s">
        <v>776</v>
      </c>
      <c r="H171" s="564" t="s">
        <v>770</v>
      </c>
      <c r="I171" s="562">
        <v>45940</v>
      </c>
      <c r="J171" s="562">
        <v>45949</v>
      </c>
      <c r="K171" s="564" t="s">
        <v>687</v>
      </c>
      <c r="L171" s="564"/>
      <c r="M171" s="562"/>
      <c r="N171" s="566" t="s">
        <v>776</v>
      </c>
      <c r="O171" s="564">
        <v>35.088999999999999</v>
      </c>
      <c r="P171" s="564" t="s">
        <v>667</v>
      </c>
      <c r="Q171" s="562">
        <v>46038</v>
      </c>
      <c r="R171" s="561">
        <v>46043</v>
      </c>
      <c r="S171" s="560" t="s">
        <v>693</v>
      </c>
    </row>
    <row r="172" spans="1:19" ht="18" x14ac:dyDescent="0.25">
      <c r="A172" s="564">
        <v>170</v>
      </c>
      <c r="B172" s="564" t="s">
        <v>343</v>
      </c>
      <c r="C172" s="565" t="s">
        <v>212</v>
      </c>
      <c r="D172" s="564" t="s">
        <v>542</v>
      </c>
      <c r="E172" s="564" t="s">
        <v>772</v>
      </c>
      <c r="F172" s="564" t="s">
        <v>776</v>
      </c>
      <c r="G172" s="564" t="s">
        <v>776</v>
      </c>
      <c r="H172" s="564" t="s">
        <v>770</v>
      </c>
      <c r="I172" s="562">
        <v>45941</v>
      </c>
      <c r="J172" s="562">
        <v>45954</v>
      </c>
      <c r="K172" s="564" t="s">
        <v>687</v>
      </c>
      <c r="L172" s="564" t="s">
        <v>786</v>
      </c>
      <c r="M172" s="562">
        <v>46134</v>
      </c>
      <c r="N172" s="566" t="s">
        <v>776</v>
      </c>
      <c r="O172" s="564">
        <v>35.088999999999999</v>
      </c>
      <c r="P172" s="564" t="s">
        <v>667</v>
      </c>
      <c r="Q172" s="562">
        <v>46041</v>
      </c>
      <c r="R172" s="561">
        <v>46046</v>
      </c>
      <c r="S172" s="560" t="s">
        <v>693</v>
      </c>
    </row>
    <row r="173" spans="1:19" ht="18" x14ac:dyDescent="0.25">
      <c r="A173" s="564">
        <v>171</v>
      </c>
      <c r="B173" s="564" t="s">
        <v>344</v>
      </c>
      <c r="C173" s="565" t="s">
        <v>248</v>
      </c>
      <c r="D173" s="564" t="s">
        <v>542</v>
      </c>
      <c r="E173" s="564" t="s">
        <v>772</v>
      </c>
      <c r="F173" s="564" t="s">
        <v>776</v>
      </c>
      <c r="G173" s="564" t="s">
        <v>776</v>
      </c>
      <c r="H173" s="564" t="s">
        <v>770</v>
      </c>
      <c r="I173" s="562">
        <v>46024</v>
      </c>
      <c r="J173" s="562">
        <v>46030</v>
      </c>
      <c r="K173" s="564" t="s">
        <v>686</v>
      </c>
      <c r="L173" s="564"/>
      <c r="M173" s="562"/>
      <c r="N173" s="566" t="s">
        <v>776</v>
      </c>
      <c r="O173" s="564">
        <v>43.575000000000003</v>
      </c>
      <c r="P173" s="564" t="s">
        <v>667</v>
      </c>
      <c r="Q173" s="562">
        <v>46050</v>
      </c>
      <c r="R173" s="561">
        <v>46058</v>
      </c>
      <c r="S173" s="560" t="s">
        <v>693</v>
      </c>
    </row>
    <row r="174" spans="1:19" ht="18" x14ac:dyDescent="0.25">
      <c r="A174" s="564">
        <v>172</v>
      </c>
      <c r="B174" s="564" t="s">
        <v>345</v>
      </c>
      <c r="C174" s="565" t="s">
        <v>212</v>
      </c>
      <c r="D174" s="564" t="s">
        <v>88</v>
      </c>
      <c r="E174" s="564" t="s">
        <v>772</v>
      </c>
      <c r="F174" s="564" t="s">
        <v>776</v>
      </c>
      <c r="G174" s="564" t="s">
        <v>776</v>
      </c>
      <c r="H174" s="564" t="s">
        <v>770</v>
      </c>
      <c r="I174" s="562">
        <v>46377</v>
      </c>
      <c r="J174" s="562">
        <v>46022</v>
      </c>
      <c r="K174" s="564" t="s">
        <v>686</v>
      </c>
      <c r="L174" s="564"/>
      <c r="M174" s="562"/>
      <c r="N174" s="566" t="s">
        <v>776</v>
      </c>
      <c r="O174" s="564">
        <v>35.088999999999999</v>
      </c>
      <c r="P174" s="564"/>
      <c r="Q174" s="562"/>
      <c r="R174" s="561"/>
      <c r="S174" s="560"/>
    </row>
    <row r="175" spans="1:19" ht="18" x14ac:dyDescent="0.25">
      <c r="A175" s="564">
        <v>173</v>
      </c>
      <c r="B175" s="564" t="s">
        <v>466</v>
      </c>
      <c r="C175" s="565" t="s">
        <v>210</v>
      </c>
      <c r="D175" s="564" t="s">
        <v>541</v>
      </c>
      <c r="E175" s="564" t="s">
        <v>772</v>
      </c>
      <c r="F175" s="564" t="s">
        <v>776</v>
      </c>
      <c r="G175" s="564" t="s">
        <v>776</v>
      </c>
      <c r="H175" s="564" t="s">
        <v>785</v>
      </c>
      <c r="I175" s="562"/>
      <c r="J175" s="562"/>
      <c r="K175" s="564"/>
      <c r="L175" s="564"/>
      <c r="M175" s="562"/>
      <c r="N175" s="566" t="s">
        <v>776</v>
      </c>
      <c r="O175" s="564">
        <v>54.72</v>
      </c>
      <c r="P175" s="564"/>
      <c r="Q175" s="562"/>
      <c r="R175" s="561"/>
      <c r="S175" s="560"/>
    </row>
    <row r="176" spans="1:19" ht="18" x14ac:dyDescent="0.25">
      <c r="A176" s="564">
        <v>174</v>
      </c>
      <c r="B176" s="564" t="s">
        <v>346</v>
      </c>
      <c r="C176" s="565" t="s">
        <v>248</v>
      </c>
      <c r="D176" s="564" t="s">
        <v>664</v>
      </c>
      <c r="E176" s="564" t="s">
        <v>772</v>
      </c>
      <c r="F176" s="564" t="s">
        <v>776</v>
      </c>
      <c r="G176" s="564" t="s">
        <v>776</v>
      </c>
      <c r="H176" s="564" t="s">
        <v>770</v>
      </c>
      <c r="I176" s="562">
        <v>46049</v>
      </c>
      <c r="J176" s="562">
        <v>46078</v>
      </c>
      <c r="K176" s="564" t="s">
        <v>89</v>
      </c>
      <c r="L176" s="564" t="s">
        <v>786</v>
      </c>
      <c r="M176" s="562">
        <v>46089</v>
      </c>
      <c r="N176" s="566" t="s">
        <v>776</v>
      </c>
      <c r="O176" s="564">
        <v>43.575000000000003</v>
      </c>
      <c r="P176" s="564" t="s">
        <v>667</v>
      </c>
      <c r="Q176" s="562">
        <v>46089</v>
      </c>
      <c r="R176" s="561">
        <v>46092</v>
      </c>
      <c r="S176" s="560" t="s">
        <v>690</v>
      </c>
    </row>
    <row r="177" spans="1:19" ht="18" x14ac:dyDescent="0.25">
      <c r="A177" s="564">
        <v>175</v>
      </c>
      <c r="B177" s="564" t="s">
        <v>347</v>
      </c>
      <c r="C177" s="565" t="s">
        <v>212</v>
      </c>
      <c r="D177" s="564" t="s">
        <v>684</v>
      </c>
      <c r="E177" s="564" t="s">
        <v>772</v>
      </c>
      <c r="F177" s="564" t="s">
        <v>776</v>
      </c>
      <c r="G177" s="564" t="s">
        <v>776</v>
      </c>
      <c r="H177" s="564" t="s">
        <v>770</v>
      </c>
      <c r="I177" s="562">
        <v>46028</v>
      </c>
      <c r="J177" s="562">
        <v>46044</v>
      </c>
      <c r="K177" s="564" t="s">
        <v>686</v>
      </c>
      <c r="L177" s="564"/>
      <c r="M177" s="562"/>
      <c r="N177" s="566" t="s">
        <v>776</v>
      </c>
      <c r="O177" s="564">
        <v>35.088999999999999</v>
      </c>
      <c r="P177" s="564" t="s">
        <v>667</v>
      </c>
      <c r="Q177" s="562">
        <v>46053</v>
      </c>
      <c r="R177" s="561">
        <v>46056</v>
      </c>
      <c r="S177" s="560" t="s">
        <v>693</v>
      </c>
    </row>
    <row r="178" spans="1:19" ht="18" x14ac:dyDescent="0.25">
      <c r="A178" s="564">
        <v>176</v>
      </c>
      <c r="B178" s="564" t="s">
        <v>348</v>
      </c>
      <c r="C178" s="565" t="s">
        <v>212</v>
      </c>
      <c r="D178" s="564" t="s">
        <v>541</v>
      </c>
      <c r="E178" s="564" t="s">
        <v>772</v>
      </c>
      <c r="F178" s="564" t="s">
        <v>776</v>
      </c>
      <c r="G178" s="564" t="s">
        <v>776</v>
      </c>
      <c r="H178" s="564"/>
      <c r="I178" s="562"/>
      <c r="J178" s="562"/>
      <c r="K178" s="564"/>
      <c r="L178" s="564"/>
      <c r="M178" s="562"/>
      <c r="N178" s="566" t="s">
        <v>776</v>
      </c>
      <c r="O178" s="564">
        <v>35.088999999999999</v>
      </c>
      <c r="P178" s="564"/>
      <c r="Q178" s="562"/>
      <c r="R178" s="561"/>
      <c r="S178" s="560"/>
    </row>
    <row r="179" spans="1:19" ht="18" x14ac:dyDescent="0.25">
      <c r="A179" s="564">
        <v>177</v>
      </c>
      <c r="B179" s="564" t="s">
        <v>349</v>
      </c>
      <c r="C179" s="565" t="s">
        <v>212</v>
      </c>
      <c r="D179" s="564" t="s">
        <v>664</v>
      </c>
      <c r="E179" s="564" t="s">
        <v>772</v>
      </c>
      <c r="F179" s="564" t="s">
        <v>776</v>
      </c>
      <c r="G179" s="564" t="s">
        <v>776</v>
      </c>
      <c r="H179" s="564"/>
      <c r="I179" s="562"/>
      <c r="J179" s="562"/>
      <c r="K179" s="564"/>
      <c r="L179" s="564"/>
      <c r="M179" s="562"/>
      <c r="N179" s="566" t="s">
        <v>776</v>
      </c>
      <c r="O179" s="564">
        <v>35.088999999999999</v>
      </c>
      <c r="P179" s="564"/>
      <c r="Q179" s="562"/>
      <c r="R179" s="561"/>
      <c r="S179" s="560"/>
    </row>
    <row r="180" spans="1:19" ht="18" x14ac:dyDescent="0.25">
      <c r="A180" s="564">
        <v>178</v>
      </c>
      <c r="B180" s="564" t="s">
        <v>467</v>
      </c>
      <c r="C180" s="565" t="s">
        <v>351</v>
      </c>
      <c r="D180" s="564" t="s">
        <v>92</v>
      </c>
      <c r="E180" s="564" t="s">
        <v>776</v>
      </c>
      <c r="F180" s="564" t="s">
        <v>773</v>
      </c>
      <c r="G180" s="564" t="s">
        <v>776</v>
      </c>
      <c r="H180" s="564"/>
      <c r="I180" s="562"/>
      <c r="J180" s="562"/>
      <c r="K180" s="564"/>
      <c r="L180" s="564"/>
      <c r="M180" s="562"/>
      <c r="N180" s="566" t="s">
        <v>776</v>
      </c>
      <c r="O180" s="564">
        <v>73.494</v>
      </c>
      <c r="P180" s="564"/>
      <c r="Q180" s="562"/>
      <c r="R180" s="561"/>
      <c r="S180" s="560"/>
    </row>
    <row r="181" spans="1:19" ht="18" x14ac:dyDescent="0.25">
      <c r="A181" s="564">
        <v>179</v>
      </c>
      <c r="B181" s="564" t="s">
        <v>350</v>
      </c>
      <c r="C181" s="565" t="s">
        <v>213</v>
      </c>
      <c r="D181" s="564" t="s">
        <v>88</v>
      </c>
      <c r="E181" s="564" t="s">
        <v>772</v>
      </c>
      <c r="F181" s="564" t="s">
        <v>776</v>
      </c>
      <c r="G181" s="564" t="s">
        <v>776</v>
      </c>
      <c r="H181" s="564"/>
      <c r="I181" s="562"/>
      <c r="J181" s="562"/>
      <c r="K181" s="564"/>
      <c r="L181" s="564"/>
      <c r="M181" s="562"/>
      <c r="N181" s="566" t="s">
        <v>776</v>
      </c>
      <c r="O181" s="564">
        <v>36.771000000000001</v>
      </c>
      <c r="P181" s="564"/>
      <c r="Q181" s="562"/>
      <c r="R181" s="561"/>
      <c r="S181" s="560"/>
    </row>
    <row r="182" spans="1:19" ht="18" x14ac:dyDescent="0.25">
      <c r="A182" s="564">
        <v>180</v>
      </c>
      <c r="B182" s="564" t="s">
        <v>468</v>
      </c>
      <c r="C182" s="565" t="s">
        <v>352</v>
      </c>
      <c r="D182" s="564" t="s">
        <v>92</v>
      </c>
      <c r="E182" s="564" t="s">
        <v>776</v>
      </c>
      <c r="F182" s="564" t="s">
        <v>773</v>
      </c>
      <c r="G182" s="564" t="s">
        <v>776</v>
      </c>
      <c r="H182" s="564"/>
      <c r="I182" s="562"/>
      <c r="J182" s="562"/>
      <c r="K182" s="564"/>
      <c r="L182" s="564"/>
      <c r="M182" s="562"/>
      <c r="N182" s="566" t="s">
        <v>776</v>
      </c>
      <c r="O182" s="564">
        <v>65.37</v>
      </c>
      <c r="P182" s="564"/>
      <c r="Q182" s="562"/>
      <c r="R182" s="561"/>
      <c r="S182" s="560"/>
    </row>
    <row r="183" spans="1:19" ht="18" x14ac:dyDescent="0.25">
      <c r="A183" s="564">
        <v>181</v>
      </c>
      <c r="B183" s="564" t="s">
        <v>469</v>
      </c>
      <c r="C183" s="565" t="s">
        <v>283</v>
      </c>
      <c r="D183" s="564" t="s">
        <v>88</v>
      </c>
      <c r="E183" s="564" t="s">
        <v>772</v>
      </c>
      <c r="F183" s="564" t="s">
        <v>776</v>
      </c>
      <c r="G183" s="564" t="s">
        <v>776</v>
      </c>
      <c r="H183" s="564"/>
      <c r="I183" s="562"/>
      <c r="J183" s="562"/>
      <c r="K183" s="564"/>
      <c r="L183" s="564"/>
      <c r="M183" s="562"/>
      <c r="N183" s="566"/>
      <c r="O183" s="564"/>
      <c r="P183" s="564"/>
      <c r="Q183" s="562"/>
      <c r="R183" s="561"/>
      <c r="S183" s="560"/>
    </row>
    <row r="184" spans="1:19" ht="18" x14ac:dyDescent="0.25">
      <c r="A184" s="564">
        <v>182</v>
      </c>
      <c r="B184" s="564" t="s">
        <v>470</v>
      </c>
      <c r="C184" s="565" t="s">
        <v>269</v>
      </c>
      <c r="D184" s="564" t="s">
        <v>92</v>
      </c>
      <c r="E184" s="564" t="s">
        <v>772</v>
      </c>
      <c r="F184" s="564" t="s">
        <v>773</v>
      </c>
      <c r="G184" s="564" t="s">
        <v>772</v>
      </c>
      <c r="H184" s="564"/>
      <c r="I184" s="562"/>
      <c r="J184" s="562"/>
      <c r="K184" s="564"/>
      <c r="L184" s="564"/>
      <c r="M184" s="562"/>
      <c r="N184" s="566" t="s">
        <v>776</v>
      </c>
      <c r="O184" s="564">
        <v>75.873999999999995</v>
      </c>
      <c r="P184" s="564"/>
      <c r="Q184" s="562"/>
      <c r="R184" s="561"/>
      <c r="S184" s="560"/>
    </row>
    <row r="185" spans="1:19" ht="18" x14ac:dyDescent="0.25">
      <c r="A185" s="564">
        <v>183</v>
      </c>
      <c r="B185" s="564" t="s">
        <v>353</v>
      </c>
      <c r="C185" s="565" t="s">
        <v>212</v>
      </c>
      <c r="D185" s="564" t="s">
        <v>92</v>
      </c>
      <c r="E185" s="564" t="s">
        <v>772</v>
      </c>
      <c r="F185" s="564" t="s">
        <v>776</v>
      </c>
      <c r="G185" s="564" t="s">
        <v>776</v>
      </c>
      <c r="H185" s="564" t="s">
        <v>770</v>
      </c>
      <c r="I185" s="562">
        <v>46076</v>
      </c>
      <c r="J185" s="562">
        <v>46084</v>
      </c>
      <c r="K185" s="564" t="s">
        <v>89</v>
      </c>
      <c r="L185" s="564" t="s">
        <v>784</v>
      </c>
      <c r="M185" s="562">
        <v>46094</v>
      </c>
      <c r="N185" s="566" t="s">
        <v>776</v>
      </c>
      <c r="O185" s="564">
        <v>35.088999999999999</v>
      </c>
      <c r="P185" s="564"/>
      <c r="Q185" s="562"/>
      <c r="R185" s="561"/>
      <c r="S185" s="560"/>
    </row>
    <row r="186" spans="1:19" ht="18" x14ac:dyDescent="0.25">
      <c r="A186" s="564">
        <v>184</v>
      </c>
      <c r="B186" s="564" t="s">
        <v>471</v>
      </c>
      <c r="C186" s="565" t="s">
        <v>237</v>
      </c>
      <c r="D186" s="564" t="s">
        <v>92</v>
      </c>
      <c r="E186" s="564" t="s">
        <v>772</v>
      </c>
      <c r="F186" s="564"/>
      <c r="G186" s="564" t="s">
        <v>776</v>
      </c>
      <c r="H186" s="564" t="s">
        <v>770</v>
      </c>
      <c r="I186" s="562">
        <v>46087</v>
      </c>
      <c r="J186" s="562">
        <v>46099</v>
      </c>
      <c r="K186" s="564" t="s">
        <v>89</v>
      </c>
      <c r="L186" s="564"/>
      <c r="M186" s="562"/>
      <c r="N186" s="566" t="s">
        <v>776</v>
      </c>
      <c r="O186" s="564">
        <v>54.72</v>
      </c>
      <c r="P186" s="564"/>
      <c r="Q186" s="562"/>
      <c r="R186" s="561"/>
      <c r="S186" s="560"/>
    </row>
    <row r="187" spans="1:19" ht="18" x14ac:dyDescent="0.25">
      <c r="A187" s="564">
        <v>185</v>
      </c>
      <c r="B187" s="564" t="s">
        <v>354</v>
      </c>
      <c r="C187" s="565" t="s">
        <v>213</v>
      </c>
      <c r="D187" s="564" t="s">
        <v>92</v>
      </c>
      <c r="E187" s="564" t="s">
        <v>772</v>
      </c>
      <c r="F187" s="564" t="s">
        <v>776</v>
      </c>
      <c r="G187" s="564" t="s">
        <v>776</v>
      </c>
      <c r="H187" s="564"/>
      <c r="I187" s="562"/>
      <c r="J187" s="562"/>
      <c r="K187" s="564"/>
      <c r="L187" s="564"/>
      <c r="M187" s="562"/>
      <c r="N187" s="566" t="s">
        <v>776</v>
      </c>
      <c r="O187" s="564">
        <v>36.771000000000001</v>
      </c>
      <c r="P187" s="564"/>
      <c r="Q187" s="562"/>
      <c r="R187" s="561"/>
      <c r="S187" s="560"/>
    </row>
    <row r="188" spans="1:19" ht="18" x14ac:dyDescent="0.25">
      <c r="A188" s="564">
        <v>186</v>
      </c>
      <c r="B188" s="564" t="s">
        <v>355</v>
      </c>
      <c r="C188" s="565" t="s">
        <v>213</v>
      </c>
      <c r="D188" s="564" t="s">
        <v>92</v>
      </c>
      <c r="E188" s="564" t="s">
        <v>772</v>
      </c>
      <c r="F188" s="564" t="s">
        <v>776</v>
      </c>
      <c r="G188" s="564" t="s">
        <v>776</v>
      </c>
      <c r="H188" s="564"/>
      <c r="I188" s="562"/>
      <c r="J188" s="562"/>
      <c r="K188" s="564"/>
      <c r="L188" s="564"/>
      <c r="M188" s="562"/>
      <c r="N188" s="566" t="s">
        <v>776</v>
      </c>
      <c r="O188" s="564">
        <v>36.771000000000001</v>
      </c>
      <c r="P188" s="564"/>
      <c r="Q188" s="562"/>
      <c r="R188" s="561"/>
      <c r="S188" s="560"/>
    </row>
    <row r="189" spans="1:19" ht="18" x14ac:dyDescent="0.25">
      <c r="A189" s="564">
        <v>187</v>
      </c>
      <c r="B189" s="564" t="s">
        <v>356</v>
      </c>
      <c r="C189" s="565" t="s">
        <v>213</v>
      </c>
      <c r="D189" s="564" t="s">
        <v>92</v>
      </c>
      <c r="E189" s="564" t="s">
        <v>772</v>
      </c>
      <c r="F189" s="564" t="s">
        <v>776</v>
      </c>
      <c r="G189" s="564" t="s">
        <v>776</v>
      </c>
      <c r="H189" s="564"/>
      <c r="I189" s="562"/>
      <c r="J189" s="562"/>
      <c r="K189" s="564"/>
      <c r="L189" s="564"/>
      <c r="M189" s="562"/>
      <c r="N189" s="566" t="s">
        <v>776</v>
      </c>
      <c r="O189" s="564">
        <v>36.771000000000001</v>
      </c>
      <c r="P189" s="564"/>
      <c r="Q189" s="562"/>
      <c r="R189" s="561"/>
      <c r="S189" s="560"/>
    </row>
    <row r="190" spans="1:19" ht="18" x14ac:dyDescent="0.25">
      <c r="A190" s="564">
        <v>188</v>
      </c>
      <c r="B190" s="564" t="s">
        <v>357</v>
      </c>
      <c r="C190" s="565" t="s">
        <v>212</v>
      </c>
      <c r="D190" s="564" t="s">
        <v>541</v>
      </c>
      <c r="E190" s="564" t="s">
        <v>776</v>
      </c>
      <c r="F190" s="564" t="s">
        <v>776</v>
      </c>
      <c r="G190" s="564" t="s">
        <v>776</v>
      </c>
      <c r="H190" s="564"/>
      <c r="I190" s="562"/>
      <c r="J190" s="562"/>
      <c r="K190" s="564"/>
      <c r="L190" s="564"/>
      <c r="M190" s="562"/>
      <c r="N190" s="566" t="s">
        <v>776</v>
      </c>
      <c r="O190" s="564">
        <v>35.088999999999999</v>
      </c>
      <c r="P190" s="564"/>
      <c r="Q190" s="562"/>
      <c r="R190" s="561"/>
      <c r="S190" s="560"/>
    </row>
    <row r="191" spans="1:19" ht="18" x14ac:dyDescent="0.25">
      <c r="A191" s="564">
        <v>189</v>
      </c>
      <c r="B191" s="564" t="s">
        <v>358</v>
      </c>
      <c r="C191" s="565" t="s">
        <v>283</v>
      </c>
      <c r="D191" s="564" t="s">
        <v>92</v>
      </c>
      <c r="E191" s="564" t="s">
        <v>772</v>
      </c>
      <c r="F191" s="564" t="s">
        <v>776</v>
      </c>
      <c r="G191" s="564" t="s">
        <v>776</v>
      </c>
      <c r="H191" s="564"/>
      <c r="I191" s="562"/>
      <c r="J191" s="562"/>
      <c r="K191" s="564"/>
      <c r="L191" s="564"/>
      <c r="M191" s="562"/>
      <c r="N191" s="566"/>
      <c r="O191" s="564"/>
      <c r="P191" s="564"/>
      <c r="Q191" s="562"/>
      <c r="R191" s="561"/>
      <c r="S191" s="560"/>
    </row>
    <row r="192" spans="1:19" ht="18" x14ac:dyDescent="0.25">
      <c r="A192" s="564">
        <v>190</v>
      </c>
      <c r="B192" s="564" t="s">
        <v>472</v>
      </c>
      <c r="C192" s="565" t="s">
        <v>301</v>
      </c>
      <c r="D192" s="564" t="s">
        <v>92</v>
      </c>
      <c r="E192" s="564" t="s">
        <v>772</v>
      </c>
      <c r="F192" s="564" t="s">
        <v>773</v>
      </c>
      <c r="G192" s="564" t="s">
        <v>772</v>
      </c>
      <c r="H192" s="564"/>
      <c r="I192" s="562"/>
      <c r="J192" s="562"/>
      <c r="K192" s="564"/>
      <c r="L192" s="564"/>
      <c r="M192" s="562"/>
      <c r="N192" s="566" t="s">
        <v>776</v>
      </c>
      <c r="O192" s="564">
        <v>65.37</v>
      </c>
      <c r="P192" s="564"/>
      <c r="Q192" s="562"/>
      <c r="R192" s="561"/>
      <c r="S192" s="560"/>
    </row>
    <row r="193" spans="1:19" ht="18" x14ac:dyDescent="0.25">
      <c r="A193" s="564">
        <v>191</v>
      </c>
      <c r="B193" s="564" t="s">
        <v>359</v>
      </c>
      <c r="C193" s="565" t="s">
        <v>213</v>
      </c>
      <c r="D193" s="564" t="s">
        <v>92</v>
      </c>
      <c r="E193" s="564" t="s">
        <v>772</v>
      </c>
      <c r="F193" s="564" t="s">
        <v>776</v>
      </c>
      <c r="G193" s="564" t="s">
        <v>776</v>
      </c>
      <c r="H193" s="564"/>
      <c r="I193" s="562"/>
      <c r="J193" s="562"/>
      <c r="K193" s="564"/>
      <c r="L193" s="564"/>
      <c r="M193" s="562"/>
      <c r="N193" s="566" t="s">
        <v>776</v>
      </c>
      <c r="O193" s="564">
        <v>36.771000000000001</v>
      </c>
      <c r="P193" s="564"/>
      <c r="Q193" s="562"/>
      <c r="R193" s="561"/>
      <c r="S193" s="560"/>
    </row>
    <row r="194" spans="1:19" ht="18" x14ac:dyDescent="0.25">
      <c r="A194" s="564">
        <v>192</v>
      </c>
      <c r="B194" s="564" t="s">
        <v>360</v>
      </c>
      <c r="C194" s="565" t="s">
        <v>211</v>
      </c>
      <c r="D194" s="564" t="s">
        <v>92</v>
      </c>
      <c r="E194" s="564" t="s">
        <v>772</v>
      </c>
      <c r="F194" s="564" t="s">
        <v>776</v>
      </c>
      <c r="G194" s="564" t="s">
        <v>776</v>
      </c>
      <c r="H194" s="564"/>
      <c r="I194" s="562"/>
      <c r="J194" s="562"/>
      <c r="K194" s="564"/>
      <c r="L194" s="564"/>
      <c r="M194" s="562"/>
      <c r="N194" s="566" t="s">
        <v>776</v>
      </c>
      <c r="O194" s="564">
        <v>41.88</v>
      </c>
      <c r="P194" s="564"/>
      <c r="Q194" s="562"/>
      <c r="R194" s="561"/>
      <c r="S194" s="560"/>
    </row>
    <row r="195" spans="1:19" ht="18" x14ac:dyDescent="0.25">
      <c r="A195" s="564">
        <v>193</v>
      </c>
      <c r="B195" s="564" t="s">
        <v>473</v>
      </c>
      <c r="C195" s="565" t="s">
        <v>369</v>
      </c>
      <c r="D195" s="564" t="s">
        <v>541</v>
      </c>
      <c r="E195" s="564" t="s">
        <v>772</v>
      </c>
      <c r="F195" s="564" t="s">
        <v>773</v>
      </c>
      <c r="G195" s="564" t="s">
        <v>776</v>
      </c>
      <c r="H195" s="564"/>
      <c r="I195" s="562"/>
      <c r="J195" s="562"/>
      <c r="K195" s="564"/>
      <c r="L195" s="564"/>
      <c r="M195" s="562"/>
      <c r="N195" s="566" t="s">
        <v>776</v>
      </c>
      <c r="O195" s="564">
        <v>68.265000000000001</v>
      </c>
      <c r="P195" s="564"/>
      <c r="Q195" s="562"/>
      <c r="R195" s="561"/>
      <c r="S195" s="560"/>
    </row>
    <row r="196" spans="1:19" ht="18" x14ac:dyDescent="0.25">
      <c r="A196" s="564">
        <v>194</v>
      </c>
      <c r="B196" s="564" t="s">
        <v>361</v>
      </c>
      <c r="C196" s="565" t="s">
        <v>283</v>
      </c>
      <c r="D196" s="564" t="s">
        <v>92</v>
      </c>
      <c r="E196" s="564" t="s">
        <v>772</v>
      </c>
      <c r="F196" s="564" t="s">
        <v>776</v>
      </c>
      <c r="G196" s="564" t="s">
        <v>776</v>
      </c>
      <c r="H196" s="564"/>
      <c r="I196" s="562"/>
      <c r="J196" s="562"/>
      <c r="K196" s="564"/>
      <c r="L196" s="564"/>
      <c r="M196" s="562"/>
      <c r="N196" s="566" t="s">
        <v>776</v>
      </c>
      <c r="O196" s="564">
        <v>66.436000000000007</v>
      </c>
      <c r="P196" s="564"/>
      <c r="Q196" s="562"/>
      <c r="R196" s="561"/>
      <c r="S196" s="560"/>
    </row>
    <row r="197" spans="1:19" ht="18" x14ac:dyDescent="0.25">
      <c r="A197" s="564">
        <v>195</v>
      </c>
      <c r="B197" s="564" t="s">
        <v>362</v>
      </c>
      <c r="C197" s="565" t="s">
        <v>212</v>
      </c>
      <c r="D197" s="564" t="s">
        <v>92</v>
      </c>
      <c r="E197" s="564" t="s">
        <v>772</v>
      </c>
      <c r="F197" s="564" t="s">
        <v>776</v>
      </c>
      <c r="G197" s="564" t="s">
        <v>776</v>
      </c>
      <c r="H197" s="564"/>
      <c r="I197" s="562"/>
      <c r="J197" s="562"/>
      <c r="K197" s="564"/>
      <c r="L197" s="564"/>
      <c r="M197" s="562"/>
      <c r="N197" s="566" t="s">
        <v>776</v>
      </c>
      <c r="O197" s="564">
        <v>35.088999999999999</v>
      </c>
      <c r="P197" s="564"/>
      <c r="Q197" s="562"/>
      <c r="R197" s="561"/>
      <c r="S197" s="560"/>
    </row>
    <row r="198" spans="1:19" ht="18" x14ac:dyDescent="0.25">
      <c r="A198" s="564">
        <v>196</v>
      </c>
      <c r="B198" s="564" t="s">
        <v>474</v>
      </c>
      <c r="C198" s="565" t="s">
        <v>370</v>
      </c>
      <c r="D198" s="564" t="s">
        <v>541</v>
      </c>
      <c r="E198" s="564" t="s">
        <v>772</v>
      </c>
      <c r="F198" s="564"/>
      <c r="G198" s="564" t="s">
        <v>772</v>
      </c>
      <c r="H198" s="564"/>
      <c r="I198" s="562"/>
      <c r="J198" s="562"/>
      <c r="K198" s="564"/>
      <c r="L198" s="564"/>
      <c r="M198" s="562"/>
      <c r="N198" s="566" t="s">
        <v>776</v>
      </c>
      <c r="O198" s="564">
        <v>57.484000000000002</v>
      </c>
      <c r="P198" s="564"/>
      <c r="Q198" s="562"/>
      <c r="R198" s="561"/>
      <c r="S198" s="560"/>
    </row>
    <row r="199" spans="1:19" ht="18" x14ac:dyDescent="0.25">
      <c r="A199" s="564">
        <v>197</v>
      </c>
      <c r="B199" s="564" t="s">
        <v>363</v>
      </c>
      <c r="C199" s="565" t="s">
        <v>213</v>
      </c>
      <c r="D199" s="564" t="s">
        <v>92</v>
      </c>
      <c r="E199" s="564" t="s">
        <v>776</v>
      </c>
      <c r="F199" s="564" t="s">
        <v>776</v>
      </c>
      <c r="G199" s="564" t="s">
        <v>776</v>
      </c>
      <c r="H199" s="564"/>
      <c r="I199" s="562"/>
      <c r="J199" s="562"/>
      <c r="K199" s="564"/>
      <c r="L199" s="564"/>
      <c r="M199" s="562"/>
      <c r="N199" s="566" t="s">
        <v>776</v>
      </c>
      <c r="O199" s="564">
        <v>36.771000000000001</v>
      </c>
      <c r="P199" s="564"/>
      <c r="Q199" s="562"/>
      <c r="R199" s="561"/>
      <c r="S199" s="560"/>
    </row>
    <row r="200" spans="1:19" ht="18" x14ac:dyDescent="0.25">
      <c r="A200" s="564">
        <v>198</v>
      </c>
      <c r="B200" s="564" t="s">
        <v>364</v>
      </c>
      <c r="C200" s="565" t="s">
        <v>248</v>
      </c>
      <c r="D200" s="564" t="s">
        <v>92</v>
      </c>
      <c r="E200" s="564" t="s">
        <v>772</v>
      </c>
      <c r="F200" s="564" t="s">
        <v>776</v>
      </c>
      <c r="G200" s="564" t="s">
        <v>776</v>
      </c>
      <c r="H200" s="564"/>
      <c r="I200" s="562"/>
      <c r="J200" s="562"/>
      <c r="K200" s="564"/>
      <c r="L200" s="564"/>
      <c r="M200" s="562"/>
      <c r="N200" s="566"/>
      <c r="O200" s="564"/>
      <c r="P200" s="564"/>
      <c r="Q200" s="562"/>
      <c r="R200" s="561"/>
      <c r="S200" s="560"/>
    </row>
    <row r="201" spans="1:19" ht="18" x14ac:dyDescent="0.25">
      <c r="A201" s="564">
        <v>199</v>
      </c>
      <c r="B201" s="564" t="s">
        <v>365</v>
      </c>
      <c r="C201" s="565" t="s">
        <v>283</v>
      </c>
      <c r="D201" s="564" t="s">
        <v>541</v>
      </c>
      <c r="E201" s="564" t="s">
        <v>772</v>
      </c>
      <c r="F201" s="564" t="s">
        <v>776</v>
      </c>
      <c r="G201" s="564" t="s">
        <v>772</v>
      </c>
      <c r="H201" s="564"/>
      <c r="I201" s="562"/>
      <c r="J201" s="562"/>
      <c r="K201" s="564"/>
      <c r="L201" s="564"/>
      <c r="M201" s="562"/>
      <c r="N201" s="566" t="s">
        <v>776</v>
      </c>
      <c r="O201" s="564">
        <v>66.436000000000007</v>
      </c>
      <c r="P201" s="564"/>
      <c r="Q201" s="562"/>
      <c r="R201" s="561"/>
      <c r="S201" s="560"/>
    </row>
    <row r="202" spans="1:19" ht="18" x14ac:dyDescent="0.25">
      <c r="A202" s="564">
        <v>200</v>
      </c>
      <c r="B202" s="564" t="s">
        <v>475</v>
      </c>
      <c r="C202" s="565" t="s">
        <v>352</v>
      </c>
      <c r="D202" s="564" t="s">
        <v>92</v>
      </c>
      <c r="E202" s="564" t="s">
        <v>772</v>
      </c>
      <c r="F202" s="564" t="s">
        <v>773</v>
      </c>
      <c r="G202" s="564" t="s">
        <v>772</v>
      </c>
      <c r="H202" s="564"/>
      <c r="I202" s="562"/>
      <c r="J202" s="562"/>
      <c r="K202" s="564"/>
      <c r="L202" s="564"/>
      <c r="M202" s="562"/>
      <c r="N202" s="566" t="s">
        <v>776</v>
      </c>
      <c r="O202" s="564">
        <v>65.37</v>
      </c>
      <c r="P202" s="564"/>
      <c r="Q202" s="562"/>
      <c r="R202" s="561"/>
      <c r="S202" s="560"/>
    </row>
    <row r="203" spans="1:19" ht="18" x14ac:dyDescent="0.25">
      <c r="A203" s="564">
        <v>201</v>
      </c>
      <c r="B203" s="564" t="s">
        <v>366</v>
      </c>
      <c r="C203" s="565" t="s">
        <v>212</v>
      </c>
      <c r="D203" s="564" t="s">
        <v>542</v>
      </c>
      <c r="E203" s="564" t="s">
        <v>772</v>
      </c>
      <c r="F203" s="564" t="s">
        <v>776</v>
      </c>
      <c r="G203" s="564" t="s">
        <v>776</v>
      </c>
      <c r="H203" s="564" t="s">
        <v>770</v>
      </c>
      <c r="I203" s="562">
        <v>46001</v>
      </c>
      <c r="J203" s="562">
        <v>46022</v>
      </c>
      <c r="K203" s="564" t="s">
        <v>661</v>
      </c>
      <c r="L203" s="564"/>
      <c r="M203" s="562"/>
      <c r="N203" s="566" t="s">
        <v>776</v>
      </c>
      <c r="O203" s="564">
        <v>35.088999999999999</v>
      </c>
      <c r="P203" s="564"/>
      <c r="Q203" s="562"/>
      <c r="R203" s="561"/>
      <c r="S203" s="560"/>
    </row>
    <row r="204" spans="1:19" ht="18" x14ac:dyDescent="0.25">
      <c r="A204" s="564">
        <v>202</v>
      </c>
      <c r="B204" s="564" t="s">
        <v>367</v>
      </c>
      <c r="C204" s="565" t="s">
        <v>213</v>
      </c>
      <c r="D204" s="564" t="s">
        <v>92</v>
      </c>
      <c r="E204" s="564" t="s">
        <v>772</v>
      </c>
      <c r="F204" s="564" t="s">
        <v>776</v>
      </c>
      <c r="G204" s="564" t="s">
        <v>772</v>
      </c>
      <c r="H204" s="564"/>
      <c r="I204" s="562"/>
      <c r="J204" s="562"/>
      <c r="K204" s="564"/>
      <c r="L204" s="564"/>
      <c r="M204" s="562"/>
      <c r="N204" s="566"/>
      <c r="O204" s="564"/>
      <c r="P204" s="564"/>
      <c r="Q204" s="562"/>
      <c r="R204" s="561"/>
      <c r="S204" s="560"/>
    </row>
    <row r="205" spans="1:19" ht="18" x14ac:dyDescent="0.25">
      <c r="A205" s="564">
        <v>203</v>
      </c>
      <c r="B205" s="564" t="s">
        <v>368</v>
      </c>
      <c r="C205" s="565" t="s">
        <v>283</v>
      </c>
      <c r="D205" s="564" t="s">
        <v>92</v>
      </c>
      <c r="E205" s="564" t="s">
        <v>772</v>
      </c>
      <c r="F205" s="564" t="s">
        <v>776</v>
      </c>
      <c r="G205" s="564" t="s">
        <v>772</v>
      </c>
      <c r="H205" s="564"/>
      <c r="I205" s="562"/>
      <c r="J205" s="562"/>
      <c r="K205" s="564"/>
      <c r="L205" s="564"/>
      <c r="M205" s="562"/>
      <c r="N205" s="566" t="s">
        <v>776</v>
      </c>
      <c r="O205" s="564">
        <v>66.436000000000007</v>
      </c>
      <c r="P205" s="564"/>
      <c r="Q205" s="562"/>
      <c r="R205" s="561"/>
      <c r="S205" s="560"/>
    </row>
    <row r="206" spans="1:19" ht="18" x14ac:dyDescent="0.25">
      <c r="A206" s="564">
        <v>204</v>
      </c>
      <c r="B206" s="564" t="s">
        <v>476</v>
      </c>
      <c r="C206" s="565" t="s">
        <v>292</v>
      </c>
      <c r="D206" s="564" t="s">
        <v>92</v>
      </c>
      <c r="E206" s="564" t="s">
        <v>776</v>
      </c>
      <c r="F206" s="564" t="s">
        <v>773</v>
      </c>
      <c r="G206" s="564" t="s">
        <v>776</v>
      </c>
      <c r="H206" s="564"/>
      <c r="I206" s="562"/>
      <c r="J206" s="562"/>
      <c r="K206" s="564"/>
      <c r="L206" s="564"/>
      <c r="M206" s="562"/>
      <c r="N206" s="566" t="s">
        <v>776</v>
      </c>
      <c r="O206" s="564">
        <v>83.715999999999994</v>
      </c>
      <c r="P206" s="564"/>
      <c r="Q206" s="562"/>
      <c r="R206" s="561"/>
      <c r="S206" s="560"/>
    </row>
    <row r="207" spans="1:19" ht="18" x14ac:dyDescent="0.25">
      <c r="A207" s="564">
        <v>205</v>
      </c>
      <c r="B207" s="564" t="s">
        <v>477</v>
      </c>
      <c r="C207" s="565" t="s">
        <v>319</v>
      </c>
      <c r="D207" s="564" t="s">
        <v>92</v>
      </c>
      <c r="E207" s="564" t="s">
        <v>772</v>
      </c>
      <c r="F207" s="564" t="s">
        <v>773</v>
      </c>
      <c r="G207" s="564" t="s">
        <v>772</v>
      </c>
      <c r="H207" s="564"/>
      <c r="I207" s="562"/>
      <c r="J207" s="562"/>
      <c r="K207" s="564"/>
      <c r="L207" s="564"/>
      <c r="M207" s="562"/>
      <c r="N207" s="566"/>
      <c r="O207" s="564"/>
      <c r="P207" s="564"/>
      <c r="Q207" s="562"/>
      <c r="R207" s="561"/>
      <c r="S207" s="560"/>
    </row>
    <row r="208" spans="1:19" ht="18" x14ac:dyDescent="0.25">
      <c r="A208" s="564">
        <v>206</v>
      </c>
      <c r="B208" s="564" t="s">
        <v>371</v>
      </c>
      <c r="C208" s="565" t="s">
        <v>237</v>
      </c>
      <c r="D208" s="564" t="s">
        <v>92</v>
      </c>
      <c r="E208" s="564" t="s">
        <v>776</v>
      </c>
      <c r="F208" s="564"/>
      <c r="G208" s="564" t="s">
        <v>772</v>
      </c>
      <c r="H208" s="564"/>
      <c r="I208" s="562"/>
      <c r="J208" s="562"/>
      <c r="K208" s="564"/>
      <c r="L208" s="564"/>
      <c r="M208" s="562"/>
      <c r="N208" s="566"/>
      <c r="O208" s="564"/>
      <c r="P208" s="564"/>
      <c r="Q208" s="562"/>
      <c r="R208" s="561"/>
      <c r="S208" s="560"/>
    </row>
    <row r="209" spans="1:19" ht="18" x14ac:dyDescent="0.25">
      <c r="A209" s="564">
        <v>207</v>
      </c>
      <c r="B209" s="564" t="s">
        <v>372</v>
      </c>
      <c r="C209" s="565" t="s">
        <v>237</v>
      </c>
      <c r="D209" s="564" t="s">
        <v>92</v>
      </c>
      <c r="E209" s="564" t="s">
        <v>772</v>
      </c>
      <c r="F209" s="564"/>
      <c r="G209" s="564" t="s">
        <v>772</v>
      </c>
      <c r="H209" s="564"/>
      <c r="I209" s="562"/>
      <c r="J209" s="562"/>
      <c r="K209" s="564"/>
      <c r="L209" s="564"/>
      <c r="M209" s="562"/>
      <c r="N209" s="566" t="s">
        <v>776</v>
      </c>
      <c r="O209" s="564">
        <v>54.72</v>
      </c>
      <c r="P209" s="564"/>
      <c r="Q209" s="562"/>
      <c r="R209" s="561"/>
      <c r="S209" s="560"/>
    </row>
    <row r="210" spans="1:19" ht="18" x14ac:dyDescent="0.25">
      <c r="A210" s="564">
        <v>208</v>
      </c>
      <c r="B210" s="564" t="s">
        <v>373</v>
      </c>
      <c r="C210" s="565" t="s">
        <v>211</v>
      </c>
      <c r="D210" s="564" t="s">
        <v>92</v>
      </c>
      <c r="E210" s="564" t="s">
        <v>776</v>
      </c>
      <c r="F210" s="564" t="s">
        <v>776</v>
      </c>
      <c r="G210" s="564" t="s">
        <v>776</v>
      </c>
      <c r="H210" s="564"/>
      <c r="I210" s="562"/>
      <c r="J210" s="562"/>
      <c r="K210" s="564"/>
      <c r="L210" s="564"/>
      <c r="M210" s="562"/>
      <c r="N210" s="566"/>
      <c r="O210" s="564"/>
      <c r="P210" s="564"/>
      <c r="Q210" s="562"/>
      <c r="R210" s="561"/>
      <c r="S210" s="560"/>
    </row>
    <row r="211" spans="1:19" ht="18" x14ac:dyDescent="0.25">
      <c r="A211" s="564">
        <v>209</v>
      </c>
      <c r="B211" s="564" t="s">
        <v>374</v>
      </c>
      <c r="C211" s="565" t="s">
        <v>213</v>
      </c>
      <c r="D211" s="564" t="s">
        <v>92</v>
      </c>
      <c r="E211" s="564" t="s">
        <v>772</v>
      </c>
      <c r="F211" s="564" t="s">
        <v>776</v>
      </c>
      <c r="G211" s="564" t="s">
        <v>772</v>
      </c>
      <c r="H211" s="564" t="s">
        <v>770</v>
      </c>
      <c r="I211" s="562">
        <v>46238</v>
      </c>
      <c r="J211" s="562">
        <v>46240</v>
      </c>
      <c r="K211" s="564" t="s">
        <v>760</v>
      </c>
      <c r="L211" s="564"/>
      <c r="M211" s="562"/>
      <c r="N211" s="566"/>
      <c r="O211" s="564"/>
      <c r="P211" s="564"/>
      <c r="Q211" s="562"/>
      <c r="R211" s="561"/>
      <c r="S211" s="560"/>
    </row>
    <row r="212" spans="1:19" ht="18" x14ac:dyDescent="0.25">
      <c r="A212" s="564">
        <v>210</v>
      </c>
      <c r="B212" s="564" t="s">
        <v>375</v>
      </c>
      <c r="C212" s="565" t="s">
        <v>212</v>
      </c>
      <c r="D212" s="564" t="s">
        <v>92</v>
      </c>
      <c r="E212" s="564" t="s">
        <v>772</v>
      </c>
      <c r="F212" s="564" t="s">
        <v>776</v>
      </c>
      <c r="G212" s="564" t="s">
        <v>772</v>
      </c>
      <c r="H212" s="564" t="s">
        <v>770</v>
      </c>
      <c r="I212" s="562">
        <v>46241</v>
      </c>
      <c r="J212" s="562">
        <v>46243</v>
      </c>
      <c r="K212" s="564" t="s">
        <v>760</v>
      </c>
      <c r="L212" s="564"/>
      <c r="M212" s="562"/>
      <c r="N212" s="566"/>
      <c r="O212" s="564"/>
      <c r="P212" s="564"/>
      <c r="Q212" s="562"/>
      <c r="R212" s="561"/>
      <c r="S212" s="560"/>
    </row>
    <row r="213" spans="1:19" ht="18" x14ac:dyDescent="0.25">
      <c r="A213" s="564">
        <v>211</v>
      </c>
      <c r="B213" s="564" t="s">
        <v>376</v>
      </c>
      <c r="C213" s="565" t="s">
        <v>212</v>
      </c>
      <c r="D213" s="564" t="s">
        <v>92</v>
      </c>
      <c r="E213" s="564" t="s">
        <v>772</v>
      </c>
      <c r="F213" s="564" t="s">
        <v>776</v>
      </c>
      <c r="G213" s="564" t="s">
        <v>772</v>
      </c>
      <c r="H213" s="564"/>
      <c r="I213" s="562"/>
      <c r="J213" s="562"/>
      <c r="K213" s="564"/>
      <c r="L213" s="564"/>
      <c r="M213" s="562"/>
      <c r="N213" s="566"/>
      <c r="O213" s="564"/>
      <c r="P213" s="564"/>
      <c r="Q213" s="562"/>
      <c r="R213" s="561"/>
      <c r="S213" s="560"/>
    </row>
    <row r="214" spans="1:19" ht="18" x14ac:dyDescent="0.25">
      <c r="A214" s="564">
        <v>212</v>
      </c>
      <c r="B214" s="564" t="s">
        <v>377</v>
      </c>
      <c r="C214" s="565" t="s">
        <v>212</v>
      </c>
      <c r="D214" s="564" t="s">
        <v>664</v>
      </c>
      <c r="E214" s="564" t="s">
        <v>772</v>
      </c>
      <c r="F214" s="564" t="s">
        <v>776</v>
      </c>
      <c r="G214" s="564" t="s">
        <v>772</v>
      </c>
      <c r="H214" s="564" t="s">
        <v>770</v>
      </c>
      <c r="I214" s="562">
        <v>46231</v>
      </c>
      <c r="J214" s="562">
        <v>46233</v>
      </c>
      <c r="K214" s="564" t="s">
        <v>760</v>
      </c>
      <c r="L214" s="564"/>
      <c r="M214" s="562"/>
      <c r="N214" s="566"/>
      <c r="O214" s="564"/>
      <c r="P214" s="564"/>
      <c r="Q214" s="562"/>
      <c r="R214" s="561"/>
      <c r="S214" s="560"/>
    </row>
    <row r="215" spans="1:19" ht="18" x14ac:dyDescent="0.25">
      <c r="A215" s="564">
        <v>213</v>
      </c>
      <c r="B215" s="564" t="s">
        <v>378</v>
      </c>
      <c r="C215" s="565" t="s">
        <v>212</v>
      </c>
      <c r="D215" s="564" t="s">
        <v>92</v>
      </c>
      <c r="E215" s="564" t="s">
        <v>772</v>
      </c>
      <c r="F215" s="564" t="s">
        <v>776</v>
      </c>
      <c r="G215" s="564" t="s">
        <v>776</v>
      </c>
      <c r="H215" s="564" t="s">
        <v>770</v>
      </c>
      <c r="I215" s="562">
        <v>46229</v>
      </c>
      <c r="J215" s="562">
        <v>46230</v>
      </c>
      <c r="K215" s="564" t="s">
        <v>760</v>
      </c>
      <c r="L215" s="564"/>
      <c r="M215" s="562"/>
      <c r="N215" s="566"/>
      <c r="O215" s="564"/>
      <c r="P215" s="564" t="s">
        <v>924</v>
      </c>
      <c r="Q215" s="562"/>
      <c r="R215" s="561">
        <v>46243</v>
      </c>
      <c r="S215" s="560" t="s">
        <v>690</v>
      </c>
    </row>
    <row r="216" spans="1:19" ht="18" x14ac:dyDescent="0.25">
      <c r="A216" s="564">
        <v>214</v>
      </c>
      <c r="B216" s="564" t="s">
        <v>478</v>
      </c>
      <c r="C216" s="565" t="s">
        <v>237</v>
      </c>
      <c r="D216" s="564" t="s">
        <v>664</v>
      </c>
      <c r="E216" s="564" t="s">
        <v>772</v>
      </c>
      <c r="F216" s="564"/>
      <c r="G216" s="564" t="s">
        <v>772</v>
      </c>
      <c r="H216" s="564"/>
      <c r="I216" s="562"/>
      <c r="J216" s="562"/>
      <c r="K216" s="564"/>
      <c r="L216" s="564"/>
      <c r="M216" s="562"/>
      <c r="N216" s="566" t="s">
        <v>776</v>
      </c>
      <c r="O216" s="564">
        <v>54.72</v>
      </c>
      <c r="P216" s="564"/>
      <c r="Q216" s="562"/>
      <c r="R216" s="561"/>
      <c r="S216" s="560"/>
    </row>
    <row r="217" spans="1:19" ht="18" x14ac:dyDescent="0.25">
      <c r="A217" s="564">
        <v>215</v>
      </c>
      <c r="B217" s="564" t="s">
        <v>379</v>
      </c>
      <c r="C217" s="565" t="s">
        <v>213</v>
      </c>
      <c r="D217" s="564" t="s">
        <v>541</v>
      </c>
      <c r="E217" s="564" t="s">
        <v>772</v>
      </c>
      <c r="F217" s="564" t="s">
        <v>776</v>
      </c>
      <c r="G217" s="564" t="s">
        <v>772</v>
      </c>
      <c r="H217" s="564" t="s">
        <v>770</v>
      </c>
      <c r="I217" s="562">
        <v>46227</v>
      </c>
      <c r="J217" s="562">
        <v>46229</v>
      </c>
      <c r="K217" s="564" t="s">
        <v>760</v>
      </c>
      <c r="L217" s="564" t="s">
        <v>864</v>
      </c>
      <c r="M217" s="562">
        <v>46230</v>
      </c>
      <c r="N217" s="566"/>
      <c r="O217" s="564"/>
      <c r="P217" s="564" t="s">
        <v>924</v>
      </c>
      <c r="Q217" s="562">
        <v>46240</v>
      </c>
      <c r="R217" s="561">
        <v>46243</v>
      </c>
      <c r="S217" s="560" t="s">
        <v>690</v>
      </c>
    </row>
    <row r="218" spans="1:19" ht="18" x14ac:dyDescent="0.25">
      <c r="A218" s="564">
        <v>216</v>
      </c>
      <c r="B218" s="564" t="s">
        <v>380</v>
      </c>
      <c r="C218" s="565" t="s">
        <v>212</v>
      </c>
      <c r="D218" s="564" t="s">
        <v>541</v>
      </c>
      <c r="E218" s="564" t="s">
        <v>772</v>
      </c>
      <c r="F218" s="564" t="s">
        <v>776</v>
      </c>
      <c r="G218" s="564" t="s">
        <v>772</v>
      </c>
      <c r="H218" s="564"/>
      <c r="I218" s="562"/>
      <c r="J218" s="562"/>
      <c r="K218" s="564"/>
      <c r="L218" s="564"/>
      <c r="M218" s="562"/>
      <c r="N218" s="566"/>
      <c r="O218" s="564"/>
      <c r="P218" s="564"/>
      <c r="Q218" s="562"/>
      <c r="R218" s="561"/>
      <c r="S218" s="560"/>
    </row>
    <row r="219" spans="1:19" ht="18" x14ac:dyDescent="0.25">
      <c r="A219" s="564">
        <v>217</v>
      </c>
      <c r="B219" s="564" t="s">
        <v>381</v>
      </c>
      <c r="C219" s="565" t="s">
        <v>212</v>
      </c>
      <c r="D219" s="564" t="s">
        <v>541</v>
      </c>
      <c r="E219" s="564" t="s">
        <v>772</v>
      </c>
      <c r="F219" s="564" t="s">
        <v>776</v>
      </c>
      <c r="G219" s="564" t="s">
        <v>772</v>
      </c>
      <c r="H219" s="564" t="s">
        <v>770</v>
      </c>
      <c r="I219" s="562">
        <v>46235</v>
      </c>
      <c r="J219" s="562">
        <v>46237</v>
      </c>
      <c r="K219" s="564" t="s">
        <v>760</v>
      </c>
      <c r="L219" s="564"/>
      <c r="M219" s="562"/>
      <c r="N219" s="566"/>
      <c r="O219" s="564"/>
      <c r="P219" s="564"/>
      <c r="Q219" s="562"/>
      <c r="R219" s="561"/>
      <c r="S219" s="560"/>
    </row>
    <row r="220" spans="1:19" ht="18" x14ac:dyDescent="0.25">
      <c r="A220" s="564">
        <v>218</v>
      </c>
      <c r="B220" s="564" t="s">
        <v>382</v>
      </c>
      <c r="C220" s="565" t="s">
        <v>212</v>
      </c>
      <c r="D220" s="564" t="s">
        <v>92</v>
      </c>
      <c r="E220" s="564" t="s">
        <v>772</v>
      </c>
      <c r="F220" s="564" t="s">
        <v>776</v>
      </c>
      <c r="G220" s="564" t="s">
        <v>772</v>
      </c>
      <c r="H220" s="564" t="s">
        <v>770</v>
      </c>
      <c r="I220" s="562">
        <v>46234</v>
      </c>
      <c r="J220" s="562">
        <v>46235</v>
      </c>
      <c r="K220" s="564" t="s">
        <v>760</v>
      </c>
      <c r="L220" s="564"/>
      <c r="M220" s="562"/>
      <c r="N220" s="566"/>
      <c r="O220" s="564"/>
      <c r="P220" s="564"/>
      <c r="Q220" s="562"/>
      <c r="R220" s="561"/>
      <c r="S220" s="560"/>
    </row>
    <row r="221" spans="1:19" ht="18" x14ac:dyDescent="0.25">
      <c r="A221" s="564">
        <v>219</v>
      </c>
      <c r="B221" s="564" t="s">
        <v>479</v>
      </c>
      <c r="C221" s="565" t="s">
        <v>214</v>
      </c>
      <c r="D221" s="564" t="s">
        <v>88</v>
      </c>
      <c r="E221" s="564" t="s">
        <v>772</v>
      </c>
      <c r="F221" s="564" t="s">
        <v>773</v>
      </c>
      <c r="G221" s="564" t="s">
        <v>772</v>
      </c>
      <c r="H221" s="564" t="s">
        <v>770</v>
      </c>
      <c r="I221" s="562">
        <v>46216</v>
      </c>
      <c r="J221" s="562">
        <v>46218</v>
      </c>
      <c r="K221" s="564" t="s">
        <v>760</v>
      </c>
      <c r="L221" s="564"/>
      <c r="M221" s="562"/>
      <c r="N221" s="566" t="s">
        <v>776</v>
      </c>
      <c r="O221" s="564">
        <v>62.500999999999998</v>
      </c>
      <c r="P221" s="564"/>
      <c r="Q221" s="562"/>
      <c r="R221" s="561"/>
      <c r="S221" s="560"/>
    </row>
    <row r="222" spans="1:19" ht="18" x14ac:dyDescent="0.25">
      <c r="A222" s="564">
        <v>220</v>
      </c>
      <c r="B222" s="564" t="s">
        <v>383</v>
      </c>
      <c r="C222" s="565" t="s">
        <v>213</v>
      </c>
      <c r="D222" s="564" t="s">
        <v>92</v>
      </c>
      <c r="E222" s="564" t="s">
        <v>772</v>
      </c>
      <c r="F222" s="564" t="s">
        <v>776</v>
      </c>
      <c r="G222" s="564" t="s">
        <v>772</v>
      </c>
      <c r="H222" s="564" t="s">
        <v>770</v>
      </c>
      <c r="I222" s="562">
        <v>46213</v>
      </c>
      <c r="J222" s="562">
        <v>46215</v>
      </c>
      <c r="K222" s="564" t="s">
        <v>760</v>
      </c>
      <c r="L222" s="564" t="s">
        <v>861</v>
      </c>
      <c r="M222" s="562">
        <v>46217</v>
      </c>
      <c r="N222" s="566"/>
      <c r="O222" s="564"/>
      <c r="P222" s="564" t="s">
        <v>924</v>
      </c>
      <c r="Q222" s="562">
        <v>46231</v>
      </c>
      <c r="R222" s="561">
        <v>46234</v>
      </c>
      <c r="S222" s="560" t="s">
        <v>690</v>
      </c>
    </row>
    <row r="223" spans="1:19" ht="18" x14ac:dyDescent="0.25">
      <c r="A223" s="564">
        <v>221</v>
      </c>
      <c r="B223" s="564" t="s">
        <v>384</v>
      </c>
      <c r="C223" s="565" t="s">
        <v>212</v>
      </c>
      <c r="D223" s="564" t="s">
        <v>92</v>
      </c>
      <c r="E223" s="564" t="s">
        <v>772</v>
      </c>
      <c r="F223" s="564" t="s">
        <v>776</v>
      </c>
      <c r="G223" s="564" t="s">
        <v>772</v>
      </c>
      <c r="H223" s="564" t="s">
        <v>770</v>
      </c>
      <c r="I223" s="562">
        <v>46209</v>
      </c>
      <c r="J223" s="562">
        <v>46211</v>
      </c>
      <c r="K223" s="564" t="s">
        <v>760</v>
      </c>
      <c r="L223" s="564" t="s">
        <v>861</v>
      </c>
      <c r="M223" s="562">
        <v>46212</v>
      </c>
      <c r="N223" s="566"/>
      <c r="O223" s="564"/>
      <c r="P223" s="564" t="s">
        <v>924</v>
      </c>
      <c r="Q223" s="562">
        <v>46220</v>
      </c>
      <c r="R223" s="561">
        <v>46224</v>
      </c>
      <c r="S223" s="560" t="s">
        <v>690</v>
      </c>
    </row>
    <row r="224" spans="1:19" ht="18" x14ac:dyDescent="0.25">
      <c r="A224" s="564">
        <v>222</v>
      </c>
      <c r="B224" s="564" t="s">
        <v>385</v>
      </c>
      <c r="C224" s="565" t="s">
        <v>212</v>
      </c>
      <c r="D224" s="564" t="s">
        <v>92</v>
      </c>
      <c r="E224" s="564" t="s">
        <v>772</v>
      </c>
      <c r="F224" s="564" t="s">
        <v>776</v>
      </c>
      <c r="G224" s="564" t="s">
        <v>772</v>
      </c>
      <c r="H224" s="564" t="s">
        <v>770</v>
      </c>
      <c r="I224" s="562">
        <v>46207</v>
      </c>
      <c r="J224" s="562">
        <v>46209</v>
      </c>
      <c r="K224" s="564" t="s">
        <v>760</v>
      </c>
      <c r="L224" s="564" t="s">
        <v>861</v>
      </c>
      <c r="M224" s="562">
        <v>46211</v>
      </c>
      <c r="N224" s="566"/>
      <c r="O224" s="564"/>
      <c r="P224" s="564" t="s">
        <v>924</v>
      </c>
      <c r="Q224" s="562">
        <v>46225</v>
      </c>
      <c r="R224" s="561">
        <v>46228</v>
      </c>
      <c r="S224" s="560" t="s">
        <v>910</v>
      </c>
    </row>
    <row r="225" spans="1:19" ht="18" x14ac:dyDescent="0.25">
      <c r="A225" s="564">
        <v>223</v>
      </c>
      <c r="B225" s="564" t="s">
        <v>386</v>
      </c>
      <c r="C225" s="565" t="s">
        <v>212</v>
      </c>
      <c r="D225" s="564" t="s">
        <v>92</v>
      </c>
      <c r="E225" s="564" t="s">
        <v>772</v>
      </c>
      <c r="F225" s="564" t="s">
        <v>776</v>
      </c>
      <c r="G225" s="564" t="s">
        <v>772</v>
      </c>
      <c r="H225" s="564" t="s">
        <v>770</v>
      </c>
      <c r="I225" s="562">
        <v>46205</v>
      </c>
      <c r="J225" s="562">
        <v>46207</v>
      </c>
      <c r="K225" s="564" t="s">
        <v>760</v>
      </c>
      <c r="L225" s="564" t="s">
        <v>861</v>
      </c>
      <c r="M225" s="562">
        <v>46208</v>
      </c>
      <c r="N225" s="566"/>
      <c r="O225" s="564"/>
      <c r="P225" s="564" t="s">
        <v>924</v>
      </c>
      <c r="Q225" s="562">
        <v>46213</v>
      </c>
      <c r="R225" s="561">
        <v>46230</v>
      </c>
      <c r="S225" s="560" t="s">
        <v>938</v>
      </c>
    </row>
    <row r="226" spans="1:19" ht="18" x14ac:dyDescent="0.25">
      <c r="A226" s="564">
        <v>224</v>
      </c>
      <c r="B226" s="564" t="s">
        <v>387</v>
      </c>
      <c r="C226" s="565" t="s">
        <v>211</v>
      </c>
      <c r="D226" s="564" t="s">
        <v>88</v>
      </c>
      <c r="E226" s="564" t="s">
        <v>772</v>
      </c>
      <c r="F226" s="564" t="s">
        <v>776</v>
      </c>
      <c r="G226" s="564" t="s">
        <v>772</v>
      </c>
      <c r="H226" s="564" t="s">
        <v>770</v>
      </c>
      <c r="I226" s="562">
        <v>46211</v>
      </c>
      <c r="J226" s="562">
        <v>46213</v>
      </c>
      <c r="K226" s="564" t="s">
        <v>760</v>
      </c>
      <c r="L226" s="564"/>
      <c r="M226" s="562"/>
      <c r="N226" s="566"/>
      <c r="O226" s="564"/>
      <c r="P226" s="564" t="s">
        <v>924</v>
      </c>
      <c r="Q226" s="562">
        <v>46227</v>
      </c>
      <c r="R226" s="561">
        <v>46230</v>
      </c>
      <c r="S226" s="560" t="s">
        <v>690</v>
      </c>
    </row>
    <row r="227" spans="1:19" ht="18" x14ac:dyDescent="0.25">
      <c r="A227" s="564">
        <v>225</v>
      </c>
      <c r="B227" s="564" t="s">
        <v>480</v>
      </c>
      <c r="C227" s="565" t="s">
        <v>214</v>
      </c>
      <c r="D227" s="564" t="s">
        <v>92</v>
      </c>
      <c r="E227" s="564" t="s">
        <v>772</v>
      </c>
      <c r="F227" s="564" t="s">
        <v>776</v>
      </c>
      <c r="G227" s="564" t="s">
        <v>772</v>
      </c>
      <c r="H227" s="564" t="s">
        <v>770</v>
      </c>
      <c r="I227" s="562">
        <v>46201</v>
      </c>
      <c r="J227" s="562">
        <v>46203</v>
      </c>
      <c r="K227" s="564" t="s">
        <v>760</v>
      </c>
      <c r="L227" s="564" t="s">
        <v>861</v>
      </c>
      <c r="M227" s="562">
        <v>46204</v>
      </c>
      <c r="N227" s="566"/>
      <c r="O227" s="564"/>
      <c r="P227" s="564" t="s">
        <v>924</v>
      </c>
      <c r="Q227" s="562">
        <v>46212</v>
      </c>
      <c r="R227" s="561">
        <v>46215</v>
      </c>
      <c r="S227" s="560" t="s">
        <v>690</v>
      </c>
    </row>
    <row r="228" spans="1:19" ht="18" x14ac:dyDescent="0.25">
      <c r="A228" s="564">
        <v>226</v>
      </c>
      <c r="B228" s="564" t="s">
        <v>388</v>
      </c>
      <c r="C228" s="565" t="s">
        <v>212</v>
      </c>
      <c r="D228" s="564" t="s">
        <v>92</v>
      </c>
      <c r="E228" s="564" t="s">
        <v>772</v>
      </c>
      <c r="F228" s="564" t="s">
        <v>776</v>
      </c>
      <c r="G228" s="564" t="s">
        <v>776</v>
      </c>
      <c r="H228" s="564" t="s">
        <v>770</v>
      </c>
      <c r="I228" s="562">
        <v>46199</v>
      </c>
      <c r="J228" s="562">
        <v>46200</v>
      </c>
      <c r="K228" s="564" t="s">
        <v>760</v>
      </c>
      <c r="L228" s="564" t="s">
        <v>861</v>
      </c>
      <c r="M228" s="562">
        <v>46204</v>
      </c>
      <c r="N228" s="566"/>
      <c r="O228" s="564"/>
      <c r="P228" s="564" t="s">
        <v>924</v>
      </c>
      <c r="Q228" s="562">
        <v>46216</v>
      </c>
      <c r="R228" s="561">
        <v>46219</v>
      </c>
      <c r="S228" s="560" t="s">
        <v>690</v>
      </c>
    </row>
    <row r="229" spans="1:19" ht="18" x14ac:dyDescent="0.25">
      <c r="A229" s="564">
        <v>227</v>
      </c>
      <c r="B229" s="564" t="s">
        <v>389</v>
      </c>
      <c r="C229" s="565" t="s">
        <v>212</v>
      </c>
      <c r="D229" s="564" t="s">
        <v>92</v>
      </c>
      <c r="E229" s="564" t="s">
        <v>772</v>
      </c>
      <c r="F229" s="564" t="s">
        <v>776</v>
      </c>
      <c r="G229" s="564" t="s">
        <v>776</v>
      </c>
      <c r="H229" s="564" t="s">
        <v>770</v>
      </c>
      <c r="I229" s="562">
        <v>46198</v>
      </c>
      <c r="J229" s="562">
        <v>46199</v>
      </c>
      <c r="K229" s="564" t="s">
        <v>760</v>
      </c>
      <c r="L229" s="564" t="s">
        <v>861</v>
      </c>
      <c r="M229" s="562">
        <v>46204</v>
      </c>
      <c r="N229" s="566"/>
      <c r="O229" s="564"/>
      <c r="P229" s="564" t="s">
        <v>924</v>
      </c>
      <c r="Q229" s="562">
        <v>46216</v>
      </c>
      <c r="R229" s="561">
        <v>46219</v>
      </c>
      <c r="S229" s="560" t="s">
        <v>910</v>
      </c>
    </row>
    <row r="230" spans="1:19" ht="18" x14ac:dyDescent="0.25">
      <c r="A230" s="564">
        <v>228</v>
      </c>
      <c r="B230" s="564" t="s">
        <v>390</v>
      </c>
      <c r="C230" s="565" t="s">
        <v>213</v>
      </c>
      <c r="D230" s="564" t="s">
        <v>88</v>
      </c>
      <c r="E230" s="564" t="s">
        <v>772</v>
      </c>
      <c r="F230" s="564" t="s">
        <v>776</v>
      </c>
      <c r="G230" s="564" t="s">
        <v>776</v>
      </c>
      <c r="H230" s="564" t="s">
        <v>770</v>
      </c>
      <c r="I230" s="562">
        <v>46193</v>
      </c>
      <c r="J230" s="562">
        <v>46195</v>
      </c>
      <c r="K230" s="564" t="s">
        <v>760</v>
      </c>
      <c r="L230" s="564"/>
      <c r="M230" s="562"/>
      <c r="N230" s="566"/>
      <c r="O230" s="564"/>
      <c r="P230" s="564" t="s">
        <v>924</v>
      </c>
      <c r="Q230" s="562">
        <v>46210</v>
      </c>
      <c r="R230" s="561">
        <v>46215</v>
      </c>
      <c r="S230" s="560" t="s">
        <v>910</v>
      </c>
    </row>
    <row r="231" spans="1:19" ht="18" x14ac:dyDescent="0.25">
      <c r="A231" s="564">
        <v>229</v>
      </c>
      <c r="B231" s="564" t="s">
        <v>391</v>
      </c>
      <c r="C231" s="565" t="s">
        <v>213</v>
      </c>
      <c r="D231" s="564" t="s">
        <v>92</v>
      </c>
      <c r="E231" s="564" t="s">
        <v>772</v>
      </c>
      <c r="F231" s="564" t="s">
        <v>776</v>
      </c>
      <c r="G231" s="564" t="s">
        <v>776</v>
      </c>
      <c r="H231" s="564" t="s">
        <v>770</v>
      </c>
      <c r="I231" s="562">
        <v>46195</v>
      </c>
      <c r="J231" s="562">
        <v>46197</v>
      </c>
      <c r="K231" s="564" t="s">
        <v>760</v>
      </c>
      <c r="L231" s="564" t="s">
        <v>861</v>
      </c>
      <c r="M231" s="562">
        <v>46208</v>
      </c>
      <c r="N231" s="566"/>
      <c r="O231" s="564"/>
      <c r="P231" s="564" t="s">
        <v>924</v>
      </c>
      <c r="Q231" s="562">
        <v>46220</v>
      </c>
      <c r="R231" s="561">
        <v>46224</v>
      </c>
      <c r="S231" s="560" t="s">
        <v>910</v>
      </c>
    </row>
    <row r="232" spans="1:19" ht="18" x14ac:dyDescent="0.25">
      <c r="A232" s="564">
        <v>230</v>
      </c>
      <c r="B232" s="564" t="s">
        <v>392</v>
      </c>
      <c r="C232" s="565" t="s">
        <v>212</v>
      </c>
      <c r="D232" s="564" t="s">
        <v>92</v>
      </c>
      <c r="E232" s="564" t="s">
        <v>772</v>
      </c>
      <c r="F232" s="564" t="s">
        <v>776</v>
      </c>
      <c r="G232" s="564" t="s">
        <v>776</v>
      </c>
      <c r="H232" s="564" t="s">
        <v>770</v>
      </c>
      <c r="I232" s="562">
        <v>46569</v>
      </c>
      <c r="J232" s="562">
        <v>46205</v>
      </c>
      <c r="K232" s="564" t="s">
        <v>760</v>
      </c>
      <c r="L232" s="564"/>
      <c r="M232" s="562"/>
      <c r="N232" s="566"/>
      <c r="O232" s="564"/>
      <c r="P232" s="564" t="s">
        <v>924</v>
      </c>
      <c r="Q232" s="562">
        <v>46224</v>
      </c>
      <c r="R232" s="561">
        <v>46227</v>
      </c>
      <c r="S232" s="560" t="s">
        <v>690</v>
      </c>
    </row>
    <row r="233" spans="1:19" ht="18" x14ac:dyDescent="0.25">
      <c r="A233" s="564">
        <v>231</v>
      </c>
      <c r="B233" s="564" t="s">
        <v>393</v>
      </c>
      <c r="C233" s="565" t="s">
        <v>212</v>
      </c>
      <c r="D233" s="564" t="s">
        <v>92</v>
      </c>
      <c r="E233" s="564" t="s">
        <v>772</v>
      </c>
      <c r="F233" s="564" t="s">
        <v>776</v>
      </c>
      <c r="G233" s="564" t="s">
        <v>776</v>
      </c>
      <c r="H233" s="564" t="s">
        <v>770</v>
      </c>
      <c r="I233" s="562">
        <v>45998</v>
      </c>
      <c r="J233" s="562">
        <v>46011</v>
      </c>
      <c r="K233" s="564" t="s">
        <v>662</v>
      </c>
      <c r="L233" s="564" t="s">
        <v>784</v>
      </c>
      <c r="M233" s="562">
        <v>46029</v>
      </c>
      <c r="N233" s="566" t="s">
        <v>776</v>
      </c>
      <c r="O233" s="564">
        <v>35.088999999999999</v>
      </c>
      <c r="P233" s="564" t="s">
        <v>667</v>
      </c>
      <c r="Q233" s="562">
        <v>46361</v>
      </c>
      <c r="R233" s="561">
        <v>46062</v>
      </c>
      <c r="S233" s="560" t="s">
        <v>691</v>
      </c>
    </row>
    <row r="234" spans="1:19" ht="18" x14ac:dyDescent="0.25">
      <c r="A234" s="564">
        <v>232</v>
      </c>
      <c r="B234" s="564" t="s">
        <v>394</v>
      </c>
      <c r="C234" s="565" t="s">
        <v>212</v>
      </c>
      <c r="D234" s="564" t="s">
        <v>542</v>
      </c>
      <c r="E234" s="564" t="s">
        <v>772</v>
      </c>
      <c r="F234" s="564" t="s">
        <v>776</v>
      </c>
      <c r="G234" s="564" t="s">
        <v>776</v>
      </c>
      <c r="H234" s="564" t="s">
        <v>770</v>
      </c>
      <c r="I234" s="562">
        <v>45998</v>
      </c>
      <c r="J234" s="562">
        <v>46006</v>
      </c>
      <c r="K234" s="564" t="s">
        <v>662</v>
      </c>
      <c r="L234" s="564" t="s">
        <v>786</v>
      </c>
      <c r="M234" s="562">
        <v>46029</v>
      </c>
      <c r="N234" s="566" t="s">
        <v>776</v>
      </c>
      <c r="O234" s="564">
        <v>35.088999999999999</v>
      </c>
      <c r="P234" s="564" t="s">
        <v>667</v>
      </c>
      <c r="Q234" s="562">
        <v>46034</v>
      </c>
      <c r="R234" s="561">
        <v>46051</v>
      </c>
      <c r="S234" s="560" t="s">
        <v>691</v>
      </c>
    </row>
    <row r="235" spans="1:19" ht="18" x14ac:dyDescent="0.25">
      <c r="A235" s="564">
        <v>233</v>
      </c>
      <c r="B235" s="564" t="s">
        <v>395</v>
      </c>
      <c r="C235" s="565" t="s">
        <v>212</v>
      </c>
      <c r="D235" s="564" t="s">
        <v>92</v>
      </c>
      <c r="E235" s="564" t="s">
        <v>772</v>
      </c>
      <c r="F235" s="564" t="s">
        <v>776</v>
      </c>
      <c r="G235" s="564" t="s">
        <v>776</v>
      </c>
      <c r="H235" s="564" t="s">
        <v>770</v>
      </c>
      <c r="I235" s="562">
        <v>46005</v>
      </c>
      <c r="J235" s="562">
        <v>46017</v>
      </c>
      <c r="K235" s="564" t="s">
        <v>662</v>
      </c>
      <c r="L235" s="564" t="s">
        <v>784</v>
      </c>
      <c r="M235" s="562">
        <v>46028</v>
      </c>
      <c r="N235" s="566" t="s">
        <v>776</v>
      </c>
      <c r="O235" s="564">
        <v>35.088999999999999</v>
      </c>
      <c r="P235" s="564" t="s">
        <v>667</v>
      </c>
      <c r="Q235" s="562">
        <v>46052</v>
      </c>
      <c r="R235" s="561">
        <v>46056</v>
      </c>
      <c r="S235" s="560" t="s">
        <v>691</v>
      </c>
    </row>
    <row r="236" spans="1:19" ht="18" x14ac:dyDescent="0.25">
      <c r="A236" s="564">
        <v>234</v>
      </c>
      <c r="B236" s="564" t="s">
        <v>396</v>
      </c>
      <c r="C236" s="565" t="s">
        <v>212</v>
      </c>
      <c r="D236" s="564" t="s">
        <v>542</v>
      </c>
      <c r="E236" s="564" t="s">
        <v>772</v>
      </c>
      <c r="F236" s="564" t="s">
        <v>776</v>
      </c>
      <c r="G236" s="564" t="s">
        <v>776</v>
      </c>
      <c r="H236" s="564" t="s">
        <v>770</v>
      </c>
      <c r="I236" s="562">
        <v>46005</v>
      </c>
      <c r="J236" s="562">
        <v>46014</v>
      </c>
      <c r="K236" s="564" t="s">
        <v>662</v>
      </c>
      <c r="L236" s="564" t="s">
        <v>786</v>
      </c>
      <c r="M236" s="562">
        <v>46023</v>
      </c>
      <c r="N236" s="566" t="s">
        <v>776</v>
      </c>
      <c r="O236" s="564">
        <v>35.088999999999999</v>
      </c>
      <c r="P236" s="564" t="s">
        <v>667</v>
      </c>
      <c r="Q236" s="562">
        <v>46053</v>
      </c>
      <c r="R236" s="561">
        <v>46069</v>
      </c>
      <c r="S236" s="560" t="s">
        <v>691</v>
      </c>
    </row>
    <row r="237" spans="1:19" ht="18" x14ac:dyDescent="0.25">
      <c r="A237" s="564">
        <v>235</v>
      </c>
      <c r="B237" s="564" t="s">
        <v>397</v>
      </c>
      <c r="C237" s="565" t="s">
        <v>212</v>
      </c>
      <c r="D237" s="564" t="s">
        <v>92</v>
      </c>
      <c r="E237" s="564" t="s">
        <v>772</v>
      </c>
      <c r="F237" s="564" t="s">
        <v>776</v>
      </c>
      <c r="G237" s="564" t="s">
        <v>776</v>
      </c>
      <c r="H237" s="564" t="s">
        <v>770</v>
      </c>
      <c r="I237" s="562">
        <v>46013</v>
      </c>
      <c r="J237" s="562">
        <v>46020</v>
      </c>
      <c r="K237" s="564" t="s">
        <v>662</v>
      </c>
      <c r="L237" s="564" t="s">
        <v>784</v>
      </c>
      <c r="M237" s="562">
        <v>46028</v>
      </c>
      <c r="N237" s="566" t="s">
        <v>776</v>
      </c>
      <c r="O237" s="564">
        <v>35.088999999999999</v>
      </c>
      <c r="P237" s="564" t="s">
        <v>667</v>
      </c>
      <c r="Q237" s="562">
        <v>46045</v>
      </c>
      <c r="R237" s="561">
        <v>46049</v>
      </c>
      <c r="S237" s="560" t="s">
        <v>692</v>
      </c>
    </row>
    <row r="238" spans="1:19" ht="18" x14ac:dyDescent="0.25">
      <c r="A238" s="564">
        <v>236</v>
      </c>
      <c r="B238" s="564" t="s">
        <v>398</v>
      </c>
      <c r="C238" s="565" t="s">
        <v>212</v>
      </c>
      <c r="D238" s="564" t="s">
        <v>92</v>
      </c>
      <c r="E238" s="564" t="s">
        <v>772</v>
      </c>
      <c r="F238" s="564" t="s">
        <v>776</v>
      </c>
      <c r="G238" s="564" t="s">
        <v>776</v>
      </c>
      <c r="H238" s="564" t="s">
        <v>770</v>
      </c>
      <c r="I238" s="562">
        <v>46018</v>
      </c>
      <c r="J238" s="562">
        <v>46022</v>
      </c>
      <c r="K238" s="564" t="s">
        <v>662</v>
      </c>
      <c r="L238" s="564" t="s">
        <v>784</v>
      </c>
      <c r="M238" s="562">
        <v>46028</v>
      </c>
      <c r="N238" s="566" t="s">
        <v>776</v>
      </c>
      <c r="O238" s="564">
        <v>35.088999999999999</v>
      </c>
      <c r="P238" s="564" t="s">
        <v>667</v>
      </c>
      <c r="Q238" s="562">
        <v>46039</v>
      </c>
      <c r="R238" s="561">
        <v>46043</v>
      </c>
      <c r="S238" s="560" t="s">
        <v>692</v>
      </c>
    </row>
    <row r="239" spans="1:19" ht="18" x14ac:dyDescent="0.25">
      <c r="A239" s="564">
        <v>237</v>
      </c>
      <c r="B239" s="564" t="s">
        <v>399</v>
      </c>
      <c r="C239" s="565" t="s">
        <v>212</v>
      </c>
      <c r="D239" s="564" t="s">
        <v>542</v>
      </c>
      <c r="E239" s="564" t="s">
        <v>772</v>
      </c>
      <c r="F239" s="564" t="s">
        <v>776</v>
      </c>
      <c r="G239" s="564" t="s">
        <v>776</v>
      </c>
      <c r="H239" s="564" t="s">
        <v>770</v>
      </c>
      <c r="I239" s="562">
        <v>46022</v>
      </c>
      <c r="J239" s="562">
        <v>46028</v>
      </c>
      <c r="K239" s="564" t="s">
        <v>662</v>
      </c>
      <c r="L239" s="564"/>
      <c r="M239" s="562"/>
      <c r="N239" s="566" t="s">
        <v>776</v>
      </c>
      <c r="O239" s="564">
        <v>35.088999999999999</v>
      </c>
      <c r="P239" s="564"/>
      <c r="Q239" s="562"/>
      <c r="R239" s="561"/>
      <c r="S239" s="560"/>
    </row>
    <row r="240" spans="1:19" ht="18" x14ac:dyDescent="0.25">
      <c r="A240" s="564">
        <v>238</v>
      </c>
      <c r="B240" s="564" t="s">
        <v>481</v>
      </c>
      <c r="C240" s="565" t="s">
        <v>237</v>
      </c>
      <c r="D240" s="564" t="s">
        <v>92</v>
      </c>
      <c r="E240" s="564" t="s">
        <v>772</v>
      </c>
      <c r="F240" s="564"/>
      <c r="G240" s="564" t="s">
        <v>776</v>
      </c>
      <c r="H240" s="564" t="s">
        <v>770</v>
      </c>
      <c r="I240" s="573">
        <v>46105</v>
      </c>
      <c r="J240" s="562">
        <v>46099</v>
      </c>
      <c r="K240" s="564" t="s">
        <v>660</v>
      </c>
      <c r="L240" s="564" t="s">
        <v>784</v>
      </c>
      <c r="M240" s="562">
        <v>46104</v>
      </c>
      <c r="N240" s="566" t="s">
        <v>776</v>
      </c>
      <c r="O240" s="564">
        <v>54.72</v>
      </c>
      <c r="P240" s="564" t="s">
        <v>667</v>
      </c>
      <c r="Q240" s="562">
        <v>46117</v>
      </c>
      <c r="R240" s="561">
        <v>46124</v>
      </c>
      <c r="S240" s="560" t="s">
        <v>732</v>
      </c>
    </row>
    <row r="241" spans="1:19" ht="18" x14ac:dyDescent="0.25">
      <c r="A241" s="564">
        <v>239</v>
      </c>
      <c r="B241" s="564" t="s">
        <v>400</v>
      </c>
      <c r="C241" s="565" t="s">
        <v>213</v>
      </c>
      <c r="D241" s="564" t="s">
        <v>541</v>
      </c>
      <c r="E241" s="564" t="s">
        <v>772</v>
      </c>
      <c r="F241" s="564" t="s">
        <v>776</v>
      </c>
      <c r="G241" s="564" t="s">
        <v>776</v>
      </c>
      <c r="H241" s="564" t="s">
        <v>770</v>
      </c>
      <c r="I241" s="562">
        <v>46026</v>
      </c>
      <c r="J241" s="562">
        <v>46045</v>
      </c>
      <c r="K241" s="564" t="s">
        <v>662</v>
      </c>
      <c r="L241" s="564"/>
      <c r="M241" s="562"/>
      <c r="N241" s="566" t="s">
        <v>776</v>
      </c>
      <c r="O241" s="564">
        <v>36.771000000000001</v>
      </c>
      <c r="P241" s="564" t="s">
        <v>667</v>
      </c>
      <c r="Q241" s="562">
        <v>46052</v>
      </c>
      <c r="R241" s="561">
        <v>46058</v>
      </c>
      <c r="S241" s="560" t="s">
        <v>692</v>
      </c>
    </row>
    <row r="242" spans="1:19" ht="18" x14ac:dyDescent="0.25">
      <c r="A242" s="564">
        <v>240</v>
      </c>
      <c r="B242" s="564" t="s">
        <v>401</v>
      </c>
      <c r="C242" s="565" t="s">
        <v>213</v>
      </c>
      <c r="D242" s="564" t="s">
        <v>92</v>
      </c>
      <c r="E242" s="564" t="s">
        <v>772</v>
      </c>
      <c r="F242" s="564" t="s">
        <v>776</v>
      </c>
      <c r="G242" s="564" t="s">
        <v>776</v>
      </c>
      <c r="H242" s="564" t="s">
        <v>770</v>
      </c>
      <c r="I242" s="562">
        <v>46027</v>
      </c>
      <c r="J242" s="562">
        <v>46034</v>
      </c>
      <c r="K242" s="564" t="s">
        <v>662</v>
      </c>
      <c r="L242" s="564"/>
      <c r="M242" s="562"/>
      <c r="N242" s="566" t="s">
        <v>776</v>
      </c>
      <c r="O242" s="564">
        <v>36.771000000000001</v>
      </c>
      <c r="P242" s="564" t="s">
        <v>667</v>
      </c>
      <c r="Q242" s="562">
        <v>46049</v>
      </c>
      <c r="R242" s="561">
        <v>46053</v>
      </c>
      <c r="S242" s="560" t="s">
        <v>692</v>
      </c>
    </row>
    <row r="243" spans="1:19" ht="18" x14ac:dyDescent="0.25">
      <c r="A243" s="564">
        <v>241</v>
      </c>
      <c r="B243" s="564" t="s">
        <v>402</v>
      </c>
      <c r="C243" s="565" t="s">
        <v>213</v>
      </c>
      <c r="D243" s="564" t="s">
        <v>542</v>
      </c>
      <c r="E243" s="564" t="s">
        <v>772</v>
      </c>
      <c r="F243" s="564" t="s">
        <v>776</v>
      </c>
      <c r="G243" s="564" t="s">
        <v>776</v>
      </c>
      <c r="H243" s="564" t="s">
        <v>770</v>
      </c>
      <c r="I243" s="562">
        <v>46032</v>
      </c>
      <c r="J243" s="562">
        <v>46036</v>
      </c>
      <c r="K243" s="564" t="s">
        <v>662</v>
      </c>
      <c r="L243" s="564" t="s">
        <v>786</v>
      </c>
      <c r="M243" s="562">
        <v>46047</v>
      </c>
      <c r="N243" s="566" t="s">
        <v>776</v>
      </c>
      <c r="O243" s="564">
        <v>36.771000000000001</v>
      </c>
      <c r="P243" s="564" t="s">
        <v>667</v>
      </c>
      <c r="Q243" s="562">
        <v>46231</v>
      </c>
      <c r="R243" s="561">
        <v>46243</v>
      </c>
      <c r="S243" s="560" t="s">
        <v>938</v>
      </c>
    </row>
    <row r="244" spans="1:19" ht="18" x14ac:dyDescent="0.25">
      <c r="A244" s="564">
        <v>242</v>
      </c>
      <c r="B244" s="564" t="s">
        <v>403</v>
      </c>
      <c r="C244" s="565" t="s">
        <v>212</v>
      </c>
      <c r="D244" s="564" t="s">
        <v>92</v>
      </c>
      <c r="E244" s="564" t="s">
        <v>772</v>
      </c>
      <c r="F244" s="564" t="s">
        <v>776</v>
      </c>
      <c r="G244" s="564" t="s">
        <v>776</v>
      </c>
      <c r="H244" s="564" t="s">
        <v>770</v>
      </c>
      <c r="I244" s="562">
        <v>46043</v>
      </c>
      <c r="J244" s="562">
        <v>46046</v>
      </c>
      <c r="K244" s="564" t="s">
        <v>662</v>
      </c>
      <c r="L244" s="564"/>
      <c r="M244" s="562"/>
      <c r="N244" s="566" t="s">
        <v>776</v>
      </c>
      <c r="O244" s="564">
        <v>35.088999999999999</v>
      </c>
      <c r="P244" s="564" t="s">
        <v>667</v>
      </c>
      <c r="Q244" s="562">
        <v>46101</v>
      </c>
      <c r="R244" s="561">
        <v>46110</v>
      </c>
      <c r="S244" s="560" t="s">
        <v>732</v>
      </c>
    </row>
    <row r="245" spans="1:19" ht="18" x14ac:dyDescent="0.25">
      <c r="A245" s="564">
        <v>243</v>
      </c>
      <c r="B245" s="564" t="s">
        <v>404</v>
      </c>
      <c r="C245" s="565" t="s">
        <v>212</v>
      </c>
      <c r="D245" s="564" t="s">
        <v>92</v>
      </c>
      <c r="E245" s="564" t="s">
        <v>772</v>
      </c>
      <c r="F245" s="564" t="s">
        <v>776</v>
      </c>
      <c r="G245" s="564" t="s">
        <v>776</v>
      </c>
      <c r="H245" s="564" t="s">
        <v>770</v>
      </c>
      <c r="I245" s="562">
        <v>46044</v>
      </c>
      <c r="J245" s="562">
        <v>46049</v>
      </c>
      <c r="K245" s="564" t="s">
        <v>662</v>
      </c>
      <c r="L245" s="564" t="s">
        <v>784</v>
      </c>
      <c r="M245" s="562">
        <v>46055</v>
      </c>
      <c r="N245" s="566" t="s">
        <v>776</v>
      </c>
      <c r="O245" s="564">
        <v>35.088999999999999</v>
      </c>
      <c r="P245" s="564" t="s">
        <v>667</v>
      </c>
      <c r="Q245" s="562">
        <v>46061</v>
      </c>
      <c r="R245" s="561">
        <v>46077</v>
      </c>
      <c r="S245" s="560" t="s">
        <v>692</v>
      </c>
    </row>
    <row r="246" spans="1:19" ht="18" x14ac:dyDescent="0.25">
      <c r="A246" s="564">
        <v>244</v>
      </c>
      <c r="B246" s="564" t="s">
        <v>405</v>
      </c>
      <c r="C246" s="565" t="s">
        <v>212</v>
      </c>
      <c r="D246" s="564" t="s">
        <v>92</v>
      </c>
      <c r="E246" s="564" t="s">
        <v>772</v>
      </c>
      <c r="F246" s="564" t="s">
        <v>776</v>
      </c>
      <c r="G246" s="564" t="s">
        <v>776</v>
      </c>
      <c r="H246" s="564" t="s">
        <v>770</v>
      </c>
      <c r="I246" s="573">
        <v>46048</v>
      </c>
      <c r="J246" s="562">
        <v>46077</v>
      </c>
      <c r="K246" s="564" t="s">
        <v>686</v>
      </c>
      <c r="L246" s="564" t="s">
        <v>784</v>
      </c>
      <c r="M246" s="562">
        <v>46088</v>
      </c>
      <c r="N246" s="566" t="s">
        <v>776</v>
      </c>
      <c r="O246" s="564">
        <v>35.088999999999999</v>
      </c>
      <c r="P246" s="564" t="s">
        <v>667</v>
      </c>
      <c r="Q246" s="562">
        <v>46091</v>
      </c>
      <c r="R246" s="561">
        <v>46097</v>
      </c>
      <c r="S246" s="560" t="s">
        <v>732</v>
      </c>
    </row>
    <row r="247" spans="1:19" ht="18" x14ac:dyDescent="0.25">
      <c r="A247" s="564">
        <v>245</v>
      </c>
      <c r="B247" s="564" t="s">
        <v>406</v>
      </c>
      <c r="C247" s="565" t="s">
        <v>213</v>
      </c>
      <c r="D247" s="564" t="s">
        <v>92</v>
      </c>
      <c r="E247" s="564" t="s">
        <v>772</v>
      </c>
      <c r="F247" s="564" t="s">
        <v>776</v>
      </c>
      <c r="G247" s="564" t="s">
        <v>776</v>
      </c>
      <c r="H247" s="564" t="s">
        <v>770</v>
      </c>
      <c r="I247" s="562">
        <v>46049</v>
      </c>
      <c r="J247" s="562">
        <v>46081</v>
      </c>
      <c r="K247" s="564" t="s">
        <v>686</v>
      </c>
      <c r="L247" s="564" t="s">
        <v>784</v>
      </c>
      <c r="M247" s="562">
        <v>46088</v>
      </c>
      <c r="N247" s="566" t="s">
        <v>776</v>
      </c>
      <c r="O247" s="564">
        <v>36.771000000000001</v>
      </c>
      <c r="P247" s="564" t="s">
        <v>667</v>
      </c>
      <c r="Q247" s="562">
        <v>46097</v>
      </c>
      <c r="R247" s="561">
        <v>46104</v>
      </c>
      <c r="S247" s="560" t="s">
        <v>732</v>
      </c>
    </row>
    <row r="248" spans="1:19" ht="18" x14ac:dyDescent="0.25">
      <c r="A248" s="564">
        <v>246</v>
      </c>
      <c r="B248" s="564" t="s">
        <v>407</v>
      </c>
      <c r="C248" s="565" t="s">
        <v>212</v>
      </c>
      <c r="D248" s="564" t="s">
        <v>92</v>
      </c>
      <c r="E248" s="564" t="s">
        <v>772</v>
      </c>
      <c r="F248" s="564" t="s">
        <v>776</v>
      </c>
      <c r="G248" s="564" t="s">
        <v>776</v>
      </c>
      <c r="H248" s="564" t="s">
        <v>770</v>
      </c>
      <c r="I248" s="562">
        <v>46065</v>
      </c>
      <c r="J248" s="562">
        <v>46079</v>
      </c>
      <c r="K248" s="564" t="s">
        <v>686</v>
      </c>
      <c r="L248" s="564" t="s">
        <v>784</v>
      </c>
      <c r="M248" s="562">
        <v>46084</v>
      </c>
      <c r="N248" s="566" t="s">
        <v>776</v>
      </c>
      <c r="O248" s="564">
        <v>35.088999999999999</v>
      </c>
      <c r="P248" s="564" t="s">
        <v>667</v>
      </c>
      <c r="Q248" s="562">
        <v>46111</v>
      </c>
      <c r="R248" s="561">
        <v>46116</v>
      </c>
      <c r="S248" s="560" t="s">
        <v>732</v>
      </c>
    </row>
    <row r="249" spans="1:19" ht="18" x14ac:dyDescent="0.25">
      <c r="A249" s="564">
        <v>247</v>
      </c>
      <c r="B249" s="564" t="s">
        <v>482</v>
      </c>
      <c r="C249" s="565" t="s">
        <v>210</v>
      </c>
      <c r="D249" s="564" t="s">
        <v>542</v>
      </c>
      <c r="E249" s="564" t="s">
        <v>772</v>
      </c>
      <c r="F249" s="564" t="s">
        <v>776</v>
      </c>
      <c r="G249" s="564" t="s">
        <v>776</v>
      </c>
      <c r="H249" s="564" t="s">
        <v>770</v>
      </c>
      <c r="I249" s="562">
        <v>46049</v>
      </c>
      <c r="J249" s="562">
        <v>46053</v>
      </c>
      <c r="K249" s="564" t="s">
        <v>662</v>
      </c>
      <c r="L249" s="564" t="s">
        <v>786</v>
      </c>
      <c r="M249" s="562">
        <v>46054</v>
      </c>
      <c r="N249" s="566" t="s">
        <v>776</v>
      </c>
      <c r="O249" s="564">
        <v>54.72</v>
      </c>
      <c r="P249" s="564" t="s">
        <v>667</v>
      </c>
      <c r="Q249" s="562">
        <v>46073</v>
      </c>
      <c r="R249" s="561">
        <v>46084</v>
      </c>
      <c r="S249" s="560" t="s">
        <v>692</v>
      </c>
    </row>
    <row r="250" spans="1:19" ht="18" x14ac:dyDescent="0.25">
      <c r="A250" s="564">
        <v>248</v>
      </c>
      <c r="B250" s="564" t="s">
        <v>408</v>
      </c>
      <c r="C250" s="565" t="s">
        <v>212</v>
      </c>
      <c r="D250" s="564" t="s">
        <v>542</v>
      </c>
      <c r="E250" s="564" t="s">
        <v>772</v>
      </c>
      <c r="F250" s="564" t="s">
        <v>776</v>
      </c>
      <c r="G250" s="564" t="s">
        <v>776</v>
      </c>
      <c r="H250" s="564" t="s">
        <v>770</v>
      </c>
      <c r="I250" s="562">
        <v>46046</v>
      </c>
      <c r="J250" s="562">
        <v>46050</v>
      </c>
      <c r="K250" s="564" t="s">
        <v>661</v>
      </c>
      <c r="L250" s="564" t="s">
        <v>786</v>
      </c>
      <c r="M250" s="562">
        <v>46083</v>
      </c>
      <c r="N250" s="566" t="s">
        <v>776</v>
      </c>
      <c r="O250" s="564">
        <v>35.088999999999999</v>
      </c>
      <c r="P250" s="564" t="s">
        <v>667</v>
      </c>
      <c r="Q250" s="562">
        <v>46069</v>
      </c>
      <c r="R250" s="561">
        <v>46073</v>
      </c>
      <c r="S250" s="560" t="s">
        <v>692</v>
      </c>
    </row>
    <row r="251" spans="1:19" ht="18" x14ac:dyDescent="0.25">
      <c r="A251" s="564">
        <v>249</v>
      </c>
      <c r="B251" s="564" t="s">
        <v>409</v>
      </c>
      <c r="C251" s="565" t="s">
        <v>212</v>
      </c>
      <c r="D251" s="564" t="s">
        <v>92</v>
      </c>
      <c r="E251" s="564" t="s">
        <v>772</v>
      </c>
      <c r="F251" s="564" t="s">
        <v>776</v>
      </c>
      <c r="G251" s="564" t="s">
        <v>776</v>
      </c>
      <c r="H251" s="564" t="s">
        <v>770</v>
      </c>
      <c r="I251" s="562">
        <v>46040</v>
      </c>
      <c r="J251" s="562">
        <v>46044</v>
      </c>
      <c r="K251" s="564" t="s">
        <v>661</v>
      </c>
      <c r="L251" s="564" t="s">
        <v>784</v>
      </c>
      <c r="M251" s="562">
        <v>46083</v>
      </c>
      <c r="N251" s="566" t="s">
        <v>776</v>
      </c>
      <c r="O251" s="564">
        <v>35.088999999999999</v>
      </c>
      <c r="P251" s="564" t="s">
        <v>667</v>
      </c>
      <c r="Q251" s="562">
        <v>46058</v>
      </c>
      <c r="R251" s="561">
        <v>46065</v>
      </c>
      <c r="S251" s="560" t="s">
        <v>692</v>
      </c>
    </row>
    <row r="252" spans="1:19" ht="18" x14ac:dyDescent="0.25">
      <c r="A252" s="564">
        <v>250</v>
      </c>
      <c r="B252" s="564" t="s">
        <v>614</v>
      </c>
      <c r="C252" s="565" t="s">
        <v>212</v>
      </c>
      <c r="D252" s="564" t="s">
        <v>542</v>
      </c>
      <c r="E252" s="564" t="s">
        <v>772</v>
      </c>
      <c r="F252" s="564" t="s">
        <v>776</v>
      </c>
      <c r="G252" s="564" t="s">
        <v>776</v>
      </c>
      <c r="H252" s="564" t="s">
        <v>770</v>
      </c>
      <c r="I252" s="562">
        <v>46048</v>
      </c>
      <c r="J252" s="562">
        <v>46053</v>
      </c>
      <c r="K252" s="564" t="s">
        <v>661</v>
      </c>
      <c r="L252" s="564" t="s">
        <v>786</v>
      </c>
      <c r="M252" s="562">
        <v>46083</v>
      </c>
      <c r="N252" s="566" t="s">
        <v>776</v>
      </c>
      <c r="O252" s="564">
        <v>35.088999999999999</v>
      </c>
      <c r="P252" s="564" t="s">
        <v>667</v>
      </c>
      <c r="Q252" s="562">
        <v>46065</v>
      </c>
      <c r="R252" s="561">
        <v>46069</v>
      </c>
      <c r="S252" s="560" t="s">
        <v>692</v>
      </c>
    </row>
    <row r="253" spans="1:19" ht="18" x14ac:dyDescent="0.25">
      <c r="A253" s="564">
        <v>251</v>
      </c>
      <c r="B253" s="564" t="s">
        <v>615</v>
      </c>
      <c r="C253" s="565" t="s">
        <v>212</v>
      </c>
      <c r="D253" s="564" t="s">
        <v>664</v>
      </c>
      <c r="E253" s="564" t="s">
        <v>772</v>
      </c>
      <c r="F253" s="564" t="s">
        <v>776</v>
      </c>
      <c r="G253" s="564" t="s">
        <v>776</v>
      </c>
      <c r="H253" s="564" t="s">
        <v>770</v>
      </c>
      <c r="I253" s="562">
        <v>46218</v>
      </c>
      <c r="J253" s="562">
        <v>46220</v>
      </c>
      <c r="K253" s="564" t="s">
        <v>760</v>
      </c>
      <c r="L253" s="564"/>
      <c r="M253" s="562"/>
      <c r="N253" s="566"/>
      <c r="O253" s="564"/>
      <c r="P253" s="564"/>
      <c r="Q253" s="562"/>
      <c r="R253" s="561"/>
      <c r="S253" s="560"/>
    </row>
    <row r="254" spans="1:19" ht="18" x14ac:dyDescent="0.25">
      <c r="A254" s="564">
        <v>252</v>
      </c>
      <c r="B254" s="564" t="s">
        <v>616</v>
      </c>
      <c r="C254" s="565" t="s">
        <v>212</v>
      </c>
      <c r="D254" s="564" t="s">
        <v>542</v>
      </c>
      <c r="E254" s="564" t="s">
        <v>772</v>
      </c>
      <c r="F254" s="564" t="s">
        <v>776</v>
      </c>
      <c r="G254" s="564" t="s">
        <v>776</v>
      </c>
      <c r="H254" s="564" t="s">
        <v>770</v>
      </c>
      <c r="I254" s="562">
        <v>46055</v>
      </c>
      <c r="J254" s="562">
        <v>46067</v>
      </c>
      <c r="K254" s="564" t="s">
        <v>661</v>
      </c>
      <c r="L254" s="564" t="s">
        <v>786</v>
      </c>
      <c r="M254" s="562">
        <v>46083</v>
      </c>
      <c r="N254" s="566" t="s">
        <v>776</v>
      </c>
      <c r="O254" s="564">
        <v>35.088999999999999</v>
      </c>
      <c r="P254" s="564" t="s">
        <v>667</v>
      </c>
      <c r="Q254" s="562">
        <v>46080</v>
      </c>
      <c r="R254" s="561">
        <v>46083</v>
      </c>
      <c r="S254" s="560" t="s">
        <v>693</v>
      </c>
    </row>
    <row r="255" spans="1:19" ht="18" x14ac:dyDescent="0.25">
      <c r="A255" s="564">
        <v>253</v>
      </c>
      <c r="B255" s="564" t="s">
        <v>617</v>
      </c>
      <c r="C255" s="565" t="s">
        <v>212</v>
      </c>
      <c r="D255" s="564" t="s">
        <v>92</v>
      </c>
      <c r="E255" s="564" t="s">
        <v>772</v>
      </c>
      <c r="F255" s="564" t="s">
        <v>776</v>
      </c>
      <c r="G255" s="564" t="s">
        <v>776</v>
      </c>
      <c r="H255" s="564" t="s">
        <v>770</v>
      </c>
      <c r="I255" s="562">
        <v>46062</v>
      </c>
      <c r="J255" s="562">
        <v>46075</v>
      </c>
      <c r="K255" s="564" t="s">
        <v>661</v>
      </c>
      <c r="L255" s="564" t="s">
        <v>784</v>
      </c>
      <c r="M255" s="562">
        <v>46084</v>
      </c>
      <c r="N255" s="566" t="s">
        <v>776</v>
      </c>
      <c r="O255" s="564">
        <v>35.088999999999999</v>
      </c>
      <c r="P255" s="564" t="s">
        <v>667</v>
      </c>
      <c r="Q255" s="562">
        <v>46094</v>
      </c>
      <c r="R255" s="561">
        <v>46097</v>
      </c>
      <c r="S255" s="560" t="s">
        <v>690</v>
      </c>
    </row>
    <row r="256" spans="1:19" ht="18" x14ac:dyDescent="0.25">
      <c r="A256" s="564">
        <v>254</v>
      </c>
      <c r="B256" s="564" t="s">
        <v>618</v>
      </c>
      <c r="C256" s="565" t="s">
        <v>212</v>
      </c>
      <c r="D256" s="564" t="s">
        <v>92</v>
      </c>
      <c r="E256" s="564" t="s">
        <v>772</v>
      </c>
      <c r="F256" s="564" t="s">
        <v>776</v>
      </c>
      <c r="G256" s="564" t="s">
        <v>776</v>
      </c>
      <c r="H256" s="564" t="s">
        <v>770</v>
      </c>
      <c r="I256" s="562">
        <v>46069</v>
      </c>
      <c r="J256" s="562">
        <v>46081</v>
      </c>
      <c r="K256" s="564" t="s">
        <v>661</v>
      </c>
      <c r="L256" s="564" t="s">
        <v>784</v>
      </c>
      <c r="M256" s="562">
        <v>46084</v>
      </c>
      <c r="N256" s="566" t="s">
        <v>776</v>
      </c>
      <c r="O256" s="564">
        <v>35.088999999999999</v>
      </c>
      <c r="P256" s="564" t="s">
        <v>667</v>
      </c>
      <c r="Q256" s="562">
        <v>46097</v>
      </c>
      <c r="R256" s="561">
        <v>46101</v>
      </c>
      <c r="S256" s="560" t="s">
        <v>690</v>
      </c>
    </row>
    <row r="257" spans="1:19" ht="18" x14ac:dyDescent="0.25">
      <c r="A257" s="564">
        <v>255</v>
      </c>
      <c r="B257" s="564" t="s">
        <v>619</v>
      </c>
      <c r="C257" s="565" t="s">
        <v>212</v>
      </c>
      <c r="D257" s="564" t="s">
        <v>664</v>
      </c>
      <c r="E257" s="564" t="s">
        <v>776</v>
      </c>
      <c r="F257" s="564" t="s">
        <v>776</v>
      </c>
      <c r="G257" s="564" t="s">
        <v>776</v>
      </c>
      <c r="H257" s="564" t="s">
        <v>770</v>
      </c>
      <c r="I257" s="562">
        <v>46229</v>
      </c>
      <c r="J257" s="562">
        <v>46242</v>
      </c>
      <c r="K257" s="564" t="s">
        <v>900</v>
      </c>
      <c r="L257" s="564"/>
      <c r="M257" s="562"/>
      <c r="N257" s="566"/>
      <c r="O257" s="564"/>
      <c r="P257" s="564"/>
      <c r="Q257" s="562"/>
      <c r="R257" s="561"/>
      <c r="S257" s="560"/>
    </row>
    <row r="258" spans="1:19" ht="18" x14ac:dyDescent="0.25">
      <c r="A258" s="564">
        <v>256</v>
      </c>
      <c r="B258" s="564" t="s">
        <v>620</v>
      </c>
      <c r="C258" s="565" t="s">
        <v>212</v>
      </c>
      <c r="D258" s="564" t="s">
        <v>664</v>
      </c>
      <c r="E258" s="564" t="s">
        <v>776</v>
      </c>
      <c r="F258" s="564" t="s">
        <v>776</v>
      </c>
      <c r="G258" s="564" t="s">
        <v>776</v>
      </c>
      <c r="H258" s="564" t="s">
        <v>770</v>
      </c>
      <c r="I258" s="562">
        <v>46221</v>
      </c>
      <c r="J258" s="562">
        <v>46227</v>
      </c>
      <c r="K258" s="564" t="s">
        <v>760</v>
      </c>
      <c r="L258" s="564"/>
      <c r="M258" s="562"/>
      <c r="N258" s="566"/>
      <c r="O258" s="564"/>
      <c r="P258" s="564"/>
      <c r="Q258" s="562"/>
      <c r="R258" s="561"/>
      <c r="S258" s="560"/>
    </row>
    <row r="259" spans="1:19" ht="18" x14ac:dyDescent="0.25">
      <c r="A259" s="564">
        <v>257</v>
      </c>
      <c r="B259" s="564" t="s">
        <v>733</v>
      </c>
      <c r="C259" s="565" t="s">
        <v>237</v>
      </c>
      <c r="D259" s="564" t="s">
        <v>92</v>
      </c>
      <c r="E259" s="564" t="s">
        <v>772</v>
      </c>
      <c r="F259" s="564"/>
      <c r="G259" s="564" t="s">
        <v>772</v>
      </c>
      <c r="H259" s="564" t="s">
        <v>770</v>
      </c>
      <c r="I259" s="562">
        <v>46181</v>
      </c>
      <c r="J259" s="562">
        <v>46198</v>
      </c>
      <c r="K259" s="564" t="s">
        <v>900</v>
      </c>
      <c r="L259" s="564"/>
      <c r="M259" s="562"/>
      <c r="N259" s="566"/>
      <c r="O259" s="564"/>
      <c r="P259" s="564"/>
      <c r="Q259" s="562"/>
      <c r="R259" s="561"/>
      <c r="S259" s="560"/>
    </row>
    <row r="260" spans="1:19" ht="18" x14ac:dyDescent="0.25">
      <c r="A260" s="564">
        <v>258</v>
      </c>
      <c r="B260" s="564" t="s">
        <v>622</v>
      </c>
      <c r="C260" s="565" t="s">
        <v>212</v>
      </c>
      <c r="D260" s="564" t="s">
        <v>92</v>
      </c>
      <c r="E260" s="564" t="s">
        <v>772</v>
      </c>
      <c r="F260" s="564" t="s">
        <v>776</v>
      </c>
      <c r="G260" s="564" t="s">
        <v>776</v>
      </c>
      <c r="H260" s="564" t="s">
        <v>770</v>
      </c>
      <c r="I260" s="562">
        <v>46055</v>
      </c>
      <c r="J260" s="562">
        <v>46067</v>
      </c>
      <c r="K260" s="564" t="s">
        <v>686</v>
      </c>
      <c r="L260" s="564" t="s">
        <v>784</v>
      </c>
      <c r="M260" s="562">
        <v>46070</v>
      </c>
      <c r="N260" s="566" t="s">
        <v>776</v>
      </c>
      <c r="O260" s="564">
        <v>35.088999999999999</v>
      </c>
      <c r="P260" s="564" t="s">
        <v>667</v>
      </c>
      <c r="Q260" s="562">
        <v>46077</v>
      </c>
      <c r="R260" s="561">
        <v>46080</v>
      </c>
      <c r="S260" s="560" t="s">
        <v>693</v>
      </c>
    </row>
    <row r="261" spans="1:19" ht="18" x14ac:dyDescent="0.25">
      <c r="A261" s="564">
        <v>259</v>
      </c>
      <c r="B261" s="564" t="s">
        <v>623</v>
      </c>
      <c r="C261" s="565" t="s">
        <v>212</v>
      </c>
      <c r="D261" s="564" t="s">
        <v>92</v>
      </c>
      <c r="E261" s="564" t="s">
        <v>772</v>
      </c>
      <c r="F261" s="564" t="s">
        <v>776</v>
      </c>
      <c r="G261" s="564" t="s">
        <v>776</v>
      </c>
      <c r="H261" s="564" t="s">
        <v>770</v>
      </c>
      <c r="I261" s="562">
        <v>46055</v>
      </c>
      <c r="J261" s="562">
        <v>46064</v>
      </c>
      <c r="K261" s="564" t="s">
        <v>686</v>
      </c>
      <c r="L261" s="564"/>
      <c r="M261" s="562"/>
      <c r="N261" s="566" t="s">
        <v>776</v>
      </c>
      <c r="O261" s="564">
        <v>35.088999999999999</v>
      </c>
      <c r="P261" s="564" t="s">
        <v>667</v>
      </c>
      <c r="Q261" s="562">
        <v>46073</v>
      </c>
      <c r="R261" s="561">
        <v>46075</v>
      </c>
      <c r="S261" s="560" t="s">
        <v>693</v>
      </c>
    </row>
    <row r="262" spans="1:19" ht="18" x14ac:dyDescent="0.25">
      <c r="A262" s="564">
        <v>260</v>
      </c>
      <c r="B262" s="564" t="s">
        <v>624</v>
      </c>
      <c r="C262" s="565" t="s">
        <v>212</v>
      </c>
      <c r="D262" s="564" t="s">
        <v>92</v>
      </c>
      <c r="E262" s="564" t="s">
        <v>772</v>
      </c>
      <c r="F262" s="564" t="s">
        <v>776</v>
      </c>
      <c r="G262" s="564" t="s">
        <v>776</v>
      </c>
      <c r="H262" s="564" t="s">
        <v>770</v>
      </c>
      <c r="I262" s="562">
        <v>46048</v>
      </c>
      <c r="J262" s="562">
        <v>46061</v>
      </c>
      <c r="K262" s="564" t="s">
        <v>683</v>
      </c>
      <c r="L262" s="564"/>
      <c r="M262" s="562"/>
      <c r="N262" s="566" t="s">
        <v>776</v>
      </c>
      <c r="O262" s="564">
        <v>35.088999999999999</v>
      </c>
      <c r="P262" s="564" t="s">
        <v>667</v>
      </c>
      <c r="Q262" s="562">
        <v>46075</v>
      </c>
      <c r="R262" s="561">
        <v>46077</v>
      </c>
      <c r="S262" s="560" t="s">
        <v>693</v>
      </c>
    </row>
    <row r="263" spans="1:19" ht="18" x14ac:dyDescent="0.25">
      <c r="A263" s="564">
        <v>261</v>
      </c>
      <c r="B263" s="564" t="s">
        <v>625</v>
      </c>
      <c r="C263" s="565" t="s">
        <v>212</v>
      </c>
      <c r="D263" s="564" t="s">
        <v>92</v>
      </c>
      <c r="E263" s="564" t="s">
        <v>772</v>
      </c>
      <c r="F263" s="564" t="s">
        <v>776</v>
      </c>
      <c r="G263" s="564" t="s">
        <v>776</v>
      </c>
      <c r="H263" s="564" t="s">
        <v>770</v>
      </c>
      <c r="I263" s="562">
        <v>46044</v>
      </c>
      <c r="J263" s="562">
        <v>46048</v>
      </c>
      <c r="K263" s="564" t="s">
        <v>683</v>
      </c>
      <c r="L263" s="564" t="s">
        <v>784</v>
      </c>
      <c r="M263" s="562">
        <v>46067</v>
      </c>
      <c r="N263" s="566" t="s">
        <v>776</v>
      </c>
      <c r="O263" s="564">
        <v>35.088999999999999</v>
      </c>
      <c r="P263" s="564" t="s">
        <v>667</v>
      </c>
      <c r="Q263" s="562">
        <v>46067</v>
      </c>
      <c r="R263" s="561">
        <v>46070</v>
      </c>
      <c r="S263" s="560" t="s">
        <v>693</v>
      </c>
    </row>
    <row r="264" spans="1:19" ht="18" x14ac:dyDescent="0.25">
      <c r="A264" s="564">
        <v>262</v>
      </c>
      <c r="B264" s="564" t="s">
        <v>626</v>
      </c>
      <c r="C264" s="565" t="s">
        <v>212</v>
      </c>
      <c r="D264" s="564" t="s">
        <v>541</v>
      </c>
      <c r="E264" s="564" t="s">
        <v>772</v>
      </c>
      <c r="F264" s="564" t="s">
        <v>776</v>
      </c>
      <c r="G264" s="564" t="s">
        <v>776</v>
      </c>
      <c r="H264" s="564" t="s">
        <v>770</v>
      </c>
      <c r="I264" s="562">
        <v>46033</v>
      </c>
      <c r="J264" s="562">
        <v>46053</v>
      </c>
      <c r="K264" s="564" t="s">
        <v>683</v>
      </c>
      <c r="L264" s="564"/>
      <c r="M264" s="562"/>
      <c r="N264" s="566" t="s">
        <v>776</v>
      </c>
      <c r="O264" s="564">
        <v>35.088999999999999</v>
      </c>
      <c r="P264" s="564" t="s">
        <v>667</v>
      </c>
      <c r="Q264" s="562">
        <v>46068</v>
      </c>
      <c r="R264" s="561">
        <v>46072</v>
      </c>
      <c r="S264" s="560" t="s">
        <v>693</v>
      </c>
    </row>
    <row r="265" spans="1:19" ht="18" x14ac:dyDescent="0.25">
      <c r="A265" s="564">
        <v>263</v>
      </c>
      <c r="B265" s="564" t="s">
        <v>627</v>
      </c>
      <c r="C265" s="565" t="s">
        <v>212</v>
      </c>
      <c r="D265" s="564" t="s">
        <v>541</v>
      </c>
      <c r="E265" s="564" t="s">
        <v>772</v>
      </c>
      <c r="F265" s="564" t="s">
        <v>776</v>
      </c>
      <c r="G265" s="564" t="s">
        <v>776</v>
      </c>
      <c r="H265" s="564"/>
      <c r="I265" s="562"/>
      <c r="J265" s="562"/>
      <c r="K265" s="564"/>
      <c r="L265" s="564"/>
      <c r="M265" s="562"/>
      <c r="N265" s="566"/>
      <c r="O265" s="564"/>
      <c r="P265" s="564"/>
      <c r="Q265" s="562"/>
      <c r="R265" s="561"/>
      <c r="S265" s="560"/>
    </row>
    <row r="266" spans="1:19" ht="18" x14ac:dyDescent="0.25">
      <c r="A266" s="564">
        <v>264</v>
      </c>
      <c r="B266" s="564" t="s">
        <v>783</v>
      </c>
      <c r="C266" s="565" t="s">
        <v>237</v>
      </c>
      <c r="D266" s="564" t="s">
        <v>92</v>
      </c>
      <c r="E266" s="564" t="s">
        <v>772</v>
      </c>
      <c r="F266" s="564"/>
      <c r="G266" s="564" t="s">
        <v>772</v>
      </c>
      <c r="H266" s="564"/>
      <c r="I266" s="562"/>
      <c r="J266" s="562"/>
      <c r="K266" s="564"/>
      <c r="L266" s="564"/>
      <c r="M266" s="562"/>
      <c r="N266" s="566" t="s">
        <v>776</v>
      </c>
      <c r="O266" s="564">
        <v>54.72</v>
      </c>
      <c r="P266" s="564"/>
      <c r="Q266" s="562"/>
      <c r="R266" s="561"/>
      <c r="S266" s="560"/>
    </row>
    <row r="267" spans="1:19" ht="18" x14ac:dyDescent="0.25">
      <c r="A267" s="564">
        <v>265</v>
      </c>
      <c r="B267" s="564" t="s">
        <v>629</v>
      </c>
      <c r="C267" s="565" t="s">
        <v>212</v>
      </c>
      <c r="D267" s="564" t="s">
        <v>92</v>
      </c>
      <c r="E267" s="564" t="s">
        <v>772</v>
      </c>
      <c r="F267" s="564" t="s">
        <v>776</v>
      </c>
      <c r="G267" s="564" t="s">
        <v>772</v>
      </c>
      <c r="H267" s="564"/>
      <c r="I267" s="562"/>
      <c r="J267" s="562"/>
      <c r="K267" s="564"/>
      <c r="L267" s="564"/>
      <c r="M267" s="562"/>
      <c r="N267" s="566"/>
      <c r="O267" s="564"/>
      <c r="P267" s="564"/>
      <c r="Q267" s="562"/>
      <c r="R267" s="561"/>
      <c r="S267" s="560"/>
    </row>
    <row r="268" spans="1:19" ht="18" x14ac:dyDescent="0.25">
      <c r="A268" s="564">
        <v>266</v>
      </c>
      <c r="B268" s="564" t="s">
        <v>630</v>
      </c>
      <c r="C268" s="565" t="s">
        <v>212</v>
      </c>
      <c r="D268" s="564" t="s">
        <v>92</v>
      </c>
      <c r="E268" s="564" t="s">
        <v>772</v>
      </c>
      <c r="F268" s="564" t="s">
        <v>776</v>
      </c>
      <c r="G268" s="564" t="s">
        <v>772</v>
      </c>
      <c r="H268" s="564"/>
      <c r="I268" s="562"/>
      <c r="J268" s="562"/>
      <c r="K268" s="564"/>
      <c r="L268" s="564"/>
      <c r="M268" s="562"/>
      <c r="N268" s="566"/>
      <c r="O268" s="564"/>
      <c r="P268" s="564"/>
      <c r="Q268" s="562"/>
      <c r="R268" s="561"/>
      <c r="S268" s="560"/>
    </row>
    <row r="269" spans="1:19" ht="18" x14ac:dyDescent="0.25">
      <c r="A269" s="564">
        <v>267</v>
      </c>
      <c r="B269" s="564" t="s">
        <v>631</v>
      </c>
      <c r="C269" s="565" t="s">
        <v>211</v>
      </c>
      <c r="D269" s="564" t="s">
        <v>92</v>
      </c>
      <c r="E269" s="564" t="s">
        <v>772</v>
      </c>
      <c r="F269" s="564" t="s">
        <v>776</v>
      </c>
      <c r="G269" s="564" t="s">
        <v>772</v>
      </c>
      <c r="H269" s="564"/>
      <c r="I269" s="562"/>
      <c r="J269" s="562"/>
      <c r="K269" s="564"/>
      <c r="L269" s="564"/>
      <c r="M269" s="562"/>
      <c r="N269" s="566"/>
      <c r="O269" s="564"/>
      <c r="P269" s="564"/>
      <c r="Q269" s="562"/>
      <c r="R269" s="561"/>
      <c r="S269" s="560"/>
    </row>
    <row r="270" spans="1:19" ht="18" x14ac:dyDescent="0.25">
      <c r="A270" s="564">
        <v>268</v>
      </c>
      <c r="B270" s="564" t="s">
        <v>782</v>
      </c>
      <c r="C270" s="565" t="s">
        <v>214</v>
      </c>
      <c r="D270" s="564" t="s">
        <v>92</v>
      </c>
      <c r="E270" s="564" t="s">
        <v>772</v>
      </c>
      <c r="F270" s="564" t="s">
        <v>773</v>
      </c>
      <c r="G270" s="564" t="s">
        <v>772</v>
      </c>
      <c r="H270" s="564"/>
      <c r="I270" s="562"/>
      <c r="J270" s="562"/>
      <c r="K270" s="564"/>
      <c r="L270" s="564"/>
      <c r="M270" s="562"/>
      <c r="N270" s="566" t="s">
        <v>776</v>
      </c>
      <c r="O270" s="564">
        <v>62.500999999999998</v>
      </c>
      <c r="P270" s="564"/>
      <c r="Q270" s="562"/>
      <c r="R270" s="561"/>
      <c r="S270" s="560"/>
    </row>
    <row r="271" spans="1:19" ht="18" x14ac:dyDescent="0.25">
      <c r="A271" s="564">
        <v>269</v>
      </c>
      <c r="B271" s="564" t="s">
        <v>633</v>
      </c>
      <c r="C271" s="565" t="s">
        <v>212</v>
      </c>
      <c r="D271" s="564" t="s">
        <v>664</v>
      </c>
      <c r="E271" s="564" t="s">
        <v>772</v>
      </c>
      <c r="F271" s="564" t="s">
        <v>776</v>
      </c>
      <c r="G271" s="564" t="s">
        <v>772</v>
      </c>
      <c r="H271" s="564"/>
      <c r="I271" s="562"/>
      <c r="J271" s="562"/>
      <c r="K271" s="564"/>
      <c r="L271" s="564"/>
      <c r="M271" s="562"/>
      <c r="N271" s="566"/>
      <c r="O271" s="564"/>
      <c r="P271" s="564"/>
      <c r="Q271" s="562"/>
      <c r="R271" s="561"/>
      <c r="S271" s="560"/>
    </row>
    <row r="272" spans="1:19" ht="18" x14ac:dyDescent="0.25">
      <c r="A272" s="564">
        <v>270</v>
      </c>
      <c r="B272" s="564" t="s">
        <v>634</v>
      </c>
      <c r="C272" s="565" t="s">
        <v>212</v>
      </c>
      <c r="D272" s="564" t="s">
        <v>664</v>
      </c>
      <c r="E272" s="564" t="s">
        <v>772</v>
      </c>
      <c r="F272" s="564" t="s">
        <v>776</v>
      </c>
      <c r="G272" s="564" t="s">
        <v>772</v>
      </c>
      <c r="H272" s="564"/>
      <c r="I272" s="562"/>
      <c r="J272" s="562"/>
      <c r="K272" s="564"/>
      <c r="L272" s="564"/>
      <c r="M272" s="562"/>
      <c r="N272" s="566"/>
      <c r="O272" s="564"/>
      <c r="P272" s="564"/>
      <c r="Q272" s="562"/>
      <c r="R272" s="561"/>
      <c r="S272" s="560"/>
    </row>
    <row r="273" spans="1:19" ht="18" x14ac:dyDescent="0.25">
      <c r="A273" s="564">
        <v>271</v>
      </c>
      <c r="B273" s="564" t="s">
        <v>635</v>
      </c>
      <c r="C273" s="565" t="s">
        <v>212</v>
      </c>
      <c r="D273" s="564" t="s">
        <v>92</v>
      </c>
      <c r="E273" s="564" t="s">
        <v>772</v>
      </c>
      <c r="F273" s="564" t="s">
        <v>776</v>
      </c>
      <c r="G273" s="564" t="s">
        <v>772</v>
      </c>
      <c r="H273" s="564"/>
      <c r="I273" s="562"/>
      <c r="J273" s="562"/>
      <c r="K273" s="564"/>
      <c r="L273" s="564"/>
      <c r="M273" s="562"/>
      <c r="N273" s="566"/>
      <c r="O273" s="564"/>
      <c r="P273" s="564"/>
      <c r="Q273" s="562"/>
      <c r="R273" s="561"/>
      <c r="S273" s="560"/>
    </row>
    <row r="274" spans="1:19" ht="18" x14ac:dyDescent="0.25">
      <c r="A274" s="564">
        <v>272</v>
      </c>
      <c r="B274" s="564" t="s">
        <v>636</v>
      </c>
      <c r="C274" s="565" t="s">
        <v>211</v>
      </c>
      <c r="D274" s="564" t="s">
        <v>92</v>
      </c>
      <c r="E274" s="564" t="s">
        <v>772</v>
      </c>
      <c r="F274" s="564" t="s">
        <v>776</v>
      </c>
      <c r="G274" s="564" t="s">
        <v>772</v>
      </c>
      <c r="H274" s="564"/>
      <c r="I274" s="562"/>
      <c r="J274" s="562"/>
      <c r="K274" s="564"/>
      <c r="L274" s="564"/>
      <c r="M274" s="562"/>
      <c r="N274" s="566"/>
      <c r="O274" s="564"/>
      <c r="P274" s="564"/>
      <c r="Q274" s="562"/>
      <c r="R274" s="561"/>
      <c r="S274" s="560"/>
    </row>
    <row r="275" spans="1:19" ht="18" x14ac:dyDescent="0.25">
      <c r="A275" s="564">
        <v>273</v>
      </c>
      <c r="B275" s="564" t="s">
        <v>637</v>
      </c>
      <c r="C275" s="565" t="s">
        <v>212</v>
      </c>
      <c r="D275" s="564" t="s">
        <v>92</v>
      </c>
      <c r="E275" s="564" t="s">
        <v>772</v>
      </c>
      <c r="F275" s="564" t="s">
        <v>776</v>
      </c>
      <c r="G275" s="564" t="s">
        <v>772</v>
      </c>
      <c r="H275" s="564"/>
      <c r="I275" s="562"/>
      <c r="J275" s="562"/>
      <c r="K275" s="564"/>
      <c r="L275" s="564"/>
      <c r="M275" s="562"/>
      <c r="N275" s="566"/>
      <c r="O275" s="564"/>
      <c r="P275" s="564"/>
      <c r="Q275" s="562"/>
      <c r="R275" s="561"/>
      <c r="S275" s="560"/>
    </row>
    <row r="276" spans="1:19" ht="18" x14ac:dyDescent="0.25">
      <c r="A276" s="564">
        <v>274</v>
      </c>
      <c r="B276" s="564" t="s">
        <v>638</v>
      </c>
      <c r="C276" s="565" t="s">
        <v>212</v>
      </c>
      <c r="D276" s="564" t="s">
        <v>92</v>
      </c>
      <c r="E276" s="564" t="s">
        <v>772</v>
      </c>
      <c r="F276" s="564" t="s">
        <v>776</v>
      </c>
      <c r="G276" s="564" t="s">
        <v>772</v>
      </c>
      <c r="H276" s="564"/>
      <c r="I276" s="562"/>
      <c r="J276" s="562"/>
      <c r="K276" s="564"/>
      <c r="L276" s="564"/>
      <c r="M276" s="562"/>
      <c r="N276" s="566"/>
      <c r="O276" s="564"/>
      <c r="P276" s="564"/>
      <c r="Q276" s="562"/>
      <c r="R276" s="561"/>
      <c r="S276" s="560"/>
    </row>
    <row r="277" spans="1:19" ht="18" x14ac:dyDescent="0.25">
      <c r="A277" s="564">
        <v>275</v>
      </c>
      <c r="B277" s="564" t="s">
        <v>639</v>
      </c>
      <c r="C277" s="565" t="s">
        <v>212</v>
      </c>
      <c r="D277" s="564" t="s">
        <v>92</v>
      </c>
      <c r="E277" s="564" t="s">
        <v>772</v>
      </c>
      <c r="F277" s="564" t="s">
        <v>776</v>
      </c>
      <c r="G277" s="564" t="s">
        <v>772</v>
      </c>
      <c r="H277" s="564"/>
      <c r="I277" s="562"/>
      <c r="J277" s="562"/>
      <c r="K277" s="564"/>
      <c r="L277" s="564"/>
      <c r="M277" s="562"/>
      <c r="N277" s="566"/>
      <c r="O277" s="564"/>
      <c r="P277" s="564"/>
      <c r="Q277" s="562"/>
      <c r="R277" s="561"/>
      <c r="S277" s="560"/>
    </row>
    <row r="278" spans="1:19" ht="18" x14ac:dyDescent="0.25">
      <c r="A278" s="564">
        <v>276</v>
      </c>
      <c r="B278" s="564" t="s">
        <v>640</v>
      </c>
      <c r="C278" s="565" t="s">
        <v>212</v>
      </c>
      <c r="D278" s="564" t="s">
        <v>92</v>
      </c>
      <c r="E278" s="564" t="s">
        <v>772</v>
      </c>
      <c r="F278" s="564" t="s">
        <v>776</v>
      </c>
      <c r="G278" s="564" t="s">
        <v>772</v>
      </c>
      <c r="H278" s="564"/>
      <c r="I278" s="562"/>
      <c r="J278" s="562"/>
      <c r="K278" s="564"/>
      <c r="L278" s="564"/>
      <c r="M278" s="562"/>
      <c r="N278" s="566"/>
      <c r="O278" s="564"/>
      <c r="P278" s="564"/>
      <c r="Q278" s="562"/>
      <c r="R278" s="561"/>
      <c r="S278" s="560"/>
    </row>
    <row r="279" spans="1:19" ht="18" x14ac:dyDescent="0.25">
      <c r="A279" s="564">
        <v>277</v>
      </c>
      <c r="B279" s="564" t="s">
        <v>641</v>
      </c>
      <c r="C279" s="565" t="s">
        <v>213</v>
      </c>
      <c r="D279" s="564" t="s">
        <v>92</v>
      </c>
      <c r="E279" s="564" t="s">
        <v>772</v>
      </c>
      <c r="F279" s="564" t="s">
        <v>776</v>
      </c>
      <c r="G279" s="564" t="s">
        <v>772</v>
      </c>
      <c r="H279" s="564"/>
      <c r="I279" s="562"/>
      <c r="J279" s="562"/>
      <c r="K279" s="564"/>
      <c r="L279" s="564"/>
      <c r="M279" s="562"/>
      <c r="N279" s="566"/>
      <c r="O279" s="564"/>
      <c r="P279" s="564"/>
      <c r="Q279" s="562"/>
      <c r="R279" s="561"/>
      <c r="S279" s="560"/>
    </row>
    <row r="280" spans="1:19" ht="18" x14ac:dyDescent="0.25">
      <c r="A280" s="564">
        <v>278</v>
      </c>
      <c r="B280" s="564" t="s">
        <v>642</v>
      </c>
      <c r="C280" s="565" t="s">
        <v>211</v>
      </c>
      <c r="D280" s="564" t="s">
        <v>92</v>
      </c>
      <c r="E280" s="564" t="s">
        <v>772</v>
      </c>
      <c r="F280" s="564" t="s">
        <v>776</v>
      </c>
      <c r="G280" s="564" t="s">
        <v>772</v>
      </c>
      <c r="H280" s="564"/>
      <c r="I280" s="562"/>
      <c r="J280" s="562"/>
      <c r="K280" s="564"/>
      <c r="L280" s="564"/>
      <c r="M280" s="562"/>
      <c r="N280" s="566"/>
      <c r="O280" s="564"/>
      <c r="P280" s="564"/>
      <c r="Q280" s="562"/>
      <c r="R280" s="561"/>
      <c r="S280" s="560"/>
    </row>
    <row r="281" spans="1:19" ht="18" x14ac:dyDescent="0.25">
      <c r="A281" s="564">
        <v>279</v>
      </c>
      <c r="B281" s="564" t="s">
        <v>643</v>
      </c>
      <c r="C281" s="565" t="s">
        <v>211</v>
      </c>
      <c r="D281" s="564" t="s">
        <v>92</v>
      </c>
      <c r="E281" s="564" t="s">
        <v>772</v>
      </c>
      <c r="F281" s="564" t="s">
        <v>776</v>
      </c>
      <c r="G281" s="564" t="s">
        <v>772</v>
      </c>
      <c r="H281" s="564"/>
      <c r="I281" s="562"/>
      <c r="J281" s="562"/>
      <c r="K281" s="564"/>
      <c r="L281" s="564"/>
      <c r="M281" s="562"/>
      <c r="N281" s="566"/>
      <c r="O281" s="564"/>
      <c r="P281" s="564"/>
      <c r="Q281" s="562"/>
      <c r="R281" s="561"/>
      <c r="S281" s="560"/>
    </row>
    <row r="282" spans="1:19" ht="18" x14ac:dyDescent="0.25">
      <c r="A282" s="564">
        <v>280</v>
      </c>
      <c r="B282" s="564" t="s">
        <v>781</v>
      </c>
      <c r="C282" s="565" t="s">
        <v>370</v>
      </c>
      <c r="D282" s="564" t="s">
        <v>92</v>
      </c>
      <c r="E282" s="564" t="s">
        <v>776</v>
      </c>
      <c r="F282" s="564"/>
      <c r="G282" s="564" t="s">
        <v>772</v>
      </c>
      <c r="H282" s="564"/>
      <c r="I282" s="562"/>
      <c r="J282" s="562"/>
      <c r="K282" s="564"/>
      <c r="L282" s="564"/>
      <c r="M282" s="562"/>
      <c r="N282" s="566"/>
      <c r="O282" s="564"/>
      <c r="P282" s="564"/>
      <c r="Q282" s="562"/>
      <c r="R282" s="561"/>
      <c r="S282" s="560"/>
    </row>
    <row r="283" spans="1:19" ht="18" x14ac:dyDescent="0.25">
      <c r="A283" s="564">
        <v>281</v>
      </c>
      <c r="B283" s="564" t="s">
        <v>645</v>
      </c>
      <c r="C283" s="565" t="s">
        <v>212</v>
      </c>
      <c r="D283" s="564" t="s">
        <v>92</v>
      </c>
      <c r="E283" s="564" t="s">
        <v>772</v>
      </c>
      <c r="F283" s="564" t="s">
        <v>776</v>
      </c>
      <c r="G283" s="564" t="s">
        <v>772</v>
      </c>
      <c r="H283" s="564"/>
      <c r="I283" s="562"/>
      <c r="J283" s="562"/>
      <c r="K283" s="564"/>
      <c r="L283" s="564"/>
      <c r="M283" s="562"/>
      <c r="N283" s="566"/>
      <c r="O283" s="564"/>
      <c r="P283" s="564"/>
      <c r="Q283" s="562"/>
      <c r="R283" s="561"/>
      <c r="S283" s="560"/>
    </row>
    <row r="284" spans="1:19" ht="18" x14ac:dyDescent="0.25">
      <c r="A284" s="564">
        <v>282</v>
      </c>
      <c r="B284" s="564" t="s">
        <v>646</v>
      </c>
      <c r="C284" s="565" t="s">
        <v>212</v>
      </c>
      <c r="D284" s="564" t="s">
        <v>92</v>
      </c>
      <c r="E284" s="564" t="s">
        <v>772</v>
      </c>
      <c r="F284" s="564" t="s">
        <v>776</v>
      </c>
      <c r="G284" s="564" t="s">
        <v>772</v>
      </c>
      <c r="H284" s="564"/>
      <c r="I284" s="562"/>
      <c r="J284" s="562"/>
      <c r="K284" s="564"/>
      <c r="L284" s="564"/>
      <c r="M284" s="562"/>
      <c r="N284" s="566"/>
      <c r="O284" s="564"/>
      <c r="P284" s="564"/>
      <c r="Q284" s="562"/>
      <c r="R284" s="561"/>
      <c r="S284" s="560"/>
    </row>
    <row r="285" spans="1:19" ht="18" x14ac:dyDescent="0.25">
      <c r="A285" s="564">
        <v>283</v>
      </c>
      <c r="B285" s="564" t="s">
        <v>647</v>
      </c>
      <c r="C285" s="565" t="s">
        <v>212</v>
      </c>
      <c r="D285" s="564" t="s">
        <v>92</v>
      </c>
      <c r="E285" s="564" t="s">
        <v>772</v>
      </c>
      <c r="F285" s="564" t="s">
        <v>776</v>
      </c>
      <c r="G285" s="564" t="s">
        <v>772</v>
      </c>
      <c r="H285" s="564"/>
      <c r="I285" s="562"/>
      <c r="J285" s="562"/>
      <c r="K285" s="564"/>
      <c r="L285" s="564"/>
      <c r="M285" s="562"/>
      <c r="N285" s="566"/>
      <c r="O285" s="564"/>
      <c r="P285" s="564"/>
      <c r="Q285" s="562"/>
      <c r="R285" s="561"/>
      <c r="S285" s="560"/>
    </row>
    <row r="286" spans="1:19" ht="18" x14ac:dyDescent="0.25">
      <c r="A286" s="564">
        <v>284</v>
      </c>
      <c r="B286" s="564" t="s">
        <v>780</v>
      </c>
      <c r="C286" s="565" t="s">
        <v>653</v>
      </c>
      <c r="D286" s="564" t="s">
        <v>92</v>
      </c>
      <c r="E286" s="564" t="s">
        <v>772</v>
      </c>
      <c r="F286" s="564" t="s">
        <v>773</v>
      </c>
      <c r="G286" s="564" t="s">
        <v>776</v>
      </c>
      <c r="H286" s="564"/>
      <c r="I286" s="562"/>
      <c r="J286" s="562"/>
      <c r="K286" s="564"/>
      <c r="L286" s="564"/>
      <c r="M286" s="562"/>
      <c r="N286" s="566"/>
      <c r="O286" s="564"/>
      <c r="P286" s="564"/>
      <c r="Q286" s="562"/>
      <c r="R286" s="561"/>
      <c r="S286" s="560"/>
    </row>
    <row r="287" spans="1:19" ht="18" x14ac:dyDescent="0.25">
      <c r="A287" s="564">
        <v>285</v>
      </c>
      <c r="B287" s="564" t="s">
        <v>779</v>
      </c>
      <c r="C287" s="565" t="s">
        <v>765</v>
      </c>
      <c r="D287" s="564" t="s">
        <v>92</v>
      </c>
      <c r="E287" s="564" t="s">
        <v>772</v>
      </c>
      <c r="F287" s="564" t="s">
        <v>773</v>
      </c>
      <c r="G287" s="564" t="s">
        <v>776</v>
      </c>
      <c r="H287" s="564"/>
      <c r="I287" s="562"/>
      <c r="J287" s="562"/>
      <c r="K287" s="564"/>
      <c r="L287" s="564"/>
      <c r="M287" s="562"/>
      <c r="N287" s="566"/>
      <c r="O287" s="564"/>
      <c r="P287" s="564"/>
      <c r="Q287" s="562"/>
      <c r="R287" s="561"/>
      <c r="S287" s="560"/>
    </row>
    <row r="288" spans="1:19" ht="18" x14ac:dyDescent="0.25">
      <c r="A288" s="564">
        <v>286</v>
      </c>
      <c r="B288" s="564" t="s">
        <v>650</v>
      </c>
      <c r="C288" s="565" t="s">
        <v>212</v>
      </c>
      <c r="D288" s="564" t="s">
        <v>92</v>
      </c>
      <c r="E288" s="564" t="s">
        <v>772</v>
      </c>
      <c r="F288" s="564" t="s">
        <v>776</v>
      </c>
      <c r="G288" s="564" t="s">
        <v>772</v>
      </c>
      <c r="H288" s="564"/>
      <c r="I288" s="562"/>
      <c r="J288" s="562"/>
      <c r="K288" s="564"/>
      <c r="L288" s="564"/>
      <c r="M288" s="562"/>
      <c r="N288" s="566"/>
      <c r="O288" s="564"/>
      <c r="P288" s="564"/>
      <c r="Q288" s="562"/>
      <c r="R288" s="561"/>
      <c r="S288" s="560"/>
    </row>
    <row r="289" spans="1:19" ht="18" x14ac:dyDescent="0.25">
      <c r="A289" s="564">
        <v>287</v>
      </c>
      <c r="B289" s="564" t="s">
        <v>778</v>
      </c>
      <c r="C289" s="565" t="s">
        <v>369</v>
      </c>
      <c r="D289" s="564" t="s">
        <v>92</v>
      </c>
      <c r="E289" s="564" t="s">
        <v>772</v>
      </c>
      <c r="F289" s="564" t="s">
        <v>773</v>
      </c>
      <c r="G289" s="564" t="s">
        <v>772</v>
      </c>
      <c r="H289" s="564"/>
      <c r="I289" s="562"/>
      <c r="J289" s="562"/>
      <c r="K289" s="564"/>
      <c r="L289" s="564"/>
      <c r="M289" s="562"/>
      <c r="N289" s="566" t="s">
        <v>776</v>
      </c>
      <c r="O289" s="564">
        <v>68.265000000000001</v>
      </c>
      <c r="P289" s="564"/>
      <c r="Q289" s="562"/>
      <c r="R289" s="561"/>
      <c r="S289" s="560"/>
    </row>
    <row r="290" spans="1:19" ht="18" x14ac:dyDescent="0.25">
      <c r="A290" s="564">
        <v>288</v>
      </c>
      <c r="B290" s="564" t="s">
        <v>652</v>
      </c>
      <c r="C290" s="565" t="s">
        <v>212</v>
      </c>
      <c r="D290" s="564" t="s">
        <v>542</v>
      </c>
      <c r="E290" s="564" t="s">
        <v>772</v>
      </c>
      <c r="F290" s="564" t="s">
        <v>776</v>
      </c>
      <c r="G290" s="564" t="s">
        <v>772</v>
      </c>
      <c r="H290" s="564"/>
      <c r="I290" s="562"/>
      <c r="J290" s="562"/>
      <c r="K290" s="564"/>
      <c r="L290" s="564"/>
      <c r="M290" s="562"/>
      <c r="N290" s="564"/>
      <c r="O290" s="564"/>
      <c r="P290" s="564"/>
      <c r="Q290" s="562"/>
      <c r="R290" s="561"/>
      <c r="S290" s="560"/>
    </row>
    <row r="291" spans="1:19" ht="18" x14ac:dyDescent="0.25">
      <c r="A291" s="564">
        <v>289</v>
      </c>
      <c r="B291" s="564" t="s">
        <v>654</v>
      </c>
      <c r="C291" s="565" t="s">
        <v>212</v>
      </c>
      <c r="D291" s="564" t="s">
        <v>542</v>
      </c>
      <c r="E291" s="564" t="s">
        <v>772</v>
      </c>
      <c r="F291" s="564" t="s">
        <v>776</v>
      </c>
      <c r="G291" s="564" t="s">
        <v>772</v>
      </c>
      <c r="H291" s="564"/>
      <c r="I291" s="562"/>
      <c r="J291" s="562"/>
      <c r="K291" s="564"/>
      <c r="L291" s="564"/>
      <c r="M291" s="562"/>
      <c r="N291" s="564"/>
      <c r="O291" s="564"/>
      <c r="P291" s="564"/>
      <c r="Q291" s="562"/>
      <c r="R291" s="561"/>
      <c r="S291" s="560"/>
    </row>
    <row r="292" spans="1:19" ht="18" x14ac:dyDescent="0.25">
      <c r="A292" s="564">
        <v>290</v>
      </c>
      <c r="B292" s="564" t="s">
        <v>777</v>
      </c>
      <c r="C292" s="565" t="s">
        <v>283</v>
      </c>
      <c r="D292" s="564" t="s">
        <v>92</v>
      </c>
      <c r="E292" s="564" t="s">
        <v>776</v>
      </c>
      <c r="F292" s="564" t="s">
        <v>776</v>
      </c>
      <c r="G292" s="564" t="s">
        <v>772</v>
      </c>
      <c r="H292" s="564"/>
      <c r="I292" s="562"/>
      <c r="J292" s="562"/>
      <c r="K292" s="564"/>
      <c r="L292" s="564"/>
      <c r="M292" s="562"/>
      <c r="N292" s="564"/>
      <c r="O292" s="564"/>
      <c r="P292" s="564"/>
      <c r="Q292" s="562"/>
      <c r="R292" s="561"/>
      <c r="S292" s="560"/>
    </row>
    <row r="293" spans="1:19" ht="18" x14ac:dyDescent="0.25">
      <c r="A293" s="564">
        <v>291</v>
      </c>
      <c r="B293" s="564" t="s">
        <v>775</v>
      </c>
      <c r="C293" s="565" t="s">
        <v>658</v>
      </c>
      <c r="D293" s="564" t="s">
        <v>92</v>
      </c>
      <c r="E293" s="564" t="s">
        <v>772</v>
      </c>
      <c r="F293" s="564" t="s">
        <v>773</v>
      </c>
      <c r="G293" s="564" t="s">
        <v>772</v>
      </c>
      <c r="H293" s="564"/>
      <c r="I293" s="562"/>
      <c r="J293" s="562"/>
      <c r="K293" s="564"/>
      <c r="L293" s="564"/>
      <c r="M293" s="562"/>
      <c r="N293" s="564"/>
      <c r="O293" s="564"/>
      <c r="P293" s="564"/>
      <c r="Q293" s="562"/>
      <c r="R293" s="561"/>
      <c r="S293" s="560"/>
    </row>
    <row r="294" spans="1:19" ht="18" x14ac:dyDescent="0.25">
      <c r="A294" s="564">
        <v>292</v>
      </c>
      <c r="B294" s="564" t="s">
        <v>774</v>
      </c>
      <c r="C294" s="565" t="s">
        <v>369</v>
      </c>
      <c r="D294" s="564" t="s">
        <v>92</v>
      </c>
      <c r="E294" s="564" t="s">
        <v>772</v>
      </c>
      <c r="F294" s="564" t="s">
        <v>773</v>
      </c>
      <c r="G294" s="564" t="s">
        <v>772</v>
      </c>
      <c r="H294" s="564"/>
      <c r="I294" s="562"/>
      <c r="J294" s="562"/>
      <c r="K294" s="564"/>
      <c r="L294" s="564"/>
      <c r="M294" s="562"/>
      <c r="N294" s="564"/>
      <c r="O294" s="564"/>
      <c r="P294" s="564"/>
      <c r="Q294" s="562"/>
      <c r="R294" s="561"/>
      <c r="S294" s="560"/>
    </row>
    <row r="295" spans="1:19" s="559" customFormat="1" ht="20.399999999999999" x14ac:dyDescent="0.35">
      <c r="A295" s="1515" t="s">
        <v>771</v>
      </c>
      <c r="B295" s="1515"/>
      <c r="C295" s="563"/>
      <c r="D295" s="563"/>
      <c r="E295" s="563"/>
      <c r="F295" s="563"/>
      <c r="G295" s="563"/>
      <c r="H295" s="564"/>
      <c r="I295" s="562"/>
      <c r="J295" s="562"/>
      <c r="K295" s="564"/>
      <c r="L295" s="563"/>
      <c r="M295" s="562"/>
      <c r="N295" s="564"/>
      <c r="O295" s="564"/>
      <c r="P295" s="564"/>
      <c r="Q295" s="562"/>
      <c r="R295" s="561"/>
      <c r="S295" s="560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736</v>
      </c>
      <c r="B1" s="447" t="s">
        <v>737</v>
      </c>
      <c r="C1" s="447" t="s">
        <v>738</v>
      </c>
      <c r="D1" s="447" t="s">
        <v>739</v>
      </c>
      <c r="E1" s="447" t="s">
        <v>740</v>
      </c>
      <c r="F1" s="448" t="s">
        <v>741</v>
      </c>
      <c r="G1" s="449" t="s">
        <v>742</v>
      </c>
      <c r="H1" s="450" t="s">
        <v>743</v>
      </c>
      <c r="I1" s="451" t="s">
        <v>744</v>
      </c>
      <c r="J1" s="448" t="s">
        <v>745</v>
      </c>
      <c r="K1" s="447" t="s">
        <v>746</v>
      </c>
      <c r="L1" s="448" t="s">
        <v>747</v>
      </c>
      <c r="M1" s="452" t="s">
        <v>748</v>
      </c>
      <c r="N1" s="446" t="s">
        <v>749</v>
      </c>
      <c r="O1" s="453" t="s">
        <v>750</v>
      </c>
      <c r="P1" s="454" t="s">
        <v>751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752</v>
      </c>
      <c r="V1" s="447" t="s">
        <v>753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Erection Compiled</vt:lpstr>
      <vt:lpstr>SUPPLY</vt:lpstr>
      <vt:lpstr>X-ing Details </vt:lpstr>
      <vt:lpstr>Striging_Stretch</vt:lpstr>
      <vt:lpstr>Visual Chart</vt:lpstr>
      <vt:lpstr>Foundation &amp; Erection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Striging_Stretch!Print_Titles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2026-08-01T08:34:32Z</cp:lastPrinted>
  <dcterms:created xsi:type="dcterms:W3CDTF">2025-09-08T16:55:31Z</dcterms:created>
  <dcterms:modified xsi:type="dcterms:W3CDTF">2026-08-10T16:51:08Z</dcterms:modified>
</cp:coreProperties>
</file>