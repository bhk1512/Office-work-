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6D2BDA37-217F-4B6D-BE7A-34CF82EA2C96}" xr6:coauthVersionLast="47" xr6:coauthVersionMax="47" xr10:uidLastSave="{00000000-0000-0000-0000-000000000000}"/>
  <bookViews>
    <workbookView xWindow="-108" yWindow="-108" windowWidth="23256" windowHeight="12456" tabRatio="822" activeTab="11"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_xlnm.Print_Area" localSheetId="29">'Visual Chart'!$A$1:$X$60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<sst xmlns="http://schemas.openxmlformats.org/spreadsheetml/2006/main" count="9915" uniqueCount="1862">
  <si>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</si>
  <si>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</si>
  <si>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</si>
  <si>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</si>
  <si>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</si>
  <si>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</si>
  <si>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</si>
  <si>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</si>
  <si>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</si>
  <si>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</si>
  <si>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</si>
  <si>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</si>
  <si>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</si>
  <si>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</si>
  <si>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</si>
  <si>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</si>
  <si>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</si>
  <si>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</si>
  <si>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</si>
  <si>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</si>
  <si>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</si>
  <si>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</si>
  <si>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</si>
  <si>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</si>
  <si>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</si>
  <si>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</si>
  <si>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</si>
  <si>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</si>
  <si>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</si>
  <si>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</si>
  <si>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</si>
  <si>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</si>
  <si>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</si>
  <si>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</si>
  <si>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</si>
  <si>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</si>
  <si>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</si>
  <si>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</si>
  <si>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</si>
  <si>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</si>
  <si>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</si>
  <si>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</si>
  <si>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</si>
  <si>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</si>
  <si>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</si>
  <si>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</si>
  <si>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</si>
  <si>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</si>
  <si>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</si>
  <si>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</si>
  <si>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</si>
  <si>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</si>
  <si>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</si>
  <si>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</si>
  <si>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</si>
  <si>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</si>
  <si>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</si>
  <si>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</si>
  <si>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</si>
  <si>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</si>
  <si>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</si>
  <si>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</si>
  <si>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</si>
  <si>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</si>
  <si>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</si>
  <si>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</si>
  <si>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</si>
  <si>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</si>
  <si>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</si>
  <si>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</si>
  <si>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</si>
  <si>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</si>
  <si>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</si>
  <si>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</si>
  <si>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</si>
  <si>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</si>
  <si>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</si>
  <si>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</si>
  <si>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</si>
  <si>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</si>
  <si>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</si>
  <si>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</si>
  <si>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</si>
  <si>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</si>
  <si>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</si>
  <si>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</si>
  <si>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</si>
  <si>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</si>
  <si>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</si>
  <si>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</si>
  <si>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</si>
  <si>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</si>
  <si>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</si>
  <si>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</si>
  <si>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</si>
  <si>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</si>
  <si>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</si>
  <si>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</si>
  <si>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</si>
  <si>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</si>
  <si>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</si>
  <si>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</si>
  <si>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</si>
  <si>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</si>
  <si>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</si>
  <si>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</si>
  <si>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</si>
  <si>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</si>
  <si>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</si>
  <si>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</si>
  <si>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</si>
  <si>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</si>
  <si>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</si>
  <si>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</si>
  <si>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</si>
  <si>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</si>
  <si>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</si>
  <si>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</si>
  <si>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</si>
  <si>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</si>
  <si>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</si>
  <si>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</si>
  <si>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</si>
  <si>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</si>
  <si>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</si>
  <si>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</si>
  <si>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</si>
  <si>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</si>
  <si>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</si>
  <si>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</si>
  <si>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</si>
  <si>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</si>
  <si>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</si>
  <si>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</si>
  <si>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</si>
  <si>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</si>
  <si>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</si>
  <si>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</si>
  <si>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</si>
  <si>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</si>
  <si>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</si>
  <si>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</si>
  <si>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</si>
  <si>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</si>
  <si>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</si>
  <si>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</si>
  <si>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</si>
  <si>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</si>
  <si>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</si>
  <si>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</si>
  <si>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</si>
  <si>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</si>
  <si>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</si>
  <si>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</si>
  <si>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</si>
  <si>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</si>
  <si>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</si>
  <si>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</si>
  <si>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</si>
  <si>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</si>
  <si>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</si>
  <si>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</si>
  <si>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</si>
  <si>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</si>
  <si>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</si>
  <si>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</si>
  <si>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</si>
  <si>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</si>
  <si>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</si>
  <si>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</si>
  <si>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</si>
  <si>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</si>
  <si>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</si>
  <si>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</si>
  <si>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</si>
  <si>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</si>
  <si>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</si>
  <si>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</si>
  <si>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</si>
  <si>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</si>
  <si>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</si>
  <si>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</si>
  <si>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</si>
  <si>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</si>
  <si>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</si>
  <si>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</si>
  <si>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</si>
  <si>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</si>
  <si>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</si>
  <si>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</si>
  <si>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</si>
  <si>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</si>
  <si>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</si>
  <si>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</si>
  <si>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</si>
  <si>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</si>
  <si>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</si>
  <si>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</si>
  <si>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</si>
  <si>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</si>
  <si>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</si>
  <si>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</si>
  <si>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</si>
  <si>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</si>
  <si>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</si>
  <si>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</si>
  <si>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</si>
  <si>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</si>
  <si>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</si>
  <si>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</si>
  <si>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</si>
  <si>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</si>
  <si>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</si>
  <si>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</si>
  <si>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</si>
  <si>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</si>
  <si>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</si>
  <si>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</si>
  <si>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</si>
  <si>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</si>
  <si>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</si>
  <si>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</si>
  <si>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</si>
  <si>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</si>
  <si>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</si>
  <si>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</si>
  <si>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</si>
  <si>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</si>
  <si>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</si>
  <si>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</si>
  <si>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</si>
  <si>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</si>
  <si>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</si>
  <si>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</si>
  <si>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</si>
  <si>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</si>
  <si>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</si>
  <si>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</si>
  <si>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</si>
  <si>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</si>
  <si>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</si>
  <si>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</si>
  <si>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</si>
  <si>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</si>
  <si>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</si>
  <si>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</si>
  <si>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</si>
  <si>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</si>
  <si>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</si>
  <si>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</si>
  <si>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</si>
  <si>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</si>
  <si>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</si>
  <si>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</si>
  <si>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</si>
  <si>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</si>
  <si>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</si>
  <si>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</si>
  <si>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</si>
  <si>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</si>
  <si>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</si>
  <si>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</si>
  <si>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</si>
  <si>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</si>
  <si>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</si>
  <si>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</si>
  <si>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</si>
  <si>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</si>
  <si>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</si>
  <si>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</si>
  <si>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</si>
  <si>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</si>
  <si>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</si>
  <si>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</si>
  <si>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</si>
  <si>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</si>
  <si>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</si>
  <si>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</si>
  <si>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</si>
  <si>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</si>
  <si>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</si>
  <si>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</si>
  <si>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</si>
  <si>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</si>
  <si>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</si>
  <si>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</si>
  <si>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</si>
  <si>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</si>
  <si>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</si>
  <si>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</si>
  <si>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</si>
  <si>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</si>
  <si>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</si>
  <si>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</si>
  <si>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</si>
  <si>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</si>
  <si>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</si>
  <si>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</si>
  <si>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</si>
  <si>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</si>
  <si>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</si>
  <si>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</si>
  <si>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</si>
  <si>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</si>
  <si>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</si>
  <si>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</si>
  <si>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</si>
  <si>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</si>
  <si>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</si>
  <si>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</si>
  <si>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</si>
  <si>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</si>
  <si>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</si>
  <si>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</si>
  <si>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</si>
  <si>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</si>
  <si>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</si>
  <si>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</si>
  <si>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</si>
  <si>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</si>
  <si>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</si>
  <si>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</si>
  <si>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</si>
  <si>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</si>
  <si>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</si>
  <si>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</si>
  <si>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</si>
  <si>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</si>
  <si>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</si>
  <si>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</si>
  <si>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</si>
  <si>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</si>
  <si>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</si>
  <si>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</si>
  <si>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</si>
  <si>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</si>
  <si>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</si>
  <si>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</si>
  <si>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</si>
  <si>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</si>
  <si>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</si>
  <si>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</si>
  <si>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</si>
  <si>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</si>
  <si>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</si>
  <si>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</si>
  <si>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</si>
  <si>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</si>
  <si>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</si>
  <si>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</si>
  <si>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</si>
  <si>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</si>
  <si>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</si>
  <si>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</si>
  <si>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</si>
  <si>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</si>
  <si>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</si>
  <si>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</si>
  <si>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</si>
  <si>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</si>
  <si>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</si>
  <si>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</si>
  <si>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</si>
  <si>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</si>
  <si>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</si>
  <si>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</si>
  <si>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</si>
  <si>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</si>
  <si>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</si>
  <si>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</si>
  <si>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</si>
  <si>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</si>
  <si>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</si>
  <si>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</si>
  <si>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</si>
  <si>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</si>
  <si>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</si>
  <si>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</si>
  <si>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</si>
  <si>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</si>
  <si>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</si>
  <si>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</si>
  <si>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</si>
  <si>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</si>
  <si>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</si>
  <si>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</si>
  <si>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</si>
  <si>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</si>
  <si>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</si>
  <si>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</si>
  <si>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</si>
  <si>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</si>
  <si>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</si>
  <si>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</si>
  <si>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</si>
  <si>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</si>
  <si>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</si>
  <si>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</si>
  <si>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</si>
  <si>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</si>
  <si>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</si>
  <si>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</si>
  <si>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</si>
  <si>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</si>
  <si>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</si>
  <si>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</si>
  <si>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</si>
  <si>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</si>
  <si>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</si>
  <si>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</si>
  <si>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</si>
  <si>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</si>
  <si>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</si>
  <si>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</si>
  <si>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</si>
  <si>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</si>
  <si>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</si>
  <si>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</si>
  <si>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</si>
  <si>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</si>
  <si>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</si>
  <si>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</si>
  <si>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</si>
  <si>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</si>
  <si>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</si>
  <si>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</si>
  <si>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</si>
  <si>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</si>
  <si>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</si>
  <si>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</si>
  <si>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</si>
  <si>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</si>
  <si>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</si>
  <si>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</si>
  <si>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</si>
  <si>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</si>
  <si>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</si>
  <si>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</si>
  <si>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</si>
  <si>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</si>
  <si>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</si>
  <si>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</si>
  <si>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</si>
  <si>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</si>
  <si>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</si>
  <si>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</si>
  <si>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</si>
  <si>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</si>
  <si>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</si>
  <si>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</si>
  <si>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</si>
  <si>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</si>
  <si>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</si>
  <si>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</si>
  <si>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</si>
  <si>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</si>
  <si>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</si>
  <si>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</si>
  <si>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</si>
  <si>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</si>
  <si>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</si>
  <si>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</si>
  <si>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</si>
  <si>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</si>
  <si>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</si>
  <si>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</si>
  <si>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</si>
  <si>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</si>
  <si>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</si>
  <si>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</si>
  <si>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</si>
  <si>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</si>
  <si>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</si>
  <si>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</si>
  <si>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</si>
  <si>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</si>
  <si>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</si>
  <si>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</si>
  <si>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</si>
  <si>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</si>
  <si>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</si>
  <si>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</si>
  <si>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</si>
  <si>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</si>
  <si>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</si>
  <si>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</si>
  <si>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</si>
  <si>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</si>
  <si>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</si>
  <si>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</si>
  <si>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</si>
  <si>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</si>
  <si>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</si>
  <si>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</si>
  <si>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</si>
  <si>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</si>
  <si>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</si>
  <si>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</si>
  <si>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</si>
  <si>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</si>
  <si>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</si>
  <si>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</si>
  <si>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</si>
  <si>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</si>
  <si>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</si>
  <si>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</si>
  <si>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</si>
  <si>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</si>
  <si>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</si>
  <si>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</si>
  <si>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</si>
  <si>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</si>
  <si>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</si>
  <si>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</si>
  <si>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</si>
  <si>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</si>
  <si>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</si>
  <si>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</si>
  <si>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</si>
  <si>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</si>
  <si>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</si>
  <si>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</si>
  <si>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</si>
  <si>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</si>
  <si>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</si>
  <si>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</si>
  <si>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</si>
  <si>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</si>
  <si>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</si>
  <si>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</si>
  <si>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</si>
  <si>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</si>
  <si>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</si>
  <si>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</si>
  <si>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</si>
  <si>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</si>
  <si>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</si>
  <si>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</si>
  <si>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</si>
  <si>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</si>
  <si>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</si>
  <si>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</si>
  <si>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</si>
  <si>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</si>
  <si>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</si>
  <si>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</si>
  <si>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</si>
  <si>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</si>
  <si>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</si>
  <si>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</si>
  <si>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</si>
  <si>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</si>
  <si>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</si>
  <si>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</si>
  <si>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</si>
  <si>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</si>
  <si>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</si>
  <si>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</si>
  <si>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</si>
  <si>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</si>
  <si>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</si>
  <si>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</si>
  <si>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</si>
  <si>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</si>
  <si>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</si>
  <si>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</si>
  <si>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</si>
  <si>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</si>
  <si>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</si>
  <si>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</si>
  <si>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</si>
  <si>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</si>
  <si>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</si>
  <si>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</si>
  <si>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</si>
  <si>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</si>
  <si>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</si>
  <si>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</si>
  <si>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</si>
  <si>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</si>
  <si>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</si>
  <si>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</si>
  <si>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</si>
  <si>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</si>
  <si>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</si>
  <si>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</si>
  <si>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</si>
  <si>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</si>
  <si>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</si>
  <si>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</si>
  <si>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</si>
  <si>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</si>
  <si>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</si>
  <si>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</si>
  <si>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</si>
  <si>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</si>
  <si>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</si>
  <si>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</si>
  <si>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</si>
  <si>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</si>
  <si>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</si>
  <si>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</si>
  <si>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</si>
  <si>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</si>
  <si>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</si>
  <si>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</si>
  <si>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</si>
  <si>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</si>
  <si>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</si>
  <si>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</si>
  <si>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</si>
  <si>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</si>
  <si>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</si>
  <si>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</si>
  <si>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</si>
  <si>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</si>
  <si>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</si>
  <si>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</si>
  <si>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</si>
  <si>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</si>
  <si>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</si>
  <si>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</si>
  <si>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</si>
  <si>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</si>
  <si>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</si>
  <si>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</si>
  <si>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</si>
  <si>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</si>
  <si>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</si>
  <si>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</si>
  <si>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</si>
  <si>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</si>
  <si>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</si>
  <si>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</si>
  <si>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</si>
  <si>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</si>
  <si>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</si>
  <si>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</si>
  <si>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</si>
  <si>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</si>
  <si>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</si>
  <si>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</si>
  <si>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</si>
  <si>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</si>
  <si>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</si>
  <si>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</si>
  <si>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</si>
  <si>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</si>
  <si>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</si>
  <si>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</si>
  <si>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</si>
  <si>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</si>
  <si>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</si>
  <si>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</si>
  <si>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</si>
  <si>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</si>
  <si>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</si>
  <si>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</si>
  <si>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</si>
  <si>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</si>
  <si>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</si>
  <si>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</si>
  <si>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</si>
  <si>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</si>
  <si>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</si>
  <si>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</si>
  <si>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</si>
  <si>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</si>
  <si>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</si>
  <si>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</si>
  <si>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</si>
  <si>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</si>
  <si>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</si>
  <si>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</si>
  <si>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</si>
  <si>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</si>
  <si>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</si>
  <si>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</si>
  <si>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</si>
  <si>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</si>
  <si>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</si>
  <si>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</si>
  <si>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</si>
  <si>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</si>
  <si>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</si>
  <si>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</si>
  <si>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</si>
  <si>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</si>
  <si>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</si>
  <si>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</si>
  <si>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</si>
  <si>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</si>
  <si>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</si>
  <si>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</si>
  <si>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</si>
  <si>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</si>
  <si>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</si>
  <si>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</si>
  <si>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</si>
  <si>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</si>
  <si>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</si>
  <si>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</si>
  <si>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</si>
  <si>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</si>
  <si>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</si>
  <si>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</si>
  <si>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</si>
  <si>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</si>
  <si>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</si>
  <si>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</si>
  <si>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</si>
  <si>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</si>
  <si>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</si>
  <si>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</si>
  <si>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</si>
  <si>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</si>
  <si>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</si>
  <si>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</si>
  <si>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</si>
  <si>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</si>
  <si>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</si>
  <si>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</si>
  <si>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</si>
  <si>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</si>
  <si>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</si>
  <si>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</si>
  <si>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</si>
  <si>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</si>
  <si>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</si>
  <si>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</si>
  <si>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</si>
  <si>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</si>
  <si>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</si>
  <si>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</si>
  <si>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</si>
  <si>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</si>
  <si>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</si>
  <si>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</si>
  <si>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</si>
  <si>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</si>
  <si>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</si>
  <si>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</si>
  <si>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</si>
  <si>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</si>
  <si>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</si>
  <si>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</si>
  <si>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</si>
  <si>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</si>
  <si>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</si>
  <si>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</si>
  <si>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</si>
  <si>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</si>
  <si>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</si>
  <si>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</si>
  <si>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</si>
  <si>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</si>
  <si>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</si>
  <si>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</si>
  <si>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</si>
  <si>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</si>
  <si>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</si>
  <si>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</si>
  <si>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</si>
  <si>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</si>
  <si>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</si>
  <si>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</si>
  <si>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</si>
  <si>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</si>
  <si>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</si>
  <si>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</si>
  <si>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</si>
  <si>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</si>
  <si>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</si>
  <si>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</si>
  <si>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</si>
  <si>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</si>
  <si>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</si>
  <si>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</si>
  <si>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</si>
  <si>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</si>
  <si>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</si>
  <si>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</si>
  <si>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</si>
  <si>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</si>
  <si>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</si>
  <si>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</si>
  <si>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</si>
  <si>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</si>
  <si>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</si>
  <si>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</si>
  <si>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</si>
  <si>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</si>
  <si>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</si>
  <si>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</si>
  <si>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</si>
  <si>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</si>
  <si>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</si>
  <si>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</si>
  <si>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</si>
  <si>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</si>
  <si>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</si>
  <si>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</si>
  <si>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</si>
  <si>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</si>
  <si>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</si>
  <si>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</si>
  <si>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</si>
  <si>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</si>
  <si>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</si>
  <si>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</si>
  <si>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</si>
  <si>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</si>
  <si>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</si>
  <si>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</si>
  <si>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</si>
  <si>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</si>
  <si>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</si>
  <si>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</si>
  <si>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</si>
  <si>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</si>
  <si>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</si>
  <si>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</si>
  <si>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</si>
  <si>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</si>
  <si>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</si>
  <si>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</si>
  <si>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</si>
  <si>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</si>
  <si>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</si>
  <si>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</si>
  <si>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</si>
  <si>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</si>
  <si>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</si>
  <si>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</si>
  <si>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</si>
  <si>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</si>
  <si>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</si>
  <si>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</si>
  <si>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</si>
  <si>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</si>
  <si>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</si>
  <si>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</si>
  <si>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</si>
  <si>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</si>
  <si>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</si>
  <si>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</si>
  <si>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</si>
  <si>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</si>
  <si>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</si>
  <si>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</si>
  <si>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</si>
  <si>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</si>
  <si>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</si>
  <si>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</si>
  <si>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</si>
  <si>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</si>
  <si>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</si>
  <si>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</si>
  <si>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</si>
  <si>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</si>
  <si>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</si>
  <si>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</si>
  <si>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</si>
  <si>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</si>
  <si>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</si>
  <si>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</si>
  <si>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</si>
  <si>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</si>
  <si>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</si>
  <si>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</si>
  <si>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</si>
  <si>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</si>
  <si>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</si>
  <si>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</si>
  <si>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</si>
  <si>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</si>
  <si>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</si>
  <si>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</si>
  <si>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</si>
  <si>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</si>
  <si>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</si>
  <si>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</si>
  <si>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</si>
  <si>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</si>
  <si>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</si>
  <si>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</si>
  <si>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</si>
  <si>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</si>
  <si>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</si>
  <si>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</si>
  <si>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</si>
  <si>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</si>
  <si>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</si>
  <si>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</si>
  <si>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</si>
  <si>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</si>
  <si>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</si>
  <si>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</si>
  <si>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</si>
  <si>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</si>
  <si>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</si>
  <si>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</si>
  <si>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</si>
  <si>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</si>
  <si>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</si>
  <si>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</si>
  <si>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</si>
  <si>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</si>
  <si>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</si>
  <si>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</si>
  <si>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</si>
  <si>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</si>
  <si>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</si>
  <si>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</si>
  <si>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</si>
  <si>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</si>
  <si>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</si>
  <si>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</si>
  <si>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</si>
  <si>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</si>
  <si>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</si>
  <si>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</si>
  <si>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</si>
  <si>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</si>
  <si>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</si>
  <si>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</si>
  <si>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</si>
  <si>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</si>
  <si>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</si>
  <si>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</si>
  <si>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</si>
  <si>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</si>
  <si>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</si>
  <si>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</si>
  <si>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</si>
  <si>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</si>
  <si>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</si>
  <si>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</si>
  <si>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</si>
  <si>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</si>
  <si>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</si>
  <si>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</si>
  <si>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</si>
  <si>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</si>
  <si>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</si>
  <si>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</si>
  <si>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</si>
  <si>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</si>
  <si>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</si>
  <si>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</si>
  <si>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</si>
  <si>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</si>
  <si>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</si>
  <si>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</si>
  <si>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</si>
  <si>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</si>
  <si>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</si>
  <si>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</si>
  <si>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</si>
  <si>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</si>
  <si>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</si>
  <si>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</si>
  <si>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</si>
  <si>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</si>
  <si>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</si>
  <si>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</si>
  <si>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</si>
  <si>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</si>
  <si>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</si>
  <si>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</si>
  <si>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</si>
  <si>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</si>
  <si>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</si>
  <si>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</si>
  <si>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</si>
  <si>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</si>
  <si>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</si>
  <si>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</si>
  <si>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</si>
  <si>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</si>
  <si>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</si>
  <si>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</si>
  <si>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</si>
  <si>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</si>
  <si>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</si>
  <si>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</si>
  <si>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</si>
  <si>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</si>
  <si>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</si>
  <si>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</si>
  <si>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</si>
  <si>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</si>
  <si>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</si>
  <si>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</si>
  <si>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</si>
  <si>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</si>
  <si>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</si>
  <si>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</si>
  <si>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</si>
  <si>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</si>
  <si>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</si>
  <si>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</si>
  <si>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</si>
  <si>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</si>
  <si>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</si>
  <si>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</si>
  <si>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</si>
  <si>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</si>
  <si>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</si>
  <si>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</si>
  <si>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</si>
  <si>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</si>
  <si>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</si>
  <si>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</si>
  <si>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</si>
  <si>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</si>
  <si>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</si>
  <si>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</si>
  <si>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</si>
  <si>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</si>
  <si>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</si>
  <si>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</si>
  <si>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</si>
  <si>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</si>
  <si>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</si>
  <si>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</si>
  <si>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</si>
  <si>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</si>
  <si>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</si>
  <si>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</si>
  <si>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</si>
  <si>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</si>
  <si>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</si>
  <si>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</si>
  <si>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</si>
  <si>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</si>
  <si>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</si>
  <si>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</si>
  <si>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</si>
  <si>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</si>
  <si>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</si>
  <si>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</si>
  <si>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</si>
  <si>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</si>
  <si>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</si>
  <si>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</si>
  <si>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</si>
  <si>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</si>
  <si>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</si>
  <si>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</si>
  <si>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</si>
  <si>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</si>
  <si>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</si>
  <si>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</si>
  <si>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</si>
  <si>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</si>
  <si>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</si>
  <si>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</si>
  <si>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</si>
  <si>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</si>
  <si>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</si>
  <si>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</si>
  <si>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</si>
  <si>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</si>
  <si>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</si>
  <si>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</si>
  <si>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</si>
  <si>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</si>
  <si>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</si>
  <si>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</si>
  <si>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</si>
  <si>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</si>
  <si>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</si>
  <si>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</si>
  <si>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</si>
  <si>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</si>
  <si>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</si>
  <si>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</si>
  <si>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</si>
  <si>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</si>
  <si>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</si>
  <si>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</si>
  <si>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</si>
  <si>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</si>
  <si>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</si>
  <si>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</si>
  <si>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</si>
  <si>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</si>
  <si>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</si>
  <si>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</si>
  <si>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</si>
  <si>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</si>
  <si>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</si>
  <si>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</si>
  <si>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</si>
  <si>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</si>
  <si>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</si>
  <si>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</si>
  <si>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</si>
  <si>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</si>
  <si>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</si>
  <si>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</si>
  <si>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</si>
  <si>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</si>
  <si>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</si>
  <si>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</si>
  <si>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</si>
  <si>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</si>
  <si>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</si>
  <si>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</si>
  <si>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</si>
  <si>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</si>
  <si>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</si>
  <si>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</si>
  <si>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</si>
  <si>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</si>
  <si>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</si>
  <si>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</si>
  <si>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</si>
  <si>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</si>
  <si>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</si>
  <si>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</si>
  <si>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</si>
  <si>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</si>
  <si>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</si>
  <si>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</si>
  <si>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</si>
  <si>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</si>
  <si>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</si>
  <si>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</si>
  <si>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</si>
  <si>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</si>
  <si>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</si>
  <si>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</si>
  <si>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</si>
  <si>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</si>
  <si>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</si>
  <si>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</si>
  <si>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</si>
  <si>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</si>
  <si>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</si>
  <si>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</si>
  <si>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</si>
  <si>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</si>
  <si>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</si>
  <si>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</si>
  <si>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</si>
  <si>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</si>
  <si>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</si>
  <si>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</si>
  <si>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</si>
  <si>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</si>
  <si>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</si>
  <si>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</si>
  <si>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</si>
  <si>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</si>
  <si>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</si>
  <si>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</si>
  <si>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</si>
  <si>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</si>
  <si>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</si>
  <si>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</si>
  <si>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</si>
  <si>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</si>
  <si>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</si>
  <si>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</si>
  <si>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</si>
  <si>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</si>
  <si>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</si>
  <si>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</si>
  <si>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</si>
  <si>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</si>
  <si>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</si>
  <si>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</si>
  <si>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</si>
  <si>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</si>
  <si>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</si>
  <si>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</si>
  <si>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</si>
  <si>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</si>
  <si>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</si>
  <si>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</si>
  <si>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</si>
  <si>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</si>
  <si>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</si>
  <si>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</si>
  <si>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</si>
  <si>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</si>
  <si>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</si>
  <si>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</si>
  <si>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</si>
  <si>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</si>
  <si>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</si>
  <si>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</si>
  <si>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</si>
  <si>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</si>
  <si>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</si>
  <si>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</si>
  <si>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</si>
  <si>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</si>
  <si>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</si>
  <si>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</si>
  <si>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</si>
  <si>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</si>
  <si>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</si>
  <si>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</si>
  <si>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</si>
  <si>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</si>
  <si>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</si>
  <si>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</si>
  <si>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</si>
  <si>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</si>
  <si>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</si>
  <si>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</si>
  <si>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</si>
  <si>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</si>
  <si>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</si>
  <si>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</si>
  <si>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</si>
  <si>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</si>
  <si>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</si>
  <si>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</si>
  <si>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</si>
  <si>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</si>
  <si>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</si>
  <si>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</si>
  <si>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</si>
  <si>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</si>
  <si>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</si>
  <si>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</si>
  <si>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</si>
  <si>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</si>
  <si>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</si>
  <si>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</si>
  <si>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</si>
  <si>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</si>
  <si>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</si>
  <si>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</si>
  <si>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</si>
  <si>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</si>
  <si>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</si>
  <si>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</si>
  <si>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</si>
  <si>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</si>
  <si>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</si>
  <si>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</si>
  <si>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</si>
  <si>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</si>
  <si>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</si>
  <si>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</si>
  <si>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</si>
  <si>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</si>
  <si>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</si>
  <si>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</si>
  <si>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</si>
  <si>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</si>
  <si>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</si>
  <si>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</si>
  <si>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</si>
  <si>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</si>
  <si>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</si>
  <si>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</si>
  <si>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</si>
  <si>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</si>
  <si>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</si>
  <si>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</si>
  <si>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</si>
  <si>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</si>
  <si>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</si>
  <si>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</si>
  <si>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</si>
  <si>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</si>
  <si>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</si>
  <si>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</si>
  <si>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</si>
  <si>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</si>
  <si>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</si>
  <si>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</si>
  <si>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</si>
  <si>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</si>
  <si>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</si>
  <si>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</si>
  <si>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</si>
  <si>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</si>
  <si>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</si>
  <si>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</si>
  <si>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</si>
  <si>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</si>
  <si>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</si>
  <si>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</si>
  <si>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</si>
  <si>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</si>
  <si>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</si>
  <si>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</si>
  <si>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</si>
  <si>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</si>
  <si>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</si>
  <si>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</si>
  <si>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</si>
  <si>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</si>
  <si>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</si>
  <si>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</si>
  <si>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</si>
  <si>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</si>
  <si>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</si>
  <si>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</si>
  <si>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</si>
  <si>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</si>
  <si>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</si>
  <si>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</si>
  <si>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</si>
  <si>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</si>
  <si>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</si>
  <si>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</si>
  <si>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</si>
  <si>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</si>
  <si>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</si>
  <si>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</si>
  <si>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</si>
  <si>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</si>
  <si>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</si>
  <si>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</si>
  <si>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</si>
  <si>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</si>
  <si>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</si>
  <si>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</si>
  <si>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</si>
  <si>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</si>
  <si>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</si>
  <si>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</si>
  <si>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</si>
  <si>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</si>
  <si>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</si>
  <si>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</si>
  <si>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</si>
  <si>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</si>
  <si>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</si>
  <si>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</si>
  <si>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</si>
  <si>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</si>
  <si>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</si>
  <si>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</si>
  <si>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</si>
  <si>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</si>
  <si>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</si>
  <si>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</si>
  <si>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</si>
  <si>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</si>
  <si>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</si>
  <si>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</si>
  <si>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</si>
  <si>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</si>
  <si>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</si>
  <si>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</si>
  <si>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</si>
  <si>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</si>
  <si>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</si>
  <si>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</si>
  <si>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</si>
  <si>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</si>
  <si>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</si>
  <si>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</si>
  <si>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</si>
  <si>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</si>
  <si>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</si>
  <si>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</si>
  <si>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</si>
  <si>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</si>
  <si>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</si>
  <si>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</si>
  <si>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</si>
  <si>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</si>
  <si>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</si>
  <si>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</si>
  <si>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</si>
  <si>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</si>
  <si>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</si>
  <si>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</si>
  <si>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</si>
  <si>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</si>
  <si>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</si>
  <si>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</si>
  <si>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</si>
  <si>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</si>
  <si>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</si>
  <si>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</si>
  <si>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</si>
  <si>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</si>
  <si>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</si>
  <si>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</si>
  <si>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</si>
  <si>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</si>
  <si>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</si>
  <si>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</si>
  <si>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</si>
  <si>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</si>
  <si>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</si>
  <si>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</si>
  <si>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</si>
  <si>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</si>
  <si>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</si>
  <si>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</si>
  <si>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</si>
  <si>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</si>
  <si>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</si>
  <si>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</si>
  <si>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</si>
  <si>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</si>
  <si>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</si>
  <si>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</si>
  <si>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</si>
  <si>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</si>
  <si>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</si>
  <si>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</si>
  <si>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</si>
  <si>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</si>
  <si>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</si>
  <si>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</si>
  <si>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</si>
  <si>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</si>
  <si>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</si>
  <si>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</si>
  <si>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</si>
  <si>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</si>
  <si>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</si>
  <si>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</si>
  <si>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</si>
  <si>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</si>
  <si>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</si>
  <si>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</si>
  <si>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</si>
  <si>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</si>
  <si>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</si>
  <si>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</si>
  <si>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</si>
  <si>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</si>
  <si>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</si>
  <si>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</si>
  <si>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</si>
  <si>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</si>
  <si>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</si>
  <si>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</si>
  <si>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</si>
  <si>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</si>
  <si>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</si>
  <si>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</si>
  <si>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</si>
  <si>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</si>
  <si>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</si>
  <si>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</si>
  <si>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</si>
  <si>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</si>
  <si>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</si>
  <si>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</si>
  <si>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</si>
  <si>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</si>
  <si>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</si>
  <si>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</si>
  <si>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</si>
  <si>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</si>
  <si>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</si>
  <si>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</si>
  <si>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</si>
  <si>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</si>
  <si>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</si>
  <si>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</si>
  <si>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</si>
  <si>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</si>
  <si>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</si>
  <si>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</si>
  <si>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</si>
  <si>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</si>
  <si>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</si>
  <si>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</si>
  <si>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</si>
  <si>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</si>
  <si>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</si>
  <si>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</si>
  <si>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</si>
  <si>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</si>
  <si>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</si>
  <si>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</si>
  <si>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</si>
  <si>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</si>
  <si>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</si>
  <si>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</si>
  <si>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</si>
  <si>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</si>
  <si>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</si>
  <si>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</si>
  <si>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</si>
  <si>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</si>
  <si>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</si>
  <si>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</si>
  <si>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</si>
  <si>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</si>
  <si>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</si>
  <si>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</si>
  <si>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</si>
  <si>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</si>
  <si>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</si>
  <si>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</si>
  <si>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</si>
  <si>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</si>
  <si>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</si>
  <si>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</si>
  <si>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</si>
  <si>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</si>
  <si>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</si>
  <si>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</si>
  <si>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</si>
  <si>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</si>
  <si>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</si>
  <si>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</si>
  <si>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</si>
  <si>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</si>
  <si>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</si>
  <si>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</si>
  <si>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</si>
  <si>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</si>
  <si>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</si>
  <si>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</si>
  <si>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</si>
  <si>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</si>
  <si>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</si>
  <si>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</si>
  <si>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</si>
  <si>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</si>
  <si>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</si>
  <si>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</si>
  <si>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</si>
  <si>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</si>
  <si>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</si>
  <si>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</si>
  <si>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</si>
  <si>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</si>
  <si>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</si>
  <si>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</si>
  <si>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</si>
  <si>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</si>
  <si>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</si>
  <si>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</si>
  <si>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</si>
  <si>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</si>
  <si>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</si>
  <si>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</si>
  <si>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</si>
  <si>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</si>
  <si>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</si>
  <si>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</si>
  <si>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</si>
  <si>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</si>
  <si>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</si>
  <si>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</si>
  <si>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</si>
  <si>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</si>
  <si>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</si>
  <si>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</si>
  <si>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</si>
  <si>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</si>
  <si>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</si>
  <si>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</si>
  <si>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</si>
  <si>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</si>
  <si>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</si>
  <si>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</si>
  <si>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</si>
  <si>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</si>
  <si>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</si>
  <si>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</si>
  <si>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</si>
  <si>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</si>
  <si>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</si>
  <si>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</si>
  <si>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</si>
  <si>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</si>
  <si>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</si>
  <si>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</si>
  <si>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</si>
  <si>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</si>
  <si>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</si>
  <si>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</si>
  <si>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</si>
  <si>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</si>
  <si>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</si>
  <si>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</si>
  <si>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</si>
  <si>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</si>
  <si>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</si>
  <si>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</si>
  <si>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</si>
  <si>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</si>
  <si>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</si>
  <si>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</si>
  <si>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</si>
  <si>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</si>
  <si>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</si>
  <si>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</si>
  <si>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</si>
  <si>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</si>
  <si>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</si>
  <si>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</si>
  <si>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</si>
  <si>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</si>
  <si>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</si>
  <si>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</si>
  <si>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</si>
  <si>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</si>
  <si>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</si>
  <si>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</si>
  <si>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</si>
  <si>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</si>
  <si>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</si>
  <si>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</si>
  <si>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</si>
  <si>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</si>
  <si>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</si>
  <si>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</si>
  <si>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</si>
  <si>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</si>
  <si>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</si>
  <si>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</si>
  <si>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</si>
  <si>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</si>
  <si>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</si>
  <si>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</si>
  <si>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</si>
  <si>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</si>
  <si>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</si>
  <si>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</si>
  <si>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</si>
  <si>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</si>
  <si>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</si>
  <si>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</si>
  <si>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</si>
  <si>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</si>
  <si>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</si>
  <si>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</si>
  <si>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</si>
  <si>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</si>
  <si>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</si>
  <si>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</si>
  <si>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</si>
  <si>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</si>
  <si>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</si>
  <si>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</si>
  <si>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</si>
  <si>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</si>
  <si>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</si>
  <si>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</si>
  <si>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</si>
  <si>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</si>
  <si>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</si>
  <si>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</si>
  <si>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</si>
  <si>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</si>
  <si>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</si>
  <si>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</si>
  <si>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</si>
  <si>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</si>
  <si>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</si>
  <si>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</si>
  <si>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</si>
  <si>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</si>
  <si>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</si>
  <si>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</si>
  <si>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</si>
  <si>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</si>
  <si>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</si>
  <si>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</si>
  <si>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</si>
  <si>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</si>
  <si>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</si>
  <si>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</si>
  <si>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</si>
  <si>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</si>
  <si>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</si>
  <si>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</si>
  <si>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</si>
  <si>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</si>
  <si>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</si>
  <si>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</si>
  <si>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</si>
  <si>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</si>
  <si>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</si>
  <si>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</si>
  <si>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</si>
  <si>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</si>
  <si>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</si>
  <si>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</si>
  <si>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</si>
  <si>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</si>
  <si>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</si>
  <si>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</si>
  <si>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</si>
  <si>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</si>
  <si>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</si>
  <si>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</si>
  <si>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</si>
  <si>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</si>
  <si>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</si>
  <si>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</si>
  <si>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</si>
  <si>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</si>
  <si>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</si>
  <si>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</si>
  <si>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</si>
  <si>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</si>
  <si>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</si>
  <si>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</si>
  <si>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</si>
  <si>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</si>
  <si>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</si>
  <si>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</si>
  <si>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</si>
  <si>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</si>
  <si>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</si>
  <si>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</si>
  <si>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</si>
  <si>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</si>
  <si>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</si>
  <si>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</si>
  <si>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</si>
  <si>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</si>
  <si>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</si>
  <si>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</si>
  <si>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</si>
  <si>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</si>
  <si>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</si>
  <si>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</si>
  <si>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</si>
  <si>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</si>
  <si>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</si>
  <si>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</si>
  <si>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</si>
  <si>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</si>
  <si>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</si>
  <si>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</si>
  <si>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</si>
  <si>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</si>
  <si>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</si>
  <si>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</si>
  <si>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</si>
  <si>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</si>
  <si>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</si>
  <si>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</si>
  <si>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</si>
  <si>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</si>
  <si>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</si>
  <si>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</si>
  <si>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</si>
  <si>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</si>
  <si>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</si>
  <si>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</si>
  <si>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</si>
  <si>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</si>
  <si>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</si>
  <si>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</si>
  <si>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</si>
  <si>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</si>
  <si>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</si>
  <si>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</si>
  <si>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</si>
  <si>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</si>
  <si>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</si>
  <si>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</si>
  <si>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</si>
  <si>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</si>
  <si>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</si>
  <si>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</si>
  <si>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</si>
  <si>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</si>
  <si>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</si>
  <si>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</si>
  <si>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</si>
  <si>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</si>
  <si>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</si>
  <si>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</si>
  <si>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</si>
  <si>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</si>
  <si>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</si>
  <si>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</si>
  <si>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</si>
  <si>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</si>
  <si>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</si>
  <si>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</si>
  <si>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</si>
  <si>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</si>
  <si>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</si>
  <si>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</si>
  <si>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</si>
  <si>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</si>
  <si>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</si>
  <si>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</si>
  <si>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</si>
  <si>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</si>
  <si>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</si>
  <si>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</si>
  <si>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</si>
  <si>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</si>
  <si>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</si>
  <si>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</si>
  <si>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</si>
  <si>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</si>
  <si>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</si>
  <si>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</si>
  <si>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</si>
  <si>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</si>
  <si>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</si>
  <si>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</si>
  <si>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</si>
  <si>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</si>
  <si>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</si>
  <si>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</si>
  <si>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</si>
  <si>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</si>
  <si>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</si>
  <si>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</si>
  <si>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</si>
  <si>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</si>
  <si>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</si>
  <si>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</si>
  <si>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</si>
  <si>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</si>
  <si>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</si>
  <si>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</si>
  <si>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</si>
  <si>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</si>
  <si>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</si>
  <si>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</si>
  <si>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</si>
  <si>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</si>
  <si>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</si>
  <si>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</si>
  <si>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</si>
  <si>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</si>
  <si>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</si>
  <si>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</si>
  <si>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</si>
  <si>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</si>
  <si>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</si>
  <si>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</si>
  <si>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</si>
  <si>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</si>
  <si>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</si>
  <si>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</si>
  <si>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</si>
  <si>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</si>
  <si>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</si>
  <si>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</si>
  <si>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</si>
  <si>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</si>
  <si>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</si>
  <si>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</si>
  <si>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</si>
  <si>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 xml:space="preserve">FDN WIP LI : </t>
  </si>
  <si>
    <t>Progress in MAR'25</t>
  </si>
  <si>
    <t>Plan For MAR'25</t>
  </si>
  <si>
    <t>FDN WIP LO : 2/0 , 2/1</t>
  </si>
  <si>
    <t>08-03-226</t>
  </si>
  <si>
    <t>A, D frustum Next: B, C frustum</t>
  </si>
  <si>
    <t>Prop set Next: PCC,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</si>
</sst>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4">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 fillId="0" borderId="2" xfId="0" applyFont="1" applyBorder="1"/>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 fillId="0" borderId="3" xfId="0" applyFont="1" applyBorder="1"/>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98" fillId="10" borderId="2" xfId="0" applyFont="1" applyFill="1" applyBorder="1" applyAlignment="1">
      <alignment horizontal="center" vertical="center"/>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8" fillId="0" borderId="0" xfId="0" applyFont="1" applyAlignment="1">
      <alignment horizontal="center" vertical="center" wrapText="1"/>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2"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59" fillId="3" borderId="0" xfId="0" applyFont="1" applyFill="1" applyAlignment="1">
      <alignment horizont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169" fontId="174" fillId="3" borderId="2" xfId="24" applyNumberFormat="1" applyFont="1" applyFill="1" applyBorder="1" applyAlignment="1">
      <alignment horizontal="center" vertical="center" wrapText="1"/>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14" xfId="24" applyFont="1" applyFill="1" applyBorder="1" applyAlignment="1">
      <alignment horizontal="center"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0" fontId="159" fillId="3" borderId="0" xfId="24" applyFont="1" applyFill="1" applyAlignment="1">
      <alignment horizontal="center" vertical="center" wrapText="1"/>
    </xf>
    <xf numFmtId="0" fontId="174" fillId="3" borderId="2" xfId="24" applyFont="1" applyFill="1" applyBorder="1" applyAlignment="1">
      <alignment horizontal="left" vertical="center"/>
    </xf>
    <xf numFmtId="0" fontId="171" fillId="29" borderId="25" xfId="0" applyFont="1" applyFill="1" applyBorder="1" applyAlignment="1">
      <alignment horizontal="center" vertical="center"/>
    </xf>
    <xf numFmtId="0" fontId="171" fillId="29" borderId="33" xfId="0" applyFont="1" applyFill="1" applyBorder="1" applyAlignment="1">
      <alignment horizontal="center" vertical="center"/>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71" fillId="17" borderId="43" xfId="0" applyFont="1" applyFill="1" applyBorder="1" applyAlignment="1">
      <alignment horizontal="center" vertical="center"/>
    </xf>
    <xf numFmtId="0" fontId="171" fillId="17" borderId="0" xfId="0" applyFont="1" applyFill="1" applyAlignment="1">
      <alignment horizontal="center" vertical="center"/>
    </xf>
    <xf numFmtId="0" fontId="171" fillId="29" borderId="43" xfId="0" applyFont="1" applyFill="1" applyBorder="1" applyAlignment="1">
      <alignment horizontal="center" vertical="center"/>
    </xf>
    <xf numFmtId="0" fontId="171" fillId="29" borderId="0" xfId="0" applyFont="1" applyFill="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0" xfId="0" applyNumberFormat="1" applyFont="1" applyAlignment="1">
      <alignment horizontal="left" vertical="center" wrapText="1"/>
    </xf>
    <xf numFmtId="0" fontId="167" fillId="0" borderId="0" xfId="0" applyFont="1" applyAlignment="1">
      <alignment horizontal="center" wrapText="1"/>
    </xf>
    <xf numFmtId="0" fontId="171" fillId="29" borderId="2" xfId="0" applyFont="1" applyFill="1" applyBorder="1" applyAlignment="1">
      <alignment horizontal="center" vertical="center"/>
    </xf>
    <xf numFmtId="0" fontId="177" fillId="29" borderId="0" xfId="0" applyFont="1" applyFill="1" applyAlignment="1">
      <alignment horizontal="center" vertical="center"/>
    </xf>
    <xf numFmtId="49" fontId="165" fillId="0" borderId="0" xfId="0" applyNumberFormat="1" applyFont="1" applyAlignment="1">
      <alignment horizontal="right" vertical="center" wrapText="1"/>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71" fillId="29" borderId="28" xfId="0" applyFont="1" applyFill="1" applyBorder="1" applyAlignment="1">
      <alignment horizontal="center" vertical="center"/>
    </xf>
    <xf numFmtId="0" fontId="175" fillId="0" borderId="0" xfId="0" applyFont="1" applyAlignment="1">
      <alignment horizontal="left" vertical="center" wrapText="1"/>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3" borderId="0" xfId="0" applyFont="1" applyFill="1" applyAlignment="1">
      <alignment horizontal="center" vertical="center"/>
    </xf>
    <xf numFmtId="0" fontId="171" fillId="29" borderId="0" xfId="0" applyFont="1" applyFill="1" applyAlignment="1">
      <alignment horizont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0" fontId="137" fillId="3" borderId="2" xfId="24" applyFont="1" applyFill="1" applyBorder="1" applyAlignment="1">
      <alignment horizontal="left" vertical="center"/>
    </xf>
    <xf numFmtId="0" fontId="138"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7" fillId="3" borderId="2" xfId="24" applyFont="1" applyFill="1" applyBorder="1" applyAlignment="1">
      <alignment horizontal="left" vertical="center" wrapText="1"/>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9" fillId="0" borderId="2" xfId="0" applyFont="1" applyBorder="1" applyAlignment="1">
      <alignment horizontal="center" vertical="center"/>
    </xf>
    <xf numFmtId="0" fontId="138" fillId="3" borderId="0" xfId="0" applyFont="1" applyFill="1" applyAlignment="1">
      <alignment horizont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0" fillId="0" borderId="2" xfId="0" applyBorder="1" applyAlignment="1">
      <alignment horizontal="center" vertical="center"/>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3" borderId="2"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74" fillId="4" borderId="3"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6" fillId="4" borderId="4" xfId="0" applyFont="1" applyFill="1" applyBorder="1"/>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74" fillId="4" borderId="4" xfId="0"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R12" sqref="R12"/>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3"/>
      <c r="C1" s="1213"/>
      <c r="D1" s="1213"/>
      <c r="E1" s="1213"/>
      <c r="F1" s="1213"/>
      <c r="G1" s="1213"/>
      <c r="H1" s="1213"/>
      <c r="I1" s="1213"/>
      <c r="J1" s="1213"/>
      <c r="K1" s="1213"/>
      <c r="L1" s="1213"/>
      <c r="M1" s="1046"/>
    </row>
    <row r="2" spans="1:13">
      <c r="A2" s="1045"/>
      <c r="B2" s="1213"/>
      <c r="C2" s="1213"/>
      <c r="D2" s="1213"/>
      <c r="E2" s="1213"/>
      <c r="F2" s="1213"/>
      <c r="G2" s="1213"/>
      <c r="H2" s="1213"/>
      <c r="I2" s="1213"/>
      <c r="J2" s="1213"/>
      <c r="K2" s="1213"/>
      <c r="L2" s="1213"/>
      <c r="M2" s="1046"/>
    </row>
    <row r="3" spans="1:13" ht="24.6">
      <c r="A3" s="1214"/>
      <c r="B3" s="1214"/>
      <c r="C3" s="350" t="s">
        <v>0</v>
      </c>
      <c r="D3" s="1215" t="s">
        <v>1</v>
      </c>
      <c r="E3" s="1215"/>
      <c r="F3" s="1215"/>
      <c r="G3" s="1215"/>
      <c r="H3" s="1215"/>
      <c r="I3" s="1215"/>
      <c r="J3" s="1215"/>
      <c r="K3" s="1215"/>
      <c r="L3" s="1215"/>
      <c r="M3" s="355">
        <f ca="1">NOW()-1</f>
        <v>46089.483500578703</v>
      </c>
    </row>
    <row r="4" spans="1:13">
      <c r="A4" s="351" t="s">
        <v>2</v>
      </c>
      <c r="B4" s="351"/>
      <c r="C4" s="352">
        <v>45632</v>
      </c>
      <c r="D4" s="1216" t="s">
        <v>1854</v>
      </c>
      <c r="E4" s="1216"/>
      <c r="F4" s="1216"/>
      <c r="G4" s="1216"/>
      <c r="H4" s="1216"/>
      <c r="I4" s="1216"/>
      <c r="J4" s="1216"/>
      <c r="K4" s="1216"/>
      <c r="L4" s="1216"/>
      <c r="M4" s="1216"/>
    </row>
    <row r="5" spans="1:13">
      <c r="A5" s="351" t="s">
        <v>4</v>
      </c>
      <c r="B5" s="351"/>
      <c r="C5" s="352">
        <v>46178</v>
      </c>
      <c r="D5" s="1216"/>
      <c r="E5" s="1216"/>
      <c r="F5" s="1216"/>
      <c r="G5" s="1216"/>
      <c r="H5" s="1216"/>
      <c r="I5" s="1216"/>
      <c r="J5" s="1216"/>
      <c r="K5" s="1216"/>
      <c r="L5" s="1216"/>
      <c r="M5" s="1216"/>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7" t="s">
        <v>11</v>
      </c>
      <c r="B9" s="1217"/>
      <c r="C9" s="1217"/>
      <c r="D9" s="1217"/>
      <c r="E9" s="1217"/>
      <c r="F9" s="1217"/>
      <c r="G9" s="1217"/>
      <c r="H9" s="1217"/>
      <c r="I9" s="1217"/>
      <c r="J9" s="1217"/>
      <c r="K9" s="1217"/>
      <c r="L9" s="1217"/>
      <c r="M9" s="356">
        <f ca="1">M3</f>
        <v>46089.483500578703</v>
      </c>
    </row>
    <row r="10" spans="1:13" ht="78.45" customHeight="1">
      <c r="A10" s="1049" t="s">
        <v>12</v>
      </c>
      <c r="B10" s="1049" t="s">
        <v>13</v>
      </c>
      <c r="C10" s="1049" t="s">
        <v>14</v>
      </c>
      <c r="D10" s="1049" t="s">
        <v>15</v>
      </c>
      <c r="E10" s="1049" t="s">
        <v>16</v>
      </c>
      <c r="F10" s="1049" t="s">
        <v>1857</v>
      </c>
      <c r="G10" s="1049" t="s">
        <v>1856</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0</v>
      </c>
      <c r="H15" s="869">
        <v>1</v>
      </c>
      <c r="I15" s="869">
        <v>0</v>
      </c>
      <c r="J15" s="868">
        <f>SUM(E15+G15)</f>
        <v>7</v>
      </c>
      <c r="K15" s="868">
        <f t="shared" ref="K15:K23" si="0">D15-J15</f>
        <v>36</v>
      </c>
      <c r="L15" s="869">
        <v>1</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10.4"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10.4"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18"/>
      <c r="E121" s="1219"/>
      <c r="F121" s="1220"/>
    </row>
    <row r="122" spans="1:6">
      <c r="A122" s="1221"/>
      <c r="B122" s="1221"/>
      <c r="C122" s="1221"/>
      <c r="D122" s="1221"/>
      <c r="E122" s="1221"/>
      <c r="F122" s="1221"/>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6" t="s">
        <v>48</v>
      </c>
      <c r="B1" s="1237"/>
      <c r="C1" s="1237"/>
      <c r="D1" s="1237"/>
      <c r="E1" s="1237"/>
      <c r="F1" s="1237"/>
      <c r="G1" s="1237"/>
      <c r="H1" s="1237"/>
      <c r="I1" s="1237"/>
      <c r="J1" s="1237"/>
      <c r="K1" s="1237"/>
      <c r="L1" s="1237"/>
      <c r="M1" s="1237"/>
      <c r="N1" s="1237"/>
      <c r="O1" s="1237"/>
      <c r="P1" s="1237"/>
      <c r="Q1" s="1237"/>
      <c r="R1" s="1237"/>
      <c r="S1" s="1238"/>
    </row>
    <row r="2" spans="1:19" ht="15.6">
      <c r="A2" s="1239" t="s">
        <v>49</v>
      </c>
      <c r="B2" s="1240"/>
      <c r="C2" s="1240"/>
      <c r="D2" s="1240"/>
      <c r="E2" s="1240"/>
      <c r="F2" s="1240"/>
      <c r="G2" s="1240"/>
      <c r="H2" s="1240"/>
      <c r="I2" s="1240"/>
      <c r="J2" s="1240"/>
      <c r="K2" s="1240"/>
      <c r="L2" s="1240"/>
      <c r="M2" s="1240"/>
      <c r="N2" s="1240"/>
      <c r="O2" s="1240"/>
      <c r="P2" s="1240"/>
      <c r="Q2" s="1240"/>
      <c r="R2" s="1240"/>
      <c r="S2" s="1241"/>
    </row>
    <row r="3" spans="1:19" ht="15.6">
      <c r="A3" s="1239" t="s">
        <v>50</v>
      </c>
      <c r="B3" s="1240"/>
      <c r="C3" s="1240"/>
      <c r="D3" s="1240"/>
      <c r="E3" s="1240"/>
      <c r="F3" s="1240"/>
      <c r="G3" s="1240"/>
      <c r="H3" s="1240"/>
      <c r="I3" s="1240"/>
      <c r="J3" s="1240"/>
      <c r="K3" s="1240"/>
      <c r="L3" s="1240"/>
      <c r="M3" s="1240"/>
      <c r="N3" s="1240"/>
      <c r="O3" s="1240"/>
      <c r="P3" s="1240"/>
      <c r="Q3" s="1240"/>
      <c r="R3" s="1240"/>
      <c r="S3" s="1241"/>
    </row>
    <row r="4" spans="1:19" ht="18">
      <c r="A4" s="1242" t="s">
        <v>51</v>
      </c>
      <c r="B4" s="1243"/>
      <c r="C4" s="1243"/>
      <c r="D4" s="1243"/>
      <c r="E4" s="1243"/>
      <c r="F4" s="1243"/>
      <c r="G4" s="1243"/>
      <c r="H4" s="1243"/>
      <c r="I4" s="1243"/>
      <c r="J4" s="1243"/>
      <c r="K4" s="1243"/>
      <c r="L4" s="1243"/>
      <c r="M4" s="1243"/>
      <c r="N4" s="1243"/>
      <c r="O4" s="1243"/>
      <c r="P4" s="1243"/>
      <c r="Q4" s="1243"/>
      <c r="R4" s="1243"/>
      <c r="S4" s="1244"/>
    </row>
    <row r="5" spans="1:19" ht="28.8" hidden="1">
      <c r="A5" s="345" t="s">
        <v>52</v>
      </c>
      <c r="B5" s="345" t="s">
        <v>53</v>
      </c>
      <c r="C5" s="345" t="s">
        <v>54</v>
      </c>
      <c r="D5" s="345" t="s">
        <v>55</v>
      </c>
      <c r="E5" s="345" t="s">
        <v>56</v>
      </c>
      <c r="F5" s="345" t="s">
        <v>20</v>
      </c>
    </row>
    <row r="6" spans="1:19" hidden="1">
      <c r="A6" s="76">
        <v>1</v>
      </c>
      <c r="B6" s="76" t="s">
        <v>57</v>
      </c>
      <c r="C6" s="76">
        <v>2.653</v>
      </c>
      <c r="D6" s="1245">
        <v>45684</v>
      </c>
      <c r="E6" s="1245">
        <v>45691</v>
      </c>
      <c r="F6" s="76" t="s">
        <v>58</v>
      </c>
    </row>
    <row r="7" spans="1:19" hidden="1">
      <c r="A7" s="76">
        <f>A6+1</f>
        <v>2</v>
      </c>
      <c r="B7" s="76" t="s">
        <v>59</v>
      </c>
      <c r="C7" s="76">
        <v>5.31</v>
      </c>
      <c r="D7" s="1246"/>
      <c r="E7" s="1246"/>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45">
        <v>45715</v>
      </c>
      <c r="F11" s="76" t="s">
        <v>58</v>
      </c>
    </row>
    <row r="12" spans="1:19" hidden="1">
      <c r="A12" s="76">
        <f>A11+1</f>
        <v>7</v>
      </c>
      <c r="B12" s="76" t="s">
        <v>67</v>
      </c>
      <c r="C12" s="76">
        <v>2.09</v>
      </c>
      <c r="D12" s="483">
        <v>45713</v>
      </c>
      <c r="E12" s="1247"/>
      <c r="F12" s="76" t="s">
        <v>58</v>
      </c>
    </row>
    <row r="13" spans="1:19" hidden="1">
      <c r="A13" s="76">
        <f t="shared" si="0"/>
        <v>8</v>
      </c>
      <c r="B13" s="76" t="s">
        <v>68</v>
      </c>
      <c r="C13" s="76">
        <v>3.8929999999999998</v>
      </c>
      <c r="D13" s="483">
        <v>45713</v>
      </c>
      <c r="E13" s="1247"/>
      <c r="F13" s="76" t="s">
        <v>58</v>
      </c>
    </row>
    <row r="14" spans="1:19" hidden="1">
      <c r="A14" s="76">
        <f t="shared" si="0"/>
        <v>9</v>
      </c>
      <c r="B14" s="76" t="s">
        <v>69</v>
      </c>
      <c r="C14" s="76">
        <v>6.9710000000000001</v>
      </c>
      <c r="D14" s="483">
        <v>45713</v>
      </c>
      <c r="E14" s="1248"/>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49" t="s">
        <v>1122</v>
      </c>
      <c r="B63" s="1249"/>
      <c r="C63" s="346"/>
      <c r="D63" s="346">
        <f>SUM(D45:D61)</f>
        <v>151.91599999999997</v>
      </c>
      <c r="E63" s="346"/>
      <c r="F63" s="346"/>
      <c r="G63" s="346">
        <f>SUM(G45:G62)</f>
        <v>97.59</v>
      </c>
    </row>
    <row r="64" spans="1:7" hidden="1">
      <c r="A64" s="408"/>
      <c r="B64" s="408"/>
      <c r="C64" s="346"/>
      <c r="D64" s="346"/>
      <c r="E64" s="346"/>
      <c r="F64" s="346"/>
      <c r="G64" s="346"/>
    </row>
    <row r="65" spans="1:7">
      <c r="A65" s="1250"/>
      <c r="B65" s="1251"/>
      <c r="C65" s="1251"/>
      <c r="D65" s="1251"/>
      <c r="E65" s="1251"/>
      <c r="F65" s="1251"/>
      <c r="G65" s="1252"/>
    </row>
    <row r="66" spans="1:7" ht="15.6">
      <c r="A66" s="753"/>
      <c r="B66" s="753"/>
      <c r="C66" s="1253" t="s">
        <v>1316</v>
      </c>
      <c r="D66" s="1253"/>
      <c r="E66" s="1253"/>
      <c r="F66" s="1253"/>
      <c r="G66" s="1253"/>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54"/>
      <c r="C76" s="577" t="s">
        <v>1336</v>
      </c>
      <c r="D76" s="756">
        <v>7.9619999999999997</v>
      </c>
      <c r="E76" s="765" t="s">
        <v>1482</v>
      </c>
      <c r="F76" s="756"/>
      <c r="G76" s="763" t="s">
        <v>58</v>
      </c>
    </row>
    <row r="77" spans="1:7">
      <c r="A77" s="756">
        <f t="shared" si="2"/>
        <v>10</v>
      </c>
      <c r="B77" s="1255"/>
      <c r="C77" s="577" t="s">
        <v>1338</v>
      </c>
      <c r="D77" s="756">
        <v>19.567</v>
      </c>
      <c r="E77" s="765" t="s">
        <v>1482</v>
      </c>
      <c r="F77" s="756"/>
      <c r="G77" s="763" t="s">
        <v>58</v>
      </c>
    </row>
    <row r="78" spans="1:7">
      <c r="A78" s="756">
        <f t="shared" si="2"/>
        <v>11</v>
      </c>
      <c r="B78" s="1255"/>
      <c r="C78" s="577" t="s">
        <v>1339</v>
      </c>
      <c r="D78" s="756">
        <v>20.273</v>
      </c>
      <c r="E78" s="765" t="s">
        <v>1482</v>
      </c>
      <c r="F78" s="756"/>
      <c r="G78" s="763" t="s">
        <v>58</v>
      </c>
    </row>
    <row r="79" spans="1:7">
      <c r="A79" s="756">
        <f t="shared" si="2"/>
        <v>12</v>
      </c>
      <c r="B79" s="1255"/>
      <c r="C79" s="577" t="s">
        <v>1340</v>
      </c>
      <c r="D79" s="756">
        <v>3.0840000000000001</v>
      </c>
      <c r="E79" s="765" t="s">
        <v>1482</v>
      </c>
      <c r="F79" s="756"/>
      <c r="G79" s="763" t="s">
        <v>58</v>
      </c>
    </row>
    <row r="80" spans="1:7">
      <c r="A80" s="756">
        <f t="shared" si="2"/>
        <v>13</v>
      </c>
      <c r="B80" s="1255"/>
      <c r="C80" s="577" t="s">
        <v>1341</v>
      </c>
      <c r="D80" s="756">
        <v>14.119</v>
      </c>
      <c r="E80" s="765" t="s">
        <v>1482</v>
      </c>
      <c r="F80" s="756"/>
      <c r="G80" s="763" t="s">
        <v>58</v>
      </c>
    </row>
    <row r="81" spans="1:7">
      <c r="A81" s="756">
        <f t="shared" si="2"/>
        <v>14</v>
      </c>
      <c r="B81" s="1255"/>
      <c r="C81" s="577" t="s">
        <v>1342</v>
      </c>
      <c r="D81" s="756">
        <v>9.4949999999999992</v>
      </c>
      <c r="E81" s="765" t="s">
        <v>1482</v>
      </c>
      <c r="F81" s="756"/>
      <c r="G81" s="763" t="s">
        <v>58</v>
      </c>
    </row>
    <row r="82" spans="1:7">
      <c r="A82" s="756">
        <f t="shared" si="2"/>
        <v>15</v>
      </c>
      <c r="B82" s="1256"/>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31"/>
      <c r="B89" s="1232"/>
      <c r="C89" s="754" t="s">
        <v>1355</v>
      </c>
      <c r="D89" s="754">
        <f>SUM(D68:D88)</f>
        <v>187.99599999999998</v>
      </c>
      <c r="E89" s="1233"/>
      <c r="F89" s="1234"/>
      <c r="G89" s="1235"/>
    </row>
    <row r="90" spans="1:7">
      <c r="A90" s="1228"/>
      <c r="B90" s="1228"/>
      <c r="C90" s="1228"/>
      <c r="D90" s="1228"/>
      <c r="E90" s="1228"/>
      <c r="F90" s="1228"/>
      <c r="G90" s="1228"/>
    </row>
    <row r="91" spans="1:7" hidden="1">
      <c r="A91" s="777"/>
      <c r="B91" s="778"/>
      <c r="C91" s="778"/>
      <c r="D91" s="779"/>
      <c r="E91" s="780">
        <v>2.6179999999999999</v>
      </c>
      <c r="F91" s="781" t="s">
        <v>1354</v>
      </c>
      <c r="G91" s="777"/>
    </row>
    <row r="92" spans="1:7" ht="18">
      <c r="A92" s="1229" t="s">
        <v>1355</v>
      </c>
      <c r="B92" s="1229"/>
      <c r="C92" s="1229"/>
      <c r="D92" s="1229"/>
      <c r="E92" s="782">
        <f>D89</f>
        <v>187.99599999999998</v>
      </c>
      <c r="F92" s="778"/>
      <c r="G92" s="777"/>
    </row>
    <row r="93" spans="1:7" ht="18">
      <c r="A93" s="1229" t="s">
        <v>1490</v>
      </c>
      <c r="B93" s="1229"/>
      <c r="C93" s="1229"/>
      <c r="D93" s="1229"/>
      <c r="E93" s="783">
        <f>E92-E96</f>
        <v>156.04</v>
      </c>
      <c r="F93" s="778"/>
      <c r="G93" s="777"/>
    </row>
    <row r="94" spans="1:7" ht="18">
      <c r="A94" s="1229" t="s">
        <v>1491</v>
      </c>
      <c r="B94" s="1229"/>
      <c r="C94" s="1229"/>
      <c r="D94" s="1229"/>
      <c r="E94" s="784">
        <f>E93-E95</f>
        <v>152.46299999999999</v>
      </c>
      <c r="F94" s="778"/>
      <c r="G94" s="777"/>
    </row>
    <row r="95" spans="1:7" ht="18">
      <c r="A95" s="1230" t="s">
        <v>1492</v>
      </c>
      <c r="B95" s="1230"/>
      <c r="C95" s="1230"/>
      <c r="D95" s="1230"/>
      <c r="E95" s="785">
        <v>3.577</v>
      </c>
      <c r="F95" s="778"/>
      <c r="G95" s="777"/>
    </row>
    <row r="96" spans="1:7" ht="18">
      <c r="A96" s="1229" t="s">
        <v>1493</v>
      </c>
      <c r="B96" s="1229"/>
      <c r="C96" s="1229"/>
      <c r="D96" s="1229"/>
      <c r="E96" s="784">
        <v>31.956</v>
      </c>
      <c r="F96" s="778"/>
      <c r="G96" s="777"/>
    </row>
    <row r="98" spans="2:7" ht="15" thickBot="1">
      <c r="B98" s="1222" t="s">
        <v>1316</v>
      </c>
      <c r="C98" s="1223"/>
      <c r="D98" s="1223"/>
      <c r="E98" s="1223"/>
      <c r="F98" s="1223"/>
      <c r="G98" s="1223"/>
    </row>
    <row r="99" spans="2:7" ht="28.2"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24">
        <v>4</v>
      </c>
      <c r="C103" s="553" t="s">
        <v>1371</v>
      </c>
      <c r="D103" s="1226">
        <v>10.894</v>
      </c>
      <c r="E103" s="554"/>
      <c r="F103" s="555" t="s">
        <v>1368</v>
      </c>
      <c r="G103" s="556" t="s">
        <v>1372</v>
      </c>
    </row>
    <row r="104" spans="2:7" ht="29.4" thickBot="1">
      <c r="B104" s="1225"/>
      <c r="C104" s="553" t="s">
        <v>1373</v>
      </c>
      <c r="D104" s="1227"/>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57" t="s">
        <v>48</v>
      </c>
      <c r="B1" s="1258"/>
      <c r="C1" s="1258"/>
      <c r="D1" s="1258"/>
      <c r="E1" s="1258"/>
      <c r="F1" s="1258"/>
      <c r="G1" s="1258"/>
      <c r="H1" s="1258"/>
      <c r="I1" s="1258"/>
      <c r="J1" s="1258"/>
      <c r="K1" s="1258"/>
      <c r="L1" s="1258"/>
      <c r="M1" s="1258"/>
      <c r="N1" s="1258"/>
      <c r="O1" s="1258"/>
      <c r="P1" s="1258"/>
      <c r="Q1" s="1258"/>
      <c r="R1" s="1258"/>
      <c r="S1" s="1258"/>
      <c r="T1" s="1258"/>
      <c r="U1" s="1258"/>
      <c r="V1" s="1258"/>
      <c r="W1" s="1258"/>
      <c r="X1" s="1258"/>
      <c r="Y1" s="1258"/>
      <c r="Z1" s="1258"/>
      <c r="AA1" s="1258"/>
      <c r="AB1" s="1258"/>
      <c r="AC1" s="1258"/>
      <c r="AD1" s="1258"/>
      <c r="AE1" s="1259"/>
    </row>
    <row r="2" spans="1:31" ht="15.6">
      <c r="A2" s="1260" t="s">
        <v>49</v>
      </c>
      <c r="B2" s="1261"/>
      <c r="C2" s="1261"/>
      <c r="D2" s="1261"/>
      <c r="E2" s="1261"/>
      <c r="F2" s="1261"/>
      <c r="G2" s="1261"/>
      <c r="H2" s="1261"/>
      <c r="I2" s="1261"/>
      <c r="J2" s="1261"/>
      <c r="K2" s="1261"/>
      <c r="L2" s="1261"/>
      <c r="M2" s="1261"/>
      <c r="N2" s="1261"/>
      <c r="O2" s="1261"/>
      <c r="P2" s="1261"/>
      <c r="Q2" s="1261"/>
      <c r="R2" s="1261"/>
      <c r="S2" s="1261"/>
      <c r="T2" s="1261"/>
      <c r="U2" s="1261"/>
      <c r="V2" s="1261"/>
      <c r="W2" s="1261"/>
      <c r="X2" s="1261"/>
      <c r="Y2" s="1261"/>
      <c r="Z2" s="1261"/>
      <c r="AA2" s="1261"/>
      <c r="AB2" s="1261"/>
      <c r="AC2" s="1261"/>
      <c r="AD2" s="1261"/>
      <c r="AE2" s="1262"/>
    </row>
    <row r="3" spans="1:31" ht="15.6">
      <c r="A3" s="1263" t="s">
        <v>50</v>
      </c>
      <c r="B3" s="1264"/>
      <c r="C3" s="1264"/>
      <c r="D3" s="1264"/>
      <c r="E3" s="1264"/>
      <c r="F3" s="1264"/>
      <c r="G3" s="1264"/>
      <c r="H3" s="1264"/>
      <c r="I3" s="1264"/>
      <c r="J3" s="1264"/>
      <c r="K3" s="1264"/>
      <c r="L3" s="1264"/>
      <c r="M3" s="1264"/>
      <c r="N3" s="1264"/>
      <c r="O3" s="1264"/>
      <c r="P3" s="1264"/>
      <c r="Q3" s="1264"/>
      <c r="R3" s="1264"/>
      <c r="S3" s="1264"/>
      <c r="T3" s="1264"/>
      <c r="U3" s="1264"/>
      <c r="V3" s="1264"/>
      <c r="W3" s="1264"/>
      <c r="X3" s="1264"/>
      <c r="Y3" s="1264"/>
      <c r="Z3" s="1264"/>
      <c r="AA3" s="1264"/>
      <c r="AB3" s="1264"/>
      <c r="AC3" s="1264"/>
      <c r="AD3" s="1264"/>
      <c r="AE3" s="1265"/>
    </row>
    <row r="4" spans="1:31" ht="18">
      <c r="A4" s="1266" t="s">
        <v>51</v>
      </c>
      <c r="B4" s="1267"/>
      <c r="C4" s="1267"/>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8"/>
    </row>
    <row r="5" spans="1:31" ht="28.8" hidden="1">
      <c r="A5" s="345" t="s">
        <v>52</v>
      </c>
      <c r="B5" s="345" t="s">
        <v>53</v>
      </c>
      <c r="C5" s="345" t="s">
        <v>54</v>
      </c>
      <c r="D5" s="345" t="s">
        <v>55</v>
      </c>
      <c r="E5" s="345" t="s">
        <v>56</v>
      </c>
      <c r="F5" s="345" t="s">
        <v>20</v>
      </c>
    </row>
    <row r="6" spans="1:31" hidden="1">
      <c r="A6" s="76">
        <v>1</v>
      </c>
      <c r="B6" s="76" t="s">
        <v>57</v>
      </c>
      <c r="C6" s="76">
        <v>2.653</v>
      </c>
      <c r="D6" s="1245">
        <v>45684</v>
      </c>
      <c r="E6" s="1245">
        <v>45691</v>
      </c>
      <c r="F6" s="76" t="s">
        <v>58</v>
      </c>
    </row>
    <row r="7" spans="1:31" hidden="1">
      <c r="A7" s="76">
        <f>A6+1</f>
        <v>2</v>
      </c>
      <c r="B7" s="76" t="s">
        <v>59</v>
      </c>
      <c r="C7" s="76">
        <v>5.31</v>
      </c>
      <c r="D7" s="1248"/>
      <c r="E7" s="1248"/>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5">
        <v>45715</v>
      </c>
      <c r="F11" s="76" t="s">
        <v>58</v>
      </c>
      <c r="H11" s="496"/>
      <c r="I11" s="76"/>
      <c r="J11" s="349"/>
      <c r="K11" s="76"/>
      <c r="L11" s="76"/>
      <c r="M11" s="76"/>
    </row>
    <row r="12" spans="1:31" hidden="1">
      <c r="A12" s="76">
        <f>A11+1</f>
        <v>7</v>
      </c>
      <c r="B12" s="76" t="s">
        <v>67</v>
      </c>
      <c r="C12" s="76">
        <v>2.09</v>
      </c>
      <c r="D12" s="483">
        <v>45713</v>
      </c>
      <c r="E12" s="1247"/>
      <c r="F12" s="76" t="s">
        <v>58</v>
      </c>
    </row>
    <row r="13" spans="1:31" hidden="1">
      <c r="A13" s="76">
        <f t="shared" si="0"/>
        <v>8</v>
      </c>
      <c r="B13" s="76" t="s">
        <v>68</v>
      </c>
      <c r="C13" s="76">
        <v>3.8929999999999998</v>
      </c>
      <c r="D13" s="483">
        <v>45713</v>
      </c>
      <c r="E13" s="1247"/>
      <c r="F13" s="76" t="s">
        <v>58</v>
      </c>
    </row>
    <row r="14" spans="1:31" hidden="1">
      <c r="A14" s="76">
        <f t="shared" si="0"/>
        <v>9</v>
      </c>
      <c r="B14" s="76" t="s">
        <v>69</v>
      </c>
      <c r="C14" s="76">
        <v>6.9710000000000001</v>
      </c>
      <c r="D14" s="483">
        <v>45713</v>
      </c>
      <c r="E14" s="1248"/>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69"/>
    </row>
    <row r="19" spans="1:14" hidden="1">
      <c r="A19" s="76">
        <f t="shared" si="0"/>
        <v>14</v>
      </c>
      <c r="B19" s="511" t="s">
        <v>1080</v>
      </c>
      <c r="C19" s="76">
        <v>1.6559999999999999</v>
      </c>
      <c r="D19" s="76"/>
      <c r="E19" s="76"/>
      <c r="F19" s="504" t="s">
        <v>65</v>
      </c>
      <c r="G19" s="348"/>
      <c r="H19" s="1269"/>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50" t="s">
        <v>1122</v>
      </c>
      <c r="B63" s="125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3" t="s">
        <v>1316</v>
      </c>
      <c r="D66" s="1274"/>
      <c r="E66" s="1274"/>
      <c r="F66" s="1274"/>
      <c r="G66" s="1275"/>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70" t="s">
        <v>1027</v>
      </c>
      <c r="B76" s="521">
        <f t="shared" si="2"/>
        <v>9</v>
      </c>
      <c r="C76" s="331" t="s">
        <v>1336</v>
      </c>
      <c r="D76" s="546">
        <v>7.9619999999999997</v>
      </c>
      <c r="E76" s="531">
        <v>45691</v>
      </c>
      <c r="F76" s="521"/>
      <c r="G76" s="532" t="s">
        <v>58</v>
      </c>
      <c r="H76" s="537" t="s">
        <v>1337</v>
      </c>
    </row>
    <row r="77" spans="1:9">
      <c r="A77" s="1271"/>
      <c r="B77" s="521">
        <f t="shared" si="2"/>
        <v>10</v>
      </c>
      <c r="C77" s="331" t="s">
        <v>1338</v>
      </c>
      <c r="D77" s="546">
        <v>19.567</v>
      </c>
      <c r="E77" s="531">
        <v>45713</v>
      </c>
      <c r="F77" s="521"/>
      <c r="G77" s="532" t="s">
        <v>58</v>
      </c>
      <c r="H77" s="537"/>
    </row>
    <row r="78" spans="1:9">
      <c r="A78" s="1271"/>
      <c r="B78" s="521">
        <f t="shared" si="2"/>
        <v>11</v>
      </c>
      <c r="C78" s="331" t="s">
        <v>1339</v>
      </c>
      <c r="D78" s="546">
        <v>20.273</v>
      </c>
      <c r="E78" s="531">
        <v>45691</v>
      </c>
      <c r="F78" s="521"/>
      <c r="G78" s="532" t="s">
        <v>58</v>
      </c>
      <c r="H78" s="537"/>
    </row>
    <row r="79" spans="1:9">
      <c r="A79" s="1271"/>
      <c r="B79" s="521">
        <f t="shared" si="2"/>
        <v>12</v>
      </c>
      <c r="C79" s="331" t="s">
        <v>1340</v>
      </c>
      <c r="D79" s="546">
        <v>3.0840000000000001</v>
      </c>
      <c r="E79" s="531">
        <v>45712</v>
      </c>
      <c r="F79" s="521"/>
      <c r="G79" s="532" t="s">
        <v>58</v>
      </c>
      <c r="H79" s="537"/>
    </row>
    <row r="80" spans="1:9">
      <c r="A80" s="1271"/>
      <c r="B80" s="521">
        <f t="shared" si="2"/>
        <v>13</v>
      </c>
      <c r="C80" s="331" t="s">
        <v>1341</v>
      </c>
      <c r="D80" s="546">
        <v>14.119</v>
      </c>
      <c r="E80" s="531">
        <v>45715</v>
      </c>
      <c r="F80" s="521"/>
      <c r="G80" s="532" t="s">
        <v>58</v>
      </c>
      <c r="H80" s="537"/>
    </row>
    <row r="81" spans="1:8">
      <c r="A81" s="1271"/>
      <c r="B81" s="521">
        <f t="shared" si="2"/>
        <v>14</v>
      </c>
      <c r="C81" s="331" t="s">
        <v>1342</v>
      </c>
      <c r="D81" s="546">
        <v>9.4949999999999992</v>
      </c>
      <c r="E81" s="531">
        <v>45722</v>
      </c>
      <c r="F81" s="521"/>
      <c r="G81" s="532" t="s">
        <v>58</v>
      </c>
      <c r="H81" s="537"/>
    </row>
    <row r="82" spans="1:8">
      <c r="A82" s="1272"/>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22" t="s">
        <v>1316</v>
      </c>
      <c r="C95" s="1223"/>
      <c r="D95" s="1223"/>
      <c r="E95" s="1223"/>
      <c r="F95" s="1223"/>
      <c r="G95" s="1223"/>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24">
        <v>4</v>
      </c>
      <c r="C100" s="553" t="s">
        <v>1371</v>
      </c>
      <c r="D100" s="1226">
        <v>10.894</v>
      </c>
      <c r="E100" s="554"/>
      <c r="F100" s="555" t="s">
        <v>1368</v>
      </c>
      <c r="G100" s="556" t="s">
        <v>1372</v>
      </c>
    </row>
    <row r="101" spans="2:7" ht="29.55" hidden="1" customHeight="1" thickBot="1">
      <c r="B101" s="1225"/>
      <c r="C101" s="553" t="s">
        <v>1373</v>
      </c>
      <c r="D101" s="1227"/>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28.2" thickBot="1">
      <c r="A2" s="564">
        <v>1</v>
      </c>
      <c r="B2" s="565" t="s">
        <v>1382</v>
      </c>
      <c r="C2" s="566"/>
      <c r="D2" s="566"/>
      <c r="E2" s="566"/>
    </row>
    <row r="3" spans="1:5" ht="28.2" thickBot="1">
      <c r="A3" s="564" t="s">
        <v>1383</v>
      </c>
      <c r="B3" s="556" t="s">
        <v>1384</v>
      </c>
      <c r="C3" s="567">
        <v>45821</v>
      </c>
      <c r="D3" s="566" t="s">
        <v>1385</v>
      </c>
      <c r="E3" s="566" t="s">
        <v>1386</v>
      </c>
    </row>
    <row r="4" spans="1:5" ht="28.2" thickBot="1">
      <c r="A4" s="564" t="s">
        <v>1387</v>
      </c>
      <c r="B4" s="556" t="s">
        <v>1388</v>
      </c>
      <c r="C4" s="567">
        <v>45833</v>
      </c>
      <c r="D4" s="566" t="s">
        <v>1389</v>
      </c>
      <c r="E4" s="566" t="s">
        <v>1390</v>
      </c>
    </row>
    <row r="5" spans="1:5" ht="55.8" thickBot="1">
      <c r="A5" s="568" t="s">
        <v>1391</v>
      </c>
      <c r="B5" s="569" t="s">
        <v>1392</v>
      </c>
      <c r="C5" s="570">
        <v>45824</v>
      </c>
      <c r="D5" s="571" t="s">
        <v>1389</v>
      </c>
      <c r="E5" s="571" t="s">
        <v>1393</v>
      </c>
    </row>
    <row r="6" spans="1:5" ht="15" thickBot="1">
      <c r="A6" s="564">
        <v>2</v>
      </c>
      <c r="B6" s="565" t="s">
        <v>1316</v>
      </c>
      <c r="C6" s="566"/>
      <c r="D6" s="566"/>
      <c r="E6" s="566"/>
    </row>
    <row r="7" spans="1:5" ht="28.2" thickBot="1">
      <c r="A7" s="568" t="s">
        <v>1383</v>
      </c>
      <c r="B7" s="569" t="s">
        <v>1394</v>
      </c>
      <c r="C7" s="570">
        <v>45820</v>
      </c>
      <c r="D7" s="571" t="s">
        <v>1395</v>
      </c>
      <c r="E7" s="571" t="s">
        <v>1396</v>
      </c>
    </row>
    <row r="8" spans="1:5" ht="28.2" thickBot="1">
      <c r="A8" s="568" t="s">
        <v>1387</v>
      </c>
      <c r="B8" s="569" t="s">
        <v>1397</v>
      </c>
      <c r="C8" s="570">
        <v>45828</v>
      </c>
      <c r="D8" s="571" t="s">
        <v>1395</v>
      </c>
      <c r="E8" s="571" t="s">
        <v>1398</v>
      </c>
    </row>
    <row r="9" spans="1:5" ht="28.2"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8.2" thickBot="1">
      <c r="A13" s="564" t="s">
        <v>1391</v>
      </c>
      <c r="B13" s="556" t="s">
        <v>1403</v>
      </c>
      <c r="C13" s="566" t="s">
        <v>1404</v>
      </c>
      <c r="D13" s="566" t="s">
        <v>1389</v>
      </c>
      <c r="E13" s="566" t="s">
        <v>1398</v>
      </c>
    </row>
    <row r="14" spans="1:5" ht="42" thickBot="1">
      <c r="A14" s="564" t="s">
        <v>1405</v>
      </c>
      <c r="B14" s="556" t="s">
        <v>1406</v>
      </c>
      <c r="C14" s="566" t="s">
        <v>1407</v>
      </c>
      <c r="D14" s="566" t="s">
        <v>1395</v>
      </c>
      <c r="E14" s="566" t="s">
        <v>1398</v>
      </c>
    </row>
    <row r="15" spans="1:5" ht="28.2" thickBot="1">
      <c r="A15" s="564" t="s">
        <v>1408</v>
      </c>
      <c r="B15" s="556" t="s">
        <v>1409</v>
      </c>
      <c r="C15" s="567">
        <v>45828</v>
      </c>
      <c r="D15" s="566" t="s">
        <v>1385</v>
      </c>
      <c r="E15" s="566" t="s">
        <v>1398</v>
      </c>
    </row>
    <row r="16" spans="1:5" ht="28.2"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58.2"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6" t="s">
        <v>1611</v>
      </c>
    </row>
    <row r="17" spans="3:6">
      <c r="C17" s="896"/>
      <c r="D17" s="408" t="s">
        <v>1609</v>
      </c>
      <c r="E17" s="408">
        <f>7584/1000</f>
        <v>7.5839999999999996</v>
      </c>
      <c r="F17" s="1276"/>
    </row>
    <row r="18" spans="3:6">
      <c r="C18" s="896"/>
      <c r="D18" s="900" t="s">
        <v>1610</v>
      </c>
      <c r="E18" s="408">
        <f>6951/1000</f>
        <v>6.9509999999999996</v>
      </c>
      <c r="F18" s="1276"/>
    </row>
    <row r="19" spans="3:6" ht="1.05" customHeight="1">
      <c r="C19" s="310"/>
      <c r="D19" s="898" t="s">
        <v>1355</v>
      </c>
      <c r="E19" s="347">
        <f>SUM(E17:E18)</f>
        <v>14.535</v>
      </c>
      <c r="F19" s="127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7" t="s">
        <v>168</v>
      </c>
      <c r="C2" s="1277" t="s">
        <v>169</v>
      </c>
      <c r="D2" s="1279" t="s">
        <v>184</v>
      </c>
      <c r="E2" s="1277" t="s">
        <v>170</v>
      </c>
      <c r="F2" s="1278" t="s">
        <v>185</v>
      </c>
      <c r="G2" s="1277" t="s">
        <v>186</v>
      </c>
      <c r="H2" s="1277"/>
      <c r="I2" s="1277"/>
      <c r="J2" s="1277"/>
      <c r="K2" s="1277"/>
      <c r="L2" s="316"/>
    </row>
    <row r="3" spans="2:12" ht="27.6">
      <c r="B3" s="1278"/>
      <c r="C3" s="1278"/>
      <c r="D3" s="1279"/>
      <c r="E3" s="1278"/>
      <c r="F3" s="1280"/>
      <c r="G3" s="1278"/>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4" t="s">
        <v>263</v>
      </c>
      <c r="C1" s="1295"/>
      <c r="D1" s="1295"/>
      <c r="E1" s="1295"/>
      <c r="F1" s="1295"/>
      <c r="G1" s="1295"/>
      <c r="H1" s="1295"/>
      <c r="I1" s="1295"/>
      <c r="J1" s="1295"/>
      <c r="K1" s="1295"/>
      <c r="L1" s="1295"/>
      <c r="M1" s="1295"/>
      <c r="N1" s="1295"/>
      <c r="O1" s="1295"/>
      <c r="P1" s="1295"/>
      <c r="Q1" s="1295"/>
      <c r="R1" s="1295"/>
      <c r="S1" s="1295"/>
      <c r="T1" s="1295"/>
      <c r="U1" s="1296"/>
      <c r="V1" s="166"/>
    </row>
    <row r="2" spans="1:22">
      <c r="A2" s="1297" t="s">
        <v>264</v>
      </c>
      <c r="B2" s="1298"/>
      <c r="C2" s="1298"/>
      <c r="D2" s="1298"/>
      <c r="E2" s="1298"/>
      <c r="F2" s="1298"/>
      <c r="G2" s="1298"/>
      <c r="H2" s="1298"/>
      <c r="I2" s="1298"/>
      <c r="J2" s="1298"/>
      <c r="K2" s="1298"/>
      <c r="L2" s="1298"/>
      <c r="M2" s="1298"/>
      <c r="N2" s="1298"/>
      <c r="O2" s="1298"/>
      <c r="P2" s="1298"/>
      <c r="Q2" s="1298"/>
      <c r="R2" s="1298"/>
      <c r="S2" s="1298"/>
      <c r="T2" s="129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88" t="s">
        <v>265</v>
      </c>
      <c r="B4" s="1289"/>
      <c r="C4" s="127"/>
      <c r="D4" s="1290" t="s">
        <v>266</v>
      </c>
      <c r="E4" s="1291"/>
      <c r="F4" s="1283" t="s">
        <v>267</v>
      </c>
      <c r="G4" s="1284" t="s">
        <v>268</v>
      </c>
      <c r="H4" s="1284" t="s">
        <v>269</v>
      </c>
      <c r="I4" s="1284"/>
      <c r="J4" s="1284"/>
      <c r="K4" s="128" t="s">
        <v>270</v>
      </c>
      <c r="L4" s="1300" t="s">
        <v>271</v>
      </c>
      <c r="M4" s="1301"/>
      <c r="N4" s="1302"/>
      <c r="O4" s="1284" t="s">
        <v>272</v>
      </c>
      <c r="P4" s="1284"/>
      <c r="Q4" s="1284"/>
      <c r="R4" s="1303"/>
      <c r="S4" s="1303"/>
      <c r="T4" s="1303"/>
      <c r="U4" s="264"/>
    </row>
    <row r="5" spans="1:22">
      <c r="A5" s="1288"/>
      <c r="B5" s="1289"/>
      <c r="C5" s="127"/>
      <c r="D5" s="1292"/>
      <c r="E5" s="1293"/>
      <c r="F5" s="1283"/>
      <c r="G5" s="1284"/>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1"/>
      <c r="E6" s="128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5"/>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6"/>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8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4" t="s">
        <v>263</v>
      </c>
      <c r="D2" s="1295"/>
      <c r="E2" s="1295"/>
      <c r="F2" s="1295"/>
      <c r="G2" s="1295"/>
      <c r="H2" s="1295"/>
      <c r="I2" s="1295"/>
      <c r="J2" s="1295"/>
      <c r="K2" s="1295"/>
      <c r="L2" s="1295"/>
      <c r="M2" s="1295"/>
      <c r="N2" s="1295"/>
      <c r="O2" s="1295"/>
      <c r="P2" s="1295"/>
      <c r="Q2" s="1295"/>
      <c r="R2" s="1295"/>
      <c r="S2" s="1295"/>
      <c r="T2" s="1295"/>
      <c r="U2" s="1295"/>
      <c r="V2" s="1296"/>
      <c r="W2" s="264"/>
    </row>
    <row r="3" spans="1:31" ht="13.8">
      <c r="B3" s="247"/>
      <c r="C3" s="1318" t="s">
        <v>264</v>
      </c>
      <c r="D3" s="1319"/>
      <c r="E3" s="1319"/>
      <c r="F3" s="1319"/>
      <c r="G3" s="1319"/>
      <c r="H3" s="1319"/>
      <c r="I3" s="1319"/>
      <c r="J3" s="1319"/>
      <c r="K3" s="1319"/>
      <c r="L3" s="1319"/>
      <c r="M3" s="1319"/>
      <c r="N3" s="1319"/>
      <c r="O3" s="1319"/>
      <c r="P3" s="1319"/>
      <c r="Q3" s="1319"/>
      <c r="R3" s="1319"/>
      <c r="S3" s="1319"/>
      <c r="T3" s="1319"/>
      <c r="U3" s="1319"/>
      <c r="V3" s="1320"/>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89" t="s">
        <v>265</v>
      </c>
      <c r="D5" s="1289"/>
      <c r="E5" s="127"/>
      <c r="F5" s="1290" t="s">
        <v>266</v>
      </c>
      <c r="G5" s="1291"/>
      <c r="H5" s="1283" t="s">
        <v>267</v>
      </c>
      <c r="I5" s="1284" t="s">
        <v>268</v>
      </c>
      <c r="J5" s="1284" t="s">
        <v>269</v>
      </c>
      <c r="K5" s="1284"/>
      <c r="L5" s="1284"/>
      <c r="M5" s="128" t="s">
        <v>270</v>
      </c>
      <c r="N5" s="1300" t="s">
        <v>271</v>
      </c>
      <c r="O5" s="1301"/>
      <c r="P5" s="1302"/>
      <c r="Q5" s="1284" t="s">
        <v>272</v>
      </c>
      <c r="R5" s="1284"/>
      <c r="S5" s="1284"/>
      <c r="T5" s="1303"/>
      <c r="U5" s="1303"/>
      <c r="V5" s="1303"/>
      <c r="W5" s="264"/>
    </row>
    <row r="6" spans="1:31" ht="13.8">
      <c r="B6" s="247"/>
      <c r="C6" s="1289"/>
      <c r="D6" s="1289"/>
      <c r="E6" s="127"/>
      <c r="F6" s="1292"/>
      <c r="G6" s="1293"/>
      <c r="H6" s="1283"/>
      <c r="I6" s="1284"/>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81"/>
      <c r="G7" s="128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07" t="s">
        <v>668</v>
      </c>
      <c r="L187" s="1308"/>
      <c r="M187" s="1308"/>
      <c r="N187" s="1308"/>
      <c r="O187" s="1308"/>
      <c r="P187" s="1308"/>
      <c r="Q187" s="1308"/>
      <c r="R187" s="1308"/>
      <c r="S187" s="1308"/>
      <c r="T187" s="1308"/>
      <c r="U187" s="131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7" t="s">
        <v>668</v>
      </c>
      <c r="D196" s="1308"/>
      <c r="E196" s="1308"/>
      <c r="F196" s="1308"/>
      <c r="G196" s="1308"/>
      <c r="H196" s="1308"/>
      <c r="I196" s="1308"/>
      <c r="J196" s="1308"/>
      <c r="K196" s="1308"/>
      <c r="L196" s="1308"/>
      <c r="M196" s="1308"/>
      <c r="N196" s="1308"/>
      <c r="O196" s="1308"/>
      <c r="P196" s="1308"/>
      <c r="Q196" s="1308"/>
      <c r="R196" s="1308"/>
      <c r="S196" s="1308"/>
      <c r="T196" s="1308"/>
      <c r="U196" s="131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7" t="s">
        <v>668</v>
      </c>
      <c r="D204" s="1308"/>
      <c r="E204" s="1308"/>
      <c r="F204" s="1308"/>
      <c r="G204" s="1308"/>
      <c r="H204" s="1308"/>
      <c r="I204" s="1308"/>
      <c r="J204" s="1308"/>
      <c r="K204" s="1308"/>
      <c r="L204" s="1308"/>
      <c r="M204" s="1308"/>
      <c r="N204" s="1308"/>
      <c r="O204" s="1308"/>
      <c r="P204" s="1308"/>
      <c r="Q204" s="1308"/>
      <c r="R204" s="1308"/>
      <c r="S204" s="1308"/>
      <c r="T204" s="1308"/>
      <c r="U204" s="1317"/>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7" t="s">
        <v>668</v>
      </c>
      <c r="D213" s="1308"/>
      <c r="E213" s="1308"/>
      <c r="F213" s="1308"/>
      <c r="G213" s="1308"/>
      <c r="H213" s="1308"/>
      <c r="I213" s="1308"/>
      <c r="J213" s="1308"/>
      <c r="K213" s="1308"/>
      <c r="L213" s="1308"/>
      <c r="M213" s="1308"/>
      <c r="N213" s="1308"/>
      <c r="O213" s="1308"/>
      <c r="P213" s="1308"/>
      <c r="Q213" s="1308"/>
      <c r="R213" s="1308"/>
      <c r="S213" s="1308"/>
      <c r="T213" s="1308"/>
      <c r="U213" s="131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4" t="s">
        <v>668</v>
      </c>
      <c r="D221" s="1305"/>
      <c r="E221" s="1305"/>
      <c r="F221" s="1305"/>
      <c r="G221" s="1305"/>
      <c r="H221" s="1305"/>
      <c r="I221" s="1305"/>
      <c r="J221" s="1305"/>
      <c r="K221" s="1305"/>
      <c r="L221" s="1305"/>
      <c r="M221" s="1305"/>
      <c r="N221" s="1305"/>
      <c r="O221" s="1305"/>
      <c r="P221" s="1305"/>
      <c r="Q221" s="1305"/>
      <c r="R221" s="1305"/>
      <c r="S221" s="1305"/>
      <c r="T221" s="1305"/>
      <c r="U221" s="130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7" t="s">
        <v>668</v>
      </c>
      <c r="D229" s="1308"/>
      <c r="E229" s="1308"/>
      <c r="F229" s="1308"/>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09" t="s">
        <v>678</v>
      </c>
      <c r="L271" s="1310"/>
      <c r="M271" s="1310"/>
      <c r="N271" s="1310"/>
      <c r="O271" s="1310"/>
      <c r="P271" s="1310"/>
      <c r="Q271" s="1310"/>
      <c r="R271" s="1310"/>
      <c r="S271" s="1310"/>
      <c r="T271" s="1310"/>
      <c r="U271" s="131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5"/>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6"/>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6"/>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85"/>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86"/>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8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2"/>
      <c r="C432" s="1313"/>
      <c r="D432" s="1313"/>
      <c r="E432" s="1313"/>
      <c r="F432" s="1313"/>
      <c r="G432" s="1313"/>
      <c r="H432" s="1313"/>
      <c r="I432" s="1313"/>
      <c r="J432" s="1313"/>
      <c r="K432" s="1313"/>
      <c r="L432" s="1313"/>
      <c r="M432" s="1313"/>
      <c r="N432" s="1313"/>
      <c r="O432" s="1313"/>
      <c r="P432" s="1313"/>
      <c r="Q432" s="1313"/>
      <c r="R432" s="1313"/>
      <c r="S432" s="1313"/>
      <c r="T432" s="1313"/>
      <c r="U432" s="1313"/>
      <c r="V432" s="1313"/>
      <c r="W432" s="1314"/>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6" t="s">
        <v>48</v>
      </c>
      <c r="B1" s="1237"/>
      <c r="C1" s="1237"/>
      <c r="D1" s="1237"/>
      <c r="E1" s="1237"/>
      <c r="F1" s="1237"/>
      <c r="G1" s="1237"/>
      <c r="H1" s="1237"/>
      <c r="I1" s="1237"/>
      <c r="J1" s="1237"/>
      <c r="K1" s="1237"/>
      <c r="L1" s="1237"/>
      <c r="M1" s="1237"/>
      <c r="N1" s="1237"/>
      <c r="O1" s="1237"/>
      <c r="P1" s="1237"/>
      <c r="Q1" s="1237"/>
      <c r="R1" s="1237"/>
      <c r="S1" s="1237"/>
      <c r="T1" s="1237"/>
      <c r="U1" s="1237"/>
      <c r="V1" s="1237"/>
      <c r="W1" s="1237"/>
      <c r="X1" s="1238"/>
    </row>
    <row r="2" spans="1:24" ht="15.6">
      <c r="A2" s="1239" t="s">
        <v>49</v>
      </c>
      <c r="B2" s="1240"/>
      <c r="C2" s="1240"/>
      <c r="D2" s="1240"/>
      <c r="E2" s="1240"/>
      <c r="F2" s="1240"/>
      <c r="G2" s="1240"/>
      <c r="H2" s="1240"/>
      <c r="I2" s="1240"/>
      <c r="J2" s="1240"/>
      <c r="K2" s="1240"/>
      <c r="L2" s="1240"/>
      <c r="M2" s="1240"/>
      <c r="N2" s="1240"/>
      <c r="O2" s="1240"/>
      <c r="P2" s="1240"/>
      <c r="Q2" s="1240"/>
      <c r="R2" s="1240"/>
      <c r="S2" s="1240"/>
      <c r="T2" s="1240"/>
      <c r="U2" s="1240"/>
      <c r="V2" s="1240"/>
      <c r="W2" s="1240"/>
      <c r="X2" s="1241"/>
    </row>
    <row r="3" spans="1:24" ht="15.6">
      <c r="A3" s="1239" t="s">
        <v>50</v>
      </c>
      <c r="B3" s="1240"/>
      <c r="C3" s="1240"/>
      <c r="D3" s="1240"/>
      <c r="E3" s="1240"/>
      <c r="F3" s="1240"/>
      <c r="G3" s="1240"/>
      <c r="H3" s="1240"/>
      <c r="I3" s="1240"/>
      <c r="J3" s="1240"/>
      <c r="K3" s="1240"/>
      <c r="L3" s="1240"/>
      <c r="M3" s="1240"/>
      <c r="N3" s="1240"/>
      <c r="O3" s="1240"/>
      <c r="P3" s="1240"/>
      <c r="Q3" s="1240"/>
      <c r="R3" s="1240"/>
      <c r="S3" s="1240"/>
      <c r="T3" s="1240"/>
      <c r="U3" s="1240"/>
      <c r="V3" s="1240"/>
      <c r="W3" s="1240"/>
      <c r="X3" s="1241"/>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7" t="s">
        <v>168</v>
      </c>
      <c r="B7" s="1277" t="s">
        <v>169</v>
      </c>
      <c r="C7" s="1279" t="s">
        <v>184</v>
      </c>
      <c r="D7" s="1277" t="s">
        <v>170</v>
      </c>
      <c r="E7" s="1278" t="s">
        <v>229</v>
      </c>
      <c r="F7" s="1278" t="s">
        <v>230</v>
      </c>
      <c r="G7" s="1278" t="s">
        <v>231</v>
      </c>
    </row>
    <row r="8" spans="1:24">
      <c r="A8" s="1278"/>
      <c r="B8" s="1278"/>
      <c r="C8" s="1279"/>
      <c r="D8" s="1278"/>
      <c r="E8" s="1280"/>
      <c r="F8" s="1280"/>
      <c r="G8" s="1280"/>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16"/>
  <sheetViews>
    <sheetView tabSelected="1" zoomScale="90" zoomScaleNormal="90" zoomScaleSheetLayoutView="90" workbookViewId="0">
      <selection activeCell="O5" sqref="O5"/>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3.664062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2"/>
      <c r="AD1" s="1322"/>
      <c r="AE1" s="1322"/>
      <c r="AF1" s="1322"/>
      <c r="AG1" s="1322"/>
      <c r="AH1" s="1322"/>
      <c r="AI1" s="1323"/>
    </row>
    <row r="2" spans="1:35" ht="15.6">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5"/>
      <c r="AD2" s="1325"/>
      <c r="AE2" s="1325"/>
      <c r="AF2" s="1325"/>
      <c r="AG2" s="1325"/>
      <c r="AH2" s="1325"/>
      <c r="AI2" s="1326"/>
    </row>
    <row r="3" spans="1:35" ht="15.6">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5"/>
      <c r="AD3" s="1325"/>
      <c r="AE3" s="1325"/>
      <c r="AF3" s="1325"/>
      <c r="AG3" s="1325"/>
      <c r="AH3" s="1325"/>
      <c r="AI3" s="1326"/>
    </row>
    <row r="5" spans="1:35">
      <c r="A5" s="1059" t="s">
        <v>183</v>
      </c>
      <c r="O5" s="57"/>
    </row>
    <row r="6" spans="1:35" ht="13.8">
      <c r="A6" s="1277" t="s">
        <v>168</v>
      </c>
      <c r="B6" s="1327" t="s">
        <v>169</v>
      </c>
      <c r="C6" s="1279" t="s">
        <v>184</v>
      </c>
      <c r="D6" s="1190"/>
      <c r="E6" s="1277" t="s">
        <v>170</v>
      </c>
      <c r="F6" s="1278" t="s">
        <v>1014</v>
      </c>
      <c r="G6" s="1278" t="s">
        <v>1497</v>
      </c>
      <c r="H6" s="1278" t="s">
        <v>1144</v>
      </c>
      <c r="I6" s="1278" t="s">
        <v>1498</v>
      </c>
      <c r="J6" s="1278" t="s">
        <v>1499</v>
      </c>
      <c r="K6" s="1278" t="s">
        <v>185</v>
      </c>
      <c r="L6" s="1277" t="s">
        <v>186</v>
      </c>
      <c r="M6" s="1277"/>
      <c r="N6" s="1277"/>
      <c r="O6" s="1277"/>
      <c r="P6" s="1277"/>
    </row>
    <row r="7" spans="1:35" ht="27.6">
      <c r="A7" s="1278"/>
      <c r="B7" s="1328"/>
      <c r="C7" s="1279"/>
      <c r="D7" s="1191" t="s">
        <v>1851</v>
      </c>
      <c r="E7" s="1278"/>
      <c r="F7" s="1329"/>
      <c r="G7" s="1280"/>
      <c r="H7" s="1280"/>
      <c r="I7" s="1280"/>
      <c r="J7" s="1280"/>
      <c r="K7" s="1280"/>
      <c r="L7" s="1278"/>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row>
    <row r="14" spans="1:35">
      <c r="A14" s="318">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797">
        <v>8</v>
      </c>
      <c r="B15" s="1208" t="s">
        <v>1253</v>
      </c>
      <c r="C15" s="797"/>
      <c r="D15" s="797" t="s">
        <v>1610</v>
      </c>
      <c r="E15" s="797" t="s">
        <v>1829</v>
      </c>
      <c r="F15" s="797"/>
      <c r="G15" s="797"/>
      <c r="H15" s="797"/>
      <c r="I15" s="797"/>
      <c r="J15" s="797"/>
      <c r="K15" s="797"/>
      <c r="L15" s="1209" t="s">
        <v>257</v>
      </c>
      <c r="M15" s="1210">
        <v>46081</v>
      </c>
      <c r="N15" s="326"/>
      <c r="O15" s="1211" t="s">
        <v>1848</v>
      </c>
      <c r="Q15" s="1212" t="s">
        <v>1861</v>
      </c>
      <c r="AD15" s="1059">
        <v>5</v>
      </c>
    </row>
    <row r="16" spans="1:35">
      <c r="A16" s="320">
        <v>9</v>
      </c>
      <c r="B16" s="1193" t="s">
        <v>1709</v>
      </c>
      <c r="C16" s="320"/>
      <c r="D16" s="320" t="s">
        <v>1610</v>
      </c>
      <c r="E16" s="320" t="s">
        <v>148</v>
      </c>
      <c r="F16" s="320"/>
      <c r="G16" s="320"/>
      <c r="H16" s="320"/>
      <c r="I16" s="320"/>
      <c r="J16" s="320"/>
      <c r="K16" s="320"/>
      <c r="L16" s="320" t="s">
        <v>257</v>
      </c>
      <c r="M16" s="321" t="s">
        <v>1859</v>
      </c>
      <c r="N16" s="321"/>
      <c r="O16" s="1189" t="s">
        <v>1848</v>
      </c>
      <c r="P16" s="320"/>
      <c r="Q16" s="1207" t="s">
        <v>1860</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1" t="s">
        <v>48</v>
      </c>
      <c r="B1" s="1322"/>
      <c r="C1" s="1322"/>
      <c r="D1" s="1322"/>
      <c r="E1" s="1322"/>
      <c r="F1" s="1322"/>
      <c r="G1" s="1322"/>
      <c r="H1" s="1323"/>
      <c r="I1" s="911"/>
      <c r="J1" s="911"/>
      <c r="K1" s="911"/>
      <c r="L1" s="911"/>
      <c r="M1" s="911"/>
      <c r="N1" s="911"/>
      <c r="O1" s="911"/>
      <c r="P1" s="911"/>
      <c r="Q1" s="911"/>
      <c r="R1" s="911"/>
      <c r="S1" s="911"/>
      <c r="T1" s="911"/>
      <c r="U1" s="911"/>
      <c r="V1" s="911"/>
    </row>
    <row r="2" spans="1:22" ht="15.45" customHeight="1">
      <c r="A2" s="1324" t="s">
        <v>49</v>
      </c>
      <c r="B2" s="1325"/>
      <c r="C2" s="1325"/>
      <c r="D2" s="1325"/>
      <c r="E2" s="1325"/>
      <c r="F2" s="1325"/>
      <c r="G2" s="1325"/>
      <c r="H2" s="1326"/>
      <c r="I2" s="912"/>
      <c r="J2" s="912"/>
      <c r="K2" s="912"/>
      <c r="L2" s="912"/>
      <c r="M2" s="912"/>
      <c r="N2" s="912"/>
      <c r="O2" s="912"/>
      <c r="P2" s="912"/>
      <c r="Q2" s="912"/>
      <c r="R2" s="912"/>
      <c r="S2" s="912"/>
      <c r="T2" s="912"/>
      <c r="U2" s="912"/>
      <c r="V2" s="912"/>
    </row>
    <row r="3" spans="1:22" ht="15.45" customHeight="1">
      <c r="A3" s="1324" t="s">
        <v>50</v>
      </c>
      <c r="B3" s="1325"/>
      <c r="C3" s="1325"/>
      <c r="D3" s="1325"/>
      <c r="E3" s="1325"/>
      <c r="F3" s="1325"/>
      <c r="G3" s="1325"/>
      <c r="H3" s="1326"/>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43.2">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30" t="s">
        <v>1788</v>
      </c>
      <c r="I1" s="1330"/>
      <c r="J1" s="1330"/>
      <c r="K1" s="1330"/>
      <c r="L1" s="1016" t="s">
        <v>1631</v>
      </c>
      <c r="M1" s="1016" t="s">
        <v>1630</v>
      </c>
      <c r="N1" s="1016" t="s">
        <v>1789</v>
      </c>
      <c r="O1" s="1330" t="s">
        <v>189</v>
      </c>
      <c r="P1" s="1330"/>
      <c r="Q1" s="1330"/>
    </row>
    <row r="2" spans="1:49" ht="19.95" customHeight="1">
      <c r="A2" s="57"/>
      <c r="B2" s="1017"/>
      <c r="C2" s="1017"/>
      <c r="D2" s="1018"/>
      <c r="E2" s="57"/>
      <c r="F2" s="1018"/>
      <c r="G2" s="1019"/>
      <c r="H2" s="1331"/>
      <c r="I2" s="1331"/>
      <c r="J2" s="1331"/>
      <c r="K2" s="1331"/>
      <c r="L2" s="1018"/>
      <c r="M2" s="1018"/>
      <c r="N2" s="57"/>
      <c r="O2" s="1332"/>
      <c r="P2" s="1333"/>
      <c r="Q2" s="1334"/>
    </row>
    <row r="3" spans="1:49" ht="19.95" customHeight="1">
      <c r="A3" s="1022"/>
      <c r="B3" s="1020"/>
      <c r="C3" s="1020"/>
      <c r="D3" s="1023"/>
      <c r="E3" s="1022"/>
      <c r="F3" s="1021"/>
      <c r="G3" s="1024"/>
      <c r="H3" s="1335"/>
      <c r="I3" s="1335"/>
      <c r="J3" s="1335"/>
      <c r="K3" s="1335"/>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5"/>
      <c r="I4" s="1335"/>
      <c r="J4" s="1335"/>
      <c r="K4" s="1335"/>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5"/>
      <c r="I5" s="1335"/>
      <c r="J5" s="1335"/>
      <c r="K5" s="1335"/>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5"/>
      <c r="I6" s="1335"/>
      <c r="J6" s="1335"/>
      <c r="K6" s="1335"/>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5"/>
      <c r="I7" s="1335"/>
      <c r="J7" s="1335"/>
      <c r="K7" s="1335"/>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5"/>
      <c r="I8" s="1335"/>
      <c r="J8" s="1335"/>
      <c r="K8" s="1335"/>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5"/>
      <c r="I9" s="1335"/>
      <c r="J9" s="1335"/>
      <c r="K9" s="1335"/>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5"/>
      <c r="I10" s="1335"/>
      <c r="J10" s="1335"/>
      <c r="K10" s="1335"/>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5"/>
      <c r="I11" s="1335"/>
      <c r="J11" s="1335"/>
      <c r="K11" s="1335"/>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5"/>
      <c r="I12" s="1335"/>
      <c r="J12" s="1335"/>
      <c r="K12" s="1335"/>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5"/>
      <c r="I13" s="1335"/>
      <c r="J13" s="1335"/>
      <c r="K13" s="1335"/>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5"/>
      <c r="I14" s="1335"/>
      <c r="J14" s="1335"/>
      <c r="K14" s="1335"/>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5"/>
      <c r="I15" s="1335"/>
      <c r="J15" s="1335"/>
      <c r="K15" s="1335"/>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5"/>
      <c r="I16" s="1335"/>
      <c r="J16" s="1335"/>
      <c r="K16" s="1335"/>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5"/>
      <c r="I17" s="1335"/>
      <c r="J17" s="1335"/>
      <c r="K17" s="1335"/>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5"/>
      <c r="I18" s="1335"/>
      <c r="J18" s="1335"/>
      <c r="K18" s="1335"/>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5"/>
      <c r="I19" s="1335"/>
      <c r="J19" s="1335"/>
      <c r="K19" s="1335"/>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5"/>
      <c r="I20" s="1335"/>
      <c r="J20" s="1335"/>
      <c r="K20" s="1335"/>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5"/>
      <c r="I21" s="1335"/>
      <c r="J21" s="1335"/>
      <c r="K21" s="1335"/>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5"/>
      <c r="I22" s="1335"/>
      <c r="J22" s="1335"/>
      <c r="K22" s="1335"/>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5"/>
      <c r="I23" s="1335"/>
      <c r="J23" s="1335"/>
      <c r="K23" s="1335"/>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5"/>
      <c r="I24" s="1335"/>
      <c r="J24" s="1335"/>
      <c r="K24" s="1335"/>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5"/>
      <c r="I25" s="1335"/>
      <c r="J25" s="1335"/>
      <c r="K25" s="1335"/>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5"/>
      <c r="I26" s="1335"/>
      <c r="J26" s="1335"/>
      <c r="K26" s="1335"/>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5"/>
      <c r="I27" s="1335"/>
      <c r="J27" s="1335"/>
      <c r="K27" s="1335"/>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5"/>
      <c r="I28" s="1335"/>
      <c r="J28" s="1335"/>
      <c r="K28" s="1335"/>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5"/>
      <c r="I29" s="1335"/>
      <c r="J29" s="1335"/>
      <c r="K29" s="1335"/>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5"/>
      <c r="I30" s="1335"/>
      <c r="J30" s="1335"/>
      <c r="K30" s="1335"/>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5"/>
      <c r="I31" s="1335"/>
      <c r="J31" s="1335"/>
      <c r="K31" s="1335"/>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5"/>
      <c r="I32" s="1335"/>
      <c r="J32" s="1335"/>
      <c r="K32" s="1335"/>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5"/>
      <c r="I33" s="1335"/>
      <c r="J33" s="1335"/>
      <c r="K33" s="1335"/>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5"/>
      <c r="I34" s="1335"/>
      <c r="J34" s="1335"/>
      <c r="K34" s="1335"/>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5"/>
      <c r="I35" s="1335"/>
      <c r="J35" s="1335"/>
      <c r="K35" s="1335"/>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5"/>
      <c r="I36" s="1335"/>
      <c r="J36" s="1335"/>
      <c r="K36" s="1335"/>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5"/>
      <c r="I37" s="1335"/>
      <c r="J37" s="1335"/>
      <c r="K37" s="1335"/>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5"/>
      <c r="I38" s="1335"/>
      <c r="J38" s="1335"/>
      <c r="K38" s="1335"/>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5"/>
      <c r="I39" s="1335"/>
      <c r="J39" s="1335"/>
      <c r="K39" s="1335"/>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5"/>
      <c r="I40" s="1335"/>
      <c r="J40" s="1335"/>
      <c r="K40" s="1335"/>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5"/>
      <c r="I41" s="1335"/>
      <c r="J41" s="1335"/>
      <c r="K41" s="1335"/>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5"/>
      <c r="I42" s="1335"/>
      <c r="J42" s="1335"/>
      <c r="K42" s="1335"/>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5"/>
      <c r="I43" s="1335"/>
      <c r="J43" s="1335"/>
      <c r="K43" s="1335"/>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5"/>
      <c r="I44" s="1335"/>
      <c r="J44" s="1335"/>
      <c r="K44" s="1335"/>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5"/>
      <c r="I45" s="1335"/>
      <c r="J45" s="1335"/>
      <c r="K45" s="1335"/>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5"/>
      <c r="I46" s="1335"/>
      <c r="J46" s="1335"/>
      <c r="K46" s="1335"/>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5"/>
      <c r="I47" s="1335"/>
      <c r="J47" s="1335"/>
      <c r="K47" s="1335"/>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5"/>
      <c r="I48" s="1335"/>
      <c r="J48" s="1335"/>
      <c r="K48" s="1335"/>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5"/>
      <c r="I49" s="1335"/>
      <c r="J49" s="1335"/>
      <c r="K49" s="1335"/>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5"/>
      <c r="I50" s="1335"/>
      <c r="J50" s="1335"/>
      <c r="K50" s="1335"/>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5"/>
      <c r="I51" s="1335"/>
      <c r="J51" s="1335"/>
      <c r="K51" s="1335"/>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5"/>
      <c r="I52" s="1335"/>
      <c r="J52" s="1335"/>
      <c r="K52" s="1335"/>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5"/>
      <c r="I53" s="1335"/>
      <c r="J53" s="1335"/>
      <c r="K53" s="1335"/>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5"/>
      <c r="I54" s="1335"/>
      <c r="J54" s="1335"/>
      <c r="K54" s="1335"/>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5"/>
      <c r="I55" s="1335"/>
      <c r="J55" s="1335"/>
      <c r="K55" s="1335"/>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5"/>
      <c r="I56" s="1335"/>
      <c r="J56" s="1335"/>
      <c r="K56" s="1335"/>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5"/>
      <c r="I57" s="1335"/>
      <c r="J57" s="1335"/>
      <c r="K57" s="1335"/>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5"/>
      <c r="I58" s="1335"/>
      <c r="J58" s="1335"/>
      <c r="K58" s="1335"/>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5"/>
      <c r="I59" s="1335"/>
      <c r="J59" s="1335"/>
      <c r="K59" s="1335"/>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5"/>
      <c r="I60" s="1335"/>
      <c r="J60" s="1335"/>
      <c r="K60" s="1335"/>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5"/>
      <c r="I61" s="1335"/>
      <c r="J61" s="1335"/>
      <c r="K61" s="1335"/>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5"/>
      <c r="I62" s="1335"/>
      <c r="J62" s="1335"/>
      <c r="K62" s="1335"/>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5"/>
      <c r="I63" s="1335"/>
      <c r="J63" s="1335"/>
      <c r="K63" s="1335"/>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5"/>
      <c r="I64" s="1335"/>
      <c r="J64" s="1335"/>
      <c r="K64" s="1335"/>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5"/>
      <c r="I65" s="1335"/>
      <c r="J65" s="1335"/>
      <c r="K65" s="1335"/>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5"/>
      <c r="I66" s="1335"/>
      <c r="J66" s="1335"/>
      <c r="K66" s="1335"/>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5"/>
      <c r="I67" s="1335"/>
      <c r="J67" s="1335"/>
      <c r="K67" s="1335"/>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5"/>
      <c r="I68" s="1335"/>
      <c r="J68" s="1335"/>
      <c r="K68" s="1335"/>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5"/>
      <c r="I69" s="1335"/>
      <c r="J69" s="1335"/>
      <c r="K69" s="1335"/>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5"/>
      <c r="I70" s="1335"/>
      <c r="J70" s="1335"/>
      <c r="K70" s="1335"/>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5"/>
      <c r="I71" s="1335"/>
      <c r="J71" s="1335"/>
      <c r="K71" s="1335"/>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5"/>
      <c r="I72" s="1335"/>
      <c r="J72" s="1335"/>
      <c r="K72" s="1335"/>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5"/>
      <c r="I73" s="1335"/>
      <c r="J73" s="1335"/>
      <c r="K73" s="1335"/>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5"/>
      <c r="I74" s="1335"/>
      <c r="J74" s="1335"/>
      <c r="K74" s="1335"/>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5"/>
      <c r="I75" s="1335"/>
      <c r="J75" s="1335"/>
      <c r="K75" s="1335"/>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5"/>
      <c r="I76" s="1335"/>
      <c r="J76" s="1335"/>
      <c r="K76" s="1335"/>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5"/>
      <c r="I77" s="1335"/>
      <c r="J77" s="1335"/>
      <c r="K77" s="1335"/>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5"/>
      <c r="I78" s="1335"/>
      <c r="J78" s="1335"/>
      <c r="K78" s="1335"/>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5"/>
      <c r="I79" s="1335"/>
      <c r="J79" s="1335"/>
      <c r="K79" s="1335"/>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5"/>
      <c r="I80" s="1335"/>
      <c r="J80" s="1335"/>
      <c r="K80" s="1335"/>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5"/>
      <c r="I81" s="1335"/>
      <c r="J81" s="1335"/>
      <c r="K81" s="1335"/>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5"/>
      <c r="I82" s="1335"/>
      <c r="J82" s="1335"/>
      <c r="K82" s="1335"/>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5"/>
      <c r="I83" s="1335"/>
      <c r="J83" s="1335"/>
      <c r="K83" s="1335"/>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5"/>
      <c r="I84" s="1335"/>
      <c r="J84" s="1335"/>
      <c r="K84" s="1335"/>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5"/>
      <c r="I85" s="1335"/>
      <c r="J85" s="1335"/>
      <c r="K85" s="1335"/>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5"/>
      <c r="I86" s="1335"/>
      <c r="J86" s="1335"/>
      <c r="K86" s="1335"/>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5"/>
      <c r="I87" s="1335"/>
      <c r="J87" s="1335"/>
      <c r="K87" s="1335"/>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5"/>
      <c r="I88" s="1335"/>
      <c r="J88" s="1335"/>
      <c r="K88" s="1335"/>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5"/>
      <c r="I89" s="1335"/>
      <c r="J89" s="1335"/>
      <c r="K89" s="1335"/>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5"/>
      <c r="I90" s="1335"/>
      <c r="J90" s="1335"/>
      <c r="K90" s="1335"/>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5"/>
      <c r="I91" s="1335"/>
      <c r="J91" s="1335"/>
      <c r="K91" s="1335"/>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5"/>
      <c r="I92" s="1335"/>
      <c r="J92" s="1335"/>
      <c r="K92" s="1335"/>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5"/>
      <c r="I93" s="1335"/>
      <c r="J93" s="1335"/>
      <c r="K93" s="1335"/>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5"/>
      <c r="I94" s="1335"/>
      <c r="J94" s="1335"/>
      <c r="K94" s="1335"/>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5"/>
      <c r="I95" s="1335"/>
      <c r="J95" s="1335"/>
      <c r="K95" s="1335"/>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5"/>
      <c r="I96" s="1335"/>
      <c r="J96" s="1335"/>
      <c r="K96" s="1335"/>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5"/>
      <c r="I97" s="1335"/>
      <c r="J97" s="1335"/>
      <c r="K97" s="1335"/>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5"/>
      <c r="I98" s="1335"/>
      <c r="J98" s="1335"/>
      <c r="K98" s="1335"/>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5"/>
      <c r="I99" s="1335"/>
      <c r="J99" s="1335"/>
      <c r="K99" s="1335"/>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1" t="s">
        <v>48</v>
      </c>
      <c r="B1" s="1322"/>
      <c r="C1" s="1322"/>
      <c r="D1" s="1322"/>
      <c r="E1" s="1322"/>
      <c r="F1" s="1322"/>
      <c r="G1" s="1323"/>
      <c r="H1" s="1195"/>
    </row>
    <row r="2" spans="1:8" ht="15.6" customHeight="1">
      <c r="A2" s="1324" t="s">
        <v>49</v>
      </c>
      <c r="B2" s="1325"/>
      <c r="C2" s="1325"/>
      <c r="D2" s="1325"/>
      <c r="E2" s="1325"/>
      <c r="F2" s="1325"/>
      <c r="G2" s="1326"/>
      <c r="H2" s="1196"/>
    </row>
    <row r="3" spans="1:8" ht="15.6" customHeight="1">
      <c r="A3" s="1324" t="s">
        <v>50</v>
      </c>
      <c r="B3" s="1325"/>
      <c r="C3" s="1325"/>
      <c r="D3" s="1325"/>
      <c r="E3" s="1325"/>
      <c r="F3" s="1325"/>
      <c r="G3" s="1326"/>
      <c r="H3" s="1196"/>
    </row>
    <row r="4" spans="1:8">
      <c r="A4" s="1197"/>
      <c r="B4" s="314"/>
      <c r="C4" s="314"/>
      <c r="D4" s="314"/>
      <c r="E4" s="314"/>
      <c r="F4" s="314"/>
      <c r="G4" s="1198"/>
    </row>
    <row r="5" spans="1:8" ht="14.4" customHeight="1">
      <c r="A5" s="1338" t="s">
        <v>168</v>
      </c>
      <c r="B5" s="1277" t="s">
        <v>169</v>
      </c>
      <c r="C5" s="1277" t="s">
        <v>1851</v>
      </c>
      <c r="D5" s="1277" t="s">
        <v>170</v>
      </c>
      <c r="E5" s="1277" t="s">
        <v>186</v>
      </c>
      <c r="F5" s="1340" t="s">
        <v>173</v>
      </c>
      <c r="G5" s="1336" t="s">
        <v>20</v>
      </c>
    </row>
    <row r="6" spans="1:8" ht="27.6" customHeight="1">
      <c r="A6" s="1339"/>
      <c r="B6" s="1278"/>
      <c r="C6" s="1278"/>
      <c r="D6" s="1278"/>
      <c r="E6" s="1278"/>
      <c r="F6" s="1341"/>
      <c r="G6" s="1337"/>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6" t="s">
        <v>48</v>
      </c>
      <c r="B1" s="1237"/>
      <c r="C1" s="1237"/>
      <c r="D1" s="1237"/>
      <c r="E1" s="1237"/>
      <c r="F1" s="1237"/>
      <c r="G1" s="1237"/>
      <c r="H1" s="1237"/>
      <c r="I1" s="1237"/>
      <c r="J1" s="1237"/>
      <c r="K1" s="1237"/>
      <c r="L1" s="1237"/>
      <c r="M1" s="1237"/>
      <c r="N1" s="1237"/>
      <c r="O1" s="1237"/>
      <c r="P1" s="1237"/>
      <c r="Q1" s="1237"/>
      <c r="R1" s="1237"/>
      <c r="S1" s="1238"/>
    </row>
    <row r="2" spans="1:19" ht="15.6">
      <c r="A2" s="1239" t="s">
        <v>49</v>
      </c>
      <c r="B2" s="1240"/>
      <c r="C2" s="1240"/>
      <c r="D2" s="1240"/>
      <c r="E2" s="1240"/>
      <c r="F2" s="1240"/>
      <c r="G2" s="1240"/>
      <c r="H2" s="1240"/>
      <c r="I2" s="1240"/>
      <c r="J2" s="1240"/>
      <c r="K2" s="1240"/>
      <c r="L2" s="1240"/>
      <c r="M2" s="1240"/>
      <c r="N2" s="1240"/>
      <c r="O2" s="1240"/>
      <c r="P2" s="1240"/>
      <c r="Q2" s="1240"/>
      <c r="R2" s="1240"/>
      <c r="S2" s="1241"/>
    </row>
    <row r="3" spans="1:19" ht="15.6">
      <c r="A3" s="1239" t="s">
        <v>50</v>
      </c>
      <c r="B3" s="1240"/>
      <c r="C3" s="1240"/>
      <c r="D3" s="1240"/>
      <c r="E3" s="1240"/>
      <c r="F3" s="1240"/>
      <c r="G3" s="1240"/>
      <c r="H3" s="1240"/>
      <c r="I3" s="1240"/>
      <c r="J3" s="1240"/>
      <c r="K3" s="1240"/>
      <c r="L3" s="1240"/>
      <c r="M3" s="1240"/>
      <c r="N3" s="1240"/>
      <c r="O3" s="1240"/>
      <c r="P3" s="1240"/>
      <c r="Q3" s="1240"/>
      <c r="R3" s="1240"/>
      <c r="S3" s="1241"/>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42" t="s">
        <v>1440</v>
      </c>
      <c r="B1" s="1343"/>
      <c r="C1" s="1343"/>
      <c r="D1" s="1343"/>
      <c r="E1" s="1343"/>
      <c r="F1" s="1343"/>
      <c r="G1" s="1343"/>
      <c r="H1" s="1343"/>
      <c r="I1" s="1343"/>
      <c r="J1" s="1343"/>
      <c r="K1" s="1343"/>
      <c r="L1" s="1343"/>
      <c r="M1" s="1343"/>
      <c r="N1" s="1343"/>
      <c r="O1" s="1343"/>
      <c r="P1" s="1343"/>
      <c r="Q1" s="1343"/>
      <c r="R1" s="1343"/>
      <c r="S1" s="1343"/>
      <c r="T1" s="1343"/>
      <c r="U1" s="1343"/>
      <c r="V1" s="1343"/>
      <c r="W1" s="1343"/>
      <c r="X1" s="1343"/>
      <c r="Y1" s="1343"/>
      <c r="Z1" s="1344"/>
      <c r="AA1" s="1344"/>
      <c r="AB1" s="1344"/>
      <c r="AC1" s="1344"/>
      <c r="AD1" s="1344"/>
      <c r="AE1" s="424"/>
      <c r="AF1" s="424"/>
      <c r="AG1" s="424"/>
    </row>
    <row r="2" spans="1:41" ht="48.45" customHeight="1" thickBot="1">
      <c r="A2" s="1345" t="s">
        <v>1127</v>
      </c>
      <c r="B2" s="1346"/>
      <c r="C2" s="1346"/>
      <c r="D2" s="1346"/>
      <c r="E2" s="1346"/>
      <c r="F2" s="1346"/>
      <c r="G2" s="1346"/>
      <c r="H2" s="1346"/>
      <c r="I2" s="1346"/>
      <c r="J2" s="1346"/>
      <c r="K2" s="1346"/>
      <c r="L2" s="1346"/>
      <c r="M2" s="1346"/>
      <c r="N2" s="1346"/>
      <c r="O2" s="1346"/>
      <c r="P2" s="1346"/>
      <c r="Q2" s="1346"/>
      <c r="R2" s="1346"/>
      <c r="S2" s="1346"/>
      <c r="T2" s="1346"/>
      <c r="U2" s="1346"/>
      <c r="V2" s="1346"/>
      <c r="W2" s="1346"/>
      <c r="X2" s="1346"/>
      <c r="Y2" s="1346"/>
      <c r="Z2" s="1347" t="s">
        <v>1441</v>
      </c>
      <c r="AA2" s="1347"/>
      <c r="AB2" s="1347">
        <f ca="1">NOW()-1</f>
        <v>46089.483500578703</v>
      </c>
      <c r="AC2" s="1347"/>
      <c r="AD2" s="1347"/>
    </row>
    <row r="3" spans="1:41" ht="15">
      <c r="A3" s="1348" t="s">
        <v>1128</v>
      </c>
      <c r="B3" s="1349"/>
      <c r="C3" s="1349"/>
      <c r="D3" s="1349"/>
      <c r="E3" s="1349"/>
      <c r="F3" s="1349"/>
      <c r="G3" s="1349"/>
      <c r="H3" s="1349"/>
      <c r="I3" s="1349"/>
      <c r="J3" s="1349"/>
      <c r="K3" s="1349"/>
      <c r="L3" s="1349"/>
      <c r="M3" s="1349"/>
      <c r="N3" s="1349"/>
      <c r="O3" s="1349"/>
      <c r="P3" s="1350"/>
      <c r="Q3" s="607"/>
      <c r="R3" s="607"/>
      <c r="S3" s="1354"/>
      <c r="T3" s="1354"/>
      <c r="U3" s="1354"/>
      <c r="V3" s="608"/>
      <c r="W3" s="1355"/>
      <c r="X3" s="1355"/>
      <c r="Y3" s="1355"/>
      <c r="Z3" s="1356"/>
      <c r="AA3" s="608"/>
      <c r="AB3" s="608"/>
      <c r="AC3" s="609"/>
      <c r="AD3" s="609"/>
    </row>
    <row r="4" spans="1:41" ht="25.2">
      <c r="A4" s="1351"/>
      <c r="B4" s="1352"/>
      <c r="C4" s="1352"/>
      <c r="D4" s="1352"/>
      <c r="E4" s="1352"/>
      <c r="F4" s="1352"/>
      <c r="G4" s="1352"/>
      <c r="H4" s="1352"/>
      <c r="I4" s="1352"/>
      <c r="J4" s="1352"/>
      <c r="K4" s="1352"/>
      <c r="L4" s="1352"/>
      <c r="M4" s="1352"/>
      <c r="N4" s="1352"/>
      <c r="O4" s="1352"/>
      <c r="P4" s="1353"/>
      <c r="Q4" s="607"/>
      <c r="R4" s="607"/>
      <c r="S4" s="1357" t="s">
        <v>1129</v>
      </c>
      <c r="T4" s="1357"/>
      <c r="U4" s="1357"/>
      <c r="V4" s="610"/>
      <c r="W4" s="1358" t="s">
        <v>1130</v>
      </c>
      <c r="X4" s="1358"/>
      <c r="Y4" s="1358"/>
      <c r="Z4" s="1358"/>
      <c r="AA4" s="610"/>
      <c r="AB4" s="610"/>
      <c r="AC4" s="610"/>
      <c r="AD4" s="610"/>
    </row>
    <row r="5" spans="1:41" ht="30">
      <c r="A5" s="1360" t="s">
        <v>977</v>
      </c>
      <c r="B5" s="1361"/>
      <c r="C5" s="1361" t="s">
        <v>13</v>
      </c>
      <c r="D5" s="1361"/>
      <c r="E5" s="1361"/>
      <c r="F5" s="1361" t="s">
        <v>1131</v>
      </c>
      <c r="G5" s="1361"/>
      <c r="H5" s="1361" t="s">
        <v>1132</v>
      </c>
      <c r="I5" s="1361"/>
      <c r="J5" s="1361"/>
      <c r="K5" s="1361" t="s">
        <v>1442</v>
      </c>
      <c r="L5" s="1361"/>
      <c r="M5" s="1361"/>
      <c r="N5" s="1361" t="s">
        <v>822</v>
      </c>
      <c r="O5" s="1361"/>
      <c r="P5" s="1367"/>
      <c r="Q5" s="607"/>
      <c r="R5" s="607"/>
      <c r="S5" s="612"/>
      <c r="T5" s="610"/>
      <c r="U5" s="610"/>
      <c r="V5" s="610"/>
      <c r="W5" s="610"/>
      <c r="X5" s="610"/>
      <c r="Y5" s="610"/>
      <c r="Z5" s="610"/>
      <c r="AA5" s="1359" t="s">
        <v>45</v>
      </c>
      <c r="AB5" s="1359"/>
      <c r="AC5" s="1359"/>
      <c r="AD5" s="613"/>
    </row>
    <row r="6" spans="1:41" ht="17.399999999999999">
      <c r="A6" s="1360"/>
      <c r="B6" s="1361"/>
      <c r="C6" s="1361"/>
      <c r="D6" s="1361"/>
      <c r="E6" s="1361"/>
      <c r="F6" s="1361"/>
      <c r="G6" s="1361"/>
      <c r="H6" s="1361"/>
      <c r="I6" s="1361"/>
      <c r="J6" s="1361"/>
      <c r="K6" s="1361"/>
      <c r="L6" s="1361"/>
      <c r="M6" s="1361"/>
      <c r="N6" s="1361"/>
      <c r="O6" s="1361"/>
      <c r="P6" s="1367"/>
      <c r="Q6" s="607"/>
      <c r="R6" s="607"/>
      <c r="S6" s="612"/>
      <c r="T6" s="610"/>
      <c r="U6" s="610"/>
      <c r="V6" s="610"/>
      <c r="W6" s="610"/>
      <c r="X6" s="610"/>
      <c r="Y6" s="610"/>
      <c r="Z6" s="610"/>
      <c r="AA6" s="614"/>
      <c r="AB6" s="614"/>
      <c r="AC6" s="614"/>
      <c r="AD6" s="614"/>
    </row>
    <row r="7" spans="1:41" ht="40.049999999999997" customHeight="1">
      <c r="A7" s="1360">
        <v>1</v>
      </c>
      <c r="B7" s="1361"/>
      <c r="C7" s="1352" t="s">
        <v>1134</v>
      </c>
      <c r="D7" s="1352"/>
      <c r="E7" s="1352"/>
      <c r="F7" s="1361" t="s">
        <v>1030</v>
      </c>
      <c r="G7" s="1361"/>
      <c r="H7" s="1362">
        <v>188.44399999999999</v>
      </c>
      <c r="I7" s="1362"/>
      <c r="J7" s="1362"/>
      <c r="K7" s="1363">
        <v>188.44399999999999</v>
      </c>
      <c r="L7" s="1364"/>
      <c r="M7" s="1365"/>
      <c r="N7" s="1362">
        <f t="shared" ref="N7:N14" si="0">H7-K7</f>
        <v>0</v>
      </c>
      <c r="O7" s="1362"/>
      <c r="P7" s="1366"/>
      <c r="Q7" s="607"/>
      <c r="R7" s="607"/>
      <c r="S7" s="612"/>
      <c r="T7" s="610"/>
      <c r="U7" s="610"/>
      <c r="V7" s="610"/>
      <c r="W7" s="610"/>
      <c r="X7" s="610"/>
      <c r="Y7" s="610"/>
      <c r="Z7" s="610"/>
      <c r="AA7" s="614"/>
      <c r="AB7" s="614"/>
      <c r="AC7" s="614"/>
      <c r="AD7" s="614"/>
    </row>
    <row r="8" spans="1:41" ht="40.049999999999997" customHeight="1">
      <c r="A8" s="1360">
        <f t="shared" ref="A8:A16" si="1">A7+1</f>
        <v>2</v>
      </c>
      <c r="B8" s="1361"/>
      <c r="C8" s="1352" t="s">
        <v>1135</v>
      </c>
      <c r="D8" s="1352"/>
      <c r="E8" s="1352"/>
      <c r="F8" s="1361" t="s">
        <v>1030</v>
      </c>
      <c r="G8" s="1361"/>
      <c r="H8" s="1362">
        <v>188.44399999999999</v>
      </c>
      <c r="I8" s="1362"/>
      <c r="J8" s="1362"/>
      <c r="K8" s="1362">
        <v>178.07499999999999</v>
      </c>
      <c r="L8" s="1362"/>
      <c r="M8" s="1362"/>
      <c r="N8" s="1362">
        <f t="shared" si="0"/>
        <v>10.369</v>
      </c>
      <c r="O8" s="1362"/>
      <c r="P8" s="1366"/>
      <c r="Q8" s="607"/>
      <c r="R8" s="607"/>
      <c r="S8" s="607"/>
      <c r="T8" s="609"/>
      <c r="U8" s="609"/>
      <c r="V8" s="609"/>
      <c r="W8" s="609"/>
      <c r="X8" s="609"/>
      <c r="Y8" s="609"/>
      <c r="Z8" s="609"/>
      <c r="AA8" s="615"/>
      <c r="AB8" s="615"/>
      <c r="AC8" s="615"/>
      <c r="AD8" s="615"/>
    </row>
    <row r="9" spans="1:41" ht="40.049999999999997" customHeight="1">
      <c r="A9" s="1360">
        <f t="shared" si="1"/>
        <v>3</v>
      </c>
      <c r="B9" s="1361"/>
      <c r="C9" s="1352" t="s">
        <v>1443</v>
      </c>
      <c r="D9" s="1352"/>
      <c r="E9" s="1352"/>
      <c r="F9" s="1361" t="s">
        <v>1030</v>
      </c>
      <c r="G9" s="1361"/>
      <c r="H9" s="1362">
        <v>188.44399999999999</v>
      </c>
      <c r="I9" s="1362"/>
      <c r="J9" s="1362"/>
      <c r="K9" s="1363">
        <v>178.07499999999999</v>
      </c>
      <c r="L9" s="1364"/>
      <c r="M9" s="1365"/>
      <c r="N9" s="1362">
        <f t="shared" si="0"/>
        <v>10.369</v>
      </c>
      <c r="O9" s="1362"/>
      <c r="P9" s="1366"/>
      <c r="Q9" s="607"/>
      <c r="R9" s="607"/>
      <c r="S9" s="607"/>
      <c r="T9" s="609"/>
      <c r="U9" s="609"/>
      <c r="V9" s="609"/>
      <c r="W9" s="609"/>
      <c r="X9" s="609"/>
      <c r="Y9" s="609"/>
      <c r="Z9" s="609"/>
      <c r="AA9" s="615"/>
      <c r="AB9" s="615"/>
      <c r="AC9" s="615"/>
      <c r="AD9" s="615"/>
    </row>
    <row r="10" spans="1:41" ht="40.049999999999997" customHeight="1">
      <c r="A10" s="1360">
        <f t="shared" si="1"/>
        <v>4</v>
      </c>
      <c r="B10" s="1361"/>
      <c r="C10" s="1352" t="s">
        <v>1136</v>
      </c>
      <c r="D10" s="1352"/>
      <c r="E10" s="1352"/>
      <c r="F10" s="1368" t="s">
        <v>1137</v>
      </c>
      <c r="G10" s="1369"/>
      <c r="H10" s="1370">
        <v>73</v>
      </c>
      <c r="I10" s="1371"/>
      <c r="J10" s="1372"/>
      <c r="K10" s="1370">
        <v>73</v>
      </c>
      <c r="L10" s="1371"/>
      <c r="M10" s="1372"/>
      <c r="N10" s="1374">
        <f t="shared" si="0"/>
        <v>0</v>
      </c>
      <c r="O10" s="1374"/>
      <c r="P10" s="1375"/>
      <c r="Q10" s="607"/>
      <c r="R10" s="607"/>
      <c r="S10" s="607"/>
      <c r="T10" s="609"/>
      <c r="U10" s="609"/>
      <c r="V10" s="609"/>
      <c r="W10" s="609"/>
      <c r="X10" s="609"/>
      <c r="Y10" s="609"/>
      <c r="Z10" s="609"/>
      <c r="AA10" s="615"/>
      <c r="AB10" s="615"/>
      <c r="AC10" s="615"/>
      <c r="AD10" s="615"/>
    </row>
    <row r="11" spans="1:41" ht="40.049999999999997" customHeight="1">
      <c r="A11" s="1360">
        <f t="shared" si="1"/>
        <v>5</v>
      </c>
      <c r="B11" s="1361"/>
      <c r="C11" s="1352" t="s">
        <v>269</v>
      </c>
      <c r="D11" s="1352"/>
      <c r="E11" s="1352"/>
      <c r="F11" s="1368" t="s">
        <v>1137</v>
      </c>
      <c r="G11" s="1369"/>
      <c r="H11" s="1370">
        <v>512</v>
      </c>
      <c r="I11" s="1371"/>
      <c r="J11" s="1372"/>
      <c r="K11" s="1373">
        <v>208</v>
      </c>
      <c r="L11" s="1373"/>
      <c r="M11" s="1373"/>
      <c r="N11" s="1374">
        <f t="shared" si="0"/>
        <v>304</v>
      </c>
      <c r="O11" s="1374"/>
      <c r="P11" s="1375"/>
      <c r="Q11" s="607"/>
      <c r="R11" s="607"/>
      <c r="S11" s="609"/>
      <c r="T11" s="609"/>
      <c r="U11" s="609"/>
      <c r="V11" s="609"/>
      <c r="W11" s="609"/>
      <c r="X11" s="609"/>
      <c r="Y11" s="609"/>
      <c r="Z11" s="609"/>
      <c r="AA11" s="616" t="s">
        <v>1138</v>
      </c>
      <c r="AB11" s="617"/>
      <c r="AC11" s="615"/>
      <c r="AD11" s="615"/>
    </row>
    <row r="12" spans="1:41" ht="40.049999999999997" customHeight="1">
      <c r="A12" s="1360">
        <f t="shared" si="1"/>
        <v>6</v>
      </c>
      <c r="B12" s="1361"/>
      <c r="C12" s="1352" t="s">
        <v>270</v>
      </c>
      <c r="D12" s="1352"/>
      <c r="E12" s="1352"/>
      <c r="F12" s="1368" t="s">
        <v>1139</v>
      </c>
      <c r="G12" s="1369"/>
      <c r="H12" s="1370">
        <v>514</v>
      </c>
      <c r="I12" s="1371"/>
      <c r="J12" s="1372"/>
      <c r="K12" s="1373">
        <v>190</v>
      </c>
      <c r="L12" s="1373"/>
      <c r="M12" s="1373"/>
      <c r="N12" s="1374">
        <f t="shared" si="0"/>
        <v>324</v>
      </c>
      <c r="O12" s="1374"/>
      <c r="P12" s="1375"/>
      <c r="Q12" s="607"/>
      <c r="R12" s="618"/>
      <c r="S12" s="619" t="s">
        <v>1140</v>
      </c>
      <c r="T12" s="611"/>
      <c r="U12" s="609"/>
      <c r="V12" s="1376" t="s">
        <v>184</v>
      </c>
      <c r="W12" s="1376"/>
      <c r="X12" s="1376"/>
      <c r="Y12" s="609"/>
      <c r="Z12" s="609"/>
      <c r="AA12" s="615"/>
      <c r="AB12" s="620"/>
      <c r="AC12" s="616" t="s">
        <v>1444</v>
      </c>
      <c r="AD12" s="617"/>
    </row>
    <row r="13" spans="1:41" ht="40.049999999999997" customHeight="1">
      <c r="A13" s="1360">
        <f t="shared" si="1"/>
        <v>7</v>
      </c>
      <c r="B13" s="1361"/>
      <c r="C13" s="1352" t="s">
        <v>1142</v>
      </c>
      <c r="D13" s="1352"/>
      <c r="E13" s="1352"/>
      <c r="F13" s="1368" t="s">
        <v>1137</v>
      </c>
      <c r="G13" s="1369"/>
      <c r="H13" s="1370">
        <v>512</v>
      </c>
      <c r="I13" s="1371"/>
      <c r="J13" s="1372"/>
      <c r="K13" s="1373">
        <v>75</v>
      </c>
      <c r="L13" s="1373"/>
      <c r="M13" s="1373"/>
      <c r="N13" s="1374">
        <f t="shared" si="0"/>
        <v>437</v>
      </c>
      <c r="O13" s="1374"/>
      <c r="P13" s="1375"/>
      <c r="Q13" s="607"/>
      <c r="R13" s="618"/>
      <c r="S13" s="611" t="s">
        <v>270</v>
      </c>
      <c r="T13" s="611"/>
      <c r="U13" s="609"/>
      <c r="V13" s="1377"/>
      <c r="W13" s="1377"/>
      <c r="X13" s="1377"/>
      <c r="Y13" s="609"/>
      <c r="Z13" s="609"/>
      <c r="AA13" s="621"/>
      <c r="AB13" s="615"/>
      <c r="AC13" s="615"/>
      <c r="AD13" s="615"/>
    </row>
    <row r="14" spans="1:41" ht="40.049999999999997" customHeight="1">
      <c r="A14" s="1360">
        <f t="shared" si="1"/>
        <v>8</v>
      </c>
      <c r="B14" s="1361"/>
      <c r="C14" s="1352" t="s">
        <v>482</v>
      </c>
      <c r="D14" s="1352"/>
      <c r="E14" s="1352"/>
      <c r="F14" s="1368" t="s">
        <v>1139</v>
      </c>
      <c r="G14" s="1369"/>
      <c r="H14" s="1370">
        <v>512</v>
      </c>
      <c r="I14" s="1371"/>
      <c r="J14" s="1372"/>
      <c r="K14" s="1373"/>
      <c r="L14" s="1373"/>
      <c r="M14" s="1373"/>
      <c r="N14" s="1374">
        <f t="shared" si="0"/>
        <v>512</v>
      </c>
      <c r="O14" s="1374"/>
      <c r="P14" s="1375"/>
      <c r="Q14" s="607"/>
      <c r="R14" s="607"/>
      <c r="S14" s="607"/>
      <c r="T14" s="609"/>
      <c r="U14" s="609"/>
      <c r="V14" s="609"/>
      <c r="W14" s="609"/>
      <c r="X14" s="609"/>
      <c r="Y14" s="609"/>
      <c r="Z14" s="609"/>
      <c r="AA14" s="615"/>
      <c r="AB14" s="615"/>
      <c r="AC14" s="615"/>
      <c r="AD14" s="615"/>
    </row>
    <row r="15" spans="1:41" ht="40.049999999999997" customHeight="1">
      <c r="A15" s="1360">
        <f t="shared" si="1"/>
        <v>9</v>
      </c>
      <c r="B15" s="1361"/>
      <c r="C15" s="1379" t="s">
        <v>1445</v>
      </c>
      <c r="D15" s="1379"/>
      <c r="E15" s="1379"/>
      <c r="F15" s="1361" t="s">
        <v>1030</v>
      </c>
      <c r="G15" s="1361"/>
      <c r="H15" s="1362">
        <v>188.44399999999999</v>
      </c>
      <c r="I15" s="1362"/>
      <c r="J15" s="1362"/>
      <c r="K15" s="1361"/>
      <c r="L15" s="1361"/>
      <c r="M15" s="1361"/>
      <c r="N15" s="1362">
        <v>188.44399999999999</v>
      </c>
      <c r="O15" s="1362"/>
      <c r="P15" s="1366"/>
      <c r="Q15" s="607"/>
      <c r="R15" s="607"/>
      <c r="S15" s="1378" t="s">
        <v>1446</v>
      </c>
      <c r="T15" s="1378"/>
      <c r="U15" s="609"/>
      <c r="V15" s="609"/>
      <c r="W15" s="610"/>
      <c r="X15" s="619" t="s">
        <v>1144</v>
      </c>
      <c r="Y15" s="610"/>
      <c r="Z15" s="610"/>
      <c r="AA15" s="610"/>
      <c r="AB15" s="610"/>
      <c r="AC15" s="610"/>
      <c r="AD15" s="610"/>
      <c r="AO15" s="622"/>
    </row>
    <row r="16" spans="1:41" ht="40.049999999999997" customHeight="1">
      <c r="A16" s="1360">
        <f t="shared" si="1"/>
        <v>10</v>
      </c>
      <c r="B16" s="1361"/>
      <c r="C16" s="1379" t="s">
        <v>1447</v>
      </c>
      <c r="D16" s="1379"/>
      <c r="E16" s="1379"/>
      <c r="F16" s="1361" t="s">
        <v>1030</v>
      </c>
      <c r="G16" s="1361"/>
      <c r="H16" s="1362">
        <v>188.44399999999999</v>
      </c>
      <c r="I16" s="1362"/>
      <c r="J16" s="1362"/>
      <c r="K16" s="1361"/>
      <c r="L16" s="1361"/>
      <c r="M16" s="1361"/>
      <c r="N16" s="1362">
        <v>188.44399999999999</v>
      </c>
      <c r="O16" s="1362"/>
      <c r="P16" s="1366"/>
      <c r="Q16" s="623"/>
      <c r="R16" s="623"/>
      <c r="S16" s="623"/>
      <c r="T16" s="624"/>
      <c r="U16" s="624"/>
      <c r="V16" s="624"/>
      <c r="W16" s="625"/>
      <c r="X16" s="625"/>
      <c r="Y16" s="625"/>
      <c r="Z16" s="626" t="s">
        <v>1448</v>
      </c>
      <c r="AA16" s="627" t="s">
        <v>1449</v>
      </c>
      <c r="AB16" s="1383" t="s">
        <v>1450</v>
      </c>
      <c r="AC16" s="1383"/>
      <c r="AD16" s="1383"/>
    </row>
    <row r="17" spans="1:41" ht="67.05" customHeight="1">
      <c r="A17" s="1384" t="s">
        <v>1451</v>
      </c>
      <c r="B17" s="1385"/>
      <c r="C17" s="629"/>
      <c r="D17" s="628" t="s">
        <v>485</v>
      </c>
      <c r="E17" s="629"/>
      <c r="F17" s="1386" t="s">
        <v>1452</v>
      </c>
      <c r="G17" s="1386"/>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7" t="s">
        <v>1593</v>
      </c>
      <c r="B23" s="1388"/>
      <c r="C23" s="1388"/>
      <c r="D23" s="1388"/>
      <c r="E23" s="1388"/>
      <c r="F23" s="1388"/>
      <c r="G23" s="1388"/>
      <c r="H23" s="1388"/>
      <c r="I23" s="1388"/>
      <c r="J23" s="1388"/>
      <c r="K23" s="1388"/>
      <c r="L23" s="1388"/>
      <c r="M23" s="1388"/>
      <c r="N23" s="1388"/>
      <c r="O23" s="1388"/>
      <c r="P23" s="1388"/>
      <c r="Q23" s="1388"/>
      <c r="R23" s="1388"/>
      <c r="S23" s="1388"/>
      <c r="T23" s="1388"/>
      <c r="U23" s="1388"/>
      <c r="V23" s="1388"/>
      <c r="W23" s="1388"/>
      <c r="X23" s="1388"/>
      <c r="Y23" s="1388"/>
      <c r="Z23" s="1388"/>
      <c r="AA23" s="1388"/>
      <c r="AB23" s="1388"/>
      <c r="AC23" s="1388"/>
      <c r="AD23" s="1388"/>
      <c r="AE23" s="1388"/>
      <c r="AF23" s="1388"/>
      <c r="AG23" s="1388"/>
      <c r="AH23" s="1388"/>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7" t="s">
        <v>1593</v>
      </c>
      <c r="B30" s="1388"/>
      <c r="C30" s="1388"/>
      <c r="D30" s="1388"/>
      <c r="E30" s="1388"/>
      <c r="F30" s="1388"/>
      <c r="G30" s="1388"/>
      <c r="H30" s="1388"/>
      <c r="I30" s="1388"/>
      <c r="J30" s="1388"/>
      <c r="K30" s="1388"/>
      <c r="L30" s="1388"/>
      <c r="M30" s="1388"/>
      <c r="N30" s="1388"/>
      <c r="O30" s="1388"/>
      <c r="P30" s="1388"/>
      <c r="Q30" s="1388"/>
      <c r="R30" s="1388"/>
      <c r="S30" s="1388"/>
      <c r="T30" s="1388"/>
      <c r="U30" s="1388"/>
      <c r="V30" s="1388"/>
      <c r="W30" s="1388"/>
      <c r="X30" s="1388"/>
      <c r="Y30" s="1388"/>
      <c r="Z30" s="1388"/>
      <c r="AA30" s="1388"/>
      <c r="AB30" s="1388"/>
      <c r="AC30" s="1388"/>
      <c r="AD30" s="1388"/>
      <c r="AE30" s="1388"/>
      <c r="AF30" s="1388"/>
      <c r="AG30" s="1388"/>
      <c r="AH30" s="1388"/>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89" t="s">
        <v>1594</v>
      </c>
      <c r="B37" s="1390"/>
      <c r="C37" s="1390"/>
      <c r="D37" s="1390"/>
      <c r="E37" s="1390"/>
      <c r="F37" s="1390"/>
      <c r="G37" s="1390"/>
      <c r="H37" s="1390"/>
      <c r="I37" s="1390"/>
      <c r="J37" s="1390"/>
      <c r="K37" s="1390"/>
      <c r="L37" s="1390"/>
      <c r="M37" s="1390"/>
      <c r="N37" s="1390"/>
      <c r="O37" s="1390"/>
      <c r="P37" s="1390"/>
      <c r="Q37" s="1390"/>
      <c r="R37" s="1390"/>
      <c r="S37" s="1390"/>
      <c r="T37" s="1390"/>
      <c r="U37" s="1390"/>
      <c r="V37" s="1390"/>
      <c r="W37" s="1390"/>
      <c r="X37" s="1390"/>
      <c r="Y37" s="1390"/>
      <c r="Z37" s="1390"/>
      <c r="AA37" s="1390"/>
      <c r="AB37" s="1390"/>
      <c r="AC37" s="1390"/>
      <c r="AD37" s="1390"/>
      <c r="AE37" s="1390"/>
      <c r="AF37" s="1390"/>
      <c r="AG37" s="1390"/>
      <c r="AH37" s="1390"/>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80" t="s">
        <v>1454</v>
      </c>
      <c r="B44" s="1381"/>
      <c r="C44" s="1381"/>
      <c r="D44" s="1381"/>
      <c r="E44" s="1381"/>
      <c r="F44" s="1381"/>
      <c r="G44" s="1381"/>
      <c r="H44" s="1381"/>
      <c r="I44" s="1381"/>
      <c r="J44" s="1381"/>
      <c r="K44" s="1381"/>
      <c r="L44" s="1381"/>
      <c r="M44" s="1381"/>
      <c r="N44" s="1381"/>
      <c r="O44" s="1381"/>
      <c r="P44" s="1381"/>
      <c r="Q44" s="1381"/>
      <c r="R44" s="1381"/>
      <c r="S44" s="1381"/>
      <c r="T44" s="1381"/>
      <c r="U44" s="1381"/>
      <c r="V44" s="1381"/>
      <c r="W44" s="1381"/>
      <c r="X44" s="1381"/>
      <c r="Y44" s="1381"/>
      <c r="Z44" s="1381"/>
      <c r="AA44" s="1381"/>
      <c r="AB44" s="1381"/>
      <c r="AC44" s="1381"/>
      <c r="AD44" s="1381"/>
      <c r="AE44" s="1381"/>
      <c r="AF44" s="1381"/>
      <c r="AG44" s="1381"/>
      <c r="AH44" s="1381"/>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82" t="s">
        <v>1193</v>
      </c>
      <c r="M45" s="1382"/>
      <c r="N45" s="1382" t="s">
        <v>1194</v>
      </c>
      <c r="O45" s="1382"/>
      <c r="P45" s="1382" t="s">
        <v>1195</v>
      </c>
      <c r="Q45" s="1382"/>
      <c r="R45" s="1382" t="s">
        <v>1196</v>
      </c>
      <c r="S45" s="1382"/>
      <c r="T45" s="1382" t="s">
        <v>1197</v>
      </c>
      <c r="U45" s="1382"/>
      <c r="V45" s="1382" t="s">
        <v>538</v>
      </c>
      <c r="W45" s="1382"/>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89" t="s">
        <v>1454</v>
      </c>
      <c r="B52" s="1390"/>
      <c r="C52" s="1390"/>
      <c r="D52" s="1390"/>
      <c r="E52" s="1390"/>
      <c r="F52" s="1390"/>
      <c r="G52" s="1390"/>
      <c r="H52" s="1390"/>
      <c r="I52" s="1390"/>
      <c r="J52" s="1390"/>
      <c r="K52" s="1390"/>
      <c r="L52" s="1390"/>
      <c r="M52" s="1390"/>
      <c r="N52" s="1390"/>
      <c r="O52" s="1390"/>
      <c r="P52" s="1390"/>
      <c r="Q52" s="1390"/>
      <c r="R52" s="1390"/>
      <c r="S52" s="1390"/>
      <c r="T52" s="1390"/>
      <c r="U52" s="1390"/>
      <c r="V52" s="1390"/>
      <c r="W52" s="1390"/>
      <c r="X52" s="1390"/>
      <c r="Y52" s="1390"/>
      <c r="Z52" s="1390"/>
      <c r="AA52" s="1390"/>
      <c r="AB52" s="1390"/>
      <c r="AC52" s="1390"/>
      <c r="AD52" s="1390"/>
      <c r="AE52" s="1390"/>
      <c r="AF52" s="1390"/>
      <c r="AG52" s="1390"/>
      <c r="AH52" s="1390"/>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93" t="s">
        <v>549</v>
      </c>
      <c r="O54" s="1393"/>
      <c r="P54" s="630" t="s">
        <v>1206</v>
      </c>
      <c r="Q54" s="629"/>
      <c r="R54" s="630" t="s">
        <v>1207</v>
      </c>
      <c r="S54" s="629"/>
      <c r="T54" s="630" t="s">
        <v>1208</v>
      </c>
      <c r="U54" s="629"/>
      <c r="V54" s="1393" t="s">
        <v>554</v>
      </c>
      <c r="W54" s="1393"/>
      <c r="X54" s="630" t="s">
        <v>1209</v>
      </c>
      <c r="Y54" s="629"/>
      <c r="Z54" s="1393" t="s">
        <v>555</v>
      </c>
      <c r="AA54" s="1393"/>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1" t="s">
        <v>1455</v>
      </c>
      <c r="J60" s="1391"/>
      <c r="K60" s="653"/>
      <c r="L60" s="1392" t="s">
        <v>1456</v>
      </c>
      <c r="M60" s="1392"/>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89" t="s">
        <v>1454</v>
      </c>
      <c r="B61" s="1390"/>
      <c r="C61" s="1390"/>
      <c r="D61" s="1390"/>
      <c r="E61" s="1390"/>
      <c r="F61" s="1390"/>
      <c r="G61" s="1390"/>
      <c r="H61" s="1390"/>
      <c r="I61" s="1390"/>
      <c r="J61" s="1390"/>
      <c r="K61" s="1390"/>
      <c r="L61" s="1390"/>
      <c r="M61" s="1390"/>
      <c r="N61" s="1390"/>
      <c r="O61" s="1390"/>
      <c r="P61" s="1390"/>
      <c r="Q61" s="1390"/>
      <c r="R61" s="1390"/>
      <c r="S61" s="1390"/>
      <c r="T61" s="1390"/>
      <c r="U61" s="1390"/>
      <c r="V61" s="1390"/>
      <c r="W61" s="1390"/>
      <c r="X61" s="1390"/>
      <c r="Y61" s="1390"/>
      <c r="Z61" s="1390"/>
      <c r="AA61" s="1390"/>
      <c r="AB61" s="1390"/>
      <c r="AC61" s="1390"/>
      <c r="AD61" s="1390"/>
      <c r="AE61" s="1390"/>
      <c r="AF61" s="1390"/>
      <c r="AG61" s="1390"/>
      <c r="AH61" s="1390"/>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1" t="s">
        <v>1457</v>
      </c>
      <c r="N68" s="1391"/>
      <c r="O68" s="644"/>
      <c r="P68" s="644"/>
      <c r="Q68" s="644"/>
      <c r="R68" s="644"/>
      <c r="S68" s="644"/>
      <c r="T68" s="644"/>
      <c r="U68" s="644"/>
      <c r="V68" s="644"/>
      <c r="W68" s="644"/>
      <c r="X68" s="1392" t="s">
        <v>1458</v>
      </c>
      <c r="Y68" s="1392"/>
      <c r="Z68" s="644"/>
      <c r="AA68" s="644"/>
      <c r="AB68" s="644"/>
      <c r="AC68" s="648"/>
      <c r="AD68" s="666"/>
      <c r="AE68" s="669"/>
      <c r="AF68" s="669"/>
      <c r="AG68" s="669"/>
      <c r="AH68" s="666"/>
      <c r="AI68" s="666"/>
      <c r="AJ68" s="666"/>
      <c r="AK68" s="666"/>
      <c r="AL68" s="666"/>
    </row>
    <row r="69" spans="1:41" ht="41.55" customHeight="1">
      <c r="A69" s="1389" t="s">
        <v>1454</v>
      </c>
      <c r="B69" s="1390"/>
      <c r="C69" s="1390"/>
      <c r="D69" s="1390"/>
      <c r="E69" s="1390"/>
      <c r="F69" s="1390"/>
      <c r="G69" s="1390"/>
      <c r="H69" s="1390"/>
      <c r="I69" s="1390"/>
      <c r="J69" s="1390"/>
      <c r="K69" s="1390"/>
      <c r="L69" s="1390"/>
      <c r="M69" s="1390"/>
      <c r="N69" s="1390"/>
      <c r="O69" s="1390"/>
      <c r="P69" s="1390"/>
      <c r="Q69" s="1390"/>
      <c r="R69" s="1390"/>
      <c r="S69" s="1390"/>
      <c r="T69" s="1390"/>
      <c r="U69" s="1390"/>
      <c r="V69" s="1390"/>
      <c r="W69" s="1390"/>
      <c r="X69" s="1390"/>
      <c r="Y69" s="1390"/>
      <c r="Z69" s="1390"/>
      <c r="AA69" s="1390"/>
      <c r="AB69" s="1390"/>
      <c r="AC69" s="1390"/>
      <c r="AD69" s="1390"/>
      <c r="AE69" s="1390"/>
      <c r="AF69" s="1390"/>
      <c r="AG69" s="1390"/>
      <c r="AH69" s="1390"/>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93" t="s">
        <v>585</v>
      </c>
      <c r="O70" s="1393"/>
      <c r="P70" s="1393" t="s">
        <v>588</v>
      </c>
      <c r="Q70" s="1393"/>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9" t="s">
        <v>1454</v>
      </c>
      <c r="B77" s="1390"/>
      <c r="C77" s="1390"/>
      <c r="D77" s="1390"/>
      <c r="E77" s="1390"/>
      <c r="F77" s="1390"/>
      <c r="G77" s="1390"/>
      <c r="H77" s="1390"/>
      <c r="I77" s="1390"/>
      <c r="J77" s="1390"/>
      <c r="K77" s="1390"/>
      <c r="L77" s="1390"/>
      <c r="M77" s="1390"/>
      <c r="N77" s="1390"/>
      <c r="O77" s="1390"/>
      <c r="P77" s="1390"/>
      <c r="Q77" s="1390"/>
      <c r="R77" s="1390"/>
      <c r="S77" s="1390"/>
      <c r="T77" s="1390"/>
      <c r="U77" s="1390"/>
      <c r="V77" s="1390"/>
      <c r="W77" s="1390"/>
      <c r="X77" s="1388" t="s">
        <v>1504</v>
      </c>
      <c r="Y77" s="1388"/>
      <c r="Z77" s="1388"/>
      <c r="AA77" s="1388"/>
      <c r="AB77" s="1388"/>
      <c r="AC77" s="1388"/>
      <c r="AD77" s="1388"/>
      <c r="AE77" s="1388"/>
      <c r="AF77" s="1388"/>
      <c r="AG77" s="1388"/>
      <c r="AH77" s="1388"/>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93" t="s">
        <v>1547</v>
      </c>
      <c r="E79" s="1393"/>
      <c r="F79" s="1393" t="s">
        <v>1549</v>
      </c>
      <c r="G79" s="1393"/>
      <c r="H79" s="1393" t="s">
        <v>1550</v>
      </c>
      <c r="I79" s="1393"/>
      <c r="J79" s="1393" t="s">
        <v>1551</v>
      </c>
      <c r="K79" s="1393"/>
      <c r="L79" s="1393" t="s">
        <v>1230</v>
      </c>
      <c r="M79" s="1393"/>
      <c r="N79" s="1393" t="s">
        <v>1231</v>
      </c>
      <c r="O79" s="1393"/>
      <c r="P79" s="1393" t="s">
        <v>1233</v>
      </c>
      <c r="Q79" s="1393"/>
      <c r="R79" s="1393" t="s">
        <v>1234</v>
      </c>
      <c r="S79" s="1393"/>
      <c r="T79" s="1393" t="s">
        <v>1235</v>
      </c>
      <c r="U79" s="1393"/>
      <c r="V79" s="1393" t="s">
        <v>1236</v>
      </c>
      <c r="W79" s="1393"/>
      <c r="X79" s="1393" t="s">
        <v>602</v>
      </c>
      <c r="Y79" s="1393"/>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7" t="s">
        <v>1503</v>
      </c>
      <c r="B85" s="1388"/>
      <c r="C85" s="1388"/>
      <c r="D85" s="1388"/>
      <c r="E85" s="1388"/>
      <c r="F85" s="1388"/>
      <c r="G85" s="1388"/>
      <c r="H85" s="1388"/>
      <c r="I85" s="1390" t="s">
        <v>1594</v>
      </c>
      <c r="J85" s="1390"/>
      <c r="K85" s="1390"/>
      <c r="L85" s="1390"/>
      <c r="M85" s="1390"/>
      <c r="N85" s="1390"/>
      <c r="O85" s="1390"/>
      <c r="P85" s="1390"/>
      <c r="Q85" s="1390"/>
      <c r="R85" s="1390"/>
      <c r="S85" s="1390"/>
      <c r="T85" s="1390"/>
      <c r="U85" s="1390"/>
      <c r="V85" s="1390"/>
      <c r="W85" s="1390"/>
      <c r="X85" s="1390"/>
      <c r="Y85" s="1390"/>
      <c r="Z85" s="1390"/>
      <c r="AA85" s="1390"/>
      <c r="AB85" s="1390"/>
      <c r="AC85" s="1390"/>
      <c r="AD85" s="1390"/>
      <c r="AE85" s="1390"/>
      <c r="AF85" s="1390"/>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89" t="s">
        <v>1595</v>
      </c>
      <c r="B93" s="1390"/>
      <c r="C93" s="1390"/>
      <c r="D93" s="1390"/>
      <c r="E93" s="1390"/>
      <c r="F93" s="1390"/>
      <c r="G93" s="1390"/>
      <c r="H93" s="1390"/>
      <c r="I93" s="1390"/>
      <c r="J93" s="1390"/>
      <c r="K93" s="1390"/>
      <c r="L93" s="1390"/>
      <c r="M93" s="1390"/>
      <c r="N93" s="1390"/>
      <c r="O93" s="1390"/>
      <c r="P93" s="1390"/>
      <c r="Q93" s="1390"/>
      <c r="R93" s="1390"/>
      <c r="S93" s="1390"/>
      <c r="T93" s="1390"/>
      <c r="U93" s="1390"/>
      <c r="V93" s="1390"/>
      <c r="W93" s="1390"/>
      <c r="X93" s="1390"/>
      <c r="Y93" s="1390"/>
      <c r="Z93" s="1390"/>
      <c r="AA93" s="1390"/>
      <c r="AB93" s="1390"/>
      <c r="AC93" s="1390"/>
      <c r="AD93" s="1390"/>
      <c r="AE93" s="1390"/>
      <c r="AF93" s="1390"/>
      <c r="AG93" s="1390"/>
      <c r="AH93" s="1390"/>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89" t="s">
        <v>1595</v>
      </c>
      <c r="B102" s="1390"/>
      <c r="C102" s="1390"/>
      <c r="D102" s="1390"/>
      <c r="E102" s="1390"/>
      <c r="F102" s="1390"/>
      <c r="G102" s="1390"/>
      <c r="H102" s="1390"/>
      <c r="I102" s="1390"/>
      <c r="J102" s="1390"/>
      <c r="K102" s="1390"/>
      <c r="L102" s="1390"/>
      <c r="M102" s="1390"/>
      <c r="N102" s="1390"/>
      <c r="O102" s="1390"/>
      <c r="P102" s="1390"/>
      <c r="Q102" s="1390"/>
      <c r="R102" s="1390"/>
      <c r="S102" s="1390"/>
      <c r="T102" s="1390"/>
      <c r="U102" s="1390"/>
      <c r="V102" s="1390"/>
      <c r="W102" s="1390"/>
      <c r="X102" s="1390"/>
      <c r="Y102" s="1390"/>
      <c r="Z102" s="1390"/>
      <c r="AA102" s="1390"/>
      <c r="AB102" s="1390"/>
      <c r="AC102" s="1390"/>
      <c r="AD102" s="1390"/>
      <c r="AE102" s="1390"/>
      <c r="AF102" s="1390"/>
      <c r="AG102" s="1390"/>
      <c r="AH102" s="1390"/>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4" t="s">
        <v>1531</v>
      </c>
      <c r="X110" s="1394"/>
      <c r="Y110" s="1394"/>
      <c r="Z110" s="675"/>
      <c r="AA110" s="644"/>
      <c r="AB110" s="676"/>
      <c r="AC110" s="648"/>
      <c r="AD110" s="649"/>
      <c r="AE110" s="642"/>
      <c r="AF110" s="642"/>
      <c r="AG110" s="642"/>
    </row>
    <row r="111" spans="1:45" ht="40.950000000000003" customHeight="1">
      <c r="A111" s="1389" t="s">
        <v>1454</v>
      </c>
      <c r="B111" s="1390"/>
      <c r="C111" s="1390"/>
      <c r="D111" s="1390"/>
      <c r="E111" s="1390"/>
      <c r="F111" s="1390"/>
      <c r="G111" s="1390"/>
      <c r="H111" s="1390"/>
      <c r="I111" s="1390"/>
      <c r="J111" s="1390"/>
      <c r="K111" s="1390"/>
      <c r="L111" s="1390"/>
      <c r="M111" s="1390"/>
      <c r="N111" s="1390"/>
      <c r="O111" s="1390"/>
      <c r="P111" s="1390"/>
      <c r="Q111" s="1390"/>
      <c r="R111" s="1390"/>
      <c r="S111" s="1390"/>
      <c r="T111" s="1390"/>
      <c r="U111" s="1390"/>
      <c r="V111" s="1390"/>
      <c r="W111" s="1390"/>
      <c r="X111" s="1390"/>
      <c r="Y111" s="1390"/>
      <c r="Z111" s="1390"/>
      <c r="AA111" s="1390"/>
      <c r="AB111" s="1390"/>
      <c r="AC111" s="1390"/>
      <c r="AD111" s="1390"/>
      <c r="AE111" s="1390"/>
      <c r="AF111" s="1390"/>
      <c r="AG111" s="1390"/>
      <c r="AH111" s="1390"/>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93" t="s">
        <v>655</v>
      </c>
      <c r="M112" s="1393"/>
      <c r="N112" s="630" t="s">
        <v>656</v>
      </c>
      <c r="O112" s="629"/>
      <c r="P112" s="1393" t="s">
        <v>657</v>
      </c>
      <c r="Q112" s="1393"/>
      <c r="R112" s="630" t="s">
        <v>658</v>
      </c>
      <c r="S112" s="629"/>
      <c r="T112" s="630" t="s">
        <v>659</v>
      </c>
      <c r="U112" s="629"/>
      <c r="V112" s="630" t="s">
        <v>660</v>
      </c>
      <c r="W112" s="629"/>
      <c r="X112" s="630" t="s">
        <v>661</v>
      </c>
      <c r="Y112" s="629"/>
      <c r="Z112" s="1393" t="s">
        <v>662</v>
      </c>
      <c r="AA112" s="1393"/>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89" t="s">
        <v>1454</v>
      </c>
      <c r="B119" s="1390"/>
      <c r="C119" s="1390"/>
      <c r="D119" s="1390"/>
      <c r="E119" s="1390"/>
      <c r="F119" s="1390"/>
      <c r="G119" s="1390"/>
      <c r="H119" s="1390"/>
      <c r="I119" s="1390"/>
      <c r="J119" s="1390"/>
      <c r="K119" s="1390"/>
      <c r="L119" s="1390"/>
      <c r="M119" s="1390"/>
      <c r="N119" s="1390"/>
      <c r="O119" s="1390"/>
      <c r="P119" s="1390"/>
      <c r="Q119" s="1388" t="s">
        <v>1596</v>
      </c>
      <c r="R119" s="1388"/>
      <c r="S119" s="1388"/>
      <c r="T119" s="1388"/>
      <c r="U119" s="1388"/>
      <c r="V119" s="1388"/>
      <c r="W119" s="1388"/>
      <c r="X119" s="1388"/>
      <c r="Y119" s="1388"/>
      <c r="Z119" s="1388"/>
      <c r="AA119" s="1388"/>
      <c r="AB119" s="1388"/>
      <c r="AC119" s="1388"/>
      <c r="AD119" s="1388"/>
      <c r="AE119" s="1388"/>
      <c r="AF119" s="1388"/>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98" t="s">
        <v>1597</v>
      </c>
      <c r="B127" s="1399"/>
      <c r="C127" s="1399"/>
      <c r="D127" s="1399"/>
      <c r="E127" s="1399"/>
      <c r="F127" s="1400"/>
      <c r="G127" s="1380" t="s">
        <v>1461</v>
      </c>
      <c r="H127" s="1381"/>
      <c r="I127" s="1381"/>
      <c r="J127" s="1381"/>
      <c r="K127" s="1381"/>
      <c r="L127" s="1381"/>
      <c r="M127" s="1381"/>
      <c r="N127" s="1381"/>
      <c r="O127" s="1401"/>
      <c r="P127" s="681"/>
      <c r="Q127" s="681"/>
      <c r="R127" s="681"/>
      <c r="S127" s="1390" t="s">
        <v>1454</v>
      </c>
      <c r="T127" s="1390"/>
      <c r="U127" s="1390"/>
      <c r="V127" s="1390"/>
      <c r="W127" s="1390"/>
      <c r="X127" s="1390"/>
      <c r="Y127" s="1390"/>
      <c r="Z127" s="1390"/>
      <c r="AA127" s="1390"/>
      <c r="AB127" s="1390"/>
      <c r="AC127" s="1390"/>
      <c r="AD127" s="1390"/>
      <c r="AE127" s="1390"/>
      <c r="AF127" s="1390"/>
      <c r="AG127" s="1390"/>
      <c r="AH127" s="1390"/>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93" t="s">
        <v>287</v>
      </c>
      <c r="G129" s="1393"/>
      <c r="H129" s="630" t="s">
        <v>288</v>
      </c>
      <c r="I129" s="630"/>
      <c r="J129" s="630" t="s">
        <v>289</v>
      </c>
      <c r="K129" s="629"/>
      <c r="L129" s="630" t="s">
        <v>290</v>
      </c>
      <c r="M129" s="629"/>
      <c r="N129" s="630" t="s">
        <v>291</v>
      </c>
      <c r="O129" s="629"/>
      <c r="P129" s="630" t="s">
        <v>292</v>
      </c>
      <c r="Q129" s="629"/>
      <c r="R129" s="630" t="s">
        <v>293</v>
      </c>
      <c r="S129" s="629"/>
      <c r="T129" s="1393" t="s">
        <v>294</v>
      </c>
      <c r="U129" s="1393"/>
      <c r="V129" s="1393" t="s">
        <v>298</v>
      </c>
      <c r="W129" s="1393"/>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89" t="s">
        <v>1454</v>
      </c>
      <c r="B136" s="1390"/>
      <c r="C136" s="1390"/>
      <c r="D136" s="1390"/>
      <c r="E136" s="1390"/>
      <c r="F136" s="1390"/>
      <c r="G136" s="1390"/>
      <c r="H136" s="1390"/>
      <c r="I136" s="1390"/>
      <c r="J136" s="1390"/>
      <c r="K136" s="787"/>
      <c r="L136" s="787"/>
      <c r="M136" s="787"/>
      <c r="N136" s="707" t="s">
        <v>193</v>
      </c>
      <c r="O136" s="787"/>
      <c r="P136" s="787"/>
      <c r="Q136" s="787"/>
      <c r="R136" s="787"/>
      <c r="S136" s="787"/>
      <c r="T136" s="787"/>
      <c r="U136" s="1390" t="s">
        <v>1454</v>
      </c>
      <c r="V136" s="1390"/>
      <c r="W136" s="1390"/>
      <c r="X136" s="1390"/>
      <c r="Y136" s="1390"/>
      <c r="Z136" s="1390"/>
      <c r="AA136" s="1390"/>
      <c r="AB136" s="1390"/>
      <c r="AC136" s="1390"/>
      <c r="AD136" s="1390"/>
      <c r="AE136" s="1390"/>
      <c r="AF136" s="1390"/>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95" t="s">
        <v>1454</v>
      </c>
      <c r="B145" s="1395"/>
      <c r="C145" s="1395"/>
      <c r="D145" s="1395"/>
      <c r="E145" s="1395"/>
      <c r="F145" s="1395"/>
      <c r="G145" s="1395"/>
      <c r="H145" s="1395"/>
      <c r="I145" s="1395"/>
      <c r="J145" s="1395"/>
      <c r="K145" s="1395"/>
      <c r="L145" s="1395"/>
      <c r="M145" s="1395"/>
      <c r="N145" s="1395"/>
      <c r="O145" s="1395"/>
      <c r="P145" s="1395"/>
      <c r="Q145" s="1395"/>
      <c r="R145" s="1395"/>
      <c r="S145" s="1395"/>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90" t="s">
        <v>193</v>
      </c>
      <c r="C154" s="1390"/>
      <c r="D154" s="1390"/>
      <c r="E154" s="681"/>
      <c r="F154" s="681"/>
      <c r="G154" s="681"/>
      <c r="H154" s="681"/>
      <c r="I154" s="681"/>
      <c r="J154" s="681"/>
      <c r="K154" s="681"/>
      <c r="L154" s="681"/>
      <c r="M154" s="681"/>
      <c r="N154" s="681"/>
      <c r="O154" s="681"/>
      <c r="P154" s="1396" t="s">
        <v>193</v>
      </c>
      <c r="Q154" s="1396"/>
      <c r="R154" s="1396"/>
      <c r="S154" s="1396"/>
      <c r="T154" s="1396"/>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97" t="s">
        <v>676</v>
      </c>
      <c r="R156" s="1397"/>
      <c r="S156" s="1397" t="s">
        <v>332</v>
      </c>
      <c r="T156" s="1397"/>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402" t="s">
        <v>1541</v>
      </c>
      <c r="AC162" s="1402"/>
      <c r="AD162" s="1402"/>
      <c r="AE162" s="1402"/>
      <c r="AF162" s="1402"/>
      <c r="AG162" s="1402"/>
      <c r="AH162" s="1402"/>
      <c r="AI162" s="819"/>
      <c r="AJ162" s="819"/>
      <c r="AK162" s="819"/>
      <c r="AL162" s="819"/>
    </row>
    <row r="163" spans="1:41" ht="37.5" customHeight="1">
      <c r="A163" s="1395" t="s">
        <v>1454</v>
      </c>
      <c r="B163" s="1395"/>
      <c r="C163" s="1395"/>
      <c r="D163" s="1395"/>
      <c r="E163" s="1395"/>
      <c r="F163" s="1395"/>
      <c r="G163" s="1395"/>
      <c r="H163" s="1395"/>
      <c r="I163" s="1395"/>
      <c r="J163" s="1395"/>
      <c r="K163" s="1395"/>
      <c r="L163" s="1395"/>
      <c r="M163" s="1395"/>
      <c r="N163" s="1395"/>
      <c r="O163" s="1395"/>
      <c r="P163" s="1395"/>
      <c r="Q163" s="1395"/>
      <c r="R163" s="1395"/>
      <c r="S163" s="1395"/>
      <c r="T163" s="1395"/>
      <c r="U163" s="681"/>
      <c r="V163" s="681"/>
      <c r="W163" s="1395" t="s">
        <v>1454</v>
      </c>
      <c r="X163" s="1395"/>
      <c r="Y163" s="1395"/>
      <c r="Z163" s="1395"/>
      <c r="AA163" s="1395"/>
      <c r="AB163" s="1395"/>
      <c r="AC163" s="1395"/>
      <c r="AD163" s="1395"/>
      <c r="AE163" s="1395"/>
      <c r="AF163" s="1395"/>
      <c r="AG163" s="1395"/>
      <c r="AH163" s="1380"/>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403" t="s">
        <v>1581</v>
      </c>
      <c r="B171" s="1403"/>
      <c r="C171" s="1403"/>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404" t="s">
        <v>1463</v>
      </c>
      <c r="B188" s="1405"/>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5" t="s">
        <v>1454</v>
      </c>
      <c r="U197" s="1395"/>
      <c r="V197" s="1395"/>
      <c r="W197" s="1395"/>
      <c r="X197" s="1395"/>
      <c r="Y197" s="1395"/>
      <c r="Z197" s="1395"/>
      <c r="AA197" s="1395"/>
      <c r="AB197" s="1395"/>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93" t="s">
        <v>374</v>
      </c>
      <c r="M199" s="1393"/>
      <c r="N199" s="1393" t="s">
        <v>375</v>
      </c>
      <c r="O199" s="1393"/>
      <c r="P199" s="1393" t="s">
        <v>376</v>
      </c>
      <c r="Q199" s="1393"/>
      <c r="R199" s="630" t="s">
        <v>377</v>
      </c>
      <c r="S199" s="629"/>
      <c r="T199" s="630" t="s">
        <v>379</v>
      </c>
      <c r="U199" s="629"/>
      <c r="V199" s="687" t="s">
        <v>1244</v>
      </c>
      <c r="W199" s="629"/>
      <c r="X199" s="1393" t="s">
        <v>182</v>
      </c>
      <c r="Y199" s="1393"/>
      <c r="Z199" s="1393" t="s">
        <v>381</v>
      </c>
      <c r="AA199" s="1393"/>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90" t="s">
        <v>193</v>
      </c>
      <c r="I205" s="1390"/>
      <c r="J205" s="1390"/>
      <c r="K205" s="1390"/>
      <c r="L205" s="1390"/>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93" t="s">
        <v>1246</v>
      </c>
      <c r="Q207" s="1393"/>
      <c r="R207" s="630" t="s">
        <v>388</v>
      </c>
      <c r="S207" s="629"/>
      <c r="T207" s="1393" t="s">
        <v>389</v>
      </c>
      <c r="U207" s="1393"/>
      <c r="V207" s="1393" t="s">
        <v>683</v>
      </c>
      <c r="W207" s="1393"/>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06"/>
      <c r="G214" s="1406"/>
      <c r="H214" s="1406"/>
      <c r="I214" s="681"/>
      <c r="J214" s="681"/>
      <c r="K214" s="681"/>
      <c r="L214" s="681"/>
      <c r="M214" s="681"/>
      <c r="N214" s="681"/>
      <c r="O214" s="681"/>
      <c r="P214" s="787"/>
      <c r="Q214" s="787"/>
      <c r="R214" s="1390" t="s">
        <v>193</v>
      </c>
      <c r="S214" s="1390"/>
      <c r="T214" s="1390"/>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407" t="s">
        <v>137</v>
      </c>
      <c r="E215" s="1407"/>
      <c r="F215" s="1393" t="s">
        <v>1280</v>
      </c>
      <c r="G215" s="1393"/>
      <c r="H215" s="1393" t="s">
        <v>1464</v>
      </c>
      <c r="I215" s="1393"/>
      <c r="J215" s="630" t="s">
        <v>1282</v>
      </c>
      <c r="K215" s="629"/>
      <c r="L215" s="1393" t="s">
        <v>1283</v>
      </c>
      <c r="M215" s="1393"/>
      <c r="N215" s="1393" t="s">
        <v>399</v>
      </c>
      <c r="O215" s="1393"/>
      <c r="P215" s="1393" t="s">
        <v>400</v>
      </c>
      <c r="Q215" s="1393"/>
      <c r="R215" s="1393" t="s">
        <v>401</v>
      </c>
      <c r="S215" s="1393"/>
      <c r="T215" s="1393" t="s">
        <v>402</v>
      </c>
      <c r="U215" s="1393"/>
      <c r="V215" s="1393" t="s">
        <v>403</v>
      </c>
      <c r="W215" s="1393"/>
      <c r="X215" s="1393" t="s">
        <v>404</v>
      </c>
      <c r="Y215" s="1393"/>
      <c r="Z215" s="1393" t="s">
        <v>405</v>
      </c>
      <c r="AA215" s="1393"/>
      <c r="AB215" s="1393" t="s">
        <v>406</v>
      </c>
      <c r="AC215" s="1393"/>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08" t="s">
        <v>1465</v>
      </c>
      <c r="S221" s="1408"/>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90" t="s">
        <v>193</v>
      </c>
      <c r="G222" s="1390"/>
      <c r="H222" s="1390"/>
      <c r="I222" s="1390"/>
      <c r="J222" s="1390"/>
      <c r="K222" s="787"/>
      <c r="L222" s="681"/>
      <c r="M222" s="681"/>
      <c r="N222" s="707" t="s">
        <v>193</v>
      </c>
      <c r="O222" s="681"/>
      <c r="P222" s="681"/>
      <c r="Q222" s="681"/>
      <c r="R222" s="1390" t="s">
        <v>193</v>
      </c>
      <c r="S222" s="1390"/>
      <c r="T222" s="1390"/>
      <c r="U222" s="708"/>
      <c r="V222" s="708"/>
      <c r="W222" s="708"/>
      <c r="X222" s="708"/>
      <c r="Y222" s="708"/>
      <c r="Z222" s="1390" t="s">
        <v>193</v>
      </c>
      <c r="AA222" s="1390"/>
      <c r="AB222" s="1390"/>
      <c r="AC222" s="1390"/>
      <c r="AD222" s="708"/>
      <c r="AE222" s="708"/>
      <c r="AF222" s="708"/>
      <c r="AG222" s="707"/>
      <c r="AH222" s="707"/>
      <c r="AI222" s="817"/>
      <c r="AJ222" s="817"/>
      <c r="AK222" s="817"/>
      <c r="AL222" s="817"/>
    </row>
    <row r="223" spans="1:41" ht="54.45" customHeight="1">
      <c r="A223" s="1409" t="s">
        <v>408</v>
      </c>
      <c r="B223" s="1397"/>
      <c r="C223" s="1397" t="s">
        <v>1466</v>
      </c>
      <c r="D223" s="1397"/>
      <c r="E223" s="629"/>
      <c r="F223" s="1393" t="s">
        <v>1467</v>
      </c>
      <c r="G223" s="1393"/>
      <c r="H223" s="1410" t="s">
        <v>411</v>
      </c>
      <c r="I223" s="1410"/>
      <c r="J223" s="1393" t="s">
        <v>412</v>
      </c>
      <c r="K223" s="1393"/>
      <c r="L223" s="1393" t="s">
        <v>413</v>
      </c>
      <c r="M223" s="1393"/>
      <c r="N223" s="1393" t="s">
        <v>414</v>
      </c>
      <c r="O223" s="1393"/>
      <c r="P223" s="1393" t="s">
        <v>415</v>
      </c>
      <c r="Q223" s="1393"/>
      <c r="R223" s="1393" t="s">
        <v>416</v>
      </c>
      <c r="S223" s="1393"/>
      <c r="T223" s="1393" t="s">
        <v>417</v>
      </c>
      <c r="U223" s="1393"/>
      <c r="V223" s="1393" t="s">
        <v>693</v>
      </c>
      <c r="W223" s="1393"/>
      <c r="X223" s="725" t="s">
        <v>1468</v>
      </c>
      <c r="Y223" s="1397" t="s">
        <v>1469</v>
      </c>
      <c r="Z223" s="1397"/>
      <c r="AA223" s="666"/>
      <c r="AB223" s="1393" t="s">
        <v>422</v>
      </c>
      <c r="AC223" s="1393"/>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89" t="s">
        <v>1454</v>
      </c>
      <c r="B230" s="1390"/>
      <c r="C230" s="1390"/>
      <c r="D230" s="1390"/>
      <c r="E230" s="1390"/>
      <c r="F230" s="1390"/>
      <c r="G230" s="1390"/>
      <c r="H230" s="1411"/>
      <c r="I230" s="1411"/>
      <c r="J230" s="1411"/>
      <c r="K230" s="1411"/>
      <c r="L230" s="1411"/>
      <c r="M230" s="1411"/>
      <c r="N230" s="1411"/>
      <c r="O230" s="1411"/>
      <c r="P230" s="1412"/>
      <c r="Q230" s="1380" t="s">
        <v>1454</v>
      </c>
      <c r="R230" s="1381"/>
      <c r="S230" s="1381"/>
      <c r="T230" s="1381"/>
      <c r="U230" s="1381"/>
      <c r="V230" s="1381"/>
      <c r="W230" s="1381"/>
      <c r="X230" s="1381"/>
      <c r="Y230" s="1413"/>
      <c r="Z230" s="1413"/>
      <c r="AA230" s="1413"/>
      <c r="AB230" s="1413"/>
      <c r="AC230" s="1413"/>
      <c r="AD230" s="1413"/>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97" t="s">
        <v>423</v>
      </c>
      <c r="B232" s="1397"/>
      <c r="C232" s="666"/>
      <c r="D232" s="1393" t="s">
        <v>424</v>
      </c>
      <c r="E232" s="1393"/>
      <c r="F232" s="1393" t="s">
        <v>425</v>
      </c>
      <c r="G232" s="1393"/>
      <c r="H232" s="1393" t="s">
        <v>1470</v>
      </c>
      <c r="I232" s="1393"/>
      <c r="J232" s="1393" t="s">
        <v>427</v>
      </c>
      <c r="K232" s="1393"/>
      <c r="L232" s="1393" t="s">
        <v>428</v>
      </c>
      <c r="M232" s="1393"/>
      <c r="N232" s="1393" t="s">
        <v>429</v>
      </c>
      <c r="O232" s="1393"/>
      <c r="P232" s="1393" t="s">
        <v>430</v>
      </c>
      <c r="Q232" s="1393"/>
      <c r="R232" s="1393" t="s">
        <v>432</v>
      </c>
      <c r="S232" s="1393"/>
      <c r="T232" s="1393" t="s">
        <v>433</v>
      </c>
      <c r="U232" s="1393"/>
      <c r="V232" s="1393" t="s">
        <v>434</v>
      </c>
      <c r="W232" s="1393"/>
      <c r="X232" s="1393" t="s">
        <v>435</v>
      </c>
      <c r="Y232" s="1393"/>
      <c r="Z232" s="1393" t="s">
        <v>436</v>
      </c>
      <c r="AA232" s="1393"/>
      <c r="AB232" s="1393" t="s">
        <v>437</v>
      </c>
      <c r="AC232" s="1393"/>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81" t="s">
        <v>193</v>
      </c>
      <c r="W239" s="1381"/>
      <c r="X239" s="1381"/>
      <c r="Y239" s="1381"/>
      <c r="Z239" s="1381"/>
      <c r="AA239" s="1381"/>
      <c r="AB239" s="1381"/>
      <c r="AC239" s="1413"/>
      <c r="AD239" s="1413"/>
      <c r="AE239" s="1413"/>
      <c r="AF239" s="1413"/>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97" t="s">
        <v>438</v>
      </c>
      <c r="B241" s="1397"/>
      <c r="C241" s="729"/>
      <c r="D241" s="1393" t="s">
        <v>439</v>
      </c>
      <c r="E241" s="1393"/>
      <c r="F241" s="1393" t="s">
        <v>440</v>
      </c>
      <c r="G241" s="1393"/>
      <c r="H241" s="1393" t="s">
        <v>441</v>
      </c>
      <c r="I241" s="1393"/>
      <c r="J241" s="630" t="s">
        <v>442</v>
      </c>
      <c r="K241" s="1397" t="s">
        <v>443</v>
      </c>
      <c r="L241" s="1397"/>
      <c r="M241" s="631" t="s">
        <v>1448</v>
      </c>
      <c r="N241" s="1393" t="s">
        <v>698</v>
      </c>
      <c r="O241" s="1393"/>
      <c r="P241" s="1393" t="s">
        <v>699</v>
      </c>
      <c r="Q241" s="1393"/>
      <c r="R241" s="1393" t="s">
        <v>700</v>
      </c>
      <c r="S241" s="1393"/>
      <c r="T241" s="1393" t="s">
        <v>701</v>
      </c>
      <c r="U241" s="1393"/>
      <c r="V241" s="1393" t="s">
        <v>702</v>
      </c>
      <c r="W241" s="1393"/>
      <c r="X241" s="1393" t="s">
        <v>703</v>
      </c>
      <c r="Y241" s="1393"/>
      <c r="Z241" s="1393" t="s">
        <v>704</v>
      </c>
      <c r="AA241" s="1393"/>
      <c r="AB241" s="1393" t="s">
        <v>705</v>
      </c>
      <c r="AC241" s="1393"/>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81" t="s">
        <v>1454</v>
      </c>
      <c r="P247" s="1381"/>
      <c r="Q247" s="1381"/>
      <c r="R247" s="1381"/>
      <c r="S247" s="1401"/>
      <c r="T247" s="894"/>
      <c r="U247" s="1415" t="s">
        <v>1454</v>
      </c>
      <c r="V247" s="1416"/>
      <c r="W247" s="1417"/>
      <c r="X247" s="1418"/>
      <c r="Y247" s="1413"/>
      <c r="Z247" s="1413"/>
      <c r="AA247" s="1413"/>
      <c r="AB247" s="1413"/>
      <c r="AC247" s="1413"/>
      <c r="AD247" s="1413"/>
      <c r="AE247" s="1413"/>
      <c r="AF247" s="1413"/>
      <c r="AG247" s="1413"/>
      <c r="AH247" s="141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93" t="s">
        <v>707</v>
      </c>
      <c r="E249" s="1393"/>
      <c r="F249" s="1393" t="s">
        <v>708</v>
      </c>
      <c r="G249" s="1393"/>
      <c r="H249" s="1393" t="s">
        <v>709</v>
      </c>
      <c r="I249" s="1393"/>
      <c r="J249" s="630" t="s">
        <v>710</v>
      </c>
      <c r="K249" s="630"/>
      <c r="L249" s="1393" t="s">
        <v>711</v>
      </c>
      <c r="M249" s="1393"/>
      <c r="N249" s="1393" t="s">
        <v>712</v>
      </c>
      <c r="O249" s="1393"/>
      <c r="P249" s="1393" t="s">
        <v>713</v>
      </c>
      <c r="Q249" s="1393"/>
      <c r="R249" s="1393" t="s">
        <v>714</v>
      </c>
      <c r="S249" s="1393"/>
      <c r="T249" s="1393" t="s">
        <v>715</v>
      </c>
      <c r="U249" s="1393"/>
      <c r="V249" s="1393" t="s">
        <v>716</v>
      </c>
      <c r="W249" s="1393"/>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90" t="s">
        <v>193</v>
      </c>
      <c r="K255" s="1390"/>
      <c r="L255" s="1390"/>
      <c r="M255" s="1390"/>
      <c r="N255" s="1390"/>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414" t="s">
        <v>193</v>
      </c>
      <c r="M279" s="1414"/>
      <c r="N279" s="1414"/>
      <c r="O279" s="1414"/>
      <c r="P279" s="1414"/>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13"/>
      <c r="K304" s="1413"/>
      <c r="L304" s="1413"/>
      <c r="M304" s="1413"/>
      <c r="N304" s="1413"/>
      <c r="O304" s="1413"/>
      <c r="P304" s="1413"/>
      <c r="Q304" s="1413"/>
      <c r="R304" s="1413"/>
      <c r="S304" s="1413"/>
      <c r="T304" s="1413"/>
      <c r="U304" s="1413"/>
      <c r="V304" s="1413"/>
      <c r="W304" s="1413"/>
      <c r="X304" s="1413"/>
      <c r="Y304" s="1413"/>
      <c r="Z304" s="1381" t="s">
        <v>1477</v>
      </c>
      <c r="AA304" s="1381"/>
      <c r="AB304" s="1381"/>
      <c r="AC304" s="1381"/>
      <c r="AD304" s="1381"/>
      <c r="AE304" s="1381"/>
      <c r="AF304" s="1401"/>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25" t="s">
        <v>1451</v>
      </c>
      <c r="Q305" s="1425"/>
      <c r="R305" s="666"/>
      <c r="S305" s="649"/>
      <c r="T305" s="892">
        <v>1</v>
      </c>
      <c r="U305" s="1426" t="s">
        <v>1471</v>
      </c>
      <c r="V305" s="1426"/>
      <c r="W305" s="1426"/>
      <c r="X305" s="1426"/>
      <c r="Y305" s="1426"/>
      <c r="Z305" s="1419"/>
      <c r="AA305" s="1419"/>
      <c r="AB305" s="1422"/>
      <c r="AC305" s="1422"/>
      <c r="AD305" s="1427"/>
      <c r="AE305" s="1428"/>
      <c r="AF305" s="1428"/>
      <c r="AG305" s="1428"/>
      <c r="AH305" s="1428"/>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19" t="s">
        <v>1472</v>
      </c>
      <c r="V306" s="1419"/>
      <c r="W306" s="1419"/>
      <c r="X306" s="1419"/>
      <c r="Y306" s="1419"/>
      <c r="Z306" s="1419"/>
      <c r="AA306" s="1419"/>
      <c r="AB306" s="1420"/>
      <c r="AC306" s="1420"/>
      <c r="AD306" s="1429">
        <f>AB306+AB307+AB308</f>
        <v>0</v>
      </c>
      <c r="AE306" s="1429"/>
      <c r="AF306" s="1429"/>
      <c r="AG306" s="1429"/>
      <c r="AH306" s="1429"/>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30" t="s">
        <v>1473</v>
      </c>
      <c r="V307" s="1431"/>
      <c r="W307" s="1431"/>
      <c r="X307" s="1431"/>
      <c r="Y307" s="1431"/>
      <c r="Z307" s="1431"/>
      <c r="AA307" s="1432"/>
      <c r="AB307" s="1420"/>
      <c r="AC307" s="1420"/>
      <c r="AD307" s="1429"/>
      <c r="AE307" s="1429"/>
      <c r="AF307" s="1429"/>
      <c r="AG307" s="1429"/>
      <c r="AH307" s="1429"/>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19" t="s">
        <v>1474</v>
      </c>
      <c r="V308" s="1419"/>
      <c r="W308" s="1419"/>
      <c r="X308" s="1419"/>
      <c r="Y308" s="1419"/>
      <c r="Z308" s="1419"/>
      <c r="AA308" s="1419"/>
      <c r="AB308" s="1433"/>
      <c r="AC308" s="1434"/>
      <c r="AD308" s="1429"/>
      <c r="AE308" s="1429"/>
      <c r="AF308" s="1429"/>
      <c r="AG308" s="1429"/>
      <c r="AH308" s="1429"/>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19" t="s">
        <v>1475</v>
      </c>
      <c r="V309" s="1419"/>
      <c r="W309" s="1419"/>
      <c r="X309" s="1419"/>
      <c r="Y309" s="1419"/>
      <c r="Z309" s="1419"/>
      <c r="AA309" s="1419"/>
      <c r="AB309" s="1420"/>
      <c r="AC309" s="1420"/>
      <c r="AD309" s="1421">
        <f>AB309+AB310</f>
        <v>0</v>
      </c>
      <c r="AE309" s="1421"/>
      <c r="AF309" s="1421"/>
      <c r="AG309" s="1421"/>
      <c r="AH309" s="1421"/>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19" t="s">
        <v>1476</v>
      </c>
      <c r="V310" s="1419"/>
      <c r="W310" s="1419"/>
      <c r="X310" s="1419"/>
      <c r="Y310" s="1419"/>
      <c r="Z310" s="1419"/>
      <c r="AA310" s="1419"/>
      <c r="AB310" s="1422"/>
      <c r="AC310" s="1422"/>
      <c r="AD310" s="1421"/>
      <c r="AE310" s="1421"/>
      <c r="AF310" s="1421"/>
      <c r="AG310" s="1421"/>
      <c r="AH310" s="1421"/>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23" t="s">
        <v>1478</v>
      </c>
      <c r="V311" s="1423"/>
      <c r="W311" s="1423"/>
      <c r="X311" s="1423"/>
      <c r="Y311" s="1423"/>
      <c r="Z311" s="1423"/>
      <c r="AA311" s="1423"/>
      <c r="AB311" s="1424"/>
      <c r="AC311" s="1424"/>
      <c r="AD311" s="1421"/>
      <c r="AE311" s="1421"/>
      <c r="AF311" s="1421"/>
      <c r="AG311" s="1421"/>
      <c r="AH311" s="1421"/>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4">
        <v>52</v>
      </c>
      <c r="B1" s="1455"/>
      <c r="C1" s="1455"/>
      <c r="D1" s="1455"/>
      <c r="E1" s="1455"/>
      <c r="F1" s="1455"/>
      <c r="G1" s="1455"/>
      <c r="H1" s="1455"/>
      <c r="I1" s="1455"/>
      <c r="J1" s="1455"/>
      <c r="K1" s="1455"/>
      <c r="L1" s="1455"/>
      <c r="M1" s="1455"/>
      <c r="N1" s="1455"/>
      <c r="O1" s="1455"/>
      <c r="P1" s="1455"/>
      <c r="Q1" s="1455"/>
      <c r="R1" s="1455"/>
      <c r="S1" s="1455"/>
      <c r="T1" s="1455"/>
      <c r="U1" s="1455"/>
      <c r="V1" s="1455"/>
      <c r="W1" s="1455"/>
      <c r="X1" s="1455"/>
      <c r="Y1" s="1455"/>
      <c r="Z1" s="1455"/>
      <c r="AA1" s="1455"/>
      <c r="AB1" s="1455"/>
      <c r="AC1" s="1455"/>
      <c r="AD1" s="1455"/>
      <c r="AE1" s="1456"/>
      <c r="AF1" s="424"/>
      <c r="AG1" s="424"/>
      <c r="AH1" s="424"/>
      <c r="AI1" s="424"/>
      <c r="AJ1" s="424"/>
      <c r="AK1" s="425"/>
    </row>
    <row r="2" spans="1:37">
      <c r="A2" s="1457">
        <f ca="1">NOW()-1</f>
        <v>46089.483500578703</v>
      </c>
      <c r="B2" s="1458"/>
      <c r="C2" s="1458"/>
      <c r="D2" s="1458"/>
      <c r="E2" s="1458"/>
      <c r="F2" s="1458"/>
      <c r="G2" s="1458"/>
      <c r="H2" s="1458"/>
      <c r="I2" s="1458"/>
      <c r="J2" s="1458"/>
      <c r="K2" s="1458"/>
      <c r="L2" s="1458"/>
      <c r="M2" s="1458"/>
      <c r="N2" s="1458"/>
      <c r="O2" s="1458"/>
      <c r="P2" s="1458"/>
      <c r="Q2" s="1458"/>
      <c r="R2" s="1458"/>
      <c r="S2" s="1458"/>
      <c r="T2" s="1458"/>
      <c r="U2" s="1458"/>
      <c r="V2" s="1458"/>
      <c r="W2" s="1458"/>
      <c r="X2" s="1458"/>
      <c r="Y2" s="1458"/>
      <c r="Z2" s="1458"/>
      <c r="AA2" s="1458"/>
      <c r="AB2" s="1458"/>
      <c r="AC2" s="1458"/>
      <c r="AD2" s="1458"/>
      <c r="AE2" s="427"/>
      <c r="AK2" s="428"/>
    </row>
    <row r="3" spans="1:37" ht="12.6" thickBot="1">
      <c r="A3" s="1459" t="s">
        <v>1127</v>
      </c>
      <c r="B3" s="1460"/>
      <c r="C3" s="1460"/>
      <c r="D3" s="1460"/>
      <c r="E3" s="1460"/>
      <c r="F3" s="1460"/>
      <c r="G3" s="1460"/>
      <c r="H3" s="1460"/>
      <c r="I3" s="1460"/>
      <c r="J3" s="1460"/>
      <c r="K3" s="1460"/>
      <c r="L3" s="1460"/>
      <c r="M3" s="1460"/>
      <c r="N3" s="1460"/>
      <c r="O3" s="1460"/>
      <c r="P3" s="1460"/>
      <c r="Q3" s="1460"/>
      <c r="R3" s="1460"/>
      <c r="S3" s="1460"/>
      <c r="T3" s="1460"/>
      <c r="U3" s="1460"/>
      <c r="V3" s="1460"/>
      <c r="W3" s="1460"/>
      <c r="X3" s="1460"/>
      <c r="Y3" s="1460"/>
      <c r="Z3" s="1460"/>
      <c r="AA3" s="1460"/>
      <c r="AB3" s="1460"/>
      <c r="AC3" s="1460"/>
      <c r="AD3" s="1460"/>
      <c r="AE3" s="1461"/>
      <c r="AK3" s="428"/>
    </row>
    <row r="4" spans="1:37">
      <c r="A4" s="1462" t="s">
        <v>1128</v>
      </c>
      <c r="B4" s="1463"/>
      <c r="C4" s="1463"/>
      <c r="D4" s="1463"/>
      <c r="E4" s="1463"/>
      <c r="F4" s="1463"/>
      <c r="G4" s="1463"/>
      <c r="H4" s="1463"/>
      <c r="I4" s="1463"/>
      <c r="J4" s="1463"/>
      <c r="K4" s="1463"/>
      <c r="L4" s="1463"/>
      <c r="M4" s="1463"/>
      <c r="N4" s="1463"/>
      <c r="O4" s="1463"/>
      <c r="P4" s="1464"/>
      <c r="Q4" s="429"/>
      <c r="R4" s="429"/>
      <c r="S4" s="1467"/>
      <c r="T4" s="1467"/>
      <c r="U4" s="1467"/>
      <c r="V4" s="430"/>
      <c r="W4" s="1468"/>
      <c r="X4" s="1468"/>
      <c r="Y4" s="1468"/>
      <c r="Z4" s="1468"/>
      <c r="AA4" s="430"/>
      <c r="AB4" s="430"/>
      <c r="AC4" s="431"/>
      <c r="AD4" s="431"/>
      <c r="AE4" s="432"/>
      <c r="AK4" s="428"/>
    </row>
    <row r="5" spans="1:37">
      <c r="A5" s="1465"/>
      <c r="B5" s="1444"/>
      <c r="C5" s="1444"/>
      <c r="D5" s="1444"/>
      <c r="E5" s="1444"/>
      <c r="F5" s="1444"/>
      <c r="G5" s="1444"/>
      <c r="H5" s="1444"/>
      <c r="I5" s="1444"/>
      <c r="J5" s="1444"/>
      <c r="K5" s="1444"/>
      <c r="L5" s="1444"/>
      <c r="M5" s="1444"/>
      <c r="N5" s="1444"/>
      <c r="O5" s="1444"/>
      <c r="P5" s="1466"/>
      <c r="Q5" s="429"/>
      <c r="R5" s="429"/>
      <c r="S5" s="1469" t="s">
        <v>1129</v>
      </c>
      <c r="T5" s="1469"/>
      <c r="U5" s="1469"/>
      <c r="V5" s="431"/>
      <c r="W5" s="1451" t="s">
        <v>1130</v>
      </c>
      <c r="X5" s="1451"/>
      <c r="Y5" s="1451"/>
      <c r="Z5" s="1451"/>
      <c r="AA5" s="431"/>
      <c r="AB5" s="431"/>
      <c r="AC5" s="431"/>
      <c r="AD5" s="431"/>
      <c r="AE5" s="432"/>
      <c r="AK5" s="428"/>
    </row>
    <row r="6" spans="1:37">
      <c r="A6" s="1438" t="s">
        <v>977</v>
      </c>
      <c r="B6" s="1439"/>
      <c r="C6" s="1439" t="s">
        <v>13</v>
      </c>
      <c r="D6" s="1439"/>
      <c r="E6" s="1439"/>
      <c r="F6" s="1439" t="s">
        <v>1131</v>
      </c>
      <c r="G6" s="1439"/>
      <c r="H6" s="1441" t="s">
        <v>1132</v>
      </c>
      <c r="I6" s="1441"/>
      <c r="J6" s="1441"/>
      <c r="K6" s="1441" t="s">
        <v>1133</v>
      </c>
      <c r="L6" s="1441"/>
      <c r="M6" s="1441"/>
      <c r="N6" s="1441" t="s">
        <v>822</v>
      </c>
      <c r="O6" s="1441"/>
      <c r="P6" s="1443"/>
      <c r="Q6" s="429"/>
      <c r="R6" s="429"/>
      <c r="S6" s="429"/>
      <c r="T6" s="431"/>
      <c r="U6" s="431"/>
      <c r="V6" s="431"/>
      <c r="W6" s="431"/>
      <c r="X6" s="431"/>
      <c r="Y6" s="431"/>
      <c r="Z6" s="431"/>
      <c r="AA6" s="431"/>
      <c r="AB6" s="431"/>
      <c r="AC6" s="431"/>
      <c r="AD6" s="431" t="s">
        <v>45</v>
      </c>
      <c r="AE6" s="432"/>
      <c r="AK6" s="428"/>
    </row>
    <row r="7" spans="1:37">
      <c r="A7" s="1438"/>
      <c r="B7" s="1439"/>
      <c r="C7" s="1439"/>
      <c r="D7" s="1439"/>
      <c r="E7" s="1439"/>
      <c r="F7" s="1439"/>
      <c r="G7" s="1439"/>
      <c r="H7" s="1441"/>
      <c r="I7" s="1441"/>
      <c r="J7" s="1441"/>
      <c r="K7" s="1441"/>
      <c r="L7" s="1441"/>
      <c r="M7" s="1441"/>
      <c r="N7" s="1441"/>
      <c r="O7" s="1441"/>
      <c r="P7" s="1443"/>
      <c r="Q7" s="429"/>
      <c r="R7" s="429"/>
      <c r="S7" s="429"/>
      <c r="T7" s="431"/>
      <c r="U7" s="431"/>
      <c r="V7" s="431"/>
      <c r="W7" s="431"/>
      <c r="X7" s="431"/>
      <c r="Y7" s="431"/>
      <c r="Z7" s="431"/>
      <c r="AA7" s="412"/>
      <c r="AB7" s="412"/>
      <c r="AC7" s="412"/>
      <c r="AD7" s="412"/>
      <c r="AE7" s="432"/>
      <c r="AK7" s="428"/>
    </row>
    <row r="8" spans="1:37" ht="19.95" customHeight="1">
      <c r="A8" s="1438">
        <v>1</v>
      </c>
      <c r="B8" s="1439"/>
      <c r="C8" s="1444" t="s">
        <v>1134</v>
      </c>
      <c r="D8" s="1444"/>
      <c r="E8" s="1444"/>
      <c r="F8" s="1441" t="s">
        <v>1030</v>
      </c>
      <c r="G8" s="1441"/>
      <c r="H8" s="1442">
        <v>187.17500000000001</v>
      </c>
      <c r="I8" s="1442"/>
      <c r="J8" s="1442"/>
      <c r="K8" s="1442">
        <v>187.17500000000001</v>
      </c>
      <c r="L8" s="1442"/>
      <c r="M8" s="1442"/>
      <c r="N8" s="1441">
        <f t="shared" ref="N8:N16" si="0">H8-K8</f>
        <v>0</v>
      </c>
      <c r="O8" s="1441"/>
      <c r="P8" s="1443"/>
      <c r="Q8" s="429" t="s">
        <v>1357</v>
      </c>
      <c r="R8" s="429"/>
      <c r="S8" s="429"/>
      <c r="T8" s="431"/>
      <c r="U8" s="431"/>
      <c r="V8" s="431"/>
      <c r="W8" s="431"/>
      <c r="X8" s="431"/>
      <c r="Y8" s="431"/>
      <c r="Z8" s="431"/>
      <c r="AA8" s="412"/>
      <c r="AB8" s="412"/>
      <c r="AC8" s="412"/>
      <c r="AD8" s="412"/>
      <c r="AE8" s="432"/>
      <c r="AK8" s="428"/>
    </row>
    <row r="9" spans="1:37" ht="30.6" customHeight="1">
      <c r="A9" s="1438">
        <f>A8+1</f>
        <v>2</v>
      </c>
      <c r="B9" s="1439"/>
      <c r="C9" s="1444" t="s">
        <v>1135</v>
      </c>
      <c r="D9" s="1444"/>
      <c r="E9" s="1444"/>
      <c r="F9" s="1441" t="s">
        <v>1030</v>
      </c>
      <c r="G9" s="1441"/>
      <c r="H9" s="1442">
        <v>187.17500000000001</v>
      </c>
      <c r="I9" s="1442"/>
      <c r="J9" s="1442"/>
      <c r="K9" s="1447">
        <v>169.16800000000001</v>
      </c>
      <c r="L9" s="1448"/>
      <c r="M9" s="1449"/>
      <c r="N9" s="1441">
        <f t="shared" si="0"/>
        <v>18.007000000000005</v>
      </c>
      <c r="O9" s="1441"/>
      <c r="P9" s="1443"/>
      <c r="Q9" s="429" t="s">
        <v>1356</v>
      </c>
      <c r="R9" s="429"/>
      <c r="S9" s="429"/>
      <c r="T9" s="431"/>
      <c r="U9" s="431"/>
      <c r="V9" s="431"/>
      <c r="W9" s="431"/>
      <c r="X9" s="431"/>
      <c r="Y9" s="431"/>
      <c r="Z9" s="431"/>
      <c r="AA9" s="412"/>
      <c r="AB9" s="412"/>
      <c r="AC9" s="412"/>
      <c r="AD9" s="412"/>
      <c r="AE9" s="432"/>
      <c r="AK9" s="428"/>
    </row>
    <row r="10" spans="1:37" ht="33" customHeight="1">
      <c r="A10" s="1438">
        <f t="shared" ref="A10:A16" si="1">A9+1</f>
        <v>3</v>
      </c>
      <c r="B10" s="1439"/>
      <c r="C10" s="1444" t="s">
        <v>1136</v>
      </c>
      <c r="D10" s="1444"/>
      <c r="E10" s="1444"/>
      <c r="F10" s="1445" t="s">
        <v>1137</v>
      </c>
      <c r="G10" s="1446"/>
      <c r="H10" s="1447">
        <v>73</v>
      </c>
      <c r="I10" s="1448"/>
      <c r="J10" s="1449"/>
      <c r="K10" s="1450">
        <v>73</v>
      </c>
      <c r="L10" s="1450"/>
      <c r="M10" s="1450"/>
      <c r="N10" s="1441">
        <f t="shared" si="0"/>
        <v>0</v>
      </c>
      <c r="O10" s="1441"/>
      <c r="P10" s="1443"/>
      <c r="Q10" s="429"/>
      <c r="R10" s="429"/>
      <c r="S10" s="429"/>
      <c r="T10" s="431"/>
      <c r="U10" s="431"/>
      <c r="V10" s="431"/>
      <c r="W10" s="431"/>
      <c r="X10" s="431"/>
      <c r="Y10" s="431"/>
      <c r="Z10" s="431"/>
      <c r="AA10" s="412"/>
      <c r="AB10" s="412"/>
      <c r="AC10" s="412"/>
      <c r="AD10" s="412"/>
      <c r="AE10" s="432"/>
      <c r="AK10" s="428"/>
    </row>
    <row r="11" spans="1:37" ht="25.8" customHeight="1">
      <c r="A11" s="1438">
        <f t="shared" si="1"/>
        <v>4</v>
      </c>
      <c r="B11" s="1439"/>
      <c r="C11" s="1444" t="s">
        <v>269</v>
      </c>
      <c r="D11" s="1444"/>
      <c r="E11" s="1444"/>
      <c r="F11" s="1445" t="s">
        <v>1137</v>
      </c>
      <c r="G11" s="1446"/>
      <c r="H11" s="1447">
        <v>495</v>
      </c>
      <c r="I11" s="1448"/>
      <c r="J11" s="1449"/>
      <c r="K11" s="1450">
        <v>79</v>
      </c>
      <c r="L11" s="1450"/>
      <c r="M11" s="1450"/>
      <c r="N11" s="1441">
        <f t="shared" si="0"/>
        <v>416</v>
      </c>
      <c r="O11" s="1441"/>
      <c r="P11" s="1443"/>
      <c r="Q11" s="429"/>
      <c r="R11" s="429"/>
      <c r="S11" s="431"/>
      <c r="T11" s="431"/>
      <c r="U11" s="431"/>
      <c r="V11" s="431"/>
      <c r="W11" s="431"/>
      <c r="X11" s="431"/>
      <c r="Y11" s="431"/>
      <c r="Z11" s="431"/>
      <c r="AA11" s="413" t="s">
        <v>1138</v>
      </c>
      <c r="AB11" s="412"/>
      <c r="AC11" s="412"/>
      <c r="AD11" s="412"/>
      <c r="AE11" s="432"/>
      <c r="AK11" s="428"/>
    </row>
    <row r="12" spans="1:37" ht="21" customHeight="1">
      <c r="A12" s="1438">
        <f t="shared" si="1"/>
        <v>5</v>
      </c>
      <c r="B12" s="1439"/>
      <c r="C12" s="1444" t="s">
        <v>270</v>
      </c>
      <c r="D12" s="1444"/>
      <c r="E12" s="1444"/>
      <c r="F12" s="1445" t="s">
        <v>1139</v>
      </c>
      <c r="G12" s="1446"/>
      <c r="H12" s="1447">
        <v>497</v>
      </c>
      <c r="I12" s="1448"/>
      <c r="J12" s="1449"/>
      <c r="K12" s="1450">
        <v>61</v>
      </c>
      <c r="L12" s="1450"/>
      <c r="M12" s="1450"/>
      <c r="N12" s="1441">
        <f t="shared" si="0"/>
        <v>436</v>
      </c>
      <c r="O12" s="1441"/>
      <c r="P12" s="1443"/>
      <c r="Q12" s="429"/>
      <c r="R12" s="429"/>
      <c r="S12" s="433" t="s">
        <v>1140</v>
      </c>
      <c r="T12" s="431"/>
      <c r="U12" s="431"/>
      <c r="V12" s="1451" t="s">
        <v>184</v>
      </c>
      <c r="W12" s="1451"/>
      <c r="X12" s="1451"/>
      <c r="Y12" s="431"/>
      <c r="Z12" s="431"/>
      <c r="AA12" s="412"/>
      <c r="AB12" s="1452"/>
      <c r="AC12" s="1452"/>
      <c r="AD12" s="412"/>
      <c r="AE12" s="434" t="s">
        <v>1141</v>
      </c>
      <c r="AK12" s="428"/>
    </row>
    <row r="13" spans="1:37">
      <c r="A13" s="1438">
        <f t="shared" si="1"/>
        <v>6</v>
      </c>
      <c r="B13" s="1439"/>
      <c r="C13" s="1444" t="s">
        <v>1142</v>
      </c>
      <c r="D13" s="1444"/>
      <c r="E13" s="1444"/>
      <c r="F13" s="1445" t="s">
        <v>1137</v>
      </c>
      <c r="G13" s="1446"/>
      <c r="H13" s="1447">
        <v>495</v>
      </c>
      <c r="I13" s="1448"/>
      <c r="J13" s="1449"/>
      <c r="K13" s="1450"/>
      <c r="L13" s="1450"/>
      <c r="M13" s="1450"/>
      <c r="N13" s="1441">
        <f t="shared" si="0"/>
        <v>495</v>
      </c>
      <c r="O13" s="1441"/>
      <c r="P13" s="1443"/>
      <c r="Q13" s="429"/>
      <c r="R13" s="429"/>
      <c r="S13" s="431" t="s">
        <v>270</v>
      </c>
      <c r="T13" s="431"/>
      <c r="U13" s="431"/>
      <c r="V13" s="1453"/>
      <c r="W13" s="1453"/>
      <c r="X13" s="1453"/>
      <c r="Y13" s="431"/>
      <c r="Z13" s="431"/>
      <c r="AA13" s="435"/>
      <c r="AB13" s="412"/>
      <c r="AC13" s="412"/>
      <c r="AD13" s="412"/>
      <c r="AE13" s="432"/>
      <c r="AK13" s="428"/>
    </row>
    <row r="14" spans="1:37" ht="21" customHeight="1">
      <c r="A14" s="1438">
        <f t="shared" si="1"/>
        <v>7</v>
      </c>
      <c r="B14" s="1439"/>
      <c r="C14" s="1444" t="s">
        <v>482</v>
      </c>
      <c r="D14" s="1444"/>
      <c r="E14" s="1444"/>
      <c r="F14" s="1445" t="s">
        <v>1139</v>
      </c>
      <c r="G14" s="1446"/>
      <c r="H14" s="1447">
        <v>405</v>
      </c>
      <c r="I14" s="1448"/>
      <c r="J14" s="1449"/>
      <c r="K14" s="1450"/>
      <c r="L14" s="1450"/>
      <c r="M14" s="1450"/>
      <c r="N14" s="1441">
        <f t="shared" si="0"/>
        <v>405</v>
      </c>
      <c r="O14" s="1441"/>
      <c r="P14" s="1443"/>
      <c r="Q14" s="429"/>
      <c r="R14" s="429"/>
      <c r="S14" s="429"/>
      <c r="T14" s="431"/>
      <c r="U14" s="431"/>
      <c r="V14" s="431"/>
      <c r="W14" s="431"/>
      <c r="X14" s="431"/>
      <c r="Y14" s="431"/>
      <c r="Z14" s="431"/>
      <c r="AA14" s="412"/>
      <c r="AB14" s="412"/>
      <c r="AC14" s="412"/>
      <c r="AD14" s="412"/>
      <c r="AE14" s="432"/>
      <c r="AK14" s="428"/>
    </row>
    <row r="15" spans="1:37">
      <c r="A15" s="1438">
        <f t="shared" si="1"/>
        <v>8</v>
      </c>
      <c r="B15" s="1439"/>
      <c r="C15" s="1440" t="s">
        <v>1143</v>
      </c>
      <c r="D15" s="1440"/>
      <c r="E15" s="1440"/>
      <c r="F15" s="1441" t="s">
        <v>1030</v>
      </c>
      <c r="G15" s="1441"/>
      <c r="H15" s="1442">
        <v>187.17500000000001</v>
      </c>
      <c r="I15" s="1442"/>
      <c r="J15" s="1442"/>
      <c r="K15" s="1441"/>
      <c r="L15" s="1441"/>
      <c r="M15" s="1441"/>
      <c r="N15" s="1441">
        <f t="shared" si="0"/>
        <v>187.17500000000001</v>
      </c>
      <c r="O15" s="1441"/>
      <c r="P15" s="1443"/>
      <c r="Q15" s="429"/>
      <c r="R15" s="429"/>
      <c r="S15" s="429"/>
      <c r="T15" s="431"/>
      <c r="U15" s="431"/>
      <c r="V15" s="431"/>
      <c r="W15" s="431"/>
      <c r="X15" s="431" t="s">
        <v>1144</v>
      </c>
      <c r="Y15" s="431"/>
      <c r="Z15" s="431"/>
      <c r="AA15" s="431"/>
      <c r="AB15" s="431"/>
      <c r="AC15" s="431"/>
      <c r="AD15" s="431"/>
      <c r="AE15" s="432"/>
      <c r="AK15" s="428"/>
    </row>
    <row r="16" spans="1:37" ht="20.25" customHeight="1">
      <c r="A16" s="1438">
        <f t="shared" si="1"/>
        <v>9</v>
      </c>
      <c r="B16" s="1439"/>
      <c r="C16" s="1440" t="s">
        <v>1145</v>
      </c>
      <c r="D16" s="1440"/>
      <c r="E16" s="1440"/>
      <c r="F16" s="1441" t="s">
        <v>1030</v>
      </c>
      <c r="G16" s="1441"/>
      <c r="H16" s="1442">
        <v>187.17500000000001</v>
      </c>
      <c r="I16" s="1442"/>
      <c r="J16" s="1442"/>
      <c r="K16" s="1441"/>
      <c r="L16" s="1441"/>
      <c r="M16" s="1441"/>
      <c r="N16" s="1441">
        <f t="shared" si="0"/>
        <v>187.17500000000001</v>
      </c>
      <c r="O16" s="1441"/>
      <c r="P16" s="1443"/>
      <c r="Q16" s="436"/>
      <c r="R16" s="436"/>
      <c r="S16" s="436"/>
      <c r="T16" s="437"/>
      <c r="U16" s="437"/>
      <c r="V16" s="437"/>
      <c r="W16" s="437"/>
      <c r="X16" s="437"/>
      <c r="Y16" s="437"/>
      <c r="Z16" s="1435" t="s">
        <v>1146</v>
      </c>
      <c r="AA16" s="1435"/>
      <c r="AB16" s="1436" t="s">
        <v>1147</v>
      </c>
      <c r="AC16" s="1436"/>
      <c r="AD16" s="1436"/>
      <c r="AE16" s="143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79" t="s">
        <v>263</v>
      </c>
      <c r="B1" s="1479"/>
      <c r="C1" s="1479"/>
      <c r="D1" s="1479"/>
      <c r="E1" s="1479"/>
      <c r="F1" s="1479"/>
      <c r="G1" s="1479"/>
      <c r="H1" s="1479"/>
      <c r="I1" s="1479"/>
      <c r="J1" s="1479"/>
      <c r="K1" s="1479"/>
      <c r="L1" s="1479"/>
      <c r="M1" s="1479"/>
      <c r="N1" s="1479"/>
      <c r="O1" s="1479"/>
      <c r="P1" s="1479"/>
      <c r="Q1" s="1479"/>
      <c r="R1" s="1479"/>
      <c r="S1" s="1479"/>
      <c r="T1" s="1479"/>
      <c r="U1" s="1479"/>
      <c r="V1" s="1480"/>
    </row>
    <row r="2" spans="1:43" ht="15" thickBot="1">
      <c r="A2" s="1481" t="s">
        <v>264</v>
      </c>
      <c r="B2" s="1298"/>
      <c r="C2" s="1298"/>
      <c r="D2" s="1298"/>
      <c r="E2" s="1298"/>
      <c r="F2" s="1298"/>
      <c r="G2" s="1298"/>
      <c r="H2" s="1298"/>
      <c r="I2" s="1298"/>
      <c r="J2" s="1298"/>
      <c r="K2" s="1298"/>
      <c r="L2" s="1298"/>
      <c r="M2" s="1298"/>
      <c r="N2" s="1298"/>
      <c r="O2" s="1298"/>
      <c r="P2" s="1298"/>
      <c r="Q2" s="1298"/>
      <c r="R2" s="1298"/>
      <c r="S2" s="1298"/>
      <c r="T2" s="1298"/>
      <c r="U2" s="1298"/>
      <c r="V2" s="148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4" t="s">
        <v>265</v>
      </c>
      <c r="B4" s="1289"/>
      <c r="C4" s="127"/>
      <c r="D4" s="1475" t="s">
        <v>1051</v>
      </c>
      <c r="E4" s="1476"/>
      <c r="F4" s="1470" t="s">
        <v>267</v>
      </c>
      <c r="G4" s="1472" t="s">
        <v>268</v>
      </c>
      <c r="H4" s="1300" t="s">
        <v>269</v>
      </c>
      <c r="I4" s="1301"/>
      <c r="J4" s="1302"/>
      <c r="K4" s="128" t="s">
        <v>270</v>
      </c>
      <c r="L4" s="1300" t="s">
        <v>271</v>
      </c>
      <c r="M4" s="1301"/>
      <c r="N4" s="1302"/>
      <c r="O4" s="1300" t="s">
        <v>272</v>
      </c>
      <c r="P4" s="1301"/>
      <c r="Q4" s="1302"/>
      <c r="R4" s="1483"/>
      <c r="S4" s="1303"/>
      <c r="T4" s="1303"/>
      <c r="U4" s="166"/>
      <c r="V4" s="167"/>
    </row>
    <row r="5" spans="1:43" ht="14.55" customHeight="1">
      <c r="A5" s="1474"/>
      <c r="B5" s="1289"/>
      <c r="C5" s="127"/>
      <c r="D5" s="1477"/>
      <c r="E5" s="1478"/>
      <c r="F5" s="1471"/>
      <c r="G5" s="1473"/>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81" t="s">
        <v>1050</v>
      </c>
      <c r="E6" s="128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5"/>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6"/>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8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4" t="s">
        <v>1063</v>
      </c>
      <c r="C3" s="1484" t="s">
        <v>1064</v>
      </c>
      <c r="D3" s="1249" t="s">
        <v>77</v>
      </c>
      <c r="E3" s="394"/>
      <c r="F3" s="1484" t="s">
        <v>1065</v>
      </c>
      <c r="G3" s="1484"/>
      <c r="H3" s="1484"/>
      <c r="I3" s="1484"/>
      <c r="J3" s="1249" t="s">
        <v>20</v>
      </c>
    </row>
    <row r="4" spans="2:10">
      <c r="B4" s="1484"/>
      <c r="C4" s="1484"/>
      <c r="D4" s="1249"/>
      <c r="E4" s="395"/>
      <c r="F4" s="346" t="s">
        <v>42</v>
      </c>
      <c r="G4" s="346" t="s">
        <v>44</v>
      </c>
      <c r="H4" s="346" t="s">
        <v>46</v>
      </c>
      <c r="I4" s="346" t="s">
        <v>1066</v>
      </c>
      <c r="J4" s="1249"/>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79" t="s">
        <v>263</v>
      </c>
      <c r="B1" s="1479"/>
      <c r="C1" s="1479"/>
      <c r="D1" s="1479"/>
      <c r="E1" s="1479"/>
      <c r="F1" s="1479"/>
      <c r="G1" s="1479"/>
      <c r="H1" s="1479"/>
      <c r="I1" s="1479"/>
      <c r="J1" s="1479"/>
      <c r="K1" s="1479"/>
      <c r="L1" s="1479"/>
      <c r="M1" s="1479"/>
      <c r="N1" s="1479"/>
      <c r="O1" s="1479"/>
      <c r="P1" s="1479"/>
      <c r="Q1" s="1479"/>
      <c r="R1" s="1479"/>
      <c r="S1" s="1479"/>
      <c r="T1" s="1479"/>
      <c r="U1" s="1479"/>
      <c r="V1" s="1480"/>
    </row>
    <row r="2" spans="1:22" ht="15" thickBot="1">
      <c r="A2" s="1481" t="s">
        <v>264</v>
      </c>
      <c r="B2" s="1298"/>
      <c r="C2" s="1298"/>
      <c r="D2" s="1298"/>
      <c r="E2" s="1298"/>
      <c r="F2" s="1298"/>
      <c r="G2" s="1298"/>
      <c r="H2" s="1298"/>
      <c r="I2" s="1298"/>
      <c r="J2" s="1298"/>
      <c r="K2" s="1298"/>
      <c r="L2" s="1298"/>
      <c r="M2" s="1298"/>
      <c r="N2" s="1298"/>
      <c r="O2" s="1298"/>
      <c r="P2" s="1298"/>
      <c r="Q2" s="1298"/>
      <c r="R2" s="1298"/>
      <c r="S2" s="1298"/>
      <c r="T2" s="1298"/>
      <c r="U2" s="1298"/>
      <c r="V2" s="148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4" t="s">
        <v>265</v>
      </c>
      <c r="B4" s="1289"/>
      <c r="C4" s="127"/>
      <c r="D4" s="1475" t="s">
        <v>1051</v>
      </c>
      <c r="E4" s="1476"/>
      <c r="F4" s="1470" t="s">
        <v>267</v>
      </c>
      <c r="G4" s="1472" t="s">
        <v>268</v>
      </c>
      <c r="H4" s="1300" t="s">
        <v>269</v>
      </c>
      <c r="I4" s="1301"/>
      <c r="J4" s="1302"/>
      <c r="K4" s="128" t="s">
        <v>270</v>
      </c>
      <c r="L4" s="1300" t="s">
        <v>271</v>
      </c>
      <c r="M4" s="1301"/>
      <c r="N4" s="1302"/>
      <c r="O4" s="1300" t="s">
        <v>272</v>
      </c>
      <c r="P4" s="1301"/>
      <c r="Q4" s="1302"/>
      <c r="R4" s="1483"/>
      <c r="S4" s="1303"/>
      <c r="T4" s="1303"/>
      <c r="U4" s="166"/>
      <c r="V4" s="167"/>
    </row>
    <row r="5" spans="1:22">
      <c r="A5" s="1474"/>
      <c r="B5" s="1289"/>
      <c r="C5" s="127"/>
      <c r="D5" s="1477"/>
      <c r="E5" s="1478"/>
      <c r="F5" s="1471"/>
      <c r="G5" s="1473"/>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6" t="s">
        <v>1050</v>
      </c>
      <c r="E6" s="128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5"/>
    </row>
    <row r="223" spans="2:9">
      <c r="B223" s="376"/>
      <c r="C223" s="1485"/>
    </row>
    <row r="224" spans="2:9">
      <c r="B224" s="376"/>
      <c r="C224" s="148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1" t="s">
        <v>48</v>
      </c>
      <c r="B1" s="1322"/>
      <c r="C1" s="1322"/>
      <c r="D1" s="1322"/>
      <c r="E1" s="1322"/>
      <c r="F1" s="1322"/>
      <c r="G1" s="1322"/>
      <c r="H1" s="1322"/>
      <c r="I1" s="1322"/>
      <c r="J1" s="1322"/>
      <c r="K1" s="1322"/>
      <c r="L1" s="1322"/>
      <c r="M1" s="1322"/>
      <c r="N1" s="1322"/>
      <c r="O1" s="1322"/>
      <c r="P1" s="1322"/>
      <c r="Q1" s="1322"/>
      <c r="R1" s="1322"/>
      <c r="S1" s="1322"/>
      <c r="T1" s="1322"/>
      <c r="U1" s="1322"/>
      <c r="V1" s="1322"/>
      <c r="W1" s="1322"/>
      <c r="X1" s="1322"/>
      <c r="Y1" s="1322"/>
      <c r="Z1" s="1322"/>
      <c r="AA1" s="1322"/>
      <c r="AB1" s="1322"/>
      <c r="AC1" s="1323"/>
    </row>
    <row r="2" spans="1:29" ht="15.6">
      <c r="A2" s="1324" t="s">
        <v>49</v>
      </c>
      <c r="B2" s="1325"/>
      <c r="C2" s="1325"/>
      <c r="D2" s="1325"/>
      <c r="E2" s="1325"/>
      <c r="F2" s="1325"/>
      <c r="G2" s="1325"/>
      <c r="H2" s="1325"/>
      <c r="I2" s="1325"/>
      <c r="J2" s="1325"/>
      <c r="K2" s="1325"/>
      <c r="L2" s="1325"/>
      <c r="M2" s="1325"/>
      <c r="N2" s="1325"/>
      <c r="O2" s="1325"/>
      <c r="P2" s="1325"/>
      <c r="Q2" s="1325"/>
      <c r="R2" s="1325"/>
      <c r="S2" s="1325"/>
      <c r="T2" s="1325"/>
      <c r="U2" s="1325"/>
      <c r="V2" s="1325"/>
      <c r="W2" s="1325"/>
      <c r="X2" s="1325"/>
      <c r="Y2" s="1325"/>
      <c r="Z2" s="1325"/>
      <c r="AA2" s="1325"/>
      <c r="AB2" s="1325"/>
      <c r="AC2" s="1326"/>
    </row>
    <row r="3" spans="1:29" ht="15.6">
      <c r="A3" s="1324" t="s">
        <v>50</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6"/>
    </row>
    <row r="4" spans="1:29" ht="18">
      <c r="A4" s="1522" t="s">
        <v>836</v>
      </c>
      <c r="B4" s="1523"/>
      <c r="C4" s="1523"/>
      <c r="D4" s="1523"/>
      <c r="E4" s="1523"/>
      <c r="F4" s="1523"/>
      <c r="G4" s="1523"/>
      <c r="H4" s="1523"/>
      <c r="I4" s="1523"/>
      <c r="J4" s="1523"/>
      <c r="K4" s="1523"/>
      <c r="L4" s="1523"/>
      <c r="M4" s="1523"/>
      <c r="N4" s="1523"/>
      <c r="O4" s="1523"/>
      <c r="P4" s="1523"/>
      <c r="Q4" s="1523"/>
      <c r="R4" s="1523"/>
      <c r="S4" s="1523"/>
      <c r="T4" s="1523"/>
      <c r="U4" s="1523"/>
      <c r="V4" s="1523"/>
      <c r="W4" s="1523"/>
      <c r="X4" s="1523"/>
      <c r="Y4" s="1523"/>
      <c r="Z4" s="1523"/>
      <c r="AA4" s="1523"/>
      <c r="AB4" s="1523"/>
      <c r="AC4" s="1524"/>
    </row>
    <row r="5" spans="1:29" ht="15.6">
      <c r="A5" s="1525" t="s">
        <v>837</v>
      </c>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c r="AA5" s="1526"/>
      <c r="AB5" s="1526"/>
      <c r="AC5" s="1527"/>
    </row>
    <row r="6" spans="1:29" ht="21">
      <c r="A6" s="1505" t="s">
        <v>838</v>
      </c>
      <c r="B6" s="1506"/>
      <c r="C6" s="1506"/>
      <c r="D6" s="1506"/>
      <c r="E6" s="1506"/>
      <c r="F6" s="1506"/>
      <c r="G6" s="1506"/>
      <c r="H6" s="1507" t="s">
        <v>839</v>
      </c>
      <c r="I6" s="1507"/>
      <c r="J6" s="1507"/>
      <c r="K6" s="1507"/>
      <c r="L6" s="1508"/>
      <c r="M6" s="1507"/>
      <c r="N6" s="1507"/>
      <c r="O6" s="1507"/>
      <c r="P6" s="1507"/>
      <c r="Q6" s="1507"/>
      <c r="R6" s="1507"/>
      <c r="S6" s="1507"/>
      <c r="T6" s="1507"/>
      <c r="U6" s="1507"/>
      <c r="V6" s="1507"/>
      <c r="W6" s="1507"/>
      <c r="X6" s="1507"/>
      <c r="Y6" s="1507"/>
      <c r="Z6" s="1507"/>
      <c r="AA6" s="1507"/>
      <c r="AB6" s="91"/>
      <c r="AC6" s="92"/>
    </row>
    <row r="7" spans="1:29" ht="15" customHeight="1">
      <c r="A7" s="1495" t="s">
        <v>840</v>
      </c>
      <c r="B7" s="1497" t="s">
        <v>841</v>
      </c>
      <c r="C7" s="1499" t="s">
        <v>77</v>
      </c>
      <c r="D7" s="1501" t="s">
        <v>842</v>
      </c>
      <c r="E7" s="1497" t="s">
        <v>843</v>
      </c>
      <c r="F7" s="1503" t="s">
        <v>844</v>
      </c>
      <c r="G7" s="1499" t="s">
        <v>845</v>
      </c>
      <c r="H7" s="1509" t="s">
        <v>840</v>
      </c>
      <c r="I7" s="1514" t="s">
        <v>841</v>
      </c>
      <c r="J7" s="1509" t="s">
        <v>77</v>
      </c>
      <c r="K7" s="1516" t="s">
        <v>842</v>
      </c>
      <c r="L7" s="1518" t="s">
        <v>846</v>
      </c>
      <c r="M7" s="1514" t="s">
        <v>843</v>
      </c>
      <c r="N7" s="1520" t="s">
        <v>844</v>
      </c>
      <c r="O7" s="1509" t="s">
        <v>845</v>
      </c>
      <c r="P7" s="1509" t="s">
        <v>847</v>
      </c>
      <c r="Q7" s="1509"/>
      <c r="R7" s="1509"/>
      <c r="S7" s="1516" t="s">
        <v>848</v>
      </c>
      <c r="T7" s="1510" t="s">
        <v>849</v>
      </c>
      <c r="U7" s="1510"/>
      <c r="V7" s="1510"/>
      <c r="W7" s="1510" t="s">
        <v>850</v>
      </c>
      <c r="X7" s="1510"/>
      <c r="Y7" s="1510"/>
      <c r="Z7" s="1509" t="s">
        <v>851</v>
      </c>
      <c r="AA7" s="1511" t="s">
        <v>852</v>
      </c>
      <c r="AB7" s="1511"/>
      <c r="AC7" s="1512"/>
    </row>
    <row r="8" spans="1:29" ht="56.55" customHeight="1">
      <c r="A8" s="1496"/>
      <c r="B8" s="1498"/>
      <c r="C8" s="1500"/>
      <c r="D8" s="1502"/>
      <c r="E8" s="1498"/>
      <c r="F8" s="1504"/>
      <c r="G8" s="1500"/>
      <c r="H8" s="1513"/>
      <c r="I8" s="1515"/>
      <c r="J8" s="1513"/>
      <c r="K8" s="1517"/>
      <c r="L8" s="1519"/>
      <c r="M8" s="1515"/>
      <c r="N8" s="1521"/>
      <c r="O8" s="1513"/>
      <c r="P8" s="70" t="s">
        <v>853</v>
      </c>
      <c r="Q8" s="70" t="s">
        <v>854</v>
      </c>
      <c r="R8" s="70" t="s">
        <v>446</v>
      </c>
      <c r="S8" s="1517"/>
      <c r="T8" s="70" t="s">
        <v>853</v>
      </c>
      <c r="U8" s="70" t="s">
        <v>854</v>
      </c>
      <c r="V8" s="70" t="s">
        <v>446</v>
      </c>
      <c r="W8" s="70" t="s">
        <v>853</v>
      </c>
      <c r="X8" s="70" t="s">
        <v>854</v>
      </c>
      <c r="Y8" s="70" t="s">
        <v>446</v>
      </c>
      <c r="Z8" s="1513"/>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489">
        <v>2920</v>
      </c>
      <c r="H10" s="58"/>
      <c r="I10" s="58"/>
      <c r="J10" s="58"/>
      <c r="K10" s="75"/>
      <c r="L10" s="76"/>
      <c r="M10" s="54"/>
      <c r="N10" s="56">
        <v>345.19</v>
      </c>
      <c r="O10" s="1489">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89"/>
      <c r="H11" s="61">
        <v>2</v>
      </c>
      <c r="I11" s="60" t="s">
        <v>863</v>
      </c>
      <c r="J11" s="60" t="s">
        <v>864</v>
      </c>
      <c r="K11" s="75"/>
      <c r="L11" s="76"/>
      <c r="M11" s="54"/>
      <c r="N11" s="54"/>
      <c r="O11" s="148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89"/>
      <c r="H12" s="58"/>
      <c r="I12" s="58"/>
      <c r="J12" s="58"/>
      <c r="K12" s="75"/>
      <c r="L12" s="76"/>
      <c r="M12" s="54"/>
      <c r="N12" s="56">
        <v>332.38</v>
      </c>
      <c r="O12" s="1489"/>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89"/>
      <c r="H13" s="61">
        <v>3</v>
      </c>
      <c r="I13" s="60" t="s">
        <v>866</v>
      </c>
      <c r="J13" s="60" t="s">
        <v>864</v>
      </c>
      <c r="K13" s="75"/>
      <c r="L13" s="76"/>
      <c r="M13" s="54"/>
      <c r="N13" s="54"/>
      <c r="O13" s="148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89"/>
      <c r="H14" s="58"/>
      <c r="I14" s="58"/>
      <c r="J14" s="58"/>
      <c r="K14" s="75"/>
      <c r="L14" s="76"/>
      <c r="M14" s="54"/>
      <c r="N14" s="56">
        <v>393.62</v>
      </c>
      <c r="O14" s="1489"/>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89"/>
      <c r="H15" s="61">
        <v>4</v>
      </c>
      <c r="I15" s="60" t="s">
        <v>867</v>
      </c>
      <c r="J15" s="60" t="s">
        <v>868</v>
      </c>
      <c r="K15" s="75"/>
      <c r="L15" s="76"/>
      <c r="M15" s="54"/>
      <c r="N15" s="54"/>
      <c r="O15" s="148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89"/>
      <c r="H16" s="58"/>
      <c r="I16" s="58"/>
      <c r="J16" s="58"/>
      <c r="K16" s="75"/>
      <c r="L16" s="76"/>
      <c r="M16" s="54"/>
      <c r="N16" s="56">
        <v>387.95</v>
      </c>
      <c r="O16" s="1489"/>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89"/>
      <c r="H17" s="61">
        <v>5</v>
      </c>
      <c r="I17" s="60" t="s">
        <v>870</v>
      </c>
      <c r="J17" s="60" t="s">
        <v>864</v>
      </c>
      <c r="K17" s="75"/>
      <c r="L17" s="76"/>
      <c r="M17" s="54"/>
      <c r="N17" s="54"/>
      <c r="O17" s="148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89"/>
      <c r="H18" s="58"/>
      <c r="I18" s="58"/>
      <c r="J18" s="58"/>
      <c r="K18" s="75"/>
      <c r="L18" s="76"/>
      <c r="M18" s="54"/>
      <c r="N18" s="56">
        <v>340.35</v>
      </c>
      <c r="O18" s="1489"/>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89"/>
      <c r="H19" s="61">
        <v>6</v>
      </c>
      <c r="I19" s="60" t="s">
        <v>872</v>
      </c>
      <c r="J19" s="60" t="s">
        <v>864</v>
      </c>
      <c r="K19" s="75"/>
      <c r="L19" s="76"/>
      <c r="M19" s="54"/>
      <c r="N19" s="54"/>
      <c r="O19" s="148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89"/>
      <c r="H20" s="58"/>
      <c r="I20" s="58"/>
      <c r="J20" s="58"/>
      <c r="K20" s="75"/>
      <c r="L20" s="76"/>
      <c r="M20" s="54"/>
      <c r="N20" s="56">
        <v>393.12</v>
      </c>
      <c r="O20" s="1489"/>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89"/>
      <c r="H21" s="61">
        <v>7</v>
      </c>
      <c r="I21" s="60" t="s">
        <v>873</v>
      </c>
      <c r="J21" s="60" t="s">
        <v>864</v>
      </c>
      <c r="K21" s="75"/>
      <c r="L21" s="76"/>
      <c r="M21" s="54"/>
      <c r="N21" s="54"/>
      <c r="O21" s="148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89"/>
      <c r="H22" s="58"/>
      <c r="I22" s="58"/>
      <c r="J22" s="58"/>
      <c r="K22" s="75"/>
      <c r="L22" s="76"/>
      <c r="M22" s="54"/>
      <c r="N22" s="56">
        <v>328.54</v>
      </c>
      <c r="O22" s="1489"/>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89"/>
      <c r="H23" s="61">
        <v>8</v>
      </c>
      <c r="I23" s="60" t="s">
        <v>874</v>
      </c>
      <c r="J23" s="60" t="s">
        <v>864</v>
      </c>
      <c r="K23" s="75"/>
      <c r="L23" s="76"/>
      <c r="M23" s="54"/>
      <c r="N23" s="54"/>
      <c r="O23" s="148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89"/>
      <c r="H24" s="58"/>
      <c r="I24" s="58"/>
      <c r="J24" s="58"/>
      <c r="K24" s="75"/>
      <c r="L24" s="76"/>
      <c r="M24" s="54"/>
      <c r="N24" s="56">
        <v>398.52</v>
      </c>
      <c r="O24" s="1489"/>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89">
        <v>835</v>
      </c>
      <c r="H26" s="58"/>
      <c r="I26" s="58"/>
      <c r="J26" s="58"/>
      <c r="K26" s="75"/>
      <c r="L26" s="76"/>
      <c r="M26" s="54"/>
      <c r="N26" s="56">
        <v>425.85</v>
      </c>
      <c r="O26" s="1489">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89"/>
      <c r="H27" s="61">
        <v>10</v>
      </c>
      <c r="I27" s="60" t="s">
        <v>877</v>
      </c>
      <c r="J27" s="60" t="s">
        <v>878</v>
      </c>
      <c r="K27" s="75"/>
      <c r="L27" s="76"/>
      <c r="M27" s="54"/>
      <c r="N27" s="54"/>
      <c r="O27" s="148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89"/>
      <c r="H28" s="58"/>
      <c r="I28" s="58"/>
      <c r="J28" s="58"/>
      <c r="K28" s="75"/>
      <c r="L28" s="76"/>
      <c r="M28" s="54"/>
      <c r="N28" s="56">
        <v>409.37</v>
      </c>
      <c r="O28" s="1489"/>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89">
        <v>2306</v>
      </c>
      <c r="H30" s="58"/>
      <c r="I30" s="58"/>
      <c r="J30" s="58"/>
      <c r="K30" s="75"/>
      <c r="L30" s="76"/>
      <c r="M30" s="54"/>
      <c r="N30" s="56">
        <v>388.46</v>
      </c>
      <c r="O30" s="1489">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89"/>
      <c r="H31" s="61">
        <v>12</v>
      </c>
      <c r="I31" s="60" t="s">
        <v>882</v>
      </c>
      <c r="J31" s="60" t="s">
        <v>864</v>
      </c>
      <c r="K31" s="75"/>
      <c r="L31" s="76"/>
      <c r="M31" s="54"/>
      <c r="N31" s="54"/>
      <c r="O31" s="148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489"/>
      <c r="H32" s="58"/>
      <c r="I32" s="58"/>
      <c r="J32" s="58"/>
      <c r="K32" s="75"/>
      <c r="L32" s="76"/>
      <c r="M32" s="54"/>
      <c r="N32" s="56">
        <v>380.96</v>
      </c>
      <c r="O32" s="1489"/>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489"/>
      <c r="H33" s="61">
        <v>13</v>
      </c>
      <c r="I33" s="60" t="s">
        <v>884</v>
      </c>
      <c r="J33" s="60" t="s">
        <v>868</v>
      </c>
      <c r="K33" s="75"/>
      <c r="L33" s="81" t="s">
        <v>297</v>
      </c>
      <c r="M33" s="54"/>
      <c r="N33" s="54"/>
      <c r="O33" s="148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89"/>
      <c r="H34" s="58"/>
      <c r="I34" s="58"/>
      <c r="J34" s="58"/>
      <c r="K34" s="75"/>
      <c r="L34" s="76"/>
      <c r="M34" s="54"/>
      <c r="N34" s="56">
        <v>381.39</v>
      </c>
      <c r="O34" s="1489"/>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89"/>
      <c r="H35" s="61">
        <v>14</v>
      </c>
      <c r="I35" s="60" t="s">
        <v>885</v>
      </c>
      <c r="J35" s="60" t="s">
        <v>864</v>
      </c>
      <c r="K35" s="75"/>
      <c r="L35" s="76"/>
      <c r="M35" s="54"/>
      <c r="N35" s="54"/>
      <c r="O35" s="148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489"/>
      <c r="H36" s="58"/>
      <c r="I36" s="58"/>
      <c r="J36" s="58"/>
      <c r="K36" s="75"/>
      <c r="L36" s="76"/>
      <c r="M36" s="54"/>
      <c r="N36" s="56">
        <v>344.6</v>
      </c>
      <c r="O36" s="1489"/>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89"/>
      <c r="H37" s="61">
        <v>15</v>
      </c>
      <c r="I37" s="60" t="s">
        <v>887</v>
      </c>
      <c r="J37" s="60" t="s">
        <v>868</v>
      </c>
      <c r="K37" s="75"/>
      <c r="L37" s="76"/>
      <c r="M37" s="54"/>
      <c r="N37" s="54"/>
      <c r="O37" s="148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89"/>
      <c r="H38" s="58"/>
      <c r="I38" s="58"/>
      <c r="J38" s="58"/>
      <c r="K38" s="75"/>
      <c r="L38" s="76"/>
      <c r="M38" s="54"/>
      <c r="N38" s="56">
        <v>395.64</v>
      </c>
      <c r="O38" s="1489"/>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89"/>
      <c r="H39" s="61">
        <v>16</v>
      </c>
      <c r="I39" s="60" t="s">
        <v>888</v>
      </c>
      <c r="J39" s="60" t="s">
        <v>878</v>
      </c>
      <c r="K39" s="75"/>
      <c r="L39" s="76"/>
      <c r="M39" s="54"/>
      <c r="N39" s="54"/>
      <c r="O39" s="148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89"/>
      <c r="H40" s="58"/>
      <c r="I40" s="58"/>
      <c r="J40" s="58"/>
      <c r="K40" s="75"/>
      <c r="L40" s="76"/>
      <c r="M40" s="54"/>
      <c r="N40" s="56">
        <v>414.76</v>
      </c>
      <c r="O40" s="1489"/>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89">
        <v>757</v>
      </c>
      <c r="H42" s="58"/>
      <c r="I42" s="58"/>
      <c r="J42" s="58"/>
      <c r="K42" s="75"/>
      <c r="L42" s="76"/>
      <c r="M42" s="54"/>
      <c r="N42" s="56">
        <v>401.93</v>
      </c>
      <c r="O42" s="1489">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89"/>
      <c r="H43" s="61">
        <v>18</v>
      </c>
      <c r="I43" s="60" t="s">
        <v>892</v>
      </c>
      <c r="J43" s="60" t="s">
        <v>868</v>
      </c>
      <c r="K43" s="68">
        <v>1</v>
      </c>
      <c r="L43" s="76"/>
      <c r="M43" s="54"/>
      <c r="N43" s="54"/>
      <c r="O43" s="148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89"/>
      <c r="H44" s="58"/>
      <c r="I44" s="58"/>
      <c r="J44" s="58"/>
      <c r="K44" s="75"/>
      <c r="L44" s="76"/>
      <c r="M44" s="54"/>
      <c r="N44" s="56">
        <v>354.95</v>
      </c>
      <c r="O44" s="1489"/>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489">
        <v>1192</v>
      </c>
      <c r="H46" s="58"/>
      <c r="I46" s="58"/>
      <c r="J46" s="58"/>
      <c r="K46" s="75"/>
      <c r="L46" s="76"/>
      <c r="M46" s="54"/>
      <c r="N46" s="56">
        <v>425</v>
      </c>
      <c r="O46" s="1489">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89"/>
      <c r="H47" s="61">
        <v>20</v>
      </c>
      <c r="I47" s="60" t="s">
        <v>897</v>
      </c>
      <c r="J47" s="60" t="s">
        <v>898</v>
      </c>
      <c r="K47" s="75"/>
      <c r="L47" s="76"/>
      <c r="M47" s="54"/>
      <c r="N47" s="54"/>
      <c r="O47" s="148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89"/>
      <c r="H48" s="58"/>
      <c r="I48" s="58"/>
      <c r="J48" s="58"/>
      <c r="K48" s="75"/>
      <c r="L48" s="76"/>
      <c r="M48" s="54"/>
      <c r="N48" s="56">
        <v>414</v>
      </c>
      <c r="O48" s="1489"/>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489"/>
      <c r="H49" s="61">
        <v>21</v>
      </c>
      <c r="I49" s="60" t="s">
        <v>899</v>
      </c>
      <c r="J49" s="60" t="s">
        <v>864</v>
      </c>
      <c r="K49" s="68">
        <v>1</v>
      </c>
      <c r="L49" s="81" t="s">
        <v>297</v>
      </c>
      <c r="M49" s="54"/>
      <c r="N49" s="54"/>
      <c r="O49" s="148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89"/>
      <c r="H50" s="58"/>
      <c r="I50" s="58"/>
      <c r="J50" s="58"/>
      <c r="K50" s="75"/>
      <c r="L50" s="76"/>
      <c r="M50" s="54"/>
      <c r="N50" s="56">
        <v>353.05</v>
      </c>
      <c r="O50" s="1489"/>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89">
        <v>829</v>
      </c>
      <c r="H52" s="58"/>
      <c r="I52" s="58"/>
      <c r="J52" s="58"/>
      <c r="K52" s="75"/>
      <c r="L52" s="76"/>
      <c r="M52" s="54"/>
      <c r="N52" s="56">
        <v>441.06</v>
      </c>
      <c r="O52" s="1489">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489"/>
      <c r="H53" s="61">
        <v>23</v>
      </c>
      <c r="I53" s="60" t="s">
        <v>904</v>
      </c>
      <c r="J53" s="60" t="s">
        <v>898</v>
      </c>
      <c r="K53" s="75"/>
      <c r="L53" s="81" t="s">
        <v>297</v>
      </c>
      <c r="M53" s="54"/>
      <c r="N53" s="54"/>
      <c r="O53" s="148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489"/>
      <c r="H54" s="58"/>
      <c r="I54" s="58"/>
      <c r="J54" s="58"/>
      <c r="K54" s="75"/>
      <c r="L54" s="76"/>
      <c r="M54" s="54"/>
      <c r="N54" s="56">
        <v>387.5</v>
      </c>
      <c r="O54" s="1489"/>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89">
        <v>2400</v>
      </c>
      <c r="H56" s="58"/>
      <c r="I56" s="58"/>
      <c r="J56" s="58"/>
      <c r="K56" s="75"/>
      <c r="L56" s="76"/>
      <c r="M56" s="54"/>
      <c r="N56" s="56">
        <v>372.63</v>
      </c>
      <c r="O56" s="1489">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489"/>
      <c r="H57" s="61">
        <v>25</v>
      </c>
      <c r="I57" s="60" t="s">
        <v>909</v>
      </c>
      <c r="J57" s="60" t="s">
        <v>864</v>
      </c>
      <c r="K57" s="75"/>
      <c r="L57" s="81" t="s">
        <v>910</v>
      </c>
      <c r="M57" s="54"/>
      <c r="N57" s="54"/>
      <c r="O57" s="148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489"/>
      <c r="H58" s="58"/>
      <c r="I58" s="58"/>
      <c r="J58" s="58"/>
      <c r="K58" s="75"/>
      <c r="L58" s="76"/>
      <c r="M58" s="54"/>
      <c r="N58" s="56">
        <v>415.3</v>
      </c>
      <c r="O58" s="1489"/>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89"/>
      <c r="H59" s="61">
        <v>26</v>
      </c>
      <c r="I59" s="60" t="s">
        <v>912</v>
      </c>
      <c r="J59" s="60" t="s">
        <v>868</v>
      </c>
      <c r="K59" s="75"/>
      <c r="L59" s="76"/>
      <c r="M59" s="54"/>
      <c r="N59" s="54"/>
      <c r="O59" s="148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89"/>
      <c r="H60" s="58"/>
      <c r="I60" s="58"/>
      <c r="J60" s="58"/>
      <c r="K60" s="75"/>
      <c r="L60" s="76"/>
      <c r="M60" s="54"/>
      <c r="N60" s="56">
        <v>424.58</v>
      </c>
      <c r="O60" s="1489"/>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89"/>
      <c r="H61" s="61">
        <v>27</v>
      </c>
      <c r="I61" s="60" t="s">
        <v>913</v>
      </c>
      <c r="J61" s="60" t="s">
        <v>864</v>
      </c>
      <c r="K61" s="75"/>
      <c r="L61" s="76"/>
      <c r="M61" s="54"/>
      <c r="N61" s="54"/>
      <c r="O61" s="148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89"/>
      <c r="H62" s="58"/>
      <c r="I62" s="58"/>
      <c r="J62" s="58"/>
      <c r="K62" s="75"/>
      <c r="L62" s="76"/>
      <c r="M62" s="54"/>
      <c r="N62" s="56">
        <v>391.7</v>
      </c>
      <c r="O62" s="1489"/>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89"/>
      <c r="H63" s="61">
        <v>28</v>
      </c>
      <c r="I63" s="60" t="s">
        <v>914</v>
      </c>
      <c r="J63" s="60" t="s">
        <v>864</v>
      </c>
      <c r="K63" s="75"/>
      <c r="L63" s="76"/>
      <c r="M63" s="54"/>
      <c r="N63" s="54"/>
      <c r="O63" s="148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489"/>
      <c r="H64" s="58"/>
      <c r="I64" s="58"/>
      <c r="J64" s="58"/>
      <c r="K64" s="75"/>
      <c r="L64" s="76"/>
      <c r="M64" s="54"/>
      <c r="N64" s="56">
        <v>410.47</v>
      </c>
      <c r="O64" s="1489"/>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89"/>
      <c r="H65" s="61">
        <v>29</v>
      </c>
      <c r="I65" s="60" t="s">
        <v>916</v>
      </c>
      <c r="J65" s="60" t="s">
        <v>878</v>
      </c>
      <c r="K65" s="75"/>
      <c r="L65" s="76"/>
      <c r="M65" s="54"/>
      <c r="N65" s="54"/>
      <c r="O65" s="148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489"/>
      <c r="H66" s="58"/>
      <c r="I66" s="58"/>
      <c r="J66" s="58"/>
      <c r="K66" s="75"/>
      <c r="L66" s="76"/>
      <c r="M66" s="54"/>
      <c r="N66" s="56">
        <v>385.54</v>
      </c>
      <c r="O66" s="1489"/>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89">
        <v>1242</v>
      </c>
      <c r="H68" s="58"/>
      <c r="I68" s="58"/>
      <c r="J68" s="58"/>
      <c r="K68" s="75"/>
      <c r="L68" s="76"/>
      <c r="M68" s="54"/>
      <c r="N68" s="56">
        <v>418.31</v>
      </c>
      <c r="O68" s="1489">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89"/>
      <c r="H69" s="61">
        <v>31</v>
      </c>
      <c r="I69" s="60" t="s">
        <v>920</v>
      </c>
      <c r="J69" s="60" t="s">
        <v>864</v>
      </c>
      <c r="K69" s="68">
        <v>1</v>
      </c>
      <c r="L69" s="76"/>
      <c r="M69" s="54"/>
      <c r="N69" s="54"/>
      <c r="O69" s="148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89"/>
      <c r="H70" s="58"/>
      <c r="I70" s="58"/>
      <c r="J70" s="58"/>
      <c r="K70" s="75"/>
      <c r="L70" s="76"/>
      <c r="M70" s="54"/>
      <c r="N70" s="56">
        <v>421.47</v>
      </c>
      <c r="O70" s="1489"/>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89"/>
      <c r="H71" s="61">
        <v>32</v>
      </c>
      <c r="I71" s="60" t="s">
        <v>921</v>
      </c>
      <c r="J71" s="60" t="s">
        <v>868</v>
      </c>
      <c r="K71" s="75"/>
      <c r="L71" s="76"/>
      <c r="M71" s="54"/>
      <c r="N71" s="54"/>
      <c r="O71" s="148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89"/>
      <c r="H72" s="58"/>
      <c r="I72" s="58"/>
      <c r="J72" s="58"/>
      <c r="K72" s="75"/>
      <c r="L72" s="76"/>
      <c r="M72" s="54"/>
      <c r="N72" s="56">
        <v>401.98</v>
      </c>
      <c r="O72" s="1489"/>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489">
        <v>833</v>
      </c>
      <c r="H74" s="58"/>
      <c r="I74" s="58"/>
      <c r="J74" s="58"/>
      <c r="K74" s="75"/>
      <c r="L74" s="76"/>
      <c r="M74" s="54"/>
      <c r="N74" s="56">
        <v>429.38</v>
      </c>
      <c r="O74" s="1489">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89"/>
      <c r="H75" s="61">
        <v>34</v>
      </c>
      <c r="I75" s="60" t="s">
        <v>925</v>
      </c>
      <c r="J75" s="60" t="s">
        <v>868</v>
      </c>
      <c r="K75" s="75"/>
      <c r="L75" s="76"/>
      <c r="M75" s="54"/>
      <c r="N75" s="54"/>
      <c r="O75" s="148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89"/>
      <c r="H76" s="58"/>
      <c r="I76" s="58"/>
      <c r="J76" s="58"/>
      <c r="K76" s="75"/>
      <c r="L76" s="76"/>
      <c r="M76" s="54"/>
      <c r="N76" s="56">
        <v>403.83</v>
      </c>
      <c r="O76" s="1489"/>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89">
        <v>735</v>
      </c>
      <c r="H80" s="58"/>
      <c r="I80" s="58"/>
      <c r="J80" s="58"/>
      <c r="K80" s="75"/>
      <c r="L80" s="76"/>
      <c r="M80" s="54"/>
      <c r="N80" s="56">
        <v>380.68</v>
      </c>
      <c r="O80" s="1489">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89"/>
      <c r="H81" s="61">
        <v>37</v>
      </c>
      <c r="I81" s="60" t="s">
        <v>931</v>
      </c>
      <c r="J81" s="60" t="s">
        <v>864</v>
      </c>
      <c r="K81" s="75"/>
      <c r="L81" s="76"/>
      <c r="M81" s="54"/>
      <c r="N81" s="54"/>
      <c r="O81" s="148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89"/>
      <c r="H82" s="58"/>
      <c r="I82" s="58"/>
      <c r="J82" s="58"/>
      <c r="K82" s="75"/>
      <c r="L82" s="76"/>
      <c r="M82" s="54"/>
      <c r="N82" s="56">
        <v>354.53</v>
      </c>
      <c r="O82" s="1489"/>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89">
        <v>1203</v>
      </c>
      <c r="H84" s="58"/>
      <c r="I84" s="58"/>
      <c r="J84" s="58"/>
      <c r="K84" s="75"/>
      <c r="L84" s="76"/>
      <c r="M84" s="54"/>
      <c r="N84" s="56">
        <v>405.57</v>
      </c>
      <c r="O84" s="1489">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89"/>
      <c r="H85" s="61">
        <v>39</v>
      </c>
      <c r="I85" s="60" t="s">
        <v>934</v>
      </c>
      <c r="J85" s="60" t="s">
        <v>878</v>
      </c>
      <c r="K85" s="75"/>
      <c r="L85" s="76"/>
      <c r="M85" s="54"/>
      <c r="N85" s="54"/>
      <c r="O85" s="148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489"/>
      <c r="H86" s="58"/>
      <c r="I86" s="58"/>
      <c r="J86" s="58"/>
      <c r="K86" s="75"/>
      <c r="L86" s="76"/>
      <c r="M86" s="54"/>
      <c r="N86" s="56">
        <v>416.87</v>
      </c>
      <c r="O86" s="1489"/>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89"/>
      <c r="H87" s="61">
        <v>40</v>
      </c>
      <c r="I87" s="60" t="s">
        <v>936</v>
      </c>
      <c r="J87" s="60" t="s">
        <v>864</v>
      </c>
      <c r="K87" s="75"/>
      <c r="L87" s="76"/>
      <c r="M87" s="54"/>
      <c r="N87" s="54"/>
      <c r="O87" s="148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89"/>
      <c r="H88" s="58"/>
      <c r="I88" s="58"/>
      <c r="J88" s="58"/>
      <c r="K88" s="75"/>
      <c r="L88" s="76"/>
      <c r="M88" s="54"/>
      <c r="N88" s="56">
        <v>380.77</v>
      </c>
      <c r="O88" s="1489"/>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489">
        <v>1101</v>
      </c>
      <c r="H90" s="58"/>
      <c r="I90" s="58"/>
      <c r="J90" s="58"/>
      <c r="K90" s="75"/>
      <c r="L90" s="76"/>
      <c r="M90" s="54"/>
      <c r="N90" s="56">
        <v>411.81</v>
      </c>
      <c r="O90" s="1489">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89"/>
      <c r="H91" s="61">
        <v>42</v>
      </c>
      <c r="I91" s="60" t="s">
        <v>939</v>
      </c>
      <c r="J91" s="60" t="s">
        <v>868</v>
      </c>
      <c r="K91" s="75"/>
      <c r="L91" s="76"/>
      <c r="M91" s="54"/>
      <c r="N91" s="54"/>
      <c r="O91" s="148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89"/>
      <c r="H92" s="58"/>
      <c r="I92" s="58"/>
      <c r="J92" s="58"/>
      <c r="K92" s="75"/>
      <c r="L92" s="76"/>
      <c r="M92" s="54"/>
      <c r="N92" s="56">
        <v>392.08</v>
      </c>
      <c r="O92" s="1489"/>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89"/>
      <c r="H93" s="61">
        <v>43</v>
      </c>
      <c r="I93" s="60" t="s">
        <v>940</v>
      </c>
      <c r="J93" s="60" t="s">
        <v>898</v>
      </c>
      <c r="K93" s="75"/>
      <c r="L93" s="76"/>
      <c r="M93" s="54"/>
      <c r="N93" s="54"/>
      <c r="O93" s="148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489"/>
      <c r="H94" s="58"/>
      <c r="I94" s="58"/>
      <c r="J94" s="58"/>
      <c r="K94" s="75"/>
      <c r="L94" s="76"/>
      <c r="M94" s="54"/>
      <c r="N94" s="56">
        <v>296.87</v>
      </c>
      <c r="O94" s="1489"/>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489">
        <v>835</v>
      </c>
      <c r="H98" s="58"/>
      <c r="I98" s="58"/>
      <c r="J98" s="58"/>
      <c r="K98" s="75"/>
      <c r="L98" s="76"/>
      <c r="M98" s="54"/>
      <c r="N98" s="56">
        <v>382.17</v>
      </c>
      <c r="O98" s="1489">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89"/>
      <c r="H99" s="61">
        <v>46</v>
      </c>
      <c r="I99" s="60" t="s">
        <v>947</v>
      </c>
      <c r="J99" s="60" t="s">
        <v>898</v>
      </c>
      <c r="K99" s="75"/>
      <c r="L99" s="76"/>
      <c r="M99" s="54"/>
      <c r="N99" s="54"/>
      <c r="O99" s="148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489"/>
      <c r="H100" s="58"/>
      <c r="I100" s="58"/>
      <c r="J100" s="58"/>
      <c r="K100" s="75"/>
      <c r="L100" s="76"/>
      <c r="M100" s="54"/>
      <c r="N100" s="56">
        <v>452.74</v>
      </c>
      <c r="O100" s="1489"/>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89">
        <v>815</v>
      </c>
      <c r="H102" s="58"/>
      <c r="I102" s="58"/>
      <c r="J102" s="58"/>
      <c r="K102" s="75"/>
      <c r="L102" s="76"/>
      <c r="M102" s="54"/>
      <c r="N102" s="56">
        <v>420.21</v>
      </c>
      <c r="O102" s="1489">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89"/>
      <c r="H103" s="61">
        <v>48</v>
      </c>
      <c r="I103" s="60" t="s">
        <v>951</v>
      </c>
      <c r="J103" s="60" t="s">
        <v>898</v>
      </c>
      <c r="K103" s="75"/>
      <c r="L103" s="76"/>
      <c r="M103" s="54"/>
      <c r="N103" s="54"/>
      <c r="O103" s="148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489"/>
      <c r="H104" s="58"/>
      <c r="I104" s="58"/>
      <c r="J104" s="58"/>
      <c r="K104" s="75"/>
      <c r="L104" s="76"/>
      <c r="M104" s="54"/>
      <c r="N104" s="56">
        <v>395.01</v>
      </c>
      <c r="O104" s="1489"/>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89">
        <v>1473</v>
      </c>
      <c r="H106" s="58"/>
      <c r="I106" s="58"/>
      <c r="J106" s="58"/>
      <c r="K106" s="75"/>
      <c r="L106" s="76"/>
      <c r="M106" s="54"/>
      <c r="N106" s="56">
        <v>386.74</v>
      </c>
      <c r="O106" s="1489">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89"/>
      <c r="H107" s="61">
        <v>50</v>
      </c>
      <c r="I107" s="60" t="s">
        <v>955</v>
      </c>
      <c r="J107" s="60" t="s">
        <v>864</v>
      </c>
      <c r="K107" s="75"/>
      <c r="L107" s="76"/>
      <c r="M107" s="54"/>
      <c r="N107" s="54"/>
      <c r="O107" s="148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89"/>
      <c r="H108" s="58"/>
      <c r="I108" s="58"/>
      <c r="J108" s="58"/>
      <c r="K108" s="75"/>
      <c r="L108" s="76"/>
      <c r="M108" s="54"/>
      <c r="N108" s="56">
        <v>378.62</v>
      </c>
      <c r="O108" s="1489"/>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89"/>
      <c r="H109" s="61">
        <v>51</v>
      </c>
      <c r="I109" s="60" t="s">
        <v>956</v>
      </c>
      <c r="J109" s="60" t="s">
        <v>864</v>
      </c>
      <c r="K109" s="75"/>
      <c r="L109" s="76"/>
      <c r="M109" s="54"/>
      <c r="N109" s="54"/>
      <c r="O109" s="148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489"/>
      <c r="H110" s="58"/>
      <c r="I110" s="58"/>
      <c r="J110" s="58"/>
      <c r="K110" s="75"/>
      <c r="L110" s="76"/>
      <c r="M110" s="54"/>
      <c r="N110" s="56">
        <v>350.22</v>
      </c>
      <c r="O110" s="1489"/>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89"/>
      <c r="H111" s="61">
        <v>52</v>
      </c>
      <c r="I111" s="60" t="s">
        <v>958</v>
      </c>
      <c r="J111" s="60" t="s">
        <v>864</v>
      </c>
      <c r="K111" s="75"/>
      <c r="L111" s="76"/>
      <c r="M111" s="54"/>
      <c r="N111" s="54"/>
      <c r="O111" s="148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89"/>
      <c r="H112" s="58"/>
      <c r="I112" s="58"/>
      <c r="J112" s="58"/>
      <c r="K112" s="75"/>
      <c r="L112" s="76"/>
      <c r="M112" s="54"/>
      <c r="N112" s="56">
        <v>357.91</v>
      </c>
      <c r="O112" s="1489"/>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90" t="s">
        <v>963</v>
      </c>
      <c r="F116" s="1490"/>
      <c r="G116" s="1490"/>
      <c r="H116" s="114"/>
      <c r="I116" s="114"/>
      <c r="J116" s="1490" t="s">
        <v>964</v>
      </c>
      <c r="K116" s="1490"/>
      <c r="L116" s="1490"/>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91" t="s">
        <v>968</v>
      </c>
      <c r="B138" s="1492"/>
      <c r="C138" s="1492"/>
      <c r="D138" s="1492"/>
      <c r="E138" s="1492"/>
      <c r="F138" s="1492"/>
      <c r="G138" s="1492"/>
      <c r="H138" s="1492"/>
      <c r="I138" s="1492"/>
      <c r="J138" s="1492"/>
      <c r="K138" s="1492"/>
      <c r="L138" s="1492"/>
      <c r="M138" s="1492"/>
      <c r="N138" s="1492"/>
      <c r="O138" s="1493" t="s">
        <v>969</v>
      </c>
      <c r="P138" s="1493"/>
      <c r="Q138" s="1493"/>
      <c r="R138" s="1493"/>
      <c r="S138" s="1493"/>
      <c r="T138" s="1493"/>
      <c r="U138" s="1493"/>
      <c r="V138" s="1493"/>
      <c r="W138" s="1493"/>
      <c r="X138" s="1493"/>
      <c r="Y138" s="1493"/>
      <c r="Z138" s="1493"/>
      <c r="AA138" s="1493"/>
      <c r="AB138" s="1493"/>
      <c r="AC138" s="1494"/>
    </row>
    <row r="139" spans="1:29" ht="12.75" customHeight="1">
      <c r="A139" s="1488" t="s">
        <v>970</v>
      </c>
      <c r="B139" s="1488"/>
      <c r="C139" s="1488"/>
      <c r="D139" s="1488"/>
      <c r="E139" s="1488"/>
      <c r="F139" s="1487" t="s">
        <v>971</v>
      </c>
      <c r="G139" s="1487"/>
      <c r="H139" s="1487"/>
      <c r="I139" s="1487"/>
      <c r="J139" s="1488" t="s">
        <v>972</v>
      </c>
      <c r="K139" s="1488"/>
      <c r="L139" s="1488"/>
      <c r="M139" s="1488"/>
      <c r="N139" s="1488"/>
      <c r="O139" s="1487" t="s">
        <v>971</v>
      </c>
      <c r="P139" s="1487"/>
      <c r="Q139" s="1487"/>
      <c r="R139" s="1487"/>
      <c r="S139" s="1487"/>
      <c r="T139" s="1488" t="s">
        <v>973</v>
      </c>
      <c r="U139" s="1488"/>
      <c r="V139" s="1488"/>
      <c r="W139" s="1488"/>
      <c r="X139" s="1488"/>
      <c r="Y139" s="1488"/>
      <c r="Z139" s="1488" t="s">
        <v>974</v>
      </c>
      <c r="AA139" s="1488"/>
      <c r="AB139" s="1488"/>
      <c r="AC139" s="1488"/>
    </row>
    <row r="140" spans="1:29" ht="12.75" customHeight="1">
      <c r="A140" s="1488"/>
      <c r="B140" s="1488"/>
      <c r="C140" s="1488"/>
      <c r="D140" s="1488"/>
      <c r="E140" s="1488"/>
      <c r="F140" s="1487"/>
      <c r="G140" s="1487"/>
      <c r="H140" s="1487"/>
      <c r="I140" s="1487"/>
      <c r="J140" s="1488"/>
      <c r="K140" s="1488"/>
      <c r="L140" s="1488"/>
      <c r="M140" s="1488"/>
      <c r="N140" s="1488"/>
      <c r="O140" s="1487"/>
      <c r="P140" s="1487"/>
      <c r="Q140" s="1487"/>
      <c r="R140" s="1487"/>
      <c r="S140" s="1487"/>
      <c r="T140" s="1488"/>
      <c r="U140" s="1488"/>
      <c r="V140" s="1488"/>
      <c r="W140" s="1488"/>
      <c r="X140" s="1488"/>
      <c r="Y140" s="1488"/>
      <c r="Z140" s="1488"/>
      <c r="AA140" s="1488"/>
      <c r="AB140" s="1488"/>
      <c r="AC140" s="1488"/>
    </row>
    <row r="141" spans="1:29" ht="12.75" customHeight="1">
      <c r="A141" s="1488"/>
      <c r="B141" s="1488"/>
      <c r="C141" s="1488"/>
      <c r="D141" s="1488"/>
      <c r="E141" s="1488"/>
      <c r="F141" s="1487"/>
      <c r="G141" s="1487"/>
      <c r="H141" s="1487"/>
      <c r="I141" s="1487"/>
      <c r="J141" s="1488"/>
      <c r="K141" s="1488"/>
      <c r="L141" s="1488"/>
      <c r="M141" s="1488"/>
      <c r="N141" s="1488"/>
      <c r="O141" s="1487"/>
      <c r="P141" s="1487"/>
      <c r="Q141" s="1487"/>
      <c r="R141" s="1487"/>
      <c r="S141" s="1487"/>
      <c r="T141" s="1488"/>
      <c r="U141" s="1488"/>
      <c r="V141" s="1488"/>
      <c r="W141" s="1488"/>
      <c r="X141" s="1488"/>
      <c r="Y141" s="1488"/>
      <c r="Z141" s="1488"/>
      <c r="AA141" s="1488"/>
      <c r="AB141" s="1488"/>
      <c r="AC141" s="1488"/>
    </row>
    <row r="142" spans="1:29" ht="36.75" customHeight="1">
      <c r="A142" s="1488"/>
      <c r="B142" s="1488"/>
      <c r="C142" s="1488"/>
      <c r="D142" s="1488"/>
      <c r="E142" s="1488"/>
      <c r="F142" s="1487"/>
      <c r="G142" s="1487"/>
      <c r="H142" s="1487"/>
      <c r="I142" s="1487"/>
      <c r="J142" s="1488"/>
      <c r="K142" s="1488"/>
      <c r="L142" s="1488"/>
      <c r="M142" s="1488"/>
      <c r="N142" s="1488"/>
      <c r="O142" s="1487"/>
      <c r="P142" s="1487"/>
      <c r="Q142" s="1487"/>
      <c r="R142" s="1487"/>
      <c r="S142" s="1487"/>
      <c r="T142" s="1488"/>
      <c r="U142" s="1488"/>
      <c r="V142" s="1488"/>
      <c r="W142" s="1488"/>
      <c r="X142" s="1488"/>
      <c r="Y142" s="1488"/>
      <c r="Z142" s="1488"/>
      <c r="AA142" s="1488"/>
      <c r="AB142" s="1488"/>
      <c r="AC142" s="148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view="pageBreakPreview" topLeftCell="D20" zoomScale="42" zoomScaleNormal="42" zoomScaleSheetLayoutView="42" zoomScalePageLayoutView="19" workbookViewId="0">
      <selection activeCell="K41" sqref="K41"/>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58" t="s">
        <v>1806</v>
      </c>
      <c r="B1" s="1559"/>
      <c r="C1" s="1559"/>
      <c r="D1" s="1559"/>
      <c r="E1" s="1559"/>
      <c r="F1" s="1559"/>
      <c r="G1" s="1559"/>
      <c r="H1" s="1559"/>
      <c r="I1" s="1559"/>
      <c r="J1" s="1559"/>
      <c r="K1" s="1559"/>
      <c r="L1" s="1559"/>
      <c r="M1" s="1559"/>
      <c r="N1" s="1559"/>
      <c r="O1" s="1559"/>
      <c r="P1" s="1559"/>
      <c r="Q1" s="1559"/>
      <c r="R1" s="1559"/>
      <c r="S1" s="1559"/>
      <c r="T1" s="1559"/>
      <c r="U1" s="1559"/>
      <c r="V1" s="1559"/>
      <c r="W1" s="1559"/>
      <c r="X1" s="1560"/>
    </row>
    <row r="2" spans="1:29" ht="45" customHeight="1">
      <c r="A2" s="1561" t="s">
        <v>49</v>
      </c>
      <c r="B2" s="1562"/>
      <c r="C2" s="1562"/>
      <c r="D2" s="1562"/>
      <c r="E2" s="1562"/>
      <c r="F2" s="1562"/>
      <c r="G2" s="1562"/>
      <c r="H2" s="1562"/>
      <c r="I2" s="1562"/>
      <c r="J2" s="1562"/>
      <c r="K2" s="1562"/>
      <c r="L2" s="1562"/>
      <c r="M2" s="1562"/>
      <c r="N2" s="1562"/>
      <c r="O2" s="1562"/>
      <c r="P2" s="1562"/>
      <c r="Q2" s="1562"/>
      <c r="R2" s="1562"/>
      <c r="S2" s="1562"/>
      <c r="T2" s="1562"/>
      <c r="U2" s="1562"/>
      <c r="V2" s="1562"/>
      <c r="W2" s="1562"/>
      <c r="X2" s="1563"/>
    </row>
    <row r="3" spans="1:29" ht="40.049999999999997" customHeight="1" thickBot="1">
      <c r="A3" s="1561" t="s">
        <v>1807</v>
      </c>
      <c r="B3" s="1562"/>
      <c r="C3" s="1562"/>
      <c r="D3" s="1562"/>
      <c r="E3" s="1562"/>
      <c r="F3" s="1562"/>
      <c r="G3" s="1562"/>
      <c r="H3" s="1562"/>
      <c r="I3" s="1562"/>
      <c r="J3" s="1562"/>
      <c r="K3" s="1562"/>
      <c r="L3" s="1562"/>
      <c r="M3" s="1562"/>
      <c r="N3" s="1562"/>
      <c r="O3" s="1562"/>
      <c r="P3" s="1562"/>
      <c r="Q3" s="1562"/>
      <c r="R3" s="1562"/>
      <c r="S3" s="1562"/>
      <c r="T3" s="1562"/>
      <c r="U3" s="1564"/>
      <c r="V3" s="1564"/>
      <c r="W3" s="1564"/>
      <c r="X3" s="1565"/>
    </row>
    <row r="4" spans="1:29" ht="27.6" customHeight="1">
      <c r="A4" s="1601" t="s">
        <v>1852</v>
      </c>
      <c r="B4" s="1602"/>
      <c r="C4" s="1602"/>
      <c r="D4" s="1602"/>
      <c r="E4" s="1602"/>
      <c r="F4" s="1602"/>
      <c r="G4" s="1602"/>
      <c r="H4" s="1602"/>
      <c r="I4" s="1602"/>
      <c r="J4" s="1602"/>
      <c r="K4" s="1602"/>
      <c r="L4" s="1602"/>
      <c r="M4" s="1602"/>
      <c r="N4" s="1602"/>
      <c r="O4" s="1602"/>
      <c r="P4" s="1602"/>
      <c r="Q4" s="1602"/>
      <c r="R4" s="1602"/>
      <c r="S4" s="1602"/>
      <c r="T4" s="1603"/>
      <c r="U4" s="1593" t="s">
        <v>1441</v>
      </c>
      <c r="V4" s="1594"/>
      <c r="W4" s="1597">
        <f ca="1">NOW()-1</f>
        <v>46089.483500462964</v>
      </c>
      <c r="X4" s="1598"/>
      <c r="Y4" s="1087"/>
      <c r="Z4" s="1087"/>
      <c r="AA4" s="1087"/>
      <c r="AB4" s="1084"/>
      <c r="AC4" s="1084"/>
    </row>
    <row r="5" spans="1:29" ht="21" customHeight="1" thickBot="1">
      <c r="A5" s="1604"/>
      <c r="B5" s="1605"/>
      <c r="C5" s="1605"/>
      <c r="D5" s="1605"/>
      <c r="E5" s="1605"/>
      <c r="F5" s="1605"/>
      <c r="G5" s="1605"/>
      <c r="H5" s="1605"/>
      <c r="I5" s="1605"/>
      <c r="J5" s="1605"/>
      <c r="K5" s="1605"/>
      <c r="L5" s="1605"/>
      <c r="M5" s="1605"/>
      <c r="N5" s="1605"/>
      <c r="O5" s="1605"/>
      <c r="P5" s="1605"/>
      <c r="Q5" s="1605"/>
      <c r="R5" s="1605"/>
      <c r="S5" s="1605"/>
      <c r="T5" s="1606"/>
      <c r="U5" s="1595"/>
      <c r="V5" s="1596"/>
      <c r="W5" s="1599"/>
      <c r="X5" s="1600"/>
      <c r="Z5" s="1084"/>
      <c r="AA5" s="1084"/>
      <c r="AB5" s="1084"/>
      <c r="AC5" s="1084"/>
    </row>
    <row r="6" spans="1:29" ht="43.2" customHeight="1" thickBot="1">
      <c r="A6" s="1566" t="s">
        <v>977</v>
      </c>
      <c r="B6" s="1530" t="s">
        <v>13</v>
      </c>
      <c r="C6" s="1531"/>
      <c r="D6" s="1532"/>
      <c r="E6" s="1566" t="s">
        <v>1131</v>
      </c>
      <c r="F6" s="1568" t="s">
        <v>1808</v>
      </c>
      <c r="G6" s="1569"/>
      <c r="H6" s="1569"/>
      <c r="I6" s="1569"/>
      <c r="J6" s="1569"/>
      <c r="K6" s="1570"/>
      <c r="L6" s="1571" t="s">
        <v>1819</v>
      </c>
      <c r="M6" s="1572"/>
      <c r="N6" s="1572"/>
      <c r="O6" s="1572"/>
      <c r="P6" s="1572"/>
      <c r="Q6" s="1573"/>
      <c r="R6" s="1574" t="s">
        <v>1831</v>
      </c>
      <c r="S6" s="1575"/>
      <c r="T6" s="1574" t="s">
        <v>1832</v>
      </c>
      <c r="U6" s="1575"/>
      <c r="V6" s="1585" t="s">
        <v>20</v>
      </c>
      <c r="W6" s="1586"/>
      <c r="X6" s="1587"/>
      <c r="AB6" s="1084"/>
    </row>
    <row r="7" spans="1:29" ht="50.4" customHeight="1" thickBot="1">
      <c r="A7" s="1567"/>
      <c r="B7" s="1533"/>
      <c r="C7" s="1534"/>
      <c r="D7" s="1535"/>
      <c r="E7" s="1567"/>
      <c r="F7" s="1579" t="s">
        <v>1833</v>
      </c>
      <c r="G7" s="1580"/>
      <c r="H7" s="1581" t="s">
        <v>1442</v>
      </c>
      <c r="I7" s="1582"/>
      <c r="J7" s="1581" t="s">
        <v>1834</v>
      </c>
      <c r="K7" s="1582"/>
      <c r="L7" s="1583" t="s">
        <v>1833</v>
      </c>
      <c r="M7" s="1584"/>
      <c r="N7" s="1588" t="s">
        <v>1442</v>
      </c>
      <c r="O7" s="1589"/>
      <c r="P7" s="1588" t="s">
        <v>1834</v>
      </c>
      <c r="Q7" s="1589"/>
      <c r="R7" s="1576"/>
      <c r="S7" s="1577"/>
      <c r="T7" s="1576"/>
      <c r="U7" s="1578"/>
      <c r="V7" s="1590" t="s">
        <v>1849</v>
      </c>
      <c r="W7" s="1591"/>
      <c r="X7" s="1592"/>
      <c r="Y7" s="1183"/>
      <c r="Z7" s="1086"/>
      <c r="AA7" s="1086"/>
      <c r="AB7" s="1086"/>
      <c r="AC7" s="1086"/>
    </row>
    <row r="8" spans="1:29" ht="34.950000000000003" customHeight="1">
      <c r="A8" s="1135">
        <v>1</v>
      </c>
      <c r="B8" s="1528" t="s">
        <v>1134</v>
      </c>
      <c r="C8" s="1528"/>
      <c r="D8" s="1528"/>
      <c r="E8" s="1136" t="s">
        <v>1030</v>
      </c>
      <c r="F8" s="1549">
        <v>7.556</v>
      </c>
      <c r="G8" s="1550"/>
      <c r="H8" s="1663">
        <v>7.556</v>
      </c>
      <c r="I8" s="1664"/>
      <c r="J8" s="1551">
        <f>F8-H8</f>
        <v>0</v>
      </c>
      <c r="K8" s="1552"/>
      <c r="L8" s="1549">
        <v>7.9219999999999997</v>
      </c>
      <c r="M8" s="1550"/>
      <c r="N8" s="1549">
        <v>7.9219999999999997</v>
      </c>
      <c r="O8" s="1550"/>
      <c r="P8" s="1551">
        <f>L8-N8</f>
        <v>0</v>
      </c>
      <c r="Q8" s="1553"/>
      <c r="R8" s="1536">
        <f>F8+L8</f>
        <v>15.478</v>
      </c>
      <c r="S8" s="1537"/>
      <c r="T8" s="1536">
        <f>P8+J8</f>
        <v>0</v>
      </c>
      <c r="U8" s="1538"/>
      <c r="V8" s="1650" t="s">
        <v>1855</v>
      </c>
      <c r="W8" s="1651"/>
      <c r="X8" s="1652"/>
      <c r="Y8" s="1184"/>
      <c r="Z8" s="1086"/>
      <c r="AA8" s="1086"/>
      <c r="AB8" s="1086"/>
      <c r="AC8" s="1086"/>
    </row>
    <row r="9" spans="1:29" ht="34.950000000000003" customHeight="1">
      <c r="A9" s="1130">
        <f>A8+1</f>
        <v>2</v>
      </c>
      <c r="B9" s="1529" t="s">
        <v>1135</v>
      </c>
      <c r="C9" s="1529"/>
      <c r="D9" s="1529"/>
      <c r="E9" s="1131" t="s">
        <v>1030</v>
      </c>
      <c r="F9" s="1544">
        <v>7.556</v>
      </c>
      <c r="G9" s="1545"/>
      <c r="H9" s="1546">
        <v>7.556</v>
      </c>
      <c r="I9" s="1547"/>
      <c r="J9" s="1542">
        <f>F9-H9</f>
        <v>0</v>
      </c>
      <c r="K9" s="1548"/>
      <c r="L9" s="1544">
        <v>7.9219999999999997</v>
      </c>
      <c r="M9" s="1545"/>
      <c r="N9" s="1544">
        <v>7.9219999999999997</v>
      </c>
      <c r="O9" s="1545"/>
      <c r="P9" s="1542">
        <f t="shared" ref="P9:P17" si="0">L9-N9</f>
        <v>0</v>
      </c>
      <c r="Q9" s="1543"/>
      <c r="R9" s="1539">
        <f>F9+L9</f>
        <v>15.478</v>
      </c>
      <c r="S9" s="1540"/>
      <c r="T9" s="1539">
        <f t="shared" ref="T9:T17" si="1">P9+J9</f>
        <v>0</v>
      </c>
      <c r="U9" s="1541"/>
      <c r="V9" s="1653"/>
      <c r="W9" s="1654"/>
      <c r="X9" s="1655"/>
      <c r="Y9" s="1184"/>
      <c r="Z9" s="1086"/>
      <c r="AA9" s="1086"/>
      <c r="AB9" s="1086"/>
      <c r="AC9" s="1086"/>
    </row>
    <row r="10" spans="1:29" ht="34.950000000000003" customHeight="1">
      <c r="A10" s="1130">
        <v>3</v>
      </c>
      <c r="B10" s="1529" t="s">
        <v>1443</v>
      </c>
      <c r="C10" s="1529"/>
      <c r="D10" s="1529"/>
      <c r="E10" s="1131" t="s">
        <v>1030</v>
      </c>
      <c r="F10" s="1544">
        <v>7.556</v>
      </c>
      <c r="G10" s="1545"/>
      <c r="H10" s="1544">
        <v>7.556</v>
      </c>
      <c r="I10" s="1545"/>
      <c r="J10" s="1542">
        <f>F10-H10</f>
        <v>0</v>
      </c>
      <c r="K10" s="1548"/>
      <c r="L10" s="1544">
        <v>7.9219999999999997</v>
      </c>
      <c r="M10" s="1545"/>
      <c r="N10" s="1544">
        <v>7.9219999999999997</v>
      </c>
      <c r="O10" s="1545"/>
      <c r="P10" s="1542">
        <f t="shared" si="0"/>
        <v>0</v>
      </c>
      <c r="Q10" s="1543"/>
      <c r="R10" s="1539">
        <f>F10+L10</f>
        <v>15.478</v>
      </c>
      <c r="S10" s="1540"/>
      <c r="T10" s="1539">
        <f t="shared" si="1"/>
        <v>0</v>
      </c>
      <c r="U10" s="1541"/>
      <c r="V10" s="1653"/>
      <c r="W10" s="1654"/>
      <c r="X10" s="1655"/>
      <c r="Y10" s="1184"/>
      <c r="Z10" s="1086"/>
      <c r="AA10" s="1086"/>
      <c r="AB10" s="1086"/>
      <c r="AC10" s="1086"/>
    </row>
    <row r="11" spans="1:29" ht="34.950000000000003" customHeight="1" thickBot="1">
      <c r="A11" s="1130">
        <v>4</v>
      </c>
      <c r="B11" s="1529" t="s">
        <v>1136</v>
      </c>
      <c r="C11" s="1529"/>
      <c r="D11" s="1529"/>
      <c r="E11" s="1132" t="s">
        <v>1137</v>
      </c>
      <c r="F11" s="1542">
        <v>11</v>
      </c>
      <c r="G11" s="1548"/>
      <c r="H11" s="1543">
        <v>11</v>
      </c>
      <c r="I11" s="1548"/>
      <c r="J11" s="1542">
        <f>F11-H11</f>
        <v>0</v>
      </c>
      <c r="K11" s="1548"/>
      <c r="L11" s="1542">
        <v>15</v>
      </c>
      <c r="M11" s="1548"/>
      <c r="N11" s="1542">
        <v>15</v>
      </c>
      <c r="O11" s="1543"/>
      <c r="P11" s="1542">
        <f t="shared" si="0"/>
        <v>0</v>
      </c>
      <c r="Q11" s="1543"/>
      <c r="R11" s="1539">
        <v>26</v>
      </c>
      <c r="S11" s="1540"/>
      <c r="T11" s="1539">
        <f t="shared" ref="T11" si="2">P11+J11</f>
        <v>0</v>
      </c>
      <c r="U11" s="1541"/>
      <c r="V11" s="1656"/>
      <c r="W11" s="1657"/>
      <c r="X11" s="1658"/>
      <c r="Y11" s="1184"/>
      <c r="Z11" s="1086"/>
      <c r="AA11" s="1086"/>
      <c r="AB11" s="1086"/>
      <c r="AC11" s="1086"/>
    </row>
    <row r="12" spans="1:29" ht="34.950000000000003" customHeight="1" thickBot="1">
      <c r="A12" s="1130">
        <v>5</v>
      </c>
      <c r="B12" s="1529" t="s">
        <v>1835</v>
      </c>
      <c r="C12" s="1529"/>
      <c r="D12" s="1529"/>
      <c r="E12" s="1132" t="s">
        <v>1137</v>
      </c>
      <c r="F12" s="1554">
        <v>20</v>
      </c>
      <c r="G12" s="1555"/>
      <c r="H12" s="1556">
        <v>4</v>
      </c>
      <c r="I12" s="1557"/>
      <c r="J12" s="1542">
        <f t="shared" ref="J12:J17" si="3">F12-H12</f>
        <v>16</v>
      </c>
      <c r="K12" s="1548"/>
      <c r="L12" s="1542">
        <v>23</v>
      </c>
      <c r="M12" s="1548"/>
      <c r="N12" s="1542">
        <v>3</v>
      </c>
      <c r="O12" s="1543"/>
      <c r="P12" s="1542">
        <f t="shared" si="0"/>
        <v>20</v>
      </c>
      <c r="Q12" s="1543"/>
      <c r="R12" s="1539">
        <f t="shared" ref="R12:R17" si="4">F12+L12</f>
        <v>43</v>
      </c>
      <c r="S12" s="1540"/>
      <c r="T12" s="1539">
        <f t="shared" si="1"/>
        <v>36</v>
      </c>
      <c r="U12" s="1541"/>
      <c r="V12" s="1660" t="s">
        <v>1850</v>
      </c>
      <c r="W12" s="1661"/>
      <c r="X12" s="1662"/>
      <c r="Y12" s="1184"/>
      <c r="AA12" s="1086"/>
      <c r="AB12" s="1086"/>
      <c r="AC12" s="1086"/>
    </row>
    <row r="13" spans="1:29" ht="34.950000000000003" customHeight="1">
      <c r="A13" s="1130">
        <v>6</v>
      </c>
      <c r="B13" s="1529" t="s">
        <v>1836</v>
      </c>
      <c r="C13" s="1529"/>
      <c r="D13" s="1529"/>
      <c r="E13" s="1132" t="s">
        <v>1137</v>
      </c>
      <c r="F13" s="1554">
        <v>20</v>
      </c>
      <c r="G13" s="1555"/>
      <c r="H13" s="1556">
        <v>1</v>
      </c>
      <c r="I13" s="1557"/>
      <c r="J13" s="1542">
        <f t="shared" si="3"/>
        <v>19</v>
      </c>
      <c r="K13" s="1548"/>
      <c r="L13" s="1542">
        <v>23</v>
      </c>
      <c r="M13" s="1548"/>
      <c r="N13" s="1542">
        <v>2</v>
      </c>
      <c r="O13" s="1543"/>
      <c r="P13" s="1542">
        <f t="shared" si="0"/>
        <v>21</v>
      </c>
      <c r="Q13" s="1543"/>
      <c r="R13" s="1539">
        <f t="shared" si="4"/>
        <v>43</v>
      </c>
      <c r="S13" s="1540"/>
      <c r="T13" s="1539">
        <f t="shared" si="1"/>
        <v>40</v>
      </c>
      <c r="U13" s="1541"/>
      <c r="V13" s="1650" t="s">
        <v>1858</v>
      </c>
      <c r="W13" s="1651"/>
      <c r="X13" s="1652"/>
      <c r="Y13" s="1184"/>
      <c r="Z13" s="1085"/>
      <c r="AA13" s="1086"/>
      <c r="AB13" s="1086"/>
      <c r="AC13" s="1086"/>
    </row>
    <row r="14" spans="1:29" ht="34.950000000000003" customHeight="1">
      <c r="A14" s="1130">
        <v>7</v>
      </c>
      <c r="B14" s="1529" t="s">
        <v>1837</v>
      </c>
      <c r="C14" s="1529"/>
      <c r="D14" s="1529"/>
      <c r="E14" s="1132" t="s">
        <v>1137</v>
      </c>
      <c r="F14" s="1554">
        <v>20</v>
      </c>
      <c r="G14" s="1555"/>
      <c r="H14" s="1556"/>
      <c r="I14" s="1557"/>
      <c r="J14" s="1542">
        <f t="shared" si="3"/>
        <v>20</v>
      </c>
      <c r="K14" s="1548"/>
      <c r="L14" s="1542">
        <v>23</v>
      </c>
      <c r="M14" s="1548"/>
      <c r="N14" s="1542"/>
      <c r="O14" s="1543"/>
      <c r="P14" s="1542">
        <f t="shared" si="0"/>
        <v>23</v>
      </c>
      <c r="Q14" s="1543"/>
      <c r="R14" s="1539">
        <f t="shared" si="4"/>
        <v>43</v>
      </c>
      <c r="S14" s="1540"/>
      <c r="T14" s="1539">
        <f t="shared" si="1"/>
        <v>43</v>
      </c>
      <c r="U14" s="1541"/>
      <c r="V14" s="1653"/>
      <c r="W14" s="1654"/>
      <c r="X14" s="1655"/>
      <c r="Y14" s="1184"/>
      <c r="Z14" s="1085"/>
      <c r="AA14" s="1086"/>
      <c r="AB14" s="1086"/>
      <c r="AC14" s="1086"/>
    </row>
    <row r="15" spans="1:29" ht="34.950000000000003" customHeight="1">
      <c r="A15" s="1130">
        <v>8</v>
      </c>
      <c r="B15" s="1529" t="s">
        <v>482</v>
      </c>
      <c r="C15" s="1529"/>
      <c r="D15" s="1529"/>
      <c r="E15" s="1132" t="s">
        <v>1139</v>
      </c>
      <c r="F15" s="1554">
        <v>20</v>
      </c>
      <c r="G15" s="1555"/>
      <c r="H15" s="1556"/>
      <c r="I15" s="1557"/>
      <c r="J15" s="1542">
        <f t="shared" si="3"/>
        <v>20</v>
      </c>
      <c r="K15" s="1548"/>
      <c r="L15" s="1542">
        <v>23</v>
      </c>
      <c r="M15" s="1548"/>
      <c r="N15" s="1542"/>
      <c r="O15" s="1543"/>
      <c r="P15" s="1542">
        <f t="shared" si="0"/>
        <v>23</v>
      </c>
      <c r="Q15" s="1543"/>
      <c r="R15" s="1539">
        <f t="shared" si="4"/>
        <v>43</v>
      </c>
      <c r="S15" s="1540"/>
      <c r="T15" s="1539">
        <f t="shared" si="1"/>
        <v>43</v>
      </c>
      <c r="U15" s="1541"/>
      <c r="V15" s="1653"/>
      <c r="W15" s="1654"/>
      <c r="X15" s="1655"/>
      <c r="Y15" s="1184"/>
      <c r="Z15" s="1086"/>
      <c r="AA15" s="1085"/>
      <c r="AC15" s="1086"/>
    </row>
    <row r="16" spans="1:29" ht="34.950000000000003" customHeight="1">
      <c r="A16" s="1130">
        <v>9</v>
      </c>
      <c r="B16" s="1529" t="s">
        <v>1838</v>
      </c>
      <c r="C16" s="1529"/>
      <c r="D16" s="1529"/>
      <c r="E16" s="1132" t="s">
        <v>1030</v>
      </c>
      <c r="F16" s="1544">
        <v>7.556</v>
      </c>
      <c r="G16" s="1545"/>
      <c r="H16" s="1544"/>
      <c r="I16" s="1545"/>
      <c r="J16" s="1542">
        <f t="shared" si="3"/>
        <v>7.556</v>
      </c>
      <c r="K16" s="1548"/>
      <c r="L16" s="1614">
        <v>7.9219999999999997</v>
      </c>
      <c r="M16" s="1614"/>
      <c r="N16" s="1614"/>
      <c r="O16" s="1614"/>
      <c r="P16" s="1542">
        <f t="shared" si="0"/>
        <v>7.9219999999999997</v>
      </c>
      <c r="Q16" s="1543"/>
      <c r="R16" s="1539">
        <f t="shared" si="4"/>
        <v>15.478</v>
      </c>
      <c r="S16" s="1540"/>
      <c r="T16" s="1539">
        <f t="shared" si="1"/>
        <v>15.478</v>
      </c>
      <c r="U16" s="1541"/>
      <c r="V16" s="1653"/>
      <c r="W16" s="1654"/>
      <c r="X16" s="1655"/>
      <c r="Y16" s="1184"/>
      <c r="Z16" s="1086"/>
      <c r="AA16" s="1085"/>
      <c r="AC16" s="1086"/>
    </row>
    <row r="17" spans="1:38" ht="34.950000000000003" customHeight="1" thickBot="1">
      <c r="A17" s="1133">
        <f>A16+1</f>
        <v>10</v>
      </c>
      <c r="B17" s="1639" t="s">
        <v>1839</v>
      </c>
      <c r="C17" s="1639"/>
      <c r="D17" s="1639"/>
      <c r="E17" s="1134" t="s">
        <v>1030</v>
      </c>
      <c r="F17" s="1640">
        <v>7.556</v>
      </c>
      <c r="G17" s="1641"/>
      <c r="H17" s="1640"/>
      <c r="I17" s="1641"/>
      <c r="J17" s="1608">
        <f t="shared" si="3"/>
        <v>7.556</v>
      </c>
      <c r="K17" s="1648"/>
      <c r="L17" s="1649">
        <v>7.9219999999999997</v>
      </c>
      <c r="M17" s="1649"/>
      <c r="N17" s="1649"/>
      <c r="O17" s="1649"/>
      <c r="P17" s="1608">
        <f t="shared" si="0"/>
        <v>7.9219999999999997</v>
      </c>
      <c r="Q17" s="1609"/>
      <c r="R17" s="1610">
        <f t="shared" si="4"/>
        <v>15.478</v>
      </c>
      <c r="S17" s="1611"/>
      <c r="T17" s="1610">
        <f t="shared" si="1"/>
        <v>15.478</v>
      </c>
      <c r="U17" s="1612"/>
      <c r="V17" s="1656"/>
      <c r="W17" s="1657"/>
      <c r="X17" s="1658"/>
      <c r="Y17" s="1184"/>
      <c r="Z17" s="1088"/>
      <c r="AA17" s="1086"/>
      <c r="AB17" s="1086"/>
      <c r="AC17" s="1086"/>
    </row>
    <row r="18" spans="1:38" ht="11.4" customHeight="1" thickBot="1">
      <c r="A18" s="1626"/>
      <c r="B18" s="1627"/>
      <c r="C18" s="1162"/>
      <c r="D18" s="1163"/>
      <c r="E18" s="1163"/>
      <c r="F18" s="1163"/>
    </row>
    <row r="19" spans="1:38" ht="30" customHeight="1" thickBot="1">
      <c r="A19" s="1628" t="s">
        <v>1808</v>
      </c>
      <c r="B19" s="1629"/>
      <c r="C19" s="1629"/>
      <c r="D19" s="1629"/>
      <c r="E19" s="1630"/>
      <c r="F19" s="1163"/>
    </row>
    <row r="20" spans="1:38" ht="35.4" customHeight="1">
      <c r="A20" s="1631" t="s">
        <v>1809</v>
      </c>
      <c r="B20" s="1632"/>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0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33" t="s">
        <v>1844</v>
      </c>
      <c r="B25" s="1634"/>
      <c r="C25" s="1166" t="s">
        <v>1812</v>
      </c>
      <c r="E25" s="1637"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635"/>
      <c r="B26" s="1636"/>
      <c r="C26" s="1109"/>
      <c r="D26" s="1109"/>
      <c r="E26" s="1638"/>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615" t="s">
        <v>1818</v>
      </c>
      <c r="R33" s="1615"/>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6"/>
      <c r="R34" s="1616"/>
      <c r="S34" s="1155"/>
      <c r="T34" s="1155"/>
      <c r="U34" s="1155"/>
      <c r="V34" s="1155"/>
      <c r="W34" s="1155"/>
      <c r="X34" s="1176"/>
      <c r="AA34" s="1117"/>
      <c r="AB34" s="1108"/>
      <c r="AC34" s="1117"/>
    </row>
    <row r="35" spans="1:29" ht="18" customHeight="1" thickBot="1">
      <c r="A35" s="1617"/>
      <c r="B35" s="1618"/>
      <c r="C35" s="1618"/>
      <c r="D35" s="1618"/>
      <c r="E35" s="1619"/>
      <c r="F35" s="1618"/>
      <c r="G35" s="1618"/>
      <c r="H35" s="1618"/>
      <c r="I35" s="1618"/>
      <c r="J35" s="1618"/>
      <c r="K35" s="1618"/>
      <c r="L35" s="1618"/>
      <c r="M35" s="1618"/>
      <c r="N35" s="1618"/>
      <c r="O35" s="1618"/>
      <c r="P35" s="1618"/>
      <c r="Q35" s="1618"/>
      <c r="R35" s="1618"/>
      <c r="S35" s="1618"/>
      <c r="T35" s="1618"/>
      <c r="U35" s="1618"/>
      <c r="V35" s="1618"/>
      <c r="W35" s="1618"/>
      <c r="X35" s="1620"/>
      <c r="AA35" s="1099"/>
      <c r="AB35" s="1108"/>
      <c r="AC35" s="1099"/>
    </row>
    <row r="36" spans="1:29" ht="28.8" customHeight="1" thickBot="1">
      <c r="A36" s="1621" t="s">
        <v>1819</v>
      </c>
      <c r="B36" s="1622"/>
      <c r="C36" s="1622"/>
      <c r="D36" s="1622"/>
      <c r="E36" s="1623"/>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4"/>
      <c r="J41" s="1153"/>
      <c r="K41" s="1144"/>
      <c r="L41" s="1153"/>
      <c r="M41" s="1104"/>
      <c r="N41" s="1164"/>
      <c r="O41" s="1104"/>
      <c r="P41" s="1153"/>
      <c r="Q41" s="110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24" t="s">
        <v>1830</v>
      </c>
      <c r="B54" s="1625"/>
      <c r="C54" s="1625"/>
      <c r="K54" s="1137"/>
      <c r="L54" s="1613" t="s">
        <v>1129</v>
      </c>
      <c r="M54" s="1613"/>
      <c r="N54" s="1138"/>
      <c r="O54" s="1138"/>
      <c r="P54" s="1613" t="s">
        <v>1840</v>
      </c>
      <c r="Q54" s="1613"/>
      <c r="R54" s="1138"/>
      <c r="S54" s="1139"/>
      <c r="AB54" s="1108"/>
    </row>
    <row r="55" spans="1:28" ht="33">
      <c r="A55" s="1122"/>
      <c r="K55" s="1644"/>
      <c r="L55" s="1607"/>
      <c r="M55" s="1153"/>
      <c r="P55" s="1659"/>
      <c r="Q55" s="1659"/>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645" t="s">
        <v>1138</v>
      </c>
      <c r="L58" s="1646"/>
      <c r="M58" s="1144"/>
      <c r="O58" s="1647" t="s">
        <v>1841</v>
      </c>
      <c r="P58" s="1647"/>
      <c r="Q58" s="1150"/>
      <c r="S58" s="1204" t="s">
        <v>482</v>
      </c>
      <c r="AB58" s="1108"/>
    </row>
    <row r="59" spans="1:28" ht="33.6" thickBot="1">
      <c r="A59" s="1123"/>
      <c r="K59" s="1122" t="s">
        <v>1843</v>
      </c>
      <c r="M59" s="1106"/>
      <c r="O59" s="1607" t="s">
        <v>1842</v>
      </c>
      <c r="P59" s="1607"/>
      <c r="Q59" s="1123"/>
      <c r="S59" s="1092" t="s">
        <v>270</v>
      </c>
      <c r="T59" s="1147"/>
      <c r="V59" s="1607"/>
      <c r="W59" s="1607"/>
      <c r="AB59" s="1108"/>
    </row>
    <row r="60" spans="1:28" ht="30.6" customHeight="1" thickBot="1">
      <c r="A60" s="1642" t="s">
        <v>1844</v>
      </c>
      <c r="B60" s="1643"/>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607"/>
      <c r="P63" s="1607"/>
      <c r="Q63" s="1607"/>
      <c r="S63" s="1607"/>
      <c r="T63" s="1607"/>
      <c r="U63" s="1607"/>
      <c r="AB63" s="1108"/>
    </row>
    <row r="64" spans="1:28" ht="30">
      <c r="AB64" s="1108"/>
    </row>
    <row r="65" spans="5:28" ht="30">
      <c r="AB65" s="1108"/>
    </row>
    <row r="66" spans="5:28" ht="30">
      <c r="AB66" s="1108"/>
    </row>
    <row r="67" spans="5:28" ht="30">
      <c r="AB67" s="1108"/>
    </row>
    <row r="68" spans="5:28" ht="30">
      <c r="L68" s="1607"/>
      <c r="M68" s="1607"/>
      <c r="AB68" s="1108"/>
    </row>
    <row r="69" spans="5:28" ht="60.6" customHeight="1">
      <c r="G69" s="1146"/>
      <c r="H69" s="1146"/>
      <c r="K69" s="1145"/>
      <c r="AB69" s="1108"/>
    </row>
    <row r="72" spans="5:28">
      <c r="E72" s="1607"/>
      <c r="F72" s="1607"/>
      <c r="G72" s="1607"/>
      <c r="I72" s="1607"/>
      <c r="J72" s="1607"/>
      <c r="K72" s="1607"/>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F12:G12"/>
    <mergeCell ref="H12:I12"/>
    <mergeCell ref="J12:K12"/>
    <mergeCell ref="L12:M12"/>
    <mergeCell ref="N12:O12"/>
    <mergeCell ref="H11:I11"/>
    <mergeCell ref="B11:D11"/>
    <mergeCell ref="B12:D12"/>
    <mergeCell ref="B10:D10"/>
    <mergeCell ref="B14:D14"/>
    <mergeCell ref="F13:G13"/>
    <mergeCell ref="H13:I13"/>
    <mergeCell ref="J13:K13"/>
    <mergeCell ref="F14:G14"/>
    <mergeCell ref="H14:I14"/>
    <mergeCell ref="J14:K14"/>
    <mergeCell ref="L14:M14"/>
    <mergeCell ref="N14:O14"/>
    <mergeCell ref="L13:M13"/>
    <mergeCell ref="N13:O13"/>
    <mergeCell ref="B13:D13"/>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72" t="s">
        <v>975</v>
      </c>
      <c r="B1" s="1672"/>
      <c r="C1" s="1672"/>
      <c r="D1" s="1672"/>
      <c r="E1" s="1672"/>
      <c r="F1" s="1672"/>
      <c r="G1" s="1672"/>
      <c r="H1" s="1672"/>
      <c r="I1" s="1672"/>
      <c r="J1" s="1672"/>
      <c r="K1" s="1672"/>
      <c r="L1" s="1672"/>
      <c r="M1" s="1672"/>
      <c r="N1" s="1672"/>
      <c r="O1" s="1672"/>
      <c r="P1" s="1672"/>
      <c r="Q1" s="1672"/>
      <c r="R1" s="1672"/>
      <c r="S1" s="1672"/>
      <c r="T1" s="1672"/>
      <c r="U1" s="1672"/>
      <c r="V1" s="1672"/>
      <c r="W1" s="1672"/>
      <c r="X1" s="1672"/>
      <c r="Y1" s="1672"/>
      <c r="Z1" s="1672"/>
      <c r="AA1" s="45"/>
    </row>
    <row r="2" spans="1:27">
      <c r="A2" s="1672" t="s">
        <v>976</v>
      </c>
      <c r="B2" s="1673"/>
      <c r="C2" s="1673"/>
      <c r="D2" s="1673"/>
      <c r="E2" s="1673"/>
      <c r="F2" s="1673"/>
      <c r="G2" s="1673"/>
      <c r="H2" s="1673"/>
      <c r="I2" s="1673"/>
      <c r="J2" s="1673"/>
      <c r="K2" s="1673"/>
      <c r="L2" s="1673"/>
      <c r="M2" s="1673"/>
      <c r="N2" s="1673"/>
      <c r="O2" s="1673"/>
      <c r="P2" s="35"/>
      <c r="Q2" s="35"/>
      <c r="R2" s="35"/>
      <c r="S2" s="35"/>
      <c r="T2" s="35"/>
      <c r="U2" s="35"/>
      <c r="V2" s="35"/>
      <c r="W2" s="35"/>
      <c r="X2" s="35"/>
      <c r="Y2" s="35"/>
      <c r="Z2" s="35"/>
      <c r="AA2" s="45"/>
    </row>
    <row r="3" spans="1:27" ht="45.75" customHeight="1">
      <c r="A3" s="1665" t="s">
        <v>977</v>
      </c>
      <c r="B3" s="1665" t="s">
        <v>978</v>
      </c>
      <c r="C3" s="1665" t="s">
        <v>979</v>
      </c>
      <c r="D3" s="1665" t="s">
        <v>980</v>
      </c>
      <c r="E3" s="1665" t="s">
        <v>981</v>
      </c>
      <c r="F3" s="11" t="s">
        <v>982</v>
      </c>
      <c r="G3" s="1665" t="s">
        <v>983</v>
      </c>
      <c r="H3" s="1667"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68"/>
      <c r="B4" s="1668"/>
      <c r="C4" s="1668"/>
      <c r="D4" s="1671"/>
      <c r="E4" s="1668"/>
      <c r="F4" s="12"/>
      <c r="G4" s="1666"/>
      <c r="H4" s="1668"/>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69"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0"/>
      <c r="B15" s="33" t="s">
        <v>1041</v>
      </c>
    </row>
    <row r="16" spans="1:27">
      <c r="A16" s="1670"/>
      <c r="B16" s="33" t="s">
        <v>1042</v>
      </c>
    </row>
    <row r="17" spans="1:27">
      <c r="A17" s="34" t="s">
        <v>1043</v>
      </c>
    </row>
    <row r="18" spans="1:27" ht="45.75" customHeight="1">
      <c r="A18" s="1665" t="s">
        <v>977</v>
      </c>
      <c r="B18" s="1665" t="s">
        <v>978</v>
      </c>
      <c r="C18" s="1665" t="s">
        <v>979</v>
      </c>
      <c r="D18" s="1665" t="s">
        <v>980</v>
      </c>
      <c r="E18" s="1665" t="s">
        <v>981</v>
      </c>
      <c r="F18" s="11" t="s">
        <v>982</v>
      </c>
      <c r="G18" s="1665" t="s">
        <v>983</v>
      </c>
      <c r="H18" s="1667"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68"/>
      <c r="B19" s="1668"/>
      <c r="C19" s="1668"/>
      <c r="D19" s="1671"/>
      <c r="E19" s="1668"/>
      <c r="F19" s="12"/>
      <c r="G19" s="1666"/>
      <c r="H19" s="1668"/>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2026-03-09T06:06:21Z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