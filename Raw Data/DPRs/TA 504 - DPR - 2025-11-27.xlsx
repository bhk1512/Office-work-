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November 2025\"/>
    </mc:Choice>
  </mc:AlternateContent>
  <xr:revisionPtr revIDLastSave="0" documentId="13_ncr:1_{A99DC615-C014-4A2D-B70E-CD4390AF5C11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isual Chart" sheetId="95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>#REF!</definedName>
    <definedName name="\A_1">"#REF!"</definedName>
    <definedName name="\a1">#REF!</definedName>
    <definedName name="\B" localSheetId="4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1" hidden="1">'Erection compiled'!$E$4:$F$87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>#REF!</definedName>
    <definedName name="_pdp2" localSheetId="4">#REF!</definedName>
    <definedName name="_pdp2">#REF!</definedName>
    <definedName name="_pdp3" localSheetId="4">#REF!</definedName>
    <definedName name="_pdp3">#REF!</definedName>
    <definedName name="_pep99" localSheetId="4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>#REF!</definedName>
    <definedName name="BQ">#REF!</definedName>
    <definedName name="BR_Resou" localSheetId="4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>#REF!</definedName>
    <definedName name="CBISO145" localSheetId="4">#REF!</definedName>
    <definedName name="CBISO145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>#REF!</definedName>
    <definedName name="diff1" localSheetId="4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>#REF!</definedName>
    <definedName name="orderbooked98" localSheetId="4">#REF!</definedName>
    <definedName name="orderbooked98">#REF!</definedName>
    <definedName name="ORDERSTATUS" localSheetId="4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>#REF!</definedName>
    <definedName name="P_3" localSheetId="4">#REF!</definedName>
    <definedName name="P_3">#REF!</definedName>
    <definedName name="P_4" localSheetId="4">#REF!</definedName>
    <definedName name="P_4">#REF!</definedName>
    <definedName name="P_5" localSheetId="4">#REF!</definedName>
    <definedName name="P_5">#REF!</definedName>
    <definedName name="P_6DSO" localSheetId="4">#REF!</definedName>
    <definedName name="P_6DSO">#REF!</definedName>
    <definedName name="P_7DPO" localSheetId="4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>#REF!</definedName>
    <definedName name="p1apcc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1" i="92" l="1"/>
  <c r="AE206" i="95" l="1"/>
  <c r="AB206" i="95"/>
  <c r="Y206" i="95"/>
  <c r="M206" i="95"/>
  <c r="J206" i="95"/>
  <c r="G206" i="95"/>
  <c r="AE205" i="95"/>
  <c r="AB205" i="95"/>
  <c r="Y205" i="95"/>
  <c r="M205" i="95"/>
  <c r="J205" i="95"/>
  <c r="G205" i="95"/>
  <c r="AE204" i="95"/>
  <c r="AB204" i="95"/>
  <c r="Y204" i="95"/>
  <c r="M204" i="95"/>
  <c r="J204" i="95"/>
  <c r="G204" i="95"/>
  <c r="AE203" i="95"/>
  <c r="AB203" i="95"/>
  <c r="Y203" i="95"/>
  <c r="M203" i="95"/>
  <c r="J203" i="95"/>
  <c r="G203" i="95"/>
  <c r="AE202" i="95"/>
  <c r="AB202" i="95"/>
  <c r="Y202" i="95"/>
  <c r="M202" i="95"/>
  <c r="J202" i="95"/>
  <c r="G202" i="95"/>
  <c r="AE201" i="95"/>
  <c r="AB201" i="95"/>
  <c r="Y201" i="95"/>
  <c r="M201" i="95"/>
  <c r="J201" i="95"/>
  <c r="G201" i="95"/>
  <c r="AE200" i="95"/>
  <c r="AB200" i="95"/>
  <c r="Y200" i="95"/>
  <c r="M200" i="95"/>
  <c r="J200" i="95"/>
  <c r="G200" i="95"/>
  <c r="AE199" i="95"/>
  <c r="AB199" i="95"/>
  <c r="Y199" i="95"/>
  <c r="M199" i="95"/>
  <c r="J199" i="95"/>
  <c r="G199" i="95"/>
  <c r="AE198" i="95"/>
  <c r="AB198" i="95"/>
  <c r="Y198" i="95"/>
  <c r="M198" i="95"/>
  <c r="J198" i="95"/>
  <c r="G198" i="95"/>
  <c r="AE197" i="95"/>
  <c r="AB197" i="95"/>
  <c r="Y197" i="95"/>
  <c r="M197" i="95"/>
  <c r="J197" i="95"/>
  <c r="G197" i="95"/>
  <c r="AE196" i="95"/>
  <c r="AB196" i="95"/>
  <c r="Y196" i="95"/>
  <c r="M196" i="95"/>
  <c r="J196" i="95"/>
  <c r="G196" i="95"/>
  <c r="AE195" i="95"/>
  <c r="AB195" i="95"/>
  <c r="Y195" i="95"/>
  <c r="M195" i="95"/>
  <c r="J195" i="95"/>
  <c r="G195" i="95"/>
  <c r="AE194" i="95"/>
  <c r="AB194" i="95"/>
  <c r="Y194" i="95"/>
  <c r="M194" i="95"/>
  <c r="J194" i="95"/>
  <c r="G194" i="95"/>
  <c r="AE193" i="95"/>
  <c r="AB193" i="95"/>
  <c r="Y193" i="95"/>
  <c r="M193" i="95"/>
  <c r="J193" i="95"/>
  <c r="G193" i="95"/>
  <c r="AE192" i="95"/>
  <c r="AB192" i="95"/>
  <c r="Y192" i="95"/>
  <c r="M192" i="95"/>
  <c r="J192" i="95"/>
  <c r="G192" i="95"/>
  <c r="AE191" i="95"/>
  <c r="AB191" i="95"/>
  <c r="Y191" i="95"/>
  <c r="M191" i="95"/>
  <c r="J191" i="95"/>
  <c r="G191" i="95"/>
  <c r="AE190" i="95"/>
  <c r="AB190" i="95"/>
  <c r="Y190" i="95"/>
  <c r="M190" i="95"/>
  <c r="J190" i="95"/>
  <c r="G190" i="95"/>
  <c r="AE189" i="95"/>
  <c r="AB189" i="95"/>
  <c r="Y189" i="95"/>
  <c r="M189" i="95"/>
  <c r="J189" i="95"/>
  <c r="G189" i="95"/>
  <c r="AE188" i="95"/>
  <c r="AB188" i="95"/>
  <c r="Y188" i="95"/>
  <c r="M188" i="95"/>
  <c r="J188" i="95"/>
  <c r="G188" i="95"/>
  <c r="AE187" i="95"/>
  <c r="AB187" i="95"/>
  <c r="Y187" i="95"/>
  <c r="M187" i="95"/>
  <c r="J187" i="95"/>
  <c r="G187" i="95"/>
  <c r="AE186" i="95"/>
  <c r="AB186" i="95"/>
  <c r="Y186" i="95"/>
  <c r="M186" i="95"/>
  <c r="J186" i="95"/>
  <c r="G186" i="95"/>
  <c r="AE185" i="95"/>
  <c r="AB185" i="95"/>
  <c r="Y185" i="95"/>
  <c r="M185" i="95"/>
  <c r="J185" i="95"/>
  <c r="G185" i="95"/>
  <c r="AE184" i="95"/>
  <c r="AB184" i="95"/>
  <c r="Y184" i="95"/>
  <c r="M184" i="95"/>
  <c r="J184" i="95"/>
  <c r="G184" i="95"/>
  <c r="AE183" i="95"/>
  <c r="AB183" i="95"/>
  <c r="Y183" i="95"/>
  <c r="M183" i="95"/>
  <c r="J183" i="95"/>
  <c r="G183" i="95"/>
  <c r="AE182" i="95"/>
  <c r="AB182" i="95"/>
  <c r="Y182" i="95"/>
  <c r="M182" i="95"/>
  <c r="J182" i="95"/>
  <c r="G182" i="95"/>
  <c r="AE181" i="95"/>
  <c r="AB181" i="95"/>
  <c r="Y181" i="95"/>
  <c r="M181" i="95"/>
  <c r="J181" i="95"/>
  <c r="G181" i="95"/>
  <c r="AE180" i="95"/>
  <c r="AB180" i="95"/>
  <c r="Y180" i="95"/>
  <c r="M180" i="95"/>
  <c r="J180" i="95"/>
  <c r="G180" i="95"/>
  <c r="AE179" i="95"/>
  <c r="AB179" i="95"/>
  <c r="Y179" i="95"/>
  <c r="M179" i="95"/>
  <c r="J179" i="95"/>
  <c r="G179" i="95"/>
  <c r="AE178" i="95"/>
  <c r="AB178" i="95"/>
  <c r="Y178" i="95"/>
  <c r="M178" i="95"/>
  <c r="J178" i="95"/>
  <c r="G178" i="95"/>
  <c r="AE177" i="95"/>
  <c r="AB177" i="95"/>
  <c r="Y177" i="95"/>
  <c r="M177" i="95"/>
  <c r="J177" i="95"/>
  <c r="G177" i="95"/>
  <c r="AE176" i="95"/>
  <c r="AB176" i="95"/>
  <c r="Y176" i="95"/>
  <c r="M176" i="95"/>
  <c r="J176" i="95"/>
  <c r="G176" i="95"/>
  <c r="A176" i="95"/>
  <c r="A177" i="95" s="1"/>
  <c r="A178" i="95" s="1"/>
  <c r="A179" i="95" s="1"/>
  <c r="A180" i="95" s="1"/>
  <c r="A182" i="95" s="1"/>
  <c r="A183" i="95" s="1"/>
  <c r="A184" i="95" s="1"/>
  <c r="A185" i="95" s="1"/>
  <c r="A186" i="95" s="1"/>
  <c r="AE175" i="95"/>
  <c r="AB175" i="95"/>
  <c r="Y175" i="95"/>
  <c r="M175" i="95"/>
  <c r="J175" i="95"/>
  <c r="G175" i="95"/>
  <c r="AE174" i="95"/>
  <c r="AB174" i="95"/>
  <c r="Y174" i="95"/>
  <c r="M174" i="95"/>
  <c r="J174" i="95"/>
  <c r="G174" i="95"/>
  <c r="A174" i="95"/>
  <c r="A175" i="95" s="1"/>
  <c r="AE173" i="95"/>
  <c r="AB173" i="95"/>
  <c r="Y173" i="95"/>
  <c r="M173" i="95"/>
  <c r="J173" i="95"/>
  <c r="G173" i="95"/>
  <c r="A173" i="95"/>
  <c r="N32" i="95"/>
  <c r="T29" i="95"/>
  <c r="P29" i="95"/>
  <c r="R28" i="95"/>
  <c r="V28" i="95" s="1"/>
  <c r="X29" i="95" s="1"/>
  <c r="N26" i="95"/>
  <c r="AY25" i="95"/>
  <c r="AP15" i="95"/>
  <c r="AG15" i="95"/>
  <c r="AP14" i="95"/>
  <c r="AG13" i="95"/>
  <c r="AP13" i="95" s="1"/>
  <c r="AP12" i="95"/>
  <c r="AG12" i="95"/>
  <c r="AP11" i="95"/>
  <c r="AJ11" i="95"/>
  <c r="AG11" i="95"/>
  <c r="AP10" i="95"/>
  <c r="AJ10" i="95"/>
  <c r="AO3" i="95"/>
  <c r="A88" i="92"/>
  <c r="A89" i="92"/>
  <c r="A90" i="92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189" i="95" l="1"/>
  <c r="A188" i="95" s="1"/>
  <c r="A190" i="95" s="1"/>
  <c r="A191" i="95" s="1"/>
  <c r="A192" i="95" s="1"/>
  <c r="A193" i="95" s="1"/>
  <c r="A194" i="95" s="1"/>
  <c r="A195" i="95" s="1"/>
  <c r="A196" i="95" s="1"/>
  <c r="A197" i="95" s="1"/>
  <c r="A198" i="95" s="1"/>
  <c r="A199" i="95" s="1"/>
  <c r="A200" i="95" s="1"/>
  <c r="A201" i="95" s="1"/>
  <c r="A202" i="95" s="1"/>
  <c r="A203" i="95" s="1"/>
  <c r="A204" i="95" s="1"/>
  <c r="A205" i="95" s="1"/>
  <c r="A187" i="95"/>
  <c r="Z28" i="95"/>
  <c r="V32" i="95"/>
  <c r="A181" i="95"/>
  <c r="V26" i="95"/>
  <c r="R32" i="95"/>
  <c r="R26" i="95"/>
  <c r="K3" i="92"/>
  <c r="AD28" i="95" l="1"/>
  <c r="AB29" i="95"/>
  <c r="Z32" i="95"/>
  <c r="Z26" i="95"/>
  <c r="J24" i="91"/>
  <c r="I3" i="92"/>
  <c r="H3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AD26" i="95" l="1"/>
  <c r="AD32" i="95"/>
  <c r="AH28" i="95"/>
  <c r="AF29" i="95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1" i="92"/>
  <c r="AL28" i="95" l="1"/>
  <c r="AH26" i="95"/>
  <c r="AJ29" i="95"/>
  <c r="AH32" i="95"/>
  <c r="F26" i="91"/>
  <c r="F24" i="91"/>
  <c r="F23" i="91"/>
  <c r="F22" i="91"/>
  <c r="F21" i="91"/>
  <c r="F20" i="91"/>
  <c r="F19" i="91"/>
  <c r="F18" i="91"/>
  <c r="AL32" i="95" l="1"/>
  <c r="AL26" i="95"/>
  <c r="AN29" i="95"/>
  <c r="AP28" i="95"/>
  <c r="F16" i="91"/>
  <c r="F15" i="91"/>
  <c r="F13" i="91"/>
  <c r="F12" i="91"/>
  <c r="F11" i="91"/>
  <c r="F10" i="91"/>
  <c r="AV29" i="95" l="1"/>
  <c r="B38" i="95"/>
  <c r="AP32" i="95"/>
  <c r="AP26" i="95"/>
  <c r="AR29" i="95"/>
  <c r="M2" i="80"/>
  <c r="B42" i="95" l="1"/>
  <c r="D39" i="95"/>
  <c r="B36" i="95"/>
  <c r="F38" i="95"/>
  <c r="L2" i="80"/>
  <c r="F36" i="95" l="1"/>
  <c r="H39" i="95"/>
  <c r="J38" i="95"/>
  <c r="F42" i="95"/>
  <c r="N2" i="80"/>
  <c r="L39" i="95" l="1"/>
  <c r="J42" i="95"/>
  <c r="J36" i="95"/>
  <c r="N38" i="95"/>
  <c r="U43" i="80"/>
  <c r="U28" i="80"/>
  <c r="R38" i="95" l="1"/>
  <c r="N36" i="95"/>
  <c r="P39" i="95"/>
  <c r="N42" i="95"/>
  <c r="K2" i="80"/>
  <c r="T39" i="95" l="1"/>
  <c r="R36" i="95"/>
  <c r="V38" i="95"/>
  <c r="R42" i="95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38" i="95" l="1"/>
  <c r="V36" i="95"/>
  <c r="V42" i="95"/>
  <c r="X39" i="95"/>
  <c r="G607" i="80"/>
  <c r="G609" i="80"/>
  <c r="G611" i="80"/>
  <c r="G613" i="80"/>
  <c r="G615" i="80"/>
  <c r="G605" i="80"/>
  <c r="Z42" i="95" l="1"/>
  <c r="Z36" i="95"/>
  <c r="AB39" i="95"/>
  <c r="AD38" i="95"/>
  <c r="A6" i="80"/>
  <c r="AD42" i="95" l="1"/>
  <c r="AF39" i="95"/>
  <c r="AH38" i="95"/>
  <c r="AD36" i="95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H42" i="95" l="1"/>
  <c r="AH36" i="95"/>
  <c r="AL38" i="95"/>
  <c r="AJ39" i="95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L42" i="95" l="1"/>
  <c r="AL36" i="95"/>
  <c r="AP38" i="95"/>
  <c r="AN39" i="95"/>
  <c r="AP36" i="95" l="1"/>
  <c r="B47" i="95"/>
  <c r="AR39" i="95"/>
  <c r="AV39" i="95" s="1"/>
  <c r="AP42" i="95"/>
  <c r="F47" i="95" l="1"/>
  <c r="B51" i="95"/>
  <c r="B45" i="95"/>
  <c r="D48" i="95"/>
  <c r="J47" i="95" l="1"/>
  <c r="F45" i="95"/>
  <c r="H48" i="95"/>
  <c r="F51" i="95"/>
  <c r="N47" i="95" l="1"/>
  <c r="L48" i="95"/>
  <c r="J45" i="95"/>
  <c r="J51" i="95"/>
  <c r="N51" i="95" l="1"/>
  <c r="P48" i="95"/>
  <c r="N45" i="95"/>
  <c r="R47" i="95"/>
  <c r="R45" i="95" l="1"/>
  <c r="T48" i="95"/>
  <c r="R51" i="95"/>
  <c r="V47" i="95"/>
  <c r="X48" i="95" l="1"/>
  <c r="V51" i="95"/>
  <c r="V45" i="95"/>
  <c r="Z47" i="95"/>
  <c r="AD47" i="95" l="1"/>
  <c r="Z45" i="95"/>
  <c r="AB48" i="95"/>
  <c r="Z51" i="95"/>
  <c r="AF48" i="95" l="1"/>
  <c r="AD45" i="95"/>
  <c r="AH47" i="95"/>
  <c r="AD51" i="95"/>
  <c r="AL47" i="95" l="1"/>
  <c r="AH45" i="95"/>
  <c r="AH51" i="95"/>
  <c r="AJ48" i="95"/>
  <c r="AL51" i="95" l="1"/>
  <c r="AL45" i="95"/>
  <c r="AN48" i="95"/>
  <c r="AP47" i="95"/>
  <c r="B56" i="95" l="1"/>
  <c r="AP51" i="95"/>
  <c r="AR48" i="95"/>
  <c r="AV48" i="95" s="1"/>
  <c r="AP45" i="95"/>
  <c r="B54" i="95" l="1"/>
  <c r="F56" i="95"/>
  <c r="D57" i="95"/>
  <c r="B60" i="95"/>
  <c r="F60" i="95" l="1"/>
  <c r="H57" i="95"/>
  <c r="F54" i="95"/>
  <c r="J56" i="95"/>
  <c r="N56" i="95" l="1"/>
  <c r="L57" i="95"/>
  <c r="J60" i="95"/>
  <c r="J54" i="95"/>
  <c r="R56" i="95" l="1"/>
  <c r="N60" i="95"/>
  <c r="P57" i="95"/>
  <c r="N54" i="95"/>
  <c r="V56" i="95" l="1"/>
  <c r="R54" i="95"/>
  <c r="T57" i="95"/>
  <c r="R60" i="95"/>
  <c r="Z56" i="95" l="1"/>
  <c r="X57" i="95"/>
  <c r="V60" i="95"/>
  <c r="V54" i="95"/>
  <c r="Z60" i="95" l="1"/>
  <c r="AB57" i="95"/>
  <c r="AD56" i="95"/>
  <c r="Z54" i="95"/>
  <c r="AH56" i="95" l="1"/>
  <c r="AD60" i="95"/>
  <c r="AD54" i="95"/>
  <c r="AF57" i="95"/>
  <c r="AJ57" i="95" l="1"/>
  <c r="AH60" i="95"/>
  <c r="AL56" i="95"/>
  <c r="AH54" i="95"/>
  <c r="AP56" i="95" l="1"/>
  <c r="AL54" i="95"/>
  <c r="AN57" i="95"/>
  <c r="AL60" i="95"/>
  <c r="AR57" i="95" l="1"/>
  <c r="AV57" i="95" s="1"/>
  <c r="AP54" i="95"/>
  <c r="AP60" i="95"/>
  <c r="B65" i="95"/>
  <c r="F65" i="95" l="1"/>
  <c r="B63" i="95"/>
  <c r="B69" i="95"/>
  <c r="D66" i="95"/>
  <c r="F69" i="95" l="1"/>
  <c r="F63" i="95"/>
  <c r="J65" i="95"/>
  <c r="H66" i="95"/>
  <c r="N65" i="95" l="1"/>
  <c r="J63" i="95"/>
  <c r="J69" i="95"/>
  <c r="L66" i="95"/>
  <c r="N63" i="95" l="1"/>
  <c r="R65" i="95"/>
  <c r="P66" i="95"/>
  <c r="N69" i="95"/>
  <c r="R69" i="95" l="1"/>
  <c r="T66" i="95"/>
  <c r="R63" i="95"/>
  <c r="V65" i="95"/>
  <c r="Z65" i="95" l="1"/>
  <c r="X66" i="95"/>
  <c r="V69" i="95"/>
  <c r="V63" i="95"/>
  <c r="AD65" i="95" l="1"/>
  <c r="Z63" i="95"/>
  <c r="Z69" i="95"/>
  <c r="AB66" i="95"/>
  <c r="AH65" i="95" l="1"/>
  <c r="AD63" i="95"/>
  <c r="AF66" i="95"/>
  <c r="AD69" i="95"/>
  <c r="AL65" i="95" l="1"/>
  <c r="AJ66" i="95"/>
  <c r="AH63" i="95"/>
  <c r="AH69" i="95"/>
  <c r="AL69" i="95" l="1"/>
  <c r="AN66" i="95"/>
  <c r="AP65" i="95"/>
  <c r="AL63" i="95"/>
  <c r="B75" i="95" l="1"/>
  <c r="AP69" i="95"/>
  <c r="AP63" i="95"/>
  <c r="AR66" i="95"/>
  <c r="AV66" i="95" s="1"/>
  <c r="B79" i="95" l="1"/>
  <c r="D76" i="95"/>
  <c r="B73" i="95"/>
  <c r="F75" i="95"/>
  <c r="H76" i="95" l="1"/>
  <c r="F73" i="95"/>
  <c r="J75" i="95"/>
  <c r="F79" i="95"/>
  <c r="J79" i="95" l="1"/>
  <c r="J73" i="95"/>
  <c r="N75" i="95"/>
  <c r="L76" i="95"/>
  <c r="R75" i="95" l="1"/>
  <c r="N73" i="95"/>
  <c r="N79" i="95"/>
  <c r="P76" i="95"/>
  <c r="R79" i="95" l="1"/>
  <c r="R73" i="95"/>
  <c r="V75" i="95"/>
  <c r="T76" i="95"/>
  <c r="Z75" i="95" l="1"/>
  <c r="V73" i="95"/>
  <c r="V79" i="95"/>
  <c r="X76" i="95"/>
  <c r="Z73" i="95" l="1"/>
  <c r="AD75" i="95"/>
  <c r="Z79" i="95"/>
  <c r="AB76" i="95"/>
  <c r="AD79" i="95" l="1"/>
  <c r="AF76" i="95"/>
  <c r="AD73" i="95"/>
  <c r="AH75" i="95"/>
  <c r="AL75" i="95" l="1"/>
  <c r="AH73" i="95"/>
  <c r="AH79" i="95"/>
  <c r="AJ76" i="95"/>
  <c r="AP75" i="95" l="1"/>
  <c r="AL73" i="95"/>
  <c r="AN76" i="95"/>
  <c r="AL79" i="95"/>
  <c r="AP73" i="95" l="1"/>
  <c r="AR76" i="95"/>
  <c r="AV76" i="95" s="1"/>
  <c r="B84" i="95"/>
  <c r="AP79" i="95"/>
  <c r="D85" i="95" l="1"/>
  <c r="F84" i="95"/>
  <c r="B88" i="95"/>
  <c r="B82" i="95"/>
  <c r="J84" i="95" l="1"/>
  <c r="F82" i="95"/>
  <c r="H85" i="95"/>
  <c r="F88" i="95"/>
  <c r="L85" i="95" l="1"/>
  <c r="J88" i="95"/>
  <c r="N84" i="95"/>
  <c r="J82" i="95"/>
  <c r="N88" i="95" l="1"/>
  <c r="P85" i="95"/>
  <c r="N82" i="95"/>
  <c r="R84" i="95"/>
  <c r="T85" i="95" l="1"/>
  <c r="R82" i="95"/>
  <c r="V84" i="95"/>
  <c r="R88" i="95"/>
  <c r="X85" i="95" l="1"/>
  <c r="V88" i="95"/>
  <c r="Z84" i="95"/>
  <c r="V82" i="95"/>
  <c r="AD84" i="95" l="1"/>
  <c r="Z82" i="95"/>
  <c r="Z88" i="95"/>
  <c r="AB85" i="95"/>
  <c r="AD88" i="95" l="1"/>
  <c r="AD82" i="95"/>
  <c r="AH84" i="95"/>
  <c r="AF85" i="95"/>
  <c r="AL84" i="95" l="1"/>
  <c r="AH82" i="95"/>
  <c r="AH88" i="95"/>
  <c r="AJ85" i="95"/>
  <c r="AL88" i="95" l="1"/>
  <c r="AL82" i="95"/>
  <c r="AP84" i="95"/>
  <c r="AN85" i="95"/>
  <c r="B92" i="95" l="1"/>
  <c r="AP88" i="95"/>
  <c r="AR85" i="95"/>
  <c r="AV85" i="95" s="1"/>
  <c r="AP82" i="95"/>
  <c r="F92" i="95" l="1"/>
  <c r="D93" i="95"/>
  <c r="B96" i="95"/>
  <c r="B90" i="95"/>
  <c r="F96" i="95" l="1"/>
  <c r="H93" i="95"/>
  <c r="J92" i="95"/>
  <c r="F90" i="95"/>
  <c r="N92" i="95" l="1"/>
  <c r="L93" i="95"/>
  <c r="J96" i="95"/>
  <c r="J90" i="95"/>
  <c r="N96" i="95" l="1"/>
  <c r="R92" i="95"/>
  <c r="N90" i="95"/>
  <c r="P93" i="95"/>
  <c r="V92" i="95" l="1"/>
  <c r="R90" i="95"/>
  <c r="T93" i="95"/>
  <c r="R96" i="95"/>
  <c r="X93" i="95" l="1"/>
  <c r="V96" i="95"/>
  <c r="V90" i="95"/>
  <c r="Z92" i="95"/>
  <c r="Z96" i="95" l="1"/>
  <c r="AB93" i="95"/>
  <c r="Z90" i="95"/>
  <c r="AD92" i="95"/>
  <c r="AF93" i="95" l="1"/>
  <c r="AD90" i="95"/>
  <c r="AD96" i="95"/>
  <c r="AH92" i="95"/>
  <c r="AJ93" i="95" l="1"/>
  <c r="AH96" i="95"/>
  <c r="AH90" i="95"/>
  <c r="AL92" i="95"/>
  <c r="AP92" i="95" l="1"/>
  <c r="AL90" i="95"/>
  <c r="AL96" i="95"/>
  <c r="AN93" i="95"/>
  <c r="AP96" i="95" l="1"/>
  <c r="AP90" i="95"/>
  <c r="AR93" i="95"/>
  <c r="AV93" i="95" s="1"/>
  <c r="B100" i="95"/>
  <c r="F100" i="95" l="1"/>
  <c r="B98" i="95"/>
  <c r="D101" i="95"/>
  <c r="B104" i="95"/>
  <c r="F98" i="95" l="1"/>
  <c r="J100" i="95"/>
  <c r="H101" i="95"/>
  <c r="F104" i="95"/>
  <c r="N100" i="95" l="1"/>
  <c r="J98" i="95"/>
  <c r="J104" i="95"/>
  <c r="L101" i="95"/>
  <c r="R100" i="95" l="1"/>
  <c r="P101" i="95"/>
  <c r="N98" i="95"/>
  <c r="N104" i="95"/>
  <c r="R104" i="95" l="1"/>
  <c r="T101" i="95"/>
  <c r="V100" i="95"/>
  <c r="R98" i="95"/>
  <c r="Z100" i="95" l="1"/>
  <c r="X101" i="95"/>
  <c r="V98" i="95"/>
  <c r="V104" i="95"/>
  <c r="AB101" i="95" l="1"/>
  <c r="AD100" i="95"/>
  <c r="Z104" i="95"/>
  <c r="Z98" i="95"/>
  <c r="AH100" i="95" l="1"/>
  <c r="AD98" i="95"/>
  <c r="AF101" i="95"/>
  <c r="AD104" i="95"/>
  <c r="AJ101" i="95" l="1"/>
  <c r="AH104" i="95"/>
  <c r="AL100" i="95"/>
  <c r="AH98" i="95"/>
  <c r="AL104" i="95" l="1"/>
  <c r="AN101" i="95"/>
  <c r="AL98" i="95"/>
  <c r="AP100" i="95"/>
  <c r="AR101" i="95" l="1"/>
  <c r="AV101" i="95" s="1"/>
  <c r="AP98" i="95"/>
  <c r="B108" i="95"/>
  <c r="AP104" i="95"/>
  <c r="B112" i="95" l="1"/>
  <c r="D109" i="95"/>
  <c r="B106" i="95"/>
  <c r="F108" i="95"/>
  <c r="F112" i="95" l="1"/>
  <c r="F106" i="95"/>
  <c r="J108" i="95"/>
  <c r="H109" i="95"/>
  <c r="J112" i="95" l="1"/>
  <c r="J106" i="95"/>
  <c r="N108" i="95"/>
  <c r="L109" i="95"/>
  <c r="R108" i="95" l="1"/>
  <c r="N106" i="95"/>
  <c r="N112" i="95"/>
  <c r="P109" i="95"/>
  <c r="R106" i="95" l="1"/>
  <c r="V108" i="95"/>
  <c r="R112" i="95"/>
  <c r="T109" i="95"/>
  <c r="Z108" i="95" l="1"/>
  <c r="V106" i="95"/>
  <c r="V112" i="95"/>
  <c r="X109" i="95"/>
  <c r="AD108" i="95" l="1"/>
  <c r="AB109" i="95"/>
  <c r="Z112" i="95"/>
  <c r="Z106" i="95"/>
  <c r="AD112" i="95" l="1"/>
  <c r="AF109" i="95"/>
  <c r="AH108" i="95"/>
  <c r="AD106" i="95"/>
  <c r="AL108" i="95" l="1"/>
  <c r="AJ109" i="95"/>
  <c r="AH106" i="95"/>
  <c r="AH112" i="95"/>
  <c r="AN109" i="95" l="1"/>
  <c r="AL112" i="95"/>
  <c r="AL106" i="95"/>
  <c r="AP108" i="95"/>
  <c r="AP106" i="95" l="1"/>
  <c r="AR109" i="95"/>
  <c r="AV109" i="95" s="1"/>
  <c r="AP112" i="95"/>
  <c r="B117" i="95"/>
  <c r="F117" i="95" l="1"/>
  <c r="D118" i="95"/>
  <c r="B115" i="95"/>
  <c r="B121" i="95"/>
  <c r="F115" i="95" l="1"/>
  <c r="F121" i="95"/>
  <c r="H118" i="95"/>
  <c r="J117" i="95"/>
  <c r="J121" i="95" l="1"/>
  <c r="L118" i="95"/>
  <c r="J115" i="95"/>
  <c r="N117" i="95"/>
  <c r="P118" i="95" l="1"/>
  <c r="N115" i="95"/>
  <c r="N121" i="95"/>
  <c r="R117" i="95"/>
  <c r="V117" i="95" l="1"/>
  <c r="Z117" i="95" s="1"/>
  <c r="R121" i="95"/>
  <c r="R115" i="95"/>
  <c r="V116" i="95"/>
  <c r="T118" i="95"/>
  <c r="V115" i="95" l="1"/>
  <c r="V121" i="95"/>
  <c r="X118" i="95"/>
  <c r="Z115" i="95"/>
  <c r="Z121" i="95"/>
  <c r="AB118" i="95"/>
  <c r="AD117" i="95"/>
  <c r="AH117" i="95" l="1"/>
  <c r="AD121" i="95"/>
  <c r="AF118" i="95"/>
  <c r="AD115" i="95"/>
  <c r="AH115" i="95" l="1"/>
  <c r="AL117" i="95"/>
  <c r="AH121" i="95"/>
  <c r="AJ118" i="95"/>
  <c r="AL121" i="95" l="1"/>
  <c r="AN118" i="95"/>
  <c r="AL115" i="95"/>
  <c r="AP117" i="95"/>
  <c r="AV118" i="95" l="1"/>
  <c r="AP121" i="95"/>
  <c r="B126" i="95"/>
  <c r="AP115" i="95"/>
  <c r="AR118" i="95"/>
  <c r="B130" i="95" l="1"/>
  <c r="D127" i="95"/>
  <c r="B124" i="95"/>
  <c r="F126" i="95"/>
  <c r="F130" i="95" l="1"/>
  <c r="J126" i="95"/>
  <c r="F124" i="95"/>
  <c r="H127" i="95"/>
  <c r="N126" i="95" l="1"/>
  <c r="J124" i="95"/>
  <c r="J130" i="95"/>
  <c r="L127" i="95"/>
  <c r="R126" i="95" l="1"/>
  <c r="N124" i="95"/>
  <c r="N130" i="95"/>
  <c r="P127" i="95"/>
  <c r="R130" i="95" l="1"/>
  <c r="T127" i="95"/>
  <c r="V126" i="95"/>
  <c r="R124" i="95"/>
  <c r="V130" i="95" l="1"/>
  <c r="X127" i="95"/>
  <c r="Z126" i="95"/>
  <c r="V124" i="95"/>
  <c r="Z130" i="95" l="1"/>
  <c r="AD126" i="95"/>
  <c r="Z124" i="95"/>
  <c r="AB127" i="95"/>
  <c r="AH126" i="95" l="1"/>
  <c r="AD124" i="95"/>
  <c r="AD130" i="95"/>
  <c r="AF127" i="95"/>
  <c r="AL126" i="95" l="1"/>
  <c r="AH124" i="95"/>
  <c r="AJ127" i="95"/>
  <c r="AH130" i="95"/>
  <c r="AL130" i="95" l="1"/>
  <c r="AN127" i="95"/>
  <c r="AP126" i="95"/>
  <c r="AL124" i="95"/>
  <c r="AP124" i="95" l="1"/>
  <c r="B135" i="95"/>
  <c r="AP130" i="95"/>
  <c r="AR127" i="95"/>
  <c r="AV127" i="95" s="1"/>
  <c r="B139" i="95" l="1"/>
  <c r="D136" i="95"/>
  <c r="F135" i="95"/>
  <c r="B133" i="95"/>
  <c r="J135" i="95" l="1"/>
  <c r="F133" i="95"/>
  <c r="F139" i="95"/>
  <c r="H136" i="95"/>
  <c r="J139" i="95" l="1"/>
  <c r="N135" i="95"/>
  <c r="J133" i="95"/>
  <c r="L136" i="95"/>
  <c r="N139" i="95" l="1"/>
  <c r="P136" i="95"/>
  <c r="R135" i="95"/>
  <c r="N133" i="95"/>
  <c r="R139" i="95" l="1"/>
  <c r="V135" i="95"/>
  <c r="R133" i="95"/>
  <c r="T136" i="95"/>
  <c r="Z135" i="95" l="1"/>
  <c r="V133" i="95"/>
  <c r="X136" i="95"/>
  <c r="V139" i="95"/>
  <c r="AD135" i="95" l="1"/>
  <c r="Z133" i="95"/>
  <c r="AB136" i="95"/>
  <c r="Z139" i="95"/>
  <c r="AD139" i="95" l="1"/>
  <c r="AF136" i="95"/>
  <c r="AD133" i="95"/>
  <c r="AH135" i="95"/>
  <c r="AH139" i="95" l="1"/>
  <c r="AJ136" i="95"/>
  <c r="AH133" i="95"/>
  <c r="AL135" i="95"/>
  <c r="AN136" i="95" l="1"/>
  <c r="AL133" i="95"/>
  <c r="AL139" i="95"/>
  <c r="AP135" i="95"/>
  <c r="AP133" i="95" l="1"/>
  <c r="B144" i="95"/>
  <c r="AR136" i="95"/>
  <c r="AV136" i="95" s="1"/>
  <c r="AP139" i="95"/>
  <c r="B148" i="95" l="1"/>
  <c r="F144" i="95"/>
  <c r="B142" i="95"/>
  <c r="D145" i="95"/>
  <c r="J144" i="95" l="1"/>
  <c r="F142" i="95"/>
  <c r="H145" i="95"/>
  <c r="F148" i="95"/>
  <c r="N144" i="95" l="1"/>
  <c r="J142" i="95"/>
  <c r="L145" i="95"/>
  <c r="J148" i="95"/>
  <c r="N148" i="95" l="1"/>
  <c r="P145" i="95"/>
  <c r="N142" i="95"/>
  <c r="R144" i="95"/>
  <c r="V144" i="95" l="1"/>
  <c r="R142" i="95"/>
  <c r="R148" i="95"/>
  <c r="T145" i="95"/>
  <c r="X145" i="95" l="1"/>
  <c r="V142" i="95"/>
  <c r="Z144" i="95"/>
  <c r="V148" i="95"/>
  <c r="Z148" i="95" l="1"/>
  <c r="AB145" i="95"/>
  <c r="Z142" i="95"/>
  <c r="AD144" i="95"/>
  <c r="AF145" i="95" l="1"/>
  <c r="AD142" i="95"/>
  <c r="AD148" i="95"/>
  <c r="AH144" i="95"/>
  <c r="AL144" i="95" l="1"/>
  <c r="AH142" i="95"/>
  <c r="AJ145" i="95"/>
  <c r="AH148" i="95"/>
  <c r="AP144" i="95" l="1"/>
  <c r="AL142" i="95"/>
  <c r="AN145" i="95"/>
  <c r="AL148" i="95"/>
  <c r="B154" i="95" l="1"/>
  <c r="AP148" i="95"/>
  <c r="AR145" i="95"/>
  <c r="AV145" i="95" s="1"/>
  <c r="AP142" i="95"/>
  <c r="F154" i="95" l="1"/>
  <c r="B152" i="95"/>
  <c r="D155" i="95"/>
  <c r="B158" i="95"/>
  <c r="F158" i="95" l="1"/>
  <c r="H155" i="95"/>
  <c r="F152" i="95"/>
  <c r="J154" i="95"/>
  <c r="J158" i="95" l="1"/>
  <c r="L155" i="95"/>
  <c r="J152" i="95"/>
  <c r="N154" i="95"/>
  <c r="P155" i="95" l="1"/>
  <c r="N152" i="95"/>
  <c r="R154" i="95"/>
  <c r="N158" i="95"/>
  <c r="V154" i="95" l="1"/>
  <c r="R152" i="95"/>
  <c r="T155" i="95"/>
  <c r="R158" i="95"/>
  <c r="Z154" i="95" l="1"/>
  <c r="V152" i="95"/>
  <c r="X155" i="95"/>
  <c r="V158" i="95"/>
  <c r="Z158" i="95" l="1"/>
  <c r="AB155" i="95"/>
  <c r="Z152" i="95"/>
  <c r="AD154" i="95"/>
  <c r="AH154" i="95" l="1"/>
  <c r="AD152" i="95"/>
  <c r="AD158" i="95"/>
  <c r="AF155" i="95"/>
  <c r="AJ155" i="95" l="1"/>
  <c r="AH152" i="95"/>
  <c r="AH158" i="95"/>
  <c r="AL154" i="95"/>
  <c r="AL158" i="95" l="1"/>
  <c r="AN155" i="95"/>
  <c r="AL152" i="95"/>
  <c r="AP154" i="95"/>
  <c r="B163" i="95" l="1"/>
  <c r="AP158" i="95"/>
  <c r="AP152" i="95"/>
  <c r="AR155" i="95"/>
  <c r="AV155" i="95" s="1"/>
  <c r="D164" i="95" l="1"/>
  <c r="B161" i="95"/>
  <c r="F163" i="95"/>
  <c r="B167" i="95"/>
  <c r="F167" i="95" l="1"/>
  <c r="F161" i="95"/>
  <c r="H164" i="95"/>
  <c r="J163" i="95"/>
  <c r="L164" i="95" l="1"/>
  <c r="J167" i="95"/>
  <c r="J161" i="95"/>
  <c r="N163" i="95"/>
  <c r="N161" i="95" l="1"/>
  <c r="R163" i="95"/>
  <c r="P164" i="95"/>
  <c r="N167" i="95"/>
  <c r="R167" i="95" l="1"/>
  <c r="V163" i="95"/>
  <c r="T164" i="95"/>
  <c r="R161" i="95"/>
  <c r="X164" i="95" l="1"/>
  <c r="V161" i="95"/>
  <c r="Z163" i="95"/>
  <c r="V167" i="95"/>
  <c r="AB164" i="95" l="1"/>
  <c r="AD163" i="95"/>
  <c r="Z167" i="95"/>
  <c r="Z161" i="95"/>
  <c r="AD161" i="95" l="1"/>
  <c r="AF164" i="95"/>
  <c r="AH163" i="95"/>
  <c r="AD167" i="95"/>
  <c r="AH161" i="95" l="1"/>
  <c r="AL163" i="95"/>
  <c r="AH167" i="95"/>
  <c r="AJ164" i="95"/>
  <c r="AV164" i="95" s="1"/>
  <c r="AV25" i="95" s="1"/>
  <c r="AL167" i="95" l="1"/>
  <c r="AL161" i="9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<sst xmlns="http://schemas.openxmlformats.org/spreadsheetml/2006/main" count="3498" uniqueCount="636">
  <si>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</si>
  <si>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</si>
  <si>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</si>
  <si>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</si>
  <si>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</si>
  <si>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</si>
  <si>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</si>
  <si>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</si>
  <si>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</si>
  <si>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</si>
  <si>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</si>
  <si>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</si>
  <si>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</si>
  <si>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</si>
  <si>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</si>
  <si>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</si>
  <si>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</si>
  <si>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</si>
  <si>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</si>
  <si>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</si>
  <si>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</si>
  <si>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</si>
  <si>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</si>
  <si>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</si>
  <si>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</si>
  <si>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</si>
  <si>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</si>
  <si>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</si>
  <si>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</si>
  <si>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</si>
  <si>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</si>
  <si>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</si>
  <si>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</si>
  <si>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</si>
  <si>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</si>
  <si>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</si>
  <si>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</si>
  <si>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</si>
  <si>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</si>
  <si>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</si>
  <si>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</si>
  <si>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</si>
  <si>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</si>
  <si>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</si>
  <si>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</si>
  <si>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</si>
  <si>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</si>
  <si>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</si>
  <si>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</si>
  <si>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</si>
  <si>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</si>
  <si>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</si>
  <si>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</si>
  <si>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</si>
  <si>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</si>
  <si>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</si>
  <si>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</si>
  <si>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</si>
  <si>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</si>
  <si>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</si>
  <si>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</si>
  <si>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</si>
  <si>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</si>
  <si>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</si>
  <si>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</si>
  <si>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</si>
  <si>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</si>
  <si>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</si>
  <si>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</si>
  <si>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</si>
  <si>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</si>
  <si>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</si>
  <si>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</si>
  <si>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</si>
  <si>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</si>
  <si>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</si>
  <si>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</si>
  <si>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</si>
  <si>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</si>
  <si>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</si>
  <si>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</si>
  <si>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</si>
  <si>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</si>
  <si>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</si>
  <si>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</si>
  <si>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</si>
  <si>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</si>
  <si>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</si>
  <si>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</si>
  <si>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</si>
  <si>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</si>
  <si>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</si>
  <si>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</si>
  <si>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</si>
  <si>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</si>
  <si>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</si>
  <si>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</si>
  <si>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</si>
  <si>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</si>
  <si>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</si>
  <si>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</si>
  <si>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</si>
  <si>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</si>
  <si>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</si>
  <si>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</si>
  <si>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</si>
  <si>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</si>
  <si>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</si>
  <si>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</si>
  <si>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</si>
  <si>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</si>
  <si>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</si>
  <si>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</si>
  <si>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</si>
  <si>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</si>
  <si>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</si>
  <si>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</si>
  <si>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</si>
  <si>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</si>
  <si>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</si>
  <si>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</si>
  <si>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</si>
  <si>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</si>
  <si>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</si>
  <si>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</si>
  <si>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</si>
  <si>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</si>
  <si>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</si>
  <si>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</si>
  <si>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</si>
  <si>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</si>
  <si>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</si>
  <si>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</si>
  <si>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</si>
  <si>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</si>
  <si>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</si>
  <si>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</si>
  <si>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</si>
  <si>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</si>
  <si>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</si>
  <si>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</si>
  <si>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</si>
  <si>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</si>
  <si>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</si>
  <si>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</si>
  <si>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</si>
  <si>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</si>
  <si>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</si>
  <si>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</si>
  <si>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</si>
  <si>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</si>
  <si>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</si>
  <si>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</si>
  <si>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</si>
  <si>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</si>
  <si>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</si>
  <si>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</si>
  <si>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</si>
  <si>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</si>
  <si>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</si>
  <si>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</si>
  <si>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</si>
  <si>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</si>
  <si>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</si>
  <si>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</si>
  <si>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</si>
  <si>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</si>
  <si>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</si>
  <si>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</si>
  <si>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</si>
  <si>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</si>
  <si>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</si>
  <si>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</si>
  <si>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</si>
  <si>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</si>
  <si>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</si>
  <si>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</si>
  <si>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</si>
  <si>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</si>
  <si>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</si>
  <si>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</si>
  <si>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</si>
  <si>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</si>
  <si>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</si>
  <si>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</si>
  <si>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</si>
  <si>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</si>
  <si>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</si>
  <si>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</si>
  <si>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</si>
  <si>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</si>
  <si>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</si>
  <si>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</si>
  <si>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</si>
  <si>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</si>
  <si>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</si>
  <si>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</si>
  <si>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</si>
  <si>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</si>
  <si>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</si>
  <si>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</si>
  <si>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</si>
  <si>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</si>
  <si>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</si>
  <si>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</si>
  <si>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</si>
  <si>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</si>
  <si>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</si>
  <si>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</si>
  <si>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</si>
  <si>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</si>
  <si>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</si>
  <si>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</si>
  <si>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</si>
  <si>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</si>
  <si>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</si>
  <si>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</si>
  <si>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</si>
  <si>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</si>
  <si>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</si>
  <si>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</si>
  <si>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</si>
  <si>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</si>
  <si>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</si>
  <si>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</si>
  <si>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</si>
  <si>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</si>
  <si>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</si>
  <si>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</si>
  <si>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</si>
  <si>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</si>
  <si>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</si>
  <si>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</si>
  <si>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</si>
  <si>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</si>
  <si>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</si>
  <si>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</si>
  <si>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</si>
  <si>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</si>
  <si>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</si>
  <si>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</si>
  <si>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</si>
  <si>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</si>
  <si>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</si>
  <si>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</si>
  <si>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</si>
  <si>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</si>
  <si>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</si>
  <si>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</si>
  <si>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</si>
  <si>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</si>
  <si>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</si>
  <si>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</si>
  <si>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</si>
  <si>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</si>
  <si>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</si>
  <si>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</si>
  <si>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</si>
  <si>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</si>
  <si>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</si>
  <si>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</si>
  <si>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</si>
  <si>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</si>
  <si>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</si>
  <si>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</si>
  <si>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</si>
  <si>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</si>
  <si>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</si>
  <si>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</si>
  <si>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</si>
  <si>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</si>
  <si>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</si>
  <si>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</si>
  <si>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</si>
  <si>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</si>
  <si>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</si>
  <si>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</si>
  <si>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</si>
  <si>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</si>
  <si>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</si>
  <si>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</si>
  <si>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</si>
  <si>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</si>
  <si>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</si>
  <si>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</si>
  <si>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</si>
  <si>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</si>
  <si>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</si>
  <si>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</si>
  <si>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</si>
  <si>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</si>
  <si>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</si>
  <si>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</si>
  <si>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</si>
  <si>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</si>
  <si>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</si>
  <si>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</si>
  <si>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</si>
  <si>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</si>
  <si>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</si>
  <si>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</si>
  <si>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</si>
  <si>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</si>
  <si>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</si>
  <si>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</si>
  <si>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</si>
  <si>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</si>
  <si>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</si>
  <si>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</si>
  <si>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</si>
  <si>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</si>
  <si>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</si>
  <si>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</si>
  <si>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</si>
  <si>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</si>
  <si>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</si>
  <si>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</si>
  <si>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</si>
  <si>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</si>
  <si>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</si>
  <si>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</si>
  <si>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</si>
  <si>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</si>
  <si>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</si>
  <si>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</si>
  <si>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</si>
  <si>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</si>
  <si>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</si>
  <si>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</si>
  <si>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</si>
  <si>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</si>
  <si>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</si>
  <si>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</si>
  <si>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</si>
  <si>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</si>
  <si>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</si>
  <si>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</si>
  <si>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</si>
  <si>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</si>
  <si>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</si>
  <si>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</si>
  <si>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</si>
  <si>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</si>
  <si>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</si>
  <si>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</si>
  <si>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</si>
  <si>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</si>
  <si>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</si>
  <si>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</si>
  <si>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</si>
  <si>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</si>
  <si>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</si>
  <si>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</si>
  <si>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</si>
  <si>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</si>
  <si>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</si>
  <si>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</si>
  <si>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</si>
  <si>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</si>
  <si>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</si>
  <si>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</si>
  <si>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</si>
  <si>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</si>
  <si>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</si>
  <si>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</si>
  <si>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</si>
  <si>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</si>
  <si>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</si>
  <si>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</si>
  <si>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</si>
  <si>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</si>
  <si>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</si>
  <si>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</si>
  <si>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</si>
  <si>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</si>
  <si>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</si>
  <si>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</si>
  <si>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</si>
  <si>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</si>
  <si>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</si>
  <si>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</si>
  <si>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</si>
  <si>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</si>
  <si>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</si>
  <si>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</si>
  <si>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</si>
  <si>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</si>
  <si>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</si>
  <si>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</si>
  <si>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</si>
  <si>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</si>
  <si>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</si>
  <si>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</si>
  <si>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</si>
  <si>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</si>
  <si>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</si>
  <si>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</si>
  <si>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</si>
  <si>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</si>
  <si>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</si>
  <si>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</si>
  <si>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</si>
  <si>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</si>
  <si>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</si>
  <si>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</si>
  <si>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</si>
  <si>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</si>
  <si>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</si>
  <si>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</si>
  <si>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</si>
  <si>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</si>
  <si>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</si>
  <si>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</si>
  <si>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</si>
  <si>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</si>
  <si>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</si>
  <si>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</si>
  <si>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</si>
  <si>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</si>
  <si>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</si>
  <si>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</si>
  <si>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</si>
  <si>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</si>
  <si>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</si>
  <si>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</si>
  <si>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</si>
  <si>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</si>
  <si>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</si>
  <si>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</si>
  <si>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</si>
  <si>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</si>
  <si>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</si>
  <si>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</si>
  <si>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</si>
  <si>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</si>
  <si>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</si>
  <si>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</si>
  <si>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</si>
  <si>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</si>
  <si>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</si>
  <si>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</si>
  <si>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</si>
  <si>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</si>
  <si>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</si>
  <si>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</si>
  <si>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</si>
  <si>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</si>
  <si>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</si>
  <si>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</si>
  <si>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</si>
  <si>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</si>
  <si>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</si>
  <si>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</si>
  <si>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</si>
  <si>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</si>
  <si>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</si>
  <si>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</si>
  <si>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</si>
  <si>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</si>
  <si>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</si>
  <si>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</si>
  <si>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</si>
  <si>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</si>
  <si>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</si>
  <si>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</si>
  <si>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</si>
  <si>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</si>
  <si>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</si>
  <si>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</si>
  <si>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</si>
  <si>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</si>
  <si>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</si>
  <si>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</si>
  <si>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</si>
  <si>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</si>
  <si>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</si>
  <si>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</si>
  <si>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</si>
  <si>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</si>
  <si>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</si>
  <si>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</si>
  <si>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</si>
  <si>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</si>
  <si>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</si>
  <si>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</si>
  <si>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</si>
  <si>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</si>
  <si>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</si>
  <si>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</si>
  <si>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</si>
  <si>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1 Nov'25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</si>
  <si>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</si>
  <si>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</si>
  <si>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</si>
  <si>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</si>
  <si>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</si>
  <si>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</si>
  <si>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</si>
  <si>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</si>
  <si>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</si>
  <si>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</si>
  <si>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</si>
  <si>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</si>
  <si>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</si>
  <si>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</si>
  <si>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</si>
  <si>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</si>
  <si>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</si>
  <si>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</si>
  <si>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</si>
  <si>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</si>
  <si>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</si>
  <si>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</si>
  <si>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</si>
  <si>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</si>
  <si>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</si>
  <si>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</si>
  <si>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</si>
  <si>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</si>
  <si>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</si>
  <si>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</si>
  <si>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</si>
  <si>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</si>
  <si>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</si>
  <si>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</si>
  <si>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</si>
  <si>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</si>
  <si>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</si>
  <si>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</si>
  <si>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</si>
  <si>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</si>
  <si>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</si>
  <si>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</si>
  <si>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</si>
  <si>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</si>
  <si>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</si>
  <si>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</si>
  <si>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</si>
  <si>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</si>
  <si>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</si>
  <si>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</si>
  <si>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</si>
  <si>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</si>
  <si>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</si>
  <si>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</si>
  <si>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</si>
  <si>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</si>
  <si>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</si>
  <si>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</si>
  <si>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</si>
  <si>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</si>
  <si>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</si>
  <si>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</si>
  <si>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</si>
  <si>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</si>
  <si>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</si>
  <si>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</si>
  <si>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</si>
  <si>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</si>
  <si>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</si>
  <si>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</si>
  <si>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</si>
  <si>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</si>
  <si>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</si>
  <si>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</si>
  <si>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</si>
  <si>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</si>
  <si>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</si>
  <si>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</si>
  <si>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</si>
  <si>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</si>
  <si>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</si>
  <si>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</si>
  <si>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</si>
  <si>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</si>
  <si>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</si>
  <si>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</si>
  <si>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</si>
  <si>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</si>
  <si>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</si>
  <si>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</si>
  <si>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</si>
  <si>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</si>
  <si>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</si>
  <si>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</si>
  <si>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</si>
  <si>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</si>
  <si>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</si>
  <si>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</si>
  <si>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</si>
  <si>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</si>
  <si>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</si>
  <si>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</si>
  <si>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</si>
  <si>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</si>
  <si>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</si>
  <si>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</si>
  <si>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</si>
  <si>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</si>
  <si>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</si>
  <si>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</si>
  <si>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</si>
  <si>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</si>
  <si>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</si>
  <si>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</si>
  <si>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</si>
  <si>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</si>
  <si>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</si>
  <si>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</si>
  <si>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</si>
  <si>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</si>
  <si>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</si>
  <si>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</si>
  <si>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</si>
  <si>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</si>
  <si>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</si>
  <si>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</si>
  <si>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</si>
  <si>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</si>
  <si>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</si>
  <si>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</si>
  <si>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</si>
  <si>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</si>
  <si>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</si>
  <si>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</si>
  <si>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</si>
  <si>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</si>
  <si>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</si>
  <si>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</si>
  <si>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</si>
  <si>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</si>
  <si>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</si>
  <si>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</si>
  <si>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</si>
  <si>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</si>
  <si>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t>Date :-26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</si>
</sst>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52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15" fontId="11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1" fontId="0" fillId="28" borderId="39" xfId="0" applyNumberFormat="1" applyFill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9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28" borderId="3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39" fillId="25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0" borderId="0" xfId="0" applyFont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29" borderId="0" xfId="0" applyFill="1" applyAlignment="1">
      <alignment horizontal="center"/>
    </xf>
    <xf numFmtId="1" fontId="1" fillId="0" borderId="0" xfId="0" applyNumberFormat="1" applyFont="1" applyAlignment="1">
      <alignment horizontal="left" vertical="center"/>
    </xf>
    <xf numFmtId="0" fontId="17" fillId="24" borderId="0" xfId="0" applyFont="1" applyFill="1" applyAlignment="1">
      <alignment horizontal="center"/>
    </xf>
    <xf numFmtId="0" fontId="35" fillId="29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microsoft.com/office/2017/10/relationships/person" Target="persons/person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5F43D07-EFFA-4160-B2A0-AC040FB1090A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2BF0FD12-EE9D-4F31-8239-2A70528E9209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B88E42CA-C0EB-43CB-8DE9-2C449746C2B2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57C9DC2C-600C-4E53-BC8C-35FBE06D0A6C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249B7928-602A-4622-A54C-0D84D387D36F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6E02B38C-2602-4A04-A465-F0187EE89943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ED393C7E-C8C5-4299-BCB8-D50FB28AF38A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48D4F626-A712-4FD3-8C66-EF4D4EB7189B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922EB53A-B867-4526-958E-557686A9B277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0BA9B730-EA6D-4374-A616-5BD5E4985071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D3D6A6BE-7CA5-4602-8CFB-899AAE5A1902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CB285863-2EE4-4B33-8537-BF59AA94D2CD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436CA91D-3E5A-4886-93C1-CCDBE393197C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DB57370F-8ED3-4B52-AEFE-F9D703D61B33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059B95AB-50C1-4965-81BA-3C67D359EF40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BC95160F-1247-4953-ADB2-B80A41607E60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3CCD153A-47BD-43E5-9624-B799EB2B37AC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9BD52A4A-4A28-4783-BFD0-E17317FB37E7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448402B3-E452-4740-A3F2-373674337E0A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09670CF-5F60-46E0-8AD0-7377725C7B27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A0E79C2A-0D3B-4B71-97BE-AA9B8F2CB54C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383A60-C23B-4E2C-8194-9D612AABA35D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A0F2C33-8219-4624-BB04-7FB39D0AC105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4D790E1-CA62-4302-8F00-DB80CE76BFC9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0CCA0B52-576B-4227-8A8B-22B99470C22E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A8D8CC66-720D-41C7-B76F-7CB80CEF407B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58FE27B-C8A3-477B-ABE1-ECC993CF641E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EF90042C-0B27-44E3-8E42-70F0A65E7394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61681487-0F01-49AC-BCDF-79C259F52213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C692F2B4-CE89-4439-A4FF-69C7CDA297CF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D07D96C3-5800-46F4-B9CA-8A8CF3ED2EE4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755235DB-6031-488D-BB30-D05B24EE971D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6B314E1E-D9C6-4937-B04B-01D4726D239C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0D44BA93-C271-4A1F-AB6B-7517B8FE31BF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91BFC6F9-D272-4DDB-A36C-35CF717F122D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39D39FCE-98EA-426E-9D67-5B1251C486C5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E33E41DD-EB72-426E-8D3D-BF2A5CC04EC2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33F9A777-757B-44D3-A3DD-D709D8FB1A83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8CA743D4-69AC-4501-A4AE-1E0C0ADD2DB8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37A48E4B-CF68-411A-BD57-3F0FE7C49C7C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92763231-C23C-4E06-874C-E58E8644763C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A0EF699E-E605-49A9-8EEF-2E4BA934453C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2A062BDE-4A48-4214-B975-39B1585DAC60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E1A919CD-F848-4FA8-AF24-D54B2A5D3F1D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A9C1C3D-110F-4E97-81A4-1AC336C80461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FDE1CE-1C68-4888-8069-11962BB6F4CB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B3C0B487-9E32-4D55-BEAA-965FD041ACAB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E04B5BD-19CB-4D65-A83A-F9D13534C716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BEF9A082-FACB-4C4A-A09F-AC58FEE41792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03D16F42-0276-45F0-A15D-80B027BB2638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EF51BF9D-327F-4146-A2A0-0483FB952BBB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EA478C12-8FD5-440C-BD53-057DD671B264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4C6F987D-BD8C-40A2-9568-24687C90EDB8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D70BD367-0C7D-4626-B144-23FC3DCD63CF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748CE2B6-E1A1-441D-8182-1BBFFFC8D559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05D5E01F-5758-4954-AFB4-09FEB6CDBC9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7BF43FE6-194F-4F21-A6E4-0D06EABABDC6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839EA6B4-6AE4-49D9-B2D1-E315C9F8564C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353A01AE-92FB-407B-BA27-FEA993FF2A00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247A4C2B-08E2-483E-AE75-D61878C47AE0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8336174-B6F8-419D-A0B4-A9B9A8446138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86EFB45D-8C10-4737-BF9E-B3815B2FFC14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B11B17AF-1136-4331-8980-A40EACD5B703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43C4A46-25FF-4DE7-9B1D-C8D5454CCB60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2B7E92AD-45C5-4BD5-90C5-F35057393192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1CE49D2-3243-4F15-B3E8-6D0BABB8CAF7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9749AE53-E4BD-4ABE-9B55-2919B0E37A2D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F186B329-E368-46FA-AF24-FB96141FDA8C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FCF1FAAC-6DDD-4B81-8A1D-C90E8AB61971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D0AA8C9C-AF78-42AD-BCCD-8AC4B3CF3271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13DDBAB7-BD18-4C1D-A5A5-E0FAA3943CE1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2C914A9-1A16-4146-BF67-193005BC5E1C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35B930C7-AE2E-4AAD-B96E-BDCC87A1C50A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AC12A2EB-C7AB-43A4-8D91-4D3F6353D28C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EC648C42-F47D-40F3-84CD-CB6B82A85E1E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7D2037A-3923-4997-8D74-E683A7B1E98F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2255D4D2-588F-4210-9B86-3318AF607046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D358FD39-BB5B-47FC-8BC1-007B6891D8FA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36B17ED0-149E-426F-B28C-FC90629FE6AC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BAD9C626-B27D-448F-A5CF-1AF591B4432A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D30B1695-2871-41DF-A11C-E82053EFBCCA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E6A58309-6A4F-4028-ABAF-78B71BC42379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DDE9CDFB-2DCC-46B8-9674-5BE76BCE0AA1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E97532C3-2E31-46CA-9A3A-377AC60847FE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2D478858-812A-40C1-9427-BEC476529AC0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001464A0-A3CF-47A3-81B2-3401288CD26D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11C8EDFA-26ED-4BA0-8A85-6836AD5F2E4D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80496444-5987-424D-89A3-CDBDECB30093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07CB48FE-B931-44B9-A360-5C000F2F81CE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7B9A1B8A-6FE4-4D9D-A6AC-09E7A963DBBC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31595D9D-8B5C-469F-8294-3971A1D4C464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E731071-1FB8-4279-99AC-726E46A67EB5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8404E5E1-E606-4BF9-9F51-52BF76CDD0EF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3BC9AA48-31F8-454A-884F-4C7FAFD2F727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9D1F5F7-A888-441A-90DA-51ED8D59058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412C2C11-5F05-48B4-B872-903C3D9D9F26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9F116172-CAAD-4BB7-9CBB-0264097876DF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B5185B53-7E1F-48ED-9B6C-BC1E449D7E9B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E3DA560E-8365-4331-90D7-746A18514E03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A2C3FF6D-D377-46B5-91BB-8DD6A4F1BC0B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1D5160C8-BD41-48B1-B279-D15ACDC1A8DC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46301497-4820-4367-B8D3-CAD26F9A959D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54F565-B0B1-44F7-ABEE-581D6A49B0C3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906D67AC-7D9A-4FFD-84F0-FFC58908D675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14DF904-C8A8-4C94-934A-6212DC59FBCA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CC806FAC-ECA2-46DF-AE5F-898CD3080423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D5E39E08-71E5-4218-8A70-8C5FC9D73334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34EF7265-6922-4687-AF9B-2CC3C65ACFF7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EDEDEF16-C191-4DE1-A4AF-4D97E3B0160E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8922F5B2-13A9-4093-8BD1-A80871E67EA7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F3F0B00F-A39C-4DE4-BEA3-98024F30BC60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6DEFF27A-E454-47F6-801A-C4C8A76683C6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8423948F-5A80-491D-BAFE-71FC43C6BA2A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AA707AF6-E461-49E7-822A-6F819719A949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572B6799-2727-4992-85D0-67A04D642D0B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048276E1-4977-4BC9-A587-8E6F03A5B3A3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81247D0E-1D8B-4E5E-BAB7-1B94E54AA7DD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7923D238-AF7A-4373-BBE0-FE6152C54B37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1BA1F591-7F4A-41AF-B916-7AFF9A5ADE03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485169EF-E97C-4836-A09F-77B0B0C2C468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1C63EFDE-D5F8-4C77-92A5-95EE3EE2ACFF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4E661FEB-07F6-403D-95CE-434F50EC7FF3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B4E654AA-A4AD-46DF-A706-9D0084F4CF02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32A6494F-0A15-414C-9580-1FE792E2FACA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502A2DAB-6935-4B2F-9D26-F678DB280FFA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DBB6083F-0D33-4492-8CF8-6B6124FFB1C5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F3A7517-B797-4784-B8CF-0801F2731692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A2C02CA-00BC-46C5-BC8A-C4D6C1DA5DA0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7BB76885-28A4-4094-B5ED-56F3B64DC58B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F711137E-5EDC-4D7D-95BB-2F9D7CFF1F7B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1676527F-6C14-4ABB-909B-C6FF5CF906F3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F4C6286B-7D4B-495F-920F-F09809AA8F2B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B8A5CB68-587D-4982-92D1-8725B8BD553B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E43FBAEB-DE5C-42C8-9771-4E3570C4BE3D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C77B4FA-D503-4A57-B4A0-BC75C1DFFCD0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D2367327-72FB-4A55-91DA-5EA523525B1A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B837F960-97A2-4A86-8620-0B2787E3D594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8D8E6339-4786-42A7-9693-A0DA4056B818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E52EEAD9-2B51-4B1E-B19E-2B35EBC1B63F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479994A-906A-4331-9FB7-FE38E76CF789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01FD967D-FC45-45AC-8E77-8230BE73BD9D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F3C8FA2B-3A58-45B4-882A-6EB46A5C70C6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921DFC00-7DBD-48AB-ACA6-EFB066E65DEE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2B7B6FB9-B313-4727-B840-3B73485BF82A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8772CB3C-3C2B-4D68-8452-64950BF9A66F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F1F9316-DD82-4E05-B00F-29B883873AB5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2FA4257F-BEC2-40A3-9617-6F93213E3F8D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2E933EF-7835-4726-A734-672E0730EFC4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8A9D5828-888C-428A-B51D-AEDBBAB81ACC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9BEFE3F4-965B-45C7-AFF4-33DEDF30ABD8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4690FBEF-1096-40AA-A97B-68650128E542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182754F8-40D0-4354-A760-D11D843E9C74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5ECB2673-9CD6-4683-B6BD-0E51913A2A7F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E5710F3E-4949-4AFF-98B4-E64B61249FA4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CBE2F287-4565-46CF-A43C-72DA71913730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952C19CE-40DB-4CCC-B7ED-E9ECFD0C27E7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CA74BF39-BAA9-4FF5-8388-82B525FD03B3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5481C42E-567B-44B2-9C92-4A0F400860C6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E0AC8C66-5534-4158-9F71-35D0C6E6098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1DAB9302-D495-4558-AFC7-87496F79E808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01D6BD5-1407-4EF9-A6C3-9EC365CBB7ED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9F095A24-5B35-41A5-ABE9-F0A0EFC013D7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114</xdr:row>
      <xdr:rowOff>139700</xdr:rowOff>
    </xdr:from>
    <xdr:to>
      <xdr:col>10</xdr:col>
      <xdr:colOff>12700</xdr:colOff>
      <xdr:row>115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CF8246A1-D7E3-426B-AC8D-FB5D756C6297}"/>
            </a:ext>
          </a:extLst>
        </xdr:cNvPr>
        <xdr:cNvSpPr>
          <a:spLocks/>
        </xdr:cNvSpPr>
      </xdr:nvSpPr>
      <xdr:spPr bwMode="auto">
        <a:xfrm>
          <a:off x="1447800" y="1944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40359B6E-107B-4897-AA61-0685CAF78852}"/>
            </a:ext>
          </a:extLst>
        </xdr:cNvPr>
        <xdr:cNvSpPr>
          <a:spLocks noChangeArrowheads="1"/>
        </xdr:cNvSpPr>
      </xdr:nvSpPr>
      <xdr:spPr bwMode="auto">
        <a:xfrm>
          <a:off x="21717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114</xdr:row>
      <xdr:rowOff>139700</xdr:rowOff>
    </xdr:from>
    <xdr:to>
      <xdr:col>14</xdr:col>
      <xdr:colOff>0</xdr:colOff>
      <xdr:row>115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EF297D3A-F612-403F-8C7B-D47915250BD3}"/>
            </a:ext>
          </a:extLst>
        </xdr:cNvPr>
        <xdr:cNvSpPr>
          <a:spLocks/>
        </xdr:cNvSpPr>
      </xdr:nvSpPr>
      <xdr:spPr bwMode="auto">
        <a:xfrm>
          <a:off x="24130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D3AB690F-4985-4A5B-B0D9-43D4F6C59D23}"/>
            </a:ext>
          </a:extLst>
        </xdr:cNvPr>
        <xdr:cNvSpPr>
          <a:spLocks noChangeArrowheads="1"/>
        </xdr:cNvSpPr>
      </xdr:nvSpPr>
      <xdr:spPr bwMode="auto">
        <a:xfrm>
          <a:off x="31369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114</xdr:row>
      <xdr:rowOff>139700</xdr:rowOff>
    </xdr:from>
    <xdr:to>
      <xdr:col>18</xdr:col>
      <xdr:colOff>0</xdr:colOff>
      <xdr:row>115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9736A2CD-A5E5-43C8-8945-6104E3A44E9E}"/>
            </a:ext>
          </a:extLst>
        </xdr:cNvPr>
        <xdr:cNvSpPr>
          <a:spLocks/>
        </xdr:cNvSpPr>
      </xdr:nvSpPr>
      <xdr:spPr bwMode="auto">
        <a:xfrm>
          <a:off x="33782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74F43C44-669F-4415-BCFE-1D760CF59F11}"/>
            </a:ext>
          </a:extLst>
        </xdr:cNvPr>
        <xdr:cNvSpPr>
          <a:spLocks noChangeArrowheads="1"/>
        </xdr:cNvSpPr>
      </xdr:nvSpPr>
      <xdr:spPr bwMode="auto">
        <a:xfrm>
          <a:off x="41021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114</xdr:row>
      <xdr:rowOff>139700</xdr:rowOff>
    </xdr:from>
    <xdr:to>
      <xdr:col>22</xdr:col>
      <xdr:colOff>0</xdr:colOff>
      <xdr:row>115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3CADEADF-47CA-481E-8B40-C1F9A612FF11}"/>
            </a:ext>
          </a:extLst>
        </xdr:cNvPr>
        <xdr:cNvSpPr>
          <a:spLocks/>
        </xdr:cNvSpPr>
      </xdr:nvSpPr>
      <xdr:spPr bwMode="auto">
        <a:xfrm>
          <a:off x="43434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41F9AD4E-C84C-4F00-AE56-5CD519510A18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114</xdr:row>
      <xdr:rowOff>139700</xdr:rowOff>
    </xdr:from>
    <xdr:to>
      <xdr:col>26</xdr:col>
      <xdr:colOff>0</xdr:colOff>
      <xdr:row>115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B358A16C-4FCC-4E75-9A91-09D45E6E0478}"/>
            </a:ext>
          </a:extLst>
        </xdr:cNvPr>
        <xdr:cNvSpPr>
          <a:spLocks/>
        </xdr:cNvSpPr>
      </xdr:nvSpPr>
      <xdr:spPr bwMode="auto">
        <a:xfrm>
          <a:off x="53086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21EC64AD-6D11-4702-9D7B-DB50EC5AB06B}"/>
            </a:ext>
          </a:extLst>
        </xdr:cNvPr>
        <xdr:cNvSpPr>
          <a:spLocks noChangeArrowheads="1"/>
        </xdr:cNvSpPr>
      </xdr:nvSpPr>
      <xdr:spPr bwMode="auto">
        <a:xfrm>
          <a:off x="6032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114</xdr:row>
      <xdr:rowOff>139700</xdr:rowOff>
    </xdr:from>
    <xdr:to>
      <xdr:col>30</xdr:col>
      <xdr:colOff>0</xdr:colOff>
      <xdr:row>115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7A9B0D7B-BE4F-40E6-9ED9-DCECB8390C8A}"/>
            </a:ext>
          </a:extLst>
        </xdr:cNvPr>
        <xdr:cNvSpPr>
          <a:spLocks/>
        </xdr:cNvSpPr>
      </xdr:nvSpPr>
      <xdr:spPr bwMode="auto">
        <a:xfrm>
          <a:off x="62738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6113C546-E699-4298-ACD6-F2DE5BD394FF}"/>
            </a:ext>
          </a:extLst>
        </xdr:cNvPr>
        <xdr:cNvSpPr>
          <a:spLocks noChangeArrowheads="1"/>
        </xdr:cNvSpPr>
      </xdr:nvSpPr>
      <xdr:spPr bwMode="auto">
        <a:xfrm>
          <a:off x="69977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114</xdr:row>
      <xdr:rowOff>139700</xdr:rowOff>
    </xdr:from>
    <xdr:to>
      <xdr:col>34</xdr:col>
      <xdr:colOff>0</xdr:colOff>
      <xdr:row>115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15B3D5D-45BA-49DB-8D2C-A14CCF955275}"/>
            </a:ext>
          </a:extLst>
        </xdr:cNvPr>
        <xdr:cNvSpPr>
          <a:spLocks/>
        </xdr:cNvSpPr>
      </xdr:nvSpPr>
      <xdr:spPr bwMode="auto">
        <a:xfrm>
          <a:off x="72390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21E0D848-9155-437A-928B-375DC35152F9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114</xdr:row>
      <xdr:rowOff>139700</xdr:rowOff>
    </xdr:from>
    <xdr:to>
      <xdr:col>38</xdr:col>
      <xdr:colOff>0</xdr:colOff>
      <xdr:row>115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BB550A5C-9613-411C-9406-0158D10540D2}"/>
            </a:ext>
          </a:extLst>
        </xdr:cNvPr>
        <xdr:cNvSpPr>
          <a:spLocks/>
        </xdr:cNvSpPr>
      </xdr:nvSpPr>
      <xdr:spPr bwMode="auto">
        <a:xfrm>
          <a:off x="82042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944FE167-1FFB-4C5B-A238-9272F1CDC692}"/>
            </a:ext>
          </a:extLst>
        </xdr:cNvPr>
        <xdr:cNvSpPr>
          <a:spLocks noChangeArrowheads="1"/>
        </xdr:cNvSpPr>
      </xdr:nvSpPr>
      <xdr:spPr bwMode="auto">
        <a:xfrm>
          <a:off x="241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114</xdr:row>
      <xdr:rowOff>139700</xdr:rowOff>
    </xdr:from>
    <xdr:to>
      <xdr:col>6</xdr:col>
      <xdr:colOff>12700</xdr:colOff>
      <xdr:row>115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030F0F30-8FE7-4656-B8FB-CCC68C614C5F}"/>
            </a:ext>
          </a:extLst>
        </xdr:cNvPr>
        <xdr:cNvSpPr>
          <a:spLocks/>
        </xdr:cNvSpPr>
      </xdr:nvSpPr>
      <xdr:spPr bwMode="auto">
        <a:xfrm>
          <a:off x="482600" y="1944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5548BE53-4714-4C8F-AF60-001AB1DC973B}"/>
            </a:ext>
          </a:extLst>
        </xdr:cNvPr>
        <xdr:cNvSpPr>
          <a:spLocks noChangeArrowheads="1"/>
        </xdr:cNvSpPr>
      </xdr:nvSpPr>
      <xdr:spPr bwMode="auto">
        <a:xfrm>
          <a:off x="89281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114</xdr:row>
      <xdr:rowOff>139700</xdr:rowOff>
    </xdr:from>
    <xdr:to>
      <xdr:col>42</xdr:col>
      <xdr:colOff>0</xdr:colOff>
      <xdr:row>115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5F5D141B-A401-4AC2-8C04-CD6396500897}"/>
            </a:ext>
          </a:extLst>
        </xdr:cNvPr>
        <xdr:cNvSpPr>
          <a:spLocks/>
        </xdr:cNvSpPr>
      </xdr:nvSpPr>
      <xdr:spPr bwMode="auto">
        <a:xfrm>
          <a:off x="91694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327324EA-C152-48F9-A4A7-3D16DF407DC5}"/>
            </a:ext>
          </a:extLst>
        </xdr:cNvPr>
        <xdr:cNvSpPr>
          <a:spLocks noChangeArrowheads="1"/>
        </xdr:cNvSpPr>
      </xdr:nvSpPr>
      <xdr:spPr bwMode="auto">
        <a:xfrm>
          <a:off x="9893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114</xdr:row>
      <xdr:rowOff>158750</xdr:rowOff>
    </xdr:from>
    <xdr:to>
      <xdr:col>45</xdr:col>
      <xdr:colOff>254000</xdr:colOff>
      <xdr:row>115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FFC7CD02-7F11-48CF-99D0-36A16CFF3F4E}"/>
            </a:ext>
          </a:extLst>
        </xdr:cNvPr>
        <xdr:cNvSpPr>
          <a:spLocks/>
        </xdr:cNvSpPr>
      </xdr:nvSpPr>
      <xdr:spPr bwMode="auto">
        <a:xfrm>
          <a:off x="10134600" y="194627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123</xdr:row>
      <xdr:rowOff>171450</xdr:rowOff>
    </xdr:from>
    <xdr:to>
      <xdr:col>7</xdr:col>
      <xdr:colOff>0</xdr:colOff>
      <xdr:row>126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B3468D1-9391-4EAE-BFA6-317E3B30BCE7}"/>
            </a:ext>
          </a:extLst>
        </xdr:cNvPr>
        <xdr:cNvSpPr>
          <a:spLocks noChangeArrowheads="1"/>
        </xdr:cNvSpPr>
      </xdr:nvSpPr>
      <xdr:spPr bwMode="auto">
        <a:xfrm>
          <a:off x="12065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123</xdr:row>
      <xdr:rowOff>139700</xdr:rowOff>
    </xdr:from>
    <xdr:to>
      <xdr:col>10</xdr:col>
      <xdr:colOff>12700</xdr:colOff>
      <xdr:row>124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6C591E8F-AD20-4B21-B9B4-223928160CAF}"/>
            </a:ext>
          </a:extLst>
        </xdr:cNvPr>
        <xdr:cNvSpPr>
          <a:spLocks/>
        </xdr:cNvSpPr>
      </xdr:nvSpPr>
      <xdr:spPr bwMode="auto">
        <a:xfrm>
          <a:off x="1447800" y="20935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123</xdr:row>
      <xdr:rowOff>171450</xdr:rowOff>
    </xdr:from>
    <xdr:to>
      <xdr:col>11</xdr:col>
      <xdr:colOff>0</xdr:colOff>
      <xdr:row>126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7F0ECFC4-9544-44A8-910D-C2004F60E491}"/>
            </a:ext>
          </a:extLst>
        </xdr:cNvPr>
        <xdr:cNvSpPr>
          <a:spLocks noChangeArrowheads="1"/>
        </xdr:cNvSpPr>
      </xdr:nvSpPr>
      <xdr:spPr bwMode="auto">
        <a:xfrm>
          <a:off x="21717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123</xdr:row>
      <xdr:rowOff>139700</xdr:rowOff>
    </xdr:from>
    <xdr:to>
      <xdr:col>14</xdr:col>
      <xdr:colOff>0</xdr:colOff>
      <xdr:row>124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EE6D2B25-9610-4CE8-BBBB-C830BD2CDFD3}"/>
            </a:ext>
          </a:extLst>
        </xdr:cNvPr>
        <xdr:cNvSpPr>
          <a:spLocks/>
        </xdr:cNvSpPr>
      </xdr:nvSpPr>
      <xdr:spPr bwMode="auto">
        <a:xfrm>
          <a:off x="24130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F314D6CD-E45B-4ACE-89BC-4A62460841A1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123</xdr:row>
      <xdr:rowOff>139700</xdr:rowOff>
    </xdr:from>
    <xdr:to>
      <xdr:col>18</xdr:col>
      <xdr:colOff>0</xdr:colOff>
      <xdr:row>124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FF352DFE-20CB-4A65-BC78-DB3042EC967F}"/>
            </a:ext>
          </a:extLst>
        </xdr:cNvPr>
        <xdr:cNvSpPr>
          <a:spLocks/>
        </xdr:cNvSpPr>
      </xdr:nvSpPr>
      <xdr:spPr bwMode="auto">
        <a:xfrm>
          <a:off x="33782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6050BA7E-39B7-4070-8842-82E97A90D679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123</xdr:row>
      <xdr:rowOff>139700</xdr:rowOff>
    </xdr:from>
    <xdr:to>
      <xdr:col>22</xdr:col>
      <xdr:colOff>0</xdr:colOff>
      <xdr:row>124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4B39E500-9026-4D24-9226-48F30D037255}"/>
            </a:ext>
          </a:extLst>
        </xdr:cNvPr>
        <xdr:cNvSpPr>
          <a:spLocks/>
        </xdr:cNvSpPr>
      </xdr:nvSpPr>
      <xdr:spPr bwMode="auto">
        <a:xfrm>
          <a:off x="43434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443D1298-2E69-463C-91E9-B9C319C4E071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123</xdr:row>
      <xdr:rowOff>139700</xdr:rowOff>
    </xdr:from>
    <xdr:to>
      <xdr:col>26</xdr:col>
      <xdr:colOff>0</xdr:colOff>
      <xdr:row>124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0D2DCB6-554C-4AE7-9118-CEE51BDDC737}"/>
            </a:ext>
          </a:extLst>
        </xdr:cNvPr>
        <xdr:cNvSpPr>
          <a:spLocks/>
        </xdr:cNvSpPr>
      </xdr:nvSpPr>
      <xdr:spPr bwMode="auto">
        <a:xfrm>
          <a:off x="53086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31EF3E19-6B98-457F-A9B2-95AC9E853C6D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123</xdr:row>
      <xdr:rowOff>139700</xdr:rowOff>
    </xdr:from>
    <xdr:to>
      <xdr:col>30</xdr:col>
      <xdr:colOff>0</xdr:colOff>
      <xdr:row>124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674DB35A-4E8E-4D1D-B756-DCAE374E0CA5}"/>
            </a:ext>
          </a:extLst>
        </xdr:cNvPr>
        <xdr:cNvSpPr>
          <a:spLocks/>
        </xdr:cNvSpPr>
      </xdr:nvSpPr>
      <xdr:spPr bwMode="auto">
        <a:xfrm>
          <a:off x="62738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123</xdr:row>
      <xdr:rowOff>171450</xdr:rowOff>
    </xdr:from>
    <xdr:to>
      <xdr:col>31</xdr:col>
      <xdr:colOff>0</xdr:colOff>
      <xdr:row>126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F5D9ADFE-1A64-475E-8A37-D15C0D312076}"/>
            </a:ext>
          </a:extLst>
        </xdr:cNvPr>
        <xdr:cNvSpPr>
          <a:spLocks noChangeArrowheads="1"/>
        </xdr:cNvSpPr>
      </xdr:nvSpPr>
      <xdr:spPr bwMode="auto">
        <a:xfrm>
          <a:off x="6997700" y="209677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123</xdr:row>
      <xdr:rowOff>139700</xdr:rowOff>
    </xdr:from>
    <xdr:to>
      <xdr:col>34</xdr:col>
      <xdr:colOff>0</xdr:colOff>
      <xdr:row>124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70C19FF3-8F66-4DA4-A0C5-FC598F1D8ACC}"/>
            </a:ext>
          </a:extLst>
        </xdr:cNvPr>
        <xdr:cNvSpPr>
          <a:spLocks/>
        </xdr:cNvSpPr>
      </xdr:nvSpPr>
      <xdr:spPr bwMode="auto">
        <a:xfrm>
          <a:off x="72390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C72B383C-3479-4984-B16E-E894119D20D0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123</xdr:row>
      <xdr:rowOff>139700</xdr:rowOff>
    </xdr:from>
    <xdr:to>
      <xdr:col>38</xdr:col>
      <xdr:colOff>0</xdr:colOff>
      <xdr:row>124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E9ADB99-FEB8-4E01-A22F-47CB5F1BFA45}"/>
            </a:ext>
          </a:extLst>
        </xdr:cNvPr>
        <xdr:cNvSpPr>
          <a:spLocks/>
        </xdr:cNvSpPr>
      </xdr:nvSpPr>
      <xdr:spPr bwMode="auto">
        <a:xfrm>
          <a:off x="82042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123</xdr:row>
      <xdr:rowOff>171450</xdr:rowOff>
    </xdr:from>
    <xdr:to>
      <xdr:col>3</xdr:col>
      <xdr:colOff>0</xdr:colOff>
      <xdr:row>126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C6F67597-44E7-4ED4-A223-4797684D3DC3}"/>
            </a:ext>
          </a:extLst>
        </xdr:cNvPr>
        <xdr:cNvSpPr>
          <a:spLocks noChangeArrowheads="1"/>
        </xdr:cNvSpPr>
      </xdr:nvSpPr>
      <xdr:spPr bwMode="auto">
        <a:xfrm>
          <a:off x="241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139700</xdr:rowOff>
    </xdr:from>
    <xdr:to>
      <xdr:col>6</xdr:col>
      <xdr:colOff>12700</xdr:colOff>
      <xdr:row>124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9381C898-7E33-428C-8252-4CF0DD0429F8}"/>
            </a:ext>
          </a:extLst>
        </xdr:cNvPr>
        <xdr:cNvSpPr>
          <a:spLocks/>
        </xdr:cNvSpPr>
      </xdr:nvSpPr>
      <xdr:spPr bwMode="auto">
        <a:xfrm>
          <a:off x="482600" y="20935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123</xdr:row>
      <xdr:rowOff>171450</xdr:rowOff>
    </xdr:from>
    <xdr:to>
      <xdr:col>39</xdr:col>
      <xdr:colOff>0</xdr:colOff>
      <xdr:row>126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6F1D563D-B800-4A97-BC8A-AA9FF6AED650}"/>
            </a:ext>
          </a:extLst>
        </xdr:cNvPr>
        <xdr:cNvSpPr>
          <a:spLocks noChangeArrowheads="1"/>
        </xdr:cNvSpPr>
      </xdr:nvSpPr>
      <xdr:spPr bwMode="auto">
        <a:xfrm>
          <a:off x="89281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123</xdr:row>
      <xdr:rowOff>139700</xdr:rowOff>
    </xdr:from>
    <xdr:to>
      <xdr:col>42</xdr:col>
      <xdr:colOff>0</xdr:colOff>
      <xdr:row>124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C483F6C-BD7E-4BDC-A3B4-A47E1F124CDD}"/>
            </a:ext>
          </a:extLst>
        </xdr:cNvPr>
        <xdr:cNvSpPr>
          <a:spLocks/>
        </xdr:cNvSpPr>
      </xdr:nvSpPr>
      <xdr:spPr bwMode="auto">
        <a:xfrm>
          <a:off x="91694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123</xdr:row>
      <xdr:rowOff>152400</xdr:rowOff>
    </xdr:from>
    <xdr:to>
      <xdr:col>45</xdr:col>
      <xdr:colOff>241300</xdr:colOff>
      <xdr:row>124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63CBC98-74C9-49D7-A3F1-F5B833E0ED83}"/>
            </a:ext>
          </a:extLst>
        </xdr:cNvPr>
        <xdr:cNvSpPr>
          <a:spLocks/>
        </xdr:cNvSpPr>
      </xdr:nvSpPr>
      <xdr:spPr bwMode="auto">
        <a:xfrm>
          <a:off x="10134600" y="209486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E496DA8C-F85A-4036-BB3A-38605B0A3BEB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132</xdr:row>
      <xdr:rowOff>139700</xdr:rowOff>
    </xdr:from>
    <xdr:to>
      <xdr:col>10</xdr:col>
      <xdr:colOff>12700</xdr:colOff>
      <xdr:row>133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1B041B97-E715-4B61-B78C-0475FD5BD931}"/>
            </a:ext>
          </a:extLst>
        </xdr:cNvPr>
        <xdr:cNvSpPr>
          <a:spLocks/>
        </xdr:cNvSpPr>
      </xdr:nvSpPr>
      <xdr:spPr bwMode="auto">
        <a:xfrm>
          <a:off x="1447800" y="22428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E7049DC6-FBC8-488C-9C14-BCCF821E766E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132</xdr:row>
      <xdr:rowOff>139700</xdr:rowOff>
    </xdr:from>
    <xdr:to>
      <xdr:col>14</xdr:col>
      <xdr:colOff>0</xdr:colOff>
      <xdr:row>133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7B02E93A-A773-4570-8D02-197760266E64}"/>
            </a:ext>
          </a:extLst>
        </xdr:cNvPr>
        <xdr:cNvSpPr>
          <a:spLocks/>
        </xdr:cNvSpPr>
      </xdr:nvSpPr>
      <xdr:spPr bwMode="auto">
        <a:xfrm>
          <a:off x="24130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925B5E17-06DD-4F56-A374-D5509D2A16EC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132</xdr:row>
      <xdr:rowOff>139700</xdr:rowOff>
    </xdr:from>
    <xdr:to>
      <xdr:col>18</xdr:col>
      <xdr:colOff>0</xdr:colOff>
      <xdr:row>133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91D5E190-E873-4300-BA7D-AC2F2F0A5460}"/>
            </a:ext>
          </a:extLst>
        </xdr:cNvPr>
        <xdr:cNvSpPr>
          <a:spLocks/>
        </xdr:cNvSpPr>
      </xdr:nvSpPr>
      <xdr:spPr bwMode="auto">
        <a:xfrm>
          <a:off x="33782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132</xdr:row>
      <xdr:rowOff>171450</xdr:rowOff>
    </xdr:from>
    <xdr:to>
      <xdr:col>19</xdr:col>
      <xdr:colOff>0</xdr:colOff>
      <xdr:row>135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4A00DA9-8C7A-4CD7-908A-F4F9104A2DB5}"/>
            </a:ext>
          </a:extLst>
        </xdr:cNvPr>
        <xdr:cNvSpPr>
          <a:spLocks noChangeArrowheads="1"/>
        </xdr:cNvSpPr>
      </xdr:nvSpPr>
      <xdr:spPr bwMode="auto">
        <a:xfrm>
          <a:off x="41021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132</xdr:row>
      <xdr:rowOff>139700</xdr:rowOff>
    </xdr:from>
    <xdr:to>
      <xdr:col>22</xdr:col>
      <xdr:colOff>0</xdr:colOff>
      <xdr:row>133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329F58F-FCFD-45F9-A291-502B2C1B5B39}"/>
            </a:ext>
          </a:extLst>
        </xdr:cNvPr>
        <xdr:cNvSpPr>
          <a:spLocks/>
        </xdr:cNvSpPr>
      </xdr:nvSpPr>
      <xdr:spPr bwMode="auto">
        <a:xfrm>
          <a:off x="43434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132</xdr:row>
      <xdr:rowOff>171450</xdr:rowOff>
    </xdr:from>
    <xdr:to>
      <xdr:col>23</xdr:col>
      <xdr:colOff>0</xdr:colOff>
      <xdr:row>135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EF6C1FE2-5E5C-4849-BDFF-6E46F0CF59F2}"/>
            </a:ext>
          </a:extLst>
        </xdr:cNvPr>
        <xdr:cNvSpPr>
          <a:spLocks noChangeArrowheads="1"/>
        </xdr:cNvSpPr>
      </xdr:nvSpPr>
      <xdr:spPr bwMode="auto">
        <a:xfrm>
          <a:off x="50673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132</xdr:row>
      <xdr:rowOff>139700</xdr:rowOff>
    </xdr:from>
    <xdr:to>
      <xdr:col>26</xdr:col>
      <xdr:colOff>0</xdr:colOff>
      <xdr:row>133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1E077C25-EB76-4C6E-9F1C-ABC8B012C873}"/>
            </a:ext>
          </a:extLst>
        </xdr:cNvPr>
        <xdr:cNvSpPr>
          <a:spLocks/>
        </xdr:cNvSpPr>
      </xdr:nvSpPr>
      <xdr:spPr bwMode="auto">
        <a:xfrm>
          <a:off x="53086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132</xdr:row>
      <xdr:rowOff>139700</xdr:rowOff>
    </xdr:from>
    <xdr:to>
      <xdr:col>30</xdr:col>
      <xdr:colOff>0</xdr:colOff>
      <xdr:row>133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0FA0D885-2D39-4A63-8E7A-BDFC588FB4B1}"/>
            </a:ext>
          </a:extLst>
        </xdr:cNvPr>
        <xdr:cNvSpPr>
          <a:spLocks/>
        </xdr:cNvSpPr>
      </xdr:nvSpPr>
      <xdr:spPr bwMode="auto">
        <a:xfrm>
          <a:off x="62738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132</xdr:row>
      <xdr:rowOff>139700</xdr:rowOff>
    </xdr:from>
    <xdr:to>
      <xdr:col>34</xdr:col>
      <xdr:colOff>0</xdr:colOff>
      <xdr:row>133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F9051B7-62F2-4F3D-A16E-00F28684A868}"/>
            </a:ext>
          </a:extLst>
        </xdr:cNvPr>
        <xdr:cNvSpPr>
          <a:spLocks/>
        </xdr:cNvSpPr>
      </xdr:nvSpPr>
      <xdr:spPr bwMode="auto">
        <a:xfrm>
          <a:off x="72390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132</xdr:row>
      <xdr:rowOff>171450</xdr:rowOff>
    </xdr:from>
    <xdr:to>
      <xdr:col>35</xdr:col>
      <xdr:colOff>0</xdr:colOff>
      <xdr:row>135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C7F4E9F0-584E-49B8-B9B2-4E2E50B54449}"/>
            </a:ext>
          </a:extLst>
        </xdr:cNvPr>
        <xdr:cNvSpPr>
          <a:spLocks noChangeArrowheads="1"/>
        </xdr:cNvSpPr>
      </xdr:nvSpPr>
      <xdr:spPr bwMode="auto">
        <a:xfrm>
          <a:off x="7962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132</xdr:row>
      <xdr:rowOff>139700</xdr:rowOff>
    </xdr:from>
    <xdr:to>
      <xdr:col>38</xdr:col>
      <xdr:colOff>0</xdr:colOff>
      <xdr:row>133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03ADB63-24D6-4F11-93E5-3219DB080A75}"/>
            </a:ext>
          </a:extLst>
        </xdr:cNvPr>
        <xdr:cNvSpPr>
          <a:spLocks/>
        </xdr:cNvSpPr>
      </xdr:nvSpPr>
      <xdr:spPr bwMode="auto">
        <a:xfrm>
          <a:off x="82042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4F00F9D7-311B-40B4-AF6D-C91756DA4E0D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132</xdr:row>
      <xdr:rowOff>139700</xdr:rowOff>
    </xdr:from>
    <xdr:to>
      <xdr:col>6</xdr:col>
      <xdr:colOff>12700</xdr:colOff>
      <xdr:row>133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DD7AADEF-B76E-4D27-96D2-A8B0EDE3202E}"/>
            </a:ext>
          </a:extLst>
        </xdr:cNvPr>
        <xdr:cNvSpPr>
          <a:spLocks/>
        </xdr:cNvSpPr>
      </xdr:nvSpPr>
      <xdr:spPr bwMode="auto">
        <a:xfrm>
          <a:off x="482600" y="22428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132</xdr:row>
      <xdr:rowOff>171450</xdr:rowOff>
    </xdr:from>
    <xdr:to>
      <xdr:col>39</xdr:col>
      <xdr:colOff>0</xdr:colOff>
      <xdr:row>135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B59DA1B5-5D19-4980-B64D-A8C834A87646}"/>
            </a:ext>
          </a:extLst>
        </xdr:cNvPr>
        <xdr:cNvSpPr>
          <a:spLocks noChangeArrowheads="1"/>
        </xdr:cNvSpPr>
      </xdr:nvSpPr>
      <xdr:spPr bwMode="auto">
        <a:xfrm>
          <a:off x="89281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132</xdr:row>
      <xdr:rowOff>139700</xdr:rowOff>
    </xdr:from>
    <xdr:to>
      <xdr:col>42</xdr:col>
      <xdr:colOff>0</xdr:colOff>
      <xdr:row>133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6900AE0E-96DF-49F4-90E6-A07C1786D852}"/>
            </a:ext>
          </a:extLst>
        </xdr:cNvPr>
        <xdr:cNvSpPr>
          <a:spLocks/>
        </xdr:cNvSpPr>
      </xdr:nvSpPr>
      <xdr:spPr bwMode="auto">
        <a:xfrm>
          <a:off x="91694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141</xdr:row>
      <xdr:rowOff>171450</xdr:rowOff>
    </xdr:from>
    <xdr:to>
      <xdr:col>7</xdr:col>
      <xdr:colOff>0</xdr:colOff>
      <xdr:row>144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E69181C0-CD4F-456F-851E-45DEF9BF1FD0}"/>
            </a:ext>
          </a:extLst>
        </xdr:cNvPr>
        <xdr:cNvSpPr>
          <a:spLocks noChangeArrowheads="1"/>
        </xdr:cNvSpPr>
      </xdr:nvSpPr>
      <xdr:spPr bwMode="auto">
        <a:xfrm>
          <a:off x="1206500" y="23952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141</xdr:row>
      <xdr:rowOff>139700</xdr:rowOff>
    </xdr:from>
    <xdr:to>
      <xdr:col>10</xdr:col>
      <xdr:colOff>12700</xdr:colOff>
      <xdr:row>142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AB0E2752-6F43-4070-A9A5-257F6C155A9C}"/>
            </a:ext>
          </a:extLst>
        </xdr:cNvPr>
        <xdr:cNvSpPr>
          <a:spLocks/>
        </xdr:cNvSpPr>
      </xdr:nvSpPr>
      <xdr:spPr bwMode="auto">
        <a:xfrm>
          <a:off x="1447800" y="23920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56844D93-BE36-434D-A4FE-01E93B23CA66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141</xdr:row>
      <xdr:rowOff>139700</xdr:rowOff>
    </xdr:from>
    <xdr:to>
      <xdr:col>14</xdr:col>
      <xdr:colOff>0</xdr:colOff>
      <xdr:row>142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7B509367-678C-4712-B6F5-C413AAE66079}"/>
            </a:ext>
          </a:extLst>
        </xdr:cNvPr>
        <xdr:cNvSpPr>
          <a:spLocks/>
        </xdr:cNvSpPr>
      </xdr:nvSpPr>
      <xdr:spPr bwMode="auto">
        <a:xfrm>
          <a:off x="24130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141</xdr:row>
      <xdr:rowOff>139700</xdr:rowOff>
    </xdr:from>
    <xdr:to>
      <xdr:col>18</xdr:col>
      <xdr:colOff>0</xdr:colOff>
      <xdr:row>142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43801898-0558-44F6-84D1-BD1B85914EB5}"/>
            </a:ext>
          </a:extLst>
        </xdr:cNvPr>
        <xdr:cNvSpPr>
          <a:spLocks/>
        </xdr:cNvSpPr>
      </xdr:nvSpPr>
      <xdr:spPr bwMode="auto">
        <a:xfrm>
          <a:off x="33782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141</xdr:row>
      <xdr:rowOff>139700</xdr:rowOff>
    </xdr:from>
    <xdr:to>
      <xdr:col>22</xdr:col>
      <xdr:colOff>0</xdr:colOff>
      <xdr:row>142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36B198DC-4513-450D-A17C-5E5BC35FC7FA}"/>
            </a:ext>
          </a:extLst>
        </xdr:cNvPr>
        <xdr:cNvSpPr>
          <a:spLocks/>
        </xdr:cNvSpPr>
      </xdr:nvSpPr>
      <xdr:spPr bwMode="auto">
        <a:xfrm>
          <a:off x="43434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141</xdr:row>
      <xdr:rowOff>171450</xdr:rowOff>
    </xdr:from>
    <xdr:to>
      <xdr:col>23</xdr:col>
      <xdr:colOff>0</xdr:colOff>
      <xdr:row>144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084DBF0-2E08-4916-8D31-E351AFE46F00}"/>
            </a:ext>
          </a:extLst>
        </xdr:cNvPr>
        <xdr:cNvSpPr>
          <a:spLocks noChangeArrowheads="1"/>
        </xdr:cNvSpPr>
      </xdr:nvSpPr>
      <xdr:spPr bwMode="auto">
        <a:xfrm>
          <a:off x="50673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141</xdr:row>
      <xdr:rowOff>139700</xdr:rowOff>
    </xdr:from>
    <xdr:to>
      <xdr:col>26</xdr:col>
      <xdr:colOff>0</xdr:colOff>
      <xdr:row>142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34A9B046-F321-48AD-A5A5-4FEC903DFF8C}"/>
            </a:ext>
          </a:extLst>
        </xdr:cNvPr>
        <xdr:cNvSpPr>
          <a:spLocks/>
        </xdr:cNvSpPr>
      </xdr:nvSpPr>
      <xdr:spPr bwMode="auto">
        <a:xfrm>
          <a:off x="53086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A4225D32-CE50-4A5B-A8AB-C2006E6457F4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141</xdr:row>
      <xdr:rowOff>139700</xdr:rowOff>
    </xdr:from>
    <xdr:to>
      <xdr:col>30</xdr:col>
      <xdr:colOff>0</xdr:colOff>
      <xdr:row>142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514925AC-C1A9-408E-91D9-E4D66DD4B34F}"/>
            </a:ext>
          </a:extLst>
        </xdr:cNvPr>
        <xdr:cNvSpPr>
          <a:spLocks/>
        </xdr:cNvSpPr>
      </xdr:nvSpPr>
      <xdr:spPr bwMode="auto">
        <a:xfrm>
          <a:off x="62738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45F45FF6-9F18-4606-A1F9-04922C30DEDD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141</xdr:row>
      <xdr:rowOff>139700</xdr:rowOff>
    </xdr:from>
    <xdr:to>
      <xdr:col>34</xdr:col>
      <xdr:colOff>0</xdr:colOff>
      <xdr:row>142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DD4864D-472A-4FE1-95DD-7F8D9F7A316C}"/>
            </a:ext>
          </a:extLst>
        </xdr:cNvPr>
        <xdr:cNvSpPr>
          <a:spLocks/>
        </xdr:cNvSpPr>
      </xdr:nvSpPr>
      <xdr:spPr bwMode="auto">
        <a:xfrm>
          <a:off x="72390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141</xdr:row>
      <xdr:rowOff>171450</xdr:rowOff>
    </xdr:from>
    <xdr:to>
      <xdr:col>35</xdr:col>
      <xdr:colOff>0</xdr:colOff>
      <xdr:row>144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0F0B172A-40D9-48A3-9CE1-F2749974FC09}"/>
            </a:ext>
          </a:extLst>
        </xdr:cNvPr>
        <xdr:cNvSpPr>
          <a:spLocks noChangeArrowheads="1"/>
        </xdr:cNvSpPr>
      </xdr:nvSpPr>
      <xdr:spPr bwMode="auto">
        <a:xfrm>
          <a:off x="7962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141</xdr:row>
      <xdr:rowOff>139700</xdr:rowOff>
    </xdr:from>
    <xdr:to>
      <xdr:col>38</xdr:col>
      <xdr:colOff>0</xdr:colOff>
      <xdr:row>142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219B97B7-3A85-4914-B619-978912D8886B}"/>
            </a:ext>
          </a:extLst>
        </xdr:cNvPr>
        <xdr:cNvSpPr>
          <a:spLocks/>
        </xdr:cNvSpPr>
      </xdr:nvSpPr>
      <xdr:spPr bwMode="auto">
        <a:xfrm>
          <a:off x="82042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141</xdr:row>
      <xdr:rowOff>171450</xdr:rowOff>
    </xdr:from>
    <xdr:to>
      <xdr:col>3</xdr:col>
      <xdr:colOff>0</xdr:colOff>
      <xdr:row>144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D1AB7F37-03B0-46DB-AD67-6FD8757FA9CF}"/>
            </a:ext>
          </a:extLst>
        </xdr:cNvPr>
        <xdr:cNvSpPr>
          <a:spLocks noChangeArrowheads="1"/>
        </xdr:cNvSpPr>
      </xdr:nvSpPr>
      <xdr:spPr bwMode="auto">
        <a:xfrm>
          <a:off x="2413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141</xdr:row>
      <xdr:rowOff>139700</xdr:rowOff>
    </xdr:from>
    <xdr:to>
      <xdr:col>6</xdr:col>
      <xdr:colOff>12700</xdr:colOff>
      <xdr:row>142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F9EAC305-34AB-4255-8C01-658332EEEE6A}"/>
            </a:ext>
          </a:extLst>
        </xdr:cNvPr>
        <xdr:cNvSpPr>
          <a:spLocks/>
        </xdr:cNvSpPr>
      </xdr:nvSpPr>
      <xdr:spPr bwMode="auto">
        <a:xfrm>
          <a:off x="482600" y="23920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141</xdr:row>
      <xdr:rowOff>171450</xdr:rowOff>
    </xdr:from>
    <xdr:to>
      <xdr:col>39</xdr:col>
      <xdr:colOff>0</xdr:colOff>
      <xdr:row>144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FE30751-68BF-4C50-8C55-E454EB229E0D}"/>
            </a:ext>
          </a:extLst>
        </xdr:cNvPr>
        <xdr:cNvSpPr>
          <a:spLocks noChangeArrowheads="1"/>
        </xdr:cNvSpPr>
      </xdr:nvSpPr>
      <xdr:spPr bwMode="auto">
        <a:xfrm>
          <a:off x="89281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141</xdr:row>
      <xdr:rowOff>152400</xdr:rowOff>
    </xdr:from>
    <xdr:to>
      <xdr:col>42</xdr:col>
      <xdr:colOff>0</xdr:colOff>
      <xdr:row>142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CDE52E36-84AA-4EF9-B681-314F7D1E085D}"/>
            </a:ext>
          </a:extLst>
        </xdr:cNvPr>
        <xdr:cNvSpPr>
          <a:spLocks/>
        </xdr:cNvSpPr>
      </xdr:nvSpPr>
      <xdr:spPr bwMode="auto">
        <a:xfrm>
          <a:off x="9169400" y="23933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141</xdr:row>
      <xdr:rowOff>171450</xdr:rowOff>
    </xdr:from>
    <xdr:to>
      <xdr:col>43</xdr:col>
      <xdr:colOff>0</xdr:colOff>
      <xdr:row>144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C0BDE65E-557E-4FB8-88BD-B1BD95901541}"/>
            </a:ext>
          </a:extLst>
        </xdr:cNvPr>
        <xdr:cNvSpPr>
          <a:spLocks noChangeArrowheads="1"/>
        </xdr:cNvSpPr>
      </xdr:nvSpPr>
      <xdr:spPr bwMode="auto">
        <a:xfrm>
          <a:off x="98933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141</xdr:row>
      <xdr:rowOff>171450</xdr:rowOff>
    </xdr:from>
    <xdr:to>
      <xdr:col>45</xdr:col>
      <xdr:colOff>254000</xdr:colOff>
      <xdr:row>142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3582235D-B326-4050-A84F-608DFD97701F}"/>
            </a:ext>
          </a:extLst>
        </xdr:cNvPr>
        <xdr:cNvSpPr>
          <a:spLocks/>
        </xdr:cNvSpPr>
      </xdr:nvSpPr>
      <xdr:spPr bwMode="auto">
        <a:xfrm>
          <a:off x="10134600" y="239522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151</xdr:row>
      <xdr:rowOff>139700</xdr:rowOff>
    </xdr:from>
    <xdr:to>
      <xdr:col>10</xdr:col>
      <xdr:colOff>12700</xdr:colOff>
      <xdr:row>152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ACDE2F7A-C58F-4E99-B9C1-07E82207A2E4}"/>
            </a:ext>
          </a:extLst>
        </xdr:cNvPr>
        <xdr:cNvSpPr>
          <a:spLocks/>
        </xdr:cNvSpPr>
      </xdr:nvSpPr>
      <xdr:spPr bwMode="auto">
        <a:xfrm>
          <a:off x="1447800" y="25571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151</xdr:row>
      <xdr:rowOff>171450</xdr:rowOff>
    </xdr:from>
    <xdr:to>
      <xdr:col>11</xdr:col>
      <xdr:colOff>0</xdr:colOff>
      <xdr:row>154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A995BCD3-5B74-44C9-8D6E-F0CDB7FF6198}"/>
            </a:ext>
          </a:extLst>
        </xdr:cNvPr>
        <xdr:cNvSpPr>
          <a:spLocks noChangeArrowheads="1"/>
        </xdr:cNvSpPr>
      </xdr:nvSpPr>
      <xdr:spPr bwMode="auto">
        <a:xfrm>
          <a:off x="21717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151</xdr:row>
      <xdr:rowOff>139700</xdr:rowOff>
    </xdr:from>
    <xdr:to>
      <xdr:col>14</xdr:col>
      <xdr:colOff>0</xdr:colOff>
      <xdr:row>152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04DE765-C24C-4123-B02A-CD22D565B2AB}"/>
            </a:ext>
          </a:extLst>
        </xdr:cNvPr>
        <xdr:cNvSpPr>
          <a:spLocks/>
        </xdr:cNvSpPr>
      </xdr:nvSpPr>
      <xdr:spPr bwMode="auto">
        <a:xfrm>
          <a:off x="24130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151</xdr:row>
      <xdr:rowOff>171450</xdr:rowOff>
    </xdr:from>
    <xdr:to>
      <xdr:col>15</xdr:col>
      <xdr:colOff>0</xdr:colOff>
      <xdr:row>154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8C15C59D-A301-43AD-B284-B3C77B9F19E5}"/>
            </a:ext>
          </a:extLst>
        </xdr:cNvPr>
        <xdr:cNvSpPr>
          <a:spLocks noChangeArrowheads="1"/>
        </xdr:cNvSpPr>
      </xdr:nvSpPr>
      <xdr:spPr bwMode="auto">
        <a:xfrm>
          <a:off x="31369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151</xdr:row>
      <xdr:rowOff>139700</xdr:rowOff>
    </xdr:from>
    <xdr:to>
      <xdr:col>18</xdr:col>
      <xdr:colOff>0</xdr:colOff>
      <xdr:row>152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58383B4F-78AF-48A4-9FA8-9DD5E30D6FB1}"/>
            </a:ext>
          </a:extLst>
        </xdr:cNvPr>
        <xdr:cNvSpPr>
          <a:spLocks/>
        </xdr:cNvSpPr>
      </xdr:nvSpPr>
      <xdr:spPr bwMode="auto">
        <a:xfrm>
          <a:off x="33782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151</xdr:row>
      <xdr:rowOff>171450</xdr:rowOff>
    </xdr:from>
    <xdr:to>
      <xdr:col>19</xdr:col>
      <xdr:colOff>0</xdr:colOff>
      <xdr:row>154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DCE6B771-BC9C-454A-88C6-4FEBAF6B4029}"/>
            </a:ext>
          </a:extLst>
        </xdr:cNvPr>
        <xdr:cNvSpPr>
          <a:spLocks noChangeArrowheads="1"/>
        </xdr:cNvSpPr>
      </xdr:nvSpPr>
      <xdr:spPr bwMode="auto">
        <a:xfrm>
          <a:off x="41021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151</xdr:row>
      <xdr:rowOff>139700</xdr:rowOff>
    </xdr:from>
    <xdr:to>
      <xdr:col>22</xdr:col>
      <xdr:colOff>0</xdr:colOff>
      <xdr:row>152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75680BE4-CA50-4FED-87CD-B591049B6507}"/>
            </a:ext>
          </a:extLst>
        </xdr:cNvPr>
        <xdr:cNvSpPr>
          <a:spLocks/>
        </xdr:cNvSpPr>
      </xdr:nvSpPr>
      <xdr:spPr bwMode="auto">
        <a:xfrm>
          <a:off x="43434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151</xdr:row>
      <xdr:rowOff>171450</xdr:rowOff>
    </xdr:from>
    <xdr:to>
      <xdr:col>23</xdr:col>
      <xdr:colOff>0</xdr:colOff>
      <xdr:row>154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253A3377-666A-405B-A81B-05119DC78123}"/>
            </a:ext>
          </a:extLst>
        </xdr:cNvPr>
        <xdr:cNvSpPr>
          <a:spLocks noChangeArrowheads="1"/>
        </xdr:cNvSpPr>
      </xdr:nvSpPr>
      <xdr:spPr bwMode="auto">
        <a:xfrm>
          <a:off x="50673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151</xdr:row>
      <xdr:rowOff>139700</xdr:rowOff>
    </xdr:from>
    <xdr:to>
      <xdr:col>26</xdr:col>
      <xdr:colOff>12700</xdr:colOff>
      <xdr:row>152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3C0DF1F-D9B2-4BA4-AA1B-6F7E35F2EF40}"/>
            </a:ext>
          </a:extLst>
        </xdr:cNvPr>
        <xdr:cNvSpPr>
          <a:spLocks/>
        </xdr:cNvSpPr>
      </xdr:nvSpPr>
      <xdr:spPr bwMode="auto">
        <a:xfrm>
          <a:off x="53213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151</xdr:row>
      <xdr:rowOff>171450</xdr:rowOff>
    </xdr:from>
    <xdr:to>
      <xdr:col>27</xdr:col>
      <xdr:colOff>0</xdr:colOff>
      <xdr:row>154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D39D451F-BCE3-4995-BAA4-B86763254294}"/>
            </a:ext>
          </a:extLst>
        </xdr:cNvPr>
        <xdr:cNvSpPr>
          <a:spLocks noChangeArrowheads="1"/>
        </xdr:cNvSpPr>
      </xdr:nvSpPr>
      <xdr:spPr bwMode="auto">
        <a:xfrm>
          <a:off x="60325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151</xdr:row>
      <xdr:rowOff>139700</xdr:rowOff>
    </xdr:from>
    <xdr:to>
      <xdr:col>30</xdr:col>
      <xdr:colOff>0</xdr:colOff>
      <xdr:row>152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0382E964-6447-4C15-A3E1-E89D888685D0}"/>
            </a:ext>
          </a:extLst>
        </xdr:cNvPr>
        <xdr:cNvSpPr>
          <a:spLocks/>
        </xdr:cNvSpPr>
      </xdr:nvSpPr>
      <xdr:spPr bwMode="auto">
        <a:xfrm>
          <a:off x="62738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151</xdr:row>
      <xdr:rowOff>171450</xdr:rowOff>
    </xdr:from>
    <xdr:to>
      <xdr:col>31</xdr:col>
      <xdr:colOff>0</xdr:colOff>
      <xdr:row>154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FBF06DAE-4CB7-42F0-8141-987D19C404E3}"/>
            </a:ext>
          </a:extLst>
        </xdr:cNvPr>
        <xdr:cNvSpPr>
          <a:spLocks noChangeArrowheads="1"/>
        </xdr:cNvSpPr>
      </xdr:nvSpPr>
      <xdr:spPr bwMode="auto">
        <a:xfrm>
          <a:off x="69977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151</xdr:row>
      <xdr:rowOff>139700</xdr:rowOff>
    </xdr:from>
    <xdr:to>
      <xdr:col>34</xdr:col>
      <xdr:colOff>0</xdr:colOff>
      <xdr:row>152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60A06EE1-620E-4B99-88E8-607628366E3C}"/>
            </a:ext>
          </a:extLst>
        </xdr:cNvPr>
        <xdr:cNvSpPr>
          <a:spLocks/>
        </xdr:cNvSpPr>
      </xdr:nvSpPr>
      <xdr:spPr bwMode="auto">
        <a:xfrm>
          <a:off x="72390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151</xdr:row>
      <xdr:rowOff>171450</xdr:rowOff>
    </xdr:from>
    <xdr:to>
      <xdr:col>35</xdr:col>
      <xdr:colOff>0</xdr:colOff>
      <xdr:row>154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FD6E60E8-4467-48F9-A2A1-D5CF7B6991BB}"/>
            </a:ext>
          </a:extLst>
        </xdr:cNvPr>
        <xdr:cNvSpPr>
          <a:spLocks noChangeArrowheads="1"/>
        </xdr:cNvSpPr>
      </xdr:nvSpPr>
      <xdr:spPr bwMode="auto">
        <a:xfrm>
          <a:off x="7962900" y="25603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151</xdr:row>
      <xdr:rowOff>139700</xdr:rowOff>
    </xdr:from>
    <xdr:to>
      <xdr:col>38</xdr:col>
      <xdr:colOff>0</xdr:colOff>
      <xdr:row>152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878E8DDE-7E93-44CF-BB06-47AC76AEE337}"/>
            </a:ext>
          </a:extLst>
        </xdr:cNvPr>
        <xdr:cNvSpPr>
          <a:spLocks/>
        </xdr:cNvSpPr>
      </xdr:nvSpPr>
      <xdr:spPr bwMode="auto">
        <a:xfrm>
          <a:off x="82042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151</xdr:row>
      <xdr:rowOff>139700</xdr:rowOff>
    </xdr:from>
    <xdr:to>
      <xdr:col>6</xdr:col>
      <xdr:colOff>12700</xdr:colOff>
      <xdr:row>152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DC9CEC6-4979-4BD5-B40A-980B595CCD04}"/>
            </a:ext>
          </a:extLst>
        </xdr:cNvPr>
        <xdr:cNvSpPr>
          <a:spLocks/>
        </xdr:cNvSpPr>
      </xdr:nvSpPr>
      <xdr:spPr bwMode="auto">
        <a:xfrm>
          <a:off x="482600" y="25571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151</xdr:row>
      <xdr:rowOff>171450</xdr:rowOff>
    </xdr:from>
    <xdr:to>
      <xdr:col>39</xdr:col>
      <xdr:colOff>0</xdr:colOff>
      <xdr:row>154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01F02291-F2AE-439C-811A-51D6AA80735D}"/>
            </a:ext>
          </a:extLst>
        </xdr:cNvPr>
        <xdr:cNvSpPr>
          <a:spLocks noChangeArrowheads="1"/>
        </xdr:cNvSpPr>
      </xdr:nvSpPr>
      <xdr:spPr bwMode="auto">
        <a:xfrm>
          <a:off x="89281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151</xdr:row>
      <xdr:rowOff>139700</xdr:rowOff>
    </xdr:from>
    <xdr:to>
      <xdr:col>42</xdr:col>
      <xdr:colOff>0</xdr:colOff>
      <xdr:row>152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6169D703-F9BA-45D2-B6E8-DDEC29F7128D}"/>
            </a:ext>
          </a:extLst>
        </xdr:cNvPr>
        <xdr:cNvSpPr>
          <a:spLocks/>
        </xdr:cNvSpPr>
      </xdr:nvSpPr>
      <xdr:spPr bwMode="auto">
        <a:xfrm>
          <a:off x="91694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151</xdr:row>
      <xdr:rowOff>171450</xdr:rowOff>
    </xdr:from>
    <xdr:to>
      <xdr:col>43</xdr:col>
      <xdr:colOff>0</xdr:colOff>
      <xdr:row>154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69B10519-F270-4CAF-B736-4F085178EAD2}"/>
            </a:ext>
          </a:extLst>
        </xdr:cNvPr>
        <xdr:cNvSpPr>
          <a:spLocks noChangeArrowheads="1"/>
        </xdr:cNvSpPr>
      </xdr:nvSpPr>
      <xdr:spPr bwMode="auto">
        <a:xfrm>
          <a:off x="98933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151</xdr:row>
      <xdr:rowOff>139700</xdr:rowOff>
    </xdr:from>
    <xdr:to>
      <xdr:col>45</xdr:col>
      <xdr:colOff>254000</xdr:colOff>
      <xdr:row>152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6CFA9719-417E-49B2-B2CE-30E2E0C13CD8}"/>
            </a:ext>
          </a:extLst>
        </xdr:cNvPr>
        <xdr:cNvSpPr>
          <a:spLocks/>
        </xdr:cNvSpPr>
      </xdr:nvSpPr>
      <xdr:spPr bwMode="auto">
        <a:xfrm>
          <a:off x="10134600" y="255714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160</xdr:row>
      <xdr:rowOff>171450</xdr:rowOff>
    </xdr:from>
    <xdr:to>
      <xdr:col>7</xdr:col>
      <xdr:colOff>0</xdr:colOff>
      <xdr:row>163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5F865E96-BF6C-48C8-ADDC-614706DDBA10}"/>
            </a:ext>
          </a:extLst>
        </xdr:cNvPr>
        <xdr:cNvSpPr>
          <a:spLocks noChangeArrowheads="1"/>
        </xdr:cNvSpPr>
      </xdr:nvSpPr>
      <xdr:spPr bwMode="auto">
        <a:xfrm>
          <a:off x="1206500" y="2709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160</xdr:row>
      <xdr:rowOff>139700</xdr:rowOff>
    </xdr:from>
    <xdr:to>
      <xdr:col>10</xdr:col>
      <xdr:colOff>12700</xdr:colOff>
      <xdr:row>161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DD466678-D363-4B70-B4DA-83DFBCC280D6}"/>
            </a:ext>
          </a:extLst>
        </xdr:cNvPr>
        <xdr:cNvSpPr>
          <a:spLocks/>
        </xdr:cNvSpPr>
      </xdr:nvSpPr>
      <xdr:spPr bwMode="auto">
        <a:xfrm>
          <a:off x="1447800" y="2706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160</xdr:row>
      <xdr:rowOff>171450</xdr:rowOff>
    </xdr:from>
    <xdr:to>
      <xdr:col>11</xdr:col>
      <xdr:colOff>12700</xdr:colOff>
      <xdr:row>163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73C9AEF8-F1B1-49A5-8AFF-60B3AD2A99EB}"/>
            </a:ext>
          </a:extLst>
        </xdr:cNvPr>
        <xdr:cNvSpPr>
          <a:spLocks noChangeArrowheads="1"/>
        </xdr:cNvSpPr>
      </xdr:nvSpPr>
      <xdr:spPr bwMode="auto">
        <a:xfrm>
          <a:off x="2184400" y="2709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160</xdr:row>
      <xdr:rowOff>139700</xdr:rowOff>
    </xdr:from>
    <xdr:to>
      <xdr:col>14</xdr:col>
      <xdr:colOff>0</xdr:colOff>
      <xdr:row>161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1D6D222F-5AE0-4721-AEF2-1FE630B72546}"/>
            </a:ext>
          </a:extLst>
        </xdr:cNvPr>
        <xdr:cNvSpPr>
          <a:spLocks/>
        </xdr:cNvSpPr>
      </xdr:nvSpPr>
      <xdr:spPr bwMode="auto">
        <a:xfrm>
          <a:off x="24130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160</xdr:row>
      <xdr:rowOff>171450</xdr:rowOff>
    </xdr:from>
    <xdr:to>
      <xdr:col>15</xdr:col>
      <xdr:colOff>0</xdr:colOff>
      <xdr:row>163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8CD850C9-8A97-4595-B3F8-B9E136D69ECC}"/>
            </a:ext>
          </a:extLst>
        </xdr:cNvPr>
        <xdr:cNvSpPr>
          <a:spLocks noChangeArrowheads="1"/>
        </xdr:cNvSpPr>
      </xdr:nvSpPr>
      <xdr:spPr bwMode="auto">
        <a:xfrm>
          <a:off x="31369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160</xdr:row>
      <xdr:rowOff>139700</xdr:rowOff>
    </xdr:from>
    <xdr:to>
      <xdr:col>18</xdr:col>
      <xdr:colOff>0</xdr:colOff>
      <xdr:row>161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9B198005-6232-4BD5-BFE8-C1FEF5994F23}"/>
            </a:ext>
          </a:extLst>
        </xdr:cNvPr>
        <xdr:cNvSpPr>
          <a:spLocks/>
        </xdr:cNvSpPr>
      </xdr:nvSpPr>
      <xdr:spPr bwMode="auto">
        <a:xfrm>
          <a:off x="33782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160</xdr:row>
      <xdr:rowOff>171450</xdr:rowOff>
    </xdr:from>
    <xdr:to>
      <xdr:col>19</xdr:col>
      <xdr:colOff>0</xdr:colOff>
      <xdr:row>163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997433C8-A5CC-45A6-89EC-608CBFDA2757}"/>
            </a:ext>
          </a:extLst>
        </xdr:cNvPr>
        <xdr:cNvSpPr>
          <a:spLocks noChangeArrowheads="1"/>
        </xdr:cNvSpPr>
      </xdr:nvSpPr>
      <xdr:spPr bwMode="auto">
        <a:xfrm>
          <a:off x="41021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160</xdr:row>
      <xdr:rowOff>152400</xdr:rowOff>
    </xdr:from>
    <xdr:to>
      <xdr:col>26</xdr:col>
      <xdr:colOff>12700</xdr:colOff>
      <xdr:row>161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E262E4FF-878B-49D2-8AA8-33BE1EE6053C}"/>
            </a:ext>
          </a:extLst>
        </xdr:cNvPr>
        <xdr:cNvSpPr>
          <a:spLocks/>
        </xdr:cNvSpPr>
      </xdr:nvSpPr>
      <xdr:spPr bwMode="auto">
        <a:xfrm>
          <a:off x="5321300" y="27076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160</xdr:row>
      <xdr:rowOff>171450</xdr:rowOff>
    </xdr:from>
    <xdr:to>
      <xdr:col>23</xdr:col>
      <xdr:colOff>0</xdr:colOff>
      <xdr:row>163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C0E27462-D439-41F7-A5EE-CD9627E327C2}"/>
            </a:ext>
          </a:extLst>
        </xdr:cNvPr>
        <xdr:cNvSpPr>
          <a:spLocks noChangeArrowheads="1"/>
        </xdr:cNvSpPr>
      </xdr:nvSpPr>
      <xdr:spPr bwMode="auto">
        <a:xfrm>
          <a:off x="50673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160</xdr:row>
      <xdr:rowOff>171450</xdr:rowOff>
    </xdr:from>
    <xdr:to>
      <xdr:col>3</xdr:col>
      <xdr:colOff>0</xdr:colOff>
      <xdr:row>163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97138E72-E9CC-4044-879D-3F7D0E68347D}"/>
            </a:ext>
          </a:extLst>
        </xdr:cNvPr>
        <xdr:cNvSpPr>
          <a:spLocks noChangeArrowheads="1"/>
        </xdr:cNvSpPr>
      </xdr:nvSpPr>
      <xdr:spPr bwMode="auto">
        <a:xfrm>
          <a:off x="2413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160</xdr:row>
      <xdr:rowOff>139700</xdr:rowOff>
    </xdr:from>
    <xdr:to>
      <xdr:col>6</xdr:col>
      <xdr:colOff>12700</xdr:colOff>
      <xdr:row>161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A2AEFCB1-01BC-4CDC-93F5-D1A458B877B9}"/>
            </a:ext>
          </a:extLst>
        </xdr:cNvPr>
        <xdr:cNvSpPr>
          <a:spLocks/>
        </xdr:cNvSpPr>
      </xdr:nvSpPr>
      <xdr:spPr bwMode="auto">
        <a:xfrm>
          <a:off x="482600" y="2706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199FAA0B-6D48-4628-9EDD-CB106A67B24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BD1AE098-F744-44C4-9752-25195E3CAEBD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DF1B5C3D-19B2-4F56-AE2E-DEBFA4F75401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B828BA3-914C-4957-B9AF-9AA3D0828F54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3FD4A280-481A-4734-BCDB-DA22638C46F3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B9F2FA98-31F7-432C-873A-C3EDAC11DCD3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E42E3A6-B213-4835-815A-45BD37C7CB66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C2128B1F-6533-4C1D-A97A-1D51301011F9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598C1457-600D-43A9-B3A2-DBB2F81233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500FE89D-537B-4863-B6BD-E4BBAD625295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99E9FEB4-406C-4699-955F-84F6DE082B1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7CA5A98A-BBDE-47C9-9F4F-40FCA3B10920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98C91FE1-6BDD-447E-B324-CD6CF8143CF8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FDCC3AE3-D4F0-4C3E-B3B5-032027D4EA0A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8CE3C3BF-2F1B-44E0-87F4-9139FB04C196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34976581-19CA-4EB3-B3B1-74DB8226C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6847429-955C-47E9-9EE4-6DA6780AB855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4C0050EC-496F-43AF-8F6F-65678586BAE7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AF75C86A-2493-4C3E-A9B2-CBE752A8AA4B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E0D7FE1B-B410-46F6-B620-DAC57AF16570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5A7EF0D-6200-44ED-9FB3-92E26A52E12F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F711DFC8-898A-40BE-B124-DFC68B67DD4B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1EC89E0B-49DA-451C-8402-0DA59D8EB4C4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17E733E2-0D42-4039-A836-0D9D38CC12D3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155C396B-FE2F-4472-A082-FFA5141B5E41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F6A977D7-CC6F-4129-8902-BA5528501248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13B32925-CFC1-4AC3-AF24-DD90243688F3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30DBA5-01D2-4DE7-964C-C931A5C85474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F0057249-B12E-4C95-8C25-D6CD4F0F6C9F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91F8B508-F62C-43C2-9FB9-C310F28CFEAA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141</xdr:row>
      <xdr:rowOff>171450</xdr:rowOff>
    </xdr:from>
    <xdr:to>
      <xdr:col>23</xdr:col>
      <xdr:colOff>0</xdr:colOff>
      <xdr:row>144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8486F638-611B-4D72-902C-0BC56B5430B2}"/>
            </a:ext>
          </a:extLst>
        </xdr:cNvPr>
        <xdr:cNvSpPr>
          <a:spLocks noChangeArrowheads="1"/>
        </xdr:cNvSpPr>
      </xdr:nvSpPr>
      <xdr:spPr bwMode="auto">
        <a:xfrm>
          <a:off x="50673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46F7A14-11A7-495A-AD92-A7E0E87A2BDD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A477C7AA-1082-4A83-9164-E426B3951ED3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132</xdr:row>
      <xdr:rowOff>158750</xdr:rowOff>
    </xdr:from>
    <xdr:to>
      <xdr:col>45</xdr:col>
      <xdr:colOff>254000</xdr:colOff>
      <xdr:row>133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D34A55C8-355D-46A3-BFD1-82C3059AD7E5}"/>
            </a:ext>
          </a:extLst>
        </xdr:cNvPr>
        <xdr:cNvSpPr>
          <a:spLocks/>
        </xdr:cNvSpPr>
      </xdr:nvSpPr>
      <xdr:spPr bwMode="auto">
        <a:xfrm>
          <a:off x="10134600" y="224472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A5C0076F-93DC-4D91-B0E7-807379291E55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904D0CA9-1183-4BC5-AB94-A0BC4412E7BC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C6114DE-8545-45E9-B28F-E50F4134B16F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FB6EE4D7-55B9-4DE6-90D1-8866861D9F3E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F9ACA102-41B6-4364-816D-97813C47197A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84EFA269-C0C3-4530-B82D-26242DF57AA0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8B4AE49C-CA16-4A04-9F4F-F9821D40D14B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BD1AB990-B184-4015-B09E-EF17B6F26907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B66EA9A8-0627-42A7-AD56-1E37A5C903B8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53B5AD48-7E72-4BB7-95C2-2D14D62FC276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1EEED04C-04CC-4948-B848-A8FADEE62980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1A08CA7F-149E-4D4D-945A-864846900597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E455AD14-D51E-4DE3-B75E-9EEC94727858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0CCD370A-E192-4034-A818-D29C444BB15B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14937FF0-D347-4B27-AF10-866A008B6428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4FC22F7-DC9E-4211-8E54-D17529FEEE49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C2A02C24-6C6D-4864-84CE-CCC9BFA0E4B2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4B3B979D-0B40-4953-8A39-5EDAE1BF888B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BB5C796-9B62-4D32-8E18-679080F18CD1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A76116B6-F2FD-4213-894C-F739F4C4BB17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BC4FBAEA-4A13-4722-BBA5-3477C2668347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424A8F0-7DFE-4E39-BE17-627227FDE108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D1B6798F-10B2-46FE-9050-888253CFC5DA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7B019BE3-F882-45E2-8662-95D8FE24C0BF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AB08463D-0A15-4A15-8AF3-98D307FB4027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4BC236F3-1375-409B-9ABB-A4B17A85E6A9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566286-6DA2-47D7-B280-A676948A4990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F3D2A7E0-FB5F-4D4F-9053-8AE10C1B9540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4C71F515-95E2-4C4D-B667-0DF7F0B7293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09B3FB77-AB49-474A-A317-DD2DECB0E0D1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6B4C0E4F-D389-483E-B634-EA2FBD18E1C4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57D90BCA-74E7-45A9-A9B5-6BC460B11EA7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C807B386-4695-46C1-A188-1E70E013501D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A3FCBF2D-4975-4FBF-8012-2B5DE1905FB0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9CFE7DB4-9D60-403B-9A47-96EB19BCDF6C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CF7838E9-DE7A-4999-B4C1-FA5A99F0DF53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E51D337E-AC26-421B-AF41-E6CAA26643B4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B12C274-7E6E-4ACF-8230-076A16BA0677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84BB4842-1018-41F8-AA3A-C5BFEC858411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349C4C45-2E3D-4579-B2B0-8753082F7234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171450</xdr:rowOff>
    </xdr:from>
    <xdr:to>
      <xdr:col>23</xdr:col>
      <xdr:colOff>0</xdr:colOff>
      <xdr:row>84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23554B06-3BC0-4137-9216-87275D1399BB}"/>
            </a:ext>
          </a:extLst>
        </xdr:cNvPr>
        <xdr:cNvSpPr>
          <a:spLocks noChangeArrowheads="1"/>
        </xdr:cNvSpPr>
      </xdr:nvSpPr>
      <xdr:spPr bwMode="auto">
        <a:xfrm>
          <a:off x="5067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B2297EAD-1B0D-438B-A786-3B221BA822D5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4CCA905-9379-4BC7-8062-089906570A35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2E360357-2AE0-4C7F-81CE-5FA29452B602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1AE57023-08EA-4515-A270-AC900CD17DD7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EFEEA6EB-333B-4BD1-A2C3-0C0EBB37F5D6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8E2C1B33-AD9B-4C3A-B4F8-F61794135605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02635103-3B1F-4CBD-AAF7-8A7440B3B97E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79C8743E-56A4-4B92-BBF1-B3F7F07CA94A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1CAEDBC1-9262-498B-B23D-535D10275BAE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9D56F91C-5AA8-4130-A134-B84D215572FE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59C89259-03BE-4CCB-B6CE-B789E11D0AF3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3A8F0A9E-8229-4648-8E97-4DC67FD39C50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E04C0DF2-427A-457C-9AB3-33A543D6D48A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F438A7D1-27DD-4C5F-AF08-2B451536E439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806CC16B-0216-48C7-984F-ED30D2199904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1DB8BA65-53A4-4F0C-BBF6-00621733E2F0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A1B75E0D-0618-48DB-8102-06F42751999E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3C3F5CEA-5EA8-4A38-91E5-C7E2837918CC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D5746E78-10D8-46C4-B384-AB4AF135D58B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004A7F5-2945-4726-A8FC-790F3687AF21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1690BD07-D9E6-4416-9EDF-1C955359D39D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FA2E874E-6F2A-4FD1-9727-27F04E526725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0ACA579-6EC9-4955-8007-DD4F87BEDF5F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BD8EEBD0-9C07-475E-8954-B93774669F96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9A39CED1-F14A-486F-831A-104A23678123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B7B1DDE7-5640-4478-B14D-E3B73F50869B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D451EC0-9CB8-410E-AF7E-E60EDD962C1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D045725A-F923-4D40-934F-FF20683BF3D1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D417A0D1-8071-484C-BC79-2DFEB32A33B5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7FA3C13-650D-4B54-9792-D9B0C7062944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92F0404-03CC-41E6-9ECF-4CED3A961756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8C5EDCC9-9D38-4C6E-ABED-DFE1C18E8152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FE0F9D08-09D8-41ED-9384-F0D1B10EE2BE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FB5ED942-8FA1-4F4B-A8A7-25DDA727A08F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253D4F37-9CFE-4895-A72D-F11D4C40B5F6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55EBD5F-5688-4D66-8E7C-B2E683774468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15E25B29-8319-4960-951F-03CE519651F6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37DA45F3-2E64-4C8A-A37A-1EE6FDD247E0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81AADEE9-B729-4AD3-94A5-8C90BA9EF262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CBC568A7-D1FA-4B0F-B998-450A9CE11C5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5DF05DC1-F607-490A-A813-3FE971E54961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06976C3B-A4E8-45CB-BAD4-78BE351375B5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457DFA27-27ED-4630-BDD5-E28B3080033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C45B84CC-0E20-4BCC-901E-7148AA6DA74D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F6C6979D-9CE1-425D-A03A-4DE6ECD7926C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B300C869-ED17-4CF1-B8C7-A14546E0432C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92EA670C-C587-4816-A250-AAE3DA622F8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F60C341E-375E-4BD6-8C27-9BA3E2740CDA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BCEE495-18DE-47A0-B46C-8FCF5523033C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98E7C11C-D642-47F0-9D69-3BF3C4EBEA9F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6A411E2B-52DB-4E8D-9794-2FCE72EC0C80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8E6466D5-FCC6-4CF7-AF02-F479F8241A08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B393E5D-D816-4F6B-A737-8BAA8CC489FF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737DFD16-798D-4C30-AAB7-BF6A7C90956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2A6D569B-99B1-49A9-A211-27B88AFEB1AD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C6605533-06C3-4852-9C25-8FC157FD3458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10343226-5BCF-4CD1-AAD2-75FEEB7C80F1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AA0F4E12-3314-4B1D-8254-9FF6B0FD8E35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A419C77-7EC3-43EC-BFC0-CE841ECBDE9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7F54F9AC-ABE7-4521-A729-646ED9D76B0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08EDBA06-8F39-4B9B-917C-DC02ABBB494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80423E1F-DADB-410B-AC1E-6F962F1952F9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9EDFBF94-E120-4C79-8784-A1677FDF2DBF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38C8EF82-75DA-4E07-B752-2D19190800D5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05974169-01D5-4B5B-B1E7-1ECFB80C0384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96FB4F71-26CA-4D5B-993F-A3F1FD0F973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24123E5E-39DE-4E0F-8693-C4A23462438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36D9B371-7054-433C-9E92-E81D5D24E3AE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78A67522-AEFC-4B61-940A-2BB303F9791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3B9582F-ACE8-4097-A76B-2D33CA2CFCDB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C1125938-55F2-4AE2-A3A1-1A7A08A1383C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F52BF031-E7BE-4ED3-B091-1D69F89EED4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B60598A6-C70E-49A6-A6F1-FAF16CB442A9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DD5C7331-A039-47DA-91C1-11C2CB5E11E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CA6FAF78-E5BD-436F-BA19-1931D526B0C2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28F2A721-D2CA-41B6-8C2C-57169405E400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C6AB54DE-602A-4F6D-B6DF-C482965E6E09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B1D2C80C-C73E-4AAF-8850-0B649390A7F5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D58B9179-1532-4465-A58E-3BA65C944507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5336678-E25A-48E6-9E79-C5F753B844BD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9B8AB159-3317-49CF-B619-B4164D526A91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B49A7F12-5F58-4E16-8AD9-CA09A6314561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76026E76-64C2-4E76-9988-A52F29657EE0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F8A0B8AF-6B71-48FC-8CA0-653D174E7AE5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240D9467-2424-4139-9F0A-4143288CC7D1}"/>
            </a:ext>
          </a:extLst>
        </xdr:cNvPr>
        <xdr:cNvSpPr>
          <a:spLocks noChangeArrowheads="1"/>
        </xdr:cNvSpPr>
      </xdr:nvSpPr>
      <xdr:spPr bwMode="auto">
        <a:xfrm>
          <a:off x="21717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A6980133-FDBA-402A-9A12-53905F1B0A1A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A5A29381-04E6-42AC-A602-0C2C1FBF2D0B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2A3F0445-ADFF-44DA-A0B6-86BAD3533563}"/>
            </a:ext>
          </a:extLst>
        </xdr:cNvPr>
        <xdr:cNvSpPr>
          <a:spLocks noChangeArrowheads="1"/>
        </xdr:cNvSpPr>
      </xdr:nvSpPr>
      <xdr:spPr bwMode="auto">
        <a:xfrm>
          <a:off x="2413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151</xdr:row>
      <xdr:rowOff>171450</xdr:rowOff>
    </xdr:from>
    <xdr:to>
      <xdr:col>3</xdr:col>
      <xdr:colOff>0</xdr:colOff>
      <xdr:row>154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E5ABF8A5-26E6-41A4-8B43-9C991C681D7E}"/>
            </a:ext>
          </a:extLst>
        </xdr:cNvPr>
        <xdr:cNvSpPr>
          <a:spLocks noChangeArrowheads="1"/>
        </xdr:cNvSpPr>
      </xdr:nvSpPr>
      <xdr:spPr bwMode="auto">
        <a:xfrm>
          <a:off x="2413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248B7C26-F52A-4C5C-B6D3-9DEFFAB185FE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7049CB61-C4DB-48F4-9E69-ADBE247CB0E7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5BAF0898-85BE-4BB6-8C05-1ECAC733BA2A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AC6AD81B-FB78-4897-83A1-B462061F9D9A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68E7A593-4230-4B52-86F5-B4DEC6E6E002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B51DE604-9666-425D-9CCB-C09019F49954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603A0138-B109-42B9-A14A-6AEB27A40AFE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5EA2A98E-4AD7-4421-BFF9-8EC41E4F98B5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C4313476-F83F-4DBD-8BFF-610B93212D8E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235911F8-6581-4363-BF7F-A9E3BF008AD9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A63EA178-2431-457F-9F96-EA819D6690AC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6B8D755A-8D33-4C3D-915F-8BC1759539A0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5AED7DF3-3ADE-4E70-B464-B1CA3EDFB7B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DA61D4F1-6427-4F57-8D02-4764E4C6B377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9E635FC1-4732-4B52-B050-C4FA02781FBB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FCE22815-A1F9-40A7-B9EE-871253B7535F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387B6AD6-EC61-4A03-AE74-0781F200ABBF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3D040192-95A6-44AD-8373-BBD03B85488A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194C1FF1-C5C0-47A1-AFCB-2ADF65CD884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81BC05C8-A150-4F74-A3CB-FD4B05C0ACB1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2B41F03A-14F0-4ADF-BCB2-66C397287A59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F3B8B742-34EC-4A6E-8E76-C4C59ECB5FCD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FE5A536D-A15A-4138-9560-9DDC3D96D7AB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63ABCBE5-4942-4C9C-8BFF-1619A84EF9CB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090F928E-771C-44DB-B998-3AEE361CCD5D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C1C1E364-E20E-4E52-A073-E9A78A620C2B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BB31E02F-B410-48A8-8CF1-8143AF8F0C8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4FD3CD2D-F639-4FCA-AE90-4E1521283C0E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7BFBFEEB-C423-4F13-9FC5-33F5500671AC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63364ECD-3E22-49A7-97D2-9CC7B7546C0C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0F42FC6D-D2CA-426A-91CA-8129FBD72583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CDD8F29F-E778-4EAD-B0B8-C0981F465F6E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F17E1A1E-695A-4798-8AB5-3878B9670A36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A908FBC6-8F13-4A29-9991-0195EE8A695F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FB035D88-3E72-48FD-8969-F2BEA0CF5A27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200D3ACD-006F-457B-A2F2-5757DFF7B71A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BC62374C-A015-4C55-B296-45730325E528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3EA23F71-7387-4697-9468-88BFDAF6F4BC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532AE2FA-08DC-4819-B260-9C37B6754611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9796D35-1F90-442B-9997-4BAD5AAD2819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0CF9483F-F126-43F8-B071-AB154436F7A7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240CFC9-1B8A-42F2-BA43-9A95861D05FD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2CDFA4CE-0C73-4C22-9841-14A49A2C008E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3DCC79C-18E5-4A26-81DF-1AE3863DC20A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A9792826-AEF9-4D36-95B0-8BACB15A770E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FBA3814B-AA6A-4466-A87F-1A6D5DB7CEF7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1D12B209-B00A-4DF9-908B-B84F79D36F9E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44C5AD8E-2892-432E-BE46-F9B4422A70D9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132</xdr:row>
      <xdr:rowOff>171450</xdr:rowOff>
    </xdr:from>
    <xdr:to>
      <xdr:col>27</xdr:col>
      <xdr:colOff>0</xdr:colOff>
      <xdr:row>135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C25E5E4C-C957-437F-805C-E5734DC4D0D9}"/>
            </a:ext>
          </a:extLst>
        </xdr:cNvPr>
        <xdr:cNvSpPr>
          <a:spLocks noChangeArrowheads="1"/>
        </xdr:cNvSpPr>
      </xdr:nvSpPr>
      <xdr:spPr bwMode="auto">
        <a:xfrm>
          <a:off x="6032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132</xdr:row>
      <xdr:rowOff>171450</xdr:rowOff>
    </xdr:from>
    <xdr:to>
      <xdr:col>31</xdr:col>
      <xdr:colOff>0</xdr:colOff>
      <xdr:row>135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BEB6CD60-B5C3-487E-BC88-AB7AD9AA603D}"/>
            </a:ext>
          </a:extLst>
        </xdr:cNvPr>
        <xdr:cNvSpPr>
          <a:spLocks noChangeArrowheads="1"/>
        </xdr:cNvSpPr>
      </xdr:nvSpPr>
      <xdr:spPr bwMode="auto">
        <a:xfrm>
          <a:off x="6997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3F3F8A7B-C530-4189-8D8A-9478AF3DE882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CD9DEBF-6C2A-4280-AE35-5E7438A29057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7B58A82D-962D-4F87-82B0-A17245DAE142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1030B0F2-31DD-4463-8B19-6FD83F96F105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5EE1C23C-329A-4494-89D8-395750D8FD32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D70E7087-58E3-4BB2-A4F8-34B4182B6FD5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1C0532F2-4BD7-4C2C-A7EB-E6DEACA83338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0FB498A3-B783-41BC-939C-B9CA7E28E744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9C2C464-4BF1-4C74-BB51-BA8142C48024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DB71EAAA-5D47-406F-A44B-2E44D12B236C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283A3C22-0EC3-4A8C-99A7-A2B6F89CC8B8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C395A00F-32E4-4199-80A5-739BD1FC5674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132</xdr:row>
      <xdr:rowOff>158750</xdr:rowOff>
    </xdr:from>
    <xdr:to>
      <xdr:col>43</xdr:col>
      <xdr:colOff>0</xdr:colOff>
      <xdr:row>134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E0361896-B6AF-45D8-AD89-E68E42ED3894}"/>
            </a:ext>
          </a:extLst>
        </xdr:cNvPr>
        <xdr:cNvSpPr>
          <a:spLocks noChangeArrowheads="1"/>
        </xdr:cNvSpPr>
      </xdr:nvSpPr>
      <xdr:spPr bwMode="auto">
        <a:xfrm>
          <a:off x="9893300" y="224472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34A95181-884F-4410-B0CA-E05FB58B04FD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B98AB268-E606-4517-9C72-2ED6E31A2AC2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F22420A-3E0A-4B1F-BBA6-E695A971C05F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141</xdr:row>
      <xdr:rowOff>171450</xdr:rowOff>
    </xdr:from>
    <xdr:to>
      <xdr:col>35</xdr:col>
      <xdr:colOff>0</xdr:colOff>
      <xdr:row>144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79034D21-B027-444A-AA56-0D6F209C3714}"/>
            </a:ext>
          </a:extLst>
        </xdr:cNvPr>
        <xdr:cNvSpPr>
          <a:spLocks noChangeArrowheads="1"/>
        </xdr:cNvSpPr>
      </xdr:nvSpPr>
      <xdr:spPr bwMode="auto">
        <a:xfrm>
          <a:off x="7962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C1FCEA22-EDC8-4EBC-885B-1FA9B6257715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50388A84-4809-4252-A8C4-625BB9B5A2F7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9A84C83D-70AB-4875-861E-2CA2A90731B5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141</xdr:row>
      <xdr:rowOff>171450</xdr:rowOff>
    </xdr:from>
    <xdr:to>
      <xdr:col>15</xdr:col>
      <xdr:colOff>0</xdr:colOff>
      <xdr:row>144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2B2BD97D-348F-43BC-8039-FC44FA1F41AC}"/>
            </a:ext>
          </a:extLst>
        </xdr:cNvPr>
        <xdr:cNvSpPr>
          <a:spLocks noChangeArrowheads="1"/>
        </xdr:cNvSpPr>
      </xdr:nvSpPr>
      <xdr:spPr bwMode="auto">
        <a:xfrm>
          <a:off x="3136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BFA1063E-DF5C-4EA5-AF96-3B2440103D51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1B28F5B5-57A6-4C78-A877-EFE61661F3AD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9FD14B64-A155-49A4-BCE7-6F6FEF879626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141</xdr:row>
      <xdr:rowOff>171450</xdr:rowOff>
    </xdr:from>
    <xdr:to>
      <xdr:col>19</xdr:col>
      <xdr:colOff>12700</xdr:colOff>
      <xdr:row>144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FED01953-D249-479C-BDD8-CC9ACB49B0AD}"/>
            </a:ext>
          </a:extLst>
        </xdr:cNvPr>
        <xdr:cNvSpPr>
          <a:spLocks noChangeArrowheads="1"/>
        </xdr:cNvSpPr>
      </xdr:nvSpPr>
      <xdr:spPr bwMode="auto">
        <a:xfrm>
          <a:off x="41148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4B0B833F-3E9F-4009-827B-0BABF28C089A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32EB0868-0905-4053-998A-5397E28F7027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0E920ED7-6A70-4890-9AD1-61EAEDDE99BD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1CF4DA63-19CD-4D05-B132-D66B766ADD73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8B0D8CD1-75F1-4420-A8F9-130E118F41CC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C8B4E30B-E7F8-4F75-819F-C5BD4779FFE3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9BD7D76E-CB52-4788-9DC6-2F1EF0A460D9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395F15A2-844B-4A82-ACB7-B5A01558CBBA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151</xdr:row>
      <xdr:rowOff>171450</xdr:rowOff>
    </xdr:from>
    <xdr:to>
      <xdr:col>7</xdr:col>
      <xdr:colOff>0</xdr:colOff>
      <xdr:row>154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4D3B50A9-7008-4D5B-8603-A9315BBECD1C}"/>
            </a:ext>
          </a:extLst>
        </xdr:cNvPr>
        <xdr:cNvSpPr>
          <a:spLocks noChangeArrowheads="1"/>
        </xdr:cNvSpPr>
      </xdr:nvSpPr>
      <xdr:spPr bwMode="auto">
        <a:xfrm>
          <a:off x="12065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160</xdr:row>
      <xdr:rowOff>171450</xdr:rowOff>
    </xdr:from>
    <xdr:to>
      <xdr:col>27</xdr:col>
      <xdr:colOff>0</xdr:colOff>
      <xdr:row>163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842D3113-5424-4024-BF96-5A7F35C9D245}"/>
            </a:ext>
          </a:extLst>
        </xdr:cNvPr>
        <xdr:cNvSpPr>
          <a:spLocks noChangeArrowheads="1"/>
        </xdr:cNvSpPr>
      </xdr:nvSpPr>
      <xdr:spPr bwMode="auto">
        <a:xfrm>
          <a:off x="60325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160</xdr:row>
      <xdr:rowOff>171450</xdr:rowOff>
    </xdr:from>
    <xdr:to>
      <xdr:col>31</xdr:col>
      <xdr:colOff>0</xdr:colOff>
      <xdr:row>163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C18E308-D923-444D-BD56-814AF3BC2100}"/>
            </a:ext>
          </a:extLst>
        </xdr:cNvPr>
        <xdr:cNvSpPr>
          <a:spLocks noChangeArrowheads="1"/>
        </xdr:cNvSpPr>
      </xdr:nvSpPr>
      <xdr:spPr bwMode="auto">
        <a:xfrm>
          <a:off x="69977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160</xdr:row>
      <xdr:rowOff>171450</xdr:rowOff>
    </xdr:from>
    <xdr:to>
      <xdr:col>35</xdr:col>
      <xdr:colOff>0</xdr:colOff>
      <xdr:row>163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1706C701-793E-49D2-974A-88813A9EBE39}"/>
            </a:ext>
          </a:extLst>
        </xdr:cNvPr>
        <xdr:cNvSpPr>
          <a:spLocks noChangeArrowheads="1"/>
        </xdr:cNvSpPr>
      </xdr:nvSpPr>
      <xdr:spPr bwMode="auto">
        <a:xfrm>
          <a:off x="79629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160</xdr:row>
      <xdr:rowOff>171450</xdr:rowOff>
    </xdr:from>
    <xdr:to>
      <xdr:col>39</xdr:col>
      <xdr:colOff>0</xdr:colOff>
      <xdr:row>163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24473F25-64BC-4165-A50D-44B9247F7606}"/>
            </a:ext>
          </a:extLst>
        </xdr:cNvPr>
        <xdr:cNvSpPr>
          <a:spLocks noChangeArrowheads="1"/>
        </xdr:cNvSpPr>
      </xdr:nvSpPr>
      <xdr:spPr bwMode="auto">
        <a:xfrm>
          <a:off x="89281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2296C026-8152-4EDB-B18F-6D01C89E7694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F8237DDC-9737-4A87-BC06-50F8E26FCA8C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BFFC6CC-3A57-44E7-9EB1-47B53C81AD64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C053C22C-500C-425E-BB21-AC13C3DA89DA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160</xdr:row>
      <xdr:rowOff>139700</xdr:rowOff>
    </xdr:from>
    <xdr:to>
      <xdr:col>22</xdr:col>
      <xdr:colOff>0</xdr:colOff>
      <xdr:row>161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B04F43A3-32EA-446B-9392-82D810ADCEBD}"/>
            </a:ext>
          </a:extLst>
        </xdr:cNvPr>
        <xdr:cNvSpPr>
          <a:spLocks/>
        </xdr:cNvSpPr>
      </xdr:nvSpPr>
      <xdr:spPr bwMode="auto">
        <a:xfrm>
          <a:off x="43434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160</xdr:row>
      <xdr:rowOff>171450</xdr:rowOff>
    </xdr:from>
    <xdr:to>
      <xdr:col>30</xdr:col>
      <xdr:colOff>0</xdr:colOff>
      <xdr:row>161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C9AA1E47-A083-40E8-8CCE-B709E730602B}"/>
            </a:ext>
          </a:extLst>
        </xdr:cNvPr>
        <xdr:cNvSpPr>
          <a:spLocks/>
        </xdr:cNvSpPr>
      </xdr:nvSpPr>
      <xdr:spPr bwMode="auto">
        <a:xfrm>
          <a:off x="6273800" y="27095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160</xdr:row>
      <xdr:rowOff>158750</xdr:rowOff>
    </xdr:from>
    <xdr:to>
      <xdr:col>34</xdr:col>
      <xdr:colOff>12700</xdr:colOff>
      <xdr:row>161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6032D16-F2B5-48AC-91F5-64CB55C42DBF}"/>
            </a:ext>
          </a:extLst>
        </xdr:cNvPr>
        <xdr:cNvSpPr>
          <a:spLocks/>
        </xdr:cNvSpPr>
      </xdr:nvSpPr>
      <xdr:spPr bwMode="auto">
        <a:xfrm>
          <a:off x="7251700" y="2708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160</xdr:row>
      <xdr:rowOff>158750</xdr:rowOff>
    </xdr:from>
    <xdr:to>
      <xdr:col>38</xdr:col>
      <xdr:colOff>19050</xdr:colOff>
      <xdr:row>161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3BA3C1A5-6241-4B12-BFF9-E49CA4AA0FF6}"/>
            </a:ext>
          </a:extLst>
        </xdr:cNvPr>
        <xdr:cNvSpPr>
          <a:spLocks/>
        </xdr:cNvSpPr>
      </xdr:nvSpPr>
      <xdr:spPr bwMode="auto">
        <a:xfrm>
          <a:off x="8223250" y="2708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Conductor Parameter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132</v>
          </cell>
          <cell r="N2">
            <v>82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9"/>
    </row>
    <row r="2" spans="2:13" x14ac:dyDescent="0.35">
      <c r="B2" s="217" t="s">
        <v>491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</row>
    <row r="3" spans="2:13" x14ac:dyDescent="0.35">
      <c r="B3" s="217" t="s">
        <v>616</v>
      </c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</row>
    <row r="4" spans="2:13" x14ac:dyDescent="0.35">
      <c r="B4" s="217" t="s">
        <v>492</v>
      </c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</row>
    <row r="5" spans="2:13" x14ac:dyDescent="0.35">
      <c r="B5" s="218" t="s">
        <v>493</v>
      </c>
      <c r="C5" s="218"/>
      <c r="D5" s="218"/>
      <c r="E5" s="218"/>
      <c r="F5" s="217" t="s">
        <v>494</v>
      </c>
      <c r="G5" s="217"/>
      <c r="H5" s="217"/>
      <c r="I5" s="217"/>
      <c r="J5" s="217"/>
      <c r="K5" s="219" t="s">
        <v>635</v>
      </c>
      <c r="L5" s="220"/>
      <c r="M5" s="221"/>
    </row>
    <row r="6" spans="2:13" x14ac:dyDescent="0.35">
      <c r="B6" s="218" t="s">
        <v>495</v>
      </c>
      <c r="C6" s="218"/>
      <c r="D6" s="218"/>
      <c r="E6" s="218"/>
      <c r="F6" s="217" t="s">
        <v>496</v>
      </c>
      <c r="G6" s="217"/>
      <c r="H6" s="217"/>
      <c r="I6" s="217"/>
      <c r="J6" s="217"/>
      <c r="K6" s="222" t="s">
        <v>497</v>
      </c>
      <c r="L6" s="222"/>
      <c r="M6" s="222"/>
    </row>
    <row r="7" spans="2:13" x14ac:dyDescent="0.35">
      <c r="B7" s="223" t="s">
        <v>444</v>
      </c>
      <c r="C7" s="223" t="s">
        <v>122</v>
      </c>
      <c r="D7" s="100" t="s">
        <v>48</v>
      </c>
      <c r="E7" s="100" t="s">
        <v>445</v>
      </c>
      <c r="F7" s="100" t="s">
        <v>0</v>
      </c>
      <c r="G7" s="224">
        <v>45962</v>
      </c>
      <c r="H7" s="223"/>
      <c r="I7" s="223" t="s">
        <v>125</v>
      </c>
      <c r="J7" s="223" t="s">
        <v>446</v>
      </c>
      <c r="K7" s="101">
        <v>45992</v>
      </c>
      <c r="L7" s="101">
        <f>K7+31</f>
        <v>46023</v>
      </c>
      <c r="M7" s="223" t="s">
        <v>1</v>
      </c>
    </row>
    <row r="8" spans="2:13" x14ac:dyDescent="0.35">
      <c r="B8" s="223"/>
      <c r="C8" s="223"/>
      <c r="D8" s="100" t="s">
        <v>124</v>
      </c>
      <c r="E8" s="100" t="s">
        <v>447</v>
      </c>
      <c r="F8" s="100" t="s">
        <v>448</v>
      </c>
      <c r="G8" s="223" t="s">
        <v>443</v>
      </c>
      <c r="H8" s="223" t="s">
        <v>449</v>
      </c>
      <c r="I8" s="223"/>
      <c r="J8" s="223"/>
      <c r="K8" s="223" t="s">
        <v>443</v>
      </c>
      <c r="L8" s="223" t="s">
        <v>443</v>
      </c>
      <c r="M8" s="223"/>
    </row>
    <row r="9" spans="2:13" x14ac:dyDescent="0.35">
      <c r="B9" s="223"/>
      <c r="C9" s="223"/>
      <c r="D9" s="102"/>
      <c r="E9" s="101">
        <v>45931</v>
      </c>
      <c r="F9" s="101" t="s">
        <v>490</v>
      </c>
      <c r="G9" s="223"/>
      <c r="H9" s="223"/>
      <c r="I9" s="223"/>
      <c r="J9" s="223"/>
      <c r="K9" s="223"/>
      <c r="L9" s="223"/>
      <c r="M9" s="223"/>
    </row>
    <row r="10" spans="2:13" x14ac:dyDescent="0.35">
      <c r="B10" s="103" t="s">
        <v>450</v>
      </c>
      <c r="C10" s="104" t="s">
        <v>58</v>
      </c>
      <c r="D10" s="105">
        <v>79</v>
      </c>
      <c r="E10" s="105">
        <v>79</v>
      </c>
      <c r="F10" s="105">
        <f>D10-E10</f>
        <v>0</v>
      </c>
      <c r="G10" s="106"/>
      <c r="H10" s="106"/>
      <c r="I10" s="106"/>
      <c r="J10" s="137">
        <f>E10+H10</f>
        <v>79</v>
      </c>
      <c r="K10" s="106"/>
      <c r="L10" s="106"/>
      <c r="M10" s="104"/>
    </row>
    <row r="11" spans="2:13" x14ac:dyDescent="0.35">
      <c r="B11" s="107" t="s">
        <v>129</v>
      </c>
      <c r="C11" s="108" t="s">
        <v>58</v>
      </c>
      <c r="D11" s="109">
        <v>79</v>
      </c>
      <c r="E11" s="109">
        <v>79</v>
      </c>
      <c r="F11" s="109">
        <f>D11-E11</f>
        <v>0</v>
      </c>
      <c r="G11" s="108"/>
      <c r="H11" s="108"/>
      <c r="I11" s="110"/>
      <c r="J11" s="109">
        <f t="shared" ref="J11:J26" si="0">E11+H11</f>
        <v>79</v>
      </c>
      <c r="K11" s="110"/>
      <c r="L11" s="110"/>
      <c r="M11" s="108"/>
    </row>
    <row r="12" spans="2:13" x14ac:dyDescent="0.35">
      <c r="B12" s="111" t="s">
        <v>451</v>
      </c>
      <c r="C12" s="112" t="s">
        <v>59</v>
      </c>
      <c r="D12" s="113">
        <v>205</v>
      </c>
      <c r="E12" s="113">
        <v>205</v>
      </c>
      <c r="F12" s="112">
        <f>D12-E12</f>
        <v>0</v>
      </c>
      <c r="G12" s="112"/>
      <c r="H12" s="112"/>
      <c r="I12" s="112"/>
      <c r="J12" s="112">
        <f t="shared" si="0"/>
        <v>205</v>
      </c>
      <c r="K12" s="112"/>
      <c r="L12" s="112"/>
      <c r="M12" s="112"/>
    </row>
    <row r="13" spans="2:13" ht="46.5" x14ac:dyDescent="0.35">
      <c r="B13" s="114" t="s">
        <v>452</v>
      </c>
      <c r="C13" s="115" t="s">
        <v>453</v>
      </c>
      <c r="D13" s="116">
        <v>205</v>
      </c>
      <c r="E13" s="116">
        <v>132</v>
      </c>
      <c r="F13" s="112">
        <f>D13-E13</f>
        <v>73</v>
      </c>
      <c r="G13" s="115">
        <v>11</v>
      </c>
      <c r="H13" s="115">
        <v>4</v>
      </c>
      <c r="I13" s="115">
        <v>5</v>
      </c>
      <c r="J13" s="115">
        <f t="shared" si="0"/>
        <v>136</v>
      </c>
      <c r="K13" s="115"/>
      <c r="L13" s="115"/>
      <c r="M13" s="115" t="s">
        <v>498</v>
      </c>
    </row>
    <row r="14" spans="2:13" x14ac:dyDescent="0.35">
      <c r="B14" s="117" t="s">
        <v>14</v>
      </c>
      <c r="C14" s="118"/>
      <c r="D14" s="119"/>
      <c r="E14" s="119"/>
      <c r="F14" s="120"/>
      <c r="G14" s="120">
        <v>3</v>
      </c>
      <c r="H14" s="120">
        <v>2</v>
      </c>
      <c r="I14" s="120">
        <v>2</v>
      </c>
      <c r="J14" s="120">
        <f t="shared" si="0"/>
        <v>2</v>
      </c>
      <c r="K14" s="120"/>
      <c r="L14" s="120"/>
      <c r="M14" s="120"/>
    </row>
    <row r="15" spans="2:13" x14ac:dyDescent="0.35">
      <c r="B15" s="121" t="s">
        <v>454</v>
      </c>
      <c r="C15" s="122" t="s">
        <v>455</v>
      </c>
      <c r="D15" s="122">
        <v>205</v>
      </c>
      <c r="E15" s="122">
        <v>153</v>
      </c>
      <c r="F15" s="122">
        <f>D15-E15</f>
        <v>52</v>
      </c>
      <c r="G15" s="122"/>
      <c r="H15" s="122"/>
      <c r="I15" s="122"/>
      <c r="J15" s="122">
        <f t="shared" si="0"/>
        <v>153</v>
      </c>
      <c r="K15" s="122"/>
      <c r="L15" s="122"/>
      <c r="M15" s="122"/>
    </row>
    <row r="16" spans="2:13" x14ac:dyDescent="0.35">
      <c r="B16" s="123" t="s">
        <v>456</v>
      </c>
      <c r="C16" s="122" t="s">
        <v>453</v>
      </c>
      <c r="D16" s="122">
        <v>205</v>
      </c>
      <c r="E16" s="122">
        <v>81</v>
      </c>
      <c r="F16" s="122">
        <f>D16-E16</f>
        <v>124</v>
      </c>
      <c r="G16" s="122">
        <v>21</v>
      </c>
      <c r="H16" s="122">
        <v>6</v>
      </c>
      <c r="I16" s="122">
        <v>5</v>
      </c>
      <c r="J16" s="122">
        <f t="shared" si="0"/>
        <v>87</v>
      </c>
      <c r="K16" s="122"/>
      <c r="L16" s="124"/>
      <c r="M16" s="125"/>
    </row>
    <row r="17" spans="2:13" x14ac:dyDescent="0.35">
      <c r="B17" s="133" t="s">
        <v>14</v>
      </c>
      <c r="C17" s="134"/>
      <c r="D17" s="135"/>
      <c r="E17" s="135"/>
      <c r="F17" s="135"/>
      <c r="G17" s="135">
        <v>5</v>
      </c>
      <c r="H17" s="135">
        <v>5</v>
      </c>
      <c r="I17" s="135">
        <v>5</v>
      </c>
      <c r="J17" s="135">
        <f t="shared" si="0"/>
        <v>5</v>
      </c>
      <c r="K17" s="135"/>
      <c r="L17" s="135"/>
      <c r="M17" s="135"/>
    </row>
    <row r="18" spans="2:13" ht="17.25" customHeight="1" x14ac:dyDescent="0.35">
      <c r="B18" s="126" t="s">
        <v>459</v>
      </c>
      <c r="C18" s="127" t="s">
        <v>58</v>
      </c>
      <c r="D18" s="128">
        <v>2876</v>
      </c>
      <c r="E18" s="128">
        <v>900</v>
      </c>
      <c r="F18" s="128">
        <f t="shared" ref="F18:F24" si="1">D18-E18</f>
        <v>1976</v>
      </c>
      <c r="G18" s="127"/>
      <c r="H18" s="127"/>
      <c r="I18" s="127"/>
      <c r="J18" s="128">
        <f t="shared" si="0"/>
        <v>900</v>
      </c>
      <c r="K18" s="127"/>
      <c r="L18" s="127"/>
      <c r="M18" s="127"/>
    </row>
    <row r="19" spans="2:13" x14ac:dyDescent="0.35">
      <c r="B19" s="126" t="s">
        <v>52</v>
      </c>
      <c r="C19" s="127" t="s">
        <v>58</v>
      </c>
      <c r="D19" s="128">
        <v>67</v>
      </c>
      <c r="E19" s="128">
        <v>42</v>
      </c>
      <c r="F19" s="129">
        <f t="shared" si="1"/>
        <v>25</v>
      </c>
      <c r="G19" s="127"/>
      <c r="H19" s="127"/>
      <c r="I19" s="127"/>
      <c r="J19" s="128">
        <f t="shared" si="0"/>
        <v>42</v>
      </c>
      <c r="K19" s="127"/>
      <c r="L19" s="127"/>
      <c r="M19" s="127"/>
    </row>
    <row r="20" spans="2:13" x14ac:dyDescent="0.35">
      <c r="B20" s="126" t="s">
        <v>457</v>
      </c>
      <c r="C20" s="127" t="s">
        <v>53</v>
      </c>
      <c r="D20" s="128">
        <v>9417</v>
      </c>
      <c r="E20" s="128">
        <v>5685</v>
      </c>
      <c r="F20" s="127">
        <f t="shared" si="1"/>
        <v>3732</v>
      </c>
      <c r="G20" s="127"/>
      <c r="H20" s="127"/>
      <c r="I20" s="127"/>
      <c r="J20" s="128">
        <f t="shared" si="0"/>
        <v>5685</v>
      </c>
      <c r="K20" s="127"/>
      <c r="L20" s="127"/>
      <c r="M20" s="127"/>
    </row>
    <row r="21" spans="2:13" x14ac:dyDescent="0.35">
      <c r="B21" s="126" t="s">
        <v>458</v>
      </c>
      <c r="C21" s="127" t="s">
        <v>362</v>
      </c>
      <c r="D21" s="130">
        <v>1</v>
      </c>
      <c r="E21" s="130">
        <v>0.55000000000000004</v>
      </c>
      <c r="F21" s="131">
        <f t="shared" si="1"/>
        <v>0.44999999999999996</v>
      </c>
      <c r="G21" s="127"/>
      <c r="H21" s="127"/>
      <c r="I21" s="127"/>
      <c r="J21" s="130">
        <f t="shared" si="0"/>
        <v>0.55000000000000004</v>
      </c>
      <c r="K21" s="127"/>
      <c r="L21" s="127"/>
      <c r="M21" s="127"/>
    </row>
    <row r="22" spans="2:13" x14ac:dyDescent="0.35">
      <c r="B22" s="126" t="s">
        <v>439</v>
      </c>
      <c r="C22" s="127" t="s">
        <v>58</v>
      </c>
      <c r="D22" s="128">
        <v>79</v>
      </c>
      <c r="E22" s="128"/>
      <c r="F22" s="128">
        <f t="shared" si="1"/>
        <v>79</v>
      </c>
      <c r="G22" s="128"/>
      <c r="H22" s="128"/>
      <c r="I22" s="128"/>
      <c r="J22" s="128">
        <f t="shared" si="0"/>
        <v>0</v>
      </c>
      <c r="K22" s="128">
        <v>20</v>
      </c>
      <c r="L22" s="128">
        <v>25</v>
      </c>
      <c r="M22" s="136"/>
    </row>
    <row r="23" spans="2:13" x14ac:dyDescent="0.35">
      <c r="B23" s="126" t="s">
        <v>460</v>
      </c>
      <c r="C23" s="127" t="s">
        <v>462</v>
      </c>
      <c r="D23" s="127">
        <v>34</v>
      </c>
      <c r="E23" s="127"/>
      <c r="F23" s="127">
        <f t="shared" si="1"/>
        <v>34</v>
      </c>
      <c r="G23" s="127"/>
      <c r="H23" s="127"/>
      <c r="I23" s="127"/>
      <c r="J23" s="127">
        <f t="shared" si="0"/>
        <v>0</v>
      </c>
      <c r="K23" s="127">
        <v>6</v>
      </c>
      <c r="L23" s="127">
        <v>5</v>
      </c>
      <c r="M23" s="136"/>
    </row>
    <row r="24" spans="2:13" x14ac:dyDescent="0.35">
      <c r="B24" s="126" t="s">
        <v>461</v>
      </c>
      <c r="C24" s="127" t="s">
        <v>462</v>
      </c>
      <c r="D24" s="127">
        <v>26</v>
      </c>
      <c r="E24" s="127"/>
      <c r="F24" s="127">
        <f t="shared" si="1"/>
        <v>26</v>
      </c>
      <c r="G24" s="127"/>
      <c r="H24" s="127"/>
      <c r="I24" s="127"/>
      <c r="J24" s="127">
        <f t="shared" si="0"/>
        <v>0</v>
      </c>
      <c r="K24" s="127"/>
      <c r="L24" s="127">
        <v>4</v>
      </c>
      <c r="M24" s="132"/>
    </row>
    <row r="25" spans="2:13" x14ac:dyDescent="0.35">
      <c r="B25" s="133" t="s">
        <v>14</v>
      </c>
      <c r="C25" s="134"/>
      <c r="D25" s="135"/>
      <c r="E25" s="135"/>
      <c r="F25" s="135"/>
      <c r="G25" s="135"/>
      <c r="H25" s="135"/>
      <c r="I25" s="135"/>
      <c r="J25" s="135"/>
      <c r="K25" s="135">
        <v>2</v>
      </c>
      <c r="L25" s="135">
        <v>3</v>
      </c>
      <c r="M25" s="135"/>
    </row>
    <row r="26" spans="2:13" x14ac:dyDescent="0.35">
      <c r="B26" s="126" t="s">
        <v>463</v>
      </c>
      <c r="C26" s="127" t="s">
        <v>58</v>
      </c>
      <c r="D26" s="128">
        <v>79</v>
      </c>
      <c r="E26" s="128"/>
      <c r="F26" s="129">
        <f t="shared" ref="F26" si="2">D26-E26</f>
        <v>79</v>
      </c>
      <c r="G26" s="127"/>
      <c r="H26" s="127"/>
      <c r="I26" s="127"/>
      <c r="J26" s="128">
        <f t="shared" si="0"/>
        <v>0</v>
      </c>
      <c r="K26" s="127"/>
      <c r="L26" s="127"/>
      <c r="M26" s="136"/>
    </row>
    <row r="27" spans="2:13" x14ac:dyDescent="0.35">
      <c r="B27" s="133" t="s">
        <v>14</v>
      </c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78" workbookViewId="0">
      <selection activeCell="J90" sqref="J90:K91"/>
    </sheetView>
  </sheetViews>
  <sheetFormatPr defaultColWidth="9.1796875" defaultRowHeight="14.5" x14ac:dyDescent="0.35"/>
  <cols>
    <col min="1" max="1" width="7.7265625" style="68" customWidth="1"/>
    <col min="2" max="2" width="9.1796875" style="68"/>
    <col min="3" max="3" width="11.7265625" style="68" customWidth="1"/>
    <col min="4" max="4" width="14" style="68" customWidth="1"/>
    <col min="5" max="5" width="13.54296875" style="68" customWidth="1"/>
    <col min="6" max="6" width="15.453125" style="95" customWidth="1"/>
    <col min="7" max="7" width="21.453125" style="95" bestFit="1" customWidth="1"/>
    <col min="8" max="8" width="10.453125" style="95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25" t="str">
        <f>[79]Earthing!A1</f>
        <v>KEC International Limited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</row>
    <row r="2" spans="1:12" ht="15.5" x14ac:dyDescent="0.35">
      <c r="A2" s="225" t="s">
        <v>499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69"/>
      <c r="H3" s="138">
        <f>SUBTOTAL(9,H5:H87)</f>
        <v>3384.8591189999984</v>
      </c>
      <c r="I3" s="138">
        <f>SUBTOTAL(9,I5:I87)</f>
        <v>356.76415114259999</v>
      </c>
      <c r="J3" s="69"/>
      <c r="K3" s="70">
        <f ca="1">TODAY()-1</f>
        <v>45987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42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5" customFormat="1" ht="15.5" x14ac:dyDescent="0.35">
      <c r="A5" s="79">
        <v>1</v>
      </c>
      <c r="B5" s="79"/>
      <c r="C5" s="80" t="s">
        <v>118</v>
      </c>
      <c r="D5" s="79" t="s">
        <v>82</v>
      </c>
      <c r="E5" s="81">
        <v>45903</v>
      </c>
      <c r="F5" s="81">
        <v>45922</v>
      </c>
      <c r="G5" s="139" t="s">
        <v>554</v>
      </c>
      <c r="H5" s="143">
        <v>59.500628000000006</v>
      </c>
      <c r="I5" s="82">
        <f>10540*H5/10^5</f>
        <v>6.2713661912000003</v>
      </c>
      <c r="J5" s="79" t="s">
        <v>609</v>
      </c>
      <c r="K5" s="83" t="s">
        <v>108</v>
      </c>
      <c r="L5" s="84"/>
    </row>
    <row r="6" spans="1:12" s="85" customFormat="1" ht="15.5" x14ac:dyDescent="0.35">
      <c r="A6" s="79">
        <f t="shared" ref="A6:A69" si="0">A5+1</f>
        <v>2</v>
      </c>
      <c r="B6" s="79"/>
      <c r="C6" s="86" t="s">
        <v>500</v>
      </c>
      <c r="D6" s="79" t="s">
        <v>3</v>
      </c>
      <c r="E6" s="81">
        <v>45859</v>
      </c>
      <c r="F6" s="81">
        <v>45868</v>
      </c>
      <c r="G6" s="139" t="s">
        <v>554</v>
      </c>
      <c r="H6" s="143">
        <v>36.159756000000009</v>
      </c>
      <c r="I6" s="82">
        <f t="shared" ref="I6:I69" si="1">10540*H6/10^5</f>
        <v>3.8112382824000011</v>
      </c>
      <c r="J6" s="79" t="s">
        <v>609</v>
      </c>
      <c r="K6" s="83" t="s">
        <v>108</v>
      </c>
      <c r="L6" s="84"/>
    </row>
    <row r="7" spans="1:12" s="85" customFormat="1" ht="15.5" x14ac:dyDescent="0.35">
      <c r="A7" s="79">
        <f t="shared" si="0"/>
        <v>3</v>
      </c>
      <c r="B7" s="79"/>
      <c r="C7" s="80" t="s">
        <v>501</v>
      </c>
      <c r="D7" s="79" t="s">
        <v>3</v>
      </c>
      <c r="E7" s="81">
        <v>45870</v>
      </c>
      <c r="F7" s="81">
        <v>45882</v>
      </c>
      <c r="G7" s="139" t="s">
        <v>554</v>
      </c>
      <c r="H7" s="143">
        <v>36.159756000000009</v>
      </c>
      <c r="I7" s="82">
        <f t="shared" si="1"/>
        <v>3.8112382824000011</v>
      </c>
      <c r="J7" s="79" t="s">
        <v>609</v>
      </c>
      <c r="K7" s="83" t="s">
        <v>108</v>
      </c>
      <c r="L7" s="84"/>
    </row>
    <row r="8" spans="1:12" s="85" customFormat="1" ht="15.5" x14ac:dyDescent="0.35">
      <c r="A8" s="79">
        <f t="shared" si="0"/>
        <v>4</v>
      </c>
      <c r="B8" s="79"/>
      <c r="C8" s="86" t="s">
        <v>502</v>
      </c>
      <c r="D8" s="79" t="s">
        <v>2</v>
      </c>
      <c r="E8" s="81">
        <v>45883</v>
      </c>
      <c r="F8" s="81">
        <v>45900</v>
      </c>
      <c r="G8" s="139" t="s">
        <v>554</v>
      </c>
      <c r="H8" s="143">
        <v>37.931088000000003</v>
      </c>
      <c r="I8" s="82">
        <f t="shared" si="1"/>
        <v>3.9979366752000001</v>
      </c>
      <c r="J8" s="79" t="s">
        <v>609</v>
      </c>
      <c r="K8" s="83" t="s">
        <v>108</v>
      </c>
      <c r="L8" s="84"/>
    </row>
    <row r="9" spans="1:12" s="85" customFormat="1" ht="15.5" x14ac:dyDescent="0.35">
      <c r="A9" s="79">
        <f t="shared" si="0"/>
        <v>5</v>
      </c>
      <c r="B9" s="79"/>
      <c r="C9" s="86" t="s">
        <v>503</v>
      </c>
      <c r="D9" s="79" t="s">
        <v>3</v>
      </c>
      <c r="E9" s="81">
        <v>45845</v>
      </c>
      <c r="F9" s="81">
        <v>45859</v>
      </c>
      <c r="G9" s="139" t="s">
        <v>554</v>
      </c>
      <c r="H9" s="143">
        <v>36.159756000000009</v>
      </c>
      <c r="I9" s="82">
        <f t="shared" si="1"/>
        <v>3.8112382824000011</v>
      </c>
      <c r="J9" s="79" t="s">
        <v>609</v>
      </c>
      <c r="K9" s="83" t="s">
        <v>108</v>
      </c>
      <c r="L9" s="84"/>
    </row>
    <row r="10" spans="1:12" s="85" customFormat="1" ht="15.5" x14ac:dyDescent="0.35">
      <c r="A10" s="79">
        <f t="shared" si="0"/>
        <v>6</v>
      </c>
      <c r="B10" s="79"/>
      <c r="C10" s="86" t="s">
        <v>119</v>
      </c>
      <c r="D10" s="79" t="s">
        <v>82</v>
      </c>
      <c r="E10" s="81">
        <v>45922</v>
      </c>
      <c r="F10" s="81">
        <v>45938</v>
      </c>
      <c r="G10" s="139" t="s">
        <v>554</v>
      </c>
      <c r="H10" s="143">
        <v>59.500628000000006</v>
      </c>
      <c r="I10" s="82">
        <f t="shared" si="1"/>
        <v>6.2713661912000003</v>
      </c>
      <c r="J10" s="79" t="s">
        <v>609</v>
      </c>
      <c r="K10" s="83" t="s">
        <v>108</v>
      </c>
      <c r="L10" s="84"/>
    </row>
    <row r="11" spans="1:12" s="85" customFormat="1" ht="15.5" x14ac:dyDescent="0.35">
      <c r="A11" s="79">
        <f t="shared" si="0"/>
        <v>7</v>
      </c>
      <c r="B11" s="79"/>
      <c r="C11" s="86" t="s">
        <v>504</v>
      </c>
      <c r="D11" s="79" t="s">
        <v>4</v>
      </c>
      <c r="E11" s="81">
        <v>45824</v>
      </c>
      <c r="F11" s="81">
        <v>45828</v>
      </c>
      <c r="G11" s="139" t="s">
        <v>555</v>
      </c>
      <c r="H11" s="143">
        <v>34.789810000000003</v>
      </c>
      <c r="I11" s="82">
        <f t="shared" si="1"/>
        <v>3.6668459740000001</v>
      </c>
      <c r="J11" s="79" t="s">
        <v>609</v>
      </c>
      <c r="K11" s="83" t="s">
        <v>108</v>
      </c>
      <c r="L11" s="84"/>
    </row>
    <row r="12" spans="1:12" s="89" customFormat="1" ht="15.5" x14ac:dyDescent="0.35">
      <c r="A12" s="79">
        <f t="shared" si="0"/>
        <v>8</v>
      </c>
      <c r="B12" s="79"/>
      <c r="C12" s="86" t="s">
        <v>505</v>
      </c>
      <c r="D12" s="87" t="s">
        <v>3</v>
      </c>
      <c r="E12" s="81">
        <v>45819</v>
      </c>
      <c r="F12" s="81">
        <v>45823</v>
      </c>
      <c r="G12" s="139" t="s">
        <v>555</v>
      </c>
      <c r="H12" s="143">
        <v>36.159756000000009</v>
      </c>
      <c r="I12" s="82">
        <f t="shared" si="1"/>
        <v>3.8112382824000011</v>
      </c>
      <c r="J12" s="79" t="s">
        <v>609</v>
      </c>
      <c r="K12" s="83" t="s">
        <v>108</v>
      </c>
      <c r="L12" s="88"/>
    </row>
    <row r="13" spans="1:12" s="85" customFormat="1" ht="15.5" x14ac:dyDescent="0.35">
      <c r="A13" s="79">
        <f t="shared" si="0"/>
        <v>9</v>
      </c>
      <c r="B13" s="79"/>
      <c r="C13" s="86" t="s">
        <v>506</v>
      </c>
      <c r="D13" s="87" t="s">
        <v>3</v>
      </c>
      <c r="E13" s="81">
        <v>45804</v>
      </c>
      <c r="F13" s="81">
        <v>45811</v>
      </c>
      <c r="G13" s="139" t="s">
        <v>555</v>
      </c>
      <c r="H13" s="143">
        <v>36.159756000000009</v>
      </c>
      <c r="I13" s="82">
        <f t="shared" si="1"/>
        <v>3.8112382824000011</v>
      </c>
      <c r="J13" s="79" t="s">
        <v>609</v>
      </c>
      <c r="K13" s="83" t="s">
        <v>108</v>
      </c>
      <c r="L13" s="84"/>
    </row>
    <row r="14" spans="1:12" s="85" customFormat="1" ht="15.5" x14ac:dyDescent="0.35">
      <c r="A14" s="79">
        <f t="shared" si="0"/>
        <v>10</v>
      </c>
      <c r="B14" s="79"/>
      <c r="C14" s="86" t="s">
        <v>507</v>
      </c>
      <c r="D14" s="87" t="s">
        <v>47</v>
      </c>
      <c r="E14" s="81">
        <v>45794</v>
      </c>
      <c r="F14" s="81">
        <v>45803</v>
      </c>
      <c r="G14" s="139" t="s">
        <v>555</v>
      </c>
      <c r="H14" s="143">
        <v>43.804424000000004</v>
      </c>
      <c r="I14" s="82">
        <f t="shared" si="1"/>
        <v>4.6169862896000007</v>
      </c>
      <c r="J14" s="79" t="s">
        <v>614</v>
      </c>
      <c r="K14" s="83" t="s">
        <v>108</v>
      </c>
      <c r="L14" s="84"/>
    </row>
    <row r="15" spans="1:12" s="85" customFormat="1" ht="15.5" x14ac:dyDescent="0.35">
      <c r="A15" s="79">
        <f t="shared" si="0"/>
        <v>11</v>
      </c>
      <c r="B15" s="79"/>
      <c r="C15" s="86" t="s">
        <v>508</v>
      </c>
      <c r="D15" s="87" t="s">
        <v>47</v>
      </c>
      <c r="E15" s="81">
        <v>45812</v>
      </c>
      <c r="F15" s="81">
        <v>45818</v>
      </c>
      <c r="G15" s="139" t="s">
        <v>555</v>
      </c>
      <c r="H15" s="143">
        <v>43.804424000000004</v>
      </c>
      <c r="I15" s="82">
        <f t="shared" si="1"/>
        <v>4.6169862896000007</v>
      </c>
      <c r="J15" s="79" t="s">
        <v>609</v>
      </c>
      <c r="K15" s="83" t="s">
        <v>108</v>
      </c>
      <c r="L15" s="84"/>
    </row>
    <row r="16" spans="1:12" s="85" customFormat="1" ht="15.5" x14ac:dyDescent="0.35">
      <c r="A16" s="79">
        <f t="shared" si="0"/>
        <v>12</v>
      </c>
      <c r="B16" s="79"/>
      <c r="C16" s="86" t="s">
        <v>509</v>
      </c>
      <c r="D16" s="87" t="s">
        <v>3</v>
      </c>
      <c r="E16" s="81">
        <v>45897</v>
      </c>
      <c r="F16" s="81">
        <v>45925</v>
      </c>
      <c r="G16" s="140" t="s">
        <v>556</v>
      </c>
      <c r="H16" s="143">
        <v>36.159756000000009</v>
      </c>
      <c r="I16" s="82">
        <f t="shared" si="1"/>
        <v>3.8112382824000011</v>
      </c>
      <c r="J16" s="79" t="s">
        <v>609</v>
      </c>
      <c r="K16" s="83" t="s">
        <v>108</v>
      </c>
      <c r="L16" s="84"/>
    </row>
    <row r="17" spans="1:12" s="85" customFormat="1" ht="15.5" x14ac:dyDescent="0.35">
      <c r="A17" s="79">
        <f t="shared" si="0"/>
        <v>13</v>
      </c>
      <c r="B17" s="79"/>
      <c r="C17" s="86" t="s">
        <v>510</v>
      </c>
      <c r="D17" s="87" t="s">
        <v>2</v>
      </c>
      <c r="E17" s="81">
        <v>45685</v>
      </c>
      <c r="F17" s="81">
        <v>45689</v>
      </c>
      <c r="G17" s="141" t="s">
        <v>557</v>
      </c>
      <c r="H17" s="143">
        <v>37.931088000000003</v>
      </c>
      <c r="I17" s="82">
        <f t="shared" si="1"/>
        <v>3.9979366752000001</v>
      </c>
      <c r="J17" s="79" t="s">
        <v>614</v>
      </c>
      <c r="K17" s="83" t="s">
        <v>108</v>
      </c>
      <c r="L17" s="84"/>
    </row>
    <row r="18" spans="1:12" s="85" customFormat="1" ht="15.5" x14ac:dyDescent="0.35">
      <c r="A18" s="79">
        <f t="shared" si="0"/>
        <v>14</v>
      </c>
      <c r="B18" s="79"/>
      <c r="C18" s="86" t="s">
        <v>511</v>
      </c>
      <c r="D18" s="87" t="s">
        <v>2</v>
      </c>
      <c r="E18" s="81">
        <v>45690</v>
      </c>
      <c r="F18" s="81">
        <v>45693</v>
      </c>
      <c r="G18" s="141" t="s">
        <v>557</v>
      </c>
      <c r="H18" s="143">
        <v>37.931088000000003</v>
      </c>
      <c r="I18" s="82">
        <f t="shared" si="1"/>
        <v>3.9979366752000001</v>
      </c>
      <c r="J18" s="79" t="s">
        <v>614</v>
      </c>
      <c r="K18" s="83" t="s">
        <v>108</v>
      </c>
      <c r="L18" s="84"/>
    </row>
    <row r="19" spans="1:12" s="85" customFormat="1" ht="15.5" x14ac:dyDescent="0.35">
      <c r="A19" s="79">
        <f t="shared" si="0"/>
        <v>15</v>
      </c>
      <c r="B19" s="79"/>
      <c r="C19" s="86" t="s">
        <v>512</v>
      </c>
      <c r="D19" s="87" t="s">
        <v>3</v>
      </c>
      <c r="E19" s="81">
        <v>45676</v>
      </c>
      <c r="F19" s="81">
        <v>45680</v>
      </c>
      <c r="G19" s="141" t="s">
        <v>557</v>
      </c>
      <c r="H19" s="143">
        <v>36.159756000000009</v>
      </c>
      <c r="I19" s="82">
        <f t="shared" si="1"/>
        <v>3.8112382824000011</v>
      </c>
      <c r="J19" s="79" t="s">
        <v>614</v>
      </c>
      <c r="K19" s="83" t="s">
        <v>108</v>
      </c>
      <c r="L19" s="84"/>
    </row>
    <row r="20" spans="1:12" s="85" customFormat="1" ht="15.5" x14ac:dyDescent="0.35">
      <c r="A20" s="79">
        <f t="shared" si="0"/>
        <v>16</v>
      </c>
      <c r="B20" s="79"/>
      <c r="C20" s="86" t="s">
        <v>513</v>
      </c>
      <c r="D20" s="87" t="s">
        <v>3</v>
      </c>
      <c r="E20" s="81">
        <v>45681</v>
      </c>
      <c r="F20" s="81">
        <v>45684</v>
      </c>
      <c r="G20" s="141" t="s">
        <v>557</v>
      </c>
      <c r="H20" s="143">
        <v>36.159756000000009</v>
      </c>
      <c r="I20" s="82">
        <f t="shared" si="1"/>
        <v>3.8112382824000011</v>
      </c>
      <c r="J20" s="79" t="s">
        <v>614</v>
      </c>
      <c r="K20" s="83" t="s">
        <v>108</v>
      </c>
      <c r="L20" s="84"/>
    </row>
    <row r="21" spans="1:12" s="85" customFormat="1" ht="15.5" x14ac:dyDescent="0.35">
      <c r="A21" s="79">
        <f t="shared" si="0"/>
        <v>17</v>
      </c>
      <c r="B21" s="79"/>
      <c r="C21" s="86" t="s">
        <v>514</v>
      </c>
      <c r="D21" s="87" t="s">
        <v>3</v>
      </c>
      <c r="E21" s="81">
        <v>45777</v>
      </c>
      <c r="F21" s="81">
        <v>45784</v>
      </c>
      <c r="G21" s="141" t="s">
        <v>557</v>
      </c>
      <c r="H21" s="143">
        <v>36.159756000000009</v>
      </c>
      <c r="I21" s="82">
        <f t="shared" si="1"/>
        <v>3.8112382824000011</v>
      </c>
      <c r="J21" s="79" t="s">
        <v>614</v>
      </c>
      <c r="K21" s="83" t="s">
        <v>108</v>
      </c>
      <c r="L21" s="84"/>
    </row>
    <row r="22" spans="1:12" s="85" customFormat="1" ht="15.5" x14ac:dyDescent="0.35">
      <c r="A22" s="79">
        <f t="shared" si="0"/>
        <v>18</v>
      </c>
      <c r="B22" s="79"/>
      <c r="C22" s="86" t="s">
        <v>515</v>
      </c>
      <c r="D22" s="87" t="s">
        <v>2</v>
      </c>
      <c r="E22" s="81">
        <v>45785</v>
      </c>
      <c r="F22" s="81">
        <v>45793</v>
      </c>
      <c r="G22" s="141" t="s">
        <v>557</v>
      </c>
      <c r="H22" s="143">
        <v>37.931088000000003</v>
      </c>
      <c r="I22" s="82">
        <f t="shared" si="1"/>
        <v>3.9979366752000001</v>
      </c>
      <c r="J22" s="79" t="s">
        <v>614</v>
      </c>
      <c r="K22" s="83" t="s">
        <v>108</v>
      </c>
      <c r="L22" s="84"/>
    </row>
    <row r="23" spans="1:12" s="85" customFormat="1" ht="15.5" x14ac:dyDescent="0.35">
      <c r="A23" s="79">
        <f t="shared" si="0"/>
        <v>19</v>
      </c>
      <c r="B23" s="79"/>
      <c r="C23" s="86" t="s">
        <v>516</v>
      </c>
      <c r="D23" s="87" t="s">
        <v>3</v>
      </c>
      <c r="E23" s="81">
        <v>45694</v>
      </c>
      <c r="F23" s="81">
        <v>45698</v>
      </c>
      <c r="G23" s="141" t="s">
        <v>557</v>
      </c>
      <c r="H23" s="143">
        <v>36.159756000000009</v>
      </c>
      <c r="I23" s="82">
        <f t="shared" si="1"/>
        <v>3.8112382824000011</v>
      </c>
      <c r="J23" s="79" t="s">
        <v>614</v>
      </c>
      <c r="K23" s="83" t="s">
        <v>108</v>
      </c>
      <c r="L23" s="84"/>
    </row>
    <row r="24" spans="1:12" s="85" customFormat="1" ht="15.5" x14ac:dyDescent="0.35">
      <c r="A24" s="79">
        <f t="shared" si="0"/>
        <v>20</v>
      </c>
      <c r="B24" s="79"/>
      <c r="C24" s="86" t="s">
        <v>517</v>
      </c>
      <c r="D24" s="87" t="s">
        <v>2</v>
      </c>
      <c r="E24" s="81">
        <v>45699</v>
      </c>
      <c r="F24" s="81">
        <v>45703</v>
      </c>
      <c r="G24" s="141" t="s">
        <v>557</v>
      </c>
      <c r="H24" s="143">
        <v>37.931088000000003</v>
      </c>
      <c r="I24" s="82">
        <f t="shared" si="1"/>
        <v>3.9979366752000001</v>
      </c>
      <c r="J24" s="79" t="s">
        <v>614</v>
      </c>
      <c r="K24" s="83" t="s">
        <v>108</v>
      </c>
      <c r="L24" s="84"/>
    </row>
    <row r="25" spans="1:12" s="85" customFormat="1" ht="15.5" x14ac:dyDescent="0.35">
      <c r="A25" s="79">
        <f t="shared" si="0"/>
        <v>21</v>
      </c>
      <c r="B25" s="79"/>
      <c r="C25" s="86" t="s">
        <v>152</v>
      </c>
      <c r="D25" s="87" t="s">
        <v>2</v>
      </c>
      <c r="E25" s="81">
        <v>45704</v>
      </c>
      <c r="F25" s="81">
        <v>45707</v>
      </c>
      <c r="G25" s="141" t="s">
        <v>557</v>
      </c>
      <c r="H25" s="143">
        <v>37.931088000000003</v>
      </c>
      <c r="I25" s="82">
        <f t="shared" si="1"/>
        <v>3.9979366752000001</v>
      </c>
      <c r="J25" s="79" t="s">
        <v>614</v>
      </c>
      <c r="K25" s="83" t="s">
        <v>108</v>
      </c>
      <c r="L25" s="84"/>
    </row>
    <row r="26" spans="1:12" s="85" customFormat="1" ht="15.5" x14ac:dyDescent="0.35">
      <c r="A26" s="79">
        <f t="shared" si="0"/>
        <v>22</v>
      </c>
      <c r="B26" s="79"/>
      <c r="C26" s="86" t="s">
        <v>153</v>
      </c>
      <c r="D26" s="87" t="s">
        <v>3</v>
      </c>
      <c r="E26" s="81">
        <v>45708</v>
      </c>
      <c r="F26" s="81">
        <v>45711</v>
      </c>
      <c r="G26" s="141" t="s">
        <v>557</v>
      </c>
      <c r="H26" s="143">
        <v>36.159756000000009</v>
      </c>
      <c r="I26" s="82">
        <f t="shared" si="1"/>
        <v>3.8112382824000011</v>
      </c>
      <c r="J26" s="79" t="s">
        <v>614</v>
      </c>
      <c r="K26" s="83" t="s">
        <v>108</v>
      </c>
      <c r="L26" s="84"/>
    </row>
    <row r="27" spans="1:12" s="85" customFormat="1" ht="15.5" x14ac:dyDescent="0.35">
      <c r="A27" s="79">
        <f t="shared" si="0"/>
        <v>23</v>
      </c>
      <c r="B27" s="79"/>
      <c r="C27" s="86" t="s">
        <v>154</v>
      </c>
      <c r="D27" s="87" t="s">
        <v>2</v>
      </c>
      <c r="E27" s="81">
        <v>45717</v>
      </c>
      <c r="F27" s="81">
        <v>45720</v>
      </c>
      <c r="G27" s="141" t="s">
        <v>557</v>
      </c>
      <c r="H27" s="143">
        <v>37.931088000000003</v>
      </c>
      <c r="I27" s="82">
        <f t="shared" si="1"/>
        <v>3.9979366752000001</v>
      </c>
      <c r="J27" s="79" t="s">
        <v>614</v>
      </c>
      <c r="K27" s="83" t="s">
        <v>108</v>
      </c>
      <c r="L27" s="84"/>
    </row>
    <row r="28" spans="1:12" s="85" customFormat="1" ht="15.5" x14ac:dyDescent="0.35">
      <c r="A28" s="79">
        <f t="shared" si="0"/>
        <v>24</v>
      </c>
      <c r="B28" s="79"/>
      <c r="C28" s="86" t="s">
        <v>155</v>
      </c>
      <c r="D28" s="87" t="s">
        <v>4</v>
      </c>
      <c r="E28" s="81">
        <v>45721</v>
      </c>
      <c r="F28" s="81">
        <v>45724</v>
      </c>
      <c r="G28" s="141" t="s">
        <v>557</v>
      </c>
      <c r="H28" s="143">
        <v>34.789810000000003</v>
      </c>
      <c r="I28" s="82">
        <f t="shared" si="1"/>
        <v>3.6668459740000001</v>
      </c>
      <c r="J28" s="79" t="s">
        <v>614</v>
      </c>
      <c r="K28" s="83" t="s">
        <v>108</v>
      </c>
      <c r="L28" s="84"/>
    </row>
    <row r="29" spans="1:12" s="85" customFormat="1" x14ac:dyDescent="0.35">
      <c r="A29" s="79">
        <f t="shared" si="0"/>
        <v>25</v>
      </c>
      <c r="B29" s="79"/>
      <c r="C29" s="90" t="s">
        <v>156</v>
      </c>
      <c r="D29" s="87" t="s">
        <v>2</v>
      </c>
      <c r="E29" s="81">
        <v>45712</v>
      </c>
      <c r="F29" s="81">
        <v>45716</v>
      </c>
      <c r="G29" s="141" t="s">
        <v>557</v>
      </c>
      <c r="H29" s="143">
        <v>37.931088000000003</v>
      </c>
      <c r="I29" s="82">
        <f t="shared" si="1"/>
        <v>3.9979366752000001</v>
      </c>
      <c r="J29" s="79" t="s">
        <v>614</v>
      </c>
      <c r="K29" s="83" t="s">
        <v>108</v>
      </c>
      <c r="L29" s="91"/>
    </row>
    <row r="30" spans="1:12" s="85" customFormat="1" ht="15.5" x14ac:dyDescent="0.35">
      <c r="A30" s="79">
        <f t="shared" si="0"/>
        <v>26</v>
      </c>
      <c r="B30" s="79"/>
      <c r="C30" s="86" t="s">
        <v>157</v>
      </c>
      <c r="D30" s="87" t="s">
        <v>47</v>
      </c>
      <c r="E30" s="81">
        <v>45771</v>
      </c>
      <c r="F30" s="81">
        <v>45776</v>
      </c>
      <c r="G30" s="141" t="s">
        <v>557</v>
      </c>
      <c r="H30" s="143">
        <v>43.804424000000004</v>
      </c>
      <c r="I30" s="82">
        <f t="shared" si="1"/>
        <v>4.6169862896000007</v>
      </c>
      <c r="J30" s="79" t="s">
        <v>614</v>
      </c>
      <c r="K30" s="83" t="s">
        <v>108</v>
      </c>
      <c r="L30" s="84"/>
    </row>
    <row r="31" spans="1:12" s="85" customFormat="1" x14ac:dyDescent="0.35">
      <c r="A31" s="79">
        <f t="shared" si="0"/>
        <v>27</v>
      </c>
      <c r="B31" s="79"/>
      <c r="C31" s="90" t="s">
        <v>518</v>
      </c>
      <c r="D31" s="87" t="s">
        <v>47</v>
      </c>
      <c r="E31" s="81">
        <v>45739</v>
      </c>
      <c r="F31" s="81">
        <v>45743</v>
      </c>
      <c r="G31" s="141" t="s">
        <v>557</v>
      </c>
      <c r="H31" s="143">
        <v>43.804424000000004</v>
      </c>
      <c r="I31" s="82">
        <f t="shared" si="1"/>
        <v>4.6169862896000007</v>
      </c>
      <c r="J31" s="79" t="s">
        <v>614</v>
      </c>
      <c r="K31" s="83" t="s">
        <v>108</v>
      </c>
      <c r="L31" s="84"/>
    </row>
    <row r="32" spans="1:12" s="85" customFormat="1" ht="15.5" x14ac:dyDescent="0.35">
      <c r="A32" s="79">
        <f t="shared" si="0"/>
        <v>28</v>
      </c>
      <c r="B32" s="79"/>
      <c r="C32" s="86" t="s">
        <v>519</v>
      </c>
      <c r="D32" s="87" t="s">
        <v>4</v>
      </c>
      <c r="E32" s="81">
        <v>45735</v>
      </c>
      <c r="F32" s="81">
        <v>45738</v>
      </c>
      <c r="G32" s="141" t="s">
        <v>557</v>
      </c>
      <c r="H32" s="143">
        <v>34.789810000000003</v>
      </c>
      <c r="I32" s="82">
        <f t="shared" si="1"/>
        <v>3.6668459740000001</v>
      </c>
      <c r="J32" s="79" t="s">
        <v>614</v>
      </c>
      <c r="K32" s="83" t="s">
        <v>108</v>
      </c>
      <c r="L32" s="84"/>
    </row>
    <row r="33" spans="1:12" s="85" customFormat="1" x14ac:dyDescent="0.35">
      <c r="A33" s="79">
        <f t="shared" si="0"/>
        <v>29</v>
      </c>
      <c r="B33" s="79"/>
      <c r="C33" s="90" t="s">
        <v>520</v>
      </c>
      <c r="D33" s="87" t="s">
        <v>99</v>
      </c>
      <c r="E33" s="81">
        <v>45921</v>
      </c>
      <c r="F33" s="81">
        <v>45929</v>
      </c>
      <c r="G33" s="141" t="s">
        <v>558</v>
      </c>
      <c r="H33" s="143">
        <v>65.022579000000007</v>
      </c>
      <c r="I33" s="82">
        <f t="shared" si="1"/>
        <v>6.8533798266000012</v>
      </c>
      <c r="J33" s="79" t="s">
        <v>614</v>
      </c>
      <c r="K33" s="83" t="s">
        <v>108</v>
      </c>
      <c r="L33" s="84"/>
    </row>
    <row r="34" spans="1:12" s="85" customFormat="1" x14ac:dyDescent="0.35">
      <c r="A34" s="79">
        <f t="shared" si="0"/>
        <v>30</v>
      </c>
      <c r="B34" s="79"/>
      <c r="C34" s="90" t="s">
        <v>521</v>
      </c>
      <c r="D34" s="87" t="s">
        <v>3</v>
      </c>
      <c r="E34" s="81">
        <v>45725</v>
      </c>
      <c r="F34" s="81">
        <v>45729</v>
      </c>
      <c r="G34" s="141" t="s">
        <v>557</v>
      </c>
      <c r="H34" s="143">
        <v>36.159756000000009</v>
      </c>
      <c r="I34" s="82">
        <f t="shared" si="1"/>
        <v>3.8112382824000011</v>
      </c>
      <c r="J34" s="79" t="s">
        <v>614</v>
      </c>
      <c r="K34" s="83" t="s">
        <v>108</v>
      </c>
      <c r="L34" s="84"/>
    </row>
    <row r="35" spans="1:12" s="85" customFormat="1" x14ac:dyDescent="0.35">
      <c r="A35" s="79">
        <f t="shared" si="0"/>
        <v>31</v>
      </c>
      <c r="B35" s="79"/>
      <c r="C35" s="92" t="s">
        <v>522</v>
      </c>
      <c r="D35" s="87" t="s">
        <v>4</v>
      </c>
      <c r="E35" s="81">
        <v>45729</v>
      </c>
      <c r="F35" s="81">
        <v>45734</v>
      </c>
      <c r="G35" s="141" t="s">
        <v>557</v>
      </c>
      <c r="H35" s="143">
        <v>34.789810000000003</v>
      </c>
      <c r="I35" s="82">
        <f t="shared" si="1"/>
        <v>3.6668459740000001</v>
      </c>
      <c r="J35" s="79" t="s">
        <v>614</v>
      </c>
      <c r="K35" s="83" t="s">
        <v>108</v>
      </c>
      <c r="L35" s="91"/>
    </row>
    <row r="36" spans="1:12" s="85" customFormat="1" x14ac:dyDescent="0.35">
      <c r="A36" s="79">
        <f t="shared" si="0"/>
        <v>32</v>
      </c>
      <c r="B36" s="79"/>
      <c r="C36" s="92" t="s">
        <v>13</v>
      </c>
      <c r="D36" s="87" t="s">
        <v>82</v>
      </c>
      <c r="E36" s="81">
        <v>45894</v>
      </c>
      <c r="F36" s="81">
        <v>45908</v>
      </c>
      <c r="G36" s="141" t="s">
        <v>558</v>
      </c>
      <c r="H36" s="143">
        <v>59.500628000000006</v>
      </c>
      <c r="I36" s="82">
        <f t="shared" si="1"/>
        <v>6.2713661912000003</v>
      </c>
      <c r="J36" s="79" t="s">
        <v>614</v>
      </c>
      <c r="K36" s="83" t="s">
        <v>108</v>
      </c>
      <c r="L36" s="84"/>
    </row>
    <row r="37" spans="1:12" s="85" customFormat="1" x14ac:dyDescent="0.35">
      <c r="A37" s="79">
        <f t="shared" si="0"/>
        <v>33</v>
      </c>
      <c r="B37" s="79"/>
      <c r="C37" s="92" t="s">
        <v>523</v>
      </c>
      <c r="D37" s="87" t="s">
        <v>2</v>
      </c>
      <c r="E37" s="81">
        <v>45744</v>
      </c>
      <c r="F37" s="81">
        <v>45747</v>
      </c>
      <c r="G37" s="141" t="s">
        <v>557</v>
      </c>
      <c r="H37" s="143">
        <v>37.931088000000003</v>
      </c>
      <c r="I37" s="82">
        <f t="shared" si="1"/>
        <v>3.9979366752000001</v>
      </c>
      <c r="J37" s="79" t="s">
        <v>614</v>
      </c>
      <c r="K37" s="83" t="s">
        <v>108</v>
      </c>
      <c r="L37" s="84"/>
    </row>
    <row r="38" spans="1:12" s="85" customFormat="1" x14ac:dyDescent="0.35">
      <c r="A38" s="79">
        <f t="shared" si="0"/>
        <v>34</v>
      </c>
      <c r="B38" s="79"/>
      <c r="C38" s="92" t="s">
        <v>524</v>
      </c>
      <c r="D38" s="87" t="s">
        <v>3</v>
      </c>
      <c r="E38" s="81">
        <v>45748</v>
      </c>
      <c r="F38" s="81">
        <v>45752</v>
      </c>
      <c r="G38" s="141" t="s">
        <v>557</v>
      </c>
      <c r="H38" s="143">
        <v>36.159756000000009</v>
      </c>
      <c r="I38" s="82">
        <f t="shared" si="1"/>
        <v>3.8112382824000011</v>
      </c>
      <c r="J38" s="79" t="s">
        <v>614</v>
      </c>
      <c r="K38" s="83" t="s">
        <v>108</v>
      </c>
      <c r="L38" s="84"/>
    </row>
    <row r="39" spans="1:12" s="85" customFormat="1" x14ac:dyDescent="0.35">
      <c r="A39" s="79">
        <f t="shared" si="0"/>
        <v>35</v>
      </c>
      <c r="B39" s="79"/>
      <c r="C39" s="92" t="s">
        <v>525</v>
      </c>
      <c r="D39" s="87" t="s">
        <v>2</v>
      </c>
      <c r="E39" s="81">
        <v>45753</v>
      </c>
      <c r="F39" s="81">
        <v>45759</v>
      </c>
      <c r="G39" s="141" t="s">
        <v>557</v>
      </c>
      <c r="H39" s="143">
        <v>37.931088000000003</v>
      </c>
      <c r="I39" s="82">
        <f t="shared" si="1"/>
        <v>3.9979366752000001</v>
      </c>
      <c r="J39" s="79" t="s">
        <v>614</v>
      </c>
      <c r="K39" s="83" t="s">
        <v>108</v>
      </c>
      <c r="L39" s="84"/>
    </row>
    <row r="40" spans="1:12" s="85" customFormat="1" x14ac:dyDescent="0.35">
      <c r="A40" s="79">
        <f t="shared" si="0"/>
        <v>36</v>
      </c>
      <c r="B40" s="79"/>
      <c r="C40" s="92" t="s">
        <v>526</v>
      </c>
      <c r="D40" s="87" t="s">
        <v>17</v>
      </c>
      <c r="E40" s="81">
        <v>45760</v>
      </c>
      <c r="F40" s="81">
        <v>45765</v>
      </c>
      <c r="G40" s="141" t="s">
        <v>557</v>
      </c>
      <c r="H40" s="143">
        <v>45.697022000000011</v>
      </c>
      <c r="I40" s="82">
        <f t="shared" si="1"/>
        <v>4.8164661188000011</v>
      </c>
      <c r="J40" s="79" t="s">
        <v>614</v>
      </c>
      <c r="K40" s="83" t="s">
        <v>108</v>
      </c>
      <c r="L40" s="84"/>
    </row>
    <row r="41" spans="1:12" s="85" customFormat="1" ht="15.5" x14ac:dyDescent="0.35">
      <c r="A41" s="79">
        <f t="shared" si="0"/>
        <v>37</v>
      </c>
      <c r="B41" s="79"/>
      <c r="C41" s="86" t="s">
        <v>527</v>
      </c>
      <c r="D41" s="87" t="s">
        <v>2</v>
      </c>
      <c r="E41" s="81">
        <v>45766</v>
      </c>
      <c r="F41" s="81">
        <v>45770</v>
      </c>
      <c r="G41" s="141" t="s">
        <v>557</v>
      </c>
      <c r="H41" s="143">
        <v>37.931088000000003</v>
      </c>
      <c r="I41" s="82">
        <f t="shared" si="1"/>
        <v>3.9979366752000001</v>
      </c>
      <c r="J41" s="79" t="s">
        <v>614</v>
      </c>
      <c r="K41" s="83" t="s">
        <v>108</v>
      </c>
      <c r="L41" s="84"/>
    </row>
    <row r="42" spans="1:12" s="85" customFormat="1" x14ac:dyDescent="0.35">
      <c r="A42" s="79">
        <f t="shared" si="0"/>
        <v>38</v>
      </c>
      <c r="B42" s="79"/>
      <c r="C42" s="92" t="s">
        <v>528</v>
      </c>
      <c r="D42" s="87" t="s">
        <v>17</v>
      </c>
      <c r="E42" s="81">
        <v>45768</v>
      </c>
      <c r="F42" s="81">
        <v>45775</v>
      </c>
      <c r="G42" s="141" t="s">
        <v>559</v>
      </c>
      <c r="H42" s="143">
        <v>45.697022000000011</v>
      </c>
      <c r="I42" s="82">
        <f t="shared" si="1"/>
        <v>4.8164661188000011</v>
      </c>
      <c r="J42" s="79" t="s">
        <v>614</v>
      </c>
      <c r="K42" s="83" t="s">
        <v>108</v>
      </c>
      <c r="L42" s="84"/>
    </row>
    <row r="43" spans="1:12" s="85" customFormat="1" x14ac:dyDescent="0.35">
      <c r="A43" s="79">
        <f t="shared" si="0"/>
        <v>39</v>
      </c>
      <c r="B43" s="79"/>
      <c r="C43" s="92" t="s">
        <v>529</v>
      </c>
      <c r="D43" s="87" t="s">
        <v>3</v>
      </c>
      <c r="E43" s="81">
        <v>45756</v>
      </c>
      <c r="F43" s="81">
        <v>45762</v>
      </c>
      <c r="G43" s="141" t="s">
        <v>559</v>
      </c>
      <c r="H43" s="143">
        <v>36.159756000000009</v>
      </c>
      <c r="I43" s="82">
        <f t="shared" si="1"/>
        <v>3.8112382824000011</v>
      </c>
      <c r="J43" s="79" t="s">
        <v>614</v>
      </c>
      <c r="K43" s="83" t="s">
        <v>108</v>
      </c>
      <c r="L43" s="84"/>
    </row>
    <row r="44" spans="1:12" s="89" customFormat="1" x14ac:dyDescent="0.35">
      <c r="A44" s="87">
        <f t="shared" si="0"/>
        <v>40</v>
      </c>
      <c r="B44" s="79"/>
      <c r="C44" s="93" t="s">
        <v>530</v>
      </c>
      <c r="D44" s="87" t="s">
        <v>55</v>
      </c>
      <c r="E44" s="81">
        <v>45763</v>
      </c>
      <c r="F44" s="81">
        <v>45767</v>
      </c>
      <c r="G44" s="141" t="s">
        <v>559</v>
      </c>
      <c r="H44" s="143">
        <v>35.601762000000001</v>
      </c>
      <c r="I44" s="82">
        <f t="shared" si="1"/>
        <v>3.7524257147999998</v>
      </c>
      <c r="J44" s="79" t="s">
        <v>614</v>
      </c>
      <c r="K44" s="83" t="s">
        <v>108</v>
      </c>
      <c r="L44" s="88"/>
    </row>
    <row r="45" spans="1:12" s="89" customFormat="1" x14ac:dyDescent="0.35">
      <c r="A45" s="87">
        <f t="shared" si="0"/>
        <v>41</v>
      </c>
      <c r="B45" s="87"/>
      <c r="C45" s="93" t="s">
        <v>19</v>
      </c>
      <c r="D45" s="87" t="s">
        <v>93</v>
      </c>
      <c r="E45" s="81">
        <v>45909</v>
      </c>
      <c r="F45" s="81">
        <v>45921</v>
      </c>
      <c r="G45" s="141" t="s">
        <v>558</v>
      </c>
      <c r="H45" s="143">
        <v>66.775700999999998</v>
      </c>
      <c r="I45" s="82">
        <f t="shared" si="1"/>
        <v>7.0381588853999997</v>
      </c>
      <c r="J45" s="79" t="s">
        <v>614</v>
      </c>
      <c r="K45" s="83" t="s">
        <v>108</v>
      </c>
      <c r="L45" s="88"/>
    </row>
    <row r="46" spans="1:12" s="85" customFormat="1" ht="15.5" x14ac:dyDescent="0.35">
      <c r="A46" s="79">
        <f t="shared" si="0"/>
        <v>42</v>
      </c>
      <c r="B46" s="79"/>
      <c r="C46" s="86" t="s">
        <v>88</v>
      </c>
      <c r="D46" s="87" t="s">
        <v>3</v>
      </c>
      <c r="E46" s="81">
        <v>45752</v>
      </c>
      <c r="F46" s="81">
        <v>45755</v>
      </c>
      <c r="G46" s="141" t="s">
        <v>559</v>
      </c>
      <c r="H46" s="143">
        <v>36.159756000000009</v>
      </c>
      <c r="I46" s="82">
        <f t="shared" si="1"/>
        <v>3.8112382824000011</v>
      </c>
      <c r="J46" s="79" t="s">
        <v>614</v>
      </c>
      <c r="K46" s="83" t="s">
        <v>108</v>
      </c>
      <c r="L46" s="84"/>
    </row>
    <row r="47" spans="1:12" s="85" customFormat="1" ht="15.5" x14ac:dyDescent="0.35">
      <c r="A47" s="79">
        <f t="shared" si="0"/>
        <v>43</v>
      </c>
      <c r="B47" s="79"/>
      <c r="C47" s="86" t="s">
        <v>107</v>
      </c>
      <c r="D47" s="87" t="s">
        <v>47</v>
      </c>
      <c r="E47" s="81">
        <v>45738</v>
      </c>
      <c r="F47" s="81">
        <v>45742</v>
      </c>
      <c r="G47" s="141" t="s">
        <v>559</v>
      </c>
      <c r="H47" s="143">
        <v>43.804424000000004</v>
      </c>
      <c r="I47" s="82">
        <f t="shared" si="1"/>
        <v>4.6169862896000007</v>
      </c>
      <c r="J47" s="79" t="s">
        <v>614</v>
      </c>
      <c r="K47" s="83" t="s">
        <v>108</v>
      </c>
      <c r="L47" s="84"/>
    </row>
    <row r="48" spans="1:12" s="89" customFormat="1" x14ac:dyDescent="0.35">
      <c r="A48" s="87">
        <f t="shared" si="0"/>
        <v>44</v>
      </c>
      <c r="B48" s="79"/>
      <c r="C48" s="93" t="s">
        <v>106</v>
      </c>
      <c r="D48" s="87" t="s">
        <v>55</v>
      </c>
      <c r="E48" s="81">
        <v>45747</v>
      </c>
      <c r="F48" s="81">
        <v>45751</v>
      </c>
      <c r="G48" s="141" t="s">
        <v>559</v>
      </c>
      <c r="H48" s="143">
        <v>35.601762000000001</v>
      </c>
      <c r="I48" s="82">
        <f t="shared" si="1"/>
        <v>3.7524257147999998</v>
      </c>
      <c r="J48" s="79" t="s">
        <v>614</v>
      </c>
      <c r="K48" s="83" t="s">
        <v>108</v>
      </c>
      <c r="L48" s="88"/>
    </row>
    <row r="49" spans="1:12" s="89" customFormat="1" x14ac:dyDescent="0.35">
      <c r="A49" s="87">
        <f t="shared" si="0"/>
        <v>45</v>
      </c>
      <c r="B49" s="79"/>
      <c r="C49" s="93" t="s">
        <v>105</v>
      </c>
      <c r="D49" s="87" t="s">
        <v>2</v>
      </c>
      <c r="E49" s="81">
        <v>45743</v>
      </c>
      <c r="F49" s="81">
        <v>45746</v>
      </c>
      <c r="G49" s="141" t="s">
        <v>559</v>
      </c>
      <c r="H49" s="143">
        <v>37.931088000000003</v>
      </c>
      <c r="I49" s="82">
        <f t="shared" si="1"/>
        <v>3.9979366752000001</v>
      </c>
      <c r="J49" s="79" t="s">
        <v>614</v>
      </c>
      <c r="K49" s="83" t="s">
        <v>108</v>
      </c>
      <c r="L49" s="88"/>
    </row>
    <row r="50" spans="1:12" s="89" customFormat="1" x14ac:dyDescent="0.35">
      <c r="A50" s="87">
        <f t="shared" si="0"/>
        <v>46</v>
      </c>
      <c r="B50" s="79"/>
      <c r="C50" s="93" t="s">
        <v>104</v>
      </c>
      <c r="D50" s="87" t="s">
        <v>2</v>
      </c>
      <c r="E50" s="81">
        <v>45717</v>
      </c>
      <c r="F50" s="81">
        <v>45720</v>
      </c>
      <c r="G50" s="141" t="s">
        <v>559</v>
      </c>
      <c r="H50" s="143">
        <v>37.931088000000003</v>
      </c>
      <c r="I50" s="82">
        <f t="shared" si="1"/>
        <v>3.9979366752000001</v>
      </c>
      <c r="J50" s="79" t="s">
        <v>614</v>
      </c>
      <c r="K50" s="83" t="s">
        <v>108</v>
      </c>
      <c r="L50" s="88"/>
    </row>
    <row r="51" spans="1:12" s="85" customFormat="1" ht="15.5" x14ac:dyDescent="0.35">
      <c r="A51" s="79">
        <f t="shared" si="0"/>
        <v>47</v>
      </c>
      <c r="B51" s="79"/>
      <c r="C51" s="86" t="s">
        <v>163</v>
      </c>
      <c r="D51" s="87" t="s">
        <v>55</v>
      </c>
      <c r="E51" s="81">
        <v>45734</v>
      </c>
      <c r="F51" s="81">
        <v>45737</v>
      </c>
      <c r="G51" s="141" t="s">
        <v>559</v>
      </c>
      <c r="H51" s="143">
        <v>35.601762000000001</v>
      </c>
      <c r="I51" s="82">
        <f t="shared" si="1"/>
        <v>3.7524257147999998</v>
      </c>
      <c r="J51" s="79" t="s">
        <v>614</v>
      </c>
      <c r="K51" s="83" t="s">
        <v>108</v>
      </c>
      <c r="L51" s="84"/>
    </row>
    <row r="52" spans="1:12" s="89" customFormat="1" x14ac:dyDescent="0.35">
      <c r="A52" s="87">
        <f t="shared" si="0"/>
        <v>48</v>
      </c>
      <c r="B52" s="79"/>
      <c r="C52" s="93" t="s">
        <v>531</v>
      </c>
      <c r="D52" s="87" t="s">
        <v>4</v>
      </c>
      <c r="E52" s="81">
        <v>45721</v>
      </c>
      <c r="F52" s="81">
        <v>45723</v>
      </c>
      <c r="G52" s="141" t="s">
        <v>559</v>
      </c>
      <c r="H52" s="143">
        <v>34.789810000000003</v>
      </c>
      <c r="I52" s="82">
        <f t="shared" si="1"/>
        <v>3.6668459740000001</v>
      </c>
      <c r="J52" s="79" t="s">
        <v>614</v>
      </c>
      <c r="K52" s="94" t="s">
        <v>108</v>
      </c>
      <c r="L52" s="88"/>
    </row>
    <row r="53" spans="1:12" s="85" customFormat="1" ht="15.5" x14ac:dyDescent="0.35">
      <c r="A53" s="79">
        <f t="shared" si="0"/>
        <v>49</v>
      </c>
      <c r="B53" s="79"/>
      <c r="C53" s="86" t="s">
        <v>532</v>
      </c>
      <c r="D53" s="87" t="s">
        <v>2</v>
      </c>
      <c r="E53" s="81">
        <v>45794</v>
      </c>
      <c r="F53" s="81">
        <v>45798</v>
      </c>
      <c r="G53" s="141" t="s">
        <v>559</v>
      </c>
      <c r="H53" s="143">
        <v>37.931088000000003</v>
      </c>
      <c r="I53" s="82">
        <f t="shared" si="1"/>
        <v>3.9979366752000001</v>
      </c>
      <c r="J53" s="79" t="s">
        <v>614</v>
      </c>
      <c r="K53" s="83" t="s">
        <v>108</v>
      </c>
      <c r="L53" s="84"/>
    </row>
    <row r="54" spans="1:12" s="85" customFormat="1" ht="15.5" x14ac:dyDescent="0.35">
      <c r="A54" s="79">
        <f t="shared" si="0"/>
        <v>50</v>
      </c>
      <c r="B54" s="79"/>
      <c r="C54" s="86" t="s">
        <v>533</v>
      </c>
      <c r="D54" s="87" t="s">
        <v>3</v>
      </c>
      <c r="E54" s="81">
        <v>45728</v>
      </c>
      <c r="F54" s="81">
        <v>45733</v>
      </c>
      <c r="G54" s="141" t="s">
        <v>559</v>
      </c>
      <c r="H54" s="143">
        <v>36.159756000000009</v>
      </c>
      <c r="I54" s="82">
        <f t="shared" si="1"/>
        <v>3.8112382824000011</v>
      </c>
      <c r="J54" s="79" t="s">
        <v>614</v>
      </c>
      <c r="K54" s="83" t="s">
        <v>108</v>
      </c>
      <c r="L54" s="84"/>
    </row>
    <row r="55" spans="1:12" s="89" customFormat="1" x14ac:dyDescent="0.35">
      <c r="A55" s="87">
        <f t="shared" si="0"/>
        <v>51</v>
      </c>
      <c r="B55" s="87"/>
      <c r="C55" s="93" t="s">
        <v>22</v>
      </c>
      <c r="D55" s="87" t="s">
        <v>101</v>
      </c>
      <c r="E55" s="81">
        <v>45930</v>
      </c>
      <c r="F55" s="81">
        <v>45939</v>
      </c>
      <c r="G55" s="141" t="s">
        <v>558</v>
      </c>
      <c r="H55" s="143">
        <v>69.37596400000001</v>
      </c>
      <c r="I55" s="82">
        <f t="shared" si="1"/>
        <v>7.3122266056000012</v>
      </c>
      <c r="J55" s="79" t="s">
        <v>609</v>
      </c>
      <c r="K55" s="94" t="s">
        <v>108</v>
      </c>
      <c r="L55" s="88"/>
    </row>
    <row r="56" spans="1:12" s="89" customFormat="1" x14ac:dyDescent="0.35">
      <c r="A56" s="87">
        <f t="shared" si="0"/>
        <v>52</v>
      </c>
      <c r="B56" s="79"/>
      <c r="C56" s="93" t="s">
        <v>77</v>
      </c>
      <c r="D56" s="87" t="s">
        <v>3</v>
      </c>
      <c r="E56" s="81">
        <v>45724</v>
      </c>
      <c r="F56" s="81">
        <v>45727</v>
      </c>
      <c r="G56" s="141" t="s">
        <v>559</v>
      </c>
      <c r="H56" s="143">
        <v>36.159756000000009</v>
      </c>
      <c r="I56" s="82">
        <f t="shared" si="1"/>
        <v>3.8112382824000011</v>
      </c>
      <c r="J56" s="79" t="s">
        <v>614</v>
      </c>
      <c r="K56" s="94" t="s">
        <v>108</v>
      </c>
      <c r="L56" s="88"/>
    </row>
    <row r="57" spans="1:12" s="89" customFormat="1" x14ac:dyDescent="0.35">
      <c r="A57" s="87">
        <f t="shared" si="0"/>
        <v>53</v>
      </c>
      <c r="B57" s="87"/>
      <c r="C57" s="93" t="s">
        <v>78</v>
      </c>
      <c r="D57" s="87" t="s">
        <v>2</v>
      </c>
      <c r="E57" s="81">
        <v>45799</v>
      </c>
      <c r="F57" s="81">
        <v>45803</v>
      </c>
      <c r="G57" s="141" t="s">
        <v>559</v>
      </c>
      <c r="H57" s="143">
        <v>37.931088000000003</v>
      </c>
      <c r="I57" s="82">
        <f t="shared" si="1"/>
        <v>3.9979366752000001</v>
      </c>
      <c r="J57" s="79" t="s">
        <v>614</v>
      </c>
      <c r="K57" s="94" t="s">
        <v>108</v>
      </c>
      <c r="L57" s="88"/>
    </row>
    <row r="58" spans="1:12" s="85" customFormat="1" ht="15.5" x14ac:dyDescent="0.35">
      <c r="A58" s="79">
        <f t="shared" si="0"/>
        <v>54</v>
      </c>
      <c r="B58" s="79"/>
      <c r="C58" s="86" t="s">
        <v>80</v>
      </c>
      <c r="D58" s="87" t="s">
        <v>2</v>
      </c>
      <c r="E58" s="81">
        <v>45785</v>
      </c>
      <c r="F58" s="81">
        <v>45793</v>
      </c>
      <c r="G58" s="141" t="s">
        <v>559</v>
      </c>
      <c r="H58" s="143">
        <v>37.931088000000003</v>
      </c>
      <c r="I58" s="82">
        <f t="shared" si="1"/>
        <v>3.9979366752000001</v>
      </c>
      <c r="J58" s="79" t="s">
        <v>614</v>
      </c>
      <c r="K58" s="83" t="s">
        <v>108</v>
      </c>
      <c r="L58" s="84"/>
    </row>
    <row r="59" spans="1:12" s="89" customFormat="1" x14ac:dyDescent="0.35">
      <c r="A59" s="87">
        <f t="shared" si="0"/>
        <v>55</v>
      </c>
      <c r="B59" s="87"/>
      <c r="C59" s="93" t="s">
        <v>166</v>
      </c>
      <c r="D59" s="87" t="s">
        <v>2</v>
      </c>
      <c r="E59" s="81">
        <v>45776</v>
      </c>
      <c r="F59" s="81">
        <v>45784</v>
      </c>
      <c r="G59" s="141" t="s">
        <v>559</v>
      </c>
      <c r="H59" s="143">
        <v>37.931088000000003</v>
      </c>
      <c r="I59" s="82">
        <f t="shared" si="1"/>
        <v>3.9979366752000001</v>
      </c>
      <c r="J59" s="79" t="s">
        <v>614</v>
      </c>
      <c r="K59" s="94" t="s">
        <v>108</v>
      </c>
      <c r="L59" s="88"/>
    </row>
    <row r="60" spans="1:12" s="85" customFormat="1" ht="15.5" x14ac:dyDescent="0.35">
      <c r="A60" s="79">
        <f t="shared" si="0"/>
        <v>56</v>
      </c>
      <c r="B60" s="79"/>
      <c r="C60" s="86" t="s">
        <v>23</v>
      </c>
      <c r="D60" s="87" t="s">
        <v>76</v>
      </c>
      <c r="E60" s="81">
        <v>45948</v>
      </c>
      <c r="F60" s="81">
        <v>45963</v>
      </c>
      <c r="G60" s="140" t="s">
        <v>560</v>
      </c>
      <c r="H60" s="143">
        <v>73.244547999999995</v>
      </c>
      <c r="I60" s="82">
        <f t="shared" si="1"/>
        <v>7.7199753591999993</v>
      </c>
      <c r="J60" s="79" t="s">
        <v>614</v>
      </c>
      <c r="K60" s="83" t="s">
        <v>108</v>
      </c>
      <c r="L60" s="84"/>
    </row>
    <row r="61" spans="1:12" s="85" customFormat="1" ht="15.5" x14ac:dyDescent="0.35">
      <c r="A61" s="79">
        <f t="shared" si="0"/>
        <v>57</v>
      </c>
      <c r="B61" s="79"/>
      <c r="C61" s="86" t="s">
        <v>534</v>
      </c>
      <c r="D61" s="87" t="s">
        <v>2</v>
      </c>
      <c r="E61" s="81">
        <v>45691</v>
      </c>
      <c r="F61" s="81">
        <v>45694</v>
      </c>
      <c r="G61" s="141" t="s">
        <v>559</v>
      </c>
      <c r="H61" s="143">
        <v>37.931088000000003</v>
      </c>
      <c r="I61" s="82">
        <f t="shared" si="1"/>
        <v>3.9979366752000001</v>
      </c>
      <c r="J61" s="79" t="s">
        <v>614</v>
      </c>
      <c r="K61" s="83" t="s">
        <v>108</v>
      </c>
      <c r="L61" s="84"/>
    </row>
    <row r="62" spans="1:12" s="89" customFormat="1" x14ac:dyDescent="0.35">
      <c r="A62" s="87">
        <f t="shared" si="0"/>
        <v>58</v>
      </c>
      <c r="B62" s="79"/>
      <c r="C62" s="93" t="s">
        <v>535</v>
      </c>
      <c r="D62" s="87" t="s">
        <v>55</v>
      </c>
      <c r="E62" s="81">
        <v>45695</v>
      </c>
      <c r="F62" s="81">
        <v>45698</v>
      </c>
      <c r="G62" s="141" t="s">
        <v>559</v>
      </c>
      <c r="H62" s="143">
        <v>35.601762000000001</v>
      </c>
      <c r="I62" s="82">
        <f t="shared" si="1"/>
        <v>3.7524257147999998</v>
      </c>
      <c r="J62" s="79" t="s">
        <v>614</v>
      </c>
      <c r="K62" s="94" t="s">
        <v>108</v>
      </c>
      <c r="L62" s="88"/>
    </row>
    <row r="63" spans="1:12" s="85" customFormat="1" ht="15.5" x14ac:dyDescent="0.35">
      <c r="A63" s="79">
        <f t="shared" si="0"/>
        <v>59</v>
      </c>
      <c r="B63" s="79"/>
      <c r="C63" s="86" t="s">
        <v>536</v>
      </c>
      <c r="D63" s="87" t="s">
        <v>47</v>
      </c>
      <c r="E63" s="81">
        <v>45687</v>
      </c>
      <c r="F63" s="81">
        <v>45690</v>
      </c>
      <c r="G63" s="141" t="s">
        <v>559</v>
      </c>
      <c r="H63" s="143">
        <v>43.804424000000004</v>
      </c>
      <c r="I63" s="82">
        <f t="shared" si="1"/>
        <v>4.6169862896000007</v>
      </c>
      <c r="J63" s="79" t="s">
        <v>614</v>
      </c>
      <c r="K63" s="83" t="s">
        <v>108</v>
      </c>
      <c r="L63" s="84"/>
    </row>
    <row r="64" spans="1:12" s="89" customFormat="1" x14ac:dyDescent="0.35">
      <c r="A64" s="87">
        <f t="shared" si="0"/>
        <v>60</v>
      </c>
      <c r="B64" s="79"/>
      <c r="C64" s="93" t="s">
        <v>537</v>
      </c>
      <c r="D64" s="87" t="s">
        <v>2</v>
      </c>
      <c r="E64" s="81">
        <v>45679</v>
      </c>
      <c r="F64" s="81">
        <v>45682</v>
      </c>
      <c r="G64" s="141" t="s">
        <v>559</v>
      </c>
      <c r="H64" s="143">
        <v>37.931088000000003</v>
      </c>
      <c r="I64" s="82">
        <f t="shared" si="1"/>
        <v>3.9979366752000001</v>
      </c>
      <c r="J64" s="79" t="s">
        <v>614</v>
      </c>
      <c r="K64" s="94" t="s">
        <v>108</v>
      </c>
      <c r="L64" s="88"/>
    </row>
    <row r="65" spans="1:12" s="89" customFormat="1" x14ac:dyDescent="0.35">
      <c r="A65" s="87">
        <f t="shared" si="0"/>
        <v>61</v>
      </c>
      <c r="B65" s="79"/>
      <c r="C65" s="93" t="s">
        <v>538</v>
      </c>
      <c r="D65" s="87" t="s">
        <v>17</v>
      </c>
      <c r="E65" s="81">
        <v>45683</v>
      </c>
      <c r="F65" s="81">
        <v>45686</v>
      </c>
      <c r="G65" s="141" t="s">
        <v>559</v>
      </c>
      <c r="H65" s="143">
        <v>45.697022000000011</v>
      </c>
      <c r="I65" s="82">
        <f t="shared" si="1"/>
        <v>4.8164661188000011</v>
      </c>
      <c r="J65" s="79" t="s">
        <v>614</v>
      </c>
      <c r="K65" s="94" t="s">
        <v>108</v>
      </c>
      <c r="L65" s="88"/>
    </row>
    <row r="66" spans="1:12" s="85" customFormat="1" ht="15.5" x14ac:dyDescent="0.35">
      <c r="A66" s="79">
        <f t="shared" si="0"/>
        <v>62</v>
      </c>
      <c r="B66" s="79"/>
      <c r="C66" s="86" t="s">
        <v>539</v>
      </c>
      <c r="D66" s="87" t="s">
        <v>3</v>
      </c>
      <c r="E66" s="81">
        <v>45895</v>
      </c>
      <c r="F66" s="81">
        <v>45910</v>
      </c>
      <c r="G66" s="140" t="s">
        <v>560</v>
      </c>
      <c r="H66" s="143">
        <v>36.159756000000009</v>
      </c>
      <c r="I66" s="82">
        <f t="shared" si="1"/>
        <v>3.8112382824000011</v>
      </c>
      <c r="J66" s="79" t="s">
        <v>614</v>
      </c>
      <c r="K66" s="83" t="s">
        <v>108</v>
      </c>
      <c r="L66" s="84"/>
    </row>
    <row r="67" spans="1:12" s="85" customFormat="1" ht="15.5" x14ac:dyDescent="0.35">
      <c r="A67" s="79">
        <f t="shared" si="0"/>
        <v>63</v>
      </c>
      <c r="B67" s="79"/>
      <c r="C67" s="86" t="s">
        <v>540</v>
      </c>
      <c r="D67" s="87" t="s">
        <v>47</v>
      </c>
      <c r="E67" s="81">
        <v>45699</v>
      </c>
      <c r="F67" s="81">
        <v>45702</v>
      </c>
      <c r="G67" s="141" t="s">
        <v>559</v>
      </c>
      <c r="H67" s="143">
        <v>43.804424000000004</v>
      </c>
      <c r="I67" s="82">
        <f t="shared" si="1"/>
        <v>4.6169862896000007</v>
      </c>
      <c r="J67" s="79" t="s">
        <v>614</v>
      </c>
      <c r="K67" s="83" t="s">
        <v>108</v>
      </c>
      <c r="L67" s="84"/>
    </row>
    <row r="68" spans="1:12" s="89" customFormat="1" x14ac:dyDescent="0.35">
      <c r="A68" s="87">
        <f t="shared" si="0"/>
        <v>64</v>
      </c>
      <c r="B68" s="79"/>
      <c r="C68" s="93" t="s">
        <v>541</v>
      </c>
      <c r="D68" s="87" t="s">
        <v>55</v>
      </c>
      <c r="E68" s="81">
        <v>45703</v>
      </c>
      <c r="F68" s="81">
        <v>45706</v>
      </c>
      <c r="G68" s="141" t="s">
        <v>559</v>
      </c>
      <c r="H68" s="143">
        <v>35.601762000000001</v>
      </c>
      <c r="I68" s="82">
        <f t="shared" si="1"/>
        <v>3.7524257147999998</v>
      </c>
      <c r="J68" s="79" t="s">
        <v>614</v>
      </c>
      <c r="K68" s="94" t="s">
        <v>108</v>
      </c>
      <c r="L68" s="88"/>
    </row>
    <row r="69" spans="1:12" s="85" customFormat="1" ht="15.5" x14ac:dyDescent="0.35">
      <c r="A69" s="79">
        <f t="shared" si="0"/>
        <v>65</v>
      </c>
      <c r="B69" s="79"/>
      <c r="C69" s="86" t="s">
        <v>542</v>
      </c>
      <c r="D69" s="87" t="s">
        <v>2</v>
      </c>
      <c r="E69" s="81">
        <v>45707</v>
      </c>
      <c r="F69" s="81">
        <v>45710</v>
      </c>
      <c r="G69" s="141" t="s">
        <v>559</v>
      </c>
      <c r="H69" s="143">
        <v>37.931088000000003</v>
      </c>
      <c r="I69" s="82">
        <f t="shared" si="1"/>
        <v>3.9979366752000001</v>
      </c>
      <c r="J69" s="79" t="s">
        <v>614</v>
      </c>
      <c r="K69" s="83" t="s">
        <v>108</v>
      </c>
      <c r="L69" s="84"/>
    </row>
    <row r="70" spans="1:12" s="89" customFormat="1" ht="16.5" customHeight="1" x14ac:dyDescent="0.35">
      <c r="A70" s="87">
        <f t="shared" ref="A70:A90" si="2">A69+1</f>
        <v>66</v>
      </c>
      <c r="B70" s="79"/>
      <c r="C70" s="93" t="s">
        <v>543</v>
      </c>
      <c r="D70" s="87" t="s">
        <v>4</v>
      </c>
      <c r="E70" s="81">
        <v>45711</v>
      </c>
      <c r="F70" s="81">
        <v>45713</v>
      </c>
      <c r="G70" s="141" t="s">
        <v>559</v>
      </c>
      <c r="H70" s="143">
        <v>34.789810000000003</v>
      </c>
      <c r="I70" s="82">
        <f t="shared" ref="I70:I87" si="3">10540*H70/10^5</f>
        <v>3.6668459740000001</v>
      </c>
      <c r="J70" s="79" t="s">
        <v>614</v>
      </c>
      <c r="K70" s="94" t="s">
        <v>108</v>
      </c>
      <c r="L70" s="88"/>
    </row>
    <row r="71" spans="1:12" s="89" customFormat="1" x14ac:dyDescent="0.35">
      <c r="A71" s="87">
        <f t="shared" si="2"/>
        <v>67</v>
      </c>
      <c r="B71" s="79"/>
      <c r="C71" s="93" t="s">
        <v>544</v>
      </c>
      <c r="D71" s="87" t="s">
        <v>4</v>
      </c>
      <c r="E71" s="81">
        <v>45714</v>
      </c>
      <c r="F71" s="81">
        <v>45716</v>
      </c>
      <c r="G71" s="141" t="s">
        <v>559</v>
      </c>
      <c r="H71" s="143">
        <v>34.789810000000003</v>
      </c>
      <c r="I71" s="82">
        <f t="shared" si="3"/>
        <v>3.6668459740000001</v>
      </c>
      <c r="J71" s="79" t="s">
        <v>614</v>
      </c>
      <c r="K71" s="94" t="s">
        <v>108</v>
      </c>
      <c r="L71" s="88"/>
    </row>
    <row r="72" spans="1:12" s="85" customFormat="1" ht="15.5" x14ac:dyDescent="0.35">
      <c r="A72" s="79">
        <f t="shared" si="2"/>
        <v>68</v>
      </c>
      <c r="B72" s="79"/>
      <c r="C72" s="86" t="s">
        <v>25</v>
      </c>
      <c r="D72" s="87" t="s">
        <v>82</v>
      </c>
      <c r="E72" s="81">
        <v>45927</v>
      </c>
      <c r="F72" s="81">
        <v>45946</v>
      </c>
      <c r="G72" s="140" t="s">
        <v>560</v>
      </c>
      <c r="H72" s="143">
        <v>59.500628000000006</v>
      </c>
      <c r="I72" s="82">
        <f t="shared" si="3"/>
        <v>6.2713661912000003</v>
      </c>
      <c r="J72" s="79" t="s">
        <v>611</v>
      </c>
      <c r="K72" s="83" t="s">
        <v>108</v>
      </c>
      <c r="L72" s="84"/>
    </row>
    <row r="73" spans="1:12" s="89" customFormat="1" x14ac:dyDescent="0.35">
      <c r="A73" s="79">
        <f t="shared" si="2"/>
        <v>69</v>
      </c>
      <c r="B73" s="79"/>
      <c r="C73" s="92" t="s">
        <v>545</v>
      </c>
      <c r="D73" s="79" t="s">
        <v>93</v>
      </c>
      <c r="E73" s="81">
        <v>45910</v>
      </c>
      <c r="F73" s="81">
        <v>45926</v>
      </c>
      <c r="G73" s="140" t="s">
        <v>560</v>
      </c>
      <c r="H73" s="143">
        <v>66.775700999999998</v>
      </c>
      <c r="I73" s="82">
        <f t="shared" si="3"/>
        <v>7.0381588853999997</v>
      </c>
      <c r="J73" s="79" t="s">
        <v>611</v>
      </c>
      <c r="K73" s="83" t="s">
        <v>108</v>
      </c>
      <c r="L73" s="84"/>
    </row>
    <row r="74" spans="1:12" s="89" customFormat="1" x14ac:dyDescent="0.35">
      <c r="A74" s="79">
        <f t="shared" si="2"/>
        <v>70</v>
      </c>
      <c r="B74" s="79"/>
      <c r="C74" s="92" t="s">
        <v>546</v>
      </c>
      <c r="D74" s="79" t="s">
        <v>3</v>
      </c>
      <c r="E74" s="81">
        <v>45649</v>
      </c>
      <c r="F74" s="81">
        <v>45653</v>
      </c>
      <c r="G74" s="141" t="s">
        <v>559</v>
      </c>
      <c r="H74" s="143">
        <v>36.159756000000009</v>
      </c>
      <c r="I74" s="82">
        <f t="shared" si="3"/>
        <v>3.8112382824000011</v>
      </c>
      <c r="J74" s="79" t="s">
        <v>611</v>
      </c>
      <c r="K74" s="83" t="s">
        <v>108</v>
      </c>
      <c r="L74" s="84"/>
    </row>
    <row r="75" spans="1:12" s="85" customFormat="1" ht="15.5" x14ac:dyDescent="0.35">
      <c r="A75" s="79">
        <f t="shared" si="2"/>
        <v>71</v>
      </c>
      <c r="B75" s="79"/>
      <c r="C75" s="86" t="s">
        <v>547</v>
      </c>
      <c r="D75" s="87" t="s">
        <v>3</v>
      </c>
      <c r="E75" s="81">
        <v>45654</v>
      </c>
      <c r="F75" s="81">
        <v>45657</v>
      </c>
      <c r="G75" s="141" t="s">
        <v>559</v>
      </c>
      <c r="H75" s="143">
        <v>36.159756000000009</v>
      </c>
      <c r="I75" s="82">
        <f t="shared" si="3"/>
        <v>3.8112382824000011</v>
      </c>
      <c r="J75" s="79" t="s">
        <v>611</v>
      </c>
      <c r="K75" s="83" t="s">
        <v>108</v>
      </c>
      <c r="L75" s="84"/>
    </row>
    <row r="76" spans="1:12" s="85" customFormat="1" ht="15.5" x14ac:dyDescent="0.35">
      <c r="A76" s="79">
        <f t="shared" si="2"/>
        <v>72</v>
      </c>
      <c r="B76" s="79"/>
      <c r="C76" s="86" t="s">
        <v>548</v>
      </c>
      <c r="D76" s="87" t="s">
        <v>47</v>
      </c>
      <c r="E76" s="81">
        <v>45659</v>
      </c>
      <c r="F76" s="81">
        <v>45663</v>
      </c>
      <c r="G76" s="141" t="s">
        <v>559</v>
      </c>
      <c r="H76" s="143">
        <v>43.804424000000004</v>
      </c>
      <c r="I76" s="82">
        <f t="shared" si="3"/>
        <v>4.6169862896000007</v>
      </c>
      <c r="J76" s="79" t="s">
        <v>611</v>
      </c>
      <c r="K76" s="83" t="s">
        <v>108</v>
      </c>
      <c r="L76" s="84"/>
    </row>
    <row r="77" spans="1:12" s="85" customFormat="1" ht="15.5" x14ac:dyDescent="0.35">
      <c r="A77" s="79">
        <f t="shared" si="2"/>
        <v>73</v>
      </c>
      <c r="B77" s="79"/>
      <c r="C77" s="86" t="s">
        <v>549</v>
      </c>
      <c r="D77" s="87" t="s">
        <v>2</v>
      </c>
      <c r="E77" s="81">
        <v>45671</v>
      </c>
      <c r="F77" s="81">
        <v>45674</v>
      </c>
      <c r="G77" s="141" t="s">
        <v>559</v>
      </c>
      <c r="H77" s="143">
        <v>37.931088000000003</v>
      </c>
      <c r="I77" s="82">
        <f t="shared" si="3"/>
        <v>3.9979366752000001</v>
      </c>
      <c r="J77" s="79" t="s">
        <v>611</v>
      </c>
      <c r="K77" s="83" t="s">
        <v>108</v>
      </c>
      <c r="L77" s="84"/>
    </row>
    <row r="78" spans="1:12" s="89" customFormat="1" x14ac:dyDescent="0.35">
      <c r="A78" s="79">
        <f t="shared" si="2"/>
        <v>74</v>
      </c>
      <c r="B78" s="79"/>
      <c r="C78" s="92" t="s">
        <v>550</v>
      </c>
      <c r="D78" s="79" t="s">
        <v>4</v>
      </c>
      <c r="E78" s="81">
        <v>45947</v>
      </c>
      <c r="F78" s="81">
        <v>45954</v>
      </c>
      <c r="G78" s="141" t="s">
        <v>558</v>
      </c>
      <c r="H78" s="143">
        <v>34.789810000000003</v>
      </c>
      <c r="I78" s="82">
        <f t="shared" si="3"/>
        <v>3.6668459740000001</v>
      </c>
      <c r="J78" s="79" t="s">
        <v>611</v>
      </c>
      <c r="K78" s="83" t="s">
        <v>108</v>
      </c>
      <c r="L78" s="84"/>
    </row>
    <row r="79" spans="1:12" s="85" customFormat="1" ht="15.5" x14ac:dyDescent="0.35">
      <c r="A79" s="79">
        <f t="shared" si="2"/>
        <v>75</v>
      </c>
      <c r="B79" s="79"/>
      <c r="C79" s="86" t="s">
        <v>551</v>
      </c>
      <c r="D79" s="87" t="s">
        <v>3</v>
      </c>
      <c r="E79" s="81">
        <v>45667</v>
      </c>
      <c r="F79" s="81">
        <v>45670</v>
      </c>
      <c r="G79" s="141" t="s">
        <v>559</v>
      </c>
      <c r="H79" s="143">
        <v>36.159756000000009</v>
      </c>
      <c r="I79" s="82">
        <f t="shared" si="3"/>
        <v>3.8112382824000011</v>
      </c>
      <c r="J79" s="79" t="s">
        <v>611</v>
      </c>
      <c r="K79" s="83" t="s">
        <v>108</v>
      </c>
      <c r="L79" s="84"/>
    </row>
    <row r="80" spans="1:12" s="85" customFormat="1" ht="15.5" x14ac:dyDescent="0.35">
      <c r="A80" s="79">
        <f t="shared" si="2"/>
        <v>76</v>
      </c>
      <c r="B80" s="79"/>
      <c r="C80" s="86" t="s">
        <v>552</v>
      </c>
      <c r="D80" s="87" t="s">
        <v>2</v>
      </c>
      <c r="E80" s="81">
        <v>45664</v>
      </c>
      <c r="F80" s="81">
        <v>45666</v>
      </c>
      <c r="G80" s="141" t="s">
        <v>559</v>
      </c>
      <c r="H80" s="143">
        <v>37.931088000000003</v>
      </c>
      <c r="I80" s="82">
        <f t="shared" si="3"/>
        <v>3.9979366752000001</v>
      </c>
      <c r="J80" s="79" t="s">
        <v>611</v>
      </c>
      <c r="K80" s="83" t="s">
        <v>108</v>
      </c>
      <c r="L80" s="84"/>
    </row>
    <row r="81" spans="1:12" s="85" customFormat="1" ht="15.5" x14ac:dyDescent="0.35">
      <c r="A81" s="79">
        <f t="shared" si="2"/>
        <v>77</v>
      </c>
      <c r="B81" s="79"/>
      <c r="C81" s="86" t="s">
        <v>553</v>
      </c>
      <c r="D81" s="87" t="s">
        <v>3</v>
      </c>
      <c r="E81" s="81">
        <v>45675</v>
      </c>
      <c r="F81" s="81">
        <v>45678</v>
      </c>
      <c r="G81" s="141" t="s">
        <v>559</v>
      </c>
      <c r="H81" s="143">
        <v>36.159756000000009</v>
      </c>
      <c r="I81" s="82">
        <f t="shared" si="3"/>
        <v>3.8112382824000011</v>
      </c>
      <c r="J81" s="79" t="s">
        <v>611</v>
      </c>
      <c r="K81" s="83" t="s">
        <v>108</v>
      </c>
      <c r="L81" s="84"/>
    </row>
    <row r="82" spans="1:12" s="89" customFormat="1" x14ac:dyDescent="0.35">
      <c r="A82" s="79">
        <f t="shared" si="2"/>
        <v>78</v>
      </c>
      <c r="B82" s="79"/>
      <c r="C82" s="92" t="s">
        <v>29</v>
      </c>
      <c r="D82" s="79" t="s">
        <v>2</v>
      </c>
      <c r="E82" s="81">
        <v>45940</v>
      </c>
      <c r="F82" s="81">
        <v>45946</v>
      </c>
      <c r="G82" s="141" t="s">
        <v>558</v>
      </c>
      <c r="H82" s="143">
        <v>37.931088000000003</v>
      </c>
      <c r="I82" s="82">
        <f t="shared" si="3"/>
        <v>3.9979366752000001</v>
      </c>
      <c r="J82" s="79" t="s">
        <v>611</v>
      </c>
      <c r="K82" s="83" t="s">
        <v>108</v>
      </c>
      <c r="L82" s="84"/>
    </row>
    <row r="83" spans="1:12" s="89" customFormat="1" x14ac:dyDescent="0.35">
      <c r="A83" s="79">
        <f t="shared" si="2"/>
        <v>79</v>
      </c>
      <c r="B83" s="79"/>
      <c r="C83" s="92" t="s">
        <v>170</v>
      </c>
      <c r="D83" s="79" t="s">
        <v>3</v>
      </c>
      <c r="E83" s="81">
        <v>45918</v>
      </c>
      <c r="F83" s="81">
        <v>45926</v>
      </c>
      <c r="G83" s="141" t="s">
        <v>561</v>
      </c>
      <c r="H83" s="143">
        <v>36.159756000000009</v>
      </c>
      <c r="I83" s="82">
        <f t="shared" si="3"/>
        <v>3.8112382824000011</v>
      </c>
      <c r="J83" s="79" t="s">
        <v>611</v>
      </c>
      <c r="K83" s="83" t="s">
        <v>108</v>
      </c>
      <c r="L83" s="84"/>
    </row>
    <row r="84" spans="1:12" s="85" customFormat="1" ht="15.5" x14ac:dyDescent="0.35">
      <c r="A84" s="79">
        <f t="shared" si="2"/>
        <v>80</v>
      </c>
      <c r="B84" s="79"/>
      <c r="C84" s="86" t="s">
        <v>15</v>
      </c>
      <c r="D84" s="87" t="s">
        <v>17</v>
      </c>
      <c r="E84" s="81">
        <v>45949</v>
      </c>
      <c r="F84" s="81">
        <v>45963</v>
      </c>
      <c r="G84" s="140" t="s">
        <v>556</v>
      </c>
      <c r="H84" s="143">
        <v>45.697022000000011</v>
      </c>
      <c r="I84" s="82">
        <f t="shared" si="3"/>
        <v>4.8164661188000011</v>
      </c>
      <c r="J84" s="79" t="s">
        <v>611</v>
      </c>
      <c r="K84" s="83" t="s">
        <v>108</v>
      </c>
      <c r="L84" s="84"/>
    </row>
    <row r="85" spans="1:12" s="85" customFormat="1" ht="15.5" x14ac:dyDescent="0.35">
      <c r="A85" s="79">
        <f t="shared" si="2"/>
        <v>81</v>
      </c>
      <c r="B85" s="79"/>
      <c r="C85" s="86" t="s">
        <v>174</v>
      </c>
      <c r="D85" s="87" t="s">
        <v>2</v>
      </c>
      <c r="E85" s="81">
        <v>45897</v>
      </c>
      <c r="F85" s="81">
        <v>45917</v>
      </c>
      <c r="G85" s="141" t="s">
        <v>561</v>
      </c>
      <c r="H85" s="143">
        <v>37.931088000000003</v>
      </c>
      <c r="I85" s="82">
        <f t="shared" si="3"/>
        <v>3.9979366752000001</v>
      </c>
      <c r="J85" s="79" t="s">
        <v>611</v>
      </c>
      <c r="K85" s="83" t="s">
        <v>108</v>
      </c>
      <c r="L85" s="84"/>
    </row>
    <row r="86" spans="1:12" s="85" customFormat="1" ht="15.5" x14ac:dyDescent="0.35">
      <c r="A86" s="79">
        <f t="shared" si="2"/>
        <v>82</v>
      </c>
      <c r="B86" s="79"/>
      <c r="C86" s="86" t="s">
        <v>176</v>
      </c>
      <c r="D86" s="87" t="s">
        <v>2</v>
      </c>
      <c r="E86" s="81">
        <v>45926</v>
      </c>
      <c r="F86" s="81">
        <v>45939</v>
      </c>
      <c r="G86" s="140" t="s">
        <v>556</v>
      </c>
      <c r="H86" s="143">
        <v>37.931088000000003</v>
      </c>
      <c r="I86" s="82">
        <f t="shared" si="3"/>
        <v>3.9979366752000001</v>
      </c>
      <c r="J86" s="79" t="s">
        <v>611</v>
      </c>
      <c r="K86" s="83" t="s">
        <v>108</v>
      </c>
      <c r="L86" s="84"/>
    </row>
    <row r="87" spans="1:12" s="85" customFormat="1" ht="15.5" x14ac:dyDescent="0.35">
      <c r="A87" s="79">
        <f t="shared" si="2"/>
        <v>83</v>
      </c>
      <c r="B87" s="79"/>
      <c r="C87" s="86" t="s">
        <v>177</v>
      </c>
      <c r="D87" s="87" t="s">
        <v>3</v>
      </c>
      <c r="E87" s="81">
        <v>45940</v>
      </c>
      <c r="F87" s="81">
        <v>45948</v>
      </c>
      <c r="G87" s="140" t="s">
        <v>556</v>
      </c>
      <c r="H87" s="143">
        <v>36.159756000000009</v>
      </c>
      <c r="I87" s="82">
        <f t="shared" si="3"/>
        <v>3.8112382824000011</v>
      </c>
      <c r="J87" s="79" t="s">
        <v>611</v>
      </c>
      <c r="K87" s="83" t="s">
        <v>108</v>
      </c>
      <c r="L87" s="84"/>
    </row>
    <row r="88" spans="1:12" x14ac:dyDescent="0.35">
      <c r="A88" s="79">
        <f t="shared" si="2"/>
        <v>84</v>
      </c>
      <c r="B88" s="203"/>
      <c r="C88" s="206" t="s">
        <v>617</v>
      </c>
      <c r="D88" s="206" t="s">
        <v>3</v>
      </c>
      <c r="E88" s="207">
        <v>45965</v>
      </c>
      <c r="F88" s="208">
        <v>45972</v>
      </c>
      <c r="G88" s="140" t="s">
        <v>556</v>
      </c>
      <c r="H88" s="143">
        <v>36.159756000000009</v>
      </c>
      <c r="I88" s="82">
        <f t="shared" ref="I88:I91" si="4">10540*H88/10^5</f>
        <v>3.8112382824000011</v>
      </c>
      <c r="J88" s="203" t="s">
        <v>609</v>
      </c>
      <c r="K88" s="83" t="s">
        <v>108</v>
      </c>
      <c r="L88" s="205"/>
    </row>
    <row r="89" spans="1:12" x14ac:dyDescent="0.35">
      <c r="A89" s="79">
        <f t="shared" si="2"/>
        <v>85</v>
      </c>
      <c r="B89" s="203"/>
      <c r="C89" s="206" t="s">
        <v>120</v>
      </c>
      <c r="D89" s="206" t="s">
        <v>82</v>
      </c>
      <c r="E89" s="207">
        <v>45964</v>
      </c>
      <c r="F89" s="208">
        <v>45978</v>
      </c>
      <c r="G89" s="139" t="s">
        <v>554</v>
      </c>
      <c r="H89" s="209">
        <v>59.500628000000006</v>
      </c>
      <c r="I89" s="82">
        <f t="shared" si="4"/>
        <v>6.2713661912000003</v>
      </c>
      <c r="J89" s="79" t="s">
        <v>609</v>
      </c>
      <c r="K89" s="94" t="s">
        <v>108</v>
      </c>
      <c r="L89" s="205"/>
    </row>
    <row r="90" spans="1:12" x14ac:dyDescent="0.35">
      <c r="A90" s="79">
        <f t="shared" si="2"/>
        <v>86</v>
      </c>
      <c r="B90" s="203"/>
      <c r="C90" s="206" t="s">
        <v>20</v>
      </c>
      <c r="D90" s="206" t="s">
        <v>76</v>
      </c>
      <c r="E90" s="207">
        <v>45964</v>
      </c>
      <c r="F90" s="208">
        <v>45978</v>
      </c>
      <c r="G90" s="140" t="s">
        <v>560</v>
      </c>
      <c r="H90" s="209">
        <v>73.244550000000004</v>
      </c>
      <c r="I90" s="82">
        <f t="shared" si="4"/>
        <v>7.7199755699999999</v>
      </c>
      <c r="J90" s="79" t="s">
        <v>609</v>
      </c>
      <c r="K90" s="94" t="s">
        <v>108</v>
      </c>
      <c r="L90" s="205"/>
    </row>
    <row r="91" spans="1:12" x14ac:dyDescent="0.35">
      <c r="A91" s="203"/>
      <c r="B91" s="203"/>
      <c r="C91" s="215" t="s">
        <v>151</v>
      </c>
      <c r="D91" s="206" t="s">
        <v>3</v>
      </c>
      <c r="E91" s="207">
        <v>45979</v>
      </c>
      <c r="F91" s="208">
        <v>45985</v>
      </c>
      <c r="G91" s="139" t="s">
        <v>554</v>
      </c>
      <c r="H91" s="216">
        <v>36.159756000000002</v>
      </c>
      <c r="I91" s="82">
        <f t="shared" si="4"/>
        <v>3.8112382824000002</v>
      </c>
      <c r="J91" s="79" t="s">
        <v>609</v>
      </c>
      <c r="K91" s="94" t="s">
        <v>108</v>
      </c>
      <c r="L91" s="205"/>
    </row>
    <row r="92" spans="1:12" x14ac:dyDescent="0.35">
      <c r="A92" s="203"/>
      <c r="B92" s="203"/>
      <c r="C92" s="203"/>
      <c r="D92" s="203"/>
      <c r="E92" s="203"/>
      <c r="F92" s="204"/>
      <c r="G92" s="204"/>
      <c r="H92" s="204"/>
      <c r="I92" s="203"/>
      <c r="J92" s="203"/>
      <c r="K92" s="203"/>
      <c r="L92" s="205"/>
    </row>
    <row r="93" spans="1:12" x14ac:dyDescent="0.35">
      <c r="A93" s="203"/>
      <c r="B93" s="203"/>
      <c r="C93" s="203"/>
      <c r="D93" s="203"/>
      <c r="E93" s="203"/>
      <c r="F93" s="204"/>
      <c r="G93" s="204"/>
      <c r="H93" s="204"/>
      <c r="I93" s="203"/>
      <c r="J93" s="203"/>
      <c r="K93" s="203"/>
      <c r="L93" s="205"/>
    </row>
    <row r="94" spans="1:12" x14ac:dyDescent="0.35">
      <c r="A94" s="203"/>
      <c r="B94" s="203"/>
      <c r="C94" s="203"/>
      <c r="D94" s="203"/>
      <c r="E94" s="203"/>
      <c r="F94" s="204"/>
      <c r="G94" s="204"/>
      <c r="H94" s="204"/>
      <c r="I94" s="203"/>
      <c r="J94" s="203"/>
      <c r="K94" s="203"/>
      <c r="L94" s="205"/>
    </row>
    <row r="95" spans="1:12" x14ac:dyDescent="0.35">
      <c r="A95" s="203"/>
      <c r="B95" s="203"/>
      <c r="C95" s="203"/>
      <c r="D95" s="203"/>
      <c r="E95" s="203"/>
      <c r="F95" s="204"/>
      <c r="G95" s="204"/>
      <c r="H95" s="204"/>
      <c r="I95" s="203"/>
      <c r="J95" s="203"/>
      <c r="K95" s="203"/>
      <c r="L95" s="205"/>
    </row>
    <row r="96" spans="1:12" x14ac:dyDescent="0.35">
      <c r="A96" s="203"/>
      <c r="B96" s="203"/>
      <c r="C96" s="203"/>
      <c r="D96" s="203"/>
      <c r="E96" s="203"/>
      <c r="F96" s="204"/>
      <c r="G96" s="204"/>
      <c r="H96" s="204"/>
      <c r="I96" s="203"/>
      <c r="J96" s="203"/>
      <c r="K96" s="203"/>
      <c r="L96" s="205"/>
    </row>
    <row r="97" spans="1:12" x14ac:dyDescent="0.35">
      <c r="A97" s="203"/>
      <c r="B97" s="203"/>
      <c r="C97" s="203"/>
      <c r="D97" s="203"/>
      <c r="E97" s="203"/>
      <c r="F97" s="204"/>
      <c r="G97" s="204"/>
      <c r="H97" s="204"/>
      <c r="I97" s="203"/>
      <c r="J97" s="203"/>
      <c r="K97" s="203"/>
      <c r="L97" s="205"/>
    </row>
    <row r="98" spans="1:12" x14ac:dyDescent="0.35">
      <c r="A98" s="203"/>
      <c r="B98" s="203"/>
      <c r="C98" s="203"/>
      <c r="D98" s="203"/>
      <c r="E98" s="203"/>
      <c r="F98" s="204"/>
      <c r="G98" s="204"/>
      <c r="H98" s="204"/>
      <c r="I98" s="203"/>
      <c r="J98" s="203"/>
      <c r="K98" s="203"/>
      <c r="L98" s="205"/>
    </row>
    <row r="99" spans="1:12" x14ac:dyDescent="0.35">
      <c r="A99" s="203"/>
      <c r="B99" s="203"/>
      <c r="C99" s="203"/>
      <c r="D99" s="203"/>
      <c r="E99" s="203"/>
      <c r="F99" s="204"/>
      <c r="G99" s="204"/>
      <c r="H99" s="204"/>
      <c r="I99" s="203"/>
      <c r="J99" s="203"/>
      <c r="K99" s="203"/>
      <c r="L99" s="205"/>
    </row>
    <row r="100" spans="1:12" x14ac:dyDescent="0.35">
      <c r="A100" s="203"/>
      <c r="B100" s="203"/>
      <c r="C100" s="203"/>
      <c r="D100" s="203"/>
      <c r="E100" s="203"/>
      <c r="F100" s="204"/>
      <c r="G100" s="204"/>
      <c r="H100" s="204"/>
      <c r="I100" s="203"/>
      <c r="J100" s="203"/>
      <c r="K100" s="203"/>
      <c r="L100" s="205"/>
    </row>
    <row r="101" spans="1:12" x14ac:dyDescent="0.35">
      <c r="A101" s="203"/>
      <c r="B101" s="203"/>
      <c r="C101" s="203"/>
      <c r="D101" s="203"/>
      <c r="E101" s="203"/>
      <c r="F101" s="204"/>
      <c r="G101" s="204"/>
      <c r="H101" s="204"/>
      <c r="I101" s="203"/>
      <c r="J101" s="203"/>
      <c r="K101" s="203"/>
      <c r="L101" s="205"/>
    </row>
    <row r="102" spans="1:12" x14ac:dyDescent="0.35">
      <c r="A102" s="203"/>
      <c r="B102" s="203"/>
      <c r="C102" s="203"/>
      <c r="D102" s="203"/>
      <c r="E102" s="203"/>
      <c r="F102" s="204"/>
      <c r="G102" s="204"/>
      <c r="H102" s="204"/>
      <c r="I102" s="203"/>
      <c r="J102" s="203"/>
      <c r="K102" s="203"/>
      <c r="L102" s="205"/>
    </row>
    <row r="103" spans="1:12" x14ac:dyDescent="0.35">
      <c r="A103" s="203"/>
      <c r="B103" s="203"/>
      <c r="C103" s="203"/>
      <c r="D103" s="203"/>
      <c r="E103" s="203"/>
      <c r="F103" s="204"/>
      <c r="G103" s="204"/>
      <c r="H103" s="204"/>
      <c r="I103" s="203"/>
      <c r="J103" s="203"/>
      <c r="K103" s="203"/>
      <c r="L103" s="205"/>
    </row>
    <row r="104" spans="1:12" x14ac:dyDescent="0.35">
      <c r="A104" s="203"/>
      <c r="B104" s="203"/>
      <c r="C104" s="203"/>
      <c r="D104" s="203"/>
      <c r="E104" s="203"/>
      <c r="F104" s="204"/>
      <c r="G104" s="204"/>
      <c r="H104" s="204"/>
      <c r="I104" s="203"/>
      <c r="J104" s="203"/>
      <c r="K104" s="203"/>
      <c r="L104" s="205"/>
    </row>
    <row r="105" spans="1:12" x14ac:dyDescent="0.35">
      <c r="A105" s="203"/>
      <c r="B105" s="203"/>
      <c r="C105" s="203"/>
      <c r="D105" s="203"/>
      <c r="E105" s="203"/>
      <c r="F105" s="204"/>
      <c r="G105" s="204"/>
      <c r="H105" s="204"/>
      <c r="I105" s="203"/>
      <c r="J105" s="203"/>
      <c r="K105" s="203"/>
      <c r="L105" s="205"/>
    </row>
    <row r="106" spans="1:12" x14ac:dyDescent="0.35">
      <c r="A106" s="203"/>
      <c r="B106" s="203"/>
      <c r="C106" s="203"/>
      <c r="D106" s="203"/>
      <c r="E106" s="203"/>
      <c r="F106" s="204"/>
      <c r="G106" s="204"/>
      <c r="H106" s="204"/>
      <c r="I106" s="203"/>
      <c r="J106" s="203"/>
      <c r="K106" s="203"/>
      <c r="L106" s="205"/>
    </row>
    <row r="107" spans="1:12" x14ac:dyDescent="0.35">
      <c r="A107" s="203"/>
      <c r="B107" s="203"/>
      <c r="C107" s="203"/>
      <c r="D107" s="203"/>
      <c r="E107" s="203"/>
      <c r="F107" s="204"/>
      <c r="G107" s="204"/>
      <c r="H107" s="204"/>
      <c r="I107" s="203"/>
      <c r="J107" s="203"/>
      <c r="K107" s="203"/>
      <c r="L107" s="205"/>
    </row>
    <row r="108" spans="1:12" x14ac:dyDescent="0.35">
      <c r="A108" s="203"/>
      <c r="B108" s="203"/>
      <c r="C108" s="203"/>
      <c r="D108" s="203"/>
      <c r="E108" s="203"/>
      <c r="F108" s="204"/>
      <c r="G108" s="204"/>
      <c r="H108" s="204"/>
      <c r="I108" s="203"/>
      <c r="J108" s="203"/>
      <c r="K108" s="203"/>
      <c r="L108" s="205"/>
    </row>
    <row r="109" spans="1:12" x14ac:dyDescent="0.35">
      <c r="A109" s="203"/>
      <c r="B109" s="203"/>
      <c r="C109" s="203"/>
      <c r="D109" s="203"/>
      <c r="E109" s="203"/>
      <c r="F109" s="204"/>
      <c r="G109" s="204"/>
      <c r="H109" s="204"/>
      <c r="I109" s="203"/>
      <c r="J109" s="203"/>
      <c r="K109" s="203"/>
      <c r="L109" s="205"/>
    </row>
    <row r="110" spans="1:12" x14ac:dyDescent="0.35">
      <c r="A110" s="203"/>
      <c r="B110" s="203"/>
      <c r="C110" s="203"/>
      <c r="D110" s="203"/>
      <c r="E110" s="203"/>
      <c r="F110" s="204"/>
      <c r="G110" s="204"/>
      <c r="H110" s="204"/>
      <c r="I110" s="203"/>
      <c r="J110" s="203"/>
      <c r="K110" s="203"/>
      <c r="L110" s="205"/>
    </row>
    <row r="111" spans="1:12" x14ac:dyDescent="0.35">
      <c r="A111" s="203"/>
      <c r="B111" s="203"/>
      <c r="C111" s="203"/>
      <c r="D111" s="203"/>
      <c r="E111" s="203"/>
      <c r="F111" s="204"/>
      <c r="G111" s="204"/>
      <c r="H111" s="204"/>
      <c r="I111" s="203"/>
      <c r="J111" s="203"/>
      <c r="K111" s="203"/>
      <c r="L111" s="205"/>
    </row>
    <row r="112" spans="1:12" x14ac:dyDescent="0.35">
      <c r="A112" s="203"/>
      <c r="B112" s="203"/>
      <c r="C112" s="203"/>
      <c r="D112" s="203"/>
      <c r="E112" s="203"/>
      <c r="F112" s="204"/>
      <c r="G112" s="204"/>
      <c r="H112" s="204"/>
      <c r="I112" s="203"/>
      <c r="J112" s="203"/>
      <c r="K112" s="203"/>
      <c r="L112" s="205"/>
    </row>
    <row r="113" spans="1:12" x14ac:dyDescent="0.35">
      <c r="A113" s="203"/>
      <c r="B113" s="203"/>
      <c r="C113" s="203"/>
      <c r="D113" s="203"/>
      <c r="E113" s="203"/>
      <c r="F113" s="204"/>
      <c r="G113" s="204"/>
      <c r="H113" s="204"/>
      <c r="I113" s="203"/>
      <c r="J113" s="203"/>
      <c r="K113" s="203"/>
      <c r="L113" s="205"/>
    </row>
    <row r="114" spans="1:12" x14ac:dyDescent="0.35">
      <c r="A114" s="203"/>
      <c r="B114" s="203"/>
      <c r="C114" s="203"/>
      <c r="D114" s="203"/>
      <c r="E114" s="203"/>
      <c r="F114" s="204"/>
      <c r="G114" s="204"/>
      <c r="H114" s="204"/>
      <c r="I114" s="203"/>
      <c r="J114" s="203"/>
      <c r="K114" s="203"/>
      <c r="L114" s="205"/>
    </row>
    <row r="115" spans="1:12" x14ac:dyDescent="0.35">
      <c r="A115" s="203"/>
      <c r="B115" s="203"/>
      <c r="C115" s="203"/>
      <c r="D115" s="203"/>
      <c r="E115" s="203"/>
      <c r="F115" s="204"/>
      <c r="G115" s="204"/>
      <c r="H115" s="204"/>
      <c r="I115" s="203"/>
      <c r="J115" s="203"/>
      <c r="K115" s="203"/>
      <c r="L115" s="205"/>
    </row>
    <row r="116" spans="1:12" x14ac:dyDescent="0.35">
      <c r="A116" s="203"/>
      <c r="B116" s="203"/>
      <c r="C116" s="203"/>
      <c r="D116" s="203"/>
      <c r="E116" s="203"/>
      <c r="F116" s="204"/>
      <c r="G116" s="204"/>
      <c r="H116" s="204"/>
      <c r="I116" s="203"/>
      <c r="J116" s="203"/>
      <c r="K116" s="203"/>
      <c r="L116" s="205"/>
    </row>
    <row r="117" spans="1:12" x14ac:dyDescent="0.35">
      <c r="A117" s="203"/>
      <c r="B117" s="203"/>
      <c r="C117" s="203"/>
      <c r="D117" s="203"/>
      <c r="E117" s="203"/>
      <c r="F117" s="204"/>
      <c r="G117" s="204"/>
      <c r="H117" s="204"/>
      <c r="I117" s="203"/>
      <c r="J117" s="203"/>
      <c r="K117" s="203"/>
      <c r="L117" s="205"/>
    </row>
    <row r="118" spans="1:12" x14ac:dyDescent="0.35">
      <c r="A118" s="203"/>
      <c r="B118" s="203"/>
      <c r="C118" s="203"/>
      <c r="D118" s="203"/>
      <c r="E118" s="203"/>
      <c r="F118" s="204"/>
      <c r="G118" s="204"/>
      <c r="H118" s="204"/>
      <c r="I118" s="203"/>
      <c r="J118" s="203"/>
      <c r="K118" s="203"/>
      <c r="L118" s="205"/>
    </row>
    <row r="119" spans="1:12" x14ac:dyDescent="0.35">
      <c r="A119" s="203"/>
      <c r="B119" s="203"/>
      <c r="C119" s="203"/>
      <c r="D119" s="203"/>
      <c r="E119" s="203"/>
      <c r="F119" s="204"/>
      <c r="G119" s="204"/>
      <c r="H119" s="204"/>
      <c r="I119" s="203"/>
      <c r="J119" s="203"/>
      <c r="K119" s="203"/>
      <c r="L119" s="205"/>
    </row>
    <row r="120" spans="1:12" x14ac:dyDescent="0.35">
      <c r="A120" s="203"/>
      <c r="B120" s="203"/>
      <c r="C120" s="203"/>
      <c r="D120" s="203"/>
      <c r="E120" s="203"/>
      <c r="F120" s="204"/>
      <c r="G120" s="204"/>
      <c r="H120" s="204"/>
      <c r="I120" s="203"/>
      <c r="J120" s="203"/>
      <c r="K120" s="203"/>
      <c r="L120" s="205"/>
    </row>
    <row r="121" spans="1:12" x14ac:dyDescent="0.35">
      <c r="A121" s="203"/>
      <c r="B121" s="203"/>
      <c r="C121" s="203"/>
      <c r="D121" s="203"/>
      <c r="E121" s="203"/>
      <c r="F121" s="204"/>
      <c r="G121" s="204"/>
      <c r="H121" s="204"/>
      <c r="I121" s="203"/>
      <c r="J121" s="203"/>
      <c r="K121" s="203"/>
      <c r="L121" s="205"/>
    </row>
    <row r="122" spans="1:12" x14ac:dyDescent="0.35">
      <c r="A122" s="203"/>
      <c r="B122" s="203"/>
      <c r="C122" s="203"/>
      <c r="D122" s="203"/>
      <c r="E122" s="203"/>
      <c r="F122" s="204"/>
      <c r="G122" s="204"/>
      <c r="H122" s="204"/>
      <c r="I122" s="203"/>
      <c r="J122" s="203"/>
      <c r="K122" s="203"/>
      <c r="L122" s="205"/>
    </row>
    <row r="123" spans="1:12" x14ac:dyDescent="0.35">
      <c r="A123" s="203"/>
      <c r="B123" s="203"/>
      <c r="C123" s="203"/>
      <c r="D123" s="203"/>
      <c r="E123" s="203"/>
      <c r="F123" s="204"/>
      <c r="G123" s="204"/>
      <c r="H123" s="204"/>
      <c r="I123" s="203"/>
      <c r="J123" s="203"/>
      <c r="K123" s="203"/>
      <c r="L123" s="205"/>
    </row>
    <row r="124" spans="1:12" x14ac:dyDescent="0.35">
      <c r="A124" s="203"/>
      <c r="B124" s="203"/>
      <c r="C124" s="203"/>
      <c r="D124" s="203"/>
      <c r="E124" s="203"/>
      <c r="F124" s="204"/>
      <c r="G124" s="204"/>
      <c r="H124" s="204"/>
      <c r="I124" s="203"/>
      <c r="J124" s="203"/>
      <c r="K124" s="203"/>
      <c r="L124" s="205"/>
    </row>
    <row r="125" spans="1:12" x14ac:dyDescent="0.35">
      <c r="A125" s="203"/>
      <c r="B125" s="203"/>
      <c r="C125" s="203"/>
      <c r="D125" s="203"/>
      <c r="E125" s="203"/>
      <c r="F125" s="204"/>
      <c r="G125" s="204"/>
      <c r="H125" s="204"/>
      <c r="I125" s="203"/>
      <c r="J125" s="203"/>
      <c r="K125" s="203"/>
      <c r="L125" s="205"/>
    </row>
    <row r="126" spans="1:12" x14ac:dyDescent="0.35">
      <c r="A126" s="203"/>
      <c r="B126" s="203"/>
      <c r="C126" s="203"/>
      <c r="D126" s="203"/>
      <c r="E126" s="203"/>
      <c r="F126" s="204"/>
      <c r="G126" s="204"/>
      <c r="H126" s="204"/>
      <c r="I126" s="203"/>
      <c r="J126" s="203"/>
      <c r="K126" s="203"/>
      <c r="L126" s="205"/>
    </row>
    <row r="127" spans="1:12" x14ac:dyDescent="0.35">
      <c r="A127" s="203"/>
      <c r="B127" s="203"/>
      <c r="C127" s="203"/>
      <c r="D127" s="203"/>
      <c r="E127" s="203"/>
      <c r="F127" s="204"/>
      <c r="G127" s="204"/>
      <c r="H127" s="204"/>
      <c r="I127" s="203"/>
      <c r="J127" s="203"/>
      <c r="K127" s="203"/>
      <c r="L127" s="205"/>
    </row>
    <row r="128" spans="1:12" x14ac:dyDescent="0.35">
      <c r="A128" s="203"/>
      <c r="B128" s="203"/>
      <c r="C128" s="203"/>
      <c r="D128" s="203"/>
      <c r="E128" s="203"/>
      <c r="F128" s="204"/>
      <c r="G128" s="204"/>
      <c r="H128" s="204"/>
      <c r="I128" s="203"/>
      <c r="J128" s="203"/>
      <c r="K128" s="203"/>
      <c r="L128" s="205"/>
    </row>
    <row r="129" spans="1:12" x14ac:dyDescent="0.35">
      <c r="A129" s="203"/>
      <c r="B129" s="203"/>
      <c r="C129" s="203"/>
      <c r="D129" s="203"/>
      <c r="E129" s="203"/>
      <c r="F129" s="204"/>
      <c r="G129" s="204"/>
      <c r="H129" s="204"/>
      <c r="I129" s="203"/>
      <c r="J129" s="203"/>
      <c r="K129" s="203"/>
      <c r="L129" s="205"/>
    </row>
    <row r="130" spans="1:12" x14ac:dyDescent="0.35">
      <c r="A130" s="203"/>
      <c r="B130" s="203"/>
      <c r="C130" s="203"/>
      <c r="D130" s="203"/>
      <c r="E130" s="203"/>
      <c r="F130" s="204"/>
      <c r="G130" s="204"/>
      <c r="H130" s="204"/>
      <c r="I130" s="203"/>
      <c r="J130" s="203"/>
      <c r="K130" s="203"/>
      <c r="L130" s="205"/>
    </row>
    <row r="131" spans="1:12" x14ac:dyDescent="0.35">
      <c r="A131" s="203"/>
      <c r="B131" s="203"/>
      <c r="C131" s="203"/>
      <c r="D131" s="203"/>
      <c r="E131" s="203"/>
      <c r="F131" s="204"/>
      <c r="G131" s="204"/>
      <c r="H131" s="204"/>
      <c r="I131" s="203"/>
      <c r="J131" s="203"/>
      <c r="K131" s="203"/>
      <c r="L131" s="205"/>
    </row>
    <row r="132" spans="1:12" x14ac:dyDescent="0.35">
      <c r="A132" s="203"/>
      <c r="B132" s="203"/>
      <c r="C132" s="203"/>
      <c r="D132" s="203"/>
      <c r="E132" s="203"/>
      <c r="F132" s="204"/>
      <c r="G132" s="204"/>
      <c r="H132" s="204"/>
      <c r="I132" s="203"/>
      <c r="J132" s="203"/>
      <c r="K132" s="203"/>
      <c r="L132" s="205"/>
    </row>
    <row r="133" spans="1:12" x14ac:dyDescent="0.35">
      <c r="A133" s="203"/>
      <c r="B133" s="203"/>
      <c r="C133" s="203"/>
      <c r="D133" s="203"/>
      <c r="E133" s="203"/>
      <c r="F133" s="204"/>
      <c r="G133" s="204"/>
      <c r="H133" s="204"/>
      <c r="I133" s="203"/>
      <c r="J133" s="203"/>
      <c r="K133" s="203"/>
      <c r="L133" s="205"/>
    </row>
    <row r="134" spans="1:12" x14ac:dyDescent="0.35">
      <c r="A134" s="203"/>
      <c r="B134" s="203"/>
      <c r="C134" s="203"/>
      <c r="D134" s="203"/>
      <c r="E134" s="203"/>
      <c r="F134" s="204"/>
      <c r="G134" s="204"/>
      <c r="H134" s="204"/>
      <c r="I134" s="203"/>
      <c r="J134" s="203"/>
      <c r="K134" s="203"/>
      <c r="L134" s="205"/>
    </row>
    <row r="135" spans="1:12" x14ac:dyDescent="0.35">
      <c r="A135" s="203"/>
      <c r="B135" s="203"/>
      <c r="C135" s="203"/>
      <c r="D135" s="203"/>
      <c r="E135" s="203"/>
      <c r="F135" s="204"/>
      <c r="G135" s="204"/>
      <c r="H135" s="204"/>
      <c r="I135" s="203"/>
      <c r="J135" s="203"/>
      <c r="K135" s="203"/>
      <c r="L135" s="205"/>
    </row>
    <row r="136" spans="1:12" x14ac:dyDescent="0.35">
      <c r="A136" s="203"/>
      <c r="B136" s="203"/>
      <c r="C136" s="203"/>
      <c r="D136" s="203"/>
      <c r="E136" s="203"/>
      <c r="F136" s="204"/>
      <c r="G136" s="204"/>
      <c r="H136" s="204"/>
      <c r="I136" s="203"/>
      <c r="J136" s="203"/>
      <c r="K136" s="203"/>
      <c r="L136" s="205"/>
    </row>
    <row r="137" spans="1:12" x14ac:dyDescent="0.35">
      <c r="A137" s="203"/>
      <c r="B137" s="203"/>
      <c r="C137" s="203"/>
      <c r="D137" s="203"/>
      <c r="E137" s="203"/>
      <c r="F137" s="204"/>
      <c r="G137" s="204"/>
      <c r="H137" s="204"/>
      <c r="I137" s="203"/>
      <c r="J137" s="203"/>
      <c r="K137" s="203"/>
      <c r="L137" s="205"/>
    </row>
    <row r="138" spans="1:12" x14ac:dyDescent="0.35">
      <c r="A138" s="203"/>
      <c r="B138" s="203"/>
      <c r="C138" s="203"/>
      <c r="D138" s="203"/>
      <c r="E138" s="203"/>
      <c r="F138" s="204"/>
      <c r="G138" s="204"/>
      <c r="H138" s="204"/>
      <c r="I138" s="203"/>
      <c r="J138" s="203"/>
      <c r="K138" s="203"/>
      <c r="L138" s="205"/>
    </row>
    <row r="139" spans="1:12" x14ac:dyDescent="0.35">
      <c r="A139" s="203"/>
      <c r="B139" s="203"/>
      <c r="C139" s="203"/>
      <c r="D139" s="203"/>
      <c r="E139" s="203"/>
      <c r="F139" s="204"/>
      <c r="G139" s="204"/>
      <c r="H139" s="204"/>
      <c r="I139" s="203"/>
      <c r="J139" s="203"/>
      <c r="K139" s="203"/>
      <c r="L139" s="205"/>
    </row>
    <row r="140" spans="1:12" x14ac:dyDescent="0.35">
      <c r="A140" s="203"/>
      <c r="B140" s="203"/>
      <c r="C140" s="203"/>
      <c r="D140" s="203"/>
      <c r="E140" s="203"/>
      <c r="F140" s="204"/>
      <c r="G140" s="204"/>
      <c r="H140" s="204"/>
      <c r="I140" s="203"/>
      <c r="J140" s="203"/>
      <c r="K140" s="203"/>
      <c r="L140" s="205"/>
    </row>
    <row r="141" spans="1:12" x14ac:dyDescent="0.35">
      <c r="A141" s="203"/>
      <c r="B141" s="203"/>
      <c r="C141" s="203"/>
      <c r="D141" s="203"/>
      <c r="E141" s="203"/>
      <c r="F141" s="204"/>
      <c r="G141" s="204"/>
      <c r="H141" s="204"/>
      <c r="I141" s="203"/>
      <c r="J141" s="203"/>
      <c r="K141" s="203"/>
      <c r="L141" s="205"/>
    </row>
    <row r="142" spans="1:12" x14ac:dyDescent="0.35">
      <c r="A142" s="203"/>
      <c r="B142" s="203"/>
      <c r="C142" s="203"/>
      <c r="D142" s="203"/>
      <c r="E142" s="203"/>
      <c r="F142" s="204"/>
      <c r="G142" s="204"/>
      <c r="H142" s="204"/>
      <c r="I142" s="203"/>
      <c r="J142" s="203"/>
      <c r="K142" s="203"/>
      <c r="L142" s="205"/>
    </row>
    <row r="143" spans="1:12" x14ac:dyDescent="0.35">
      <c r="A143" s="203"/>
      <c r="B143" s="203"/>
      <c r="C143" s="203"/>
      <c r="D143" s="203"/>
      <c r="E143" s="203"/>
      <c r="F143" s="204"/>
      <c r="G143" s="204"/>
      <c r="H143" s="204"/>
      <c r="I143" s="203"/>
      <c r="J143" s="203"/>
      <c r="K143" s="203"/>
      <c r="L143" s="205"/>
    </row>
    <row r="144" spans="1:12" x14ac:dyDescent="0.35">
      <c r="A144" s="203"/>
      <c r="B144" s="203"/>
      <c r="C144" s="203"/>
      <c r="D144" s="203"/>
      <c r="E144" s="203"/>
      <c r="F144" s="204"/>
      <c r="G144" s="204"/>
      <c r="H144" s="204"/>
      <c r="I144" s="203"/>
      <c r="J144" s="203"/>
      <c r="K144" s="203"/>
      <c r="L144" s="205"/>
    </row>
    <row r="145" spans="1:12" x14ac:dyDescent="0.35">
      <c r="A145" s="203"/>
      <c r="B145" s="203"/>
      <c r="C145" s="203"/>
      <c r="D145" s="203"/>
      <c r="E145" s="203"/>
      <c r="F145" s="204"/>
      <c r="G145" s="204"/>
      <c r="H145" s="204"/>
      <c r="I145" s="203"/>
      <c r="J145" s="203"/>
      <c r="K145" s="203"/>
      <c r="L145" s="205"/>
    </row>
    <row r="146" spans="1:12" x14ac:dyDescent="0.35">
      <c r="A146" s="203"/>
      <c r="B146" s="203"/>
      <c r="C146" s="203"/>
      <c r="D146" s="203"/>
      <c r="E146" s="203"/>
      <c r="F146" s="204"/>
      <c r="G146" s="204"/>
      <c r="H146" s="204"/>
      <c r="I146" s="203"/>
      <c r="J146" s="203"/>
      <c r="K146" s="203"/>
      <c r="L146" s="205"/>
    </row>
    <row r="147" spans="1:12" x14ac:dyDescent="0.35">
      <c r="A147" s="203"/>
      <c r="B147" s="203"/>
      <c r="C147" s="203"/>
      <c r="D147" s="203"/>
      <c r="E147" s="203"/>
      <c r="F147" s="204"/>
      <c r="G147" s="204"/>
      <c r="H147" s="204"/>
      <c r="I147" s="203"/>
      <c r="J147" s="203"/>
      <c r="K147" s="203"/>
      <c r="L147" s="205"/>
    </row>
    <row r="148" spans="1:12" x14ac:dyDescent="0.35">
      <c r="A148" s="203"/>
      <c r="B148" s="203"/>
      <c r="C148" s="203"/>
      <c r="D148" s="203"/>
      <c r="E148" s="203"/>
      <c r="F148" s="204"/>
      <c r="G148" s="204"/>
      <c r="H148" s="204"/>
      <c r="I148" s="203"/>
      <c r="J148" s="203"/>
      <c r="K148" s="203"/>
      <c r="L148" s="205"/>
    </row>
    <row r="149" spans="1:12" x14ac:dyDescent="0.35">
      <c r="A149" s="203"/>
      <c r="B149" s="203"/>
      <c r="C149" s="203"/>
      <c r="D149" s="203"/>
      <c r="E149" s="203"/>
      <c r="F149" s="204"/>
      <c r="G149" s="204"/>
      <c r="H149" s="204"/>
      <c r="I149" s="203"/>
      <c r="J149" s="203"/>
      <c r="K149" s="203"/>
      <c r="L149" s="205"/>
    </row>
    <row r="150" spans="1:12" x14ac:dyDescent="0.35">
      <c r="A150" s="203"/>
      <c r="B150" s="203"/>
      <c r="C150" s="203"/>
      <c r="D150" s="203"/>
      <c r="E150" s="203"/>
      <c r="F150" s="204"/>
      <c r="G150" s="204"/>
      <c r="H150" s="204"/>
      <c r="I150" s="203"/>
      <c r="J150" s="203"/>
      <c r="K150" s="203"/>
      <c r="L150" s="205"/>
    </row>
    <row r="151" spans="1:12" x14ac:dyDescent="0.35">
      <c r="A151" s="203"/>
      <c r="B151" s="203"/>
      <c r="C151" s="203"/>
      <c r="D151" s="203"/>
      <c r="E151" s="203"/>
      <c r="F151" s="204"/>
      <c r="G151" s="204"/>
      <c r="H151" s="204"/>
      <c r="I151" s="203"/>
      <c r="J151" s="203"/>
      <c r="K151" s="203"/>
      <c r="L151" s="205"/>
    </row>
    <row r="152" spans="1:12" x14ac:dyDescent="0.35">
      <c r="A152" s="203"/>
      <c r="B152" s="203"/>
      <c r="C152" s="203"/>
      <c r="D152" s="203"/>
      <c r="E152" s="203"/>
      <c r="F152" s="204"/>
      <c r="G152" s="204"/>
      <c r="H152" s="204"/>
      <c r="I152" s="203"/>
      <c r="J152" s="203"/>
      <c r="K152" s="203"/>
      <c r="L152" s="205"/>
    </row>
    <row r="153" spans="1:12" x14ac:dyDescent="0.35">
      <c r="A153" s="203"/>
      <c r="B153" s="203"/>
      <c r="C153" s="203"/>
      <c r="D153" s="203"/>
      <c r="E153" s="203"/>
      <c r="F153" s="204"/>
      <c r="G153" s="204"/>
      <c r="H153" s="204"/>
      <c r="I153" s="203"/>
      <c r="J153" s="203"/>
      <c r="K153" s="203"/>
      <c r="L153" s="205"/>
    </row>
    <row r="154" spans="1:12" x14ac:dyDescent="0.35">
      <c r="A154" s="203"/>
      <c r="B154" s="203"/>
      <c r="C154" s="203"/>
      <c r="D154" s="203"/>
      <c r="E154" s="203"/>
      <c r="F154" s="204"/>
      <c r="G154" s="204"/>
      <c r="H154" s="204"/>
      <c r="I154" s="203"/>
      <c r="J154" s="203"/>
      <c r="K154" s="203"/>
      <c r="L154" s="205"/>
    </row>
    <row r="155" spans="1:12" x14ac:dyDescent="0.35">
      <c r="A155" s="203"/>
      <c r="B155" s="203"/>
      <c r="C155" s="203"/>
      <c r="D155" s="203"/>
      <c r="E155" s="203"/>
      <c r="F155" s="204"/>
      <c r="G155" s="204"/>
      <c r="H155" s="204"/>
      <c r="I155" s="203"/>
      <c r="J155" s="203"/>
      <c r="K155" s="203"/>
      <c r="L155" s="205"/>
    </row>
    <row r="156" spans="1:12" x14ac:dyDescent="0.35">
      <c r="A156" s="203"/>
      <c r="B156" s="203"/>
      <c r="C156" s="203"/>
      <c r="D156" s="203"/>
      <c r="E156" s="203"/>
      <c r="F156" s="204"/>
      <c r="G156" s="204"/>
      <c r="H156" s="204"/>
      <c r="I156" s="203"/>
      <c r="J156" s="203"/>
      <c r="K156" s="203"/>
      <c r="L156" s="205"/>
    </row>
    <row r="157" spans="1:12" x14ac:dyDescent="0.35">
      <c r="A157" s="203"/>
      <c r="B157" s="203"/>
      <c r="C157" s="203"/>
      <c r="D157" s="203"/>
      <c r="E157" s="203"/>
      <c r="F157" s="204"/>
      <c r="G157" s="204"/>
      <c r="H157" s="204"/>
      <c r="I157" s="203"/>
      <c r="J157" s="203"/>
      <c r="K157" s="203"/>
      <c r="L157" s="205"/>
    </row>
    <row r="158" spans="1:12" x14ac:dyDescent="0.35">
      <c r="A158" s="203"/>
      <c r="B158" s="203"/>
      <c r="C158" s="203"/>
      <c r="D158" s="203"/>
      <c r="E158" s="203"/>
      <c r="F158" s="204"/>
      <c r="G158" s="204"/>
      <c r="H158" s="204"/>
      <c r="I158" s="203"/>
      <c r="J158" s="203"/>
      <c r="K158" s="203"/>
      <c r="L158" s="205"/>
    </row>
    <row r="159" spans="1:12" x14ac:dyDescent="0.35">
      <c r="A159" s="203"/>
      <c r="B159" s="203"/>
      <c r="C159" s="203"/>
      <c r="D159" s="203"/>
      <c r="E159" s="203"/>
      <c r="F159" s="204"/>
      <c r="G159" s="204"/>
      <c r="H159" s="204"/>
      <c r="I159" s="203"/>
      <c r="J159" s="203"/>
      <c r="K159" s="203"/>
      <c r="L159" s="205"/>
    </row>
    <row r="160" spans="1:12" x14ac:dyDescent="0.35">
      <c r="A160" s="203"/>
      <c r="B160" s="203"/>
      <c r="C160" s="203"/>
      <c r="D160" s="203"/>
      <c r="E160" s="203"/>
      <c r="F160" s="204"/>
      <c r="G160" s="204"/>
      <c r="H160" s="204"/>
      <c r="I160" s="203"/>
      <c r="J160" s="203"/>
      <c r="K160" s="203"/>
      <c r="L160" s="205"/>
    </row>
    <row r="161" spans="1:12" x14ac:dyDescent="0.35">
      <c r="A161" s="203"/>
      <c r="B161" s="203"/>
      <c r="C161" s="203"/>
      <c r="D161" s="203"/>
      <c r="E161" s="203"/>
      <c r="F161" s="204"/>
      <c r="G161" s="204"/>
      <c r="H161" s="204"/>
      <c r="I161" s="203"/>
      <c r="J161" s="203"/>
      <c r="K161" s="203"/>
      <c r="L161" s="205"/>
    </row>
    <row r="162" spans="1:12" x14ac:dyDescent="0.35">
      <c r="A162" s="203"/>
      <c r="B162" s="203"/>
      <c r="C162" s="203"/>
      <c r="D162" s="203"/>
      <c r="E162" s="203"/>
      <c r="F162" s="204"/>
      <c r="G162" s="204"/>
      <c r="H162" s="204"/>
      <c r="I162" s="203"/>
      <c r="J162" s="203"/>
      <c r="K162" s="203"/>
      <c r="L162" s="205"/>
    </row>
    <row r="163" spans="1:12" x14ac:dyDescent="0.35">
      <c r="A163" s="203"/>
      <c r="B163" s="203"/>
      <c r="C163" s="203"/>
      <c r="D163" s="203"/>
      <c r="E163" s="203"/>
      <c r="F163" s="204"/>
      <c r="G163" s="204"/>
      <c r="H163" s="204"/>
      <c r="I163" s="203"/>
      <c r="J163" s="203"/>
      <c r="K163" s="203"/>
      <c r="L163" s="205"/>
    </row>
    <row r="164" spans="1:12" x14ac:dyDescent="0.35">
      <c r="A164" s="203"/>
      <c r="B164" s="203"/>
      <c r="C164" s="203"/>
      <c r="D164" s="203"/>
      <c r="E164" s="203"/>
      <c r="F164" s="204"/>
      <c r="G164" s="204"/>
      <c r="H164" s="204"/>
      <c r="I164" s="203"/>
      <c r="J164" s="203"/>
      <c r="K164" s="203"/>
      <c r="L164" s="205"/>
    </row>
    <row r="165" spans="1:12" x14ac:dyDescent="0.35">
      <c r="A165" s="203"/>
      <c r="B165" s="203"/>
      <c r="C165" s="203"/>
      <c r="D165" s="203"/>
      <c r="E165" s="203"/>
      <c r="F165" s="204"/>
      <c r="G165" s="204"/>
      <c r="H165" s="204"/>
      <c r="I165" s="203"/>
      <c r="J165" s="203"/>
      <c r="K165" s="203"/>
      <c r="L165" s="205"/>
    </row>
    <row r="166" spans="1:12" x14ac:dyDescent="0.35">
      <c r="A166" s="203"/>
      <c r="B166" s="203"/>
      <c r="C166" s="203"/>
      <c r="D166" s="203"/>
      <c r="E166" s="203"/>
      <c r="F166" s="204"/>
      <c r="G166" s="204"/>
      <c r="H166" s="204"/>
      <c r="I166" s="203"/>
      <c r="J166" s="203"/>
      <c r="K166" s="203"/>
      <c r="L166" s="205"/>
    </row>
    <row r="167" spans="1:12" x14ac:dyDescent="0.35">
      <c r="A167" s="203"/>
      <c r="B167" s="203"/>
      <c r="C167" s="203"/>
      <c r="D167" s="203"/>
      <c r="E167" s="203"/>
      <c r="F167" s="204"/>
      <c r="G167" s="204"/>
      <c r="H167" s="204"/>
      <c r="I167" s="203"/>
      <c r="J167" s="203"/>
      <c r="K167" s="203"/>
      <c r="L167" s="205"/>
    </row>
    <row r="168" spans="1:12" x14ac:dyDescent="0.35">
      <c r="A168" s="203"/>
      <c r="B168" s="203"/>
      <c r="C168" s="203"/>
      <c r="D168" s="203"/>
      <c r="E168" s="203"/>
      <c r="F168" s="204"/>
      <c r="G168" s="204"/>
      <c r="H168" s="204"/>
      <c r="I168" s="203"/>
      <c r="J168" s="203"/>
      <c r="K168" s="203"/>
      <c r="L168" s="205"/>
    </row>
    <row r="169" spans="1:12" x14ac:dyDescent="0.35">
      <c r="A169" s="203"/>
      <c r="B169" s="203"/>
      <c r="C169" s="203"/>
      <c r="D169" s="203"/>
      <c r="E169" s="203"/>
      <c r="F169" s="204"/>
      <c r="G169" s="204"/>
      <c r="H169" s="204"/>
      <c r="I169" s="203"/>
      <c r="J169" s="203"/>
      <c r="K169" s="203"/>
      <c r="L169" s="205"/>
    </row>
    <row r="170" spans="1:12" x14ac:dyDescent="0.35">
      <c r="A170" s="203"/>
      <c r="B170" s="203"/>
      <c r="C170" s="203"/>
      <c r="D170" s="203"/>
      <c r="E170" s="203"/>
      <c r="F170" s="204"/>
      <c r="G170" s="204"/>
      <c r="H170" s="204"/>
      <c r="I170" s="203"/>
      <c r="J170" s="203"/>
      <c r="K170" s="203"/>
      <c r="L170" s="205"/>
    </row>
    <row r="171" spans="1:12" x14ac:dyDescent="0.35">
      <c r="A171" s="203"/>
      <c r="B171" s="203"/>
      <c r="C171" s="203"/>
      <c r="D171" s="203"/>
      <c r="E171" s="203"/>
      <c r="F171" s="204"/>
      <c r="G171" s="204"/>
      <c r="H171" s="204"/>
      <c r="I171" s="203"/>
      <c r="J171" s="203"/>
      <c r="K171" s="203"/>
      <c r="L171" s="205"/>
    </row>
    <row r="172" spans="1:12" x14ac:dyDescent="0.35">
      <c r="A172" s="203"/>
      <c r="B172" s="203"/>
      <c r="C172" s="203"/>
      <c r="D172" s="203"/>
      <c r="E172" s="203"/>
      <c r="F172" s="204"/>
      <c r="G172" s="204"/>
      <c r="H172" s="204"/>
      <c r="I172" s="203"/>
      <c r="J172" s="203"/>
      <c r="K172" s="203"/>
      <c r="L172" s="205"/>
    </row>
    <row r="173" spans="1:12" x14ac:dyDescent="0.35">
      <c r="A173" s="203"/>
      <c r="B173" s="203"/>
      <c r="C173" s="203"/>
      <c r="D173" s="203"/>
      <c r="E173" s="203"/>
      <c r="F173" s="204"/>
      <c r="G173" s="204"/>
      <c r="H173" s="204"/>
      <c r="I173" s="203"/>
      <c r="J173" s="203"/>
      <c r="K173" s="203"/>
      <c r="L173" s="205"/>
    </row>
    <row r="174" spans="1:12" x14ac:dyDescent="0.35">
      <c r="A174" s="203"/>
      <c r="B174" s="203"/>
      <c r="C174" s="203"/>
      <c r="D174" s="203"/>
      <c r="E174" s="203"/>
      <c r="F174" s="204"/>
      <c r="G174" s="204"/>
      <c r="H174" s="204"/>
      <c r="I174" s="203"/>
      <c r="J174" s="203"/>
      <c r="K174" s="203"/>
      <c r="L174" s="205"/>
    </row>
    <row r="175" spans="1:12" x14ac:dyDescent="0.35">
      <c r="A175" s="203"/>
      <c r="B175" s="203"/>
      <c r="C175" s="203"/>
      <c r="D175" s="203"/>
      <c r="E175" s="203"/>
      <c r="F175" s="204"/>
      <c r="G175" s="204"/>
      <c r="H175" s="204"/>
      <c r="I175" s="203"/>
      <c r="J175" s="203"/>
      <c r="K175" s="203"/>
      <c r="L175" s="205"/>
    </row>
    <row r="176" spans="1:12" x14ac:dyDescent="0.35">
      <c r="A176" s="203"/>
      <c r="B176" s="203"/>
      <c r="C176" s="203"/>
      <c r="D176" s="203"/>
      <c r="E176" s="203"/>
      <c r="F176" s="204"/>
      <c r="G176" s="204"/>
      <c r="H176" s="204"/>
      <c r="I176" s="203"/>
      <c r="J176" s="203"/>
      <c r="K176" s="203"/>
      <c r="L176" s="205"/>
    </row>
    <row r="177" spans="1:12" x14ac:dyDescent="0.35">
      <c r="A177" s="203"/>
      <c r="B177" s="203"/>
      <c r="C177" s="203"/>
      <c r="D177" s="203"/>
      <c r="E177" s="203"/>
      <c r="F177" s="204"/>
      <c r="G177" s="204"/>
      <c r="H177" s="204"/>
      <c r="I177" s="203"/>
      <c r="J177" s="203"/>
      <c r="K177" s="203"/>
      <c r="L177" s="205"/>
    </row>
    <row r="178" spans="1:12" x14ac:dyDescent="0.35">
      <c r="A178" s="203"/>
      <c r="B178" s="203"/>
      <c r="C178" s="203"/>
      <c r="D178" s="203"/>
      <c r="E178" s="203"/>
      <c r="F178" s="204"/>
      <c r="G178" s="204"/>
      <c r="H178" s="204"/>
      <c r="I178" s="203"/>
      <c r="J178" s="203"/>
      <c r="K178" s="203"/>
      <c r="L178" s="205"/>
    </row>
    <row r="179" spans="1:12" x14ac:dyDescent="0.35">
      <c r="A179" s="203"/>
      <c r="B179" s="203"/>
      <c r="C179" s="203"/>
      <c r="D179" s="203"/>
      <c r="E179" s="203"/>
      <c r="F179" s="204"/>
      <c r="G179" s="204"/>
      <c r="H179" s="204"/>
      <c r="I179" s="203"/>
      <c r="J179" s="203"/>
      <c r="K179" s="203"/>
      <c r="L179" s="205"/>
    </row>
    <row r="180" spans="1:12" x14ac:dyDescent="0.35">
      <c r="A180" s="203"/>
      <c r="B180" s="203"/>
      <c r="C180" s="203"/>
      <c r="D180" s="203"/>
      <c r="E180" s="203"/>
      <c r="F180" s="204"/>
      <c r="G180" s="204"/>
      <c r="H180" s="204"/>
      <c r="I180" s="203"/>
      <c r="J180" s="203"/>
      <c r="K180" s="203"/>
      <c r="L180" s="205"/>
    </row>
    <row r="181" spans="1:12" x14ac:dyDescent="0.35">
      <c r="A181" s="203"/>
      <c r="B181" s="203"/>
      <c r="C181" s="203"/>
      <c r="D181" s="203"/>
      <c r="E181" s="203"/>
      <c r="F181" s="204"/>
      <c r="G181" s="204"/>
      <c r="H181" s="204"/>
      <c r="I181" s="203"/>
      <c r="J181" s="203"/>
      <c r="K181" s="203"/>
      <c r="L181" s="205"/>
    </row>
    <row r="182" spans="1:12" x14ac:dyDescent="0.35">
      <c r="A182" s="203"/>
      <c r="B182" s="203"/>
      <c r="C182" s="203"/>
      <c r="D182" s="203"/>
      <c r="E182" s="203"/>
      <c r="F182" s="204"/>
      <c r="G182" s="204"/>
      <c r="H182" s="204"/>
      <c r="I182" s="203"/>
      <c r="J182" s="203"/>
      <c r="K182" s="203"/>
      <c r="L182" s="205"/>
    </row>
    <row r="183" spans="1:12" x14ac:dyDescent="0.35">
      <c r="A183" s="203"/>
      <c r="B183" s="203"/>
      <c r="C183" s="203"/>
      <c r="D183" s="203"/>
      <c r="E183" s="203"/>
      <c r="F183" s="204"/>
      <c r="G183" s="204"/>
      <c r="H183" s="204"/>
      <c r="I183" s="203"/>
      <c r="J183" s="203"/>
      <c r="K183" s="203"/>
      <c r="L183" s="205"/>
    </row>
    <row r="184" spans="1:12" x14ac:dyDescent="0.35">
      <c r="A184" s="203"/>
      <c r="B184" s="203"/>
      <c r="C184" s="203"/>
      <c r="D184" s="203"/>
      <c r="E184" s="203"/>
      <c r="F184" s="204"/>
      <c r="G184" s="204"/>
      <c r="H184" s="204"/>
      <c r="I184" s="203"/>
      <c r="J184" s="203"/>
      <c r="K184" s="203"/>
      <c r="L184" s="205"/>
    </row>
    <row r="185" spans="1:12" x14ac:dyDescent="0.35">
      <c r="A185" s="203"/>
      <c r="B185" s="203"/>
      <c r="C185" s="203"/>
      <c r="D185" s="203"/>
      <c r="E185" s="203"/>
      <c r="F185" s="204"/>
      <c r="G185" s="204"/>
      <c r="H185" s="204"/>
      <c r="I185" s="203"/>
      <c r="J185" s="203"/>
      <c r="K185" s="203"/>
      <c r="L185" s="205"/>
    </row>
    <row r="186" spans="1:12" x14ac:dyDescent="0.35">
      <c r="A186" s="203"/>
      <c r="B186" s="203"/>
      <c r="C186" s="203"/>
      <c r="D186" s="203"/>
      <c r="E186" s="203"/>
      <c r="F186" s="204"/>
      <c r="G186" s="204"/>
      <c r="H186" s="204"/>
      <c r="I186" s="203"/>
      <c r="J186" s="203"/>
      <c r="K186" s="203"/>
      <c r="L186" s="205"/>
    </row>
    <row r="187" spans="1:12" x14ac:dyDescent="0.35">
      <c r="A187" s="203"/>
      <c r="B187" s="203"/>
      <c r="C187" s="203"/>
      <c r="D187" s="203"/>
      <c r="E187" s="203"/>
      <c r="F187" s="204"/>
      <c r="G187" s="204"/>
      <c r="H187" s="204"/>
      <c r="I187" s="203"/>
      <c r="J187" s="203"/>
      <c r="K187" s="203"/>
      <c r="L187" s="205"/>
    </row>
    <row r="188" spans="1:12" x14ac:dyDescent="0.35">
      <c r="A188" s="203"/>
      <c r="B188" s="203"/>
      <c r="C188" s="203"/>
      <c r="D188" s="203"/>
      <c r="E188" s="203"/>
      <c r="F188" s="204"/>
      <c r="G188" s="204"/>
      <c r="H188" s="204"/>
      <c r="I188" s="203"/>
      <c r="J188" s="203"/>
      <c r="K188" s="203"/>
      <c r="L188" s="205"/>
    </row>
    <row r="189" spans="1:12" x14ac:dyDescent="0.35">
      <c r="A189" s="203"/>
      <c r="B189" s="203"/>
      <c r="C189" s="203"/>
      <c r="D189" s="203"/>
      <c r="E189" s="203"/>
      <c r="F189" s="204"/>
      <c r="G189" s="204"/>
      <c r="H189" s="204"/>
      <c r="I189" s="203"/>
      <c r="J189" s="203"/>
      <c r="K189" s="203"/>
      <c r="L189" s="205"/>
    </row>
    <row r="190" spans="1:12" x14ac:dyDescent="0.35">
      <c r="A190" s="203"/>
      <c r="B190" s="203"/>
      <c r="C190" s="203"/>
      <c r="D190" s="203"/>
      <c r="E190" s="203"/>
      <c r="F190" s="204"/>
      <c r="G190" s="204"/>
      <c r="H190" s="204"/>
      <c r="I190" s="203"/>
      <c r="J190" s="203"/>
      <c r="K190" s="203"/>
      <c r="L190" s="205"/>
    </row>
    <row r="191" spans="1:12" x14ac:dyDescent="0.35">
      <c r="A191" s="203"/>
      <c r="B191" s="203"/>
      <c r="C191" s="203"/>
      <c r="D191" s="203"/>
      <c r="E191" s="203"/>
      <c r="F191" s="204"/>
      <c r="G191" s="204"/>
      <c r="H191" s="204"/>
      <c r="I191" s="203"/>
      <c r="J191" s="203"/>
      <c r="K191" s="203"/>
      <c r="L191" s="205"/>
    </row>
    <row r="192" spans="1:12" x14ac:dyDescent="0.35">
      <c r="A192" s="203"/>
      <c r="B192" s="203"/>
      <c r="C192" s="203"/>
      <c r="D192" s="203"/>
      <c r="E192" s="203"/>
      <c r="F192" s="204"/>
      <c r="G192" s="204"/>
      <c r="H192" s="204"/>
      <c r="I192" s="203"/>
      <c r="J192" s="203"/>
      <c r="K192" s="203"/>
      <c r="L192" s="205"/>
    </row>
    <row r="193" spans="1:12" x14ac:dyDescent="0.35">
      <c r="A193" s="203"/>
      <c r="B193" s="203"/>
      <c r="C193" s="203"/>
      <c r="D193" s="203"/>
      <c r="E193" s="203"/>
      <c r="F193" s="204"/>
      <c r="G193" s="204"/>
      <c r="H193" s="204"/>
      <c r="I193" s="203"/>
      <c r="J193" s="203"/>
      <c r="K193" s="203"/>
      <c r="L193" s="205"/>
    </row>
    <row r="194" spans="1:12" x14ac:dyDescent="0.35">
      <c r="A194" s="203"/>
      <c r="B194" s="203"/>
      <c r="C194" s="203"/>
      <c r="D194" s="203"/>
      <c r="E194" s="203"/>
      <c r="F194" s="204"/>
      <c r="G194" s="204"/>
      <c r="H194" s="204"/>
      <c r="I194" s="203"/>
      <c r="J194" s="203"/>
      <c r="K194" s="203"/>
      <c r="L194" s="205"/>
    </row>
    <row r="195" spans="1:12" x14ac:dyDescent="0.35">
      <c r="A195" s="203"/>
      <c r="B195" s="203"/>
      <c r="C195" s="203"/>
      <c r="D195" s="203"/>
      <c r="E195" s="203"/>
      <c r="F195" s="204"/>
      <c r="G195" s="204"/>
      <c r="H195" s="204"/>
      <c r="I195" s="203"/>
      <c r="J195" s="203"/>
      <c r="K195" s="203"/>
      <c r="L195" s="205"/>
    </row>
    <row r="196" spans="1:12" x14ac:dyDescent="0.35">
      <c r="A196" s="203"/>
      <c r="B196" s="203"/>
      <c r="C196" s="203"/>
      <c r="D196" s="203"/>
      <c r="E196" s="203"/>
      <c r="F196" s="204"/>
      <c r="G196" s="204"/>
      <c r="H196" s="204"/>
      <c r="I196" s="203"/>
      <c r="J196" s="203"/>
      <c r="K196" s="203"/>
      <c r="L196" s="205"/>
    </row>
    <row r="197" spans="1:12" x14ac:dyDescent="0.35">
      <c r="A197" s="203"/>
      <c r="B197" s="203"/>
      <c r="C197" s="203"/>
      <c r="D197" s="203"/>
      <c r="E197" s="203"/>
      <c r="F197" s="204"/>
      <c r="G197" s="204"/>
      <c r="H197" s="204"/>
      <c r="I197" s="203"/>
      <c r="J197" s="203"/>
      <c r="K197" s="203"/>
      <c r="L197" s="205"/>
    </row>
    <row r="198" spans="1:12" x14ac:dyDescent="0.35">
      <c r="A198" s="203"/>
      <c r="B198" s="203"/>
      <c r="C198" s="203"/>
      <c r="D198" s="203"/>
      <c r="E198" s="203"/>
      <c r="F198" s="204"/>
      <c r="G198" s="204"/>
      <c r="H198" s="204"/>
      <c r="I198" s="203"/>
      <c r="J198" s="203"/>
      <c r="K198" s="203"/>
      <c r="L198" s="205"/>
    </row>
    <row r="199" spans="1:12" x14ac:dyDescent="0.35">
      <c r="A199" s="203"/>
      <c r="B199" s="203"/>
      <c r="C199" s="203"/>
      <c r="D199" s="203"/>
      <c r="E199" s="203"/>
      <c r="F199" s="204"/>
      <c r="G199" s="204"/>
      <c r="H199" s="204"/>
      <c r="I199" s="203"/>
      <c r="J199" s="203"/>
      <c r="K199" s="203"/>
      <c r="L199" s="205"/>
    </row>
    <row r="200" spans="1:12" x14ac:dyDescent="0.35">
      <c r="A200" s="203"/>
      <c r="B200" s="203"/>
      <c r="C200" s="203"/>
      <c r="D200" s="203"/>
      <c r="E200" s="203"/>
      <c r="F200" s="204"/>
      <c r="G200" s="204"/>
      <c r="H200" s="204"/>
      <c r="I200" s="203"/>
      <c r="J200" s="203"/>
      <c r="K200" s="203"/>
      <c r="L200" s="205"/>
    </row>
    <row r="201" spans="1:12" x14ac:dyDescent="0.35">
      <c r="A201" s="203"/>
      <c r="B201" s="203"/>
      <c r="C201" s="203"/>
      <c r="D201" s="203"/>
      <c r="E201" s="203"/>
      <c r="F201" s="204"/>
      <c r="G201" s="204"/>
      <c r="H201" s="204"/>
      <c r="I201" s="203"/>
      <c r="J201" s="203"/>
      <c r="K201" s="203"/>
      <c r="L201" s="205"/>
    </row>
    <row r="202" spans="1:12" x14ac:dyDescent="0.35">
      <c r="A202" s="203"/>
      <c r="B202" s="203"/>
      <c r="C202" s="203"/>
      <c r="D202" s="203"/>
      <c r="E202" s="203"/>
      <c r="F202" s="204"/>
      <c r="G202" s="204"/>
      <c r="H202" s="204"/>
      <c r="I202" s="203"/>
      <c r="J202" s="203"/>
      <c r="K202" s="203"/>
      <c r="L202" s="205"/>
    </row>
    <row r="203" spans="1:12" x14ac:dyDescent="0.35">
      <c r="A203" s="203"/>
      <c r="B203" s="203"/>
      <c r="C203" s="203"/>
      <c r="D203" s="203"/>
      <c r="E203" s="203"/>
      <c r="F203" s="204"/>
      <c r="G203" s="204"/>
      <c r="H203" s="204"/>
      <c r="I203" s="203"/>
      <c r="J203" s="203"/>
      <c r="K203" s="203"/>
      <c r="L203" s="205"/>
    </row>
    <row r="204" spans="1:12" x14ac:dyDescent="0.35">
      <c r="A204" s="203"/>
      <c r="B204" s="203"/>
      <c r="C204" s="203"/>
      <c r="D204" s="203"/>
      <c r="E204" s="203"/>
      <c r="F204" s="204"/>
      <c r="G204" s="204"/>
      <c r="H204" s="204"/>
      <c r="I204" s="203"/>
      <c r="J204" s="203"/>
      <c r="K204" s="203"/>
      <c r="L204" s="205"/>
    </row>
    <row r="205" spans="1:12" x14ac:dyDescent="0.35">
      <c r="A205" s="203"/>
      <c r="B205" s="203"/>
      <c r="C205" s="203"/>
      <c r="D205" s="203"/>
      <c r="E205" s="203"/>
      <c r="F205" s="204"/>
      <c r="G205" s="204"/>
      <c r="H205" s="204"/>
      <c r="I205" s="203"/>
      <c r="J205" s="203"/>
      <c r="K205" s="203"/>
      <c r="L205" s="205"/>
    </row>
    <row r="206" spans="1:12" x14ac:dyDescent="0.35">
      <c r="A206" s="203"/>
      <c r="B206" s="203"/>
      <c r="C206" s="203"/>
      <c r="D206" s="203"/>
      <c r="E206" s="203"/>
      <c r="F206" s="204"/>
      <c r="G206" s="204"/>
      <c r="H206" s="204"/>
      <c r="I206" s="203"/>
      <c r="J206" s="203"/>
      <c r="K206" s="203"/>
      <c r="L206" s="205"/>
    </row>
    <row r="207" spans="1:12" x14ac:dyDescent="0.35">
      <c r="A207" s="203"/>
      <c r="B207" s="203"/>
      <c r="C207" s="203"/>
      <c r="D207" s="203"/>
      <c r="E207" s="203"/>
      <c r="F207" s="204"/>
      <c r="G207" s="204"/>
      <c r="H207" s="204"/>
      <c r="I207" s="203"/>
      <c r="J207" s="203"/>
      <c r="K207" s="203"/>
      <c r="L207" s="205"/>
    </row>
    <row r="208" spans="1:12" x14ac:dyDescent="0.35">
      <c r="A208" s="203"/>
      <c r="B208" s="203"/>
      <c r="C208" s="203"/>
      <c r="D208" s="203"/>
      <c r="E208" s="203"/>
      <c r="F208" s="204"/>
      <c r="G208" s="204"/>
      <c r="H208" s="204"/>
      <c r="I208" s="203"/>
      <c r="J208" s="203"/>
      <c r="K208" s="203"/>
      <c r="L208" s="205"/>
    </row>
    <row r="209" spans="1:12" x14ac:dyDescent="0.35">
      <c r="A209" s="203"/>
      <c r="B209" s="203"/>
      <c r="C209" s="203"/>
      <c r="D209" s="203"/>
      <c r="E209" s="203"/>
      <c r="F209" s="204"/>
      <c r="G209" s="204"/>
      <c r="H209" s="204"/>
      <c r="I209" s="203"/>
      <c r="J209" s="203"/>
      <c r="K209" s="203"/>
      <c r="L209" s="205"/>
    </row>
    <row r="210" spans="1:12" x14ac:dyDescent="0.35">
      <c r="A210" s="203"/>
      <c r="B210" s="203"/>
      <c r="C210" s="203"/>
      <c r="D210" s="203"/>
      <c r="E210" s="203"/>
      <c r="F210" s="204"/>
      <c r="G210" s="204"/>
      <c r="H210" s="204"/>
      <c r="I210" s="203"/>
      <c r="J210" s="203"/>
      <c r="K210" s="203"/>
      <c r="L210" s="205"/>
    </row>
    <row r="211" spans="1:12" x14ac:dyDescent="0.35">
      <c r="A211" s="203"/>
      <c r="B211" s="203"/>
      <c r="C211" s="203"/>
      <c r="D211" s="203"/>
      <c r="E211" s="203"/>
      <c r="F211" s="204"/>
      <c r="G211" s="204"/>
      <c r="H211" s="204"/>
      <c r="I211" s="203"/>
      <c r="J211" s="203"/>
      <c r="K211" s="203"/>
      <c r="L211" s="205"/>
    </row>
    <row r="212" spans="1:12" x14ac:dyDescent="0.35">
      <c r="A212" s="203"/>
      <c r="B212" s="203"/>
      <c r="C212" s="203"/>
      <c r="D212" s="203"/>
      <c r="E212" s="203"/>
      <c r="F212" s="204"/>
      <c r="G212" s="204"/>
      <c r="H212" s="204"/>
      <c r="I212" s="203"/>
      <c r="J212" s="203"/>
      <c r="K212" s="203"/>
      <c r="L212" s="205"/>
    </row>
    <row r="213" spans="1:12" x14ac:dyDescent="0.35">
      <c r="A213" s="203"/>
      <c r="B213" s="203"/>
      <c r="C213" s="203"/>
      <c r="D213" s="203"/>
      <c r="E213" s="203"/>
      <c r="F213" s="204"/>
      <c r="G213" s="204"/>
      <c r="H213" s="204"/>
      <c r="I213" s="203"/>
      <c r="J213" s="203"/>
      <c r="K213" s="203"/>
      <c r="L213" s="205"/>
    </row>
    <row r="214" spans="1:12" x14ac:dyDescent="0.35">
      <c r="A214" s="203"/>
      <c r="B214" s="203"/>
      <c r="C214" s="203"/>
      <c r="D214" s="203"/>
      <c r="E214" s="203"/>
      <c r="F214" s="204"/>
      <c r="G214" s="204"/>
      <c r="H214" s="204"/>
      <c r="I214" s="203"/>
      <c r="J214" s="203"/>
      <c r="K214" s="203"/>
      <c r="L214" s="205"/>
    </row>
    <row r="215" spans="1:12" x14ac:dyDescent="0.35">
      <c r="A215" s="203"/>
      <c r="B215" s="203"/>
      <c r="C215" s="203"/>
      <c r="D215" s="203"/>
      <c r="E215" s="203"/>
      <c r="F215" s="204"/>
      <c r="G215" s="204"/>
      <c r="H215" s="204"/>
      <c r="I215" s="203"/>
      <c r="J215" s="203"/>
      <c r="K215" s="203"/>
      <c r="L215" s="205"/>
    </row>
    <row r="216" spans="1:12" x14ac:dyDescent="0.35">
      <c r="A216" s="203"/>
      <c r="B216" s="203"/>
      <c r="C216" s="203"/>
      <c r="D216" s="203"/>
      <c r="E216" s="203"/>
      <c r="F216" s="204"/>
      <c r="G216" s="204"/>
      <c r="H216" s="204"/>
      <c r="I216" s="203"/>
      <c r="J216" s="203"/>
      <c r="K216" s="203"/>
      <c r="L216" s="205"/>
    </row>
    <row r="217" spans="1:12" x14ac:dyDescent="0.35">
      <c r="A217" s="203"/>
      <c r="B217" s="203"/>
      <c r="C217" s="203"/>
      <c r="D217" s="203"/>
      <c r="E217" s="203"/>
      <c r="F217" s="204"/>
      <c r="G217" s="204"/>
      <c r="H217" s="204"/>
      <c r="I217" s="203"/>
      <c r="J217" s="203"/>
      <c r="K217" s="203"/>
      <c r="L217" s="205"/>
    </row>
    <row r="218" spans="1:12" x14ac:dyDescent="0.35">
      <c r="A218" s="203"/>
      <c r="B218" s="203"/>
      <c r="C218" s="203"/>
      <c r="D218" s="203"/>
      <c r="E218" s="203"/>
      <c r="F218" s="204"/>
      <c r="G218" s="204"/>
      <c r="H218" s="204"/>
      <c r="I218" s="203"/>
      <c r="J218" s="203"/>
      <c r="K218" s="203"/>
      <c r="L218" s="205"/>
    </row>
    <row r="219" spans="1:12" x14ac:dyDescent="0.35">
      <c r="A219" s="203"/>
      <c r="B219" s="203"/>
      <c r="C219" s="203"/>
      <c r="D219" s="203"/>
      <c r="E219" s="203"/>
      <c r="F219" s="204"/>
      <c r="G219" s="204"/>
      <c r="H219" s="204"/>
      <c r="I219" s="203"/>
      <c r="J219" s="203"/>
      <c r="K219" s="203"/>
      <c r="L219" s="205"/>
    </row>
    <row r="220" spans="1:12" x14ac:dyDescent="0.35">
      <c r="A220" s="203"/>
      <c r="B220" s="203"/>
      <c r="C220" s="203"/>
      <c r="D220" s="203"/>
      <c r="E220" s="203"/>
      <c r="F220" s="204"/>
      <c r="G220" s="204"/>
      <c r="H220" s="204"/>
      <c r="I220" s="203"/>
      <c r="J220" s="203"/>
      <c r="K220" s="203"/>
      <c r="L220" s="205"/>
    </row>
    <row r="221" spans="1:12" x14ac:dyDescent="0.35">
      <c r="A221" s="203"/>
      <c r="B221" s="203"/>
      <c r="C221" s="203"/>
      <c r="D221" s="203"/>
      <c r="E221" s="203"/>
      <c r="F221" s="204"/>
      <c r="G221" s="204"/>
      <c r="H221" s="204"/>
      <c r="I221" s="203"/>
      <c r="J221" s="203"/>
      <c r="K221" s="203"/>
      <c r="L221" s="205"/>
    </row>
    <row r="222" spans="1:12" x14ac:dyDescent="0.35">
      <c r="A222" s="203"/>
      <c r="B222" s="203"/>
      <c r="C222" s="203"/>
      <c r="D222" s="203"/>
      <c r="E222" s="203"/>
      <c r="F222" s="204"/>
      <c r="G222" s="204"/>
      <c r="H222" s="204"/>
      <c r="I222" s="203"/>
      <c r="J222" s="203"/>
      <c r="K222" s="203"/>
      <c r="L222" s="205"/>
    </row>
    <row r="223" spans="1:12" x14ac:dyDescent="0.35">
      <c r="A223" s="203"/>
      <c r="B223" s="203"/>
      <c r="C223" s="203"/>
      <c r="D223" s="203"/>
      <c r="E223" s="203"/>
      <c r="F223" s="204"/>
      <c r="G223" s="204"/>
      <c r="H223" s="204"/>
      <c r="I223" s="203"/>
      <c r="J223" s="203"/>
      <c r="K223" s="203"/>
      <c r="L223" s="205"/>
    </row>
    <row r="224" spans="1:12" x14ac:dyDescent="0.35">
      <c r="A224" s="203"/>
      <c r="B224" s="203"/>
      <c r="C224" s="203"/>
      <c r="D224" s="203"/>
      <c r="E224" s="203"/>
      <c r="F224" s="204"/>
      <c r="G224" s="204"/>
      <c r="H224" s="204"/>
      <c r="I224" s="203"/>
      <c r="J224" s="203"/>
      <c r="K224" s="203"/>
      <c r="L224" s="205"/>
    </row>
    <row r="225" spans="1:12" x14ac:dyDescent="0.35">
      <c r="A225" s="203"/>
      <c r="B225" s="203"/>
      <c r="C225" s="203"/>
      <c r="D225" s="203"/>
      <c r="E225" s="203"/>
      <c r="F225" s="204"/>
      <c r="G225" s="204"/>
      <c r="H225" s="204"/>
      <c r="I225" s="203"/>
      <c r="J225" s="203"/>
      <c r="K225" s="203"/>
      <c r="L225" s="205"/>
    </row>
    <row r="226" spans="1:12" x14ac:dyDescent="0.35">
      <c r="A226" s="203"/>
      <c r="B226" s="203"/>
      <c r="C226" s="203"/>
      <c r="D226" s="203"/>
      <c r="E226" s="203"/>
      <c r="F226" s="204"/>
      <c r="G226" s="204"/>
      <c r="H226" s="204"/>
      <c r="I226" s="203"/>
      <c r="J226" s="203"/>
      <c r="K226" s="203"/>
      <c r="L226" s="205"/>
    </row>
    <row r="227" spans="1:12" x14ac:dyDescent="0.35">
      <c r="A227" s="203"/>
      <c r="B227" s="203"/>
      <c r="C227" s="203"/>
      <c r="D227" s="203"/>
      <c r="E227" s="203"/>
      <c r="F227" s="204"/>
      <c r="G227" s="204"/>
      <c r="H227" s="204"/>
      <c r="I227" s="203"/>
      <c r="J227" s="203"/>
      <c r="K227" s="203"/>
      <c r="L227" s="205"/>
    </row>
    <row r="228" spans="1:12" x14ac:dyDescent="0.35">
      <c r="A228" s="203"/>
      <c r="B228" s="203"/>
      <c r="C228" s="203"/>
      <c r="D228" s="203"/>
      <c r="E228" s="203"/>
      <c r="F228" s="204"/>
      <c r="G228" s="204"/>
      <c r="H228" s="204"/>
      <c r="I228" s="203"/>
      <c r="J228" s="203"/>
      <c r="K228" s="203"/>
      <c r="L228" s="205"/>
    </row>
    <row r="229" spans="1:12" x14ac:dyDescent="0.35">
      <c r="A229" s="203"/>
      <c r="B229" s="203"/>
      <c r="C229" s="203"/>
      <c r="D229" s="203"/>
      <c r="E229" s="203"/>
      <c r="F229" s="204"/>
      <c r="G229" s="204"/>
      <c r="H229" s="204"/>
      <c r="I229" s="203"/>
      <c r="J229" s="203"/>
      <c r="K229" s="203"/>
      <c r="L229" s="205"/>
    </row>
    <row r="230" spans="1:12" x14ac:dyDescent="0.35">
      <c r="A230" s="203"/>
      <c r="B230" s="203"/>
      <c r="C230" s="203"/>
      <c r="D230" s="203"/>
      <c r="E230" s="203"/>
      <c r="F230" s="204"/>
      <c r="G230" s="204"/>
      <c r="H230" s="204"/>
      <c r="I230" s="203"/>
      <c r="J230" s="203"/>
      <c r="K230" s="203"/>
      <c r="L230" s="205"/>
    </row>
    <row r="231" spans="1:12" x14ac:dyDescent="0.35">
      <c r="A231" s="203"/>
      <c r="B231" s="203"/>
      <c r="C231" s="203"/>
      <c r="D231" s="203"/>
      <c r="E231" s="203"/>
      <c r="F231" s="204"/>
      <c r="G231" s="204"/>
      <c r="H231" s="204"/>
      <c r="I231" s="203"/>
      <c r="J231" s="203"/>
      <c r="K231" s="203"/>
      <c r="L231" s="205"/>
    </row>
    <row r="232" spans="1:12" x14ac:dyDescent="0.35">
      <c r="A232" s="203"/>
      <c r="B232" s="203"/>
      <c r="C232" s="203"/>
      <c r="D232" s="203"/>
      <c r="E232" s="203"/>
      <c r="F232" s="204"/>
      <c r="G232" s="204"/>
      <c r="H232" s="204"/>
      <c r="I232" s="203"/>
      <c r="J232" s="203"/>
      <c r="K232" s="203"/>
      <c r="L232" s="205"/>
    </row>
    <row r="233" spans="1:12" x14ac:dyDescent="0.35">
      <c r="A233" s="203"/>
      <c r="B233" s="203"/>
      <c r="C233" s="203"/>
      <c r="D233" s="203"/>
      <c r="E233" s="203"/>
      <c r="F233" s="204"/>
      <c r="G233" s="204"/>
      <c r="H233" s="204"/>
      <c r="I233" s="203"/>
      <c r="J233" s="203"/>
      <c r="K233" s="203"/>
      <c r="L233" s="205"/>
    </row>
    <row r="234" spans="1:12" x14ac:dyDescent="0.35">
      <c r="A234" s="203"/>
      <c r="B234" s="203"/>
      <c r="C234" s="203"/>
      <c r="D234" s="203"/>
      <c r="E234" s="203"/>
      <c r="F234" s="204"/>
      <c r="G234" s="204"/>
      <c r="H234" s="204"/>
      <c r="I234" s="203"/>
      <c r="J234" s="203"/>
      <c r="K234" s="203"/>
      <c r="L234" s="205"/>
    </row>
    <row r="235" spans="1:12" x14ac:dyDescent="0.35">
      <c r="A235" s="203"/>
      <c r="B235" s="203"/>
      <c r="C235" s="203"/>
      <c r="D235" s="203"/>
      <c r="E235" s="203"/>
      <c r="F235" s="204"/>
      <c r="G235" s="204"/>
      <c r="H235" s="204"/>
      <c r="I235" s="203"/>
      <c r="J235" s="203"/>
      <c r="K235" s="203"/>
      <c r="L235" s="205"/>
    </row>
    <row r="236" spans="1:12" x14ac:dyDescent="0.35">
      <c r="A236" s="203"/>
      <c r="B236" s="203"/>
      <c r="C236" s="203"/>
      <c r="D236" s="203"/>
      <c r="E236" s="203"/>
      <c r="F236" s="204"/>
      <c r="G236" s="204"/>
      <c r="H236" s="204"/>
      <c r="I236" s="203"/>
      <c r="J236" s="203"/>
      <c r="K236" s="203"/>
      <c r="L236" s="205"/>
    </row>
    <row r="237" spans="1:12" x14ac:dyDescent="0.35">
      <c r="A237" s="203"/>
      <c r="B237" s="203"/>
      <c r="C237" s="203"/>
      <c r="D237" s="203"/>
      <c r="E237" s="203"/>
      <c r="F237" s="204"/>
      <c r="G237" s="204"/>
      <c r="H237" s="204"/>
      <c r="I237" s="203"/>
      <c r="J237" s="203"/>
      <c r="K237" s="203"/>
      <c r="L237" s="205"/>
    </row>
    <row r="238" spans="1:12" x14ac:dyDescent="0.35">
      <c r="A238" s="203"/>
      <c r="B238" s="203"/>
      <c r="C238" s="203"/>
      <c r="D238" s="203"/>
      <c r="E238" s="203"/>
      <c r="F238" s="204"/>
      <c r="G238" s="204"/>
      <c r="H238" s="204"/>
      <c r="I238" s="203"/>
      <c r="J238" s="203"/>
      <c r="K238" s="203"/>
      <c r="L238" s="205"/>
    </row>
    <row r="239" spans="1:12" x14ac:dyDescent="0.35">
      <c r="A239" s="203"/>
      <c r="B239" s="203"/>
      <c r="C239" s="203"/>
      <c r="D239" s="203"/>
      <c r="E239" s="203"/>
      <c r="F239" s="204"/>
      <c r="G239" s="204"/>
      <c r="H239" s="204"/>
      <c r="I239" s="203"/>
      <c r="J239" s="203"/>
      <c r="K239" s="203"/>
      <c r="L239" s="205"/>
    </row>
    <row r="240" spans="1:12" x14ac:dyDescent="0.35">
      <c r="A240" s="203"/>
      <c r="B240" s="203"/>
      <c r="C240" s="203"/>
      <c r="D240" s="203"/>
      <c r="E240" s="203"/>
      <c r="F240" s="204"/>
      <c r="G240" s="204"/>
      <c r="H240" s="204"/>
      <c r="I240" s="203"/>
      <c r="J240" s="203"/>
      <c r="K240" s="203"/>
      <c r="L240" s="205"/>
    </row>
    <row r="241" spans="1:12" x14ac:dyDescent="0.35">
      <c r="A241" s="203"/>
      <c r="B241" s="203"/>
      <c r="C241" s="203"/>
      <c r="D241" s="203"/>
      <c r="E241" s="203"/>
      <c r="F241" s="204"/>
      <c r="G241" s="204"/>
      <c r="H241" s="204"/>
      <c r="I241" s="203"/>
      <c r="J241" s="203"/>
      <c r="K241" s="203"/>
      <c r="L241" s="205"/>
    </row>
    <row r="242" spans="1:12" x14ac:dyDescent="0.35">
      <c r="A242" s="203"/>
      <c r="B242" s="203"/>
      <c r="C242" s="203"/>
      <c r="D242" s="203"/>
      <c r="E242" s="203"/>
      <c r="F242" s="204"/>
      <c r="G242" s="204"/>
      <c r="H242" s="204"/>
      <c r="I242" s="203"/>
      <c r="J242" s="203"/>
      <c r="K242" s="203"/>
      <c r="L242" s="205"/>
    </row>
    <row r="243" spans="1:12" x14ac:dyDescent="0.35">
      <c r="A243" s="203"/>
      <c r="B243" s="203"/>
      <c r="C243" s="203"/>
      <c r="D243" s="203"/>
      <c r="E243" s="203"/>
      <c r="F243" s="204"/>
      <c r="G243" s="204"/>
      <c r="H243" s="204"/>
      <c r="I243" s="203"/>
      <c r="J243" s="203"/>
      <c r="K243" s="203"/>
      <c r="L243" s="205"/>
    </row>
    <row r="244" spans="1:12" x14ac:dyDescent="0.35">
      <c r="A244" s="203"/>
      <c r="B244" s="203"/>
      <c r="C244" s="203"/>
      <c r="D244" s="203"/>
      <c r="E244" s="203"/>
      <c r="F244" s="204"/>
      <c r="G244" s="204"/>
      <c r="H244" s="204"/>
      <c r="I244" s="203"/>
      <c r="J244" s="203"/>
      <c r="K244" s="203"/>
      <c r="L244" s="205"/>
    </row>
    <row r="245" spans="1:12" x14ac:dyDescent="0.35">
      <c r="A245" s="203"/>
      <c r="B245" s="203"/>
      <c r="C245" s="203"/>
      <c r="D245" s="203"/>
      <c r="E245" s="203"/>
      <c r="F245" s="204"/>
      <c r="G245" s="204"/>
      <c r="H245" s="204"/>
      <c r="I245" s="203"/>
      <c r="J245" s="203"/>
      <c r="K245" s="203"/>
      <c r="L245" s="205"/>
    </row>
    <row r="246" spans="1:12" x14ac:dyDescent="0.35">
      <c r="A246" s="203"/>
      <c r="B246" s="203"/>
      <c r="C246" s="203"/>
      <c r="D246" s="203"/>
      <c r="E246" s="203"/>
      <c r="F246" s="204"/>
      <c r="G246" s="204"/>
      <c r="H246" s="204"/>
      <c r="I246" s="203"/>
      <c r="J246" s="203"/>
      <c r="K246" s="203"/>
      <c r="L246" s="205"/>
    </row>
    <row r="247" spans="1:12" x14ac:dyDescent="0.35">
      <c r="A247" s="203"/>
      <c r="B247" s="203"/>
      <c r="C247" s="203"/>
      <c r="D247" s="203"/>
      <c r="E247" s="203"/>
      <c r="F247" s="204"/>
      <c r="G247" s="204"/>
      <c r="H247" s="204"/>
      <c r="I247" s="203"/>
      <c r="J247" s="203"/>
      <c r="K247" s="203"/>
      <c r="L247" s="205"/>
    </row>
    <row r="248" spans="1:12" x14ac:dyDescent="0.35">
      <c r="A248" s="203"/>
      <c r="B248" s="203"/>
      <c r="C248" s="203"/>
      <c r="D248" s="203"/>
      <c r="E248" s="203"/>
      <c r="F248" s="204"/>
      <c r="G248" s="204"/>
      <c r="H248" s="204"/>
      <c r="I248" s="203"/>
      <c r="J248" s="203"/>
      <c r="K248" s="203"/>
      <c r="L248" s="205"/>
    </row>
    <row r="249" spans="1:12" x14ac:dyDescent="0.35">
      <c r="A249" s="203"/>
      <c r="B249" s="203"/>
      <c r="C249" s="203"/>
      <c r="D249" s="203"/>
      <c r="E249" s="203"/>
      <c r="F249" s="204"/>
      <c r="G249" s="204"/>
      <c r="H249" s="204"/>
      <c r="I249" s="203"/>
      <c r="J249" s="203"/>
      <c r="K249" s="203"/>
      <c r="L249" s="205"/>
    </row>
    <row r="250" spans="1:12" x14ac:dyDescent="0.35">
      <c r="A250" s="203"/>
      <c r="B250" s="203"/>
      <c r="C250" s="203"/>
      <c r="D250" s="203"/>
      <c r="E250" s="203"/>
      <c r="F250" s="204"/>
      <c r="G250" s="204"/>
      <c r="H250" s="204"/>
      <c r="I250" s="203"/>
      <c r="J250" s="203"/>
      <c r="K250" s="203"/>
      <c r="L250" s="205"/>
    </row>
    <row r="251" spans="1:12" x14ac:dyDescent="0.35">
      <c r="A251" s="203"/>
      <c r="B251" s="203"/>
      <c r="C251" s="203"/>
      <c r="D251" s="203"/>
      <c r="E251" s="203"/>
      <c r="F251" s="204"/>
      <c r="G251" s="204"/>
      <c r="H251" s="204"/>
      <c r="I251" s="203"/>
      <c r="J251" s="203"/>
      <c r="K251" s="203"/>
      <c r="L251" s="205"/>
    </row>
    <row r="252" spans="1:12" x14ac:dyDescent="0.35">
      <c r="A252" s="203"/>
      <c r="B252" s="203"/>
      <c r="C252" s="203"/>
      <c r="D252" s="203"/>
      <c r="E252" s="203"/>
      <c r="F252" s="204"/>
      <c r="G252" s="204"/>
      <c r="H252" s="204"/>
      <c r="I252" s="203"/>
      <c r="J252" s="203"/>
      <c r="K252" s="203"/>
      <c r="L252" s="205"/>
    </row>
    <row r="253" spans="1:12" x14ac:dyDescent="0.35">
      <c r="A253" s="203"/>
      <c r="B253" s="203"/>
      <c r="C253" s="203"/>
      <c r="D253" s="203"/>
      <c r="E253" s="203"/>
      <c r="F253" s="204"/>
      <c r="G253" s="204"/>
      <c r="H253" s="204"/>
      <c r="I253" s="203"/>
      <c r="J253" s="203"/>
      <c r="K253" s="203"/>
      <c r="L253" s="205"/>
    </row>
    <row r="254" spans="1:12" x14ac:dyDescent="0.35">
      <c r="A254" s="203"/>
      <c r="B254" s="203"/>
      <c r="C254" s="203"/>
      <c r="D254" s="203"/>
      <c r="E254" s="203"/>
      <c r="F254" s="204"/>
      <c r="G254" s="204"/>
      <c r="H254" s="204"/>
      <c r="I254" s="203"/>
      <c r="J254" s="203"/>
      <c r="K254" s="203"/>
      <c r="L254" s="205"/>
    </row>
    <row r="255" spans="1:12" x14ac:dyDescent="0.35">
      <c r="A255" s="203"/>
      <c r="B255" s="203"/>
      <c r="C255" s="203"/>
      <c r="D255" s="203"/>
      <c r="E255" s="203"/>
      <c r="F255" s="204"/>
      <c r="G255" s="204"/>
      <c r="H255" s="204"/>
      <c r="I255" s="203"/>
      <c r="J255" s="203"/>
      <c r="K255" s="203"/>
      <c r="L255" s="205"/>
    </row>
    <row r="256" spans="1:12" x14ac:dyDescent="0.35">
      <c r="A256" s="203"/>
      <c r="B256" s="203"/>
      <c r="C256" s="203"/>
      <c r="D256" s="203"/>
      <c r="E256" s="203"/>
      <c r="F256" s="204"/>
      <c r="G256" s="204"/>
      <c r="H256" s="204"/>
      <c r="I256" s="203"/>
      <c r="J256" s="203"/>
      <c r="K256" s="203"/>
      <c r="L256" s="205"/>
    </row>
    <row r="257" spans="1:12" x14ac:dyDescent="0.35">
      <c r="A257" s="203"/>
      <c r="B257" s="203"/>
      <c r="C257" s="203"/>
      <c r="D257" s="203"/>
      <c r="E257" s="203"/>
      <c r="F257" s="204"/>
      <c r="G257" s="204"/>
      <c r="H257" s="204"/>
      <c r="I257" s="203"/>
      <c r="J257" s="203"/>
      <c r="K257" s="203"/>
      <c r="L257" s="205"/>
    </row>
    <row r="258" spans="1:12" x14ac:dyDescent="0.35">
      <c r="A258" s="203"/>
      <c r="B258" s="203"/>
      <c r="C258" s="203"/>
      <c r="D258" s="203"/>
      <c r="E258" s="203"/>
      <c r="F258" s="204"/>
      <c r="G258" s="204"/>
      <c r="H258" s="204"/>
      <c r="I258" s="203"/>
      <c r="J258" s="203"/>
      <c r="K258" s="203"/>
      <c r="L258" s="205"/>
    </row>
    <row r="259" spans="1:12" x14ac:dyDescent="0.35">
      <c r="A259" s="203"/>
      <c r="B259" s="203"/>
      <c r="C259" s="203"/>
      <c r="D259" s="203"/>
      <c r="E259" s="203"/>
      <c r="F259" s="204"/>
      <c r="G259" s="204"/>
      <c r="H259" s="204"/>
      <c r="I259" s="203"/>
      <c r="J259" s="203"/>
      <c r="K259" s="203"/>
      <c r="L259" s="205"/>
    </row>
    <row r="260" spans="1:12" x14ac:dyDescent="0.35">
      <c r="A260" s="203"/>
      <c r="B260" s="203"/>
      <c r="C260" s="203"/>
      <c r="D260" s="203"/>
      <c r="E260" s="203"/>
      <c r="F260" s="204"/>
      <c r="G260" s="204"/>
      <c r="H260" s="204"/>
      <c r="I260" s="203"/>
      <c r="J260" s="203"/>
      <c r="K260" s="203"/>
      <c r="L260" s="205"/>
    </row>
    <row r="261" spans="1:12" x14ac:dyDescent="0.35">
      <c r="A261" s="203"/>
      <c r="B261" s="203"/>
      <c r="C261" s="203"/>
      <c r="D261" s="203"/>
      <c r="E261" s="203"/>
      <c r="F261" s="204"/>
      <c r="G261" s="204"/>
      <c r="H261" s="204"/>
      <c r="I261" s="203"/>
      <c r="J261" s="203"/>
      <c r="K261" s="203"/>
      <c r="L261" s="205"/>
    </row>
    <row r="262" spans="1:12" x14ac:dyDescent="0.35">
      <c r="A262" s="203"/>
      <c r="B262" s="203"/>
      <c r="C262" s="203"/>
      <c r="D262" s="203"/>
      <c r="E262" s="203"/>
      <c r="F262" s="204"/>
      <c r="G262" s="204"/>
      <c r="H262" s="204"/>
      <c r="I262" s="203"/>
      <c r="J262" s="203"/>
      <c r="K262" s="203"/>
      <c r="L262" s="205"/>
    </row>
    <row r="263" spans="1:12" x14ac:dyDescent="0.35">
      <c r="A263" s="203"/>
      <c r="B263" s="203"/>
      <c r="C263" s="203"/>
      <c r="D263" s="203"/>
      <c r="E263" s="203"/>
      <c r="F263" s="204"/>
      <c r="G263" s="204"/>
      <c r="H263" s="204"/>
      <c r="I263" s="203"/>
      <c r="J263" s="203"/>
      <c r="K263" s="203"/>
      <c r="L263" s="205"/>
    </row>
    <row r="264" spans="1:12" x14ac:dyDescent="0.35">
      <c r="A264" s="203"/>
      <c r="B264" s="203"/>
      <c r="C264" s="203"/>
      <c r="D264" s="203"/>
      <c r="E264" s="203"/>
      <c r="F264" s="204"/>
      <c r="G264" s="204"/>
      <c r="H264" s="204"/>
      <c r="I264" s="203"/>
      <c r="J264" s="203"/>
      <c r="K264" s="203"/>
      <c r="L264" s="205"/>
    </row>
    <row r="265" spans="1:12" x14ac:dyDescent="0.35">
      <c r="A265" s="203"/>
      <c r="B265" s="203"/>
      <c r="C265" s="203"/>
      <c r="D265" s="203"/>
      <c r="E265" s="203"/>
      <c r="F265" s="204"/>
      <c r="G265" s="204"/>
      <c r="H265" s="204"/>
      <c r="I265" s="203"/>
      <c r="J265" s="203"/>
      <c r="K265" s="203"/>
      <c r="L265" s="205"/>
    </row>
    <row r="266" spans="1:12" x14ac:dyDescent="0.35">
      <c r="A266" s="203"/>
      <c r="B266" s="203"/>
      <c r="C266" s="203"/>
      <c r="D266" s="203"/>
      <c r="E266" s="203"/>
      <c r="F266" s="204"/>
      <c r="G266" s="204"/>
      <c r="H266" s="204"/>
      <c r="I266" s="203"/>
      <c r="J266" s="203"/>
      <c r="K266" s="203"/>
      <c r="L266" s="205"/>
    </row>
    <row r="267" spans="1:12" x14ac:dyDescent="0.35">
      <c r="A267" s="203"/>
      <c r="B267" s="203"/>
      <c r="C267" s="203"/>
      <c r="D267" s="203"/>
      <c r="E267" s="203"/>
      <c r="F267" s="204"/>
      <c r="G267" s="204"/>
      <c r="H267" s="204"/>
      <c r="I267" s="203"/>
      <c r="J267" s="203"/>
      <c r="K267" s="203"/>
      <c r="L267" s="205"/>
    </row>
    <row r="268" spans="1:12" x14ac:dyDescent="0.35">
      <c r="A268" s="203"/>
      <c r="B268" s="203"/>
      <c r="C268" s="203"/>
      <c r="D268" s="203"/>
      <c r="E268" s="203"/>
      <c r="F268" s="204"/>
      <c r="G268" s="204"/>
      <c r="H268" s="204"/>
      <c r="I268" s="203"/>
      <c r="J268" s="203"/>
      <c r="K268" s="203"/>
      <c r="L268" s="205"/>
    </row>
    <row r="269" spans="1:12" x14ac:dyDescent="0.35">
      <c r="A269" s="203"/>
      <c r="B269" s="203"/>
      <c r="C269" s="203"/>
      <c r="D269" s="203"/>
      <c r="E269" s="203"/>
      <c r="F269" s="204"/>
      <c r="G269" s="204"/>
      <c r="H269" s="204"/>
      <c r="I269" s="203"/>
      <c r="J269" s="203"/>
      <c r="K269" s="203"/>
      <c r="L269" s="205"/>
    </row>
    <row r="270" spans="1:12" x14ac:dyDescent="0.35">
      <c r="A270" s="203"/>
      <c r="B270" s="203"/>
      <c r="C270" s="203"/>
      <c r="D270" s="203"/>
      <c r="E270" s="203"/>
      <c r="F270" s="204"/>
      <c r="G270" s="204"/>
      <c r="H270" s="204"/>
      <c r="I270" s="203"/>
      <c r="J270" s="203"/>
      <c r="K270" s="203"/>
      <c r="L270" s="205"/>
    </row>
    <row r="271" spans="1:12" x14ac:dyDescent="0.35">
      <c r="A271" s="203"/>
      <c r="B271" s="203"/>
      <c r="C271" s="203"/>
      <c r="D271" s="203"/>
      <c r="E271" s="203"/>
      <c r="F271" s="204"/>
      <c r="G271" s="204"/>
      <c r="H271" s="204"/>
      <c r="I271" s="203"/>
      <c r="J271" s="203"/>
      <c r="K271" s="203"/>
      <c r="L271" s="205"/>
    </row>
    <row r="272" spans="1:12" x14ac:dyDescent="0.35">
      <c r="A272" s="203"/>
      <c r="B272" s="203"/>
      <c r="C272" s="203"/>
      <c r="D272" s="203"/>
      <c r="E272" s="203"/>
      <c r="F272" s="204"/>
      <c r="G272" s="204"/>
      <c r="H272" s="204"/>
      <c r="I272" s="203"/>
      <c r="J272" s="203"/>
      <c r="K272" s="203"/>
      <c r="L272" s="205"/>
    </row>
    <row r="273" spans="1:12" x14ac:dyDescent="0.35">
      <c r="A273" s="203"/>
      <c r="B273" s="203"/>
      <c r="C273" s="203"/>
      <c r="D273" s="203"/>
      <c r="E273" s="203"/>
      <c r="F273" s="204"/>
      <c r="G273" s="204"/>
      <c r="H273" s="204"/>
      <c r="I273" s="203"/>
      <c r="J273" s="203"/>
      <c r="K273" s="203"/>
      <c r="L273" s="205"/>
    </row>
    <row r="274" spans="1:12" x14ac:dyDescent="0.35">
      <c r="A274" s="203"/>
      <c r="B274" s="203"/>
      <c r="C274" s="203"/>
      <c r="D274" s="203"/>
      <c r="E274" s="203"/>
      <c r="F274" s="204"/>
      <c r="G274" s="204"/>
      <c r="H274" s="204"/>
      <c r="I274" s="203"/>
      <c r="J274" s="203"/>
      <c r="K274" s="203"/>
      <c r="L274" s="205"/>
    </row>
    <row r="275" spans="1:12" x14ac:dyDescent="0.35">
      <c r="A275" s="203"/>
      <c r="B275" s="203"/>
      <c r="C275" s="203"/>
      <c r="D275" s="203"/>
      <c r="E275" s="203"/>
      <c r="F275" s="204"/>
      <c r="G275" s="204"/>
      <c r="H275" s="204"/>
      <c r="I275" s="203"/>
      <c r="J275" s="203"/>
      <c r="K275" s="203"/>
      <c r="L275" s="205"/>
    </row>
    <row r="276" spans="1:12" x14ac:dyDescent="0.35">
      <c r="A276" s="203"/>
      <c r="B276" s="203"/>
      <c r="C276" s="203"/>
      <c r="D276" s="203"/>
      <c r="E276" s="203"/>
      <c r="F276" s="204"/>
      <c r="G276" s="204"/>
      <c r="H276" s="204"/>
      <c r="I276" s="203"/>
      <c r="J276" s="203"/>
      <c r="K276" s="203"/>
      <c r="L276" s="205"/>
    </row>
    <row r="277" spans="1:12" x14ac:dyDescent="0.35">
      <c r="A277" s="203"/>
      <c r="B277" s="203"/>
      <c r="C277" s="203"/>
      <c r="D277" s="203"/>
      <c r="E277" s="203"/>
      <c r="F277" s="204"/>
      <c r="G277" s="204"/>
      <c r="H277" s="204"/>
      <c r="I277" s="203"/>
      <c r="J277" s="203"/>
      <c r="K277" s="203"/>
      <c r="L277" s="205"/>
    </row>
    <row r="278" spans="1:12" x14ac:dyDescent="0.35">
      <c r="A278" s="203"/>
      <c r="B278" s="203"/>
      <c r="C278" s="203"/>
      <c r="D278" s="203"/>
      <c r="E278" s="203"/>
      <c r="F278" s="204"/>
      <c r="G278" s="204"/>
      <c r="H278" s="204"/>
      <c r="I278" s="203"/>
      <c r="J278" s="203"/>
      <c r="K278" s="203"/>
      <c r="L278" s="205"/>
    </row>
    <row r="279" spans="1:12" x14ac:dyDescent="0.35">
      <c r="A279" s="203"/>
      <c r="B279" s="203"/>
      <c r="C279" s="203"/>
      <c r="D279" s="203"/>
      <c r="E279" s="203"/>
      <c r="F279" s="204"/>
      <c r="G279" s="204"/>
      <c r="H279" s="204"/>
      <c r="I279" s="203"/>
      <c r="J279" s="203"/>
      <c r="K279" s="203"/>
      <c r="L279" s="205"/>
    </row>
    <row r="280" spans="1:12" x14ac:dyDescent="0.35">
      <c r="A280" s="203"/>
      <c r="B280" s="203"/>
      <c r="C280" s="203"/>
      <c r="D280" s="203"/>
      <c r="E280" s="203"/>
      <c r="F280" s="204"/>
      <c r="G280" s="204"/>
      <c r="H280" s="204"/>
      <c r="I280" s="203"/>
      <c r="J280" s="203"/>
      <c r="K280" s="203"/>
      <c r="L280" s="205"/>
    </row>
    <row r="281" spans="1:12" x14ac:dyDescent="0.35">
      <c r="A281" s="203"/>
      <c r="B281" s="203"/>
      <c r="C281" s="203"/>
      <c r="D281" s="203"/>
      <c r="E281" s="203"/>
      <c r="F281" s="204"/>
      <c r="G281" s="204"/>
      <c r="H281" s="204"/>
      <c r="I281" s="203"/>
      <c r="J281" s="203"/>
      <c r="K281" s="203"/>
      <c r="L281" s="205"/>
    </row>
    <row r="282" spans="1:12" x14ac:dyDescent="0.35">
      <c r="A282" s="203"/>
      <c r="B282" s="203"/>
      <c r="C282" s="203"/>
      <c r="D282" s="203"/>
      <c r="E282" s="203"/>
      <c r="F282" s="204"/>
      <c r="G282" s="204"/>
      <c r="H282" s="204"/>
      <c r="I282" s="203"/>
      <c r="J282" s="203"/>
      <c r="K282" s="203"/>
      <c r="L282" s="205"/>
    </row>
    <row r="283" spans="1:12" x14ac:dyDescent="0.35">
      <c r="A283" s="203"/>
      <c r="B283" s="203"/>
      <c r="C283" s="203"/>
      <c r="D283" s="203"/>
      <c r="E283" s="203"/>
      <c r="F283" s="204"/>
      <c r="G283" s="204"/>
      <c r="H283" s="204"/>
      <c r="I283" s="203"/>
      <c r="J283" s="203"/>
      <c r="K283" s="203"/>
      <c r="L283" s="205"/>
    </row>
    <row r="284" spans="1:12" x14ac:dyDescent="0.35">
      <c r="A284" s="203"/>
      <c r="B284" s="203"/>
      <c r="C284" s="203"/>
      <c r="D284" s="203"/>
      <c r="E284" s="203"/>
      <c r="F284" s="204"/>
      <c r="G284" s="204"/>
      <c r="H284" s="204"/>
      <c r="I284" s="203"/>
      <c r="J284" s="203"/>
      <c r="K284" s="203"/>
      <c r="L284" s="205"/>
    </row>
    <row r="285" spans="1:12" x14ac:dyDescent="0.35">
      <c r="A285" s="203"/>
      <c r="B285" s="203"/>
      <c r="C285" s="203"/>
      <c r="D285" s="203"/>
      <c r="E285" s="203"/>
      <c r="F285" s="204"/>
      <c r="G285" s="204"/>
      <c r="H285" s="204"/>
      <c r="I285" s="203"/>
      <c r="J285" s="203"/>
      <c r="K285" s="203"/>
      <c r="L285" s="205"/>
    </row>
    <row r="286" spans="1:12" x14ac:dyDescent="0.35">
      <c r="A286" s="203"/>
      <c r="B286" s="203"/>
      <c r="C286" s="203"/>
      <c r="D286" s="203"/>
      <c r="E286" s="203"/>
      <c r="F286" s="204"/>
      <c r="G286" s="204"/>
      <c r="H286" s="204"/>
      <c r="I286" s="203"/>
      <c r="J286" s="203"/>
      <c r="K286" s="203"/>
      <c r="L286" s="205"/>
    </row>
    <row r="287" spans="1:12" x14ac:dyDescent="0.35">
      <c r="A287" s="203"/>
      <c r="B287" s="203"/>
      <c r="C287" s="203"/>
      <c r="D287" s="203"/>
      <c r="E287" s="203"/>
      <c r="F287" s="204"/>
      <c r="G287" s="204"/>
      <c r="H287" s="204"/>
      <c r="I287" s="203"/>
      <c r="J287" s="203"/>
      <c r="K287" s="203"/>
      <c r="L287" s="205"/>
    </row>
    <row r="288" spans="1:12" x14ac:dyDescent="0.35">
      <c r="A288" s="203"/>
      <c r="B288" s="203"/>
      <c r="C288" s="203"/>
      <c r="D288" s="203"/>
      <c r="E288" s="203"/>
      <c r="F288" s="204"/>
      <c r="G288" s="204"/>
      <c r="H288" s="204"/>
      <c r="I288" s="203"/>
      <c r="J288" s="203"/>
      <c r="K288" s="203"/>
      <c r="L288" s="205"/>
    </row>
    <row r="289" spans="1:12" x14ac:dyDescent="0.35">
      <c r="A289" s="203"/>
      <c r="B289" s="203"/>
      <c r="C289" s="203"/>
      <c r="D289" s="203"/>
      <c r="E289" s="203"/>
      <c r="F289" s="204"/>
      <c r="G289" s="204"/>
      <c r="H289" s="204"/>
      <c r="I289" s="203"/>
      <c r="J289" s="203"/>
      <c r="K289" s="203"/>
      <c r="L289" s="205"/>
    </row>
    <row r="290" spans="1:12" x14ac:dyDescent="0.35">
      <c r="A290" s="203"/>
      <c r="B290" s="203"/>
      <c r="C290" s="203"/>
      <c r="D290" s="203"/>
      <c r="E290" s="203"/>
      <c r="F290" s="204"/>
      <c r="G290" s="204"/>
      <c r="H290" s="204"/>
      <c r="I290" s="203"/>
      <c r="J290" s="203"/>
      <c r="K290" s="203"/>
      <c r="L290" s="205"/>
    </row>
    <row r="291" spans="1:12" x14ac:dyDescent="0.35">
      <c r="A291" s="203"/>
      <c r="B291" s="203"/>
      <c r="C291" s="203"/>
      <c r="D291" s="203"/>
      <c r="E291" s="203"/>
      <c r="F291" s="204"/>
      <c r="G291" s="204"/>
      <c r="H291" s="204"/>
      <c r="I291" s="203"/>
      <c r="J291" s="203"/>
      <c r="K291" s="203"/>
      <c r="L291" s="205"/>
    </row>
    <row r="292" spans="1:12" x14ac:dyDescent="0.35">
      <c r="A292" s="203"/>
      <c r="B292" s="203"/>
      <c r="C292" s="203"/>
      <c r="D292" s="203"/>
      <c r="E292" s="203"/>
      <c r="F292" s="204"/>
      <c r="G292" s="204"/>
      <c r="H292" s="204"/>
      <c r="I292" s="203"/>
      <c r="J292" s="203"/>
      <c r="K292" s="203"/>
      <c r="L292" s="205"/>
    </row>
    <row r="293" spans="1:12" x14ac:dyDescent="0.35">
      <c r="A293" s="203"/>
      <c r="B293" s="203"/>
      <c r="C293" s="203"/>
      <c r="D293" s="203"/>
      <c r="E293" s="203"/>
      <c r="F293" s="204"/>
      <c r="G293" s="204"/>
      <c r="H293" s="204"/>
      <c r="I293" s="203"/>
      <c r="J293" s="203"/>
      <c r="K293" s="203"/>
      <c r="L293" s="205"/>
    </row>
    <row r="294" spans="1:12" x14ac:dyDescent="0.35">
      <c r="A294" s="203"/>
      <c r="B294" s="203"/>
      <c r="C294" s="203"/>
      <c r="D294" s="203"/>
      <c r="E294" s="203"/>
      <c r="F294" s="204"/>
      <c r="G294" s="204"/>
      <c r="H294" s="204"/>
      <c r="I294" s="203"/>
      <c r="J294" s="203"/>
      <c r="K294" s="203"/>
      <c r="L294" s="205"/>
    </row>
    <row r="295" spans="1:12" x14ac:dyDescent="0.35">
      <c r="A295" s="203"/>
      <c r="B295" s="203"/>
      <c r="C295" s="203"/>
      <c r="D295" s="203"/>
      <c r="E295" s="203"/>
      <c r="F295" s="204"/>
      <c r="G295" s="204"/>
      <c r="H295" s="204"/>
      <c r="I295" s="203"/>
      <c r="J295" s="203"/>
      <c r="K295" s="203"/>
      <c r="L295" s="205"/>
    </row>
    <row r="296" spans="1:12" x14ac:dyDescent="0.35">
      <c r="A296" s="203"/>
      <c r="B296" s="203"/>
      <c r="C296" s="203"/>
      <c r="D296" s="203"/>
      <c r="E296" s="203"/>
      <c r="F296" s="204"/>
      <c r="G296" s="204"/>
      <c r="H296" s="204"/>
      <c r="I296" s="203"/>
      <c r="J296" s="203"/>
      <c r="K296" s="203"/>
      <c r="L296" s="205"/>
    </row>
    <row r="297" spans="1:12" x14ac:dyDescent="0.35">
      <c r="A297" s="203"/>
      <c r="B297" s="203"/>
      <c r="C297" s="203"/>
      <c r="D297" s="203"/>
      <c r="E297" s="203"/>
      <c r="F297" s="204"/>
      <c r="G297" s="204"/>
      <c r="H297" s="204"/>
      <c r="I297" s="203"/>
      <c r="J297" s="203"/>
      <c r="K297" s="203"/>
      <c r="L297" s="205"/>
    </row>
    <row r="298" spans="1:12" x14ac:dyDescent="0.35">
      <c r="A298" s="203"/>
      <c r="B298" s="203"/>
      <c r="C298" s="203"/>
      <c r="D298" s="203"/>
      <c r="E298" s="203"/>
      <c r="F298" s="204"/>
      <c r="G298" s="204"/>
      <c r="H298" s="204"/>
      <c r="I298" s="203"/>
      <c r="J298" s="203"/>
      <c r="K298" s="203"/>
      <c r="L298" s="205"/>
    </row>
    <row r="299" spans="1:12" x14ac:dyDescent="0.35">
      <c r="A299" s="203"/>
      <c r="B299" s="203"/>
      <c r="C299" s="203"/>
      <c r="D299" s="203"/>
      <c r="E299" s="203"/>
      <c r="F299" s="204"/>
      <c r="G299" s="204"/>
      <c r="H299" s="204"/>
      <c r="I299" s="203"/>
      <c r="J299" s="203"/>
      <c r="K299" s="203"/>
      <c r="L299" s="205"/>
    </row>
    <row r="300" spans="1:12" x14ac:dyDescent="0.35">
      <c r="A300" s="203"/>
      <c r="B300" s="203"/>
      <c r="C300" s="203"/>
      <c r="D300" s="203"/>
      <c r="E300" s="203"/>
      <c r="F300" s="204"/>
      <c r="G300" s="204"/>
      <c r="H300" s="204"/>
      <c r="I300" s="203"/>
      <c r="J300" s="203"/>
      <c r="K300" s="203"/>
      <c r="L300" s="205"/>
    </row>
    <row r="301" spans="1:12" x14ac:dyDescent="0.35">
      <c r="A301" s="203"/>
      <c r="B301" s="203"/>
      <c r="C301" s="203"/>
      <c r="D301" s="203"/>
      <c r="E301" s="203"/>
      <c r="F301" s="204"/>
      <c r="G301" s="204"/>
      <c r="H301" s="204"/>
      <c r="I301" s="203"/>
      <c r="J301" s="203"/>
      <c r="K301" s="203"/>
      <c r="L301" s="205"/>
    </row>
    <row r="302" spans="1:12" x14ac:dyDescent="0.35">
      <c r="A302" s="203"/>
      <c r="B302" s="203"/>
      <c r="C302" s="203"/>
      <c r="D302" s="203"/>
      <c r="E302" s="203"/>
      <c r="F302" s="204"/>
      <c r="G302" s="204"/>
      <c r="H302" s="204"/>
      <c r="I302" s="203"/>
      <c r="J302" s="203"/>
      <c r="K302" s="203"/>
      <c r="L302" s="205"/>
    </row>
    <row r="303" spans="1:12" x14ac:dyDescent="0.35">
      <c r="A303" s="203"/>
      <c r="B303" s="203"/>
      <c r="C303" s="203"/>
      <c r="D303" s="203"/>
      <c r="E303" s="203"/>
      <c r="F303" s="204"/>
      <c r="G303" s="204"/>
      <c r="H303" s="204"/>
      <c r="I303" s="203"/>
      <c r="J303" s="203"/>
      <c r="K303" s="203"/>
      <c r="L303" s="205"/>
    </row>
    <row r="304" spans="1:12" x14ac:dyDescent="0.35">
      <c r="A304" s="203"/>
      <c r="B304" s="203"/>
      <c r="C304" s="203"/>
      <c r="D304" s="203"/>
      <c r="E304" s="203"/>
      <c r="F304" s="204"/>
      <c r="G304" s="204"/>
      <c r="H304" s="204"/>
      <c r="I304" s="203"/>
      <c r="J304" s="203"/>
      <c r="K304" s="203"/>
      <c r="L304" s="205"/>
    </row>
    <row r="305" spans="1:12" x14ac:dyDescent="0.35">
      <c r="A305" s="203"/>
      <c r="B305" s="203"/>
      <c r="C305" s="203"/>
      <c r="D305" s="203"/>
      <c r="E305" s="203"/>
      <c r="F305" s="204"/>
      <c r="G305" s="204"/>
      <c r="H305" s="204"/>
      <c r="I305" s="203"/>
      <c r="J305" s="203"/>
      <c r="K305" s="203"/>
      <c r="L305" s="205"/>
    </row>
    <row r="306" spans="1:12" x14ac:dyDescent="0.35">
      <c r="A306" s="203"/>
      <c r="B306" s="203"/>
      <c r="C306" s="203"/>
      <c r="D306" s="203"/>
      <c r="E306" s="203"/>
      <c r="F306" s="204"/>
      <c r="G306" s="204"/>
      <c r="H306" s="204"/>
      <c r="I306" s="203"/>
      <c r="J306" s="203"/>
      <c r="K306" s="203"/>
      <c r="L306" s="205"/>
    </row>
    <row r="307" spans="1:12" x14ac:dyDescent="0.35">
      <c r="A307" s="203"/>
      <c r="B307" s="203"/>
      <c r="C307" s="203"/>
      <c r="D307" s="203"/>
      <c r="E307" s="203"/>
      <c r="F307" s="204"/>
      <c r="G307" s="204"/>
      <c r="H307" s="204"/>
      <c r="I307" s="203"/>
      <c r="J307" s="203"/>
      <c r="K307" s="203"/>
      <c r="L307" s="205"/>
    </row>
    <row r="308" spans="1:12" x14ac:dyDescent="0.35">
      <c r="A308" s="203"/>
      <c r="B308" s="203"/>
      <c r="C308" s="203"/>
      <c r="D308" s="203"/>
      <c r="E308" s="203"/>
      <c r="F308" s="204"/>
      <c r="G308" s="204"/>
      <c r="H308" s="204"/>
      <c r="I308" s="203"/>
      <c r="J308" s="203"/>
      <c r="K308" s="203"/>
      <c r="L308" s="205"/>
    </row>
    <row r="309" spans="1:12" x14ac:dyDescent="0.35">
      <c r="A309" s="203"/>
      <c r="B309" s="203"/>
      <c r="C309" s="203"/>
      <c r="D309" s="203"/>
      <c r="E309" s="203"/>
      <c r="F309" s="204"/>
      <c r="G309" s="204"/>
      <c r="H309" s="204"/>
      <c r="I309" s="203"/>
      <c r="J309" s="203"/>
      <c r="K309" s="203"/>
      <c r="L309" s="205"/>
    </row>
    <row r="310" spans="1:12" x14ac:dyDescent="0.35">
      <c r="A310" s="203"/>
      <c r="B310" s="203"/>
      <c r="C310" s="203"/>
      <c r="D310" s="203"/>
      <c r="E310" s="203"/>
      <c r="F310" s="204"/>
      <c r="G310" s="204"/>
      <c r="H310" s="204"/>
      <c r="I310" s="203"/>
      <c r="J310" s="203"/>
      <c r="K310" s="203"/>
      <c r="L310" s="205"/>
    </row>
    <row r="311" spans="1:12" x14ac:dyDescent="0.35">
      <c r="A311" s="203"/>
      <c r="B311" s="203"/>
      <c r="C311" s="203"/>
      <c r="D311" s="203"/>
      <c r="E311" s="203"/>
      <c r="F311" s="204"/>
      <c r="G311" s="204"/>
      <c r="H311" s="204"/>
      <c r="I311" s="203"/>
      <c r="J311" s="203"/>
      <c r="K311" s="203"/>
      <c r="L311" s="205"/>
    </row>
    <row r="312" spans="1:12" x14ac:dyDescent="0.35">
      <c r="A312" s="203"/>
      <c r="B312" s="203"/>
      <c r="C312" s="203"/>
      <c r="D312" s="203"/>
      <c r="E312" s="203"/>
      <c r="F312" s="204"/>
      <c r="G312" s="204"/>
      <c r="H312" s="204"/>
      <c r="I312" s="203"/>
      <c r="J312" s="203"/>
      <c r="K312" s="203"/>
      <c r="L312" s="205"/>
    </row>
    <row r="313" spans="1:12" x14ac:dyDescent="0.35">
      <c r="A313" s="203"/>
      <c r="B313" s="203"/>
      <c r="C313" s="203"/>
      <c r="D313" s="203"/>
      <c r="E313" s="203"/>
      <c r="F313" s="204"/>
      <c r="G313" s="204"/>
      <c r="H313" s="204"/>
      <c r="I313" s="203"/>
      <c r="J313" s="203"/>
      <c r="K313" s="203"/>
      <c r="L313" s="205"/>
    </row>
    <row r="314" spans="1:12" x14ac:dyDescent="0.35">
      <c r="A314" s="203"/>
      <c r="B314" s="203"/>
      <c r="C314" s="203"/>
      <c r="D314" s="203"/>
      <c r="E314" s="203"/>
      <c r="F314" s="204"/>
      <c r="G314" s="204"/>
      <c r="H314" s="204"/>
      <c r="I314" s="203"/>
      <c r="J314" s="203"/>
      <c r="K314" s="203"/>
      <c r="L314" s="205"/>
    </row>
    <row r="315" spans="1:12" x14ac:dyDescent="0.35">
      <c r="A315" s="203"/>
      <c r="B315" s="203"/>
      <c r="C315" s="203"/>
      <c r="D315" s="203"/>
      <c r="E315" s="203"/>
      <c r="F315" s="204"/>
      <c r="G315" s="204"/>
      <c r="H315" s="204"/>
      <c r="I315" s="203"/>
      <c r="J315" s="203"/>
      <c r="K315" s="203"/>
      <c r="L315" s="205"/>
    </row>
    <row r="316" spans="1:12" x14ac:dyDescent="0.35">
      <c r="A316" s="203"/>
      <c r="B316" s="203"/>
      <c r="C316" s="203"/>
      <c r="D316" s="203"/>
      <c r="E316" s="203"/>
      <c r="F316" s="204"/>
      <c r="G316" s="204"/>
      <c r="H316" s="204"/>
      <c r="I316" s="203"/>
      <c r="J316" s="203"/>
      <c r="K316" s="203"/>
      <c r="L316" s="205"/>
    </row>
    <row r="317" spans="1:12" x14ac:dyDescent="0.35">
      <c r="A317" s="203"/>
      <c r="B317" s="203"/>
      <c r="C317" s="203"/>
      <c r="D317" s="203"/>
      <c r="E317" s="203"/>
      <c r="F317" s="204"/>
      <c r="G317" s="204"/>
      <c r="H317" s="204"/>
      <c r="I317" s="203"/>
      <c r="J317" s="203"/>
      <c r="K317" s="203"/>
      <c r="L317" s="205"/>
    </row>
    <row r="318" spans="1:12" x14ac:dyDescent="0.35">
      <c r="A318" s="203"/>
      <c r="B318" s="203"/>
      <c r="C318" s="203"/>
      <c r="D318" s="203"/>
      <c r="E318" s="203"/>
      <c r="F318" s="204"/>
      <c r="G318" s="204"/>
      <c r="H318" s="204"/>
      <c r="I318" s="203"/>
      <c r="J318" s="203"/>
      <c r="K318" s="203"/>
      <c r="L318" s="205"/>
    </row>
    <row r="319" spans="1:12" x14ac:dyDescent="0.35">
      <c r="A319" s="203"/>
      <c r="B319" s="203"/>
      <c r="C319" s="203"/>
      <c r="D319" s="203"/>
      <c r="E319" s="203"/>
      <c r="F319" s="204"/>
      <c r="G319" s="204"/>
      <c r="H319" s="204"/>
      <c r="I319" s="203"/>
      <c r="J319" s="203"/>
      <c r="K319" s="203"/>
      <c r="L319" s="205"/>
    </row>
    <row r="320" spans="1:12" x14ac:dyDescent="0.35">
      <c r="A320" s="203"/>
      <c r="B320" s="203"/>
      <c r="C320" s="203"/>
      <c r="D320" s="203"/>
      <c r="E320" s="203"/>
      <c r="F320" s="204"/>
      <c r="G320" s="204"/>
      <c r="H320" s="204"/>
      <c r="I320" s="203"/>
      <c r="J320" s="203"/>
      <c r="K320" s="203"/>
      <c r="L320" s="205"/>
    </row>
    <row r="321" spans="1:12" x14ac:dyDescent="0.35">
      <c r="A321" s="203"/>
      <c r="B321" s="203"/>
      <c r="C321" s="203"/>
      <c r="D321" s="203"/>
      <c r="E321" s="203"/>
      <c r="F321" s="204"/>
      <c r="G321" s="204"/>
      <c r="H321" s="204"/>
      <c r="I321" s="203"/>
      <c r="J321" s="203"/>
      <c r="K321" s="203"/>
      <c r="L321" s="205"/>
    </row>
    <row r="322" spans="1:12" x14ac:dyDescent="0.35">
      <c r="A322" s="203"/>
      <c r="B322" s="203"/>
      <c r="C322" s="203"/>
      <c r="D322" s="203"/>
      <c r="E322" s="203"/>
      <c r="F322" s="204"/>
      <c r="G322" s="204"/>
      <c r="H322" s="204"/>
      <c r="I322" s="203"/>
      <c r="J322" s="203"/>
      <c r="K322" s="203"/>
      <c r="L322" s="205"/>
    </row>
    <row r="323" spans="1:12" x14ac:dyDescent="0.35">
      <c r="A323" s="203"/>
      <c r="B323" s="203"/>
      <c r="C323" s="203"/>
      <c r="D323" s="203"/>
      <c r="E323" s="203"/>
      <c r="F323" s="204"/>
      <c r="G323" s="204"/>
      <c r="H323" s="204"/>
      <c r="I323" s="203"/>
      <c r="J323" s="203"/>
      <c r="K323" s="203"/>
      <c r="L323" s="205"/>
    </row>
    <row r="324" spans="1:12" x14ac:dyDescent="0.35">
      <c r="A324" s="203"/>
      <c r="B324" s="203"/>
      <c r="C324" s="203"/>
      <c r="D324" s="203"/>
      <c r="E324" s="203"/>
      <c r="F324" s="204"/>
      <c r="G324" s="204"/>
      <c r="H324" s="204"/>
      <c r="I324" s="203"/>
      <c r="J324" s="203"/>
      <c r="K324" s="203"/>
      <c r="L324" s="205"/>
    </row>
    <row r="325" spans="1:12" x14ac:dyDescent="0.35">
      <c r="A325" s="203"/>
      <c r="B325" s="203"/>
      <c r="C325" s="203"/>
      <c r="D325" s="203"/>
      <c r="E325" s="203"/>
      <c r="F325" s="204"/>
      <c r="G325" s="204"/>
      <c r="H325" s="204"/>
      <c r="I325" s="203"/>
      <c r="J325" s="203"/>
      <c r="K325" s="203"/>
      <c r="L325" s="205"/>
    </row>
    <row r="326" spans="1:12" x14ac:dyDescent="0.35">
      <c r="A326" s="203"/>
      <c r="B326" s="203"/>
      <c r="C326" s="203"/>
      <c r="D326" s="203"/>
      <c r="E326" s="203"/>
      <c r="F326" s="204"/>
      <c r="G326" s="204"/>
      <c r="H326" s="204"/>
      <c r="I326" s="203"/>
      <c r="J326" s="203"/>
      <c r="K326" s="203"/>
      <c r="L326" s="205"/>
    </row>
    <row r="327" spans="1:12" x14ac:dyDescent="0.35">
      <c r="A327" s="203"/>
      <c r="B327" s="203"/>
      <c r="C327" s="203"/>
      <c r="D327" s="203"/>
      <c r="E327" s="203"/>
      <c r="F327" s="204"/>
      <c r="G327" s="204"/>
      <c r="H327" s="204"/>
      <c r="I327" s="203"/>
      <c r="J327" s="203"/>
      <c r="K327" s="203"/>
      <c r="L327" s="205"/>
    </row>
    <row r="328" spans="1:12" x14ac:dyDescent="0.35">
      <c r="A328" s="203"/>
      <c r="B328" s="203"/>
      <c r="C328" s="203"/>
      <c r="D328" s="203"/>
      <c r="E328" s="203"/>
      <c r="F328" s="204"/>
      <c r="G328" s="204"/>
      <c r="H328" s="204"/>
      <c r="I328" s="203"/>
      <c r="J328" s="203"/>
      <c r="K328" s="203"/>
      <c r="L328" s="205"/>
    </row>
    <row r="329" spans="1:12" x14ac:dyDescent="0.35">
      <c r="A329" s="203"/>
      <c r="B329" s="203"/>
      <c r="C329" s="203"/>
      <c r="D329" s="203"/>
      <c r="E329" s="203"/>
      <c r="F329" s="204"/>
      <c r="G329" s="204"/>
      <c r="H329" s="204"/>
      <c r="I329" s="203"/>
      <c r="J329" s="203"/>
      <c r="K329" s="203"/>
      <c r="L329" s="205"/>
    </row>
    <row r="330" spans="1:12" x14ac:dyDescent="0.35">
      <c r="A330" s="203"/>
      <c r="B330" s="203"/>
      <c r="C330" s="203"/>
      <c r="D330" s="203"/>
      <c r="E330" s="203"/>
      <c r="F330" s="204"/>
      <c r="G330" s="204"/>
      <c r="H330" s="204"/>
      <c r="I330" s="203"/>
      <c r="J330" s="203"/>
      <c r="K330" s="203"/>
      <c r="L330" s="205"/>
    </row>
    <row r="331" spans="1:12" x14ac:dyDescent="0.35">
      <c r="A331" s="203"/>
      <c r="B331" s="203"/>
      <c r="C331" s="203"/>
      <c r="D331" s="203"/>
      <c r="E331" s="203"/>
      <c r="F331" s="204"/>
      <c r="G331" s="204"/>
      <c r="H331" s="204"/>
      <c r="I331" s="203"/>
      <c r="J331" s="203"/>
      <c r="K331" s="203"/>
      <c r="L331" s="205"/>
    </row>
    <row r="332" spans="1:12" x14ac:dyDescent="0.35">
      <c r="A332" s="203"/>
      <c r="B332" s="203"/>
      <c r="C332" s="203"/>
      <c r="D332" s="203"/>
      <c r="E332" s="203"/>
      <c r="F332" s="204"/>
      <c r="G332" s="204"/>
      <c r="H332" s="204"/>
      <c r="I332" s="203"/>
      <c r="J332" s="203"/>
      <c r="K332" s="203"/>
      <c r="L332" s="205"/>
    </row>
    <row r="333" spans="1:12" x14ac:dyDescent="0.35">
      <c r="A333" s="203"/>
      <c r="B333" s="203"/>
      <c r="C333" s="203"/>
      <c r="D333" s="203"/>
      <c r="E333" s="203"/>
      <c r="F333" s="204"/>
      <c r="G333" s="204"/>
      <c r="H333" s="204"/>
      <c r="I333" s="203"/>
      <c r="J333" s="203"/>
      <c r="K333" s="203"/>
      <c r="L333" s="205"/>
    </row>
    <row r="334" spans="1:12" x14ac:dyDescent="0.35">
      <c r="A334" s="203"/>
      <c r="B334" s="203"/>
      <c r="C334" s="203"/>
      <c r="D334" s="203"/>
      <c r="E334" s="203"/>
      <c r="F334" s="204"/>
      <c r="G334" s="204"/>
      <c r="H334" s="204"/>
      <c r="I334" s="203"/>
      <c r="J334" s="203"/>
      <c r="K334" s="203"/>
      <c r="L334" s="205"/>
    </row>
    <row r="335" spans="1:12" x14ac:dyDescent="0.35">
      <c r="A335" s="203"/>
      <c r="B335" s="203"/>
      <c r="C335" s="203"/>
      <c r="D335" s="203"/>
      <c r="E335" s="203"/>
      <c r="F335" s="204"/>
      <c r="G335" s="204"/>
      <c r="H335" s="204"/>
      <c r="I335" s="203"/>
      <c r="J335" s="203"/>
      <c r="K335" s="203"/>
      <c r="L335" s="205"/>
    </row>
    <row r="336" spans="1:12" x14ac:dyDescent="0.35">
      <c r="A336" s="203"/>
      <c r="B336" s="203"/>
      <c r="C336" s="203"/>
      <c r="D336" s="203"/>
      <c r="E336" s="203"/>
      <c r="F336" s="204"/>
      <c r="G336" s="204"/>
      <c r="H336" s="204"/>
      <c r="I336" s="203"/>
      <c r="J336" s="203"/>
      <c r="K336" s="203"/>
      <c r="L336" s="205"/>
    </row>
    <row r="337" spans="1:12" x14ac:dyDescent="0.35">
      <c r="A337" s="203"/>
      <c r="B337" s="203"/>
      <c r="C337" s="203"/>
      <c r="D337" s="203"/>
      <c r="E337" s="203"/>
      <c r="F337" s="204"/>
      <c r="G337" s="204"/>
      <c r="H337" s="204"/>
      <c r="I337" s="203"/>
      <c r="J337" s="203"/>
      <c r="K337" s="203"/>
      <c r="L337" s="205"/>
    </row>
    <row r="338" spans="1:12" x14ac:dyDescent="0.35">
      <c r="A338" s="203"/>
      <c r="B338" s="203"/>
      <c r="C338" s="203"/>
      <c r="D338" s="203"/>
      <c r="E338" s="203"/>
      <c r="F338" s="204"/>
      <c r="G338" s="204"/>
      <c r="H338" s="204"/>
      <c r="I338" s="203"/>
      <c r="J338" s="203"/>
      <c r="K338" s="203"/>
      <c r="L338" s="205"/>
    </row>
    <row r="339" spans="1:12" x14ac:dyDescent="0.35">
      <c r="A339" s="203"/>
      <c r="B339" s="203"/>
      <c r="C339" s="203"/>
      <c r="D339" s="203"/>
      <c r="E339" s="203"/>
      <c r="F339" s="204"/>
      <c r="G339" s="204"/>
      <c r="H339" s="204"/>
      <c r="I339" s="203"/>
      <c r="J339" s="203"/>
      <c r="K339" s="203"/>
      <c r="L339" s="205"/>
    </row>
    <row r="340" spans="1:12" x14ac:dyDescent="0.35">
      <c r="A340" s="203"/>
      <c r="B340" s="203"/>
      <c r="C340" s="203"/>
      <c r="D340" s="203"/>
      <c r="E340" s="203"/>
      <c r="F340" s="204"/>
      <c r="G340" s="204"/>
      <c r="H340" s="204"/>
      <c r="I340" s="203"/>
      <c r="J340" s="203"/>
      <c r="K340" s="203"/>
      <c r="L340" s="205"/>
    </row>
    <row r="341" spans="1:12" x14ac:dyDescent="0.35">
      <c r="A341" s="203"/>
      <c r="B341" s="203"/>
      <c r="C341" s="203"/>
      <c r="D341" s="203"/>
      <c r="E341" s="203"/>
      <c r="F341" s="204"/>
      <c r="G341" s="204"/>
      <c r="H341" s="204"/>
      <c r="I341" s="203"/>
      <c r="J341" s="203"/>
      <c r="K341" s="203"/>
      <c r="L341" s="205"/>
    </row>
    <row r="342" spans="1:12" x14ac:dyDescent="0.35">
      <c r="A342" s="203"/>
      <c r="B342" s="203"/>
      <c r="C342" s="203"/>
      <c r="D342" s="203"/>
      <c r="E342" s="203"/>
      <c r="F342" s="204"/>
      <c r="G342" s="204"/>
      <c r="H342" s="204"/>
      <c r="I342" s="203"/>
      <c r="J342" s="203"/>
      <c r="K342" s="203"/>
      <c r="L342" s="205"/>
    </row>
    <row r="343" spans="1:12" x14ac:dyDescent="0.35">
      <c r="A343" s="203"/>
      <c r="B343" s="203"/>
      <c r="C343" s="203"/>
      <c r="D343" s="203"/>
      <c r="E343" s="203"/>
      <c r="F343" s="204"/>
      <c r="G343" s="204"/>
      <c r="H343" s="204"/>
      <c r="I343" s="203"/>
      <c r="J343" s="203"/>
      <c r="K343" s="203"/>
      <c r="L343" s="205"/>
    </row>
    <row r="344" spans="1:12" x14ac:dyDescent="0.35">
      <c r="A344" s="203"/>
      <c r="B344" s="203"/>
      <c r="C344" s="203"/>
      <c r="D344" s="203"/>
      <c r="E344" s="203"/>
      <c r="F344" s="204"/>
      <c r="G344" s="204"/>
      <c r="H344" s="204"/>
      <c r="I344" s="203"/>
      <c r="J344" s="203"/>
      <c r="K344" s="203"/>
      <c r="L344" s="205"/>
    </row>
    <row r="345" spans="1:12" x14ac:dyDescent="0.35">
      <c r="A345" s="203"/>
      <c r="B345" s="203"/>
      <c r="C345" s="203"/>
      <c r="D345" s="203"/>
      <c r="E345" s="203"/>
      <c r="F345" s="204"/>
      <c r="G345" s="204"/>
      <c r="H345" s="204"/>
      <c r="I345" s="203"/>
      <c r="J345" s="203"/>
      <c r="K345" s="203"/>
      <c r="L345" s="205"/>
    </row>
    <row r="346" spans="1:12" x14ac:dyDescent="0.35">
      <c r="A346" s="203"/>
      <c r="B346" s="203"/>
      <c r="C346" s="203"/>
      <c r="D346" s="203"/>
      <c r="E346" s="203"/>
      <c r="F346" s="204"/>
      <c r="G346" s="204"/>
      <c r="H346" s="204"/>
      <c r="I346" s="203"/>
      <c r="J346" s="203"/>
      <c r="K346" s="203"/>
      <c r="L346" s="205"/>
    </row>
    <row r="347" spans="1:12" x14ac:dyDescent="0.35">
      <c r="A347" s="203"/>
      <c r="B347" s="203"/>
      <c r="C347" s="203"/>
      <c r="D347" s="203"/>
      <c r="E347" s="203"/>
      <c r="F347" s="204"/>
      <c r="G347" s="204"/>
      <c r="H347" s="204"/>
      <c r="I347" s="203"/>
      <c r="J347" s="203"/>
      <c r="K347" s="203"/>
      <c r="L347" s="205"/>
    </row>
    <row r="348" spans="1:12" x14ac:dyDescent="0.35">
      <c r="A348" s="203"/>
      <c r="B348" s="203"/>
      <c r="C348" s="203"/>
      <c r="D348" s="203"/>
      <c r="E348" s="203"/>
      <c r="F348" s="204"/>
      <c r="G348" s="204"/>
      <c r="H348" s="204"/>
      <c r="I348" s="203"/>
      <c r="J348" s="203"/>
      <c r="K348" s="203"/>
      <c r="L348" s="205"/>
    </row>
    <row r="349" spans="1:12" x14ac:dyDescent="0.35">
      <c r="A349" s="203"/>
      <c r="B349" s="203"/>
      <c r="C349" s="203"/>
      <c r="D349" s="203"/>
      <c r="E349" s="203"/>
      <c r="F349" s="204"/>
      <c r="G349" s="204"/>
      <c r="H349" s="204"/>
      <c r="I349" s="203"/>
      <c r="J349" s="203"/>
      <c r="K349" s="203"/>
      <c r="L349" s="205"/>
    </row>
    <row r="350" spans="1:12" x14ac:dyDescent="0.35">
      <c r="A350" s="203"/>
      <c r="B350" s="203"/>
      <c r="C350" s="203"/>
      <c r="D350" s="203"/>
      <c r="E350" s="203"/>
      <c r="F350" s="204"/>
      <c r="G350" s="204"/>
      <c r="H350" s="204"/>
      <c r="I350" s="203"/>
      <c r="J350" s="203"/>
      <c r="K350" s="203"/>
      <c r="L350" s="205"/>
    </row>
    <row r="351" spans="1:12" x14ac:dyDescent="0.35">
      <c r="A351" s="203"/>
      <c r="B351" s="203"/>
      <c r="C351" s="203"/>
      <c r="D351" s="203"/>
      <c r="E351" s="203"/>
      <c r="F351" s="204"/>
      <c r="G351" s="204"/>
      <c r="H351" s="204"/>
      <c r="I351" s="203"/>
      <c r="J351" s="203"/>
      <c r="K351" s="203"/>
      <c r="L351" s="205"/>
    </row>
    <row r="352" spans="1:12" x14ac:dyDescent="0.35">
      <c r="A352" s="203"/>
      <c r="B352" s="203"/>
      <c r="C352" s="203"/>
      <c r="D352" s="203"/>
      <c r="E352" s="203"/>
      <c r="F352" s="204"/>
      <c r="G352" s="204"/>
      <c r="H352" s="204"/>
      <c r="I352" s="203"/>
      <c r="J352" s="203"/>
      <c r="K352" s="203"/>
      <c r="L352" s="205"/>
    </row>
    <row r="353" spans="1:12" x14ac:dyDescent="0.35">
      <c r="A353" s="203"/>
      <c r="B353" s="203"/>
      <c r="C353" s="203"/>
      <c r="D353" s="203"/>
      <c r="E353" s="203"/>
      <c r="F353" s="204"/>
      <c r="G353" s="204"/>
      <c r="H353" s="204"/>
      <c r="I353" s="203"/>
      <c r="J353" s="203"/>
      <c r="K353" s="203"/>
      <c r="L353" s="205"/>
    </row>
    <row r="354" spans="1:12" x14ac:dyDescent="0.35">
      <c r="A354" s="203"/>
      <c r="B354" s="203"/>
      <c r="C354" s="203"/>
      <c r="D354" s="203"/>
      <c r="E354" s="203"/>
      <c r="F354" s="204"/>
      <c r="G354" s="204"/>
      <c r="H354" s="204"/>
      <c r="I354" s="203"/>
      <c r="J354" s="203"/>
      <c r="K354" s="203"/>
      <c r="L354" s="205"/>
    </row>
    <row r="355" spans="1:12" x14ac:dyDescent="0.35">
      <c r="A355" s="203"/>
      <c r="B355" s="203"/>
      <c r="C355" s="203"/>
      <c r="D355" s="203"/>
      <c r="E355" s="203"/>
      <c r="F355" s="204"/>
      <c r="G355" s="204"/>
      <c r="H355" s="204"/>
      <c r="I355" s="203"/>
      <c r="J355" s="203"/>
      <c r="K355" s="203"/>
      <c r="L355" s="205"/>
    </row>
    <row r="356" spans="1:12" x14ac:dyDescent="0.35">
      <c r="A356" s="203"/>
      <c r="B356" s="203"/>
      <c r="C356" s="203"/>
      <c r="D356" s="203"/>
      <c r="E356" s="203"/>
      <c r="F356" s="204"/>
      <c r="G356" s="204"/>
      <c r="H356" s="204"/>
      <c r="I356" s="203"/>
      <c r="J356" s="203"/>
      <c r="K356" s="203"/>
      <c r="L356" s="205"/>
    </row>
    <row r="357" spans="1:12" x14ac:dyDescent="0.35">
      <c r="A357" s="203"/>
      <c r="B357" s="203"/>
      <c r="C357" s="203"/>
      <c r="D357" s="203"/>
      <c r="E357" s="203"/>
      <c r="F357" s="204"/>
      <c r="G357" s="204"/>
      <c r="H357" s="204"/>
      <c r="I357" s="203"/>
      <c r="J357" s="203"/>
      <c r="K357" s="203"/>
      <c r="L357" s="205"/>
    </row>
    <row r="358" spans="1:12" x14ac:dyDescent="0.35">
      <c r="A358" s="203"/>
      <c r="B358" s="203"/>
      <c r="C358" s="203"/>
      <c r="D358" s="203"/>
      <c r="E358" s="203"/>
      <c r="F358" s="204"/>
      <c r="G358" s="204"/>
      <c r="H358" s="204"/>
      <c r="I358" s="203"/>
      <c r="J358" s="203"/>
      <c r="K358" s="203"/>
      <c r="L358" s="205"/>
    </row>
    <row r="359" spans="1:12" x14ac:dyDescent="0.35">
      <c r="A359" s="203"/>
      <c r="B359" s="203"/>
      <c r="C359" s="203"/>
      <c r="D359" s="203"/>
      <c r="E359" s="203"/>
      <c r="F359" s="204"/>
      <c r="G359" s="204"/>
      <c r="H359" s="204"/>
      <c r="I359" s="203"/>
      <c r="J359" s="203"/>
      <c r="K359" s="203"/>
      <c r="L359" s="205"/>
    </row>
    <row r="360" spans="1:12" x14ac:dyDescent="0.35">
      <c r="A360" s="203"/>
      <c r="B360" s="203"/>
      <c r="C360" s="203"/>
      <c r="D360" s="203"/>
      <c r="E360" s="203"/>
      <c r="F360" s="204"/>
      <c r="G360" s="204"/>
      <c r="H360" s="204"/>
      <c r="I360" s="203"/>
      <c r="J360" s="203"/>
      <c r="K360" s="203"/>
      <c r="L360" s="205"/>
    </row>
    <row r="361" spans="1:12" x14ac:dyDescent="0.35">
      <c r="A361" s="203"/>
      <c r="B361" s="203"/>
      <c r="C361" s="203"/>
      <c r="D361" s="203"/>
      <c r="E361" s="203"/>
      <c r="F361" s="204"/>
      <c r="G361" s="204"/>
      <c r="H361" s="204"/>
      <c r="I361" s="203"/>
      <c r="J361" s="203"/>
      <c r="K361" s="203"/>
      <c r="L361" s="205"/>
    </row>
    <row r="362" spans="1:12" x14ac:dyDescent="0.35">
      <c r="A362" s="203"/>
      <c r="B362" s="203"/>
      <c r="C362" s="203"/>
      <c r="D362" s="203"/>
      <c r="E362" s="203"/>
      <c r="F362" s="204"/>
      <c r="G362" s="204"/>
      <c r="H362" s="204"/>
      <c r="I362" s="203"/>
      <c r="J362" s="203"/>
      <c r="K362" s="203"/>
      <c r="L362" s="205"/>
    </row>
    <row r="363" spans="1:12" x14ac:dyDescent="0.35">
      <c r="A363" s="203"/>
      <c r="B363" s="203"/>
      <c r="C363" s="203"/>
      <c r="D363" s="203"/>
      <c r="E363" s="203"/>
      <c r="F363" s="204"/>
      <c r="G363" s="204"/>
      <c r="H363" s="204"/>
      <c r="I363" s="203"/>
      <c r="J363" s="203"/>
      <c r="K363" s="203"/>
      <c r="L363" s="205"/>
    </row>
    <row r="364" spans="1:12" x14ac:dyDescent="0.35">
      <c r="A364" s="203"/>
      <c r="B364" s="203"/>
      <c r="C364" s="203"/>
      <c r="D364" s="203"/>
      <c r="E364" s="203"/>
      <c r="F364" s="204"/>
      <c r="G364" s="204"/>
      <c r="H364" s="204"/>
      <c r="I364" s="203"/>
      <c r="J364" s="203"/>
      <c r="K364" s="203"/>
      <c r="L364" s="205"/>
    </row>
    <row r="365" spans="1:12" x14ac:dyDescent="0.35">
      <c r="A365" s="203"/>
      <c r="B365" s="203"/>
      <c r="C365" s="203"/>
      <c r="D365" s="203"/>
      <c r="E365" s="203"/>
      <c r="F365" s="204"/>
      <c r="G365" s="204"/>
      <c r="H365" s="204"/>
      <c r="I365" s="203"/>
      <c r="J365" s="203"/>
      <c r="K365" s="203"/>
      <c r="L365" s="205"/>
    </row>
    <row r="366" spans="1:12" x14ac:dyDescent="0.35">
      <c r="A366" s="203"/>
      <c r="B366" s="203"/>
      <c r="C366" s="203"/>
      <c r="D366" s="203"/>
      <c r="E366" s="203"/>
      <c r="F366" s="204"/>
      <c r="G366" s="204"/>
      <c r="H366" s="204"/>
      <c r="I366" s="203"/>
      <c r="J366" s="203"/>
      <c r="K366" s="203"/>
      <c r="L366" s="205"/>
    </row>
    <row r="367" spans="1:12" x14ac:dyDescent="0.35">
      <c r="A367" s="203"/>
      <c r="B367" s="203"/>
      <c r="C367" s="203"/>
      <c r="D367" s="203"/>
      <c r="E367" s="203"/>
      <c r="F367" s="204"/>
      <c r="G367" s="204"/>
      <c r="H367" s="204"/>
      <c r="I367" s="203"/>
      <c r="J367" s="203"/>
      <c r="K367" s="203"/>
      <c r="L367" s="205"/>
    </row>
    <row r="368" spans="1:12" x14ac:dyDescent="0.35">
      <c r="A368" s="203"/>
      <c r="B368" s="203"/>
      <c r="C368" s="203"/>
      <c r="D368" s="203"/>
      <c r="E368" s="203"/>
      <c r="F368" s="204"/>
      <c r="G368" s="204"/>
      <c r="H368" s="204"/>
      <c r="I368" s="203"/>
      <c r="J368" s="203"/>
      <c r="K368" s="203"/>
      <c r="L368" s="205"/>
    </row>
    <row r="369" spans="1:12" x14ac:dyDescent="0.35">
      <c r="A369" s="203"/>
      <c r="B369" s="203"/>
      <c r="C369" s="203"/>
      <c r="D369" s="203"/>
      <c r="E369" s="203"/>
      <c r="F369" s="204"/>
      <c r="G369" s="204"/>
      <c r="H369" s="204"/>
      <c r="I369" s="203"/>
      <c r="J369" s="203"/>
      <c r="K369" s="203"/>
      <c r="L369" s="205"/>
    </row>
    <row r="370" spans="1:12" x14ac:dyDescent="0.35">
      <c r="A370" s="203"/>
      <c r="B370" s="203"/>
      <c r="C370" s="203"/>
      <c r="D370" s="203"/>
      <c r="E370" s="203"/>
      <c r="F370" s="204"/>
      <c r="G370" s="204"/>
      <c r="H370" s="204"/>
      <c r="I370" s="203"/>
      <c r="J370" s="203"/>
      <c r="K370" s="203"/>
      <c r="L370" s="205"/>
    </row>
    <row r="371" spans="1:12" x14ac:dyDescent="0.35">
      <c r="A371" s="203"/>
      <c r="B371" s="203"/>
      <c r="C371" s="203"/>
      <c r="D371" s="203"/>
      <c r="E371" s="203"/>
      <c r="F371" s="204"/>
      <c r="G371" s="204"/>
      <c r="H371" s="204"/>
      <c r="I371" s="203"/>
      <c r="J371" s="203"/>
      <c r="K371" s="203"/>
      <c r="L371" s="205"/>
    </row>
    <row r="372" spans="1:12" x14ac:dyDescent="0.35">
      <c r="A372" s="203"/>
      <c r="B372" s="203"/>
      <c r="C372" s="203"/>
      <c r="D372" s="203"/>
      <c r="E372" s="203"/>
      <c r="F372" s="204"/>
      <c r="G372" s="204"/>
      <c r="H372" s="204"/>
      <c r="I372" s="203"/>
      <c r="J372" s="203"/>
      <c r="K372" s="203"/>
      <c r="L372" s="205"/>
    </row>
    <row r="373" spans="1:12" x14ac:dyDescent="0.35">
      <c r="A373" s="203"/>
      <c r="B373" s="203"/>
      <c r="C373" s="203"/>
      <c r="D373" s="203"/>
      <c r="E373" s="203"/>
      <c r="F373" s="204"/>
      <c r="G373" s="204"/>
      <c r="H373" s="204"/>
      <c r="I373" s="203"/>
      <c r="J373" s="203"/>
      <c r="K373" s="203"/>
      <c r="L373" s="205"/>
    </row>
    <row r="374" spans="1:12" x14ac:dyDescent="0.35">
      <c r="A374" s="203"/>
      <c r="B374" s="203"/>
      <c r="C374" s="203"/>
      <c r="D374" s="203"/>
      <c r="E374" s="203"/>
      <c r="F374" s="204"/>
      <c r="G374" s="204"/>
      <c r="H374" s="204"/>
      <c r="I374" s="203"/>
      <c r="J374" s="203"/>
      <c r="K374" s="203"/>
      <c r="L374" s="205"/>
    </row>
    <row r="375" spans="1:12" x14ac:dyDescent="0.35">
      <c r="A375" s="203"/>
      <c r="B375" s="203"/>
      <c r="C375" s="203"/>
      <c r="D375" s="203"/>
      <c r="E375" s="203"/>
      <c r="F375" s="204"/>
      <c r="G375" s="204"/>
      <c r="H375" s="204"/>
      <c r="I375" s="203"/>
      <c r="J375" s="203"/>
      <c r="K375" s="203"/>
      <c r="L375" s="205"/>
    </row>
    <row r="376" spans="1:12" x14ac:dyDescent="0.35">
      <c r="A376" s="203"/>
      <c r="B376" s="203"/>
      <c r="C376" s="203"/>
      <c r="D376" s="203"/>
      <c r="E376" s="203"/>
      <c r="F376" s="204"/>
      <c r="G376" s="204"/>
      <c r="H376" s="204"/>
      <c r="I376" s="203"/>
      <c r="J376" s="203"/>
      <c r="K376" s="203"/>
      <c r="L376" s="205"/>
    </row>
    <row r="377" spans="1:12" x14ac:dyDescent="0.35">
      <c r="A377" s="203"/>
      <c r="B377" s="203"/>
      <c r="C377" s="203"/>
      <c r="D377" s="203"/>
      <c r="E377" s="203"/>
      <c r="F377" s="204"/>
      <c r="G377" s="204"/>
      <c r="H377" s="204"/>
      <c r="I377" s="203"/>
      <c r="J377" s="203"/>
      <c r="K377" s="203"/>
      <c r="L377" s="205"/>
    </row>
    <row r="378" spans="1:12" x14ac:dyDescent="0.35">
      <c r="A378" s="203"/>
      <c r="B378" s="203"/>
      <c r="C378" s="203"/>
      <c r="D378" s="203"/>
      <c r="E378" s="203"/>
      <c r="F378" s="204"/>
      <c r="G378" s="204"/>
      <c r="H378" s="204"/>
      <c r="I378" s="203"/>
      <c r="J378" s="203"/>
      <c r="K378" s="203"/>
      <c r="L378" s="205"/>
    </row>
    <row r="379" spans="1:12" x14ac:dyDescent="0.35">
      <c r="A379" s="203"/>
      <c r="B379" s="203"/>
      <c r="C379" s="203"/>
      <c r="D379" s="203"/>
      <c r="E379" s="203"/>
      <c r="F379" s="204"/>
      <c r="G379" s="204"/>
      <c r="H379" s="204"/>
      <c r="I379" s="203"/>
      <c r="J379" s="203"/>
      <c r="K379" s="203"/>
      <c r="L379" s="205"/>
    </row>
    <row r="380" spans="1:12" x14ac:dyDescent="0.35">
      <c r="A380" s="203"/>
      <c r="B380" s="203"/>
      <c r="C380" s="203"/>
      <c r="D380" s="203"/>
      <c r="E380" s="203"/>
      <c r="F380" s="204"/>
      <c r="G380" s="204"/>
      <c r="H380" s="204"/>
      <c r="I380" s="203"/>
      <c r="J380" s="203"/>
      <c r="K380" s="203"/>
      <c r="L380" s="205"/>
    </row>
    <row r="381" spans="1:12" x14ac:dyDescent="0.35">
      <c r="A381" s="203"/>
      <c r="B381" s="203"/>
      <c r="C381" s="203"/>
      <c r="D381" s="203"/>
      <c r="E381" s="203"/>
      <c r="F381" s="204"/>
      <c r="G381" s="204"/>
      <c r="H381" s="204"/>
      <c r="I381" s="203"/>
      <c r="J381" s="203"/>
      <c r="K381" s="203"/>
      <c r="L381" s="205"/>
    </row>
    <row r="382" spans="1:12" x14ac:dyDescent="0.35">
      <c r="A382" s="203"/>
      <c r="B382" s="203"/>
      <c r="C382" s="203"/>
      <c r="D382" s="203"/>
      <c r="E382" s="203"/>
      <c r="F382" s="204"/>
      <c r="G382" s="204"/>
      <c r="H382" s="204"/>
      <c r="I382" s="203"/>
      <c r="J382" s="203"/>
      <c r="K382" s="203"/>
      <c r="L382" s="205"/>
    </row>
    <row r="383" spans="1:12" x14ac:dyDescent="0.35">
      <c r="A383" s="203"/>
      <c r="B383" s="203"/>
      <c r="C383" s="203"/>
      <c r="D383" s="203"/>
      <c r="E383" s="203"/>
      <c r="F383" s="204"/>
      <c r="G383" s="204"/>
      <c r="H383" s="204"/>
      <c r="I383" s="203"/>
      <c r="J383" s="203"/>
      <c r="K383" s="203"/>
      <c r="L383" s="205"/>
    </row>
    <row r="384" spans="1:12" x14ac:dyDescent="0.35">
      <c r="A384" s="203"/>
      <c r="B384" s="203"/>
      <c r="C384" s="203"/>
      <c r="D384" s="203"/>
      <c r="E384" s="203"/>
      <c r="F384" s="204"/>
      <c r="G384" s="204"/>
      <c r="H384" s="204"/>
      <c r="I384" s="203"/>
      <c r="J384" s="203"/>
      <c r="K384" s="203"/>
      <c r="L384" s="205"/>
    </row>
    <row r="385" spans="1:12" x14ac:dyDescent="0.35">
      <c r="A385" s="203"/>
      <c r="B385" s="203"/>
      <c r="C385" s="203"/>
      <c r="D385" s="203"/>
      <c r="E385" s="203"/>
      <c r="F385" s="204"/>
      <c r="G385" s="204"/>
      <c r="H385" s="204"/>
      <c r="I385" s="203"/>
      <c r="J385" s="203"/>
      <c r="K385" s="203"/>
      <c r="L385" s="205"/>
    </row>
    <row r="386" spans="1:12" x14ac:dyDescent="0.35">
      <c r="A386" s="203"/>
      <c r="B386" s="203"/>
      <c r="C386" s="203"/>
      <c r="D386" s="203"/>
      <c r="E386" s="203"/>
      <c r="F386" s="204"/>
      <c r="G386" s="204"/>
      <c r="H386" s="204"/>
      <c r="I386" s="203"/>
      <c r="J386" s="203"/>
      <c r="K386" s="203"/>
      <c r="L386" s="205"/>
    </row>
    <row r="387" spans="1:12" x14ac:dyDescent="0.35">
      <c r="A387" s="203"/>
      <c r="B387" s="203"/>
      <c r="C387" s="203"/>
      <c r="D387" s="203"/>
      <c r="E387" s="203"/>
      <c r="F387" s="204"/>
      <c r="G387" s="204"/>
      <c r="H387" s="204"/>
      <c r="I387" s="203"/>
      <c r="J387" s="203"/>
      <c r="K387" s="203"/>
      <c r="L387" s="205"/>
    </row>
    <row r="388" spans="1:12" x14ac:dyDescent="0.35">
      <c r="A388" s="203"/>
      <c r="B388" s="203"/>
      <c r="C388" s="203"/>
      <c r="D388" s="203"/>
      <c r="E388" s="203"/>
      <c r="F388" s="204"/>
      <c r="G388" s="204"/>
      <c r="H388" s="204"/>
      <c r="I388" s="203"/>
      <c r="J388" s="203"/>
      <c r="K388" s="203"/>
      <c r="L388" s="205"/>
    </row>
    <row r="389" spans="1:12" x14ac:dyDescent="0.35">
      <c r="A389" s="203"/>
      <c r="B389" s="203"/>
      <c r="C389" s="203"/>
      <c r="D389" s="203"/>
      <c r="E389" s="203"/>
      <c r="F389" s="204"/>
      <c r="G389" s="204"/>
      <c r="H389" s="204"/>
      <c r="I389" s="203"/>
      <c r="J389" s="203"/>
      <c r="K389" s="203"/>
      <c r="L389" s="205"/>
    </row>
    <row r="390" spans="1:12" x14ac:dyDescent="0.35">
      <c r="A390" s="203"/>
      <c r="B390" s="203"/>
      <c r="C390" s="203"/>
      <c r="D390" s="203"/>
      <c r="E390" s="203"/>
      <c r="F390" s="204"/>
      <c r="G390" s="204"/>
      <c r="H390" s="204"/>
      <c r="I390" s="203"/>
      <c r="J390" s="203"/>
      <c r="K390" s="203"/>
      <c r="L390" s="205"/>
    </row>
    <row r="391" spans="1:12" x14ac:dyDescent="0.35">
      <c r="A391" s="203"/>
      <c r="B391" s="203"/>
      <c r="C391" s="203"/>
      <c r="D391" s="203"/>
      <c r="E391" s="203"/>
      <c r="F391" s="204"/>
      <c r="G391" s="204"/>
      <c r="H391" s="204"/>
      <c r="I391" s="203"/>
      <c r="J391" s="203"/>
      <c r="K391" s="203"/>
      <c r="L391" s="205"/>
    </row>
    <row r="392" spans="1:12" x14ac:dyDescent="0.35">
      <c r="A392" s="203"/>
      <c r="B392" s="203"/>
      <c r="C392" s="203"/>
      <c r="D392" s="203"/>
      <c r="E392" s="203"/>
      <c r="F392" s="204"/>
      <c r="G392" s="204"/>
      <c r="H392" s="204"/>
      <c r="I392" s="203"/>
      <c r="J392" s="203"/>
      <c r="K392" s="203"/>
      <c r="L392" s="205"/>
    </row>
    <row r="393" spans="1:12" x14ac:dyDescent="0.35">
      <c r="A393" s="203"/>
      <c r="B393" s="203"/>
      <c r="C393" s="203"/>
      <c r="D393" s="203"/>
      <c r="E393" s="203"/>
      <c r="F393" s="204"/>
      <c r="G393" s="204"/>
      <c r="H393" s="204"/>
      <c r="I393" s="203"/>
      <c r="J393" s="203"/>
      <c r="K393" s="203"/>
      <c r="L393" s="205"/>
    </row>
    <row r="394" spans="1:12" x14ac:dyDescent="0.35">
      <c r="A394" s="203"/>
      <c r="B394" s="203"/>
      <c r="C394" s="203"/>
      <c r="D394" s="203"/>
      <c r="E394" s="203"/>
      <c r="F394" s="204"/>
      <c r="G394" s="204"/>
      <c r="H394" s="204"/>
      <c r="I394" s="203"/>
      <c r="J394" s="203"/>
      <c r="K394" s="203"/>
      <c r="L394" s="205"/>
    </row>
    <row r="395" spans="1:12" x14ac:dyDescent="0.35">
      <c r="A395" s="203"/>
      <c r="B395" s="203"/>
      <c r="C395" s="203"/>
      <c r="D395" s="203"/>
      <c r="E395" s="203"/>
      <c r="F395" s="204"/>
      <c r="G395" s="204"/>
      <c r="H395" s="204"/>
      <c r="I395" s="203"/>
      <c r="J395" s="203"/>
      <c r="K395" s="203"/>
      <c r="L395" s="205"/>
    </row>
    <row r="396" spans="1:12" x14ac:dyDescent="0.35">
      <c r="A396" s="203"/>
      <c r="B396" s="203"/>
      <c r="C396" s="203"/>
      <c r="D396" s="203"/>
      <c r="E396" s="203"/>
      <c r="F396" s="204"/>
      <c r="G396" s="204"/>
      <c r="H396" s="204"/>
      <c r="I396" s="203"/>
      <c r="J396" s="203"/>
      <c r="K396" s="203"/>
      <c r="L396" s="205"/>
    </row>
    <row r="397" spans="1:12" x14ac:dyDescent="0.35">
      <c r="A397" s="203"/>
      <c r="B397" s="203"/>
      <c r="C397" s="203"/>
      <c r="D397" s="203"/>
      <c r="E397" s="203"/>
      <c r="F397" s="204"/>
      <c r="G397" s="204"/>
      <c r="H397" s="204"/>
      <c r="I397" s="203"/>
      <c r="J397" s="203"/>
      <c r="K397" s="203"/>
      <c r="L397" s="205"/>
    </row>
    <row r="398" spans="1:12" x14ac:dyDescent="0.35">
      <c r="A398" s="203"/>
      <c r="B398" s="203"/>
      <c r="C398" s="203"/>
      <c r="D398" s="203"/>
      <c r="E398" s="203"/>
      <c r="F398" s="204"/>
      <c r="G398" s="204"/>
      <c r="H398" s="204"/>
      <c r="I398" s="203"/>
      <c r="J398" s="203"/>
      <c r="K398" s="203"/>
      <c r="L398" s="205"/>
    </row>
    <row r="399" spans="1:12" x14ac:dyDescent="0.35">
      <c r="A399" s="203"/>
      <c r="B399" s="203"/>
      <c r="C399" s="203"/>
      <c r="D399" s="203"/>
      <c r="E399" s="203"/>
      <c r="F399" s="204"/>
      <c r="G399" s="204"/>
      <c r="H399" s="204"/>
      <c r="I399" s="203"/>
      <c r="J399" s="203"/>
      <c r="K399" s="203"/>
      <c r="L399" s="205"/>
    </row>
    <row r="400" spans="1:12" x14ac:dyDescent="0.35">
      <c r="A400" s="203"/>
      <c r="B400" s="203"/>
      <c r="C400" s="203"/>
      <c r="D400" s="203"/>
      <c r="E400" s="203"/>
      <c r="F400" s="204"/>
      <c r="G400" s="204"/>
      <c r="H400" s="204"/>
      <c r="I400" s="203"/>
      <c r="J400" s="203"/>
      <c r="K400" s="203"/>
      <c r="L400" s="205"/>
    </row>
    <row r="401" spans="1:12" x14ac:dyDescent="0.35">
      <c r="A401" s="203"/>
      <c r="B401" s="203"/>
      <c r="C401" s="203"/>
      <c r="D401" s="203"/>
      <c r="E401" s="203"/>
      <c r="F401" s="204"/>
      <c r="G401" s="204"/>
      <c r="H401" s="204"/>
      <c r="I401" s="203"/>
      <c r="J401" s="203"/>
      <c r="K401" s="203"/>
      <c r="L401" s="205"/>
    </row>
    <row r="402" spans="1:12" x14ac:dyDescent="0.35">
      <c r="A402" s="203"/>
      <c r="B402" s="203"/>
      <c r="C402" s="203"/>
      <c r="D402" s="203"/>
      <c r="E402" s="203"/>
      <c r="F402" s="204"/>
      <c r="G402" s="204"/>
      <c r="H402" s="204"/>
      <c r="I402" s="203"/>
      <c r="J402" s="203"/>
      <c r="K402" s="203"/>
      <c r="L402" s="205"/>
    </row>
    <row r="403" spans="1:12" x14ac:dyDescent="0.35">
      <c r="A403" s="203"/>
      <c r="B403" s="203"/>
      <c r="C403" s="203"/>
      <c r="D403" s="203"/>
      <c r="E403" s="203"/>
      <c r="F403" s="204"/>
      <c r="G403" s="204"/>
      <c r="H403" s="204"/>
      <c r="I403" s="203"/>
      <c r="J403" s="203"/>
      <c r="K403" s="203"/>
      <c r="L403" s="205"/>
    </row>
    <row r="404" spans="1:12" x14ac:dyDescent="0.35">
      <c r="A404" s="203"/>
      <c r="B404" s="203"/>
      <c r="C404" s="203"/>
      <c r="D404" s="203"/>
      <c r="E404" s="203"/>
      <c r="F404" s="204"/>
      <c r="G404" s="204"/>
      <c r="H404" s="204"/>
      <c r="I404" s="203"/>
      <c r="J404" s="203"/>
      <c r="K404" s="203"/>
      <c r="L404" s="205"/>
    </row>
    <row r="405" spans="1:12" x14ac:dyDescent="0.35">
      <c r="A405" s="203"/>
      <c r="B405" s="203"/>
      <c r="C405" s="203"/>
      <c r="D405" s="203"/>
      <c r="E405" s="203"/>
      <c r="F405" s="204"/>
      <c r="G405" s="204"/>
      <c r="H405" s="204"/>
      <c r="I405" s="203"/>
      <c r="J405" s="203"/>
      <c r="K405" s="203"/>
      <c r="L405" s="205"/>
    </row>
    <row r="406" spans="1:12" x14ac:dyDescent="0.35">
      <c r="A406" s="203"/>
      <c r="B406" s="203"/>
      <c r="C406" s="203"/>
      <c r="D406" s="203"/>
      <c r="E406" s="203"/>
      <c r="F406" s="204"/>
      <c r="G406" s="204"/>
      <c r="H406" s="204"/>
      <c r="I406" s="203"/>
      <c r="J406" s="203"/>
      <c r="K406" s="203"/>
      <c r="L406" s="205"/>
    </row>
    <row r="407" spans="1:12" x14ac:dyDescent="0.35">
      <c r="A407" s="203"/>
      <c r="B407" s="203"/>
      <c r="C407" s="203"/>
      <c r="D407" s="203"/>
      <c r="E407" s="203"/>
      <c r="F407" s="204"/>
      <c r="G407" s="204"/>
      <c r="H407" s="204"/>
      <c r="I407" s="203"/>
      <c r="J407" s="203"/>
      <c r="K407" s="203"/>
      <c r="L407" s="205"/>
    </row>
    <row r="408" spans="1:12" x14ac:dyDescent="0.35">
      <c r="A408" s="203"/>
      <c r="B408" s="203"/>
      <c r="C408" s="203"/>
      <c r="D408" s="203"/>
      <c r="E408" s="203"/>
      <c r="F408" s="204"/>
      <c r="G408" s="204"/>
      <c r="H408" s="204"/>
      <c r="I408" s="203"/>
      <c r="J408" s="203"/>
      <c r="K408" s="203"/>
      <c r="L408" s="205"/>
    </row>
    <row r="409" spans="1:12" x14ac:dyDescent="0.35">
      <c r="A409" s="203"/>
      <c r="B409" s="203"/>
      <c r="C409" s="203"/>
      <c r="D409" s="203"/>
      <c r="E409" s="203"/>
      <c r="F409" s="204"/>
      <c r="G409" s="204"/>
      <c r="H409" s="204"/>
      <c r="I409" s="203"/>
      <c r="J409" s="203"/>
      <c r="K409" s="203"/>
      <c r="L409" s="205"/>
    </row>
    <row r="410" spans="1:12" x14ac:dyDescent="0.35">
      <c r="A410" s="203"/>
      <c r="B410" s="203"/>
      <c r="C410" s="203"/>
      <c r="D410" s="203"/>
      <c r="E410" s="203"/>
      <c r="F410" s="204"/>
      <c r="G410" s="204"/>
      <c r="H410" s="204"/>
      <c r="I410" s="203"/>
      <c r="J410" s="203"/>
      <c r="K410" s="203"/>
      <c r="L410" s="205"/>
    </row>
    <row r="411" spans="1:12" x14ac:dyDescent="0.35">
      <c r="A411" s="203"/>
      <c r="B411" s="203"/>
      <c r="C411" s="203"/>
      <c r="D411" s="203"/>
      <c r="E411" s="203"/>
      <c r="F411" s="204"/>
      <c r="G411" s="204"/>
      <c r="H411" s="204"/>
      <c r="I411" s="203"/>
      <c r="J411" s="203"/>
      <c r="K411" s="203"/>
      <c r="L411" s="205"/>
    </row>
    <row r="412" spans="1:12" x14ac:dyDescent="0.35">
      <c r="A412" s="203"/>
      <c r="B412" s="203"/>
      <c r="C412" s="203"/>
      <c r="D412" s="203"/>
      <c r="E412" s="203"/>
      <c r="F412" s="204"/>
      <c r="G412" s="204"/>
      <c r="H412" s="204"/>
      <c r="I412" s="203"/>
      <c r="J412" s="203"/>
      <c r="K412" s="203"/>
      <c r="L412" s="205"/>
    </row>
    <row r="413" spans="1:12" x14ac:dyDescent="0.35">
      <c r="A413" s="203"/>
      <c r="B413" s="203"/>
      <c r="C413" s="203"/>
      <c r="D413" s="203"/>
      <c r="E413" s="203"/>
      <c r="F413" s="204"/>
      <c r="G413" s="204"/>
      <c r="H413" s="204"/>
      <c r="I413" s="203"/>
      <c r="J413" s="203"/>
      <c r="K413" s="203"/>
      <c r="L413" s="205"/>
    </row>
    <row r="414" spans="1:12" x14ac:dyDescent="0.35">
      <c r="A414" s="203"/>
      <c r="B414" s="203"/>
      <c r="C414" s="203"/>
      <c r="D414" s="203"/>
      <c r="E414" s="203"/>
      <c r="F414" s="204"/>
      <c r="G414" s="204"/>
      <c r="H414" s="204"/>
      <c r="I414" s="203"/>
      <c r="J414" s="203"/>
      <c r="K414" s="203"/>
      <c r="L414" s="205"/>
    </row>
    <row r="415" spans="1:12" x14ac:dyDescent="0.35">
      <c r="A415" s="203"/>
      <c r="B415" s="203"/>
      <c r="C415" s="203"/>
      <c r="D415" s="203"/>
      <c r="E415" s="203"/>
      <c r="F415" s="204"/>
      <c r="G415" s="204"/>
      <c r="H415" s="204"/>
      <c r="I415" s="203"/>
      <c r="J415" s="203"/>
      <c r="K415" s="203"/>
      <c r="L415" s="205"/>
    </row>
    <row r="416" spans="1:12" x14ac:dyDescent="0.35">
      <c r="A416" s="203"/>
      <c r="B416" s="203"/>
      <c r="C416" s="203"/>
      <c r="D416" s="203"/>
      <c r="E416" s="203"/>
      <c r="F416" s="204"/>
      <c r="G416" s="204"/>
      <c r="H416" s="204"/>
      <c r="I416" s="203"/>
      <c r="J416" s="203"/>
      <c r="K416" s="203"/>
      <c r="L416" s="205"/>
    </row>
    <row r="417" spans="1:12" x14ac:dyDescent="0.35">
      <c r="A417" s="203"/>
      <c r="B417" s="203"/>
      <c r="C417" s="203"/>
      <c r="D417" s="203"/>
      <c r="E417" s="203"/>
      <c r="F417" s="204"/>
      <c r="G417" s="204"/>
      <c r="H417" s="204"/>
      <c r="I417" s="203"/>
      <c r="J417" s="203"/>
      <c r="K417" s="203"/>
      <c r="L417" s="205"/>
    </row>
    <row r="418" spans="1:12" x14ac:dyDescent="0.35">
      <c r="A418" s="203"/>
      <c r="B418" s="203"/>
      <c r="C418" s="203"/>
      <c r="D418" s="203"/>
      <c r="E418" s="203"/>
      <c r="F418" s="204"/>
      <c r="G418" s="204"/>
      <c r="H418" s="204"/>
      <c r="I418" s="203"/>
      <c r="J418" s="203"/>
      <c r="K418" s="203"/>
      <c r="L418" s="205"/>
    </row>
    <row r="419" spans="1:12" x14ac:dyDescent="0.35">
      <c r="A419" s="203"/>
      <c r="B419" s="203"/>
      <c r="C419" s="203"/>
      <c r="D419" s="203"/>
      <c r="E419" s="203"/>
      <c r="F419" s="204"/>
      <c r="G419" s="204"/>
      <c r="H419" s="204"/>
      <c r="I419" s="203"/>
      <c r="J419" s="203"/>
      <c r="K419" s="203"/>
      <c r="L419" s="205"/>
    </row>
    <row r="420" spans="1:12" x14ac:dyDescent="0.35">
      <c r="A420" s="203"/>
      <c r="B420" s="203"/>
      <c r="C420" s="203"/>
      <c r="D420" s="203"/>
      <c r="E420" s="203"/>
      <c r="F420" s="204"/>
      <c r="G420" s="204"/>
      <c r="H420" s="204"/>
      <c r="I420" s="203"/>
      <c r="J420" s="203"/>
      <c r="K420" s="203"/>
      <c r="L420" s="205"/>
    </row>
    <row r="421" spans="1:12" x14ac:dyDescent="0.35">
      <c r="A421" s="203"/>
      <c r="B421" s="203"/>
      <c r="C421" s="203"/>
      <c r="D421" s="203"/>
      <c r="E421" s="203"/>
      <c r="F421" s="204"/>
      <c r="G421" s="204"/>
      <c r="H421" s="204"/>
      <c r="I421" s="203"/>
      <c r="J421" s="203"/>
      <c r="K421" s="203"/>
      <c r="L421" s="205"/>
    </row>
    <row r="422" spans="1:12" x14ac:dyDescent="0.35">
      <c r="A422" s="203"/>
      <c r="B422" s="203"/>
      <c r="C422" s="203"/>
      <c r="D422" s="203"/>
      <c r="E422" s="203"/>
      <c r="F422" s="204"/>
      <c r="G422" s="204"/>
      <c r="H422" s="204"/>
      <c r="I422" s="203"/>
      <c r="J422" s="203"/>
      <c r="K422" s="203"/>
      <c r="L422" s="205"/>
    </row>
    <row r="423" spans="1:12" x14ac:dyDescent="0.35">
      <c r="A423" s="203"/>
      <c r="B423" s="203"/>
      <c r="C423" s="203"/>
      <c r="D423" s="203"/>
      <c r="E423" s="203"/>
      <c r="F423" s="204"/>
      <c r="G423" s="204"/>
      <c r="H423" s="204"/>
      <c r="I423" s="203"/>
      <c r="J423" s="203"/>
      <c r="K423" s="203"/>
      <c r="L423" s="205"/>
    </row>
    <row r="424" spans="1:12" x14ac:dyDescent="0.35">
      <c r="A424" s="203"/>
      <c r="B424" s="203"/>
      <c r="C424" s="203"/>
      <c r="D424" s="203"/>
      <c r="E424" s="203"/>
      <c r="F424" s="204"/>
      <c r="G424" s="204"/>
      <c r="H424" s="204"/>
      <c r="I424" s="203"/>
      <c r="J424" s="203"/>
      <c r="K424" s="203"/>
      <c r="L424" s="205"/>
    </row>
    <row r="425" spans="1:12" x14ac:dyDescent="0.35">
      <c r="A425" s="203"/>
      <c r="B425" s="203"/>
      <c r="C425" s="203"/>
      <c r="D425" s="203"/>
      <c r="E425" s="203"/>
      <c r="F425" s="204"/>
      <c r="G425" s="204"/>
      <c r="H425" s="204"/>
      <c r="I425" s="203"/>
      <c r="J425" s="203"/>
      <c r="K425" s="203"/>
      <c r="L425" s="205"/>
    </row>
    <row r="426" spans="1:12" x14ac:dyDescent="0.35">
      <c r="A426" s="203"/>
      <c r="B426" s="203"/>
      <c r="C426" s="203"/>
      <c r="D426" s="203"/>
      <c r="E426" s="203"/>
      <c r="F426" s="204"/>
      <c r="G426" s="204"/>
      <c r="H426" s="204"/>
      <c r="I426" s="203"/>
      <c r="J426" s="203"/>
      <c r="K426" s="203"/>
      <c r="L426" s="205"/>
    </row>
    <row r="427" spans="1:12" x14ac:dyDescent="0.35">
      <c r="A427" s="203"/>
      <c r="B427" s="203"/>
      <c r="C427" s="203"/>
      <c r="D427" s="203"/>
      <c r="E427" s="203"/>
      <c r="F427" s="204"/>
      <c r="G427" s="204"/>
      <c r="H427" s="204"/>
      <c r="I427" s="203"/>
      <c r="J427" s="203"/>
      <c r="K427" s="203"/>
      <c r="L427" s="205"/>
    </row>
    <row r="428" spans="1:12" x14ac:dyDescent="0.35">
      <c r="A428" s="203"/>
      <c r="B428" s="203"/>
      <c r="C428" s="203"/>
      <c r="D428" s="203"/>
      <c r="E428" s="203"/>
      <c r="F428" s="204"/>
      <c r="G428" s="204"/>
      <c r="H428" s="204"/>
      <c r="I428" s="203"/>
      <c r="J428" s="203"/>
      <c r="K428" s="203"/>
      <c r="L428" s="205"/>
    </row>
    <row r="429" spans="1:12" x14ac:dyDescent="0.35">
      <c r="A429" s="203"/>
      <c r="B429" s="203"/>
      <c r="C429" s="203"/>
      <c r="D429" s="203"/>
      <c r="E429" s="203"/>
      <c r="F429" s="204"/>
      <c r="G429" s="204"/>
      <c r="H429" s="204"/>
      <c r="I429" s="203"/>
      <c r="J429" s="203"/>
      <c r="K429" s="203"/>
      <c r="L429" s="205"/>
    </row>
    <row r="430" spans="1:12" x14ac:dyDescent="0.35">
      <c r="A430" s="203"/>
      <c r="B430" s="203"/>
      <c r="C430" s="203"/>
      <c r="D430" s="203"/>
      <c r="E430" s="203"/>
      <c r="F430" s="204"/>
      <c r="G430" s="204"/>
      <c r="H430" s="204"/>
      <c r="I430" s="203"/>
      <c r="J430" s="203"/>
      <c r="K430" s="203"/>
      <c r="L430" s="205"/>
    </row>
    <row r="431" spans="1:12" x14ac:dyDescent="0.35">
      <c r="A431" s="203"/>
      <c r="B431" s="203"/>
      <c r="C431" s="203"/>
      <c r="D431" s="203"/>
      <c r="E431" s="203"/>
      <c r="F431" s="204"/>
      <c r="G431" s="204"/>
      <c r="H431" s="204"/>
      <c r="I431" s="203"/>
      <c r="J431" s="203"/>
      <c r="K431" s="203"/>
      <c r="L431" s="205"/>
    </row>
    <row r="432" spans="1:12" x14ac:dyDescent="0.35">
      <c r="A432" s="203"/>
      <c r="B432" s="203"/>
      <c r="C432" s="203"/>
      <c r="D432" s="203"/>
      <c r="E432" s="203"/>
      <c r="F432" s="204"/>
      <c r="G432" s="204"/>
      <c r="H432" s="204"/>
      <c r="I432" s="203"/>
      <c r="J432" s="203"/>
      <c r="K432" s="203"/>
      <c r="L432" s="205"/>
    </row>
    <row r="433" spans="1:12" x14ac:dyDescent="0.35">
      <c r="A433" s="203"/>
      <c r="B433" s="203"/>
      <c r="C433" s="203"/>
      <c r="D433" s="203"/>
      <c r="E433" s="203"/>
      <c r="F433" s="204"/>
      <c r="G433" s="204"/>
      <c r="H433" s="204"/>
      <c r="I433" s="203"/>
      <c r="J433" s="203"/>
      <c r="K433" s="203"/>
      <c r="L433" s="205"/>
    </row>
    <row r="434" spans="1:12" x14ac:dyDescent="0.35">
      <c r="A434" s="203"/>
      <c r="B434" s="203"/>
      <c r="C434" s="203"/>
      <c r="D434" s="203"/>
      <c r="E434" s="203"/>
      <c r="F434" s="204"/>
      <c r="G434" s="204"/>
      <c r="H434" s="204"/>
      <c r="I434" s="203"/>
      <c r="J434" s="203"/>
      <c r="K434" s="203"/>
      <c r="L434" s="205"/>
    </row>
    <row r="435" spans="1:12" x14ac:dyDescent="0.35">
      <c r="A435" s="203"/>
      <c r="B435" s="203"/>
      <c r="C435" s="203"/>
      <c r="D435" s="203"/>
      <c r="E435" s="203"/>
      <c r="F435" s="204"/>
      <c r="G435" s="204"/>
      <c r="H435" s="204"/>
      <c r="I435" s="203"/>
      <c r="J435" s="203"/>
      <c r="K435" s="203"/>
      <c r="L435" s="205"/>
    </row>
    <row r="436" spans="1:12" x14ac:dyDescent="0.35">
      <c r="A436" s="203"/>
      <c r="B436" s="203"/>
      <c r="C436" s="203"/>
      <c r="D436" s="203"/>
      <c r="E436" s="203"/>
      <c r="F436" s="204"/>
      <c r="G436" s="204"/>
      <c r="H436" s="204"/>
      <c r="I436" s="203"/>
      <c r="J436" s="203"/>
      <c r="K436" s="203"/>
      <c r="L436" s="205"/>
    </row>
    <row r="437" spans="1:12" x14ac:dyDescent="0.35">
      <c r="A437" s="203"/>
      <c r="B437" s="203"/>
      <c r="C437" s="203"/>
      <c r="D437" s="203"/>
      <c r="E437" s="203"/>
      <c r="F437" s="204"/>
      <c r="G437" s="204"/>
      <c r="H437" s="204"/>
      <c r="I437" s="203"/>
      <c r="J437" s="203"/>
      <c r="K437" s="203"/>
      <c r="L437" s="205"/>
    </row>
    <row r="438" spans="1:12" x14ac:dyDescent="0.35">
      <c r="A438" s="203"/>
      <c r="B438" s="203"/>
      <c r="C438" s="203"/>
      <c r="D438" s="203"/>
      <c r="E438" s="203"/>
      <c r="F438" s="204"/>
      <c r="G438" s="204"/>
      <c r="H438" s="204"/>
      <c r="I438" s="203"/>
      <c r="J438" s="203"/>
      <c r="K438" s="203"/>
      <c r="L438" s="205"/>
    </row>
    <row r="439" spans="1:12" x14ac:dyDescent="0.35">
      <c r="A439" s="203"/>
      <c r="B439" s="203"/>
      <c r="C439" s="203"/>
      <c r="D439" s="203"/>
      <c r="E439" s="203"/>
      <c r="F439" s="204"/>
      <c r="G439" s="204"/>
      <c r="H439" s="204"/>
      <c r="I439" s="203"/>
      <c r="J439" s="203"/>
      <c r="K439" s="203"/>
      <c r="L439" s="205"/>
    </row>
    <row r="440" spans="1:12" x14ac:dyDescent="0.35">
      <c r="A440" s="203"/>
      <c r="B440" s="203"/>
      <c r="C440" s="203"/>
      <c r="D440" s="203"/>
      <c r="E440" s="203"/>
      <c r="F440" s="204"/>
      <c r="G440" s="204"/>
      <c r="H440" s="204"/>
      <c r="I440" s="203"/>
      <c r="J440" s="203"/>
      <c r="K440" s="203"/>
      <c r="L440" s="205"/>
    </row>
    <row r="441" spans="1:12" x14ac:dyDescent="0.35">
      <c r="A441" s="203"/>
      <c r="B441" s="203"/>
      <c r="C441" s="203"/>
      <c r="D441" s="203"/>
      <c r="E441" s="203"/>
      <c r="F441" s="204"/>
      <c r="G441" s="204"/>
      <c r="H441" s="204"/>
      <c r="I441" s="203"/>
      <c r="J441" s="203"/>
      <c r="K441" s="203"/>
      <c r="L441" s="205"/>
    </row>
    <row r="442" spans="1:12" x14ac:dyDescent="0.35">
      <c r="A442" s="203"/>
      <c r="B442" s="203"/>
      <c r="C442" s="203"/>
      <c r="D442" s="203"/>
      <c r="E442" s="203"/>
      <c r="F442" s="204"/>
      <c r="G442" s="204"/>
      <c r="H442" s="204"/>
      <c r="I442" s="203"/>
      <c r="J442" s="203"/>
      <c r="K442" s="203"/>
      <c r="L442" s="205"/>
    </row>
    <row r="443" spans="1:12" x14ac:dyDescent="0.35">
      <c r="A443" s="203"/>
      <c r="B443" s="203"/>
      <c r="C443" s="203"/>
      <c r="D443" s="203"/>
      <c r="E443" s="203"/>
      <c r="F443" s="204"/>
      <c r="G443" s="204"/>
      <c r="H443" s="204"/>
      <c r="I443" s="203"/>
      <c r="J443" s="203"/>
      <c r="K443" s="203"/>
      <c r="L443" s="205"/>
    </row>
    <row r="444" spans="1:12" x14ac:dyDescent="0.35">
      <c r="A444" s="203"/>
      <c r="B444" s="203"/>
      <c r="C444" s="203"/>
      <c r="D444" s="203"/>
      <c r="E444" s="203"/>
      <c r="F444" s="204"/>
      <c r="G444" s="204"/>
      <c r="H444" s="204"/>
      <c r="I444" s="203"/>
      <c r="J444" s="203"/>
      <c r="K444" s="203"/>
      <c r="L444" s="205"/>
    </row>
    <row r="445" spans="1:12" x14ac:dyDescent="0.35">
      <c r="A445" s="203"/>
      <c r="B445" s="203"/>
      <c r="C445" s="203"/>
      <c r="D445" s="203"/>
      <c r="E445" s="203"/>
      <c r="F445" s="204"/>
      <c r="G445" s="204"/>
      <c r="H445" s="204"/>
      <c r="I445" s="203"/>
      <c r="J445" s="203"/>
      <c r="K445" s="203"/>
      <c r="L445" s="205"/>
    </row>
    <row r="446" spans="1:12" x14ac:dyDescent="0.35">
      <c r="A446" s="203"/>
      <c r="B446" s="203"/>
      <c r="C446" s="203"/>
      <c r="D446" s="203"/>
      <c r="E446" s="203"/>
      <c r="F446" s="204"/>
      <c r="G446" s="204"/>
      <c r="H446" s="204"/>
      <c r="I446" s="203"/>
      <c r="J446" s="203"/>
      <c r="K446" s="203"/>
      <c r="L446" s="205"/>
    </row>
    <row r="447" spans="1:12" x14ac:dyDescent="0.35">
      <c r="A447" s="203"/>
      <c r="B447" s="203"/>
      <c r="C447" s="203"/>
      <c r="D447" s="203"/>
      <c r="E447" s="203"/>
      <c r="F447" s="204"/>
      <c r="G447" s="204"/>
      <c r="H447" s="204"/>
      <c r="I447" s="203"/>
      <c r="J447" s="203"/>
      <c r="K447" s="203"/>
      <c r="L447" s="205"/>
    </row>
    <row r="448" spans="1:12" x14ac:dyDescent="0.35">
      <c r="A448" s="203"/>
      <c r="B448" s="203"/>
      <c r="C448" s="203"/>
      <c r="D448" s="203"/>
      <c r="E448" s="203"/>
      <c r="F448" s="204"/>
      <c r="G448" s="204"/>
      <c r="H448" s="204"/>
      <c r="I448" s="203"/>
      <c r="J448" s="203"/>
      <c r="K448" s="203"/>
      <c r="L448" s="205"/>
    </row>
    <row r="449" spans="1:12" x14ac:dyDescent="0.35">
      <c r="A449" s="203"/>
      <c r="B449" s="203"/>
      <c r="C449" s="203"/>
      <c r="D449" s="203"/>
      <c r="E449" s="203"/>
      <c r="F449" s="204"/>
      <c r="G449" s="204"/>
      <c r="H449" s="204"/>
      <c r="I449" s="203"/>
      <c r="J449" s="203"/>
      <c r="K449" s="203"/>
      <c r="L449" s="205"/>
    </row>
    <row r="450" spans="1:12" x14ac:dyDescent="0.35">
      <c r="A450" s="203"/>
      <c r="B450" s="203"/>
      <c r="C450" s="203"/>
      <c r="D450" s="203"/>
      <c r="E450" s="203"/>
      <c r="F450" s="204"/>
      <c r="G450" s="204"/>
      <c r="H450" s="204"/>
      <c r="I450" s="203"/>
      <c r="J450" s="203"/>
      <c r="K450" s="203"/>
      <c r="L450" s="205"/>
    </row>
    <row r="451" spans="1:12" x14ac:dyDescent="0.35">
      <c r="A451" s="203"/>
      <c r="B451" s="203"/>
      <c r="C451" s="203"/>
      <c r="D451" s="203"/>
      <c r="E451" s="203"/>
      <c r="F451" s="204"/>
      <c r="G451" s="204"/>
      <c r="H451" s="204"/>
      <c r="I451" s="203"/>
      <c r="J451" s="203"/>
      <c r="K451" s="203"/>
      <c r="L451" s="205"/>
    </row>
    <row r="452" spans="1:12" x14ac:dyDescent="0.35">
      <c r="A452" s="203"/>
      <c r="B452" s="203"/>
      <c r="C452" s="203"/>
      <c r="D452" s="203"/>
      <c r="E452" s="203"/>
      <c r="F452" s="204"/>
      <c r="G452" s="204"/>
      <c r="H452" s="204"/>
      <c r="I452" s="203"/>
      <c r="J452" s="203"/>
      <c r="K452" s="203"/>
      <c r="L452" s="205"/>
    </row>
    <row r="453" spans="1:12" x14ac:dyDescent="0.35">
      <c r="A453" s="203"/>
      <c r="B453" s="203"/>
      <c r="C453" s="203"/>
      <c r="D453" s="203"/>
      <c r="E453" s="203"/>
      <c r="F453" s="204"/>
      <c r="G453" s="204"/>
      <c r="H453" s="204"/>
      <c r="I453" s="203"/>
      <c r="J453" s="203"/>
      <c r="K453" s="203"/>
      <c r="L453" s="205"/>
    </row>
    <row r="454" spans="1:12" x14ac:dyDescent="0.35">
      <c r="A454" s="203"/>
      <c r="B454" s="203"/>
      <c r="C454" s="203"/>
      <c r="D454" s="203"/>
      <c r="E454" s="203"/>
      <c r="F454" s="204"/>
      <c r="G454" s="204"/>
      <c r="H454" s="204"/>
      <c r="I454" s="203"/>
      <c r="J454" s="203"/>
      <c r="K454" s="203"/>
      <c r="L454" s="205"/>
    </row>
    <row r="455" spans="1:12" x14ac:dyDescent="0.35">
      <c r="A455" s="203"/>
      <c r="B455" s="203"/>
      <c r="C455" s="203"/>
      <c r="D455" s="203"/>
      <c r="E455" s="203"/>
      <c r="F455" s="204"/>
      <c r="G455" s="204"/>
      <c r="H455" s="204"/>
      <c r="I455" s="203"/>
      <c r="J455" s="203"/>
      <c r="K455" s="203"/>
      <c r="L455" s="205"/>
    </row>
    <row r="456" spans="1:12" x14ac:dyDescent="0.35">
      <c r="A456" s="203"/>
      <c r="B456" s="203"/>
      <c r="C456" s="203"/>
      <c r="D456" s="203"/>
      <c r="E456" s="203"/>
      <c r="F456" s="204"/>
      <c r="G456" s="204"/>
      <c r="H456" s="204"/>
      <c r="I456" s="203"/>
      <c r="J456" s="203"/>
      <c r="K456" s="203"/>
      <c r="L456" s="205"/>
    </row>
    <row r="457" spans="1:12" x14ac:dyDescent="0.35">
      <c r="A457" s="203"/>
      <c r="B457" s="203"/>
      <c r="C457" s="203"/>
      <c r="D457" s="203"/>
      <c r="E457" s="203"/>
      <c r="F457" s="204"/>
      <c r="G457" s="204"/>
      <c r="H457" s="204"/>
      <c r="I457" s="203"/>
      <c r="J457" s="203"/>
      <c r="K457" s="203"/>
      <c r="L457" s="205"/>
    </row>
    <row r="458" spans="1:12" x14ac:dyDescent="0.35">
      <c r="A458" s="203"/>
      <c r="B458" s="203"/>
      <c r="C458" s="203"/>
      <c r="D458" s="203"/>
      <c r="E458" s="203"/>
      <c r="F458" s="204"/>
      <c r="G458" s="204"/>
      <c r="H458" s="204"/>
      <c r="I458" s="203"/>
      <c r="J458" s="203"/>
      <c r="K458" s="203"/>
      <c r="L458" s="205"/>
    </row>
    <row r="459" spans="1:12" x14ac:dyDescent="0.35">
      <c r="A459" s="203"/>
      <c r="B459" s="203"/>
      <c r="C459" s="203"/>
      <c r="D459" s="203"/>
      <c r="E459" s="203"/>
      <c r="F459" s="204"/>
      <c r="G459" s="204"/>
      <c r="H459" s="204"/>
      <c r="I459" s="203"/>
      <c r="J459" s="203"/>
      <c r="K459" s="203"/>
      <c r="L459" s="205"/>
    </row>
    <row r="460" spans="1:12" x14ac:dyDescent="0.35">
      <c r="A460" s="203"/>
      <c r="B460" s="203"/>
      <c r="C460" s="203"/>
      <c r="D460" s="203"/>
      <c r="E460" s="203"/>
      <c r="F460" s="204"/>
      <c r="G460" s="204"/>
      <c r="H460" s="204"/>
      <c r="I460" s="203"/>
      <c r="J460" s="203"/>
      <c r="K460" s="203"/>
      <c r="L460" s="205"/>
    </row>
    <row r="461" spans="1:12" x14ac:dyDescent="0.35">
      <c r="A461" s="203"/>
      <c r="B461" s="203"/>
      <c r="C461" s="203"/>
      <c r="D461" s="203"/>
      <c r="E461" s="203"/>
      <c r="F461" s="204"/>
      <c r="G461" s="204"/>
      <c r="H461" s="204"/>
      <c r="I461" s="203"/>
      <c r="J461" s="203"/>
      <c r="K461" s="203"/>
      <c r="L461" s="205"/>
    </row>
    <row r="462" spans="1:12" x14ac:dyDescent="0.35">
      <c r="A462" s="203"/>
      <c r="B462" s="203"/>
      <c r="C462" s="203"/>
      <c r="D462" s="203"/>
      <c r="E462" s="203"/>
      <c r="F462" s="204"/>
      <c r="G462" s="204"/>
      <c r="H462" s="204"/>
      <c r="I462" s="203"/>
      <c r="J462" s="203"/>
      <c r="K462" s="203"/>
      <c r="L462" s="205"/>
    </row>
    <row r="463" spans="1:12" x14ac:dyDescent="0.35">
      <c r="A463" s="203"/>
      <c r="B463" s="203"/>
      <c r="C463" s="203"/>
      <c r="D463" s="203"/>
      <c r="E463" s="203"/>
      <c r="F463" s="204"/>
      <c r="G463" s="204"/>
      <c r="H463" s="204"/>
      <c r="I463" s="203"/>
      <c r="J463" s="203"/>
      <c r="K463" s="203"/>
      <c r="L463" s="205"/>
    </row>
    <row r="464" spans="1:12" x14ac:dyDescent="0.35">
      <c r="A464" s="203"/>
      <c r="B464" s="203"/>
      <c r="C464" s="203"/>
      <c r="D464" s="203"/>
      <c r="E464" s="203"/>
      <c r="F464" s="204"/>
      <c r="G464" s="204"/>
      <c r="H464" s="204"/>
      <c r="I464" s="203"/>
      <c r="J464" s="203"/>
      <c r="K464" s="203"/>
      <c r="L464" s="205"/>
    </row>
    <row r="465" spans="1:12" x14ac:dyDescent="0.35">
      <c r="A465" s="203"/>
      <c r="B465" s="203"/>
      <c r="C465" s="203"/>
      <c r="D465" s="203"/>
      <c r="E465" s="203"/>
      <c r="F465" s="204"/>
      <c r="G465" s="204"/>
      <c r="H465" s="204"/>
      <c r="I465" s="203"/>
      <c r="J465" s="203"/>
      <c r="K465" s="203"/>
      <c r="L465" s="205"/>
    </row>
    <row r="466" spans="1:12" x14ac:dyDescent="0.35">
      <c r="A466" s="203"/>
      <c r="B466" s="203"/>
      <c r="C466" s="203"/>
      <c r="D466" s="203"/>
      <c r="E466" s="203"/>
      <c r="F466" s="204"/>
      <c r="G466" s="204"/>
      <c r="H466" s="204"/>
      <c r="I466" s="203"/>
      <c r="J466" s="203"/>
      <c r="K466" s="203"/>
      <c r="L466" s="205"/>
    </row>
    <row r="467" spans="1:12" x14ac:dyDescent="0.35">
      <c r="A467" s="203"/>
      <c r="B467" s="203"/>
      <c r="C467" s="203"/>
      <c r="D467" s="203"/>
      <c r="E467" s="203"/>
      <c r="F467" s="204"/>
      <c r="G467" s="204"/>
      <c r="H467" s="204"/>
      <c r="I467" s="203"/>
      <c r="J467" s="203"/>
      <c r="K467" s="203"/>
      <c r="L467" s="205"/>
    </row>
    <row r="468" spans="1:12" x14ac:dyDescent="0.35">
      <c r="A468" s="203"/>
      <c r="B468" s="203"/>
      <c r="C468" s="203"/>
      <c r="D468" s="203"/>
      <c r="E468" s="203"/>
      <c r="F468" s="204"/>
      <c r="G468" s="204"/>
      <c r="H468" s="204"/>
      <c r="I468" s="203"/>
      <c r="J468" s="203"/>
      <c r="K468" s="203"/>
      <c r="L468" s="205"/>
    </row>
    <row r="469" spans="1:12" x14ac:dyDescent="0.35">
      <c r="A469" s="203"/>
      <c r="B469" s="203"/>
      <c r="C469" s="203"/>
      <c r="D469" s="203"/>
      <c r="E469" s="203"/>
      <c r="F469" s="204"/>
      <c r="G469" s="204"/>
      <c r="H469" s="204"/>
      <c r="I469" s="203"/>
      <c r="J469" s="203"/>
      <c r="K469" s="203"/>
      <c r="L469" s="205"/>
    </row>
    <row r="470" spans="1:12" x14ac:dyDescent="0.35">
      <c r="A470" s="203"/>
      <c r="B470" s="203"/>
      <c r="C470" s="203"/>
      <c r="D470" s="203"/>
      <c r="E470" s="203"/>
      <c r="F470" s="204"/>
      <c r="G470" s="204"/>
      <c r="H470" s="204"/>
      <c r="I470" s="203"/>
      <c r="J470" s="203"/>
      <c r="K470" s="203"/>
      <c r="L470" s="205"/>
    </row>
    <row r="471" spans="1:12" x14ac:dyDescent="0.35">
      <c r="A471" s="203"/>
      <c r="B471" s="203"/>
      <c r="C471" s="203"/>
      <c r="D471" s="203"/>
      <c r="E471" s="203"/>
      <c r="F471" s="204"/>
      <c r="G471" s="204"/>
      <c r="H471" s="204"/>
      <c r="I471" s="203"/>
      <c r="J471" s="203"/>
      <c r="K471" s="203"/>
      <c r="L471" s="205"/>
    </row>
    <row r="472" spans="1:12" x14ac:dyDescent="0.35">
      <c r="A472" s="203"/>
      <c r="B472" s="203"/>
      <c r="C472" s="203"/>
      <c r="D472" s="203"/>
      <c r="E472" s="203"/>
      <c r="F472" s="204"/>
      <c r="G472" s="204"/>
      <c r="H472" s="204"/>
      <c r="I472" s="203"/>
      <c r="J472" s="203"/>
      <c r="K472" s="203"/>
      <c r="L472" s="205"/>
    </row>
    <row r="473" spans="1:12" x14ac:dyDescent="0.35">
      <c r="A473" s="203"/>
      <c r="B473" s="203"/>
      <c r="C473" s="203"/>
      <c r="D473" s="203"/>
      <c r="E473" s="203"/>
      <c r="F473" s="204"/>
      <c r="G473" s="204"/>
      <c r="H473" s="204"/>
      <c r="I473" s="203"/>
      <c r="J473" s="203"/>
      <c r="K473" s="203"/>
      <c r="L473" s="205"/>
    </row>
    <row r="474" spans="1:12" x14ac:dyDescent="0.35">
      <c r="A474" s="203"/>
      <c r="B474" s="203"/>
      <c r="C474" s="203"/>
      <c r="D474" s="203"/>
      <c r="E474" s="203"/>
      <c r="F474" s="204"/>
      <c r="G474" s="204"/>
      <c r="H474" s="204"/>
      <c r="I474" s="203"/>
      <c r="J474" s="203"/>
      <c r="K474" s="203"/>
      <c r="L474" s="205"/>
    </row>
    <row r="475" spans="1:12" x14ac:dyDescent="0.35">
      <c r="A475" s="203"/>
      <c r="B475" s="203"/>
      <c r="C475" s="203"/>
      <c r="D475" s="203"/>
      <c r="E475" s="203"/>
      <c r="F475" s="204"/>
      <c r="G475" s="204"/>
      <c r="H475" s="204"/>
      <c r="I475" s="203"/>
      <c r="J475" s="203"/>
      <c r="K475" s="203"/>
      <c r="L475" s="205"/>
    </row>
    <row r="476" spans="1:12" x14ac:dyDescent="0.35">
      <c r="A476" s="203"/>
      <c r="B476" s="203"/>
      <c r="C476" s="203"/>
      <c r="D476" s="203"/>
      <c r="E476" s="203"/>
      <c r="F476" s="204"/>
      <c r="G476" s="204"/>
      <c r="H476" s="204"/>
      <c r="I476" s="203"/>
      <c r="J476" s="203"/>
      <c r="K476" s="203"/>
      <c r="L476" s="205"/>
    </row>
    <row r="477" spans="1:12" x14ac:dyDescent="0.35">
      <c r="A477" s="203"/>
      <c r="B477" s="203"/>
      <c r="C477" s="203"/>
      <c r="D477" s="203"/>
      <c r="E477" s="203"/>
      <c r="F477" s="204"/>
      <c r="G477" s="204"/>
      <c r="H477" s="204"/>
      <c r="I477" s="203"/>
      <c r="J477" s="203"/>
      <c r="K477" s="203"/>
      <c r="L477" s="205"/>
    </row>
    <row r="478" spans="1:12" x14ac:dyDescent="0.35">
      <c r="A478" s="203"/>
      <c r="B478" s="203"/>
      <c r="C478" s="203"/>
      <c r="D478" s="203"/>
      <c r="E478" s="203"/>
      <c r="F478" s="204"/>
      <c r="G478" s="204"/>
      <c r="H478" s="204"/>
      <c r="I478" s="203"/>
      <c r="J478" s="203"/>
      <c r="K478" s="203"/>
      <c r="L478" s="205"/>
    </row>
    <row r="479" spans="1:12" x14ac:dyDescent="0.35">
      <c r="A479" s="203"/>
      <c r="B479" s="203"/>
      <c r="C479" s="203"/>
      <c r="D479" s="203"/>
      <c r="E479" s="203"/>
      <c r="F479" s="204"/>
      <c r="G479" s="204"/>
      <c r="H479" s="204"/>
      <c r="I479" s="203"/>
      <c r="J479" s="203"/>
      <c r="K479" s="203"/>
      <c r="L479" s="205"/>
    </row>
    <row r="480" spans="1:12" x14ac:dyDescent="0.35">
      <c r="A480" s="203"/>
      <c r="B480" s="203"/>
      <c r="C480" s="203"/>
      <c r="D480" s="203"/>
      <c r="E480" s="203"/>
      <c r="F480" s="204"/>
      <c r="G480" s="204"/>
      <c r="H480" s="204"/>
      <c r="I480" s="203"/>
      <c r="J480" s="203"/>
      <c r="K480" s="203"/>
      <c r="L480" s="205"/>
    </row>
    <row r="481" spans="1:12" x14ac:dyDescent="0.35">
      <c r="A481" s="203"/>
      <c r="B481" s="203"/>
      <c r="C481" s="203"/>
      <c r="D481" s="203"/>
      <c r="E481" s="203"/>
      <c r="F481" s="204"/>
      <c r="G481" s="204"/>
      <c r="H481" s="204"/>
      <c r="I481" s="203"/>
      <c r="J481" s="203"/>
      <c r="K481" s="203"/>
      <c r="L481" s="205"/>
    </row>
    <row r="482" spans="1:12" x14ac:dyDescent="0.35">
      <c r="A482" s="203"/>
      <c r="B482" s="203"/>
      <c r="C482" s="203"/>
      <c r="D482" s="203"/>
      <c r="E482" s="203"/>
      <c r="F482" s="204"/>
      <c r="G482" s="204"/>
      <c r="H482" s="204"/>
      <c r="I482" s="203"/>
      <c r="J482" s="203"/>
      <c r="K482" s="203"/>
      <c r="L482" s="205"/>
    </row>
    <row r="483" spans="1:12" x14ac:dyDescent="0.35">
      <c r="A483" s="203"/>
      <c r="B483" s="203"/>
      <c r="C483" s="203"/>
      <c r="D483" s="203"/>
      <c r="E483" s="203"/>
      <c r="F483" s="204"/>
      <c r="G483" s="204"/>
      <c r="H483" s="204"/>
      <c r="I483" s="203"/>
      <c r="J483" s="203"/>
      <c r="K483" s="203"/>
      <c r="L483" s="205"/>
    </row>
    <row r="484" spans="1:12" x14ac:dyDescent="0.35">
      <c r="A484" s="203"/>
      <c r="B484" s="203"/>
      <c r="C484" s="203"/>
      <c r="D484" s="203"/>
      <c r="E484" s="203"/>
      <c r="F484" s="204"/>
      <c r="G484" s="204"/>
      <c r="H484" s="204"/>
      <c r="I484" s="203"/>
      <c r="J484" s="203"/>
      <c r="K484" s="203"/>
      <c r="L484" s="205"/>
    </row>
    <row r="485" spans="1:12" x14ac:dyDescent="0.35">
      <c r="A485" s="203"/>
      <c r="B485" s="203"/>
      <c r="C485" s="203"/>
      <c r="D485" s="203"/>
      <c r="E485" s="203"/>
      <c r="F485" s="204"/>
      <c r="G485" s="204"/>
      <c r="H485" s="204"/>
      <c r="I485" s="203"/>
      <c r="J485" s="203"/>
      <c r="K485" s="203"/>
      <c r="L485" s="205"/>
    </row>
    <row r="486" spans="1:12" x14ac:dyDescent="0.35">
      <c r="A486" s="203"/>
      <c r="B486" s="203"/>
      <c r="C486" s="203"/>
      <c r="D486" s="203"/>
      <c r="E486" s="203"/>
      <c r="F486" s="204"/>
      <c r="G486" s="204"/>
      <c r="H486" s="204"/>
      <c r="I486" s="203"/>
      <c r="J486" s="203"/>
      <c r="K486" s="203"/>
      <c r="L486" s="205"/>
    </row>
    <row r="487" spans="1:12" x14ac:dyDescent="0.35">
      <c r="A487" s="203"/>
      <c r="B487" s="203"/>
      <c r="C487" s="203"/>
      <c r="D487" s="203"/>
      <c r="E487" s="203"/>
      <c r="F487" s="204"/>
      <c r="G487" s="204"/>
      <c r="H487" s="204"/>
      <c r="I487" s="203"/>
      <c r="J487" s="203"/>
      <c r="K487" s="203"/>
      <c r="L487" s="205"/>
    </row>
    <row r="488" spans="1:12" x14ac:dyDescent="0.35">
      <c r="A488" s="203"/>
      <c r="B488" s="203"/>
      <c r="C488" s="203"/>
      <c r="D488" s="203"/>
      <c r="E488" s="203"/>
      <c r="F488" s="204"/>
      <c r="G488" s="204"/>
      <c r="H488" s="204"/>
      <c r="I488" s="203"/>
      <c r="J488" s="203"/>
      <c r="K488" s="203"/>
      <c r="L488" s="205"/>
    </row>
    <row r="489" spans="1:12" x14ac:dyDescent="0.35">
      <c r="A489" s="203"/>
      <c r="B489" s="203"/>
      <c r="C489" s="203"/>
      <c r="D489" s="203"/>
      <c r="E489" s="203"/>
      <c r="F489" s="204"/>
      <c r="G489" s="204"/>
      <c r="H489" s="204"/>
      <c r="I489" s="203"/>
      <c r="J489" s="203"/>
      <c r="K489" s="203"/>
      <c r="L489" s="205"/>
    </row>
    <row r="490" spans="1:12" x14ac:dyDescent="0.35">
      <c r="A490" s="203"/>
      <c r="B490" s="203"/>
      <c r="C490" s="203"/>
      <c r="D490" s="203"/>
      <c r="E490" s="203"/>
      <c r="F490" s="204"/>
      <c r="G490" s="204"/>
      <c r="H490" s="204"/>
      <c r="I490" s="203"/>
      <c r="J490" s="203"/>
      <c r="K490" s="203"/>
      <c r="L490" s="205"/>
    </row>
    <row r="491" spans="1:12" x14ac:dyDescent="0.35">
      <c r="A491" s="203"/>
      <c r="B491" s="203"/>
      <c r="C491" s="203"/>
      <c r="D491" s="203"/>
      <c r="E491" s="203"/>
      <c r="F491" s="204"/>
      <c r="G491" s="204"/>
      <c r="H491" s="204"/>
      <c r="I491" s="203"/>
      <c r="J491" s="203"/>
      <c r="K491" s="203"/>
      <c r="L491" s="205"/>
    </row>
    <row r="492" spans="1:12" x14ac:dyDescent="0.35">
      <c r="A492" s="203"/>
      <c r="B492" s="203"/>
      <c r="C492" s="203"/>
      <c r="D492" s="203"/>
      <c r="E492" s="203"/>
      <c r="F492" s="204"/>
      <c r="G492" s="204"/>
      <c r="H492" s="204"/>
      <c r="I492" s="203"/>
      <c r="J492" s="203"/>
      <c r="K492" s="203"/>
      <c r="L492" s="205"/>
    </row>
    <row r="493" spans="1:12" x14ac:dyDescent="0.35">
      <c r="A493" s="203"/>
      <c r="B493" s="203"/>
      <c r="C493" s="203"/>
      <c r="D493" s="203"/>
      <c r="E493" s="203"/>
      <c r="F493" s="204"/>
      <c r="G493" s="204"/>
      <c r="H493" s="204"/>
      <c r="I493" s="203"/>
      <c r="J493" s="203"/>
      <c r="K493" s="203"/>
      <c r="L493" s="205"/>
    </row>
    <row r="494" spans="1:12" x14ac:dyDescent="0.35">
      <c r="A494" s="203"/>
      <c r="B494" s="203"/>
      <c r="C494" s="203"/>
      <c r="D494" s="203"/>
      <c r="E494" s="203"/>
      <c r="F494" s="204"/>
      <c r="G494" s="204"/>
      <c r="H494" s="204"/>
      <c r="I494" s="203"/>
      <c r="J494" s="203"/>
      <c r="K494" s="203"/>
      <c r="L494" s="205"/>
    </row>
    <row r="495" spans="1:12" x14ac:dyDescent="0.35">
      <c r="A495" s="203"/>
      <c r="B495" s="203"/>
      <c r="C495" s="203"/>
      <c r="D495" s="203"/>
      <c r="E495" s="203"/>
      <c r="F495" s="204"/>
      <c r="G495" s="204"/>
      <c r="H495" s="204"/>
      <c r="I495" s="203"/>
      <c r="J495" s="203"/>
      <c r="K495" s="203"/>
      <c r="L495" s="205"/>
    </row>
    <row r="496" spans="1:12" x14ac:dyDescent="0.35">
      <c r="A496" s="203"/>
      <c r="B496" s="203"/>
      <c r="C496" s="203"/>
      <c r="D496" s="203"/>
      <c r="E496" s="203"/>
      <c r="F496" s="204"/>
      <c r="G496" s="204"/>
      <c r="H496" s="204"/>
      <c r="I496" s="203"/>
      <c r="J496" s="203"/>
      <c r="K496" s="203"/>
      <c r="L496" s="205"/>
    </row>
    <row r="497" spans="1:12" x14ac:dyDescent="0.35">
      <c r="A497" s="203"/>
      <c r="B497" s="203"/>
      <c r="C497" s="203"/>
      <c r="D497" s="203"/>
      <c r="E497" s="203"/>
      <c r="F497" s="204"/>
      <c r="G497" s="204"/>
      <c r="H497" s="204"/>
      <c r="I497" s="203"/>
      <c r="J497" s="203"/>
      <c r="K497" s="203"/>
      <c r="L497" s="205"/>
    </row>
    <row r="498" spans="1:12" x14ac:dyDescent="0.35">
      <c r="A498" s="203"/>
      <c r="B498" s="203"/>
      <c r="C498" s="203"/>
      <c r="D498" s="203"/>
      <c r="E498" s="203"/>
      <c r="F498" s="204"/>
      <c r="G498" s="204"/>
      <c r="H498" s="204"/>
      <c r="I498" s="203"/>
      <c r="J498" s="203"/>
      <c r="K498" s="203"/>
      <c r="L498" s="205"/>
    </row>
    <row r="499" spans="1:12" x14ac:dyDescent="0.35">
      <c r="A499" s="203"/>
      <c r="B499" s="203"/>
      <c r="C499" s="203"/>
      <c r="D499" s="203"/>
      <c r="E499" s="203"/>
      <c r="F499" s="204"/>
      <c r="G499" s="204"/>
      <c r="H499" s="204"/>
      <c r="I499" s="203"/>
      <c r="J499" s="203"/>
      <c r="K499" s="203"/>
      <c r="L499" s="205"/>
    </row>
    <row r="500" spans="1:12" x14ac:dyDescent="0.35">
      <c r="A500" s="203"/>
      <c r="B500" s="203"/>
      <c r="C500" s="203"/>
      <c r="D500" s="203"/>
      <c r="E500" s="203"/>
      <c r="F500" s="204"/>
      <c r="G500" s="204"/>
      <c r="H500" s="204"/>
      <c r="I500" s="203"/>
      <c r="J500" s="203"/>
      <c r="K500" s="203"/>
      <c r="L500" s="205"/>
    </row>
    <row r="501" spans="1:12" x14ac:dyDescent="0.35">
      <c r="A501" s="203"/>
      <c r="B501" s="203"/>
      <c r="C501" s="203"/>
      <c r="D501" s="203"/>
      <c r="E501" s="203"/>
      <c r="F501" s="204"/>
      <c r="G501" s="204"/>
      <c r="H501" s="204"/>
      <c r="I501" s="203"/>
      <c r="J501" s="203"/>
      <c r="K501" s="203"/>
      <c r="L501" s="205"/>
    </row>
    <row r="502" spans="1:12" x14ac:dyDescent="0.35">
      <c r="A502" s="203"/>
      <c r="B502" s="203"/>
      <c r="C502" s="203"/>
      <c r="D502" s="203"/>
      <c r="E502" s="203"/>
      <c r="F502" s="204"/>
      <c r="G502" s="204"/>
      <c r="H502" s="204"/>
      <c r="I502" s="203"/>
      <c r="J502" s="203"/>
      <c r="K502" s="203"/>
      <c r="L502" s="205"/>
    </row>
    <row r="503" spans="1:12" x14ac:dyDescent="0.35">
      <c r="A503" s="203"/>
      <c r="B503" s="203"/>
      <c r="C503" s="203"/>
      <c r="D503" s="203"/>
      <c r="E503" s="203"/>
      <c r="F503" s="204"/>
      <c r="G503" s="204"/>
      <c r="H503" s="204"/>
      <c r="I503" s="203"/>
      <c r="J503" s="203"/>
      <c r="K503" s="203"/>
      <c r="L503" s="205"/>
    </row>
    <row r="504" spans="1:12" x14ac:dyDescent="0.35">
      <c r="A504" s="203"/>
      <c r="B504" s="203"/>
      <c r="C504" s="203"/>
      <c r="D504" s="203"/>
      <c r="E504" s="203"/>
      <c r="F504" s="204"/>
      <c r="G504" s="204"/>
      <c r="H504" s="204"/>
      <c r="I504" s="203"/>
      <c r="J504" s="203"/>
      <c r="K504" s="203"/>
      <c r="L504" s="205"/>
    </row>
    <row r="505" spans="1:12" x14ac:dyDescent="0.35">
      <c r="A505" s="203"/>
      <c r="B505" s="203"/>
      <c r="C505" s="203"/>
      <c r="D505" s="203"/>
      <c r="E505" s="203"/>
      <c r="F505" s="204"/>
      <c r="G505" s="204"/>
      <c r="H505" s="204"/>
      <c r="I505" s="203"/>
      <c r="J505" s="203"/>
      <c r="K505" s="203"/>
      <c r="L505" s="205"/>
    </row>
    <row r="506" spans="1:12" x14ac:dyDescent="0.35">
      <c r="A506" s="203"/>
      <c r="B506" s="203"/>
      <c r="C506" s="203"/>
      <c r="D506" s="203"/>
      <c r="E506" s="203"/>
      <c r="F506" s="204"/>
      <c r="G506" s="204"/>
      <c r="H506" s="204"/>
      <c r="I506" s="203"/>
      <c r="J506" s="203"/>
      <c r="K506" s="203"/>
      <c r="L506" s="205"/>
    </row>
    <row r="507" spans="1:12" x14ac:dyDescent="0.35">
      <c r="A507" s="203"/>
      <c r="B507" s="203"/>
      <c r="C507" s="203"/>
      <c r="D507" s="203"/>
      <c r="E507" s="203"/>
      <c r="F507" s="204"/>
      <c r="G507" s="204"/>
      <c r="H507" s="204"/>
      <c r="I507" s="203"/>
      <c r="J507" s="203"/>
      <c r="K507" s="203"/>
      <c r="L507" s="205"/>
    </row>
    <row r="508" spans="1:12" x14ac:dyDescent="0.35">
      <c r="A508" s="203"/>
      <c r="B508" s="203"/>
      <c r="C508" s="203"/>
      <c r="D508" s="203"/>
      <c r="E508" s="203"/>
      <c r="F508" s="204"/>
      <c r="G508" s="204"/>
      <c r="H508" s="204"/>
      <c r="I508" s="203"/>
      <c r="J508" s="203"/>
      <c r="K508" s="203"/>
      <c r="L508" s="205"/>
    </row>
    <row r="509" spans="1:12" x14ac:dyDescent="0.35">
      <c r="A509" s="203"/>
      <c r="B509" s="203"/>
      <c r="C509" s="203"/>
      <c r="D509" s="203"/>
      <c r="E509" s="203"/>
      <c r="F509" s="204"/>
      <c r="G509" s="204"/>
      <c r="H509" s="204"/>
      <c r="I509" s="203"/>
      <c r="J509" s="203"/>
      <c r="K509" s="203"/>
      <c r="L509" s="205"/>
    </row>
    <row r="510" spans="1:12" x14ac:dyDescent="0.35">
      <c r="A510" s="203"/>
      <c r="B510" s="203"/>
      <c r="C510" s="203"/>
      <c r="D510" s="203"/>
      <c r="E510" s="203"/>
      <c r="F510" s="204"/>
      <c r="G510" s="204"/>
      <c r="H510" s="204"/>
      <c r="I510" s="203"/>
      <c r="J510" s="203"/>
      <c r="K510" s="203"/>
      <c r="L510" s="205"/>
    </row>
    <row r="511" spans="1:12" x14ac:dyDescent="0.35">
      <c r="A511" s="203"/>
      <c r="B511" s="203"/>
      <c r="C511" s="203"/>
      <c r="D511" s="203"/>
      <c r="E511" s="203"/>
      <c r="F511" s="204"/>
      <c r="G511" s="204"/>
      <c r="H511" s="204"/>
      <c r="I511" s="203"/>
      <c r="J511" s="203"/>
      <c r="K511" s="203"/>
      <c r="L511" s="205"/>
    </row>
    <row r="512" spans="1:12" x14ac:dyDescent="0.35">
      <c r="A512" s="203"/>
      <c r="B512" s="203"/>
      <c r="C512" s="203"/>
      <c r="D512" s="203"/>
      <c r="E512" s="203"/>
      <c r="F512" s="204"/>
      <c r="G512" s="204"/>
      <c r="H512" s="204"/>
      <c r="I512" s="203"/>
      <c r="J512" s="203"/>
      <c r="K512" s="203"/>
      <c r="L512" s="205"/>
    </row>
    <row r="513" spans="1:12" x14ac:dyDescent="0.35">
      <c r="A513" s="203"/>
      <c r="B513" s="203"/>
      <c r="C513" s="203"/>
      <c r="D513" s="203"/>
      <c r="E513" s="203"/>
      <c r="F513" s="204"/>
      <c r="G513" s="204"/>
      <c r="H513" s="204"/>
      <c r="I513" s="203"/>
      <c r="J513" s="203"/>
      <c r="K513" s="203"/>
      <c r="L513" s="205"/>
    </row>
    <row r="514" spans="1:12" x14ac:dyDescent="0.35">
      <c r="A514" s="203"/>
      <c r="B514" s="203"/>
      <c r="C514" s="203"/>
      <c r="D514" s="203"/>
      <c r="E514" s="203"/>
      <c r="F514" s="204"/>
      <c r="G514" s="204"/>
      <c r="H514" s="204"/>
      <c r="I514" s="203"/>
      <c r="J514" s="203"/>
      <c r="K514" s="203"/>
      <c r="L514" s="205"/>
    </row>
    <row r="515" spans="1:12" x14ac:dyDescent="0.35">
      <c r="A515" s="203"/>
      <c r="B515" s="203"/>
      <c r="C515" s="203"/>
      <c r="D515" s="203"/>
      <c r="E515" s="203"/>
      <c r="F515" s="204"/>
      <c r="G515" s="204"/>
      <c r="H515" s="204"/>
      <c r="I515" s="203"/>
      <c r="J515" s="203"/>
      <c r="K515" s="203"/>
      <c r="L515" s="205"/>
    </row>
    <row r="516" spans="1:12" x14ac:dyDescent="0.35">
      <c r="A516" s="203"/>
      <c r="B516" s="203"/>
      <c r="C516" s="203"/>
      <c r="D516" s="203"/>
      <c r="E516" s="203"/>
      <c r="F516" s="204"/>
      <c r="G516" s="204"/>
      <c r="H516" s="204"/>
      <c r="I516" s="203"/>
      <c r="J516" s="203"/>
      <c r="K516" s="203"/>
      <c r="L516" s="205"/>
    </row>
    <row r="517" spans="1:12" x14ac:dyDescent="0.35">
      <c r="A517" s="203"/>
      <c r="B517" s="203"/>
      <c r="C517" s="203"/>
      <c r="D517" s="203"/>
      <c r="E517" s="203"/>
      <c r="F517" s="204"/>
      <c r="G517" s="204"/>
      <c r="H517" s="204"/>
      <c r="I517" s="203"/>
      <c r="J517" s="203"/>
      <c r="K517" s="203"/>
      <c r="L517" s="205"/>
    </row>
    <row r="518" spans="1:12" x14ac:dyDescent="0.35">
      <c r="A518" s="203"/>
      <c r="B518" s="203"/>
      <c r="C518" s="203"/>
      <c r="D518" s="203"/>
      <c r="E518" s="203"/>
      <c r="F518" s="204"/>
      <c r="G518" s="204"/>
      <c r="H518" s="204"/>
      <c r="I518" s="203"/>
      <c r="J518" s="203"/>
      <c r="K518" s="203"/>
      <c r="L518" s="205"/>
    </row>
    <row r="519" spans="1:12" x14ac:dyDescent="0.35">
      <c r="A519" s="203"/>
      <c r="B519" s="203"/>
      <c r="C519" s="203"/>
      <c r="D519" s="203"/>
      <c r="E519" s="203"/>
      <c r="F519" s="204"/>
      <c r="G519" s="204"/>
      <c r="H519" s="204"/>
      <c r="I519" s="203"/>
      <c r="J519" s="203"/>
      <c r="K519" s="203"/>
      <c r="L519" s="205"/>
    </row>
    <row r="520" spans="1:12" x14ac:dyDescent="0.35">
      <c r="A520" s="203"/>
      <c r="B520" s="203"/>
      <c r="C520" s="203"/>
      <c r="D520" s="203"/>
      <c r="E520" s="203"/>
      <c r="F520" s="204"/>
      <c r="G520" s="204"/>
      <c r="H520" s="204"/>
      <c r="I520" s="203"/>
      <c r="J520" s="203"/>
      <c r="K520" s="203"/>
      <c r="L520" s="205"/>
    </row>
    <row r="521" spans="1:12" x14ac:dyDescent="0.35">
      <c r="A521" s="203"/>
      <c r="B521" s="203"/>
      <c r="C521" s="203"/>
      <c r="D521" s="203"/>
      <c r="E521" s="203"/>
      <c r="F521" s="204"/>
      <c r="G521" s="204"/>
      <c r="H521" s="204"/>
      <c r="I521" s="203"/>
      <c r="J521" s="203"/>
      <c r="K521" s="203"/>
      <c r="L521" s="205"/>
    </row>
    <row r="522" spans="1:12" x14ac:dyDescent="0.35">
      <c r="A522" s="203"/>
      <c r="B522" s="203"/>
      <c r="C522" s="203"/>
      <c r="D522" s="203"/>
      <c r="E522" s="203"/>
      <c r="F522" s="204"/>
      <c r="G522" s="204"/>
      <c r="H522" s="204"/>
      <c r="I522" s="203"/>
      <c r="J522" s="203"/>
      <c r="K522" s="203"/>
      <c r="L522" s="205"/>
    </row>
    <row r="523" spans="1:12" x14ac:dyDescent="0.35">
      <c r="A523" s="203"/>
      <c r="B523" s="203"/>
      <c r="C523" s="203"/>
      <c r="D523" s="203"/>
      <c r="E523" s="203"/>
      <c r="F523" s="204"/>
      <c r="G523" s="204"/>
      <c r="H523" s="204"/>
      <c r="I523" s="203"/>
      <c r="J523" s="203"/>
      <c r="K523" s="203"/>
      <c r="L523" s="205"/>
    </row>
    <row r="524" spans="1:12" x14ac:dyDescent="0.35">
      <c r="A524" s="203"/>
      <c r="B524" s="203"/>
      <c r="C524" s="203"/>
      <c r="D524" s="203"/>
      <c r="E524" s="203"/>
      <c r="F524" s="204"/>
      <c r="G524" s="204"/>
      <c r="H524" s="204"/>
      <c r="I524" s="203"/>
      <c r="J524" s="203"/>
      <c r="K524" s="203"/>
      <c r="L524" s="205"/>
    </row>
    <row r="525" spans="1:12" x14ac:dyDescent="0.35">
      <c r="A525" s="203"/>
      <c r="B525" s="203"/>
      <c r="C525" s="203"/>
      <c r="D525" s="203"/>
      <c r="E525" s="203"/>
      <c r="F525" s="204"/>
      <c r="G525" s="204"/>
      <c r="H525" s="204"/>
      <c r="I525" s="203"/>
      <c r="J525" s="203"/>
      <c r="K525" s="203"/>
      <c r="L525" s="205"/>
    </row>
    <row r="526" spans="1:12" x14ac:dyDescent="0.35">
      <c r="A526" s="203"/>
      <c r="B526" s="203"/>
      <c r="C526" s="203"/>
      <c r="D526" s="203"/>
      <c r="E526" s="203"/>
      <c r="F526" s="204"/>
      <c r="G526" s="204"/>
      <c r="H526" s="204"/>
      <c r="I526" s="203"/>
      <c r="J526" s="203"/>
      <c r="K526" s="203"/>
      <c r="L526" s="205"/>
    </row>
    <row r="527" spans="1:12" x14ac:dyDescent="0.35">
      <c r="A527" s="203"/>
      <c r="B527" s="203"/>
      <c r="C527" s="203"/>
      <c r="D527" s="203"/>
      <c r="E527" s="203"/>
      <c r="F527" s="204"/>
      <c r="G527" s="204"/>
      <c r="H527" s="204"/>
      <c r="I527" s="203"/>
      <c r="J527" s="203"/>
      <c r="K527" s="203"/>
      <c r="L527" s="205"/>
    </row>
    <row r="528" spans="1:12" x14ac:dyDescent="0.35">
      <c r="A528" s="203"/>
      <c r="B528" s="203"/>
      <c r="C528" s="203"/>
      <c r="D528" s="203"/>
      <c r="E528" s="203"/>
      <c r="F528" s="204"/>
      <c r="G528" s="204"/>
      <c r="H528" s="204"/>
      <c r="I528" s="203"/>
      <c r="J528" s="203"/>
      <c r="K528" s="203"/>
      <c r="L528" s="205"/>
    </row>
    <row r="529" spans="1:12" x14ac:dyDescent="0.35">
      <c r="A529" s="203"/>
      <c r="B529" s="203"/>
      <c r="C529" s="203"/>
      <c r="D529" s="203"/>
      <c r="E529" s="203"/>
      <c r="F529" s="204"/>
      <c r="G529" s="204"/>
      <c r="H529" s="204"/>
      <c r="I529" s="203"/>
      <c r="J529" s="203"/>
      <c r="K529" s="203"/>
      <c r="L529" s="205"/>
    </row>
    <row r="530" spans="1:12" x14ac:dyDescent="0.35">
      <c r="A530" s="203"/>
      <c r="B530" s="203"/>
      <c r="C530" s="203"/>
      <c r="D530" s="203"/>
      <c r="E530" s="203"/>
      <c r="F530" s="204"/>
      <c r="G530" s="204"/>
      <c r="H530" s="204"/>
      <c r="I530" s="203"/>
      <c r="J530" s="203"/>
      <c r="K530" s="203"/>
      <c r="L530" s="205"/>
    </row>
    <row r="531" spans="1:12" x14ac:dyDescent="0.35">
      <c r="A531" s="203"/>
      <c r="B531" s="203"/>
      <c r="C531" s="203"/>
      <c r="D531" s="203"/>
      <c r="E531" s="203"/>
      <c r="F531" s="204"/>
      <c r="G531" s="204"/>
      <c r="H531" s="204"/>
      <c r="I531" s="203"/>
      <c r="J531" s="203"/>
      <c r="K531" s="203"/>
      <c r="L531" s="205"/>
    </row>
    <row r="532" spans="1:12" x14ac:dyDescent="0.35">
      <c r="A532" s="203"/>
      <c r="B532" s="203"/>
      <c r="C532" s="203"/>
      <c r="D532" s="203"/>
      <c r="E532" s="203"/>
      <c r="F532" s="204"/>
      <c r="G532" s="204"/>
      <c r="H532" s="204"/>
      <c r="I532" s="203"/>
      <c r="J532" s="203"/>
      <c r="K532" s="203"/>
      <c r="L532" s="205"/>
    </row>
    <row r="533" spans="1:12" x14ac:dyDescent="0.35">
      <c r="A533" s="203"/>
      <c r="B533" s="203"/>
      <c r="C533" s="203"/>
      <c r="D533" s="203"/>
      <c r="E533" s="203"/>
      <c r="F533" s="204"/>
      <c r="G533" s="204"/>
      <c r="H533" s="204"/>
      <c r="I533" s="203"/>
      <c r="J533" s="203"/>
      <c r="K533" s="203"/>
      <c r="L533" s="205"/>
    </row>
    <row r="534" spans="1:12" x14ac:dyDescent="0.35">
      <c r="A534" s="203"/>
      <c r="B534" s="203"/>
      <c r="C534" s="203"/>
      <c r="D534" s="203"/>
      <c r="E534" s="203"/>
      <c r="F534" s="204"/>
      <c r="G534" s="204"/>
      <c r="H534" s="204"/>
      <c r="I534" s="203"/>
      <c r="J534" s="203"/>
      <c r="K534" s="203"/>
      <c r="L534" s="205"/>
    </row>
    <row r="535" spans="1:12" x14ac:dyDescent="0.35">
      <c r="A535" s="203"/>
      <c r="B535" s="203"/>
      <c r="C535" s="203"/>
      <c r="D535" s="203"/>
      <c r="E535" s="203"/>
      <c r="F535" s="204"/>
      <c r="G535" s="204"/>
      <c r="H535" s="204"/>
      <c r="I535" s="203"/>
      <c r="J535" s="203"/>
      <c r="K535" s="203"/>
      <c r="L535" s="205"/>
    </row>
    <row r="536" spans="1:12" x14ac:dyDescent="0.35">
      <c r="A536" s="203"/>
      <c r="B536" s="203"/>
      <c r="C536" s="203"/>
      <c r="D536" s="203"/>
      <c r="E536" s="203"/>
      <c r="F536" s="204"/>
      <c r="G536" s="204"/>
      <c r="H536" s="204"/>
      <c r="I536" s="203"/>
      <c r="J536" s="203"/>
      <c r="K536" s="203"/>
      <c r="L536" s="205"/>
    </row>
    <row r="537" spans="1:12" x14ac:dyDescent="0.35">
      <c r="A537" s="203"/>
      <c r="B537" s="203"/>
      <c r="C537" s="203"/>
      <c r="D537" s="203"/>
      <c r="E537" s="203"/>
      <c r="F537" s="204"/>
      <c r="G537" s="204"/>
      <c r="H537" s="204"/>
      <c r="I537" s="203"/>
      <c r="J537" s="203"/>
      <c r="K537" s="203"/>
      <c r="L537" s="205"/>
    </row>
    <row r="538" spans="1:12" x14ac:dyDescent="0.35">
      <c r="A538" s="203"/>
      <c r="B538" s="203"/>
      <c r="C538" s="203"/>
      <c r="D538" s="203"/>
      <c r="E538" s="203"/>
      <c r="F538" s="204"/>
      <c r="G538" s="204"/>
      <c r="H538" s="204"/>
      <c r="I538" s="203"/>
      <c r="J538" s="203"/>
      <c r="K538" s="203"/>
      <c r="L538" s="205"/>
    </row>
    <row r="539" spans="1:12" x14ac:dyDescent="0.35">
      <c r="A539" s="203"/>
      <c r="B539" s="203"/>
      <c r="C539" s="203"/>
      <c r="D539" s="203"/>
      <c r="E539" s="203"/>
      <c r="F539" s="204"/>
      <c r="G539" s="204"/>
      <c r="H539" s="204"/>
      <c r="I539" s="203"/>
      <c r="J539" s="203"/>
      <c r="K539" s="203"/>
      <c r="L539" s="205"/>
    </row>
    <row r="540" spans="1:12" x14ac:dyDescent="0.35">
      <c r="A540" s="203"/>
      <c r="B540" s="203"/>
      <c r="C540" s="203"/>
      <c r="D540" s="203"/>
      <c r="E540" s="203"/>
      <c r="F540" s="204"/>
      <c r="G540" s="204"/>
      <c r="H540" s="204"/>
      <c r="I540" s="203"/>
      <c r="J540" s="203"/>
      <c r="K540" s="203"/>
      <c r="L540" s="205"/>
    </row>
    <row r="541" spans="1:12" x14ac:dyDescent="0.35">
      <c r="A541" s="203"/>
      <c r="B541" s="203"/>
      <c r="C541" s="203"/>
      <c r="D541" s="203"/>
      <c r="E541" s="203"/>
      <c r="F541" s="204"/>
      <c r="G541" s="204"/>
      <c r="H541" s="204"/>
      <c r="I541" s="203"/>
      <c r="J541" s="203"/>
      <c r="K541" s="203"/>
      <c r="L541" s="205"/>
    </row>
    <row r="542" spans="1:12" x14ac:dyDescent="0.35">
      <c r="A542" s="203"/>
      <c r="B542" s="203"/>
      <c r="C542" s="203"/>
      <c r="D542" s="203"/>
      <c r="E542" s="203"/>
      <c r="F542" s="204"/>
      <c r="G542" s="204"/>
      <c r="H542" s="204"/>
      <c r="I542" s="203"/>
      <c r="J542" s="203"/>
      <c r="K542" s="203"/>
      <c r="L542" s="205"/>
    </row>
    <row r="543" spans="1:12" x14ac:dyDescent="0.35">
      <c r="A543" s="203"/>
      <c r="B543" s="203"/>
      <c r="C543" s="203"/>
      <c r="D543" s="203"/>
      <c r="E543" s="203"/>
      <c r="F543" s="204"/>
      <c r="G543" s="204"/>
      <c r="H543" s="204"/>
      <c r="I543" s="203"/>
      <c r="J543" s="203"/>
      <c r="K543" s="203"/>
      <c r="L543" s="205"/>
    </row>
    <row r="544" spans="1:12" x14ac:dyDescent="0.35">
      <c r="A544" s="203"/>
      <c r="B544" s="203"/>
      <c r="C544" s="203"/>
      <c r="D544" s="203"/>
      <c r="E544" s="203"/>
      <c r="F544" s="204"/>
      <c r="G544" s="204"/>
      <c r="H544" s="204"/>
      <c r="I544" s="203"/>
      <c r="J544" s="203"/>
      <c r="K544" s="203"/>
      <c r="L544" s="205"/>
    </row>
    <row r="545" spans="1:12" x14ac:dyDescent="0.35">
      <c r="A545" s="203"/>
      <c r="B545" s="203"/>
      <c r="C545" s="203"/>
      <c r="D545" s="203"/>
      <c r="E545" s="203"/>
      <c r="F545" s="204"/>
      <c r="G545" s="204"/>
      <c r="H545" s="204"/>
      <c r="I545" s="203"/>
      <c r="J545" s="203"/>
      <c r="K545" s="203"/>
      <c r="L545" s="205"/>
    </row>
    <row r="546" spans="1:12" x14ac:dyDescent="0.35">
      <c r="A546" s="203"/>
      <c r="B546" s="203"/>
      <c r="C546" s="203"/>
      <c r="D546" s="203"/>
      <c r="E546" s="203"/>
      <c r="F546" s="204"/>
      <c r="G546" s="204"/>
      <c r="H546" s="204"/>
      <c r="I546" s="203"/>
      <c r="J546" s="203"/>
      <c r="K546" s="203"/>
      <c r="L546" s="205"/>
    </row>
    <row r="547" spans="1:12" x14ac:dyDescent="0.35">
      <c r="A547" s="203"/>
      <c r="B547" s="203"/>
      <c r="C547" s="203"/>
      <c r="D547" s="203"/>
      <c r="E547" s="203"/>
      <c r="F547" s="204"/>
      <c r="G547" s="204"/>
      <c r="H547" s="204"/>
      <c r="I547" s="203"/>
      <c r="J547" s="203"/>
      <c r="K547" s="203"/>
      <c r="L547" s="205"/>
    </row>
    <row r="548" spans="1:12" x14ac:dyDescent="0.35">
      <c r="A548" s="203"/>
      <c r="B548" s="203"/>
      <c r="C548" s="203"/>
      <c r="D548" s="203"/>
      <c r="E548" s="203"/>
      <c r="F548" s="204"/>
      <c r="G548" s="204"/>
      <c r="H548" s="204"/>
      <c r="I548" s="203"/>
      <c r="J548" s="203"/>
      <c r="K548" s="203"/>
      <c r="L548" s="205"/>
    </row>
    <row r="549" spans="1:12" x14ac:dyDescent="0.35">
      <c r="A549" s="203"/>
      <c r="B549" s="203"/>
      <c r="C549" s="203"/>
      <c r="D549" s="203"/>
      <c r="E549" s="203"/>
      <c r="F549" s="204"/>
      <c r="G549" s="204"/>
      <c r="H549" s="204"/>
      <c r="I549" s="203"/>
      <c r="J549" s="203"/>
      <c r="K549" s="203"/>
      <c r="L549" s="205"/>
    </row>
    <row r="550" spans="1:12" x14ac:dyDescent="0.35">
      <c r="A550" s="203"/>
      <c r="B550" s="203"/>
      <c r="C550" s="203"/>
      <c r="D550" s="203"/>
      <c r="E550" s="203"/>
      <c r="F550" s="204"/>
      <c r="G550" s="204"/>
      <c r="H550" s="204"/>
      <c r="I550" s="203"/>
      <c r="J550" s="203"/>
      <c r="K550" s="203"/>
      <c r="L550" s="205"/>
    </row>
    <row r="551" spans="1:12" x14ac:dyDescent="0.35">
      <c r="A551" s="203"/>
      <c r="B551" s="203"/>
      <c r="C551" s="203"/>
      <c r="D551" s="203"/>
      <c r="E551" s="203"/>
      <c r="F551" s="204"/>
      <c r="G551" s="204"/>
      <c r="H551" s="204"/>
      <c r="I551" s="203"/>
      <c r="J551" s="203"/>
      <c r="K551" s="203"/>
      <c r="L551" s="205"/>
    </row>
    <row r="552" spans="1:12" x14ac:dyDescent="0.35">
      <c r="A552" s="203"/>
      <c r="B552" s="203"/>
      <c r="C552" s="203"/>
      <c r="D552" s="203"/>
      <c r="E552" s="203"/>
      <c r="F552" s="204"/>
      <c r="G552" s="204"/>
      <c r="H552" s="204"/>
      <c r="I552" s="203"/>
      <c r="J552" s="203"/>
      <c r="K552" s="203"/>
      <c r="L552" s="205"/>
    </row>
    <row r="553" spans="1:12" x14ac:dyDescent="0.35">
      <c r="A553" s="203"/>
      <c r="B553" s="203"/>
      <c r="C553" s="203"/>
      <c r="D553" s="203"/>
      <c r="E553" s="203"/>
      <c r="F553" s="204"/>
      <c r="G553" s="204"/>
      <c r="H553" s="204"/>
      <c r="I553" s="203"/>
      <c r="J553" s="203"/>
      <c r="K553" s="203"/>
      <c r="L553" s="205"/>
    </row>
    <row r="554" spans="1:12" x14ac:dyDescent="0.35">
      <c r="A554" s="203"/>
      <c r="B554" s="203"/>
      <c r="C554" s="203"/>
      <c r="D554" s="203"/>
      <c r="E554" s="203"/>
      <c r="F554" s="204"/>
      <c r="G554" s="204"/>
      <c r="H554" s="204"/>
      <c r="I554" s="203"/>
      <c r="J554" s="203"/>
      <c r="K554" s="203"/>
      <c r="L554" s="205"/>
    </row>
    <row r="555" spans="1:12" x14ac:dyDescent="0.35">
      <c r="A555" s="203"/>
      <c r="B555" s="203"/>
      <c r="C555" s="203"/>
      <c r="D555" s="203"/>
      <c r="E555" s="203"/>
      <c r="F555" s="204"/>
      <c r="G555" s="204"/>
      <c r="H555" s="204"/>
      <c r="I555" s="203"/>
      <c r="J555" s="203"/>
      <c r="K555" s="203"/>
      <c r="L555" s="205"/>
    </row>
    <row r="556" spans="1:12" x14ac:dyDescent="0.35">
      <c r="A556" s="203"/>
      <c r="B556" s="203"/>
      <c r="C556" s="203"/>
      <c r="D556" s="203"/>
      <c r="E556" s="203"/>
      <c r="F556" s="204"/>
      <c r="G556" s="204"/>
      <c r="H556" s="204"/>
      <c r="I556" s="203"/>
      <c r="J556" s="203"/>
      <c r="K556" s="203"/>
      <c r="L556" s="205"/>
    </row>
    <row r="557" spans="1:12" x14ac:dyDescent="0.35">
      <c r="A557" s="203"/>
      <c r="B557" s="203"/>
      <c r="C557" s="203"/>
      <c r="D557" s="203"/>
      <c r="E557" s="203"/>
      <c r="F557" s="204"/>
      <c r="G557" s="204"/>
      <c r="H557" s="204"/>
      <c r="I557" s="203"/>
      <c r="J557" s="203"/>
      <c r="K557" s="203"/>
      <c r="L557" s="205"/>
    </row>
    <row r="558" spans="1:12" x14ac:dyDescent="0.35">
      <c r="A558" s="203"/>
      <c r="B558" s="203"/>
      <c r="C558" s="203"/>
      <c r="D558" s="203"/>
      <c r="E558" s="203"/>
      <c r="F558" s="204"/>
      <c r="G558" s="204"/>
      <c r="H558" s="204"/>
      <c r="I558" s="203"/>
      <c r="J558" s="203"/>
      <c r="K558" s="203"/>
      <c r="L558" s="205"/>
    </row>
    <row r="559" spans="1:12" x14ac:dyDescent="0.35">
      <c r="A559" s="203"/>
      <c r="B559" s="203"/>
      <c r="C559" s="203"/>
      <c r="D559" s="203"/>
      <c r="E559" s="203"/>
      <c r="F559" s="204"/>
      <c r="G559" s="204"/>
      <c r="H559" s="204"/>
      <c r="I559" s="203"/>
      <c r="J559" s="203"/>
      <c r="K559" s="203"/>
      <c r="L559" s="205"/>
    </row>
    <row r="560" spans="1:12" x14ac:dyDescent="0.35">
      <c r="A560" s="203"/>
      <c r="B560" s="203"/>
      <c r="C560" s="203"/>
      <c r="D560" s="203"/>
      <c r="E560" s="203"/>
      <c r="F560" s="204"/>
      <c r="G560" s="204"/>
      <c r="H560" s="204"/>
      <c r="I560" s="203"/>
      <c r="J560" s="203"/>
      <c r="K560" s="203"/>
      <c r="L560" s="205"/>
    </row>
    <row r="561" spans="1:12" x14ac:dyDescent="0.35">
      <c r="A561" s="203"/>
      <c r="B561" s="203"/>
      <c r="C561" s="203"/>
      <c r="D561" s="203"/>
      <c r="E561" s="203"/>
      <c r="F561" s="204"/>
      <c r="G561" s="204"/>
      <c r="H561" s="204"/>
      <c r="I561" s="203"/>
      <c r="J561" s="203"/>
      <c r="K561" s="203"/>
      <c r="L561" s="205"/>
    </row>
    <row r="562" spans="1:12" x14ac:dyDescent="0.35">
      <c r="A562" s="203"/>
      <c r="B562" s="203"/>
      <c r="C562" s="203"/>
      <c r="D562" s="203"/>
      <c r="E562" s="203"/>
      <c r="F562" s="204"/>
      <c r="G562" s="204"/>
      <c r="H562" s="204"/>
      <c r="I562" s="203"/>
      <c r="J562" s="203"/>
      <c r="K562" s="203"/>
      <c r="L562" s="205"/>
    </row>
    <row r="563" spans="1:12" x14ac:dyDescent="0.35">
      <c r="A563" s="203"/>
      <c r="B563" s="203"/>
      <c r="C563" s="203"/>
      <c r="D563" s="203"/>
      <c r="E563" s="203"/>
      <c r="F563" s="204"/>
      <c r="G563" s="204"/>
      <c r="H563" s="204"/>
      <c r="I563" s="203"/>
      <c r="J563" s="203"/>
      <c r="K563" s="203"/>
      <c r="L563" s="205"/>
    </row>
    <row r="564" spans="1:12" x14ac:dyDescent="0.35">
      <c r="A564" s="203"/>
      <c r="B564" s="203"/>
      <c r="C564" s="203"/>
      <c r="D564" s="203"/>
      <c r="E564" s="203"/>
      <c r="F564" s="204"/>
      <c r="G564" s="204"/>
      <c r="H564" s="204"/>
      <c r="I564" s="203"/>
      <c r="J564" s="203"/>
      <c r="K564" s="203"/>
      <c r="L564" s="205"/>
    </row>
    <row r="565" spans="1:12" x14ac:dyDescent="0.35">
      <c r="A565" s="203"/>
      <c r="B565" s="203"/>
      <c r="C565" s="203"/>
      <c r="D565" s="203"/>
      <c r="E565" s="203"/>
      <c r="F565" s="204"/>
      <c r="G565" s="204"/>
      <c r="H565" s="204"/>
      <c r="I565" s="203"/>
      <c r="J565" s="203"/>
      <c r="K565" s="203"/>
      <c r="L565" s="205"/>
    </row>
    <row r="566" spans="1:12" x14ac:dyDescent="0.35">
      <c r="A566" s="203"/>
      <c r="B566" s="203"/>
      <c r="C566" s="203"/>
      <c r="D566" s="203"/>
      <c r="E566" s="203"/>
      <c r="F566" s="204"/>
      <c r="G566" s="204"/>
      <c r="H566" s="204"/>
      <c r="I566" s="203"/>
      <c r="J566" s="203"/>
      <c r="K566" s="203"/>
      <c r="L566" s="205"/>
    </row>
    <row r="567" spans="1:12" x14ac:dyDescent="0.35">
      <c r="A567" s="203"/>
      <c r="B567" s="203"/>
      <c r="C567" s="203"/>
      <c r="D567" s="203"/>
      <c r="E567" s="203"/>
      <c r="F567" s="204"/>
      <c r="G567" s="204"/>
      <c r="H567" s="204"/>
      <c r="I567" s="203"/>
      <c r="J567" s="203"/>
      <c r="K567" s="203"/>
      <c r="L567" s="205"/>
    </row>
    <row r="568" spans="1:12" x14ac:dyDescent="0.35">
      <c r="A568" s="203"/>
      <c r="B568" s="203"/>
      <c r="C568" s="203"/>
      <c r="D568" s="203"/>
      <c r="E568" s="203"/>
      <c r="F568" s="204"/>
      <c r="G568" s="204"/>
      <c r="H568" s="204"/>
      <c r="I568" s="203"/>
      <c r="J568" s="203"/>
      <c r="K568" s="203"/>
      <c r="L568" s="205"/>
    </row>
    <row r="569" spans="1:12" x14ac:dyDescent="0.35">
      <c r="A569" s="203"/>
      <c r="B569" s="203"/>
      <c r="C569" s="203"/>
      <c r="D569" s="203"/>
      <c r="E569" s="203"/>
      <c r="F569" s="204"/>
      <c r="G569" s="204"/>
      <c r="H569" s="204"/>
      <c r="I569" s="203"/>
      <c r="J569" s="203"/>
      <c r="K569" s="203"/>
      <c r="L569" s="205"/>
    </row>
    <row r="570" spans="1:12" x14ac:dyDescent="0.35">
      <c r="A570" s="203"/>
      <c r="B570" s="203"/>
      <c r="C570" s="203"/>
      <c r="D570" s="203"/>
      <c r="E570" s="203"/>
      <c r="F570" s="204"/>
      <c r="G570" s="204"/>
      <c r="H570" s="204"/>
      <c r="I570" s="203"/>
      <c r="J570" s="203"/>
      <c r="K570" s="203"/>
      <c r="L570" s="205"/>
    </row>
    <row r="571" spans="1:12" x14ac:dyDescent="0.35">
      <c r="A571" s="203"/>
      <c r="B571" s="203"/>
      <c r="C571" s="203"/>
      <c r="D571" s="203"/>
      <c r="E571" s="203"/>
      <c r="F571" s="204"/>
      <c r="G571" s="204"/>
      <c r="H571" s="204"/>
      <c r="I571" s="203"/>
      <c r="J571" s="203"/>
      <c r="K571" s="203"/>
      <c r="L571" s="205"/>
    </row>
    <row r="572" spans="1:12" x14ac:dyDescent="0.35">
      <c r="A572" s="203"/>
      <c r="B572" s="203"/>
      <c r="C572" s="203"/>
      <c r="D572" s="203"/>
      <c r="E572" s="203"/>
      <c r="F572" s="204"/>
      <c r="G572" s="204"/>
      <c r="H572" s="204"/>
      <c r="I572" s="203"/>
      <c r="J572" s="203"/>
      <c r="K572" s="203"/>
      <c r="L572" s="205"/>
    </row>
    <row r="573" spans="1:12" x14ac:dyDescent="0.35">
      <c r="A573" s="203"/>
      <c r="B573" s="203"/>
      <c r="C573" s="203"/>
      <c r="D573" s="203"/>
      <c r="E573" s="203"/>
      <c r="F573" s="204"/>
      <c r="G573" s="204"/>
      <c r="H573" s="204"/>
      <c r="I573" s="203"/>
      <c r="J573" s="203"/>
      <c r="K573" s="203"/>
      <c r="L573" s="205"/>
    </row>
    <row r="574" spans="1:12" x14ac:dyDescent="0.35">
      <c r="A574" s="203"/>
      <c r="B574" s="203"/>
      <c r="C574" s="203"/>
      <c r="D574" s="203"/>
      <c r="E574" s="203"/>
      <c r="F574" s="204"/>
      <c r="G574" s="204"/>
      <c r="H574" s="204"/>
      <c r="I574" s="203"/>
      <c r="J574" s="203"/>
      <c r="K574" s="203"/>
      <c r="L574" s="205"/>
    </row>
    <row r="575" spans="1:12" x14ac:dyDescent="0.35">
      <c r="A575" s="203"/>
      <c r="B575" s="203"/>
      <c r="C575" s="203"/>
      <c r="D575" s="203"/>
      <c r="E575" s="203"/>
      <c r="F575" s="204"/>
      <c r="G575" s="204"/>
      <c r="H575" s="204"/>
      <c r="I575" s="203"/>
      <c r="J575" s="203"/>
      <c r="K575" s="203"/>
      <c r="L575" s="205"/>
    </row>
    <row r="576" spans="1:12" x14ac:dyDescent="0.35">
      <c r="A576" s="203"/>
      <c r="B576" s="203"/>
      <c r="C576" s="203"/>
      <c r="D576" s="203"/>
      <c r="E576" s="203"/>
      <c r="F576" s="204"/>
      <c r="G576" s="204"/>
      <c r="H576" s="204"/>
      <c r="I576" s="203"/>
      <c r="J576" s="203"/>
      <c r="K576" s="203"/>
      <c r="L576" s="205"/>
    </row>
    <row r="577" spans="1:12" x14ac:dyDescent="0.35">
      <c r="A577" s="203"/>
      <c r="B577" s="203"/>
      <c r="C577" s="203"/>
      <c r="D577" s="203"/>
      <c r="E577" s="203"/>
      <c r="F577" s="204"/>
      <c r="G577" s="204"/>
      <c r="H577" s="204"/>
      <c r="I577" s="203"/>
      <c r="J577" s="203"/>
      <c r="K577" s="203"/>
      <c r="L577" s="205"/>
    </row>
    <row r="578" spans="1:12" x14ac:dyDescent="0.35">
      <c r="A578" s="203"/>
      <c r="B578" s="203"/>
      <c r="C578" s="203"/>
      <c r="D578" s="203"/>
      <c r="E578" s="203"/>
      <c r="F578" s="204"/>
      <c r="G578" s="204"/>
      <c r="H578" s="204"/>
      <c r="I578" s="203"/>
      <c r="J578" s="203"/>
      <c r="K578" s="203"/>
      <c r="L578" s="205"/>
    </row>
    <row r="579" spans="1:12" x14ac:dyDescent="0.35">
      <c r="A579" s="203"/>
      <c r="B579" s="203"/>
      <c r="C579" s="203"/>
      <c r="D579" s="203"/>
      <c r="E579" s="203"/>
      <c r="F579" s="204"/>
      <c r="G579" s="204"/>
      <c r="H579" s="204"/>
      <c r="I579" s="203"/>
      <c r="J579" s="203"/>
      <c r="K579" s="203"/>
      <c r="L579" s="205"/>
    </row>
    <row r="580" spans="1:12" x14ac:dyDescent="0.35">
      <c r="A580" s="203"/>
      <c r="B580" s="203"/>
      <c r="C580" s="203"/>
      <c r="D580" s="203"/>
      <c r="E580" s="203"/>
      <c r="F580" s="204"/>
      <c r="G580" s="204"/>
      <c r="H580" s="204"/>
      <c r="I580" s="203"/>
      <c r="J580" s="203"/>
      <c r="K580" s="203"/>
      <c r="L580" s="205"/>
    </row>
    <row r="581" spans="1:12" x14ac:dyDescent="0.35">
      <c r="A581" s="203"/>
      <c r="B581" s="203"/>
      <c r="C581" s="203"/>
      <c r="D581" s="203"/>
      <c r="E581" s="203"/>
      <c r="F581" s="204"/>
      <c r="G581" s="204"/>
      <c r="H581" s="204"/>
      <c r="I581" s="203"/>
      <c r="J581" s="203"/>
      <c r="K581" s="203"/>
      <c r="L581" s="205"/>
    </row>
    <row r="582" spans="1:12" x14ac:dyDescent="0.35">
      <c r="A582" s="203"/>
      <c r="B582" s="203"/>
      <c r="C582" s="203"/>
      <c r="D582" s="203"/>
      <c r="E582" s="203"/>
      <c r="F582" s="204"/>
      <c r="G582" s="204"/>
      <c r="H582" s="204"/>
      <c r="I582" s="203"/>
      <c r="J582" s="203"/>
      <c r="K582" s="203"/>
      <c r="L582" s="205"/>
    </row>
    <row r="583" spans="1:12" x14ac:dyDescent="0.35">
      <c r="A583" s="203"/>
      <c r="B583" s="203"/>
      <c r="C583" s="203"/>
      <c r="D583" s="203"/>
      <c r="E583" s="203"/>
      <c r="F583" s="204"/>
      <c r="G583" s="204"/>
      <c r="H583" s="204"/>
      <c r="I583" s="203"/>
      <c r="J583" s="203"/>
      <c r="K583" s="203"/>
      <c r="L583" s="205"/>
    </row>
    <row r="584" spans="1:12" x14ac:dyDescent="0.35">
      <c r="A584" s="203"/>
      <c r="B584" s="203"/>
      <c r="C584" s="203"/>
      <c r="D584" s="203"/>
      <c r="E584" s="203"/>
      <c r="F584" s="204"/>
      <c r="G584" s="204"/>
      <c r="H584" s="204"/>
      <c r="I584" s="203"/>
      <c r="J584" s="203"/>
      <c r="K584" s="203"/>
      <c r="L584" s="205"/>
    </row>
    <row r="585" spans="1:12" x14ac:dyDescent="0.35">
      <c r="A585" s="203"/>
      <c r="B585" s="203"/>
      <c r="C585" s="203"/>
      <c r="D585" s="203"/>
      <c r="E585" s="203"/>
      <c r="F585" s="204"/>
      <c r="G585" s="204"/>
      <c r="H585" s="204"/>
      <c r="I585" s="203"/>
      <c r="J585" s="203"/>
      <c r="K585" s="203"/>
      <c r="L585" s="205"/>
    </row>
    <row r="586" spans="1:12" x14ac:dyDescent="0.35">
      <c r="A586" s="203"/>
      <c r="B586" s="203"/>
      <c r="C586" s="203"/>
      <c r="D586" s="203"/>
      <c r="E586" s="203"/>
      <c r="F586" s="204"/>
      <c r="G586" s="204"/>
      <c r="H586" s="204"/>
      <c r="I586" s="203"/>
      <c r="J586" s="203"/>
      <c r="K586" s="203"/>
      <c r="L586" s="205"/>
    </row>
    <row r="587" spans="1:12" x14ac:dyDescent="0.35">
      <c r="A587" s="203"/>
      <c r="B587" s="203"/>
      <c r="C587" s="203"/>
      <c r="D587" s="203"/>
      <c r="E587" s="203"/>
      <c r="F587" s="204"/>
      <c r="G587" s="204"/>
      <c r="H587" s="204"/>
      <c r="I587" s="203"/>
      <c r="J587" s="203"/>
      <c r="K587" s="203"/>
      <c r="L587" s="205"/>
    </row>
    <row r="588" spans="1:12" x14ac:dyDescent="0.35">
      <c r="A588" s="203"/>
      <c r="B588" s="203"/>
      <c r="C588" s="203"/>
      <c r="D588" s="203"/>
      <c r="E588" s="203"/>
      <c r="F588" s="204"/>
      <c r="G588" s="204"/>
      <c r="H588" s="204"/>
      <c r="I588" s="203"/>
      <c r="J588" s="203"/>
      <c r="K588" s="203"/>
      <c r="L588" s="205"/>
    </row>
    <row r="589" spans="1:12" x14ac:dyDescent="0.35">
      <c r="A589" s="203"/>
      <c r="B589" s="203"/>
      <c r="C589" s="203"/>
      <c r="D589" s="203"/>
      <c r="E589" s="203"/>
      <c r="F589" s="204"/>
      <c r="G589" s="204"/>
      <c r="H589" s="204"/>
      <c r="I589" s="203"/>
      <c r="J589" s="203"/>
      <c r="K589" s="203"/>
      <c r="L589" s="205"/>
    </row>
    <row r="590" spans="1:12" x14ac:dyDescent="0.35">
      <c r="A590" s="203"/>
      <c r="B590" s="203"/>
      <c r="C590" s="203"/>
      <c r="D590" s="203"/>
      <c r="E590" s="203"/>
      <c r="F590" s="204"/>
      <c r="G590" s="204"/>
      <c r="H590" s="204"/>
      <c r="I590" s="203"/>
      <c r="J590" s="203"/>
      <c r="K590" s="203"/>
      <c r="L590" s="205"/>
    </row>
    <row r="591" spans="1:12" x14ac:dyDescent="0.35">
      <c r="A591" s="203"/>
      <c r="B591" s="203"/>
      <c r="C591" s="203"/>
      <c r="D591" s="203"/>
      <c r="E591" s="203"/>
      <c r="F591" s="204"/>
      <c r="G591" s="204"/>
      <c r="H591" s="204"/>
      <c r="I591" s="203"/>
      <c r="J591" s="203"/>
      <c r="K591" s="203"/>
      <c r="L591" s="205"/>
    </row>
    <row r="592" spans="1:12" x14ac:dyDescent="0.35">
      <c r="A592" s="203"/>
      <c r="B592" s="203"/>
      <c r="C592" s="203"/>
      <c r="D592" s="203"/>
      <c r="E592" s="203"/>
      <c r="F592" s="204"/>
      <c r="G592" s="204"/>
      <c r="H592" s="204"/>
      <c r="I592" s="203"/>
      <c r="J592" s="203"/>
      <c r="K592" s="203"/>
      <c r="L592" s="205"/>
    </row>
    <row r="593" spans="1:12" x14ac:dyDescent="0.35">
      <c r="A593" s="203"/>
      <c r="B593" s="203"/>
      <c r="C593" s="203"/>
      <c r="D593" s="203"/>
      <c r="E593" s="203"/>
      <c r="F593" s="204"/>
      <c r="G593" s="204"/>
      <c r="H593" s="204"/>
      <c r="I593" s="203"/>
      <c r="J593" s="203"/>
      <c r="K593" s="203"/>
      <c r="L593" s="205"/>
    </row>
    <row r="594" spans="1:12" x14ac:dyDescent="0.35">
      <c r="A594" s="203"/>
      <c r="B594" s="203"/>
      <c r="C594" s="203"/>
      <c r="D594" s="203"/>
      <c r="E594" s="203"/>
      <c r="F594" s="204"/>
      <c r="G594" s="204"/>
      <c r="H594" s="204"/>
      <c r="I594" s="203"/>
      <c r="J594" s="203"/>
      <c r="K594" s="203"/>
      <c r="L594" s="205"/>
    </row>
    <row r="595" spans="1:12" x14ac:dyDescent="0.35">
      <c r="A595" s="203"/>
      <c r="B595" s="203"/>
      <c r="C595" s="203"/>
      <c r="D595" s="203"/>
      <c r="E595" s="203"/>
      <c r="F595" s="204"/>
      <c r="G595" s="204"/>
      <c r="H595" s="204"/>
      <c r="I595" s="203"/>
      <c r="J595" s="203"/>
      <c r="K595" s="203"/>
      <c r="L595" s="205"/>
    </row>
    <row r="596" spans="1:12" x14ac:dyDescent="0.35">
      <c r="A596" s="203"/>
      <c r="B596" s="203"/>
      <c r="C596" s="203"/>
      <c r="D596" s="203"/>
      <c r="E596" s="203"/>
      <c r="F596" s="204"/>
      <c r="G596" s="204"/>
      <c r="H596" s="204"/>
      <c r="I596" s="203"/>
      <c r="J596" s="203"/>
      <c r="K596" s="203"/>
      <c r="L596" s="205"/>
    </row>
    <row r="597" spans="1:12" x14ac:dyDescent="0.35">
      <c r="A597" s="203"/>
      <c r="B597" s="203"/>
      <c r="C597" s="203"/>
      <c r="D597" s="203"/>
      <c r="E597" s="203"/>
      <c r="F597" s="204"/>
      <c r="G597" s="204"/>
      <c r="H597" s="204"/>
      <c r="I597" s="203"/>
      <c r="J597" s="203"/>
      <c r="K597" s="203"/>
      <c r="L597" s="205"/>
    </row>
    <row r="598" spans="1:12" x14ac:dyDescent="0.35">
      <c r="A598" s="203"/>
      <c r="B598" s="203"/>
      <c r="C598" s="203"/>
      <c r="D598" s="203"/>
      <c r="E598" s="203"/>
      <c r="F598" s="204"/>
      <c r="G598" s="204"/>
      <c r="H598" s="204"/>
      <c r="I598" s="203"/>
      <c r="J598" s="203"/>
      <c r="K598" s="203"/>
      <c r="L598" s="205"/>
    </row>
    <row r="599" spans="1:12" x14ac:dyDescent="0.35">
      <c r="A599" s="203"/>
      <c r="B599" s="203"/>
      <c r="C599" s="203"/>
      <c r="D599" s="203"/>
      <c r="E599" s="203"/>
      <c r="F599" s="204"/>
      <c r="G599" s="204"/>
      <c r="H599" s="204"/>
      <c r="I599" s="203"/>
      <c r="J599" s="203"/>
      <c r="K599" s="203"/>
      <c r="L599" s="205"/>
    </row>
    <row r="600" spans="1:12" x14ac:dyDescent="0.35">
      <c r="A600" s="203"/>
      <c r="B600" s="203"/>
      <c r="C600" s="203"/>
      <c r="D600" s="203"/>
      <c r="E600" s="203"/>
      <c r="F600" s="204"/>
      <c r="G600" s="204"/>
      <c r="H600" s="204"/>
      <c r="I600" s="203"/>
      <c r="J600" s="203"/>
      <c r="K600" s="203"/>
      <c r="L600" s="205"/>
    </row>
    <row r="601" spans="1:12" x14ac:dyDescent="0.35">
      <c r="A601" s="203"/>
      <c r="B601" s="203"/>
      <c r="C601" s="203"/>
      <c r="D601" s="203"/>
      <c r="E601" s="203"/>
      <c r="F601" s="204"/>
      <c r="G601" s="204"/>
      <c r="H601" s="204"/>
      <c r="I601" s="203"/>
      <c r="J601" s="203"/>
      <c r="K601" s="203"/>
      <c r="L601" s="205"/>
    </row>
    <row r="602" spans="1:12" x14ac:dyDescent="0.35">
      <c r="A602" s="203"/>
      <c r="B602" s="203"/>
      <c r="C602" s="203"/>
      <c r="D602" s="203"/>
      <c r="E602" s="203"/>
      <c r="F602" s="204"/>
      <c r="G602" s="204"/>
      <c r="H602" s="204"/>
      <c r="I602" s="203"/>
      <c r="J602" s="203"/>
      <c r="K602" s="203"/>
      <c r="L602" s="205"/>
    </row>
    <row r="603" spans="1:12" x14ac:dyDescent="0.35">
      <c r="A603" s="203"/>
      <c r="B603" s="203"/>
      <c r="C603" s="203"/>
      <c r="D603" s="203"/>
      <c r="E603" s="203"/>
      <c r="F603" s="204"/>
      <c r="G603" s="204"/>
      <c r="H603" s="204"/>
      <c r="I603" s="203"/>
      <c r="J603" s="203"/>
      <c r="K603" s="203"/>
      <c r="L603" s="205"/>
    </row>
    <row r="604" spans="1:12" x14ac:dyDescent="0.35">
      <c r="A604" s="203"/>
      <c r="B604" s="203"/>
      <c r="C604" s="203"/>
      <c r="D604" s="203"/>
      <c r="E604" s="203"/>
      <c r="F604" s="204"/>
      <c r="G604" s="204"/>
      <c r="H604" s="204"/>
      <c r="I604" s="203"/>
      <c r="J604" s="203"/>
      <c r="K604" s="203"/>
      <c r="L604" s="205"/>
    </row>
    <row r="605" spans="1:12" x14ac:dyDescent="0.35">
      <c r="A605" s="203"/>
      <c r="B605" s="203"/>
      <c r="C605" s="203"/>
      <c r="D605" s="203"/>
      <c r="E605" s="203"/>
      <c r="F605" s="204"/>
      <c r="G605" s="204"/>
      <c r="H605" s="204"/>
      <c r="I605" s="203"/>
      <c r="J605" s="203"/>
      <c r="K605" s="203"/>
      <c r="L605" s="205"/>
    </row>
    <row r="606" spans="1:12" x14ac:dyDescent="0.35">
      <c r="A606" s="203"/>
      <c r="B606" s="203"/>
      <c r="C606" s="203"/>
      <c r="D606" s="203"/>
      <c r="E606" s="203"/>
      <c r="F606" s="204"/>
      <c r="G606" s="204"/>
      <c r="H606" s="204"/>
      <c r="I606" s="203"/>
      <c r="J606" s="203"/>
      <c r="K606" s="203"/>
      <c r="L606" s="205"/>
    </row>
    <row r="607" spans="1:12" x14ac:dyDescent="0.35">
      <c r="A607" s="203"/>
      <c r="B607" s="203"/>
      <c r="C607" s="203"/>
      <c r="D607" s="203"/>
      <c r="E607" s="203"/>
      <c r="F607" s="204"/>
      <c r="G607" s="204"/>
      <c r="H607" s="204"/>
      <c r="I607" s="203"/>
      <c r="J607" s="203"/>
      <c r="K607" s="203"/>
      <c r="L607" s="205"/>
    </row>
    <row r="608" spans="1:12" x14ac:dyDescent="0.35">
      <c r="A608" s="203"/>
      <c r="B608" s="203"/>
      <c r="C608" s="203"/>
      <c r="D608" s="203"/>
      <c r="E608" s="203"/>
      <c r="F608" s="204"/>
      <c r="G608" s="204"/>
      <c r="H608" s="204"/>
      <c r="I608" s="203"/>
      <c r="J608" s="203"/>
      <c r="K608" s="203"/>
      <c r="L608" s="205"/>
    </row>
    <row r="609" spans="1:12" x14ac:dyDescent="0.35">
      <c r="A609" s="203"/>
      <c r="B609" s="203"/>
      <c r="C609" s="203"/>
      <c r="D609" s="203"/>
      <c r="E609" s="203"/>
      <c r="F609" s="204"/>
      <c r="G609" s="204"/>
      <c r="H609" s="204"/>
      <c r="I609" s="203"/>
      <c r="J609" s="203"/>
      <c r="K609" s="203"/>
      <c r="L609" s="205"/>
    </row>
    <row r="610" spans="1:12" x14ac:dyDescent="0.35">
      <c r="A610" s="203"/>
      <c r="B610" s="203"/>
      <c r="C610" s="203"/>
      <c r="D610" s="203"/>
      <c r="E610" s="203"/>
      <c r="F610" s="204"/>
      <c r="G610" s="204"/>
      <c r="H610" s="204"/>
      <c r="I610" s="203"/>
      <c r="J610" s="203"/>
      <c r="K610" s="203"/>
      <c r="L610" s="205"/>
    </row>
    <row r="611" spans="1:12" x14ac:dyDescent="0.35">
      <c r="A611" s="203"/>
      <c r="B611" s="203"/>
      <c r="C611" s="203"/>
      <c r="D611" s="203"/>
      <c r="E611" s="203"/>
      <c r="F611" s="204"/>
      <c r="G611" s="204"/>
      <c r="H611" s="204"/>
      <c r="I611" s="203"/>
      <c r="J611" s="203"/>
      <c r="K611" s="203"/>
      <c r="L611" s="205"/>
    </row>
    <row r="612" spans="1:12" x14ac:dyDescent="0.35">
      <c r="A612" s="203"/>
      <c r="B612" s="203"/>
      <c r="C612" s="203"/>
      <c r="D612" s="203"/>
      <c r="E612" s="203"/>
      <c r="F612" s="204"/>
      <c r="G612" s="204"/>
      <c r="H612" s="204"/>
      <c r="I612" s="203"/>
      <c r="J612" s="203"/>
      <c r="K612" s="203"/>
      <c r="L612" s="205"/>
    </row>
    <row r="613" spans="1:12" x14ac:dyDescent="0.35">
      <c r="A613" s="203"/>
      <c r="B613" s="203"/>
      <c r="C613" s="203"/>
      <c r="D613" s="203"/>
      <c r="E613" s="203"/>
      <c r="F613" s="204"/>
      <c r="G613" s="204"/>
      <c r="H613" s="204"/>
      <c r="I613" s="203"/>
      <c r="J613" s="203"/>
      <c r="K613" s="203"/>
      <c r="L613" s="205"/>
    </row>
    <row r="614" spans="1:12" x14ac:dyDescent="0.35">
      <c r="A614" s="203"/>
      <c r="B614" s="203"/>
      <c r="C614" s="203"/>
      <c r="D614" s="203"/>
      <c r="E614" s="203"/>
      <c r="F614" s="204"/>
      <c r="G614" s="204"/>
      <c r="H614" s="204"/>
      <c r="I614" s="203"/>
      <c r="J614" s="203"/>
      <c r="K614" s="203"/>
      <c r="L614" s="205"/>
    </row>
    <row r="615" spans="1:12" x14ac:dyDescent="0.35">
      <c r="A615" s="203"/>
      <c r="B615" s="203"/>
      <c r="C615" s="203"/>
      <c r="D615" s="203"/>
      <c r="E615" s="203"/>
      <c r="F615" s="204"/>
      <c r="G615" s="204"/>
      <c r="H615" s="204"/>
      <c r="I615" s="203"/>
      <c r="J615" s="203"/>
      <c r="K615" s="203"/>
      <c r="L615" s="205"/>
    </row>
    <row r="616" spans="1:12" x14ac:dyDescent="0.35">
      <c r="A616" s="203"/>
      <c r="B616" s="203"/>
      <c r="C616" s="203"/>
      <c r="D616" s="203"/>
      <c r="E616" s="203"/>
      <c r="F616" s="204"/>
      <c r="G616" s="204"/>
      <c r="H616" s="204"/>
      <c r="I616" s="203"/>
      <c r="J616" s="203"/>
      <c r="K616" s="203"/>
      <c r="L616" s="205"/>
    </row>
    <row r="617" spans="1:12" x14ac:dyDescent="0.35">
      <c r="A617" s="203"/>
      <c r="B617" s="203"/>
      <c r="C617" s="203"/>
      <c r="D617" s="203"/>
      <c r="E617" s="203"/>
      <c r="F617" s="204"/>
      <c r="G617" s="204"/>
      <c r="H617" s="204"/>
      <c r="I617" s="203"/>
      <c r="J617" s="203"/>
      <c r="K617" s="203"/>
      <c r="L617" s="205"/>
    </row>
    <row r="618" spans="1:12" x14ac:dyDescent="0.35">
      <c r="A618" s="203"/>
      <c r="B618" s="203"/>
      <c r="C618" s="203"/>
      <c r="D618" s="203"/>
      <c r="E618" s="203"/>
      <c r="F618" s="204"/>
      <c r="G618" s="204"/>
      <c r="H618" s="204"/>
      <c r="I618" s="203"/>
      <c r="J618" s="203"/>
      <c r="K618" s="203"/>
      <c r="L618" s="205"/>
    </row>
    <row r="619" spans="1:12" x14ac:dyDescent="0.35">
      <c r="A619" s="203"/>
      <c r="B619" s="203"/>
      <c r="C619" s="203"/>
      <c r="D619" s="203"/>
      <c r="E619" s="203"/>
      <c r="F619" s="204"/>
      <c r="G619" s="204"/>
      <c r="H619" s="204"/>
      <c r="I619" s="203"/>
      <c r="J619" s="203"/>
      <c r="K619" s="203"/>
      <c r="L619" s="205"/>
    </row>
    <row r="620" spans="1:12" x14ac:dyDescent="0.35">
      <c r="A620" s="203"/>
      <c r="B620" s="203"/>
      <c r="C620" s="203"/>
      <c r="D620" s="203"/>
      <c r="E620" s="203"/>
      <c r="F620" s="204"/>
      <c r="G620" s="204"/>
      <c r="H620" s="204"/>
      <c r="I620" s="203"/>
      <c r="J620" s="203"/>
      <c r="K620" s="203"/>
      <c r="L620" s="205"/>
    </row>
    <row r="621" spans="1:12" x14ac:dyDescent="0.35">
      <c r="A621" s="203"/>
      <c r="B621" s="203"/>
      <c r="C621" s="203"/>
      <c r="D621" s="203"/>
      <c r="E621" s="203"/>
      <c r="F621" s="204"/>
      <c r="G621" s="204"/>
      <c r="H621" s="204"/>
      <c r="I621" s="203"/>
      <c r="J621" s="203"/>
      <c r="K621" s="203"/>
      <c r="L621" s="205"/>
    </row>
    <row r="622" spans="1:12" x14ac:dyDescent="0.35">
      <c r="A622" s="203"/>
      <c r="B622" s="203"/>
      <c r="C622" s="203"/>
      <c r="D622" s="203"/>
      <c r="E622" s="203"/>
      <c r="F622" s="204"/>
      <c r="G622" s="204"/>
      <c r="H622" s="204"/>
      <c r="I622" s="203"/>
      <c r="J622" s="203"/>
      <c r="K622" s="203"/>
      <c r="L622" s="205"/>
    </row>
    <row r="623" spans="1:12" x14ac:dyDescent="0.35">
      <c r="A623" s="203"/>
      <c r="B623" s="203"/>
      <c r="C623" s="203"/>
      <c r="D623" s="203"/>
      <c r="E623" s="203"/>
      <c r="F623" s="204"/>
      <c r="G623" s="204"/>
      <c r="H623" s="204"/>
      <c r="I623" s="203"/>
      <c r="J623" s="203"/>
      <c r="K623" s="203"/>
      <c r="L623" s="205"/>
    </row>
    <row r="624" spans="1:12" x14ac:dyDescent="0.35">
      <c r="A624" s="203"/>
      <c r="B624" s="203"/>
      <c r="C624" s="203"/>
      <c r="D624" s="203"/>
      <c r="E624" s="203"/>
      <c r="F624" s="204"/>
      <c r="G624" s="204"/>
      <c r="H624" s="204"/>
      <c r="I624" s="203"/>
      <c r="J624" s="203"/>
      <c r="K624" s="203"/>
      <c r="L624" s="205"/>
    </row>
    <row r="625" spans="1:12" x14ac:dyDescent="0.35">
      <c r="A625" s="203"/>
      <c r="B625" s="203"/>
      <c r="C625" s="203"/>
      <c r="D625" s="203"/>
      <c r="E625" s="203"/>
      <c r="F625" s="204"/>
      <c r="G625" s="204"/>
      <c r="H625" s="204"/>
      <c r="I625" s="203"/>
      <c r="J625" s="203"/>
      <c r="K625" s="203"/>
      <c r="L625" s="205"/>
    </row>
    <row r="626" spans="1:12" x14ac:dyDescent="0.35">
      <c r="A626" s="203"/>
      <c r="B626" s="203"/>
      <c r="C626" s="203"/>
      <c r="D626" s="203"/>
      <c r="E626" s="203"/>
      <c r="F626" s="204"/>
      <c r="G626" s="204"/>
      <c r="H626" s="204"/>
      <c r="I626" s="203"/>
      <c r="J626" s="203"/>
      <c r="K626" s="203"/>
      <c r="L626" s="205"/>
    </row>
    <row r="627" spans="1:12" x14ac:dyDescent="0.35">
      <c r="A627" s="203"/>
      <c r="B627" s="203"/>
      <c r="C627" s="203"/>
      <c r="D627" s="203"/>
      <c r="E627" s="203"/>
      <c r="F627" s="204"/>
      <c r="G627" s="204"/>
      <c r="H627" s="204"/>
      <c r="I627" s="203"/>
      <c r="J627" s="203"/>
      <c r="K627" s="203"/>
      <c r="L627" s="205"/>
    </row>
    <row r="628" spans="1:12" x14ac:dyDescent="0.35">
      <c r="A628" s="203"/>
      <c r="B628" s="203"/>
      <c r="C628" s="203"/>
      <c r="D628" s="203"/>
      <c r="E628" s="203"/>
      <c r="F628" s="204"/>
      <c r="G628" s="204"/>
      <c r="H628" s="204"/>
      <c r="I628" s="203"/>
      <c r="J628" s="203"/>
      <c r="K628" s="203"/>
      <c r="L628" s="205"/>
    </row>
    <row r="629" spans="1:12" x14ac:dyDescent="0.35">
      <c r="A629" s="203"/>
      <c r="B629" s="203"/>
      <c r="C629" s="203"/>
      <c r="D629" s="203"/>
      <c r="E629" s="203"/>
      <c r="F629" s="204"/>
      <c r="G629" s="204"/>
      <c r="H629" s="204"/>
      <c r="I629" s="203"/>
      <c r="J629" s="203"/>
      <c r="K629" s="203"/>
      <c r="L629" s="205"/>
    </row>
    <row r="630" spans="1:12" x14ac:dyDescent="0.35">
      <c r="A630" s="203"/>
      <c r="B630" s="203"/>
      <c r="C630" s="203"/>
      <c r="D630" s="203"/>
      <c r="E630" s="203"/>
      <c r="F630" s="204"/>
      <c r="G630" s="204"/>
      <c r="H630" s="204"/>
      <c r="I630" s="203"/>
      <c r="J630" s="203"/>
      <c r="K630" s="203"/>
      <c r="L630" s="205"/>
    </row>
    <row r="631" spans="1:12" x14ac:dyDescent="0.35">
      <c r="A631" s="203"/>
      <c r="B631" s="203"/>
      <c r="C631" s="203"/>
      <c r="D631" s="203"/>
      <c r="E631" s="203"/>
      <c r="F631" s="204"/>
      <c r="G631" s="204"/>
      <c r="H631" s="204"/>
      <c r="I631" s="203"/>
      <c r="J631" s="203"/>
      <c r="K631" s="203"/>
      <c r="L631" s="205"/>
    </row>
    <row r="632" spans="1:12" x14ac:dyDescent="0.35">
      <c r="A632" s="203"/>
      <c r="B632" s="203"/>
      <c r="C632" s="203"/>
      <c r="D632" s="203"/>
      <c r="E632" s="203"/>
      <c r="F632" s="204"/>
      <c r="G632" s="204"/>
      <c r="H632" s="204"/>
      <c r="I632" s="203"/>
      <c r="J632" s="203"/>
      <c r="K632" s="203"/>
      <c r="L632" s="205"/>
    </row>
    <row r="633" spans="1:12" x14ac:dyDescent="0.35">
      <c r="A633" s="203"/>
      <c r="B633" s="203"/>
      <c r="C633" s="203"/>
      <c r="D633" s="203"/>
      <c r="E633" s="203"/>
      <c r="F633" s="204"/>
      <c r="G633" s="204"/>
      <c r="H633" s="204"/>
      <c r="I633" s="203"/>
      <c r="J633" s="203"/>
      <c r="K633" s="203"/>
      <c r="L633" s="205"/>
    </row>
    <row r="634" spans="1:12" x14ac:dyDescent="0.35">
      <c r="A634" s="203"/>
      <c r="B634" s="203"/>
      <c r="C634" s="203"/>
      <c r="D634" s="203"/>
      <c r="E634" s="203"/>
      <c r="F634" s="204"/>
      <c r="G634" s="204"/>
      <c r="H634" s="204"/>
      <c r="I634" s="203"/>
      <c r="J634" s="203"/>
      <c r="K634" s="203"/>
      <c r="L634" s="205"/>
    </row>
    <row r="635" spans="1:12" x14ac:dyDescent="0.35">
      <c r="A635" s="203"/>
      <c r="B635" s="203"/>
      <c r="C635" s="203"/>
      <c r="D635" s="203"/>
      <c r="E635" s="203"/>
      <c r="F635" s="204"/>
      <c r="G635" s="204"/>
      <c r="H635" s="204"/>
      <c r="I635" s="203"/>
      <c r="J635" s="203"/>
      <c r="K635" s="203"/>
      <c r="L635" s="205"/>
    </row>
    <row r="636" spans="1:12" x14ac:dyDescent="0.35">
      <c r="A636" s="203"/>
      <c r="B636" s="203"/>
      <c r="C636" s="203"/>
      <c r="D636" s="203"/>
      <c r="E636" s="203"/>
      <c r="F636" s="204"/>
      <c r="G636" s="204"/>
      <c r="H636" s="204"/>
      <c r="I636" s="203"/>
      <c r="J636" s="203"/>
      <c r="K636" s="203"/>
      <c r="L636" s="205"/>
    </row>
    <row r="637" spans="1:12" x14ac:dyDescent="0.35">
      <c r="A637" s="203"/>
      <c r="B637" s="203"/>
      <c r="C637" s="203"/>
      <c r="D637" s="203"/>
      <c r="E637" s="203"/>
      <c r="F637" s="204"/>
      <c r="G637" s="204"/>
      <c r="H637" s="204"/>
      <c r="I637" s="203"/>
      <c r="J637" s="203"/>
      <c r="K637" s="203"/>
      <c r="L637" s="205"/>
    </row>
    <row r="638" spans="1:12" x14ac:dyDescent="0.35">
      <c r="A638" s="203"/>
      <c r="B638" s="203"/>
      <c r="C638" s="203"/>
      <c r="D638" s="203"/>
      <c r="E638" s="203"/>
      <c r="F638" s="204"/>
      <c r="G638" s="204"/>
      <c r="H638" s="204"/>
      <c r="I638" s="203"/>
      <c r="J638" s="203"/>
      <c r="K638" s="203"/>
      <c r="L638" s="205"/>
    </row>
    <row r="639" spans="1:12" x14ac:dyDescent="0.35">
      <c r="A639" s="203"/>
      <c r="B639" s="203"/>
      <c r="C639" s="203"/>
      <c r="D639" s="203"/>
      <c r="E639" s="203"/>
      <c r="F639" s="204"/>
      <c r="G639" s="204"/>
      <c r="H639" s="204"/>
      <c r="I639" s="203"/>
      <c r="J639" s="203"/>
      <c r="K639" s="203"/>
      <c r="L639" s="205"/>
    </row>
    <row r="640" spans="1:12" x14ac:dyDescent="0.35">
      <c r="A640" s="203"/>
      <c r="B640" s="203"/>
      <c r="C640" s="203"/>
      <c r="D640" s="203"/>
      <c r="E640" s="203"/>
      <c r="F640" s="204"/>
      <c r="G640" s="204"/>
      <c r="H640" s="204"/>
      <c r="I640" s="203"/>
      <c r="J640" s="203"/>
      <c r="K640" s="203"/>
      <c r="L640" s="205"/>
    </row>
    <row r="641" spans="1:12" x14ac:dyDescent="0.35">
      <c r="A641" s="203"/>
      <c r="B641" s="203"/>
      <c r="C641" s="203"/>
      <c r="D641" s="203"/>
      <c r="E641" s="203"/>
      <c r="F641" s="204"/>
      <c r="G641" s="204"/>
      <c r="H641" s="204"/>
      <c r="I641" s="203"/>
      <c r="J641" s="203"/>
      <c r="K641" s="203"/>
      <c r="L641" s="205"/>
    </row>
    <row r="642" spans="1:12" x14ac:dyDescent="0.35">
      <c r="A642" s="203"/>
      <c r="B642" s="203"/>
      <c r="C642" s="203"/>
      <c r="D642" s="203"/>
      <c r="E642" s="203"/>
      <c r="F642" s="204"/>
      <c r="G642" s="204"/>
      <c r="H642" s="204"/>
      <c r="I642" s="203"/>
      <c r="J642" s="203"/>
      <c r="K642" s="203"/>
      <c r="L642" s="205"/>
    </row>
    <row r="643" spans="1:12" x14ac:dyDescent="0.35">
      <c r="A643" s="203"/>
      <c r="B643" s="203"/>
      <c r="C643" s="203"/>
      <c r="D643" s="203"/>
      <c r="E643" s="203"/>
      <c r="F643" s="204"/>
      <c r="G643" s="204"/>
      <c r="H643" s="204"/>
      <c r="I643" s="203"/>
      <c r="J643" s="203"/>
      <c r="K643" s="203"/>
      <c r="L643" s="205"/>
    </row>
    <row r="644" spans="1:12" x14ac:dyDescent="0.35">
      <c r="A644" s="203"/>
      <c r="B644" s="203"/>
      <c r="C644" s="203"/>
      <c r="D644" s="203"/>
      <c r="E644" s="203"/>
      <c r="F644" s="204"/>
      <c r="G644" s="204"/>
      <c r="H644" s="204"/>
      <c r="I644" s="203"/>
      <c r="J644" s="203"/>
      <c r="K644" s="203"/>
      <c r="L644" s="205"/>
    </row>
    <row r="645" spans="1:12" x14ac:dyDescent="0.35">
      <c r="A645" s="203"/>
      <c r="B645" s="203"/>
      <c r="C645" s="203"/>
      <c r="D645" s="203"/>
      <c r="E645" s="203"/>
      <c r="F645" s="204"/>
      <c r="G645" s="204"/>
      <c r="H645" s="204"/>
      <c r="I645" s="203"/>
      <c r="J645" s="203"/>
      <c r="K645" s="203"/>
      <c r="L645" s="205"/>
    </row>
    <row r="646" spans="1:12" x14ac:dyDescent="0.35">
      <c r="A646" s="203"/>
      <c r="B646" s="203"/>
      <c r="C646" s="203"/>
      <c r="D646" s="203"/>
      <c r="E646" s="203"/>
      <c r="F646" s="204"/>
      <c r="G646" s="204"/>
      <c r="H646" s="204"/>
      <c r="I646" s="203"/>
      <c r="J646" s="203"/>
      <c r="K646" s="203"/>
      <c r="L646" s="205"/>
    </row>
    <row r="647" spans="1:12" x14ac:dyDescent="0.35">
      <c r="A647" s="203"/>
      <c r="B647" s="203"/>
      <c r="C647" s="203"/>
      <c r="D647" s="203"/>
      <c r="E647" s="203"/>
      <c r="F647" s="204"/>
      <c r="G647" s="204"/>
      <c r="H647" s="204"/>
      <c r="I647" s="203"/>
      <c r="J647" s="203"/>
      <c r="K647" s="203"/>
      <c r="L647" s="205"/>
    </row>
    <row r="648" spans="1:12" x14ac:dyDescent="0.35">
      <c r="A648" s="203"/>
      <c r="B648" s="203"/>
      <c r="C648" s="203"/>
      <c r="D648" s="203"/>
      <c r="E648" s="203"/>
      <c r="F648" s="204"/>
      <c r="G648" s="204"/>
      <c r="H648" s="204"/>
      <c r="I648" s="203"/>
      <c r="J648" s="203"/>
      <c r="K648" s="203"/>
      <c r="L648" s="205"/>
    </row>
    <row r="649" spans="1:12" x14ac:dyDescent="0.35">
      <c r="A649" s="203"/>
      <c r="B649" s="203"/>
      <c r="C649" s="203"/>
      <c r="D649" s="203"/>
      <c r="E649" s="203"/>
      <c r="F649" s="204"/>
      <c r="G649" s="204"/>
      <c r="H649" s="204"/>
      <c r="I649" s="203"/>
      <c r="J649" s="203"/>
      <c r="K649" s="203"/>
      <c r="L649" s="205"/>
    </row>
    <row r="650" spans="1:12" x14ac:dyDescent="0.35">
      <c r="A650" s="203"/>
      <c r="B650" s="203"/>
      <c r="C650" s="203"/>
      <c r="D650" s="203"/>
      <c r="E650" s="203"/>
      <c r="F650" s="204"/>
      <c r="G650" s="204"/>
      <c r="H650" s="204"/>
      <c r="I650" s="203"/>
      <c r="J650" s="203"/>
      <c r="K650" s="203"/>
      <c r="L650" s="205"/>
    </row>
    <row r="651" spans="1:12" x14ac:dyDescent="0.35">
      <c r="A651" s="203"/>
      <c r="B651" s="203"/>
      <c r="C651" s="203"/>
      <c r="D651" s="203"/>
      <c r="E651" s="203"/>
      <c r="F651" s="204"/>
      <c r="G651" s="204"/>
      <c r="H651" s="204"/>
      <c r="I651" s="203"/>
      <c r="J651" s="203"/>
      <c r="K651" s="203"/>
      <c r="L651" s="205"/>
    </row>
    <row r="652" spans="1:12" x14ac:dyDescent="0.35">
      <c r="A652" s="203"/>
      <c r="B652" s="203"/>
      <c r="C652" s="203"/>
      <c r="D652" s="203"/>
      <c r="E652" s="203"/>
      <c r="F652" s="204"/>
      <c r="G652" s="204"/>
      <c r="H652" s="204"/>
      <c r="I652" s="203"/>
      <c r="J652" s="203"/>
      <c r="K652" s="203"/>
      <c r="L652" s="205"/>
    </row>
    <row r="653" spans="1:12" x14ac:dyDescent="0.35">
      <c r="A653" s="203"/>
      <c r="B653" s="203"/>
      <c r="C653" s="203"/>
      <c r="D653" s="203"/>
      <c r="E653" s="203"/>
      <c r="F653" s="204"/>
      <c r="G653" s="204"/>
      <c r="H653" s="204"/>
      <c r="I653" s="203"/>
      <c r="J653" s="203"/>
      <c r="K653" s="203"/>
      <c r="L653" s="205"/>
    </row>
    <row r="654" spans="1:12" x14ac:dyDescent="0.35">
      <c r="A654" s="203"/>
      <c r="B654" s="203"/>
      <c r="C654" s="203"/>
      <c r="D654" s="203"/>
      <c r="E654" s="203"/>
      <c r="F654" s="204"/>
      <c r="G654" s="204"/>
      <c r="H654" s="204"/>
      <c r="I654" s="203"/>
      <c r="J654" s="203"/>
      <c r="K654" s="203"/>
      <c r="L654" s="205"/>
    </row>
    <row r="655" spans="1:12" x14ac:dyDescent="0.35">
      <c r="A655" s="203"/>
      <c r="B655" s="203"/>
      <c r="C655" s="203"/>
      <c r="D655" s="203"/>
      <c r="E655" s="203"/>
      <c r="F655" s="204"/>
      <c r="G655" s="204"/>
      <c r="H655" s="204"/>
      <c r="I655" s="203"/>
      <c r="J655" s="203"/>
      <c r="K655" s="203"/>
      <c r="L655" s="205"/>
    </row>
    <row r="656" spans="1:12" x14ac:dyDescent="0.35">
      <c r="A656" s="203"/>
      <c r="B656" s="203"/>
      <c r="C656" s="203"/>
      <c r="D656" s="203"/>
      <c r="E656" s="203"/>
      <c r="F656" s="204"/>
      <c r="G656" s="204"/>
      <c r="H656" s="204"/>
      <c r="I656" s="203"/>
      <c r="J656" s="203"/>
      <c r="K656" s="203"/>
      <c r="L656" s="205"/>
    </row>
    <row r="657" spans="1:12" x14ac:dyDescent="0.35">
      <c r="A657" s="203"/>
      <c r="B657" s="203"/>
      <c r="C657" s="203"/>
      <c r="D657" s="203"/>
      <c r="E657" s="203"/>
      <c r="F657" s="204"/>
      <c r="G657" s="204"/>
      <c r="H657" s="204"/>
      <c r="I657" s="203"/>
      <c r="J657" s="203"/>
      <c r="K657" s="203"/>
      <c r="L657" s="205"/>
    </row>
    <row r="658" spans="1:12" x14ac:dyDescent="0.35">
      <c r="A658" s="203"/>
      <c r="B658" s="203"/>
      <c r="C658" s="203"/>
      <c r="D658" s="203"/>
      <c r="E658" s="203"/>
      <c r="F658" s="204"/>
      <c r="G658" s="204"/>
      <c r="H658" s="204"/>
      <c r="I658" s="203"/>
      <c r="J658" s="203"/>
      <c r="K658" s="203"/>
      <c r="L658" s="205"/>
    </row>
    <row r="659" spans="1:12" x14ac:dyDescent="0.35">
      <c r="A659" s="203"/>
      <c r="B659" s="203"/>
      <c r="C659" s="203"/>
      <c r="D659" s="203"/>
      <c r="E659" s="203"/>
      <c r="F659" s="204"/>
      <c r="G659" s="204"/>
      <c r="H659" s="204"/>
      <c r="I659" s="203"/>
      <c r="J659" s="203"/>
      <c r="K659" s="203"/>
      <c r="L659" s="205"/>
    </row>
    <row r="660" spans="1:12" x14ac:dyDescent="0.35">
      <c r="A660" s="203"/>
      <c r="B660" s="203"/>
      <c r="C660" s="203"/>
      <c r="D660" s="203"/>
      <c r="E660" s="203"/>
      <c r="F660" s="204"/>
      <c r="G660" s="204"/>
      <c r="H660" s="204"/>
      <c r="I660" s="203"/>
      <c r="J660" s="203"/>
      <c r="K660" s="203"/>
      <c r="L660" s="205"/>
    </row>
    <row r="661" spans="1:12" x14ac:dyDescent="0.35">
      <c r="A661" s="203"/>
      <c r="B661" s="203"/>
      <c r="C661" s="203"/>
      <c r="D661" s="203"/>
      <c r="E661" s="203"/>
      <c r="F661" s="204"/>
      <c r="G661" s="204"/>
      <c r="H661" s="204"/>
      <c r="I661" s="203"/>
      <c r="J661" s="203"/>
      <c r="K661" s="203"/>
      <c r="L661" s="205"/>
    </row>
    <row r="662" spans="1:12" x14ac:dyDescent="0.35">
      <c r="A662" s="203"/>
      <c r="B662" s="203"/>
      <c r="C662" s="203"/>
      <c r="D662" s="203"/>
      <c r="E662" s="203"/>
      <c r="F662" s="204"/>
      <c r="G662" s="204"/>
      <c r="H662" s="204"/>
      <c r="I662" s="203"/>
      <c r="J662" s="203"/>
      <c r="K662" s="203"/>
      <c r="L662" s="205"/>
    </row>
    <row r="663" spans="1:12" x14ac:dyDescent="0.35">
      <c r="A663" s="203"/>
      <c r="B663" s="203"/>
      <c r="C663" s="203"/>
      <c r="D663" s="203"/>
      <c r="E663" s="203"/>
      <c r="F663" s="204"/>
      <c r="G663" s="204"/>
      <c r="H663" s="204"/>
      <c r="I663" s="203"/>
      <c r="J663" s="203"/>
      <c r="K663" s="203"/>
      <c r="L663" s="205"/>
    </row>
    <row r="664" spans="1:12" x14ac:dyDescent="0.35">
      <c r="A664" s="203"/>
      <c r="B664" s="203"/>
      <c r="C664" s="203"/>
      <c r="D664" s="203"/>
      <c r="E664" s="203"/>
      <c r="F664" s="204"/>
      <c r="G664" s="204"/>
      <c r="H664" s="204"/>
      <c r="I664" s="203"/>
      <c r="J664" s="203"/>
      <c r="K664" s="203"/>
      <c r="L664" s="205"/>
    </row>
    <row r="665" spans="1:12" x14ac:dyDescent="0.35">
      <c r="A665" s="203"/>
      <c r="B665" s="203"/>
      <c r="C665" s="203"/>
      <c r="D665" s="203"/>
      <c r="E665" s="203"/>
      <c r="F665" s="204"/>
      <c r="G665" s="204"/>
      <c r="H665" s="204"/>
      <c r="I665" s="203"/>
      <c r="J665" s="203"/>
      <c r="K665" s="203"/>
      <c r="L665" s="205"/>
    </row>
    <row r="666" spans="1:12" x14ac:dyDescent="0.35">
      <c r="A666" s="203"/>
      <c r="B666" s="203"/>
      <c r="C666" s="203"/>
      <c r="D666" s="203"/>
      <c r="E666" s="203"/>
      <c r="F666" s="204"/>
      <c r="G666" s="204"/>
      <c r="H666" s="204"/>
      <c r="I666" s="203"/>
      <c r="J666" s="203"/>
      <c r="K666" s="203"/>
      <c r="L666" s="205"/>
    </row>
    <row r="667" spans="1:12" x14ac:dyDescent="0.35">
      <c r="A667" s="203"/>
      <c r="B667" s="203"/>
      <c r="C667" s="203"/>
      <c r="D667" s="203"/>
      <c r="E667" s="203"/>
      <c r="F667" s="204"/>
      <c r="G667" s="204"/>
      <c r="H667" s="204"/>
      <c r="I667" s="203"/>
      <c r="J667" s="203"/>
      <c r="K667" s="203"/>
      <c r="L667" s="205"/>
    </row>
    <row r="668" spans="1:12" x14ac:dyDescent="0.35">
      <c r="A668" s="203"/>
      <c r="B668" s="203"/>
      <c r="C668" s="203"/>
      <c r="D668" s="203"/>
      <c r="E668" s="203"/>
      <c r="F668" s="204"/>
      <c r="G668" s="204"/>
      <c r="H668" s="204"/>
      <c r="I668" s="203"/>
      <c r="J668" s="203"/>
      <c r="K668" s="203"/>
      <c r="L668" s="205"/>
    </row>
    <row r="669" spans="1:12" x14ac:dyDescent="0.35">
      <c r="A669" s="203"/>
      <c r="B669" s="203"/>
      <c r="C669" s="203"/>
      <c r="D669" s="203"/>
      <c r="E669" s="203"/>
      <c r="F669" s="204"/>
      <c r="G669" s="204"/>
      <c r="H669" s="204"/>
      <c r="I669" s="203"/>
      <c r="J669" s="203"/>
      <c r="K669" s="203"/>
      <c r="L669" s="205"/>
    </row>
    <row r="670" spans="1:12" x14ac:dyDescent="0.35">
      <c r="A670" s="203"/>
      <c r="B670" s="203"/>
      <c r="C670" s="203"/>
      <c r="D670" s="203"/>
      <c r="E670" s="203"/>
      <c r="F670" s="204"/>
      <c r="G670" s="204"/>
      <c r="H670" s="204"/>
      <c r="I670" s="203"/>
      <c r="J670" s="203"/>
      <c r="K670" s="203"/>
      <c r="L670" s="205"/>
    </row>
    <row r="671" spans="1:12" x14ac:dyDescent="0.35">
      <c r="A671" s="203"/>
      <c r="B671" s="203"/>
      <c r="C671" s="203"/>
      <c r="D671" s="203"/>
      <c r="E671" s="203"/>
      <c r="F671" s="204"/>
      <c r="G671" s="204"/>
      <c r="H671" s="204"/>
      <c r="I671" s="203"/>
      <c r="J671" s="203"/>
      <c r="K671" s="203"/>
      <c r="L671" s="205"/>
    </row>
    <row r="672" spans="1:12" x14ac:dyDescent="0.35">
      <c r="A672" s="203"/>
      <c r="B672" s="203"/>
      <c r="C672" s="203"/>
      <c r="D672" s="203"/>
      <c r="E672" s="203"/>
      <c r="F672" s="204"/>
      <c r="G672" s="204"/>
      <c r="H672" s="204"/>
      <c r="I672" s="203"/>
      <c r="J672" s="203"/>
      <c r="K672" s="203"/>
      <c r="L672" s="205"/>
    </row>
    <row r="673" spans="1:12" x14ac:dyDescent="0.35">
      <c r="A673" s="203"/>
      <c r="B673" s="203"/>
      <c r="C673" s="203"/>
      <c r="D673" s="203"/>
      <c r="E673" s="203"/>
      <c r="F673" s="204"/>
      <c r="G673" s="204"/>
      <c r="H673" s="204"/>
      <c r="I673" s="203"/>
      <c r="J673" s="203"/>
      <c r="K673" s="203"/>
      <c r="L673" s="205"/>
    </row>
    <row r="674" spans="1:12" x14ac:dyDescent="0.35">
      <c r="A674" s="203"/>
      <c r="B674" s="203"/>
      <c r="C674" s="203"/>
      <c r="D674" s="203"/>
      <c r="E674" s="203"/>
      <c r="F674" s="204"/>
      <c r="G674" s="204"/>
      <c r="H674" s="204"/>
      <c r="I674" s="203"/>
      <c r="J674" s="203"/>
      <c r="K674" s="203"/>
      <c r="L674" s="205"/>
    </row>
    <row r="675" spans="1:12" x14ac:dyDescent="0.35">
      <c r="A675" s="203"/>
      <c r="B675" s="203"/>
      <c r="C675" s="203"/>
      <c r="D675" s="203"/>
      <c r="E675" s="203"/>
      <c r="F675" s="204"/>
      <c r="G675" s="204"/>
      <c r="H675" s="204"/>
      <c r="I675" s="203"/>
      <c r="J675" s="203"/>
      <c r="K675" s="203"/>
      <c r="L675" s="205"/>
    </row>
    <row r="676" spans="1:12" x14ac:dyDescent="0.35">
      <c r="A676" s="203"/>
      <c r="B676" s="203"/>
      <c r="C676" s="203"/>
      <c r="D676" s="203"/>
      <c r="E676" s="203"/>
      <c r="F676" s="204"/>
      <c r="G676" s="204"/>
      <c r="H676" s="204"/>
      <c r="I676" s="203"/>
      <c r="J676" s="203"/>
      <c r="K676" s="203"/>
      <c r="L676" s="205"/>
    </row>
    <row r="677" spans="1:12" x14ac:dyDescent="0.35">
      <c r="A677" s="203"/>
      <c r="B677" s="203"/>
      <c r="C677" s="203"/>
      <c r="D677" s="203"/>
      <c r="E677" s="203"/>
      <c r="F677" s="204"/>
      <c r="G677" s="204"/>
      <c r="H677" s="204"/>
      <c r="I677" s="203"/>
      <c r="J677" s="203"/>
      <c r="K677" s="203"/>
      <c r="L677" s="205"/>
    </row>
    <row r="678" spans="1:12" x14ac:dyDescent="0.35">
      <c r="A678" s="203"/>
      <c r="B678" s="203"/>
      <c r="C678" s="203"/>
      <c r="D678" s="203"/>
      <c r="E678" s="203"/>
      <c r="F678" s="204"/>
      <c r="G678" s="204"/>
      <c r="H678" s="204"/>
      <c r="I678" s="203"/>
      <c r="J678" s="203"/>
      <c r="K678" s="203"/>
      <c r="L678" s="205"/>
    </row>
    <row r="679" spans="1:12" x14ac:dyDescent="0.35">
      <c r="A679" s="203"/>
      <c r="B679" s="203"/>
      <c r="C679" s="203"/>
      <c r="D679" s="203"/>
      <c r="E679" s="203"/>
      <c r="F679" s="204"/>
      <c r="G679" s="204"/>
      <c r="H679" s="204"/>
      <c r="I679" s="203"/>
      <c r="J679" s="203"/>
      <c r="K679" s="203"/>
      <c r="L679" s="205"/>
    </row>
    <row r="680" spans="1:12" x14ac:dyDescent="0.35">
      <c r="A680" s="203"/>
      <c r="B680" s="203"/>
      <c r="C680" s="203"/>
      <c r="D680" s="203"/>
      <c r="E680" s="203"/>
      <c r="F680" s="204"/>
      <c r="G680" s="204"/>
      <c r="H680" s="204"/>
      <c r="I680" s="203"/>
      <c r="J680" s="203"/>
      <c r="K680" s="203"/>
      <c r="L680" s="205"/>
    </row>
    <row r="681" spans="1:12" x14ac:dyDescent="0.35">
      <c r="A681" s="203"/>
      <c r="B681" s="203"/>
      <c r="C681" s="203"/>
      <c r="D681" s="203"/>
      <c r="E681" s="203"/>
      <c r="F681" s="204"/>
      <c r="G681" s="204"/>
      <c r="H681" s="204"/>
      <c r="I681" s="203"/>
      <c r="J681" s="203"/>
      <c r="K681" s="203"/>
      <c r="L681" s="205"/>
    </row>
    <row r="682" spans="1:12" x14ac:dyDescent="0.35">
      <c r="A682" s="203"/>
      <c r="B682" s="203"/>
      <c r="C682" s="203"/>
      <c r="D682" s="203"/>
      <c r="E682" s="203"/>
      <c r="F682" s="204"/>
      <c r="G682" s="204"/>
      <c r="H682" s="204"/>
      <c r="I682" s="203"/>
      <c r="J682" s="203"/>
      <c r="K682" s="203"/>
      <c r="L682" s="205"/>
    </row>
    <row r="683" spans="1:12" x14ac:dyDescent="0.35">
      <c r="A683" s="203"/>
      <c r="B683" s="203"/>
      <c r="C683" s="203"/>
      <c r="D683" s="203"/>
      <c r="E683" s="203"/>
      <c r="F683" s="204"/>
      <c r="G683" s="204"/>
      <c r="H683" s="204"/>
      <c r="I683" s="203"/>
      <c r="J683" s="203"/>
      <c r="K683" s="203"/>
      <c r="L683" s="205"/>
    </row>
    <row r="684" spans="1:12" x14ac:dyDescent="0.35">
      <c r="A684" s="203"/>
      <c r="B684" s="203"/>
      <c r="C684" s="203"/>
      <c r="D684" s="203"/>
      <c r="E684" s="203"/>
      <c r="F684" s="204"/>
      <c r="G684" s="204"/>
      <c r="H684" s="204"/>
      <c r="I684" s="203"/>
      <c r="J684" s="203"/>
      <c r="K684" s="203"/>
      <c r="L684" s="205"/>
    </row>
    <row r="685" spans="1:12" x14ac:dyDescent="0.35">
      <c r="A685" s="203"/>
      <c r="B685" s="203"/>
      <c r="C685" s="203"/>
      <c r="D685" s="203"/>
      <c r="E685" s="203"/>
      <c r="F685" s="204"/>
      <c r="G685" s="204"/>
      <c r="H685" s="204"/>
      <c r="I685" s="203"/>
      <c r="J685" s="203"/>
      <c r="K685" s="203"/>
      <c r="L685" s="205"/>
    </row>
    <row r="686" spans="1:12" x14ac:dyDescent="0.35">
      <c r="A686" s="203"/>
      <c r="B686" s="203"/>
      <c r="C686" s="203"/>
      <c r="D686" s="203"/>
      <c r="E686" s="203"/>
      <c r="F686" s="204"/>
      <c r="G686" s="204"/>
      <c r="H686" s="204"/>
      <c r="I686" s="203"/>
      <c r="J686" s="203"/>
      <c r="K686" s="203"/>
      <c r="L686" s="205"/>
    </row>
    <row r="687" spans="1:12" x14ac:dyDescent="0.35">
      <c r="A687" s="203"/>
      <c r="B687" s="203"/>
      <c r="C687" s="203"/>
      <c r="D687" s="203"/>
      <c r="E687" s="203"/>
      <c r="F687" s="204"/>
      <c r="G687" s="204"/>
      <c r="H687" s="204"/>
      <c r="I687" s="203"/>
      <c r="J687" s="203"/>
      <c r="K687" s="203"/>
      <c r="L687" s="205"/>
    </row>
    <row r="688" spans="1:12" x14ac:dyDescent="0.35">
      <c r="A688" s="203"/>
      <c r="B688" s="203"/>
      <c r="C688" s="203"/>
      <c r="D688" s="203"/>
      <c r="E688" s="203"/>
      <c r="F688" s="204"/>
      <c r="G688" s="204"/>
      <c r="H688" s="204"/>
      <c r="I688" s="203"/>
      <c r="J688" s="203"/>
      <c r="K688" s="203"/>
      <c r="L688" s="205"/>
    </row>
    <row r="689" spans="1:12" x14ac:dyDescent="0.35">
      <c r="A689" s="203"/>
      <c r="B689" s="203"/>
      <c r="C689" s="203"/>
      <c r="D689" s="203"/>
      <c r="E689" s="203"/>
      <c r="F689" s="204"/>
      <c r="G689" s="204"/>
      <c r="H689" s="204"/>
      <c r="I689" s="203"/>
      <c r="J689" s="203"/>
      <c r="K689" s="203"/>
      <c r="L689" s="205"/>
    </row>
    <row r="690" spans="1:12" x14ac:dyDescent="0.35">
      <c r="A690" s="203"/>
      <c r="B690" s="203"/>
      <c r="C690" s="203"/>
      <c r="D690" s="203"/>
      <c r="E690" s="203"/>
      <c r="F690" s="204"/>
      <c r="G690" s="204"/>
      <c r="H690" s="204"/>
      <c r="I690" s="203"/>
      <c r="J690" s="203"/>
      <c r="K690" s="203"/>
      <c r="L690" s="205"/>
    </row>
    <row r="691" spans="1:12" x14ac:dyDescent="0.35">
      <c r="A691" s="203"/>
      <c r="B691" s="203"/>
      <c r="C691" s="203"/>
      <c r="D691" s="203"/>
      <c r="E691" s="203"/>
      <c r="F691" s="204"/>
      <c r="G691" s="204"/>
      <c r="H691" s="204"/>
      <c r="I691" s="203"/>
      <c r="J691" s="203"/>
      <c r="K691" s="203"/>
      <c r="L691" s="205"/>
    </row>
    <row r="692" spans="1:12" x14ac:dyDescent="0.35">
      <c r="A692" s="203"/>
      <c r="B692" s="203"/>
      <c r="C692" s="203"/>
      <c r="D692" s="203"/>
      <c r="E692" s="203"/>
      <c r="F692" s="204"/>
      <c r="G692" s="204"/>
      <c r="H692" s="204"/>
      <c r="I692" s="203"/>
      <c r="J692" s="203"/>
      <c r="K692" s="203"/>
      <c r="L692" s="205"/>
    </row>
    <row r="693" spans="1:12" x14ac:dyDescent="0.35">
      <c r="A693" s="203"/>
      <c r="B693" s="203"/>
      <c r="C693" s="203"/>
      <c r="D693" s="203"/>
      <c r="E693" s="203"/>
      <c r="F693" s="204"/>
      <c r="G693" s="204"/>
      <c r="H693" s="204"/>
      <c r="I693" s="203"/>
      <c r="J693" s="203"/>
      <c r="K693" s="203"/>
      <c r="L693" s="205"/>
    </row>
    <row r="694" spans="1:12" x14ac:dyDescent="0.35">
      <c r="A694" s="203"/>
      <c r="B694" s="203"/>
      <c r="C694" s="203"/>
      <c r="D694" s="203"/>
      <c r="E694" s="203"/>
      <c r="F694" s="204"/>
      <c r="G694" s="204"/>
      <c r="H694" s="204"/>
      <c r="I694" s="203"/>
      <c r="J694" s="203"/>
      <c r="K694" s="203"/>
      <c r="L694" s="205"/>
    </row>
    <row r="695" spans="1:12" x14ac:dyDescent="0.35">
      <c r="A695" s="203"/>
      <c r="B695" s="203"/>
      <c r="C695" s="203"/>
      <c r="D695" s="203"/>
      <c r="E695" s="203"/>
      <c r="F695" s="204"/>
      <c r="G695" s="204"/>
      <c r="H695" s="204"/>
      <c r="I695" s="203"/>
      <c r="J695" s="203"/>
      <c r="K695" s="203"/>
      <c r="L695" s="205"/>
    </row>
    <row r="696" spans="1:12" x14ac:dyDescent="0.35">
      <c r="A696" s="203"/>
      <c r="B696" s="203"/>
      <c r="C696" s="203"/>
      <c r="D696" s="203"/>
      <c r="E696" s="203"/>
      <c r="F696" s="204"/>
      <c r="G696" s="204"/>
      <c r="H696" s="204"/>
      <c r="I696" s="203"/>
      <c r="J696" s="203"/>
      <c r="K696" s="203"/>
      <c r="L696" s="205"/>
    </row>
    <row r="697" spans="1:12" x14ac:dyDescent="0.35">
      <c r="A697" s="203"/>
      <c r="B697" s="203"/>
      <c r="C697" s="203"/>
      <c r="D697" s="203"/>
      <c r="E697" s="203"/>
      <c r="F697" s="204"/>
      <c r="G697" s="204"/>
      <c r="H697" s="204"/>
      <c r="I697" s="203"/>
      <c r="J697" s="203"/>
      <c r="K697" s="203"/>
      <c r="L697" s="205"/>
    </row>
    <row r="698" spans="1:12" x14ac:dyDescent="0.35">
      <c r="A698" s="203"/>
      <c r="B698" s="203"/>
      <c r="C698" s="203"/>
      <c r="D698" s="203"/>
      <c r="E698" s="203"/>
      <c r="F698" s="204"/>
      <c r="G698" s="204"/>
      <c r="H698" s="204"/>
      <c r="I698" s="203"/>
      <c r="J698" s="203"/>
      <c r="K698" s="203"/>
      <c r="L698" s="205"/>
    </row>
    <row r="699" spans="1:12" x14ac:dyDescent="0.35">
      <c r="A699" s="203"/>
      <c r="B699" s="203"/>
      <c r="C699" s="203"/>
      <c r="D699" s="203"/>
      <c r="E699" s="203"/>
      <c r="F699" s="204"/>
      <c r="G699" s="204"/>
      <c r="H699" s="204"/>
      <c r="I699" s="203"/>
      <c r="J699" s="203"/>
      <c r="K699" s="203"/>
      <c r="L699" s="205"/>
    </row>
    <row r="700" spans="1:12" x14ac:dyDescent="0.35">
      <c r="A700" s="203"/>
      <c r="B700" s="203"/>
      <c r="C700" s="203"/>
      <c r="D700" s="203"/>
      <c r="E700" s="203"/>
      <c r="F700" s="204"/>
      <c r="G700" s="204"/>
      <c r="H700" s="204"/>
      <c r="I700" s="203"/>
      <c r="J700" s="203"/>
      <c r="K700" s="203"/>
      <c r="L700" s="205"/>
    </row>
    <row r="701" spans="1:12" x14ac:dyDescent="0.35">
      <c r="A701" s="203"/>
      <c r="B701" s="203"/>
      <c r="C701" s="203"/>
      <c r="D701" s="203"/>
      <c r="E701" s="203"/>
      <c r="F701" s="204"/>
      <c r="G701" s="204"/>
      <c r="H701" s="204"/>
      <c r="I701" s="203"/>
      <c r="J701" s="203"/>
      <c r="K701" s="203"/>
      <c r="L701" s="205"/>
    </row>
    <row r="702" spans="1:12" x14ac:dyDescent="0.35">
      <c r="A702" s="203"/>
      <c r="B702" s="203"/>
      <c r="C702" s="203"/>
      <c r="D702" s="203"/>
      <c r="E702" s="203"/>
      <c r="F702" s="204"/>
      <c r="G702" s="204"/>
      <c r="H702" s="204"/>
      <c r="I702" s="203"/>
      <c r="J702" s="203"/>
      <c r="K702" s="203"/>
      <c r="L702" s="205"/>
    </row>
    <row r="703" spans="1:12" x14ac:dyDescent="0.35">
      <c r="A703" s="203"/>
      <c r="B703" s="203"/>
      <c r="C703" s="203"/>
      <c r="D703" s="203"/>
      <c r="E703" s="203"/>
      <c r="F703" s="204"/>
      <c r="G703" s="204"/>
      <c r="H703" s="204"/>
      <c r="I703" s="203"/>
      <c r="J703" s="203"/>
      <c r="K703" s="203"/>
      <c r="L703" s="205"/>
    </row>
    <row r="704" spans="1:12" x14ac:dyDescent="0.35">
      <c r="A704" s="203"/>
      <c r="B704" s="203"/>
      <c r="C704" s="203"/>
      <c r="D704" s="203"/>
      <c r="E704" s="203"/>
      <c r="F704" s="204"/>
      <c r="G704" s="204"/>
      <c r="H704" s="204"/>
      <c r="I704" s="203"/>
      <c r="J704" s="203"/>
      <c r="K704" s="203"/>
      <c r="L704" s="205"/>
    </row>
    <row r="705" spans="1:12" x14ac:dyDescent="0.35">
      <c r="A705" s="203"/>
      <c r="B705" s="203"/>
      <c r="C705" s="203"/>
      <c r="D705" s="203"/>
      <c r="E705" s="203"/>
      <c r="F705" s="204"/>
      <c r="G705" s="204"/>
      <c r="H705" s="204"/>
      <c r="I705" s="203"/>
      <c r="J705" s="203"/>
      <c r="K705" s="203"/>
      <c r="L705" s="205"/>
    </row>
    <row r="706" spans="1:12" x14ac:dyDescent="0.35">
      <c r="A706" s="203"/>
      <c r="B706" s="203"/>
      <c r="C706" s="203"/>
      <c r="D706" s="203"/>
      <c r="E706" s="203"/>
      <c r="F706" s="204"/>
      <c r="G706" s="204"/>
      <c r="H706" s="204"/>
      <c r="I706" s="203"/>
      <c r="J706" s="203"/>
      <c r="K706" s="203"/>
      <c r="L706" s="205"/>
    </row>
    <row r="707" spans="1:12" x14ac:dyDescent="0.35">
      <c r="A707" s="203"/>
      <c r="B707" s="203"/>
      <c r="C707" s="203"/>
      <c r="D707" s="203"/>
      <c r="E707" s="203"/>
      <c r="F707" s="204"/>
      <c r="G707" s="204"/>
      <c r="H707" s="204"/>
      <c r="I707" s="203"/>
      <c r="J707" s="203"/>
      <c r="K707" s="203"/>
      <c r="L707" s="205"/>
    </row>
    <row r="708" spans="1:12" x14ac:dyDescent="0.35">
      <c r="A708" s="203"/>
      <c r="B708" s="203"/>
      <c r="C708" s="203"/>
      <c r="D708" s="203"/>
      <c r="E708" s="203"/>
      <c r="F708" s="204"/>
      <c r="G708" s="204"/>
      <c r="H708" s="204"/>
      <c r="I708" s="203"/>
      <c r="J708" s="203"/>
      <c r="K708" s="203"/>
      <c r="L708" s="205"/>
    </row>
    <row r="709" spans="1:12" x14ac:dyDescent="0.35">
      <c r="A709" s="203"/>
      <c r="B709" s="203"/>
      <c r="C709" s="203"/>
      <c r="D709" s="203"/>
      <c r="E709" s="203"/>
      <c r="F709" s="204"/>
      <c r="G709" s="204"/>
      <c r="H709" s="204"/>
      <c r="I709" s="203"/>
      <c r="J709" s="203"/>
      <c r="K709" s="203"/>
      <c r="L709" s="205"/>
    </row>
    <row r="710" spans="1:12" x14ac:dyDescent="0.35">
      <c r="A710" s="203"/>
      <c r="B710" s="203"/>
      <c r="C710" s="203"/>
      <c r="D710" s="203"/>
      <c r="E710" s="203"/>
      <c r="F710" s="204"/>
      <c r="G710" s="204"/>
      <c r="H710" s="204"/>
      <c r="I710" s="203"/>
      <c r="J710" s="203"/>
      <c r="K710" s="203"/>
      <c r="L710" s="205"/>
    </row>
    <row r="711" spans="1:12" x14ac:dyDescent="0.35">
      <c r="A711" s="203"/>
      <c r="B711" s="203"/>
      <c r="C711" s="203"/>
      <c r="D711" s="203"/>
      <c r="E711" s="203"/>
      <c r="F711" s="204"/>
      <c r="G711" s="204"/>
      <c r="H711" s="204"/>
      <c r="I711" s="203"/>
      <c r="J711" s="203"/>
      <c r="K711" s="203"/>
      <c r="L711" s="205"/>
    </row>
    <row r="712" spans="1:12" x14ac:dyDescent="0.35">
      <c r="A712" s="203"/>
      <c r="B712" s="203"/>
      <c r="C712" s="203"/>
      <c r="D712" s="203"/>
      <c r="E712" s="203"/>
      <c r="F712" s="204"/>
      <c r="G712" s="204"/>
      <c r="H712" s="204"/>
      <c r="I712" s="203"/>
      <c r="J712" s="203"/>
      <c r="K712" s="203"/>
      <c r="L712" s="205"/>
    </row>
    <row r="713" spans="1:12" x14ac:dyDescent="0.35">
      <c r="A713" s="203"/>
      <c r="B713" s="203"/>
      <c r="C713" s="203"/>
      <c r="D713" s="203"/>
      <c r="E713" s="203"/>
      <c r="F713" s="204"/>
      <c r="G713" s="204"/>
      <c r="H713" s="204"/>
      <c r="I713" s="203"/>
      <c r="J713" s="203"/>
      <c r="K713" s="203"/>
      <c r="L713" s="205"/>
    </row>
    <row r="714" spans="1:12" x14ac:dyDescent="0.35">
      <c r="A714" s="203"/>
      <c r="B714" s="203"/>
      <c r="C714" s="203"/>
      <c r="D714" s="203"/>
      <c r="E714" s="203"/>
      <c r="F714" s="204"/>
      <c r="G714" s="204"/>
      <c r="H714" s="204"/>
      <c r="I714" s="203"/>
      <c r="J714" s="203"/>
      <c r="K714" s="203"/>
      <c r="L714" s="205"/>
    </row>
    <row r="715" spans="1:12" x14ac:dyDescent="0.35">
      <c r="A715" s="203"/>
      <c r="B715" s="203"/>
      <c r="C715" s="203"/>
      <c r="D715" s="203"/>
      <c r="E715" s="203"/>
      <c r="F715" s="204"/>
      <c r="G715" s="204"/>
      <c r="H715" s="204"/>
      <c r="I715" s="203"/>
      <c r="J715" s="203"/>
      <c r="K715" s="203"/>
      <c r="L715" s="205"/>
    </row>
    <row r="716" spans="1:12" x14ac:dyDescent="0.35">
      <c r="A716" s="203"/>
      <c r="B716" s="203"/>
      <c r="C716" s="203"/>
      <c r="D716" s="203"/>
      <c r="E716" s="203"/>
      <c r="F716" s="204"/>
      <c r="G716" s="204"/>
      <c r="H716" s="204"/>
      <c r="I716" s="203"/>
      <c r="J716" s="203"/>
      <c r="K716" s="203"/>
      <c r="L716" s="205"/>
    </row>
    <row r="717" spans="1:12" x14ac:dyDescent="0.35">
      <c r="A717" s="203"/>
      <c r="B717" s="203"/>
      <c r="C717" s="203"/>
      <c r="D717" s="203"/>
      <c r="E717" s="203"/>
      <c r="F717" s="204"/>
      <c r="G717" s="204"/>
      <c r="H717" s="204"/>
      <c r="I717" s="203"/>
      <c r="J717" s="203"/>
      <c r="K717" s="203"/>
      <c r="L717" s="205"/>
    </row>
    <row r="718" spans="1:12" x14ac:dyDescent="0.35">
      <c r="A718" s="203"/>
      <c r="B718" s="203"/>
      <c r="C718" s="203"/>
      <c r="D718" s="203"/>
      <c r="E718" s="203"/>
      <c r="F718" s="204"/>
      <c r="G718" s="204"/>
      <c r="H718" s="204"/>
      <c r="I718" s="203"/>
      <c r="J718" s="203"/>
      <c r="K718" s="203"/>
      <c r="L718" s="205"/>
    </row>
    <row r="719" spans="1:12" x14ac:dyDescent="0.35">
      <c r="A719" s="203"/>
      <c r="B719" s="203"/>
      <c r="C719" s="203"/>
      <c r="D719" s="203"/>
      <c r="E719" s="203"/>
      <c r="F719" s="204"/>
      <c r="G719" s="204"/>
      <c r="H719" s="204"/>
      <c r="I719" s="203"/>
      <c r="J719" s="203"/>
      <c r="K719" s="203"/>
      <c r="L719" s="205"/>
    </row>
    <row r="720" spans="1:12" x14ac:dyDescent="0.35">
      <c r="A720" s="203"/>
      <c r="B720" s="203"/>
      <c r="C720" s="203"/>
      <c r="D720" s="203"/>
      <c r="E720" s="203"/>
      <c r="F720" s="204"/>
      <c r="G720" s="204"/>
      <c r="H720" s="204"/>
      <c r="I720" s="203"/>
      <c r="J720" s="203"/>
      <c r="K720" s="203"/>
      <c r="L720" s="205"/>
    </row>
    <row r="721" spans="1:12" x14ac:dyDescent="0.35">
      <c r="A721" s="203"/>
      <c r="B721" s="203"/>
      <c r="C721" s="203"/>
      <c r="D721" s="203"/>
      <c r="E721" s="203"/>
      <c r="F721" s="204"/>
      <c r="G721" s="204"/>
      <c r="H721" s="204"/>
      <c r="I721" s="203"/>
      <c r="J721" s="203"/>
      <c r="K721" s="203"/>
      <c r="L721" s="205"/>
    </row>
    <row r="722" spans="1:12" x14ac:dyDescent="0.35">
      <c r="A722" s="203"/>
      <c r="B722" s="203"/>
      <c r="C722" s="203"/>
      <c r="D722" s="203"/>
      <c r="E722" s="203"/>
      <c r="F722" s="204"/>
      <c r="G722" s="204"/>
      <c r="H722" s="204"/>
      <c r="I722" s="203"/>
      <c r="J722" s="203"/>
      <c r="K722" s="203"/>
      <c r="L722" s="205"/>
    </row>
    <row r="723" spans="1:12" x14ac:dyDescent="0.35">
      <c r="A723" s="203"/>
      <c r="B723" s="203"/>
      <c r="C723" s="203"/>
      <c r="D723" s="203"/>
      <c r="E723" s="203"/>
      <c r="F723" s="204"/>
      <c r="G723" s="204"/>
      <c r="H723" s="204"/>
      <c r="I723" s="203"/>
      <c r="J723" s="203"/>
      <c r="K723" s="203"/>
      <c r="L723" s="205"/>
    </row>
    <row r="724" spans="1:12" x14ac:dyDescent="0.35">
      <c r="A724" s="203"/>
      <c r="B724" s="203"/>
      <c r="C724" s="203"/>
      <c r="D724" s="203"/>
      <c r="E724" s="203"/>
      <c r="F724" s="204"/>
      <c r="G724" s="204"/>
      <c r="H724" s="204"/>
      <c r="I724" s="203"/>
      <c r="J724" s="203"/>
      <c r="K724" s="203"/>
      <c r="L724" s="205"/>
    </row>
    <row r="725" spans="1:12" x14ac:dyDescent="0.35">
      <c r="A725" s="203"/>
      <c r="B725" s="203"/>
      <c r="C725" s="203"/>
      <c r="D725" s="203"/>
      <c r="E725" s="203"/>
      <c r="F725" s="204"/>
      <c r="G725" s="204"/>
      <c r="H725" s="204"/>
      <c r="I725" s="203"/>
      <c r="J725" s="203"/>
      <c r="K725" s="203"/>
      <c r="L725" s="205"/>
    </row>
    <row r="726" spans="1:12" x14ac:dyDescent="0.35">
      <c r="A726" s="203"/>
      <c r="B726" s="203"/>
      <c r="C726" s="203"/>
      <c r="D726" s="203"/>
      <c r="E726" s="203"/>
      <c r="F726" s="204"/>
      <c r="G726" s="204"/>
      <c r="H726" s="204"/>
      <c r="I726" s="203"/>
      <c r="J726" s="203"/>
      <c r="K726" s="203"/>
      <c r="L726" s="205"/>
    </row>
    <row r="727" spans="1:12" x14ac:dyDescent="0.35">
      <c r="A727" s="203"/>
      <c r="B727" s="203"/>
      <c r="C727" s="203"/>
      <c r="D727" s="203"/>
      <c r="E727" s="203"/>
      <c r="F727" s="204"/>
      <c r="G727" s="204"/>
      <c r="H727" s="204"/>
      <c r="I727" s="203"/>
      <c r="J727" s="203"/>
      <c r="K727" s="203"/>
      <c r="L727" s="205"/>
    </row>
    <row r="728" spans="1:12" x14ac:dyDescent="0.35">
      <c r="A728" s="203"/>
      <c r="B728" s="203"/>
      <c r="C728" s="203"/>
      <c r="D728" s="203"/>
      <c r="E728" s="203"/>
      <c r="F728" s="204"/>
      <c r="G728" s="204"/>
      <c r="H728" s="204"/>
      <c r="I728" s="203"/>
      <c r="J728" s="203"/>
      <c r="K728" s="203"/>
      <c r="L728" s="205"/>
    </row>
    <row r="729" spans="1:12" x14ac:dyDescent="0.35">
      <c r="A729" s="203"/>
      <c r="B729" s="203"/>
      <c r="C729" s="203"/>
      <c r="D729" s="203"/>
      <c r="E729" s="203"/>
      <c r="F729" s="204"/>
      <c r="G729" s="204"/>
      <c r="H729" s="204"/>
      <c r="I729" s="203"/>
      <c r="J729" s="203"/>
      <c r="K729" s="203"/>
      <c r="L729" s="205"/>
    </row>
    <row r="730" spans="1:12" x14ac:dyDescent="0.35">
      <c r="A730" s="203"/>
      <c r="B730" s="203"/>
      <c r="C730" s="203"/>
      <c r="D730" s="203"/>
      <c r="E730" s="203"/>
      <c r="F730" s="204"/>
      <c r="G730" s="204"/>
      <c r="H730" s="204"/>
      <c r="I730" s="203"/>
      <c r="J730" s="203"/>
      <c r="K730" s="203"/>
      <c r="L730" s="205"/>
    </row>
    <row r="731" spans="1:12" x14ac:dyDescent="0.35">
      <c r="A731" s="203"/>
      <c r="B731" s="203"/>
      <c r="C731" s="203"/>
      <c r="D731" s="203"/>
      <c r="E731" s="203"/>
      <c r="F731" s="204"/>
      <c r="G731" s="204"/>
      <c r="H731" s="204"/>
      <c r="I731" s="203"/>
      <c r="J731" s="203"/>
      <c r="K731" s="203"/>
      <c r="L731" s="205"/>
    </row>
    <row r="732" spans="1:12" x14ac:dyDescent="0.35">
      <c r="A732" s="203"/>
      <c r="B732" s="203"/>
      <c r="C732" s="203"/>
      <c r="D732" s="203"/>
      <c r="E732" s="203"/>
      <c r="F732" s="204"/>
      <c r="G732" s="204"/>
      <c r="H732" s="204"/>
      <c r="I732" s="203"/>
      <c r="J732" s="203"/>
      <c r="K732" s="203"/>
      <c r="L732" s="205"/>
    </row>
    <row r="733" spans="1:12" x14ac:dyDescent="0.35">
      <c r="A733" s="203"/>
      <c r="B733" s="203"/>
      <c r="C733" s="203"/>
      <c r="D733" s="203"/>
      <c r="E733" s="203"/>
      <c r="F733" s="204"/>
      <c r="G733" s="204"/>
      <c r="H733" s="204"/>
      <c r="I733" s="203"/>
      <c r="J733" s="203"/>
      <c r="K733" s="203"/>
      <c r="L733" s="205"/>
    </row>
    <row r="734" spans="1:12" x14ac:dyDescent="0.35">
      <c r="A734" s="203"/>
      <c r="B734" s="203"/>
      <c r="C734" s="203"/>
      <c r="D734" s="203"/>
      <c r="E734" s="203"/>
      <c r="F734" s="204"/>
      <c r="G734" s="204"/>
      <c r="H734" s="204"/>
      <c r="I734" s="203"/>
      <c r="J734" s="203"/>
      <c r="K734" s="203"/>
      <c r="L734" s="205"/>
    </row>
    <row r="735" spans="1:12" x14ac:dyDescent="0.35">
      <c r="A735" s="203"/>
      <c r="B735" s="203"/>
      <c r="C735" s="203"/>
      <c r="D735" s="203"/>
      <c r="E735" s="203"/>
      <c r="F735" s="204"/>
      <c r="G735" s="204"/>
      <c r="H735" s="204"/>
      <c r="I735" s="203"/>
      <c r="J735" s="203"/>
      <c r="K735" s="203"/>
      <c r="L735" s="205"/>
    </row>
    <row r="736" spans="1:12" x14ac:dyDescent="0.35">
      <c r="A736" s="203"/>
      <c r="B736" s="203"/>
      <c r="C736" s="203"/>
      <c r="D736" s="203"/>
      <c r="E736" s="203"/>
      <c r="F736" s="204"/>
      <c r="G736" s="204"/>
      <c r="H736" s="204"/>
      <c r="I736" s="203"/>
      <c r="J736" s="203"/>
      <c r="K736" s="203"/>
      <c r="L736" s="205"/>
    </row>
    <row r="737" spans="1:12" x14ac:dyDescent="0.35">
      <c r="A737" s="203"/>
      <c r="B737" s="203"/>
      <c r="C737" s="203"/>
      <c r="D737" s="203"/>
      <c r="E737" s="203"/>
      <c r="F737" s="204"/>
      <c r="G737" s="204"/>
      <c r="H737" s="204"/>
      <c r="I737" s="203"/>
      <c r="J737" s="203"/>
      <c r="K737" s="203"/>
      <c r="L737" s="205"/>
    </row>
    <row r="738" spans="1:12" x14ac:dyDescent="0.35">
      <c r="A738" s="203"/>
      <c r="B738" s="203"/>
      <c r="C738" s="203"/>
      <c r="D738" s="203"/>
      <c r="E738" s="203"/>
      <c r="F738" s="204"/>
      <c r="G738" s="204"/>
      <c r="H738" s="204"/>
      <c r="I738" s="203"/>
      <c r="J738" s="203"/>
      <c r="K738" s="203"/>
      <c r="L738" s="205"/>
    </row>
    <row r="739" spans="1:12" x14ac:dyDescent="0.35">
      <c r="A739" s="203"/>
      <c r="B739" s="203"/>
      <c r="C739" s="203"/>
      <c r="D739" s="203"/>
      <c r="E739" s="203"/>
      <c r="F739" s="204"/>
      <c r="G739" s="204"/>
      <c r="H739" s="204"/>
      <c r="I739" s="203"/>
      <c r="J739" s="203"/>
      <c r="K739" s="203"/>
      <c r="L739" s="205"/>
    </row>
    <row r="740" spans="1:12" x14ac:dyDescent="0.35">
      <c r="A740" s="203"/>
      <c r="B740" s="203"/>
      <c r="C740" s="203"/>
      <c r="D740" s="203"/>
      <c r="E740" s="203"/>
      <c r="F740" s="204"/>
      <c r="G740" s="204"/>
      <c r="H740" s="204"/>
      <c r="I740" s="203"/>
      <c r="J740" s="203"/>
      <c r="K740" s="203"/>
      <c r="L740" s="205"/>
    </row>
    <row r="741" spans="1:12" x14ac:dyDescent="0.35">
      <c r="A741" s="203"/>
      <c r="B741" s="203"/>
      <c r="C741" s="203"/>
      <c r="D741" s="203"/>
      <c r="E741" s="203"/>
      <c r="F741" s="204"/>
      <c r="G741" s="204"/>
      <c r="H741" s="204"/>
      <c r="I741" s="203"/>
      <c r="J741" s="203"/>
      <c r="K741" s="203"/>
      <c r="L741" s="205"/>
    </row>
    <row r="742" spans="1:12" x14ac:dyDescent="0.35">
      <c r="A742" s="203"/>
      <c r="B742" s="203"/>
      <c r="C742" s="203"/>
      <c r="D742" s="203"/>
      <c r="E742" s="203"/>
      <c r="F742" s="204"/>
      <c r="G742" s="204"/>
      <c r="H742" s="204"/>
      <c r="I742" s="203"/>
      <c r="J742" s="203"/>
      <c r="K742" s="203"/>
      <c r="L742" s="205"/>
    </row>
    <row r="743" spans="1:12" x14ac:dyDescent="0.35">
      <c r="A743" s="203"/>
      <c r="B743" s="203"/>
      <c r="C743" s="203"/>
      <c r="D743" s="203"/>
      <c r="E743" s="203"/>
      <c r="F743" s="204"/>
      <c r="G743" s="204"/>
      <c r="H743" s="204"/>
      <c r="I743" s="203"/>
      <c r="J743" s="203"/>
      <c r="K743" s="203"/>
      <c r="L743" s="205"/>
    </row>
    <row r="744" spans="1:12" x14ac:dyDescent="0.35">
      <c r="A744" s="203"/>
      <c r="B744" s="203"/>
      <c r="C744" s="203"/>
      <c r="D744" s="203"/>
      <c r="E744" s="203"/>
      <c r="F744" s="204"/>
      <c r="G744" s="204"/>
      <c r="H744" s="204"/>
      <c r="I744" s="203"/>
      <c r="J744" s="203"/>
      <c r="K744" s="203"/>
      <c r="L744" s="205"/>
    </row>
    <row r="745" spans="1:12" x14ac:dyDescent="0.35">
      <c r="A745" s="203"/>
      <c r="B745" s="203"/>
      <c r="C745" s="203"/>
      <c r="D745" s="203"/>
      <c r="E745" s="203"/>
      <c r="F745" s="204"/>
      <c r="G745" s="204"/>
      <c r="H745" s="204"/>
      <c r="I745" s="203"/>
      <c r="J745" s="203"/>
      <c r="K745" s="203"/>
      <c r="L745" s="205"/>
    </row>
    <row r="746" spans="1:12" x14ac:dyDescent="0.35">
      <c r="A746" s="203"/>
      <c r="B746" s="203"/>
      <c r="C746" s="203"/>
      <c r="D746" s="203"/>
      <c r="E746" s="203"/>
      <c r="F746" s="204"/>
      <c r="G746" s="204"/>
      <c r="H746" s="204"/>
      <c r="I746" s="203"/>
      <c r="J746" s="203"/>
      <c r="K746" s="203"/>
      <c r="L746" s="205"/>
    </row>
    <row r="747" spans="1:12" x14ac:dyDescent="0.35">
      <c r="A747" s="203"/>
      <c r="B747" s="203"/>
      <c r="C747" s="203"/>
      <c r="D747" s="203"/>
      <c r="E747" s="203"/>
      <c r="F747" s="204"/>
      <c r="G747" s="204"/>
      <c r="H747" s="204"/>
      <c r="I747" s="203"/>
      <c r="J747" s="203"/>
      <c r="K747" s="203"/>
      <c r="L747" s="205"/>
    </row>
    <row r="748" spans="1:12" x14ac:dyDescent="0.35">
      <c r="A748" s="203"/>
      <c r="B748" s="203"/>
      <c r="C748" s="203"/>
      <c r="D748" s="203"/>
      <c r="E748" s="203"/>
      <c r="F748" s="204"/>
      <c r="G748" s="204"/>
      <c r="H748" s="204"/>
      <c r="I748" s="203"/>
      <c r="J748" s="203"/>
      <c r="K748" s="203"/>
      <c r="L748" s="205"/>
    </row>
    <row r="749" spans="1:12" x14ac:dyDescent="0.35">
      <c r="A749" s="203"/>
      <c r="B749" s="203"/>
      <c r="C749" s="203"/>
      <c r="D749" s="203"/>
      <c r="E749" s="203"/>
      <c r="F749" s="204"/>
      <c r="G749" s="204"/>
      <c r="H749" s="204"/>
      <c r="I749" s="203"/>
      <c r="J749" s="203"/>
      <c r="K749" s="203"/>
      <c r="L749" s="205"/>
    </row>
    <row r="750" spans="1:12" x14ac:dyDescent="0.35">
      <c r="A750" s="203"/>
      <c r="B750" s="203"/>
      <c r="C750" s="203"/>
      <c r="D750" s="203"/>
      <c r="E750" s="203"/>
      <c r="F750" s="204"/>
      <c r="G750" s="204"/>
      <c r="H750" s="204"/>
      <c r="I750" s="203"/>
      <c r="J750" s="203"/>
      <c r="K750" s="203"/>
      <c r="L750" s="205"/>
    </row>
    <row r="751" spans="1:12" x14ac:dyDescent="0.35">
      <c r="A751" s="203"/>
      <c r="B751" s="203"/>
      <c r="C751" s="203"/>
      <c r="D751" s="203"/>
      <c r="E751" s="203"/>
      <c r="F751" s="204"/>
      <c r="G751" s="204"/>
      <c r="H751" s="204"/>
      <c r="I751" s="203"/>
      <c r="J751" s="203"/>
      <c r="K751" s="203"/>
      <c r="L751" s="205"/>
    </row>
    <row r="752" spans="1:12" x14ac:dyDescent="0.35">
      <c r="A752" s="203"/>
      <c r="B752" s="203"/>
      <c r="C752" s="203"/>
      <c r="D752" s="203"/>
      <c r="E752" s="203"/>
      <c r="F752" s="204"/>
      <c r="G752" s="204"/>
      <c r="H752" s="204"/>
      <c r="I752" s="203"/>
      <c r="J752" s="203"/>
      <c r="K752" s="203"/>
      <c r="L752" s="205"/>
    </row>
    <row r="753" spans="1:12" x14ac:dyDescent="0.35">
      <c r="A753" s="203"/>
      <c r="B753" s="203"/>
      <c r="C753" s="203"/>
      <c r="D753" s="203"/>
      <c r="E753" s="203"/>
      <c r="F753" s="204"/>
      <c r="G753" s="204"/>
      <c r="H753" s="204"/>
      <c r="I753" s="203"/>
      <c r="J753" s="203"/>
      <c r="K753" s="203"/>
      <c r="L753" s="205"/>
    </row>
    <row r="754" spans="1:12" x14ac:dyDescent="0.35">
      <c r="A754" s="203"/>
      <c r="B754" s="203"/>
      <c r="C754" s="203"/>
      <c r="D754" s="203"/>
      <c r="E754" s="203"/>
      <c r="F754" s="204"/>
      <c r="G754" s="204"/>
      <c r="H754" s="204"/>
      <c r="I754" s="203"/>
      <c r="J754" s="203"/>
      <c r="K754" s="203"/>
      <c r="L754" s="205"/>
    </row>
    <row r="755" spans="1:12" x14ac:dyDescent="0.35">
      <c r="A755" s="203"/>
      <c r="B755" s="203"/>
      <c r="C755" s="203"/>
      <c r="D755" s="203"/>
      <c r="E755" s="203"/>
      <c r="F755" s="204"/>
      <c r="G755" s="204"/>
      <c r="H755" s="204"/>
      <c r="I755" s="203"/>
      <c r="J755" s="203"/>
      <c r="K755" s="203"/>
      <c r="L755" s="205"/>
    </row>
    <row r="756" spans="1:12" x14ac:dyDescent="0.35">
      <c r="A756" s="203"/>
      <c r="B756" s="203"/>
      <c r="C756" s="203"/>
      <c r="D756" s="203"/>
      <c r="E756" s="203"/>
      <c r="F756" s="204"/>
      <c r="G756" s="204"/>
      <c r="H756" s="204"/>
      <c r="I756" s="203"/>
      <c r="J756" s="203"/>
      <c r="K756" s="203"/>
      <c r="L756" s="205"/>
    </row>
    <row r="757" spans="1:12" x14ac:dyDescent="0.35">
      <c r="A757" s="203"/>
      <c r="B757" s="203"/>
      <c r="C757" s="203"/>
      <c r="D757" s="203"/>
      <c r="E757" s="203"/>
      <c r="F757" s="204"/>
      <c r="G757" s="204"/>
      <c r="H757" s="204"/>
      <c r="I757" s="203"/>
      <c r="J757" s="203"/>
      <c r="K757" s="203"/>
      <c r="L757" s="205"/>
    </row>
    <row r="758" spans="1:12" x14ac:dyDescent="0.35">
      <c r="A758" s="203"/>
      <c r="B758" s="203"/>
      <c r="C758" s="203"/>
      <c r="D758" s="203"/>
      <c r="E758" s="203"/>
      <c r="F758" s="204"/>
      <c r="G758" s="204"/>
      <c r="H758" s="204"/>
      <c r="I758" s="203"/>
      <c r="J758" s="203"/>
      <c r="K758" s="203"/>
      <c r="L758" s="205"/>
    </row>
    <row r="759" spans="1:12" x14ac:dyDescent="0.35">
      <c r="A759" s="203"/>
      <c r="B759" s="203"/>
      <c r="C759" s="203"/>
      <c r="D759" s="203"/>
      <c r="E759" s="203"/>
      <c r="F759" s="204"/>
      <c r="G759" s="204"/>
      <c r="H759" s="204"/>
      <c r="I759" s="203"/>
      <c r="J759" s="203"/>
      <c r="K759" s="203"/>
      <c r="L759" s="205"/>
    </row>
    <row r="760" spans="1:12" x14ac:dyDescent="0.35">
      <c r="A760" s="203"/>
      <c r="B760" s="203"/>
      <c r="C760" s="203"/>
      <c r="D760" s="203"/>
      <c r="E760" s="203"/>
      <c r="F760" s="204"/>
      <c r="G760" s="204"/>
      <c r="H760" s="204"/>
      <c r="I760" s="203"/>
      <c r="J760" s="203"/>
      <c r="K760" s="203"/>
      <c r="L760" s="205"/>
    </row>
    <row r="761" spans="1:12" x14ac:dyDescent="0.35">
      <c r="A761" s="203"/>
      <c r="B761" s="203"/>
      <c r="C761" s="203"/>
      <c r="D761" s="203"/>
      <c r="E761" s="203"/>
      <c r="F761" s="204"/>
      <c r="G761" s="204"/>
      <c r="H761" s="204"/>
      <c r="I761" s="203"/>
      <c r="J761" s="203"/>
      <c r="K761" s="203"/>
      <c r="L761" s="205"/>
    </row>
    <row r="762" spans="1:12" x14ac:dyDescent="0.35">
      <c r="A762" s="203"/>
      <c r="B762" s="203"/>
      <c r="C762" s="203"/>
      <c r="D762" s="203"/>
      <c r="E762" s="203"/>
      <c r="F762" s="204"/>
      <c r="G762" s="204"/>
      <c r="H762" s="204"/>
      <c r="I762" s="203"/>
      <c r="J762" s="203"/>
      <c r="K762" s="203"/>
      <c r="L762" s="205"/>
    </row>
    <row r="763" spans="1:12" x14ac:dyDescent="0.35">
      <c r="A763" s="203"/>
      <c r="B763" s="203"/>
      <c r="C763" s="203"/>
      <c r="D763" s="203"/>
      <c r="E763" s="203"/>
      <c r="F763" s="204"/>
      <c r="G763" s="204"/>
      <c r="H763" s="204"/>
      <c r="I763" s="203"/>
      <c r="J763" s="203"/>
      <c r="K763" s="203"/>
      <c r="L763" s="205"/>
    </row>
    <row r="764" spans="1:12" x14ac:dyDescent="0.35">
      <c r="A764" s="203"/>
      <c r="B764" s="203"/>
      <c r="C764" s="203"/>
      <c r="D764" s="203"/>
      <c r="E764" s="203"/>
      <c r="F764" s="204"/>
      <c r="G764" s="204"/>
      <c r="H764" s="204"/>
      <c r="I764" s="203"/>
      <c r="J764" s="203"/>
      <c r="K764" s="203"/>
      <c r="L764" s="205"/>
    </row>
    <row r="765" spans="1:12" x14ac:dyDescent="0.35">
      <c r="A765" s="203"/>
      <c r="B765" s="203"/>
      <c r="C765" s="203"/>
      <c r="D765" s="203"/>
      <c r="E765" s="203"/>
      <c r="F765" s="204"/>
      <c r="G765" s="204"/>
      <c r="H765" s="204"/>
      <c r="I765" s="203"/>
      <c r="J765" s="203"/>
      <c r="K765" s="203"/>
      <c r="L765" s="205"/>
    </row>
  </sheetData>
  <mergeCells count="2">
    <mergeCell ref="A1:L1"/>
    <mergeCell ref="A2:L2"/>
  </mergeCells>
  <conditionalFormatting sqref="C1:C87 C92:C1048576">
    <cfRule type="duplicateValues" dxfId="34" priority="1265"/>
  </conditionalFormatting>
  <conditionalFormatting sqref="G5:G91">
    <cfRule type="containsText" dxfId="33" priority="1" stopIfTrue="1" operator="containsText" text="row">
      <formula>NOT(ISERROR(SEARCH("row",G5)))</formula>
    </cfRule>
    <cfRule type="containsText" dxfId="32" priority="2" stopIfTrue="1" operator="containsText" text="Completed">
      <formula>NOT(ISERROR(SEARCH("Completed",G5)))</formula>
    </cfRule>
    <cfRule type="containsText" dxfId="31" priority="3" stopIfTrue="1" operator="containsText" text="can be done">
      <formula>NOT(ISERROR(SEARCH("can be done",G5)))</formula>
    </cfRule>
    <cfRule type="containsText" dxfId="30" priority="4" stopIfTrue="1" operator="containsText" text="Cannot be done">
      <formula>NOT(ISERROR(SEARCH("Cannot be done",G5)))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71E5-5610-4A19-B4F0-2B414AD0D311}">
  <dimension ref="A1:BD207"/>
  <sheetViews>
    <sheetView topLeftCell="A75" workbookViewId="0">
      <selection activeCell="AM11" sqref="AM11:AO11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313" t="s">
        <v>562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  <c r="AL1" s="314"/>
      <c r="AM1" s="314"/>
      <c r="AN1" s="314"/>
      <c r="AO1" s="314"/>
      <c r="AP1" s="314"/>
      <c r="AQ1" s="314"/>
      <c r="AR1" s="314"/>
      <c r="AS1" s="314"/>
      <c r="AT1" s="315"/>
    </row>
    <row r="2" spans="1:46" x14ac:dyDescent="0.35">
      <c r="A2" s="144"/>
      <c r="AT2" s="145"/>
    </row>
    <row r="3" spans="1:46" ht="15.5" x14ac:dyDescent="0.35">
      <c r="A3" s="146"/>
      <c r="B3" s="147"/>
      <c r="C3" s="147"/>
      <c r="D3" s="147"/>
      <c r="E3" s="147"/>
      <c r="F3" s="147"/>
      <c r="G3" s="147"/>
      <c r="I3" s="148" t="s">
        <v>563</v>
      </c>
      <c r="J3" s="147"/>
      <c r="K3" s="147"/>
      <c r="L3" s="149"/>
      <c r="AM3" s="316" t="s">
        <v>564</v>
      </c>
      <c r="AN3" s="316"/>
      <c r="AO3" s="317">
        <f ca="1">TODAY()-1</f>
        <v>45987</v>
      </c>
      <c r="AP3" s="317"/>
      <c r="AQ3" s="317"/>
      <c r="AR3" s="317"/>
      <c r="AT3" s="145"/>
    </row>
    <row r="4" spans="1:46" ht="15.5" x14ac:dyDescent="0.35">
      <c r="A4" s="144"/>
      <c r="G4" s="149"/>
      <c r="I4" s="150"/>
      <c r="J4" s="150"/>
      <c r="K4" s="151"/>
      <c r="M4" s="149"/>
      <c r="AT4" s="145"/>
    </row>
    <row r="5" spans="1:46" ht="15.5" x14ac:dyDescent="0.35">
      <c r="A5" s="146"/>
      <c r="B5" s="150"/>
      <c r="C5" s="150"/>
      <c r="D5" s="151"/>
      <c r="E5" s="152"/>
      <c r="F5" s="152"/>
      <c r="G5" s="152"/>
      <c r="H5" s="152"/>
      <c r="I5" s="152"/>
      <c r="J5" s="147"/>
      <c r="K5" s="147"/>
      <c r="L5" s="147"/>
      <c r="AT5" s="145"/>
    </row>
    <row r="6" spans="1:46" ht="16" thickBot="1" x14ac:dyDescent="0.4">
      <c r="A6" s="146"/>
      <c r="B6" s="150"/>
      <c r="C6" s="150"/>
      <c r="D6" s="153"/>
      <c r="E6" s="152"/>
      <c r="F6" s="152"/>
      <c r="G6" s="152"/>
      <c r="H6" s="152"/>
      <c r="I6" s="152"/>
      <c r="AT6" s="145"/>
    </row>
    <row r="7" spans="1:46" ht="15" thickBot="1" x14ac:dyDescent="0.4">
      <c r="A7" s="144"/>
      <c r="L7" s="318" t="s">
        <v>565</v>
      </c>
      <c r="M7" s="319"/>
      <c r="N7" s="319"/>
      <c r="O7" s="320"/>
      <c r="R7" t="s">
        <v>463</v>
      </c>
      <c r="AA7" s="321" t="s">
        <v>566</v>
      </c>
      <c r="AB7" s="322"/>
      <c r="AC7" s="322"/>
      <c r="AD7" s="322"/>
      <c r="AE7" s="322"/>
      <c r="AF7" s="323"/>
      <c r="AG7" s="330" t="s">
        <v>567</v>
      </c>
      <c r="AH7" s="331"/>
      <c r="AI7" s="331"/>
      <c r="AJ7" s="336" t="s">
        <v>568</v>
      </c>
      <c r="AK7" s="336"/>
      <c r="AL7" s="336"/>
      <c r="AM7" s="331" t="s">
        <v>569</v>
      </c>
      <c r="AN7" s="331"/>
      <c r="AO7" s="339"/>
      <c r="AP7" s="342" t="s">
        <v>570</v>
      </c>
      <c r="AQ7" s="331"/>
      <c r="AR7" s="339"/>
      <c r="AT7" s="145"/>
    </row>
    <row r="8" spans="1:46" x14ac:dyDescent="0.35">
      <c r="A8" s="144"/>
      <c r="E8" t="s">
        <v>571</v>
      </c>
      <c r="S8" t="s">
        <v>572</v>
      </c>
      <c r="AA8" s="324"/>
      <c r="AB8" s="325"/>
      <c r="AC8" s="325"/>
      <c r="AD8" s="325"/>
      <c r="AE8" s="325"/>
      <c r="AF8" s="326"/>
      <c r="AG8" s="332"/>
      <c r="AH8" s="333"/>
      <c r="AI8" s="333"/>
      <c r="AJ8" s="337"/>
      <c r="AK8" s="337"/>
      <c r="AL8" s="337"/>
      <c r="AM8" s="333"/>
      <c r="AN8" s="333"/>
      <c r="AO8" s="340"/>
      <c r="AP8" s="343"/>
      <c r="AQ8" s="333"/>
      <c r="AR8" s="340"/>
      <c r="AT8" s="145"/>
    </row>
    <row r="9" spans="1:46" ht="15" thickBot="1" x14ac:dyDescent="0.4">
      <c r="A9" s="144"/>
      <c r="L9" s="154"/>
      <c r="M9" s="155"/>
      <c r="N9" s="155"/>
      <c r="O9" s="345"/>
      <c r="P9" s="346"/>
      <c r="AA9" s="327"/>
      <c r="AB9" s="328"/>
      <c r="AC9" s="328"/>
      <c r="AD9" s="328"/>
      <c r="AE9" s="328"/>
      <c r="AF9" s="329"/>
      <c r="AG9" s="334"/>
      <c r="AH9" s="335"/>
      <c r="AI9" s="335"/>
      <c r="AJ9" s="338"/>
      <c r="AK9" s="338"/>
      <c r="AL9" s="338"/>
      <c r="AM9" s="335"/>
      <c r="AN9" s="335"/>
      <c r="AO9" s="341"/>
      <c r="AP9" s="344"/>
      <c r="AQ9" s="335"/>
      <c r="AR9" s="341"/>
      <c r="AT9" s="145"/>
    </row>
    <row r="10" spans="1:46" x14ac:dyDescent="0.35">
      <c r="A10" s="144"/>
      <c r="C10" t="s">
        <v>573</v>
      </c>
      <c r="U10" t="s">
        <v>574</v>
      </c>
      <c r="AA10" s="306" t="s">
        <v>51</v>
      </c>
      <c r="AB10" s="307"/>
      <c r="AC10" s="307"/>
      <c r="AD10" s="307"/>
      <c r="AE10" s="307"/>
      <c r="AF10" s="308"/>
      <c r="AG10" s="309">
        <v>139</v>
      </c>
      <c r="AH10" s="253"/>
      <c r="AI10" s="253"/>
      <c r="AJ10" s="310">
        <f>'[80]updated Progress'!K2</f>
        <v>132</v>
      </c>
      <c r="AK10" s="310"/>
      <c r="AL10" s="310"/>
      <c r="AM10" s="311">
        <v>4</v>
      </c>
      <c r="AN10" s="311"/>
      <c r="AO10" s="312"/>
      <c r="AP10" s="252">
        <f t="shared" ref="AP10:AP15" si="0">AG10-AJ10</f>
        <v>7</v>
      </c>
      <c r="AQ10" s="253"/>
      <c r="AR10" s="303"/>
      <c r="AT10" s="145"/>
    </row>
    <row r="11" spans="1:46" x14ac:dyDescent="0.35">
      <c r="A11" s="144"/>
      <c r="S11" t="s">
        <v>573</v>
      </c>
      <c r="AA11" s="295" t="s">
        <v>575</v>
      </c>
      <c r="AB11" s="296"/>
      <c r="AC11" s="296"/>
      <c r="AD11" s="296"/>
      <c r="AE11" s="296"/>
      <c r="AF11" s="297"/>
      <c r="AG11" s="261">
        <f>AG10</f>
        <v>139</v>
      </c>
      <c r="AH11" s="246"/>
      <c r="AI11" s="246"/>
      <c r="AJ11" s="300">
        <f>'[80]updated Progress'!N2</f>
        <v>82</v>
      </c>
      <c r="AK11" s="300"/>
      <c r="AL11" s="300"/>
      <c r="AM11" s="301"/>
      <c r="AN11" s="301"/>
      <c r="AO11" s="302"/>
      <c r="AP11" s="252">
        <f t="shared" si="0"/>
        <v>57</v>
      </c>
      <c r="AQ11" s="253"/>
      <c r="AR11" s="303"/>
      <c r="AT11" s="145"/>
    </row>
    <row r="12" spans="1:46" x14ac:dyDescent="0.35">
      <c r="A12" s="144"/>
      <c r="C12" t="s">
        <v>576</v>
      </c>
      <c r="I12" s="254"/>
      <c r="J12" s="304"/>
      <c r="K12" s="159" t="s">
        <v>577</v>
      </c>
      <c r="L12" s="159" t="s">
        <v>578</v>
      </c>
      <c r="M12" s="305" t="s">
        <v>579</v>
      </c>
      <c r="N12" s="304"/>
      <c r="O12" s="157" t="s">
        <v>577</v>
      </c>
      <c r="P12" s="157" t="s">
        <v>578</v>
      </c>
      <c r="Q12" s="305"/>
      <c r="R12" s="254"/>
      <c r="AA12" s="295" t="s">
        <v>580</v>
      </c>
      <c r="AB12" s="296"/>
      <c r="AC12" s="296"/>
      <c r="AD12" s="296"/>
      <c r="AE12" s="296"/>
      <c r="AF12" s="297"/>
      <c r="AG12" s="261">
        <f>AG10</f>
        <v>139</v>
      </c>
      <c r="AH12" s="246"/>
      <c r="AI12" s="246"/>
      <c r="AJ12" s="300">
        <v>87</v>
      </c>
      <c r="AK12" s="300"/>
      <c r="AL12" s="300"/>
      <c r="AM12" s="301">
        <v>5</v>
      </c>
      <c r="AN12" s="301"/>
      <c r="AO12" s="302"/>
      <c r="AP12" s="252">
        <f t="shared" si="0"/>
        <v>52</v>
      </c>
      <c r="AQ12" s="253"/>
      <c r="AR12" s="303"/>
      <c r="AT12" s="145"/>
    </row>
    <row r="13" spans="1:46" x14ac:dyDescent="0.35">
      <c r="A13" s="144"/>
      <c r="K13" s="159" t="s">
        <v>581</v>
      </c>
      <c r="L13" s="159" t="s">
        <v>582</v>
      </c>
      <c r="O13" s="157" t="s">
        <v>581</v>
      </c>
      <c r="P13" s="157" t="s">
        <v>582</v>
      </c>
      <c r="S13" t="s">
        <v>576</v>
      </c>
      <c r="AA13" s="295" t="s">
        <v>583</v>
      </c>
      <c r="AB13" s="296"/>
      <c r="AC13" s="296"/>
      <c r="AD13" s="296"/>
      <c r="AE13" s="296"/>
      <c r="AF13" s="297"/>
      <c r="AG13" s="261">
        <f>AG10</f>
        <v>139</v>
      </c>
      <c r="AH13" s="246"/>
      <c r="AI13" s="246"/>
      <c r="AJ13" s="300"/>
      <c r="AK13" s="300"/>
      <c r="AL13" s="300"/>
      <c r="AM13" s="301"/>
      <c r="AN13" s="301"/>
      <c r="AO13" s="302"/>
      <c r="AP13" s="252">
        <f t="shared" si="0"/>
        <v>139</v>
      </c>
      <c r="AQ13" s="253"/>
      <c r="AR13" s="303"/>
      <c r="AT13" s="145"/>
    </row>
    <row r="14" spans="1:46" x14ac:dyDescent="0.35">
      <c r="A14" s="144"/>
      <c r="C14" t="s">
        <v>584</v>
      </c>
      <c r="K14" s="294"/>
      <c r="L14" s="294"/>
      <c r="O14" s="246"/>
      <c r="P14" s="246"/>
      <c r="R14" s="160"/>
      <c r="S14" s="160"/>
      <c r="T14" s="160"/>
      <c r="U14" s="160"/>
      <c r="W14" t="s">
        <v>585</v>
      </c>
      <c r="AA14" s="295" t="s">
        <v>586</v>
      </c>
      <c r="AB14" s="296"/>
      <c r="AC14" s="296"/>
      <c r="AD14" s="296"/>
      <c r="AE14" s="296"/>
      <c r="AF14" s="297"/>
      <c r="AG14" s="298">
        <v>53.932000000000002</v>
      </c>
      <c r="AH14" s="299"/>
      <c r="AI14" s="299"/>
      <c r="AJ14" s="300"/>
      <c r="AK14" s="300"/>
      <c r="AL14" s="300"/>
      <c r="AM14" s="301"/>
      <c r="AN14" s="301"/>
      <c r="AO14" s="302"/>
      <c r="AP14" s="279">
        <f t="shared" si="0"/>
        <v>53.932000000000002</v>
      </c>
      <c r="AQ14" s="280"/>
      <c r="AR14" s="281"/>
      <c r="AT14" s="145"/>
    </row>
    <row r="15" spans="1:46" ht="15" thickBot="1" x14ac:dyDescent="0.4">
      <c r="A15" s="144"/>
      <c r="K15" s="282"/>
      <c r="L15" s="282"/>
      <c r="O15" s="158"/>
      <c r="P15" s="158"/>
      <c r="AA15" s="283" t="s">
        <v>587</v>
      </c>
      <c r="AB15" s="284"/>
      <c r="AC15" s="284"/>
      <c r="AD15" s="284"/>
      <c r="AE15" s="284"/>
      <c r="AF15" s="285"/>
      <c r="AG15" s="286">
        <f>AG14</f>
        <v>53.932000000000002</v>
      </c>
      <c r="AH15" s="287"/>
      <c r="AI15" s="287"/>
      <c r="AJ15" s="288"/>
      <c r="AK15" s="288"/>
      <c r="AL15" s="288"/>
      <c r="AM15" s="289"/>
      <c r="AN15" s="289"/>
      <c r="AO15" s="290"/>
      <c r="AP15" s="291">
        <f t="shared" si="0"/>
        <v>53.932000000000002</v>
      </c>
      <c r="AQ15" s="292"/>
      <c r="AR15" s="293"/>
      <c r="AT15" s="145"/>
    </row>
    <row r="16" spans="1:46" x14ac:dyDescent="0.35">
      <c r="A16" s="144"/>
      <c r="F16" t="s">
        <v>469</v>
      </c>
      <c r="K16" s="276" t="s">
        <v>588</v>
      </c>
      <c r="L16" s="276"/>
      <c r="M16" s="276"/>
      <c r="N16" s="276"/>
      <c r="O16" s="276"/>
      <c r="P16" s="276"/>
      <c r="AT16" s="145"/>
    </row>
    <row r="17" spans="1:52" x14ac:dyDescent="0.35">
      <c r="A17" s="144"/>
      <c r="AT17" s="145"/>
    </row>
    <row r="18" spans="1:52" x14ac:dyDescent="0.35">
      <c r="A18" s="144"/>
      <c r="AT18" s="145"/>
    </row>
    <row r="19" spans="1:52" x14ac:dyDescent="0.35">
      <c r="A19" s="144"/>
      <c r="C19" s="161"/>
      <c r="D19" s="161"/>
      <c r="G19" s="161"/>
      <c r="H19" s="161"/>
      <c r="I19" s="162"/>
      <c r="J19" s="161"/>
      <c r="M19" s="161"/>
      <c r="N19" s="163"/>
      <c r="O19" s="163"/>
      <c r="P19" s="161"/>
      <c r="Q19" s="161"/>
      <c r="R19" s="161"/>
      <c r="S19" s="161"/>
      <c r="T19" s="161"/>
      <c r="AT19" s="145"/>
    </row>
    <row r="20" spans="1:52" x14ac:dyDescent="0.35">
      <c r="A20" s="144"/>
      <c r="C20" s="161"/>
      <c r="D20" s="161"/>
      <c r="G20" s="161"/>
      <c r="H20" s="161"/>
      <c r="I20" s="163"/>
      <c r="J20" s="163"/>
      <c r="M20" s="161"/>
      <c r="N20" s="163"/>
      <c r="O20" s="163"/>
      <c r="P20" s="161"/>
      <c r="Q20" s="161"/>
      <c r="R20" s="161"/>
      <c r="S20" s="161"/>
      <c r="T20" s="161"/>
      <c r="AT20" s="145"/>
    </row>
    <row r="21" spans="1:52" x14ac:dyDescent="0.35">
      <c r="A21" s="144"/>
      <c r="C21" s="161"/>
      <c r="D21" s="161"/>
      <c r="G21" s="161"/>
      <c r="H21" s="161"/>
      <c r="I21" s="163"/>
      <c r="J21" s="163"/>
      <c r="M21" s="161"/>
      <c r="N21" s="161"/>
      <c r="O21" s="161"/>
      <c r="P21" s="161"/>
      <c r="Q21" s="161"/>
      <c r="R21" s="161"/>
      <c r="S21" s="161"/>
      <c r="T21" s="161"/>
      <c r="AT21" s="145"/>
    </row>
    <row r="22" spans="1:52" x14ac:dyDescent="0.35">
      <c r="A22" s="144"/>
      <c r="C22" s="164" t="s">
        <v>589</v>
      </c>
      <c r="D22" s="164"/>
      <c r="H22" s="161"/>
      <c r="I22" s="165"/>
      <c r="J22" s="165"/>
      <c r="M22" s="165"/>
      <c r="N22" s="166" t="s">
        <v>590</v>
      </c>
      <c r="O22" s="167"/>
      <c r="P22" s="167"/>
      <c r="Q22" s="167"/>
      <c r="T22" s="165"/>
      <c r="V22" t="s">
        <v>591</v>
      </c>
      <c r="AT22" s="145"/>
    </row>
    <row r="23" spans="1:52" x14ac:dyDescent="0.35">
      <c r="A23" s="144"/>
      <c r="C23" s="164"/>
      <c r="D23" s="164"/>
      <c r="G23" s="165" t="s">
        <v>592</v>
      </c>
      <c r="H23" s="165"/>
      <c r="I23" s="165"/>
      <c r="J23" s="165"/>
      <c r="K23" s="165"/>
      <c r="L23" s="167"/>
      <c r="M23" s="167"/>
      <c r="N23" s="167"/>
      <c r="O23" s="167"/>
      <c r="P23" s="165"/>
      <c r="Q23" s="165"/>
      <c r="R23" s="165" t="s">
        <v>593</v>
      </c>
      <c r="AT23" s="145"/>
    </row>
    <row r="24" spans="1:52" x14ac:dyDescent="0.35">
      <c r="A24" s="144"/>
      <c r="C24" s="164"/>
      <c r="D24" s="164"/>
      <c r="G24" s="165"/>
      <c r="H24" s="165"/>
      <c r="I24" s="165"/>
      <c r="J24" s="165"/>
      <c r="K24" s="165"/>
      <c r="L24" s="167"/>
      <c r="M24" s="167"/>
      <c r="N24" s="277" t="s">
        <v>594</v>
      </c>
      <c r="O24" s="277"/>
      <c r="P24" s="277"/>
      <c r="Q24" s="277"/>
      <c r="R24" s="277"/>
      <c r="S24" s="277"/>
      <c r="T24" s="277"/>
      <c r="U24" s="277"/>
      <c r="V24" s="277"/>
      <c r="W24" s="277"/>
      <c r="X24" s="277"/>
      <c r="Y24" s="277"/>
      <c r="Z24" s="277"/>
      <c r="AA24" s="277"/>
      <c r="AB24" s="277"/>
      <c r="AC24" s="277"/>
      <c r="AD24" s="277"/>
      <c r="AE24" s="277"/>
      <c r="AF24" s="277"/>
      <c r="AG24" s="277"/>
      <c r="AH24" s="277"/>
      <c r="AI24" s="277"/>
      <c r="AJ24" s="277"/>
      <c r="AK24" s="277"/>
      <c r="AL24" s="277"/>
      <c r="AM24" s="277"/>
      <c r="AN24" s="277"/>
      <c r="AO24" s="277"/>
      <c r="AP24" s="277"/>
      <c r="AQ24" s="277"/>
      <c r="AR24" s="277"/>
      <c r="AS24" s="277"/>
      <c r="AT24" s="145"/>
    </row>
    <row r="25" spans="1:52" ht="12" customHeight="1" x14ac:dyDescent="0.35">
      <c r="A25" s="144"/>
      <c r="S25" s="160" t="s">
        <v>595</v>
      </c>
      <c r="V25" s="168"/>
      <c r="AT25" s="145"/>
      <c r="AV25" s="254">
        <f>SUM(AV27:AW168)</f>
        <v>66565.550093309022</v>
      </c>
      <c r="AW25" s="254"/>
      <c r="AX25" s="169"/>
      <c r="AY25" s="278">
        <f>SUM(AY27:AZ168)</f>
        <v>171</v>
      </c>
      <c r="AZ25" s="278"/>
    </row>
    <row r="26" spans="1:52" x14ac:dyDescent="0.35">
      <c r="A26" s="170"/>
      <c r="B26" s="171"/>
      <c r="C26" s="171"/>
      <c r="D26" s="171"/>
      <c r="E26" s="171"/>
      <c r="F26" s="172"/>
      <c r="G26" s="171"/>
      <c r="H26" s="171"/>
      <c r="I26" s="171"/>
      <c r="J26" s="265"/>
      <c r="K26" s="266"/>
      <c r="L26" s="171"/>
      <c r="M26" s="171"/>
      <c r="N26" s="265" t="str">
        <f>VLOOKUP(N28,'[80]Location Status'!$A$7:$D$178,2,0)</f>
        <v>Gantry</v>
      </c>
      <c r="O26" s="266"/>
      <c r="P26" s="171"/>
      <c r="Q26" s="171"/>
      <c r="R26" s="265" t="str">
        <f>VLOOKUP(R28,'[80]Location Status'!$A$7:$D$178,2,0)</f>
        <v>1/0</v>
      </c>
      <c r="S26" s="266"/>
      <c r="T26" s="171"/>
      <c r="U26" s="171"/>
      <c r="V26" s="265" t="str">
        <f>VLOOKUP(V28,'[80]Location Status'!$A$7:$D$178,2,0)</f>
        <v>2/0</v>
      </c>
      <c r="W26" s="266"/>
      <c r="X26" s="171"/>
      <c r="Y26" s="171"/>
      <c r="Z26" s="265" t="str">
        <f>VLOOKUP(Z28,'[80]Location Status'!$A$7:$D$178,2,0)</f>
        <v>3/0</v>
      </c>
      <c r="AA26" s="266"/>
      <c r="AB26" s="171"/>
      <c r="AC26" s="171"/>
      <c r="AD26" s="265" t="str">
        <f>VLOOKUP(AD28,'[80]Location Status'!$A$7:$D$178,2,0)</f>
        <v>4/0</v>
      </c>
      <c r="AE26" s="266"/>
      <c r="AF26" s="171"/>
      <c r="AG26" s="171"/>
      <c r="AH26" s="265" t="str">
        <f>VLOOKUP(AH28,'[80]Location Status'!$A$7:$D$178,2,0)</f>
        <v>4/1</v>
      </c>
      <c r="AI26" s="266"/>
      <c r="AJ26" s="171"/>
      <c r="AK26" s="171"/>
      <c r="AL26" s="265" t="str">
        <f>VLOOKUP(AL28,'[80]Location Status'!$A$7:$D$178,2,0)</f>
        <v>4/2</v>
      </c>
      <c r="AM26" s="266"/>
      <c r="AN26" s="171"/>
      <c r="AO26" s="171"/>
      <c r="AP26" s="265" t="str">
        <f>VLOOKUP(AP28,'[80]Location Status'!$A$7:$D$178,2,0)</f>
        <v>5/0</v>
      </c>
      <c r="AQ26" s="266"/>
      <c r="AR26" s="171"/>
      <c r="AS26" s="171"/>
      <c r="AT26" s="173"/>
      <c r="AU26" s="171"/>
      <c r="AV26" s="171"/>
      <c r="AW26" s="171"/>
      <c r="AX26" s="171"/>
      <c r="AY26" s="171"/>
      <c r="AZ26" s="171"/>
    </row>
    <row r="27" spans="1:52" x14ac:dyDescent="0.35">
      <c r="A27" s="144"/>
      <c r="AT27" s="145"/>
    </row>
    <row r="28" spans="1:52" s="175" customFormat="1" ht="12.5" x14ac:dyDescent="0.25">
      <c r="A28" s="174"/>
      <c r="N28" s="175">
        <v>0</v>
      </c>
      <c r="R28" s="175">
        <f>N28+1</f>
        <v>1</v>
      </c>
      <c r="V28" s="175">
        <f>1+R28</f>
        <v>2</v>
      </c>
      <c r="Z28" s="175">
        <f>1+V28</f>
        <v>3</v>
      </c>
      <c r="AD28" s="175">
        <f>1+Z28</f>
        <v>4</v>
      </c>
      <c r="AH28" s="175">
        <f>1+AD28</f>
        <v>5</v>
      </c>
      <c r="AL28" s="175">
        <f>1+AH28</f>
        <v>6</v>
      </c>
      <c r="AP28" s="175">
        <f>1+AL28</f>
        <v>7</v>
      </c>
      <c r="AT28" s="176"/>
    </row>
    <row r="29" spans="1:52" x14ac:dyDescent="0.35">
      <c r="A29" s="144"/>
      <c r="B29" s="158"/>
      <c r="C29" s="158"/>
      <c r="F29" s="158"/>
      <c r="G29" s="158"/>
      <c r="H29" s="177"/>
      <c r="I29" s="177"/>
      <c r="J29" s="158"/>
      <c r="K29" s="158"/>
      <c r="L29" s="262"/>
      <c r="M29" s="271"/>
      <c r="N29" s="178" t="s">
        <v>577</v>
      </c>
      <c r="O29" s="178" t="s">
        <v>578</v>
      </c>
      <c r="P29" s="270">
        <f>VLOOKUP(N28,'[80]Location Status'!$A$7:$D$178,4,0)</f>
        <v>116.51609330903607</v>
      </c>
      <c r="Q29" s="271"/>
      <c r="R29" s="71" t="s">
        <v>577</v>
      </c>
      <c r="S29" s="71" t="s">
        <v>578</v>
      </c>
      <c r="T29" s="270">
        <f>VLOOKUP(R28,'[80]Location Status'!$A$7:$D$178,4,0)</f>
        <v>181.08699999999999</v>
      </c>
      <c r="U29" s="271"/>
      <c r="V29" s="178" t="s">
        <v>577</v>
      </c>
      <c r="W29" s="178" t="s">
        <v>578</v>
      </c>
      <c r="X29" s="270">
        <f>VLOOKUP(V28,'[80]Location Status'!$A$7:$D$178,4,0)</f>
        <v>235.87100000000001</v>
      </c>
      <c r="Y29" s="271"/>
      <c r="Z29" s="178" t="s">
        <v>577</v>
      </c>
      <c r="AA29" s="178" t="s">
        <v>578</v>
      </c>
      <c r="AB29" s="270">
        <f>VLOOKUP(Z28,'[80]Location Status'!$A$7:$D$178,4,0)</f>
        <v>248.38800000000001</v>
      </c>
      <c r="AC29" s="271"/>
      <c r="AD29" s="178" t="s">
        <v>577</v>
      </c>
      <c r="AE29" s="178" t="s">
        <v>578</v>
      </c>
      <c r="AF29" s="270">
        <f>VLOOKUP(AD28,'[80]Location Status'!$A$7:$D$178,4,0)</f>
        <v>399.70400000000001</v>
      </c>
      <c r="AG29" s="271"/>
      <c r="AH29" s="178" t="s">
        <v>577</v>
      </c>
      <c r="AI29" s="178" t="s">
        <v>578</v>
      </c>
      <c r="AJ29" s="270">
        <f>VLOOKUP(AH28,'[80]Location Status'!$A$7:$D$178,4,0)</f>
        <v>433.65800000000002</v>
      </c>
      <c r="AK29" s="271"/>
      <c r="AL29" s="178" t="s">
        <v>577</v>
      </c>
      <c r="AM29" s="178" t="s">
        <v>578</v>
      </c>
      <c r="AN29" s="270">
        <f>VLOOKUP(AL28,'[80]Location Status'!$A$7:$D$178,4,0)</f>
        <v>405.41</v>
      </c>
      <c r="AO29" s="271"/>
      <c r="AP29" s="178" t="s">
        <v>577</v>
      </c>
      <c r="AQ29" s="178" t="s">
        <v>578</v>
      </c>
      <c r="AR29" s="262">
        <f>VLOOKUP(AP28,'[80]Location Status'!$A$7:$D$178,4,0)</f>
        <v>369.786</v>
      </c>
      <c r="AS29" s="262"/>
      <c r="AT29" s="176"/>
      <c r="AV29" s="254">
        <f>D29+H29+L29+P29+T29+X29+AB29+AF29+AJ29+AN29+AR29</f>
        <v>2390.420093309036</v>
      </c>
      <c r="AW29" s="254"/>
      <c r="AY29">
        <v>7</v>
      </c>
    </row>
    <row r="30" spans="1:52" x14ac:dyDescent="0.35">
      <c r="A30" s="144"/>
      <c r="B30" s="158"/>
      <c r="C30" s="158"/>
      <c r="F30" s="158"/>
      <c r="G30" s="158"/>
      <c r="J30" s="158"/>
      <c r="K30" s="158"/>
      <c r="N30" s="71" t="s">
        <v>581</v>
      </c>
      <c r="O30" s="71" t="s">
        <v>582</v>
      </c>
      <c r="R30" s="71" t="s">
        <v>581</v>
      </c>
      <c r="S30" s="71" t="s">
        <v>582</v>
      </c>
      <c r="V30" s="71" t="s">
        <v>581</v>
      </c>
      <c r="W30" s="71" t="s">
        <v>582</v>
      </c>
      <c r="Z30" s="71" t="s">
        <v>581</v>
      </c>
      <c r="AA30" s="71" t="s">
        <v>582</v>
      </c>
      <c r="AD30" s="71" t="s">
        <v>581</v>
      </c>
      <c r="AE30" s="71" t="s">
        <v>582</v>
      </c>
      <c r="AH30" s="71" t="s">
        <v>581</v>
      </c>
      <c r="AI30" s="71" t="s">
        <v>582</v>
      </c>
      <c r="AL30" s="71" t="s">
        <v>581</v>
      </c>
      <c r="AM30" s="71" t="s">
        <v>582</v>
      </c>
      <c r="AP30" s="71" t="s">
        <v>581</v>
      </c>
      <c r="AQ30" s="71" t="s">
        <v>582</v>
      </c>
      <c r="AT30" s="176"/>
      <c r="AV30" s="254"/>
      <c r="AW30" s="254"/>
    </row>
    <row r="31" spans="1:52" x14ac:dyDescent="0.35">
      <c r="A31" s="144"/>
      <c r="N31" s="246"/>
      <c r="O31" s="246"/>
      <c r="R31" s="246"/>
      <c r="S31" s="246"/>
      <c r="V31" s="246"/>
      <c r="W31" s="246"/>
      <c r="Z31" s="246"/>
      <c r="AA31" s="246"/>
      <c r="AD31" s="246"/>
      <c r="AE31" s="246"/>
      <c r="AH31" s="246"/>
      <c r="AI31" s="246"/>
      <c r="AL31" s="246"/>
      <c r="AM31" s="246"/>
      <c r="AP31" s="246"/>
      <c r="AQ31" s="246"/>
      <c r="AT31" s="176"/>
      <c r="AV31" s="254"/>
      <c r="AW31" s="254"/>
    </row>
    <row r="32" spans="1:52" x14ac:dyDescent="0.35">
      <c r="A32" s="144"/>
      <c r="F32" s="179"/>
      <c r="J32" s="172"/>
      <c r="K32" s="171"/>
      <c r="N32" s="265" t="str">
        <f>VLOOKUP(N28,'[80]Location Status'!$A$7:$D$178,3,0)</f>
        <v>GNT</v>
      </c>
      <c r="O32" s="266"/>
      <c r="R32" s="265" t="str">
        <f>VLOOKUP(R28,'[80]Location Status'!$A$7:$D$178,3,0)</f>
        <v>DD60+0</v>
      </c>
      <c r="S32" s="266"/>
      <c r="V32" s="265" t="str">
        <f>VLOOKUP(V28,'[80]Location Status'!$A$7:$D$178,3,0)</f>
        <v>DD60+0</v>
      </c>
      <c r="W32" s="266"/>
      <c r="Z32" s="265" t="str">
        <f>VLOOKUP(Z28,'[80]Location Status'!$A$7:$D$178,3,0)</f>
        <v>DD45+0</v>
      </c>
      <c r="AA32" s="266"/>
      <c r="AD32" s="180" t="str">
        <f>VLOOKUP(AD28,'[80]Location Status'!$A$7:$D$178,3,0)</f>
        <v>DD60+0</v>
      </c>
      <c r="AE32" s="68"/>
      <c r="AH32" s="265" t="str">
        <f>VLOOKUP(AH28,'[80]Location Status'!$A$7:$D$178,3,0)</f>
        <v>DA+3</v>
      </c>
      <c r="AI32" s="266"/>
      <c r="AL32" s="265" t="str">
        <f>VLOOKUP(AL28,'[80]Location Status'!$A$7:$D$178,3,0)</f>
        <v>DA+3</v>
      </c>
      <c r="AM32" s="266"/>
      <c r="AP32" s="265" t="str">
        <f>VLOOKUP(AP28,'[80]Location Status'!$A$7:$D$178,3,0)</f>
        <v>DB2+0</v>
      </c>
      <c r="AQ32" s="266"/>
      <c r="AT32" s="145"/>
      <c r="AV32" s="254"/>
      <c r="AW32" s="254"/>
    </row>
    <row r="33" spans="1:56" x14ac:dyDescent="0.35">
      <c r="A33" s="144"/>
      <c r="AT33" s="145"/>
      <c r="AV33" s="254"/>
      <c r="AW33" s="254"/>
    </row>
    <row r="34" spans="1:56" x14ac:dyDescent="0.35">
      <c r="A34" s="144"/>
      <c r="B34" s="274" t="s">
        <v>594</v>
      </c>
      <c r="C34" s="274"/>
      <c r="D34" s="274"/>
      <c r="E34" s="274"/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  <c r="AA34" s="274"/>
      <c r="AB34" s="274"/>
      <c r="AC34" s="274"/>
      <c r="AD34" s="274"/>
      <c r="AE34" s="274"/>
      <c r="AF34" s="274"/>
      <c r="AG34" s="274"/>
      <c r="AH34" s="274"/>
      <c r="AI34" s="274"/>
      <c r="AJ34" s="274"/>
      <c r="AK34" s="274"/>
      <c r="AL34" s="274"/>
      <c r="AM34" s="274"/>
      <c r="AN34" s="274"/>
      <c r="AO34" s="274"/>
      <c r="AP34" s="274"/>
      <c r="AQ34" s="274"/>
      <c r="AR34" s="274"/>
      <c r="AS34" s="274"/>
      <c r="AT34" s="145"/>
      <c r="AV34" s="254"/>
      <c r="AW34" s="254"/>
    </row>
    <row r="35" spans="1:56" x14ac:dyDescent="0.35">
      <c r="A35" s="144"/>
      <c r="V35" s="160" t="s">
        <v>595</v>
      </c>
      <c r="AT35" s="145"/>
      <c r="AV35" s="254"/>
      <c r="AW35" s="254"/>
    </row>
    <row r="36" spans="1:56" x14ac:dyDescent="0.35">
      <c r="A36" s="170"/>
      <c r="B36" s="265" t="str">
        <f>VLOOKUP(B38,'[80]Location Status'!$A$7:$D$178,2,0)</f>
        <v>5/1</v>
      </c>
      <c r="C36" s="266"/>
      <c r="D36" s="171"/>
      <c r="E36" s="171"/>
      <c r="F36" s="265" t="str">
        <f>VLOOKUP(F38,'[80]Location Status'!$A$7:$D$178,2,0)</f>
        <v>5/2</v>
      </c>
      <c r="G36" s="266"/>
      <c r="H36" s="171"/>
      <c r="I36" s="171"/>
      <c r="J36" s="265" t="str">
        <f>VLOOKUP(J38,'[80]Location Status'!$A$7:$D$178,2,0)</f>
        <v>5/3</v>
      </c>
      <c r="K36" s="266"/>
      <c r="L36" s="171"/>
      <c r="M36" s="171"/>
      <c r="N36" s="265" t="str">
        <f>VLOOKUP(N38,'[80]Location Status'!$A$7:$D$178,2,0)</f>
        <v>5/4</v>
      </c>
      <c r="O36" s="266"/>
      <c r="P36" s="171"/>
      <c r="Q36" s="171"/>
      <c r="R36" s="265" t="str">
        <f>VLOOKUP(R38,'[80]Location Status'!$A$7:$D$178,2,0)</f>
        <v>5A/0</v>
      </c>
      <c r="S36" s="266"/>
      <c r="T36" s="171"/>
      <c r="U36" s="171"/>
      <c r="V36" s="265" t="str">
        <f>VLOOKUP(V38,'[80]Location Status'!$A$7:$D$178,2,0)</f>
        <v>5A/1</v>
      </c>
      <c r="W36" s="266"/>
      <c r="X36" s="171"/>
      <c r="Y36" s="171"/>
      <c r="Z36" s="265" t="str">
        <f>VLOOKUP(Z38,'[80]Location Status'!$A$7:$D$178,2,0)</f>
        <v>5A/2</v>
      </c>
      <c r="AA36" s="266"/>
      <c r="AB36" s="171"/>
      <c r="AC36" s="171"/>
      <c r="AD36" s="265" t="str">
        <f>VLOOKUP(AD38,'[80]Location Status'!$A$7:$D$178,2,0)</f>
        <v>5A/3</v>
      </c>
      <c r="AE36" s="266"/>
      <c r="AF36" s="171"/>
      <c r="AG36" s="171"/>
      <c r="AH36" s="265" t="str">
        <f>VLOOKUP(AH38,'[80]Location Status'!$A$7:$D$178,2,0)</f>
        <v>5A/4</v>
      </c>
      <c r="AI36" s="266"/>
      <c r="AJ36" s="171"/>
      <c r="AK36" s="171"/>
      <c r="AL36" s="265" t="str">
        <f>VLOOKUP(AL38,'[80]Location Status'!$A$7:$D$178,2,0)</f>
        <v>5B/0</v>
      </c>
      <c r="AM36" s="266"/>
      <c r="AN36" s="171"/>
      <c r="AO36" s="171"/>
      <c r="AP36" s="265" t="str">
        <f>VLOOKUP(AP38,'[80]Location Status'!$A$7:$D$178,2,0)</f>
        <v>5B/1</v>
      </c>
      <c r="AQ36" s="266"/>
      <c r="AR36" s="171"/>
      <c r="AS36" s="171"/>
      <c r="AT36" s="173"/>
      <c r="AU36" s="171"/>
      <c r="AV36" s="254"/>
      <c r="AW36" s="254"/>
      <c r="AX36" s="171"/>
      <c r="AY36" s="171"/>
      <c r="AZ36" s="171"/>
    </row>
    <row r="37" spans="1:56" x14ac:dyDescent="0.35">
      <c r="A37" s="144"/>
      <c r="AT37" s="145"/>
      <c r="AV37" s="254"/>
      <c r="AW37" s="254"/>
    </row>
    <row r="38" spans="1:56" s="175" customFormat="1" ht="12.5" x14ac:dyDescent="0.25">
      <c r="A38" s="174"/>
      <c r="B38" s="175">
        <f>1+AP28</f>
        <v>8</v>
      </c>
      <c r="F38" s="175">
        <f>1+B38</f>
        <v>9</v>
      </c>
      <c r="J38" s="175">
        <f>1+F38</f>
        <v>10</v>
      </c>
      <c r="N38" s="175">
        <f>1+J38</f>
        <v>11</v>
      </c>
      <c r="R38" s="175">
        <f>1+N38</f>
        <v>12</v>
      </c>
      <c r="V38" s="175">
        <f>1+R38</f>
        <v>13</v>
      </c>
      <c r="Z38" s="175">
        <f>1+V38</f>
        <v>14</v>
      </c>
      <c r="AD38" s="175">
        <f>1+Z38</f>
        <v>15</v>
      </c>
      <c r="AH38" s="175">
        <f>1+AD38</f>
        <v>16</v>
      </c>
      <c r="AL38" s="175">
        <f>1+AH38</f>
        <v>17</v>
      </c>
      <c r="AP38" s="175">
        <f>1+AL38</f>
        <v>18</v>
      </c>
      <c r="AT38" s="176"/>
      <c r="AV38" s="267"/>
      <c r="AW38" s="267"/>
    </row>
    <row r="39" spans="1:56" x14ac:dyDescent="0.35">
      <c r="A39" s="144"/>
      <c r="B39" s="71" t="s">
        <v>577</v>
      </c>
      <c r="C39" s="71" t="s">
        <v>578</v>
      </c>
      <c r="D39" s="270">
        <f>VLOOKUP(B38,'[80]Location Status'!$A$7:$D$178,4,0)</f>
        <v>390.072</v>
      </c>
      <c r="E39" s="271"/>
      <c r="F39" s="178" t="s">
        <v>577</v>
      </c>
      <c r="G39" s="178" t="s">
        <v>578</v>
      </c>
      <c r="H39" s="270">
        <f>VLOOKUP(F38,'[80]Location Status'!$A$7:$D$178,4,0)</f>
        <v>388.65199999999999</v>
      </c>
      <c r="I39" s="271"/>
      <c r="J39" s="178" t="s">
        <v>577</v>
      </c>
      <c r="K39" s="178" t="s">
        <v>578</v>
      </c>
      <c r="L39" s="270">
        <f>VLOOKUP(J38,'[80]Location Status'!$A$7:$D$178,4,0)</f>
        <v>404.43799999999999</v>
      </c>
      <c r="M39" s="271"/>
      <c r="N39" s="178" t="s">
        <v>577</v>
      </c>
      <c r="O39" s="178" t="s">
        <v>578</v>
      </c>
      <c r="P39" s="270">
        <f>VLOOKUP(N38,'[80]Location Status'!$A$7:$D$178,4,0)</f>
        <v>409.68200000000002</v>
      </c>
      <c r="Q39" s="271"/>
      <c r="R39" s="178" t="s">
        <v>577</v>
      </c>
      <c r="S39" s="178" t="s">
        <v>578</v>
      </c>
      <c r="T39" s="270">
        <f>VLOOKUP(R38,'[80]Location Status'!$A$7:$D$178,4,0)</f>
        <v>411.935</v>
      </c>
      <c r="U39" s="271"/>
      <c r="V39" s="178" t="s">
        <v>577</v>
      </c>
      <c r="W39" s="178" t="s">
        <v>578</v>
      </c>
      <c r="X39" s="270">
        <f>VLOOKUP(V38,'[80]Location Status'!$A$7:$D$178,4,0)</f>
        <v>405.87900000000002</v>
      </c>
      <c r="Y39" s="271"/>
      <c r="Z39" s="178" t="s">
        <v>577</v>
      </c>
      <c r="AA39" s="178" t="s">
        <v>578</v>
      </c>
      <c r="AB39" s="270">
        <f>VLOOKUP(Z38,'[80]Location Status'!$A$7:$D$178,4,0)</f>
        <v>419.55900000000003</v>
      </c>
      <c r="AC39" s="271"/>
      <c r="AD39" s="178" t="s">
        <v>577</v>
      </c>
      <c r="AE39" s="178" t="s">
        <v>578</v>
      </c>
      <c r="AF39" s="270">
        <f>VLOOKUP(AD38,'[80]Location Status'!$A$7:$D$178,4,0)</f>
        <v>384.86200000000002</v>
      </c>
      <c r="AG39" s="271"/>
      <c r="AH39" s="178" t="s">
        <v>577</v>
      </c>
      <c r="AI39" s="178" t="s">
        <v>578</v>
      </c>
      <c r="AJ39" s="270">
        <f>VLOOKUP(AH38,'[80]Location Status'!$A$7:$D$178,4,0)</f>
        <v>386.18400000000003</v>
      </c>
      <c r="AK39" s="271"/>
      <c r="AL39" s="181" t="s">
        <v>577</v>
      </c>
      <c r="AM39" s="181" t="s">
        <v>578</v>
      </c>
      <c r="AN39" s="270">
        <f>VLOOKUP(AL38,'[80]Location Status'!$A$7:$D$178,4,0)</f>
        <v>411.63900000000001</v>
      </c>
      <c r="AO39" s="271"/>
      <c r="AP39" s="181" t="s">
        <v>577</v>
      </c>
      <c r="AQ39" s="181" t="s">
        <v>578</v>
      </c>
      <c r="AR39" s="272">
        <f>VLOOKUP(AP38,'[80]Location Status'!$A$7:$D$178,4,0)</f>
        <v>411.35899999999998</v>
      </c>
      <c r="AS39" s="275"/>
      <c r="AT39" s="145"/>
      <c r="AV39" s="254">
        <f>D39+H39+L39+P39+T39+X39+AB39+AF39+AJ39+AN39+AR39</f>
        <v>4424.2610000000004</v>
      </c>
      <c r="AW39" s="254"/>
      <c r="AY39">
        <v>11</v>
      </c>
    </row>
    <row r="40" spans="1:56" x14ac:dyDescent="0.35">
      <c r="A40" s="144"/>
      <c r="B40" s="71" t="s">
        <v>581</v>
      </c>
      <c r="C40" s="71" t="s">
        <v>582</v>
      </c>
      <c r="F40" s="71" t="s">
        <v>581</v>
      </c>
      <c r="G40" s="71" t="s">
        <v>582</v>
      </c>
      <c r="J40" s="71" t="s">
        <v>581</v>
      </c>
      <c r="K40" s="71" t="s">
        <v>582</v>
      </c>
      <c r="N40" s="71" t="s">
        <v>581</v>
      </c>
      <c r="O40" s="71" t="s">
        <v>582</v>
      </c>
      <c r="R40" s="71" t="s">
        <v>581</v>
      </c>
      <c r="S40" s="71" t="s">
        <v>582</v>
      </c>
      <c r="V40" s="71" t="s">
        <v>581</v>
      </c>
      <c r="W40" s="71" t="s">
        <v>582</v>
      </c>
      <c r="Z40" s="71" t="s">
        <v>581</v>
      </c>
      <c r="AA40" s="71" t="s">
        <v>582</v>
      </c>
      <c r="AD40" s="71" t="s">
        <v>581</v>
      </c>
      <c r="AE40" s="71" t="s">
        <v>582</v>
      </c>
      <c r="AH40" s="71" t="s">
        <v>581</v>
      </c>
      <c r="AI40" s="71" t="s">
        <v>582</v>
      </c>
      <c r="AL40" s="157" t="s">
        <v>581</v>
      </c>
      <c r="AM40" s="157" t="s">
        <v>582</v>
      </c>
      <c r="AP40" s="157" t="s">
        <v>581</v>
      </c>
      <c r="AQ40" s="157" t="s">
        <v>582</v>
      </c>
      <c r="AT40" s="145"/>
      <c r="AV40" s="254"/>
      <c r="AW40" s="254"/>
    </row>
    <row r="41" spans="1:56" x14ac:dyDescent="0.35">
      <c r="A41" s="144"/>
      <c r="B41" s="246"/>
      <c r="C41" s="246"/>
      <c r="F41" s="246"/>
      <c r="G41" s="246"/>
      <c r="J41" s="246"/>
      <c r="K41" s="246"/>
      <c r="N41" s="246"/>
      <c r="O41" s="246"/>
      <c r="R41" s="246"/>
      <c r="S41" s="246"/>
      <c r="V41" s="246"/>
      <c r="W41" s="246"/>
      <c r="Z41" s="246"/>
      <c r="AA41" s="246"/>
      <c r="AD41" s="246"/>
      <c r="AE41" s="246"/>
      <c r="AH41" s="246"/>
      <c r="AI41" s="246"/>
      <c r="AL41" s="246"/>
      <c r="AM41" s="246"/>
      <c r="AP41" s="246" t="s">
        <v>596</v>
      </c>
      <c r="AQ41" s="246"/>
      <c r="AT41" s="145"/>
      <c r="AV41" s="254"/>
      <c r="AW41" s="254"/>
    </row>
    <row r="42" spans="1:56" x14ac:dyDescent="0.35">
      <c r="A42" s="144"/>
      <c r="B42" s="180" t="str">
        <f>VLOOKUP(B38,'[80]Location Status'!$A$7:$D$178,3,0)</f>
        <v>DA+0</v>
      </c>
      <c r="C42" s="68"/>
      <c r="F42" s="265" t="str">
        <f>VLOOKUP(F38,'[80]Location Status'!$A$7:$D$178,3,0)</f>
        <v>DA+0</v>
      </c>
      <c r="G42" s="266"/>
      <c r="J42" s="265" t="str">
        <f>VLOOKUP(J38,'[80]Location Status'!$A$7:$D$178,3,0)</f>
        <v>DA+0</v>
      </c>
      <c r="K42" s="266"/>
      <c r="N42" s="265" t="str">
        <f>VLOOKUP(N38,'[80]Location Status'!$A$7:$D$178,3,0)</f>
        <v>DA+3</v>
      </c>
      <c r="O42" s="266"/>
      <c r="R42" s="265" t="str">
        <f>VLOOKUP(R38,'[80]Location Status'!$A$7:$D$178,3,0)</f>
        <v>DC1+0</v>
      </c>
      <c r="S42" s="266"/>
      <c r="V42" s="265" t="str">
        <f>VLOOKUP(V38,'[80]Location Status'!$A$7:$D$178,3,0)</f>
        <v>DA+3</v>
      </c>
      <c r="W42" s="266"/>
      <c r="Z42" s="265" t="str">
        <f>VLOOKUP(Z38,'[80]Location Status'!$A$7:$D$178,3,0)</f>
        <v>DA+0</v>
      </c>
      <c r="AA42" s="266"/>
      <c r="AD42" s="265" t="str">
        <f>VLOOKUP(AD38,'[80]Location Status'!$A$7:$D$178,3,0)</f>
        <v>DA+3</v>
      </c>
      <c r="AE42" s="266"/>
      <c r="AH42" s="265" t="str">
        <f>VLOOKUP(AH38,'[80]Location Status'!$A$7:$D$178,3,0)</f>
        <v>DA+0</v>
      </c>
      <c r="AI42" s="266"/>
      <c r="AL42" s="265" t="str">
        <f>VLOOKUP(AL38,'[80]Location Status'!$A$7:$D$178,3,0)</f>
        <v>DB2+0</v>
      </c>
      <c r="AM42" s="266"/>
      <c r="AP42" s="265" t="str">
        <f>VLOOKUP(AP38,'[80]Location Status'!$A$7:$D$178,3,0)</f>
        <v>DA+3</v>
      </c>
      <c r="AQ42" s="266"/>
      <c r="AT42" s="145"/>
      <c r="AV42" s="254"/>
      <c r="AW42" s="254"/>
    </row>
    <row r="43" spans="1:56" x14ac:dyDescent="0.35">
      <c r="A43" s="144"/>
      <c r="Z43" s="168"/>
      <c r="AT43" s="145"/>
      <c r="AV43" s="254"/>
      <c r="AW43" s="254"/>
    </row>
    <row r="44" spans="1:56" x14ac:dyDescent="0.35">
      <c r="B44" s="274" t="s">
        <v>594</v>
      </c>
      <c r="C44" s="274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  <c r="AB44" s="274"/>
      <c r="AC44" s="274"/>
      <c r="AD44" s="274"/>
      <c r="AE44" s="274"/>
      <c r="AF44" s="274"/>
      <c r="AG44" s="274"/>
      <c r="AH44" s="274"/>
      <c r="AI44" s="274"/>
      <c r="AJ44" s="274"/>
      <c r="AK44" s="274"/>
      <c r="AL44" s="274"/>
      <c r="AM44" s="274"/>
      <c r="AN44" s="274"/>
      <c r="AO44" s="274"/>
      <c r="AP44" s="274"/>
      <c r="AQ44" s="274"/>
      <c r="AR44" s="274"/>
      <c r="AS44" s="274"/>
      <c r="AT44" s="145"/>
      <c r="AV44" s="254"/>
      <c r="AW44" s="254"/>
    </row>
    <row r="45" spans="1:56" x14ac:dyDescent="0.35">
      <c r="A45" s="170"/>
      <c r="B45" s="265" t="str">
        <f>VLOOKUP(B47,'[80]Location Status'!$A$7:$D$178,2,0)</f>
        <v>5B/2</v>
      </c>
      <c r="C45" s="266"/>
      <c r="D45" s="171"/>
      <c r="E45" s="171"/>
      <c r="F45" s="265" t="str">
        <f>VLOOKUP(F47,'[80]Location Status'!$A$7:$D$178,2,0)</f>
        <v>5B/3</v>
      </c>
      <c r="G45" s="266"/>
      <c r="H45" s="171"/>
      <c r="I45" s="171"/>
      <c r="J45" s="265" t="str">
        <f>VLOOKUP(J47,'[80]Location Status'!$A$7:$D$178,2,0)</f>
        <v>5B/4</v>
      </c>
      <c r="K45" s="266"/>
      <c r="L45" s="171"/>
      <c r="M45" s="171"/>
      <c r="N45" s="265" t="str">
        <f>VLOOKUP(N47,'[80]Location Status'!$A$7:$D$178,2,0)</f>
        <v>5B/5</v>
      </c>
      <c r="O45" s="266"/>
      <c r="P45" s="171"/>
      <c r="Q45" s="171"/>
      <c r="R45" s="265" t="str">
        <f>VLOOKUP(R47,'[80]Location Status'!$A$7:$D$178,2,0)</f>
        <v>5B/6</v>
      </c>
      <c r="S45" s="266"/>
      <c r="T45" s="171"/>
      <c r="U45" s="171"/>
      <c r="V45" s="265" t="str">
        <f>VLOOKUP(V47,'[80]Location Status'!$A$7:$D$178,2,0)</f>
        <v>5B/7</v>
      </c>
      <c r="W45" s="266"/>
      <c r="X45" s="171"/>
      <c r="Y45" s="171"/>
      <c r="Z45" s="265" t="str">
        <f>VLOOKUP(Z47,'[80]Location Status'!$A$7:$D$178,2,0)</f>
        <v>5B/8</v>
      </c>
      <c r="AA45" s="266"/>
      <c r="AB45" s="171"/>
      <c r="AC45" s="171"/>
      <c r="AD45" s="265" t="str">
        <f>VLOOKUP(AD47,'[80]Location Status'!$A$7:$D$178,2,0)</f>
        <v>5B/9</v>
      </c>
      <c r="AE45" s="266"/>
      <c r="AF45" s="171"/>
      <c r="AG45" s="171"/>
      <c r="AH45" s="265" t="str">
        <f>VLOOKUP(AH47,'[80]Location Status'!$A$7:$D$178,2,0)</f>
        <v>5B/10</v>
      </c>
      <c r="AI45" s="266"/>
      <c r="AJ45" s="171"/>
      <c r="AK45" s="171"/>
      <c r="AL45" s="265" t="str">
        <f>VLOOKUP(AL47,'[80]Location Status'!$A$7:$D$178,2,0)</f>
        <v>5B/11</v>
      </c>
      <c r="AM45" s="266"/>
      <c r="AN45" s="171"/>
      <c r="AO45" s="171"/>
      <c r="AP45" s="265" t="str">
        <f>VLOOKUP(AP47,'[80]Location Status'!$A$7:$D$178,2,0)</f>
        <v>5C/0</v>
      </c>
      <c r="AQ45" s="266"/>
      <c r="AT45" s="145"/>
      <c r="AU45" s="171"/>
      <c r="AV45" s="254"/>
      <c r="AW45" s="254"/>
      <c r="AX45" s="171"/>
      <c r="AY45" s="171"/>
      <c r="AZ45" s="171"/>
    </row>
    <row r="46" spans="1:56" x14ac:dyDescent="0.35">
      <c r="A46" s="144"/>
      <c r="AT46" s="145"/>
      <c r="AV46" s="254"/>
      <c r="AW46" s="254"/>
    </row>
    <row r="47" spans="1:56" s="175" customFormat="1" ht="12.5" x14ac:dyDescent="0.25">
      <c r="A47" s="174"/>
      <c r="B47" s="175">
        <f>1+AP38</f>
        <v>19</v>
      </c>
      <c r="F47" s="175">
        <f>1+B47</f>
        <v>20</v>
      </c>
      <c r="J47" s="175">
        <f>1+F47</f>
        <v>21</v>
      </c>
      <c r="N47" s="175">
        <f>1+J47</f>
        <v>22</v>
      </c>
      <c r="R47" s="175">
        <f>1+N47</f>
        <v>23</v>
      </c>
      <c r="V47" s="175">
        <f>1+R47</f>
        <v>24</v>
      </c>
      <c r="Z47" s="175">
        <f>1+V47</f>
        <v>25</v>
      </c>
      <c r="AD47" s="175">
        <f>1+Z47</f>
        <v>26</v>
      </c>
      <c r="AH47" s="175">
        <f>1+AD47</f>
        <v>27</v>
      </c>
      <c r="AL47" s="175">
        <f>1+AH47</f>
        <v>28</v>
      </c>
      <c r="AP47" s="175">
        <f>1+AL47</f>
        <v>29</v>
      </c>
      <c r="AT47" s="176"/>
      <c r="AV47" s="267"/>
      <c r="AW47" s="267"/>
    </row>
    <row r="48" spans="1:56" x14ac:dyDescent="0.35">
      <c r="A48" s="144"/>
      <c r="B48" s="157" t="s">
        <v>577</v>
      </c>
      <c r="C48" s="157" t="s">
        <v>578</v>
      </c>
      <c r="D48" s="270">
        <f>VLOOKUP(B47,'[80]Location Status'!$A$7:$D$178,4,0)</f>
        <v>423.904</v>
      </c>
      <c r="E48" s="271"/>
      <c r="F48" s="182" t="s">
        <v>577</v>
      </c>
      <c r="G48" s="182" t="s">
        <v>578</v>
      </c>
      <c r="H48" s="270">
        <f>VLOOKUP(F47,'[80]Location Status'!$A$7:$D$178,4,0)</f>
        <v>412</v>
      </c>
      <c r="I48" s="271"/>
      <c r="J48" s="182" t="s">
        <v>577</v>
      </c>
      <c r="K48" s="182" t="s">
        <v>578</v>
      </c>
      <c r="L48" s="270">
        <f>VLOOKUP(J47,'[80]Location Status'!$A$7:$D$178,4,0)</f>
        <v>428.06099999999998</v>
      </c>
      <c r="M48" s="271"/>
      <c r="N48" s="181" t="s">
        <v>577</v>
      </c>
      <c r="O48" s="181" t="s">
        <v>578</v>
      </c>
      <c r="P48" s="270">
        <f>VLOOKUP(N47,'[80]Location Status'!$A$7:$D$178,4,0)</f>
        <v>407.06799999999998</v>
      </c>
      <c r="Q48" s="271"/>
      <c r="R48" s="178" t="s">
        <v>577</v>
      </c>
      <c r="S48" s="178" t="s">
        <v>578</v>
      </c>
      <c r="T48" s="270">
        <f>VLOOKUP(R47,'[80]Location Status'!$A$7:$D$178,4,0)</f>
        <v>431.339</v>
      </c>
      <c r="U48" s="271"/>
      <c r="V48" s="182" t="s">
        <v>577</v>
      </c>
      <c r="W48" s="182" t="s">
        <v>578</v>
      </c>
      <c r="X48" s="270">
        <f>VLOOKUP(V47,'[80]Location Status'!$A$7:$D$178,4,0)</f>
        <v>397.42700000000002</v>
      </c>
      <c r="Y48" s="271"/>
      <c r="Z48" s="182" t="s">
        <v>577</v>
      </c>
      <c r="AA48" s="182" t="s">
        <v>578</v>
      </c>
      <c r="AB48" s="270">
        <f>VLOOKUP(Z47,'[80]Location Status'!$A$7:$D$178,4,0)</f>
        <v>412.54300000000001</v>
      </c>
      <c r="AC48" s="271"/>
      <c r="AD48" s="182" t="s">
        <v>577</v>
      </c>
      <c r="AE48" s="182" t="s">
        <v>578</v>
      </c>
      <c r="AF48" s="272">
        <f>VLOOKUP(AD47,'[80]Location Status'!$A$7:$D$178,4,0)</f>
        <v>406.31599999999997</v>
      </c>
      <c r="AG48" s="273"/>
      <c r="AH48" s="182" t="s">
        <v>577</v>
      </c>
      <c r="AI48" s="182" t="s">
        <v>578</v>
      </c>
      <c r="AJ48" s="270">
        <f>VLOOKUP(AH47,'[80]Location Status'!$A$7:$D$178,4,0)</f>
        <v>431.584</v>
      </c>
      <c r="AK48" s="271"/>
      <c r="AL48" s="181" t="s">
        <v>577</v>
      </c>
      <c r="AM48" s="181" t="s">
        <v>578</v>
      </c>
      <c r="AN48" s="270">
        <f>VLOOKUP(AL47,'[80]Location Status'!$A$7:$D$178,4,0)</f>
        <v>406.78300000000002</v>
      </c>
      <c r="AO48" s="271"/>
      <c r="AP48" s="181" t="s">
        <v>577</v>
      </c>
      <c r="AQ48" s="181" t="s">
        <v>578</v>
      </c>
      <c r="AR48" s="270">
        <f>VLOOKUP(AP47,'[80]Location Status'!$A$7:$D$178,4,0)</f>
        <v>481.77699999999999</v>
      </c>
      <c r="AS48" s="262"/>
      <c r="AT48" s="145"/>
      <c r="AV48" s="254">
        <f>D48+H48+L48+P48+T48+X48+AB48+AF48+AJ48+AN48+AR48</f>
        <v>4638.8019999999997</v>
      </c>
      <c r="AW48" s="254"/>
      <c r="AY48">
        <v>11</v>
      </c>
      <c r="BB48" s="183"/>
      <c r="BC48" s="184"/>
      <c r="BD48" s="185"/>
    </row>
    <row r="49" spans="1:56" x14ac:dyDescent="0.35">
      <c r="A49" s="144"/>
      <c r="B49" s="157" t="s">
        <v>581</v>
      </c>
      <c r="C49" s="157" t="s">
        <v>582</v>
      </c>
      <c r="F49" s="156" t="s">
        <v>581</v>
      </c>
      <c r="G49" s="156" t="s">
        <v>582</v>
      </c>
      <c r="J49" s="156" t="s">
        <v>581</v>
      </c>
      <c r="K49" s="156" t="s">
        <v>582</v>
      </c>
      <c r="N49" s="157" t="s">
        <v>581</v>
      </c>
      <c r="O49" s="157" t="s">
        <v>582</v>
      </c>
      <c r="R49" s="71" t="s">
        <v>581</v>
      </c>
      <c r="S49" s="71" t="s">
        <v>582</v>
      </c>
      <c r="V49" s="156" t="s">
        <v>581</v>
      </c>
      <c r="W49" s="156" t="s">
        <v>582</v>
      </c>
      <c r="Z49" s="156" t="s">
        <v>581</v>
      </c>
      <c r="AA49" s="156" t="s">
        <v>582</v>
      </c>
      <c r="AD49" s="156" t="s">
        <v>581</v>
      </c>
      <c r="AE49" s="156" t="s">
        <v>582</v>
      </c>
      <c r="AH49" s="156" t="s">
        <v>581</v>
      </c>
      <c r="AI49" s="156" t="s">
        <v>582</v>
      </c>
      <c r="AL49" s="157" t="s">
        <v>581</v>
      </c>
      <c r="AM49" s="157" t="s">
        <v>582</v>
      </c>
      <c r="AP49" s="157" t="s">
        <v>581</v>
      </c>
      <c r="AQ49" s="157" t="s">
        <v>582</v>
      </c>
      <c r="AT49" s="145"/>
      <c r="AV49" s="254"/>
      <c r="AW49" s="254"/>
      <c r="BB49" s="183"/>
      <c r="BC49" s="184"/>
      <c r="BD49" s="185"/>
    </row>
    <row r="50" spans="1:56" x14ac:dyDescent="0.35">
      <c r="A50" s="144"/>
      <c r="B50" s="246" t="s">
        <v>596</v>
      </c>
      <c r="C50" s="246"/>
      <c r="F50" s="246" t="s">
        <v>441</v>
      </c>
      <c r="G50" s="246"/>
      <c r="J50" s="246" t="s">
        <v>441</v>
      </c>
      <c r="K50" s="246"/>
      <c r="N50" s="246" t="s">
        <v>441</v>
      </c>
      <c r="O50" s="246"/>
      <c r="R50" s="246"/>
      <c r="S50" s="246"/>
      <c r="V50" s="246" t="s">
        <v>441</v>
      </c>
      <c r="W50" s="246"/>
      <c r="Z50" s="246" t="s">
        <v>596</v>
      </c>
      <c r="AA50" s="246"/>
      <c r="AD50" s="246" t="s">
        <v>441</v>
      </c>
      <c r="AE50" s="246"/>
      <c r="AH50" s="246" t="s">
        <v>596</v>
      </c>
      <c r="AI50" s="246"/>
      <c r="AL50" s="246" t="s">
        <v>441</v>
      </c>
      <c r="AM50" s="246"/>
      <c r="AP50" s="246"/>
      <c r="AQ50" s="246"/>
      <c r="AT50" s="145"/>
      <c r="AV50" s="254"/>
      <c r="AW50" s="254"/>
      <c r="BB50" s="183"/>
      <c r="BC50" s="184"/>
      <c r="BD50" s="185"/>
    </row>
    <row r="51" spans="1:56" x14ac:dyDescent="0.35">
      <c r="A51" s="144"/>
      <c r="B51" s="180" t="str">
        <f>VLOOKUP(B47,'[80]Location Status'!$A$7:$D$178,3,0)</f>
        <v>DA+0</v>
      </c>
      <c r="C51" s="68"/>
      <c r="F51" s="180" t="str">
        <f>VLOOKUP(F47,'[80]Location Status'!$A$7:$D$178,3,0)</f>
        <v>DA+6</v>
      </c>
      <c r="G51" s="186"/>
      <c r="H51" s="187"/>
      <c r="I51" s="187"/>
      <c r="J51" s="180" t="str">
        <f>VLOOKUP(J47,'[80]Location Status'!$A$7:$D$178,3,0)</f>
        <v>DA+3</v>
      </c>
      <c r="K51" s="186"/>
      <c r="L51" s="187"/>
      <c r="M51" s="187"/>
      <c r="N51" s="180" t="str">
        <f>VLOOKUP(N47,'[80]Location Status'!$A$7:$D$178,3,0)</f>
        <v>DA+3</v>
      </c>
      <c r="O51" s="186"/>
      <c r="P51" s="187"/>
      <c r="Q51" s="187"/>
      <c r="R51" s="180" t="str">
        <f>VLOOKUP(R47,'[80]Location Status'!$A$7:$D$178,3,0)</f>
        <v>DA+3</v>
      </c>
      <c r="S51" s="186"/>
      <c r="T51" s="187"/>
      <c r="U51" s="187"/>
      <c r="V51" s="180" t="str">
        <f>VLOOKUP(V47,'[80]Location Status'!$A$7:$D$178,3,0)</f>
        <v>DA+6</v>
      </c>
      <c r="W51" s="186"/>
      <c r="X51" s="187"/>
      <c r="Y51" s="187"/>
      <c r="Z51" s="180" t="str">
        <f>VLOOKUP(Z47,'[80]Location Status'!$A$7:$D$178,3,0)</f>
        <v>DA+0</v>
      </c>
      <c r="AA51" s="186"/>
      <c r="AB51" s="187"/>
      <c r="AC51" s="187"/>
      <c r="AD51" s="180" t="str">
        <f>VLOOKUP(AD47,'[80]Location Status'!$A$7:$D$178,3,0)</f>
        <v>DA+3</v>
      </c>
      <c r="AE51" s="186"/>
      <c r="AF51" s="187"/>
      <c r="AG51" s="187"/>
      <c r="AH51" s="180" t="str">
        <f>VLOOKUP(AH47,'[80]Location Status'!$A$7:$D$178,3,0)</f>
        <v>DA+3</v>
      </c>
      <c r="AI51" s="186"/>
      <c r="AJ51" s="187"/>
      <c r="AK51" s="187"/>
      <c r="AL51" s="180" t="str">
        <f>VLOOKUP(AL47,'[80]Location Status'!$A$7:$D$178,3,0)</f>
        <v>DA+3</v>
      </c>
      <c r="AM51" s="186"/>
      <c r="AN51" s="187"/>
      <c r="AO51" s="187"/>
      <c r="AP51" s="180" t="str">
        <f>VLOOKUP(AP47,'[80]Location Status'!$A$7:$D$178,3,0)</f>
        <v>DC1+9</v>
      </c>
      <c r="AQ51" s="186"/>
      <c r="AT51" s="145"/>
      <c r="AV51" s="254"/>
      <c r="AW51" s="254"/>
      <c r="BB51" s="183"/>
      <c r="BC51" s="184"/>
      <c r="BD51" s="185"/>
    </row>
    <row r="52" spans="1:56" x14ac:dyDescent="0.35">
      <c r="A52" s="144"/>
      <c r="B52" s="158"/>
      <c r="C52" s="158"/>
      <c r="F52" s="158"/>
      <c r="G52" s="158"/>
      <c r="J52" s="158"/>
      <c r="K52" s="158"/>
      <c r="N52" s="158"/>
      <c r="O52" s="158"/>
      <c r="R52" s="158"/>
      <c r="S52" s="187"/>
      <c r="V52" s="158"/>
      <c r="W52" s="158"/>
      <c r="AA52" s="158"/>
      <c r="AD52" s="158"/>
      <c r="AE52" s="158"/>
      <c r="AH52" s="158"/>
      <c r="AI52" s="158"/>
      <c r="AL52" s="158"/>
      <c r="AM52" s="158"/>
      <c r="AP52" s="158"/>
      <c r="AQ52" s="158"/>
      <c r="AT52" s="145"/>
      <c r="AV52" s="254"/>
      <c r="AW52" s="254"/>
    </row>
    <row r="53" spans="1:56" x14ac:dyDescent="0.35">
      <c r="B53" s="229" t="s">
        <v>594</v>
      </c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AD53" s="188" t="s">
        <v>464</v>
      </c>
      <c r="AE53" s="188"/>
      <c r="AH53" s="188" t="s">
        <v>464</v>
      </c>
      <c r="AI53" s="188"/>
      <c r="AL53" s="188" t="s">
        <v>464</v>
      </c>
      <c r="AM53" s="188"/>
      <c r="AP53" s="188" t="s">
        <v>464</v>
      </c>
      <c r="AQ53" s="188"/>
      <c r="AT53" s="145"/>
      <c r="AV53" s="254"/>
      <c r="AW53" s="254"/>
    </row>
    <row r="54" spans="1:56" x14ac:dyDescent="0.35">
      <c r="A54" s="170"/>
      <c r="B54" s="265" t="str">
        <f>VLOOKUP(B56,'[80]Location Status'!$A$7:$D$178,2,0)</f>
        <v>5C/1</v>
      </c>
      <c r="C54" s="266"/>
      <c r="D54" s="171"/>
      <c r="E54" s="171"/>
      <c r="F54" s="265" t="str">
        <f>VLOOKUP(F56,'[80]Location Status'!$A$7:$D$178,2,0)</f>
        <v>5C/2</v>
      </c>
      <c r="G54" s="266"/>
      <c r="H54" s="171"/>
      <c r="I54" s="171"/>
      <c r="J54" s="265" t="str">
        <f>VLOOKUP(J56,'[80]Location Status'!$A$7:$D$178,2,0)</f>
        <v>5C/3</v>
      </c>
      <c r="K54" s="266"/>
      <c r="L54" s="171"/>
      <c r="M54" s="171"/>
      <c r="N54" s="265" t="str">
        <f>VLOOKUP(N56,'[80]Location Status'!$A$7:$D$178,2,0)</f>
        <v>6/0</v>
      </c>
      <c r="O54" s="266"/>
      <c r="P54" s="171"/>
      <c r="Q54" s="171"/>
      <c r="R54" s="265" t="str">
        <f>VLOOKUP(R56,'[80]Location Status'!$A$7:$D$178,2,0)</f>
        <v>7/0</v>
      </c>
      <c r="S54" s="266"/>
      <c r="T54" s="171"/>
      <c r="U54" s="171"/>
      <c r="V54" s="265" t="str">
        <f>VLOOKUP(V56,'[80]Location Status'!$A$7:$D$178,2,0)</f>
        <v>7/1</v>
      </c>
      <c r="W54" s="266"/>
      <c r="X54" s="171"/>
      <c r="Y54" s="171"/>
      <c r="Z54" s="265" t="str">
        <f>VLOOKUP(Z56,'[80]Location Status'!$A$7:$D$178,2,0)</f>
        <v>7/2</v>
      </c>
      <c r="AA54" s="266"/>
      <c r="AB54" s="171"/>
      <c r="AC54" s="171"/>
      <c r="AD54" s="265" t="str">
        <f>VLOOKUP(AD56,'[80]Location Status'!$A$7:$D$178,2,0)</f>
        <v>8/0</v>
      </c>
      <c r="AE54" s="266"/>
      <c r="AF54" s="171"/>
      <c r="AG54" s="171"/>
      <c r="AH54" s="265" t="str">
        <f>VLOOKUP(AH56,'[80]Location Status'!$A$7:$D$178,2,0)</f>
        <v>8/1</v>
      </c>
      <c r="AI54" s="266"/>
      <c r="AJ54" s="171"/>
      <c r="AK54" s="171"/>
      <c r="AL54" s="265" t="str">
        <f>VLOOKUP(AL56,'[80]Location Status'!$A$7:$D$178,2,0)</f>
        <v>8/2</v>
      </c>
      <c r="AM54" s="266"/>
      <c r="AN54" s="171"/>
      <c r="AO54" s="171"/>
      <c r="AP54" s="265" t="str">
        <f>VLOOKUP(AP56,'[80]Location Status'!$A$7:$D$178,2,0)</f>
        <v>8/3</v>
      </c>
      <c r="AQ54" s="266"/>
      <c r="AR54" s="171"/>
      <c r="AS54" s="171"/>
      <c r="AT54" s="173"/>
      <c r="AU54" s="171"/>
      <c r="AV54" s="254"/>
      <c r="AW54" s="254"/>
      <c r="AX54" s="171"/>
      <c r="AY54" s="171"/>
      <c r="AZ54" s="171"/>
    </row>
    <row r="55" spans="1:56" x14ac:dyDescent="0.35">
      <c r="A55" s="144"/>
      <c r="AT55" s="145"/>
      <c r="AV55" s="254"/>
      <c r="AW55" s="254"/>
    </row>
    <row r="56" spans="1:56" s="175" customFormat="1" ht="12.5" x14ac:dyDescent="0.25">
      <c r="A56" s="174"/>
      <c r="B56" s="175">
        <f>1+AP47</f>
        <v>30</v>
      </c>
      <c r="F56" s="175">
        <f>1+B56</f>
        <v>31</v>
      </c>
      <c r="J56" s="175">
        <f>1+F56</f>
        <v>32</v>
      </c>
      <c r="N56" s="175">
        <f>1+J56</f>
        <v>33</v>
      </c>
      <c r="R56" s="175">
        <f>1+N56</f>
        <v>34</v>
      </c>
      <c r="V56" s="175">
        <f>1+R56</f>
        <v>35</v>
      </c>
      <c r="Z56" s="175">
        <f>1+V56</f>
        <v>36</v>
      </c>
      <c r="AD56" s="175">
        <f>1+Z56</f>
        <v>37</v>
      </c>
      <c r="AH56" s="175">
        <f>1+AD56</f>
        <v>38</v>
      </c>
      <c r="AL56" s="175">
        <f>1+AH56</f>
        <v>39</v>
      </c>
      <c r="AP56" s="175">
        <f>1+AL56</f>
        <v>40</v>
      </c>
      <c r="AT56" s="176"/>
      <c r="AV56" s="267"/>
      <c r="AW56" s="267"/>
    </row>
    <row r="57" spans="1:56" x14ac:dyDescent="0.35">
      <c r="A57" s="144"/>
      <c r="B57" s="157" t="s">
        <v>577</v>
      </c>
      <c r="C57" s="157" t="s">
        <v>578</v>
      </c>
      <c r="D57" s="270">
        <f>VLOOKUP(B56,'[80]Location Status'!$A$7:$D$178,4,0)</f>
        <v>357.09899999999999</v>
      </c>
      <c r="E57" s="271"/>
      <c r="F57" s="182" t="s">
        <v>577</v>
      </c>
      <c r="G57" s="182" t="s">
        <v>578</v>
      </c>
      <c r="H57" s="270">
        <f>VLOOKUP(F56,'[80]Location Status'!$A$7:$D$178,4,0)</f>
        <v>479.70499999999998</v>
      </c>
      <c r="I57" s="271"/>
      <c r="J57" s="178" t="s">
        <v>577</v>
      </c>
      <c r="K57" s="178" t="s">
        <v>578</v>
      </c>
      <c r="L57" s="270">
        <f>VLOOKUP(J56,'[80]Location Status'!$A$7:$D$178,4,0)</f>
        <v>343.28800000000001</v>
      </c>
      <c r="M57" s="271"/>
      <c r="N57" s="178" t="s">
        <v>577</v>
      </c>
      <c r="O57" s="178" t="s">
        <v>578</v>
      </c>
      <c r="P57" s="272">
        <f>VLOOKUP(N56,'[80]Location Status'!$A$7:$D$178,4,0)</f>
        <v>233.81</v>
      </c>
      <c r="Q57" s="273"/>
      <c r="R57" s="178" t="s">
        <v>577</v>
      </c>
      <c r="S57" s="178" t="s">
        <v>578</v>
      </c>
      <c r="T57" s="270">
        <f>VLOOKUP(R56,'[80]Location Status'!$A$7:$D$178,4,0)</f>
        <v>370.22199999999998</v>
      </c>
      <c r="U57" s="271"/>
      <c r="V57" s="178" t="s">
        <v>577</v>
      </c>
      <c r="W57" s="178" t="s">
        <v>578</v>
      </c>
      <c r="X57" s="270">
        <f>VLOOKUP(V56,'[80]Location Status'!$A$7:$D$178,4,0)</f>
        <v>361.27300000000002</v>
      </c>
      <c r="Y57" s="271"/>
      <c r="Z57" s="182" t="s">
        <v>577</v>
      </c>
      <c r="AA57" s="182" t="s">
        <v>578</v>
      </c>
      <c r="AB57" s="270">
        <f>VLOOKUP(Z56,'[80]Location Status'!$A$7:$D$178,4,0)</f>
        <v>424.95800000000003</v>
      </c>
      <c r="AC57" s="271"/>
      <c r="AD57" s="182" t="s">
        <v>577</v>
      </c>
      <c r="AE57" s="182" t="s">
        <v>578</v>
      </c>
      <c r="AF57" s="272">
        <f>VLOOKUP(AD56,'[80]Location Status'!$A$7:$D$178,4,0)</f>
        <v>385.685</v>
      </c>
      <c r="AG57" s="273"/>
      <c r="AH57" s="182" t="s">
        <v>577</v>
      </c>
      <c r="AI57" s="182" t="s">
        <v>578</v>
      </c>
      <c r="AJ57" s="270">
        <f>VLOOKUP(AH56,'[80]Location Status'!$A$7:$D$178,4,0)</f>
        <v>365.00299999999999</v>
      </c>
      <c r="AK57" s="271"/>
      <c r="AL57" s="182" t="s">
        <v>577</v>
      </c>
      <c r="AM57" s="182" t="s">
        <v>578</v>
      </c>
      <c r="AN57" s="270">
        <f>VLOOKUP(AL56,'[80]Location Status'!$A$7:$D$178,4,0)</f>
        <v>345.87700000000001</v>
      </c>
      <c r="AO57" s="271"/>
      <c r="AP57" s="182" t="s">
        <v>577</v>
      </c>
      <c r="AQ57" s="182" t="s">
        <v>578</v>
      </c>
      <c r="AR57" s="270">
        <f>VLOOKUP(AP56,'[80]Location Status'!$A$7:$D$178,4,0)</f>
        <v>346.53800000000001</v>
      </c>
      <c r="AS57" s="262"/>
      <c r="AT57" s="145"/>
      <c r="AV57" s="254">
        <f>D57+H57+L57+P57+T57+X57+AB57+AF57+AJ57+AN57+AR57</f>
        <v>4013.4580000000001</v>
      </c>
      <c r="AW57" s="254"/>
      <c r="AY57">
        <v>11</v>
      </c>
      <c r="BB57" s="183"/>
      <c r="BC57" s="184"/>
      <c r="BD57" s="185"/>
    </row>
    <row r="58" spans="1:56" x14ac:dyDescent="0.35">
      <c r="A58" s="144"/>
      <c r="B58" s="157" t="s">
        <v>581</v>
      </c>
      <c r="C58" s="157" t="s">
        <v>582</v>
      </c>
      <c r="F58" s="156" t="s">
        <v>581</v>
      </c>
      <c r="G58" s="156" t="s">
        <v>582</v>
      </c>
      <c r="J58" s="71" t="s">
        <v>581</v>
      </c>
      <c r="K58" s="71" t="s">
        <v>582</v>
      </c>
      <c r="N58" s="71" t="s">
        <v>581</v>
      </c>
      <c r="O58" s="71" t="s">
        <v>582</v>
      </c>
      <c r="R58" s="71" t="s">
        <v>581</v>
      </c>
      <c r="S58" s="71" t="s">
        <v>582</v>
      </c>
      <c r="V58" s="71" t="s">
        <v>581</v>
      </c>
      <c r="W58" s="71" t="s">
        <v>582</v>
      </c>
      <c r="Z58" s="156" t="s">
        <v>581</v>
      </c>
      <c r="AA58" s="156" t="s">
        <v>582</v>
      </c>
      <c r="AD58" s="156" t="s">
        <v>581</v>
      </c>
      <c r="AE58" s="156" t="s">
        <v>582</v>
      </c>
      <c r="AH58" s="156" t="s">
        <v>581</v>
      </c>
      <c r="AI58" s="156" t="s">
        <v>582</v>
      </c>
      <c r="AL58" s="156" t="s">
        <v>581</v>
      </c>
      <c r="AM58" s="156" t="s">
        <v>582</v>
      </c>
      <c r="AP58" s="156" t="s">
        <v>581</v>
      </c>
      <c r="AQ58" s="156" t="s">
        <v>582</v>
      </c>
      <c r="AT58" s="145"/>
      <c r="AV58" s="254"/>
      <c r="AW58" s="254"/>
      <c r="BB58" s="183"/>
      <c r="BC58" s="184"/>
      <c r="BD58" s="185"/>
    </row>
    <row r="59" spans="1:56" x14ac:dyDescent="0.35">
      <c r="A59" s="144"/>
      <c r="B59" s="246" t="s">
        <v>441</v>
      </c>
      <c r="C59" s="246"/>
      <c r="F59" s="246" t="s">
        <v>441</v>
      </c>
      <c r="G59" s="246"/>
      <c r="J59" s="246"/>
      <c r="K59" s="246"/>
      <c r="N59" s="246"/>
      <c r="O59" s="246"/>
      <c r="R59" s="246"/>
      <c r="S59" s="246"/>
      <c r="V59" s="246"/>
      <c r="W59" s="246"/>
      <c r="Z59" s="260" t="s">
        <v>441</v>
      </c>
      <c r="AA59" s="261"/>
      <c r="AD59" s="246" t="s">
        <v>441</v>
      </c>
      <c r="AE59" s="246"/>
      <c r="AH59" s="246" t="s">
        <v>441</v>
      </c>
      <c r="AI59" s="246"/>
      <c r="AL59" s="246" t="s">
        <v>441</v>
      </c>
      <c r="AM59" s="246"/>
      <c r="AP59" s="246" t="s">
        <v>596</v>
      </c>
      <c r="AQ59" s="246"/>
      <c r="AT59" s="145"/>
      <c r="AV59" s="254"/>
      <c r="AW59" s="254"/>
      <c r="BB59" s="183"/>
      <c r="BC59" s="184"/>
      <c r="BD59" s="185"/>
    </row>
    <row r="60" spans="1:56" x14ac:dyDescent="0.35">
      <c r="A60" s="144"/>
      <c r="B60" s="180" t="str">
        <f>VLOOKUP(B56,'[80]Location Status'!$A$7:$D$178,3,0)</f>
        <v>DA+9</v>
      </c>
      <c r="C60" s="68"/>
      <c r="F60" s="180" t="str">
        <f>VLOOKUP(F56,'[80]Location Status'!$A$7:$D$178,3,0)</f>
        <v>DA+6</v>
      </c>
      <c r="G60" s="186"/>
      <c r="H60" s="187"/>
      <c r="I60" s="187"/>
      <c r="J60" s="180" t="str">
        <f>VLOOKUP(J56,'[80]Location Status'!$A$7:$D$178,3,0)</f>
        <v>DA+6</v>
      </c>
      <c r="K60" s="186"/>
      <c r="L60" s="187"/>
      <c r="M60" s="187"/>
      <c r="N60" s="180" t="str">
        <f>VLOOKUP(N56,'[80]Location Status'!$A$7:$D$178,3,0)</f>
        <v>DC2+6</v>
      </c>
      <c r="O60" s="186"/>
      <c r="P60" s="187"/>
      <c r="Q60" s="187"/>
      <c r="R60" s="180" t="str">
        <f>VLOOKUP(R56,'[80]Location Status'!$A$7:$D$178,3,0)</f>
        <v>DD45+6</v>
      </c>
      <c r="S60" s="186"/>
      <c r="T60" s="187"/>
      <c r="U60" s="187"/>
      <c r="V60" s="180" t="str">
        <f>VLOOKUP(V56,'[80]Location Status'!$A$7:$D$178,3,0)</f>
        <v>DA-3</v>
      </c>
      <c r="W60" s="186"/>
      <c r="X60" s="187"/>
      <c r="Y60" s="187"/>
      <c r="Z60" s="180" t="str">
        <f>VLOOKUP(Z56,'[80]Location Status'!$A$7:$D$178,3,0)</f>
        <v>DA+3</v>
      </c>
      <c r="AA60" s="186"/>
      <c r="AB60" s="187"/>
      <c r="AC60" s="187"/>
      <c r="AD60" s="180" t="str">
        <f>VLOOKUP(AD56,'[80]Location Status'!$A$7:$D$178,3,0)</f>
        <v>DC1+0</v>
      </c>
      <c r="AE60" s="186"/>
      <c r="AF60" s="187"/>
      <c r="AG60" s="187"/>
      <c r="AH60" s="180" t="str">
        <f>VLOOKUP(AH56,'[80]Location Status'!$A$7:$D$178,3,0)</f>
        <v>DA+0</v>
      </c>
      <c r="AI60" s="186"/>
      <c r="AJ60" s="187"/>
      <c r="AK60" s="187"/>
      <c r="AL60" s="180" t="str">
        <f>VLOOKUP(AL56,'[80]Location Status'!$A$7:$D$178,3,0)</f>
        <v>DA-3</v>
      </c>
      <c r="AM60" s="186"/>
      <c r="AN60" s="187"/>
      <c r="AO60" s="187"/>
      <c r="AP60" s="180" t="str">
        <f>VLOOKUP(AP56,'[80]Location Status'!$A$7:$D$178,3,0)</f>
        <v>DB1+6</v>
      </c>
      <c r="AQ60" s="186"/>
      <c r="AT60" s="145"/>
      <c r="AV60" s="254"/>
      <c r="AW60" s="254"/>
      <c r="BB60" s="183"/>
      <c r="BC60" s="184"/>
      <c r="BD60" s="185"/>
    </row>
    <row r="61" spans="1:56" x14ac:dyDescent="0.35">
      <c r="A61" s="144"/>
      <c r="AT61" s="145"/>
      <c r="AV61" s="254"/>
      <c r="AW61" s="254"/>
      <c r="BB61" s="183"/>
      <c r="BC61" s="184"/>
      <c r="BD61" s="185"/>
    </row>
    <row r="62" spans="1:56" x14ac:dyDescent="0.35">
      <c r="A62" s="144"/>
      <c r="B62" t="s">
        <v>597</v>
      </c>
      <c r="R62" s="188" t="s">
        <v>464</v>
      </c>
      <c r="S62" s="188"/>
      <c r="V62" s="188" t="s">
        <v>464</v>
      </c>
      <c r="W62" s="188"/>
      <c r="AC62" s="179"/>
      <c r="AG62" s="179"/>
      <c r="AH62" s="179"/>
      <c r="AK62" s="179"/>
      <c r="AL62" s="179"/>
      <c r="AT62" s="145"/>
      <c r="AV62" s="254"/>
      <c r="AW62" s="254"/>
      <c r="BB62" s="183"/>
      <c r="BC62" s="184"/>
      <c r="BD62" s="185"/>
    </row>
    <row r="63" spans="1:56" x14ac:dyDescent="0.35">
      <c r="A63" s="144"/>
      <c r="B63" s="265" t="str">
        <f>VLOOKUP(B65,'[80]Location Status'!$A$7:$D$178,2,0)</f>
        <v>9/0</v>
      </c>
      <c r="C63" s="265"/>
      <c r="F63" s="265" t="str">
        <f>VLOOKUP(F65,'[80]Location Status'!$A$7:$D$178,2,0)</f>
        <v>10/0</v>
      </c>
      <c r="G63" s="265"/>
      <c r="J63" s="265" t="str">
        <f>VLOOKUP(J65,'[80]Location Status'!$A$7:$D$178,2,0)</f>
        <v>10/1</v>
      </c>
      <c r="K63" s="265"/>
      <c r="N63" s="265" t="str">
        <f>VLOOKUP(N65,'[80]Location Status'!$A$7:$D$178,2,0)</f>
        <v>10/2</v>
      </c>
      <c r="O63" s="265"/>
      <c r="R63" s="265" t="str">
        <f>VLOOKUP(R65,'[80]Location Status'!$A$7:$D$178,2,0)</f>
        <v>10/3</v>
      </c>
      <c r="S63" s="265"/>
      <c r="V63" s="265" t="str">
        <f>VLOOKUP(V65,'[80]Location Status'!$A$7:$D$178,2,0)</f>
        <v>10/4</v>
      </c>
      <c r="W63" s="265"/>
      <c r="Z63" s="265" t="str">
        <f>VLOOKUP(Z65,'[80]Location Status'!$A$7:$D$178,2,0)</f>
        <v>11/0</v>
      </c>
      <c r="AA63" s="265"/>
      <c r="AD63" s="265" t="str">
        <f>VLOOKUP(AD65,'[80]Location Status'!$A$7:$D$178,2,0)</f>
        <v>11/1</v>
      </c>
      <c r="AE63" s="265"/>
      <c r="AH63" s="265" t="str">
        <f>VLOOKUP(AH65,'[80]Location Status'!$A$7:$D$178,2,0)</f>
        <v>11/2</v>
      </c>
      <c r="AI63" s="265"/>
      <c r="AL63" s="265" t="str">
        <f>VLOOKUP(AL65,'[80]Location Status'!$A$7:$D$178,2,0)</f>
        <v>11/3</v>
      </c>
      <c r="AM63" s="265"/>
      <c r="AP63" s="265" t="str">
        <f>VLOOKUP(AP65,'[80]Location Status'!$A$7:$D$178,2,0)</f>
        <v>11/4</v>
      </c>
      <c r="AQ63" s="265"/>
      <c r="AT63" s="145"/>
      <c r="AV63" s="254"/>
      <c r="AW63" s="254"/>
      <c r="BB63" s="183"/>
      <c r="BC63" s="184"/>
      <c r="BD63" s="185"/>
    </row>
    <row r="64" spans="1:56" x14ac:dyDescent="0.35">
      <c r="A64" s="144"/>
      <c r="AT64" s="145"/>
      <c r="AV64" s="254"/>
      <c r="AW64" s="254"/>
      <c r="BB64" s="183"/>
      <c r="BC64" s="184"/>
      <c r="BD64" s="185"/>
    </row>
    <row r="65" spans="1:56" s="175" customFormat="1" ht="12.5" x14ac:dyDescent="0.25">
      <c r="A65" s="174"/>
      <c r="B65" s="175">
        <f>1+AP56</f>
        <v>41</v>
      </c>
      <c r="F65" s="175">
        <f>1+B65</f>
        <v>42</v>
      </c>
      <c r="J65" s="175">
        <f>1+F65</f>
        <v>43</v>
      </c>
      <c r="N65" s="175">
        <f>1+J65</f>
        <v>44</v>
      </c>
      <c r="R65" s="175">
        <f>1+N65</f>
        <v>45</v>
      </c>
      <c r="V65" s="175">
        <f>1+R65</f>
        <v>46</v>
      </c>
      <c r="Z65" s="175">
        <f>1+V65</f>
        <v>47</v>
      </c>
      <c r="AD65" s="175">
        <f>1+Z65</f>
        <v>48</v>
      </c>
      <c r="AH65" s="175">
        <f>1+AD65</f>
        <v>49</v>
      </c>
      <c r="AL65" s="175">
        <f>1+AH65</f>
        <v>50</v>
      </c>
      <c r="AP65" s="175">
        <f>1+AL65</f>
        <v>51</v>
      </c>
      <c r="AT65" s="176"/>
      <c r="AV65" s="267"/>
      <c r="AW65" s="267"/>
    </row>
    <row r="66" spans="1:56" x14ac:dyDescent="0.35">
      <c r="A66" s="144"/>
      <c r="B66" s="156" t="s">
        <v>577</v>
      </c>
      <c r="C66" s="156" t="s">
        <v>578</v>
      </c>
      <c r="D66" s="272">
        <f>VLOOKUP(B65,'[80]Location Status'!$A$7:$D$178,4,0)</f>
        <v>195.429</v>
      </c>
      <c r="E66" s="273"/>
      <c r="F66" s="181" t="s">
        <v>577</v>
      </c>
      <c r="G66" s="181" t="s">
        <v>578</v>
      </c>
      <c r="H66" s="270">
        <f>VLOOKUP(F65,'[80]Location Status'!$A$7:$D$178,4,0)</f>
        <v>327.43</v>
      </c>
      <c r="I66" s="271"/>
      <c r="J66" s="182" t="s">
        <v>577</v>
      </c>
      <c r="K66" s="182" t="s">
        <v>578</v>
      </c>
      <c r="L66" s="270">
        <f>VLOOKUP(J65,'[80]Location Status'!$A$7:$D$178,4,0)</f>
        <v>437.142</v>
      </c>
      <c r="M66" s="271"/>
      <c r="N66" s="182" t="s">
        <v>577</v>
      </c>
      <c r="O66" s="182" t="s">
        <v>578</v>
      </c>
      <c r="P66" s="270">
        <f>VLOOKUP(N65,'[80]Location Status'!$A$7:$D$178,4,0)</f>
        <v>398.44499999999999</v>
      </c>
      <c r="Q66" s="271"/>
      <c r="R66" s="182" t="s">
        <v>577</v>
      </c>
      <c r="S66" s="182" t="s">
        <v>578</v>
      </c>
      <c r="T66" s="270">
        <f>VLOOKUP(R65,'[80]Location Status'!$A$7:$D$178,4,0)</f>
        <v>385.096</v>
      </c>
      <c r="U66" s="271"/>
      <c r="V66" s="178" t="s">
        <v>577</v>
      </c>
      <c r="W66" s="178" t="s">
        <v>578</v>
      </c>
      <c r="X66" s="270">
        <f>VLOOKUP(V65,'[80]Location Status'!$A$7:$D$178,4,0)</f>
        <v>418.04500000000002</v>
      </c>
      <c r="Y66" s="271"/>
      <c r="Z66" s="182" t="s">
        <v>577</v>
      </c>
      <c r="AA66" s="182" t="s">
        <v>578</v>
      </c>
      <c r="AB66" s="270">
        <f>VLOOKUP(Z65,'[80]Location Status'!$A$7:$D$178,4,0)</f>
        <v>356.43</v>
      </c>
      <c r="AC66" s="271"/>
      <c r="AD66" s="182" t="s">
        <v>577</v>
      </c>
      <c r="AE66" s="182" t="s">
        <v>578</v>
      </c>
      <c r="AF66" s="270">
        <f>VLOOKUP(AD65,'[80]Location Status'!$A$7:$D$178,4,0)</f>
        <v>400.90300000000002</v>
      </c>
      <c r="AG66" s="271"/>
      <c r="AH66" s="182" t="s">
        <v>577</v>
      </c>
      <c r="AI66" s="182" t="s">
        <v>578</v>
      </c>
      <c r="AJ66" s="270">
        <f>VLOOKUP(AH65,'[80]Location Status'!$A$7:$D$178,4,0)</f>
        <v>414.95100000000002</v>
      </c>
      <c r="AK66" s="271"/>
      <c r="AL66" s="182" t="s">
        <v>577</v>
      </c>
      <c r="AM66" s="182" t="s">
        <v>578</v>
      </c>
      <c r="AN66" s="270">
        <f>VLOOKUP(AL65,'[80]Location Status'!$A$7:$D$178,4,0)</f>
        <v>418.08800000000002</v>
      </c>
      <c r="AO66" s="271"/>
      <c r="AP66" s="182" t="s">
        <v>577</v>
      </c>
      <c r="AQ66" s="182" t="s">
        <v>578</v>
      </c>
      <c r="AR66" s="270">
        <f>VLOOKUP(AP65,'[80]Location Status'!$A$7:$D$178,4,0)</f>
        <v>397.64</v>
      </c>
      <c r="AS66" s="262"/>
      <c r="AT66" s="145"/>
      <c r="AV66" s="254">
        <f>D66+H66+L66+P66+T66+X66+AB66+AF66+AJ66+AN66+AR66</f>
        <v>4149.5990000000002</v>
      </c>
      <c r="AW66" s="254"/>
      <c r="AY66">
        <v>11</v>
      </c>
      <c r="BB66" s="184"/>
      <c r="BC66" s="184"/>
      <c r="BD66" s="185"/>
    </row>
    <row r="67" spans="1:56" x14ac:dyDescent="0.35">
      <c r="A67" s="144"/>
      <c r="B67" s="156" t="s">
        <v>581</v>
      </c>
      <c r="C67" s="156" t="s">
        <v>582</v>
      </c>
      <c r="F67" s="157" t="s">
        <v>581</v>
      </c>
      <c r="G67" s="157" t="s">
        <v>582</v>
      </c>
      <c r="J67" s="156" t="s">
        <v>581</v>
      </c>
      <c r="K67" s="156" t="s">
        <v>582</v>
      </c>
      <c r="N67" s="156" t="s">
        <v>581</v>
      </c>
      <c r="O67" s="156" t="s">
        <v>582</v>
      </c>
      <c r="R67" s="156" t="s">
        <v>581</v>
      </c>
      <c r="S67" s="156" t="s">
        <v>582</v>
      </c>
      <c r="V67" s="71" t="s">
        <v>581</v>
      </c>
      <c r="W67" s="71" t="s">
        <v>582</v>
      </c>
      <c r="Z67" s="156" t="s">
        <v>581</v>
      </c>
      <c r="AA67" s="156" t="s">
        <v>582</v>
      </c>
      <c r="AD67" s="156" t="s">
        <v>581</v>
      </c>
      <c r="AE67" s="156" t="s">
        <v>582</v>
      </c>
      <c r="AH67" s="156" t="s">
        <v>581</v>
      </c>
      <c r="AI67" s="156" t="s">
        <v>582</v>
      </c>
      <c r="AL67" s="156" t="s">
        <v>581</v>
      </c>
      <c r="AM67" s="156" t="s">
        <v>582</v>
      </c>
      <c r="AP67" s="156" t="s">
        <v>581</v>
      </c>
      <c r="AQ67" s="156" t="s">
        <v>582</v>
      </c>
      <c r="AT67" s="145"/>
      <c r="AV67" s="254"/>
      <c r="AW67" s="254"/>
      <c r="BB67" s="184"/>
      <c r="BC67" s="184"/>
      <c r="BD67" s="185"/>
    </row>
    <row r="68" spans="1:56" x14ac:dyDescent="0.35">
      <c r="A68" s="144"/>
      <c r="B68" s="246"/>
      <c r="C68" s="246"/>
      <c r="F68" s="246"/>
      <c r="G68" s="246"/>
      <c r="J68" s="260" t="s">
        <v>596</v>
      </c>
      <c r="K68" s="261"/>
      <c r="N68" s="260" t="s">
        <v>441</v>
      </c>
      <c r="O68" s="261"/>
      <c r="R68" s="260" t="s">
        <v>441</v>
      </c>
      <c r="S68" s="261"/>
      <c r="V68" s="246"/>
      <c r="W68" s="246"/>
      <c r="Z68" s="259" t="s">
        <v>441</v>
      </c>
      <c r="AA68" s="259"/>
      <c r="AD68" s="260" t="s">
        <v>596</v>
      </c>
      <c r="AE68" s="261"/>
      <c r="AH68" s="260" t="s">
        <v>596</v>
      </c>
      <c r="AI68" s="261"/>
      <c r="AL68" s="259" t="s">
        <v>441</v>
      </c>
      <c r="AM68" s="259"/>
      <c r="AP68" s="259" t="s">
        <v>441</v>
      </c>
      <c r="AQ68" s="259"/>
      <c r="AT68" s="145"/>
      <c r="AV68" s="254"/>
      <c r="AW68" s="254"/>
      <c r="BB68" s="184"/>
      <c r="BC68" s="184"/>
      <c r="BD68" s="185"/>
    </row>
    <row r="69" spans="1:56" x14ac:dyDescent="0.35">
      <c r="A69" s="144"/>
      <c r="B69" s="180" t="str">
        <f>VLOOKUP(B65,'[80]Location Status'!$A$7:$D$178,3,0)</f>
        <v>DD60+35</v>
      </c>
      <c r="C69" s="180"/>
      <c r="F69" s="180" t="str">
        <f>VLOOKUP(F65,'[80]Location Status'!$A$7:$D$178,3,0)</f>
        <v>DD60+35</v>
      </c>
      <c r="G69" s="180"/>
      <c r="J69" s="180" t="str">
        <f>VLOOKUP(J65,'[80]Location Status'!$A$7:$D$178,3,0)</f>
        <v>DB1+6</v>
      </c>
      <c r="K69" s="180"/>
      <c r="N69" s="180" t="str">
        <f>VLOOKUP(N65,'[80]Location Status'!$A$7:$D$178,3,0)</f>
        <v>DA+0</v>
      </c>
      <c r="O69" s="180"/>
      <c r="R69" s="180" t="str">
        <f>VLOOKUP(R65,'[80]Location Status'!$A$7:$D$178,3,0)</f>
        <v>DA+0</v>
      </c>
      <c r="S69" s="180"/>
      <c r="V69" s="180" t="str">
        <f>VLOOKUP(V65,'[80]Location Status'!$A$7:$D$178,3,0)</f>
        <v>DA+3</v>
      </c>
      <c r="W69" s="180"/>
      <c r="Z69" s="180" t="str">
        <f>VLOOKUP(Z65,'[80]Location Status'!$A$7:$D$178,3,0)</f>
        <v>DB2+0</v>
      </c>
      <c r="AA69" s="180"/>
      <c r="AD69" s="180" t="str">
        <f>VLOOKUP(AD65,'[80]Location Status'!$A$7:$D$178,3,0)</f>
        <v>DA+0</v>
      </c>
      <c r="AE69" s="180"/>
      <c r="AH69" s="180" t="str">
        <f>VLOOKUP(AH65,'[80]Location Status'!$A$7:$D$178,3,0)</f>
        <v>DA+0</v>
      </c>
      <c r="AI69" s="180"/>
      <c r="AL69" s="180" t="str">
        <f>VLOOKUP(AL65,'[80]Location Status'!$A$7:$D$178,3,0)</f>
        <v>DA+3</v>
      </c>
      <c r="AM69" s="180"/>
      <c r="AP69" s="180" t="str">
        <f>VLOOKUP(AP65,'[80]Location Status'!$A$7:$D$178,3,0)</f>
        <v>DA+0</v>
      </c>
      <c r="AQ69" s="180"/>
      <c r="AT69" s="145"/>
      <c r="AV69" s="254"/>
      <c r="AW69" s="254"/>
      <c r="BB69" s="184"/>
      <c r="BC69" s="184"/>
      <c r="BD69" s="185"/>
    </row>
    <row r="70" spans="1:56" x14ac:dyDescent="0.35">
      <c r="A70" s="144"/>
      <c r="D70" s="179" t="s">
        <v>598</v>
      </c>
      <c r="AT70" s="145"/>
      <c r="AV70" s="254"/>
      <c r="AW70" s="254"/>
      <c r="BB70" s="184"/>
      <c r="BC70" s="184"/>
      <c r="BD70" s="185"/>
    </row>
    <row r="71" spans="1:56" x14ac:dyDescent="0.35">
      <c r="A71" s="144"/>
      <c r="AT71" s="145"/>
      <c r="AV71" s="254"/>
      <c r="AW71" s="254"/>
      <c r="BB71" s="184"/>
      <c r="BC71" s="184"/>
      <c r="BD71" s="185"/>
    </row>
    <row r="72" spans="1:56" x14ac:dyDescent="0.35">
      <c r="A72" s="144"/>
      <c r="R72" s="179"/>
      <c r="Y72" s="179"/>
      <c r="AC72" s="179"/>
      <c r="AD72" s="179"/>
      <c r="AG72" s="179"/>
      <c r="AH72" s="179"/>
      <c r="AP72" s="188" t="s">
        <v>464</v>
      </c>
      <c r="AQ72" s="188"/>
      <c r="AT72" s="145"/>
      <c r="AV72" s="254"/>
      <c r="AW72" s="254"/>
      <c r="BB72" s="184"/>
      <c r="BC72" s="184"/>
      <c r="BD72" s="185"/>
    </row>
    <row r="73" spans="1:56" x14ac:dyDescent="0.35">
      <c r="A73" s="144"/>
      <c r="B73" s="265" t="str">
        <f>VLOOKUP(B75,'[80]Location Status'!$A$7:$D$178,2,0)</f>
        <v>11/5</v>
      </c>
      <c r="C73" s="266"/>
      <c r="F73" s="265" t="str">
        <f>VLOOKUP(F75,'[80]Location Status'!$A$7:$D$178,2,0)</f>
        <v>11/6</v>
      </c>
      <c r="G73" s="266"/>
      <c r="J73" s="265" t="str">
        <f>VLOOKUP(J75,'[80]Location Status'!$A$7:$D$178,2,0)</f>
        <v>12/0</v>
      </c>
      <c r="K73" s="266"/>
      <c r="N73" s="265" t="str">
        <f>VLOOKUP(N75,'[80]Location Status'!$A$7:$D$178,2,0)</f>
        <v>12/1</v>
      </c>
      <c r="O73" s="266"/>
      <c r="R73" s="265" t="str">
        <f>VLOOKUP(R75,'[80]Location Status'!$A$7:$D$178,2,0)</f>
        <v>12/2</v>
      </c>
      <c r="S73" s="266"/>
      <c r="V73" s="265" t="str">
        <f>VLOOKUP(V75,'[80]Location Status'!$A$7:$D$178,2,0)</f>
        <v>12/3</v>
      </c>
      <c r="W73" s="266"/>
      <c r="Z73" s="265" t="str">
        <f>VLOOKUP(Z75,'[80]Location Status'!$A$7:$D$178,2,0)</f>
        <v>12/4</v>
      </c>
      <c r="AA73" s="266"/>
      <c r="AD73" s="265" t="str">
        <f>VLOOKUP(AD75,'[80]Location Status'!$A$7:$D$178,2,0)</f>
        <v>12/5</v>
      </c>
      <c r="AE73" s="266"/>
      <c r="AH73" s="265" t="str">
        <f>VLOOKUP(AH75,'[80]Location Status'!$A$7:$D$178,2,0)</f>
        <v>13/0</v>
      </c>
      <c r="AI73" s="266"/>
      <c r="AL73" s="265" t="str">
        <f>VLOOKUP(AL75,'[80]Location Status'!$A$7:$D$178,2,0)</f>
        <v>13/1</v>
      </c>
      <c r="AM73" s="266"/>
      <c r="AP73" s="265" t="str">
        <f>VLOOKUP(AP75,'[80]Location Status'!$A$7:$D$178,2,0)</f>
        <v>13/2</v>
      </c>
      <c r="AQ73" s="266"/>
      <c r="AT73" s="145"/>
      <c r="AV73" s="254"/>
      <c r="AW73" s="254"/>
      <c r="BB73" s="183"/>
      <c r="BC73" s="184"/>
      <c r="BD73" s="185"/>
    </row>
    <row r="74" spans="1:56" x14ac:dyDescent="0.35">
      <c r="A74" s="144"/>
      <c r="AT74" s="145"/>
      <c r="AV74" s="254"/>
      <c r="AW74" s="254"/>
      <c r="BB74" s="184"/>
      <c r="BC74" s="184"/>
      <c r="BD74" s="185"/>
    </row>
    <row r="75" spans="1:56" s="175" customFormat="1" ht="12.5" x14ac:dyDescent="0.25">
      <c r="A75" s="174"/>
      <c r="B75" s="175">
        <f>1+AP65</f>
        <v>52</v>
      </c>
      <c r="F75" s="175">
        <f>1+B75</f>
        <v>53</v>
      </c>
      <c r="J75" s="175">
        <f>1+F75</f>
        <v>54</v>
      </c>
      <c r="N75" s="175">
        <f>1+J75</f>
        <v>55</v>
      </c>
      <c r="R75" s="175">
        <f>1+N75</f>
        <v>56</v>
      </c>
      <c r="V75" s="175">
        <f>1+R75</f>
        <v>57</v>
      </c>
      <c r="Z75" s="175">
        <f>1+V75</f>
        <v>58</v>
      </c>
      <c r="AD75" s="175">
        <f>1+Z75</f>
        <v>59</v>
      </c>
      <c r="AH75" s="175">
        <f>1+AD75</f>
        <v>60</v>
      </c>
      <c r="AL75" s="175">
        <f>1+AH75</f>
        <v>61</v>
      </c>
      <c r="AP75" s="175">
        <f>1+AL75</f>
        <v>62</v>
      </c>
      <c r="AT75" s="176"/>
      <c r="AV75" s="267"/>
      <c r="AW75" s="267"/>
    </row>
    <row r="76" spans="1:56" x14ac:dyDescent="0.35">
      <c r="A76" s="144"/>
      <c r="B76" s="182" t="s">
        <v>577</v>
      </c>
      <c r="C76" s="182" t="s">
        <v>578</v>
      </c>
      <c r="D76" s="262">
        <f>VLOOKUP(B75,'[80]Location Status'!$A$7:$D$178,4,0)</f>
        <v>416.399</v>
      </c>
      <c r="E76" s="263"/>
      <c r="F76" s="182" t="s">
        <v>577</v>
      </c>
      <c r="G76" s="182" t="s">
        <v>578</v>
      </c>
      <c r="H76" s="262">
        <f>VLOOKUP(F75,'[80]Location Status'!$A$7:$D$178,4,0)</f>
        <v>328.48899999999998</v>
      </c>
      <c r="I76" s="263"/>
      <c r="J76" s="182" t="s">
        <v>577</v>
      </c>
      <c r="K76" s="182" t="s">
        <v>578</v>
      </c>
      <c r="L76" s="262">
        <f>VLOOKUP(J75,'[80]Location Status'!$A$7:$D$178,4,0)</f>
        <v>369</v>
      </c>
      <c r="M76" s="263"/>
      <c r="N76" s="182" t="s">
        <v>577</v>
      </c>
      <c r="O76" s="182" t="s">
        <v>578</v>
      </c>
      <c r="P76" s="262">
        <f>VLOOKUP(N75,'[80]Location Status'!$A$7:$D$178,4,0)</f>
        <v>381</v>
      </c>
      <c r="Q76" s="263"/>
      <c r="R76" s="182" t="s">
        <v>577</v>
      </c>
      <c r="S76" s="182" t="s">
        <v>578</v>
      </c>
      <c r="T76" s="262">
        <f>VLOOKUP(R75,'[80]Location Status'!$A$7:$D$178,4,0)</f>
        <v>385</v>
      </c>
      <c r="U76" s="263"/>
      <c r="V76" s="182" t="s">
        <v>577</v>
      </c>
      <c r="W76" s="182" t="s">
        <v>578</v>
      </c>
      <c r="X76" s="262">
        <f>VLOOKUP(V75,'[80]Location Status'!$A$7:$D$178,4,0)</f>
        <v>403</v>
      </c>
      <c r="Y76" s="263"/>
      <c r="Z76" s="182" t="s">
        <v>577</v>
      </c>
      <c r="AA76" s="182" t="s">
        <v>578</v>
      </c>
      <c r="AB76" s="262">
        <f>VLOOKUP(Z75,'[80]Location Status'!$A$7:$D$178,4,0)</f>
        <v>436</v>
      </c>
      <c r="AC76" s="263"/>
      <c r="AD76" s="182" t="s">
        <v>577</v>
      </c>
      <c r="AE76" s="182" t="s">
        <v>578</v>
      </c>
      <c r="AF76" s="262">
        <f>VLOOKUP(AD75,'[80]Location Status'!$A$7:$D$178,4,0)</f>
        <v>398.42599999999999</v>
      </c>
      <c r="AG76" s="263"/>
      <c r="AH76" s="182" t="s">
        <v>577</v>
      </c>
      <c r="AI76" s="182" t="s">
        <v>578</v>
      </c>
      <c r="AJ76" s="262">
        <f>VLOOKUP(AH75,'[80]Location Status'!$A$7:$D$178,4,0)</f>
        <v>387.00400000000002</v>
      </c>
      <c r="AK76" s="263"/>
      <c r="AL76" s="182" t="s">
        <v>577</v>
      </c>
      <c r="AM76" s="182" t="s">
        <v>578</v>
      </c>
      <c r="AN76" s="262">
        <f>VLOOKUP(AL75,'[80]Location Status'!$A$7:$D$178,4,0)</f>
        <v>361</v>
      </c>
      <c r="AO76" s="263"/>
      <c r="AP76" s="178" t="s">
        <v>577</v>
      </c>
      <c r="AQ76" s="178" t="s">
        <v>578</v>
      </c>
      <c r="AR76" s="262">
        <f>VLOOKUP(AP75,'[80]Location Status'!$A$7:$D$178,4,0)</f>
        <v>371</v>
      </c>
      <c r="AS76" s="263"/>
      <c r="AT76" s="145"/>
      <c r="AV76" s="254">
        <f>D76+H76+L76+P76+T76+X76+AB76+AF76+AJ76+AN76+AR76</f>
        <v>4236.3179999999993</v>
      </c>
      <c r="AW76" s="254"/>
      <c r="AY76">
        <v>11</v>
      </c>
      <c r="BB76" s="184"/>
      <c r="BC76" s="184"/>
      <c r="BD76" s="185"/>
    </row>
    <row r="77" spans="1:56" x14ac:dyDescent="0.35">
      <c r="A77" s="144"/>
      <c r="B77" s="156" t="s">
        <v>581</v>
      </c>
      <c r="C77" s="156" t="s">
        <v>582</v>
      </c>
      <c r="F77" s="156" t="s">
        <v>581</v>
      </c>
      <c r="G77" s="156" t="s">
        <v>582</v>
      </c>
      <c r="J77" s="156" t="s">
        <v>581</v>
      </c>
      <c r="K77" s="156" t="s">
        <v>582</v>
      </c>
      <c r="N77" s="156" t="s">
        <v>581</v>
      </c>
      <c r="O77" s="156" t="s">
        <v>582</v>
      </c>
      <c r="R77" s="156" t="s">
        <v>581</v>
      </c>
      <c r="S77" s="156" t="s">
        <v>582</v>
      </c>
      <c r="V77" s="156" t="s">
        <v>581</v>
      </c>
      <c r="W77" s="156" t="s">
        <v>582</v>
      </c>
      <c r="Z77" s="156" t="s">
        <v>581</v>
      </c>
      <c r="AA77" s="156" t="s">
        <v>582</v>
      </c>
      <c r="AD77" s="156" t="s">
        <v>581</v>
      </c>
      <c r="AE77" s="156" t="s">
        <v>582</v>
      </c>
      <c r="AH77" s="156" t="s">
        <v>581</v>
      </c>
      <c r="AI77" s="156" t="s">
        <v>582</v>
      </c>
      <c r="AL77" s="156" t="s">
        <v>581</v>
      </c>
      <c r="AM77" s="156" t="s">
        <v>582</v>
      </c>
      <c r="AP77" s="71" t="s">
        <v>581</v>
      </c>
      <c r="AQ77" s="71" t="s">
        <v>582</v>
      </c>
      <c r="AT77" s="145"/>
      <c r="AV77" s="254"/>
      <c r="AW77" s="254"/>
      <c r="BB77" s="184"/>
      <c r="BC77" s="184"/>
      <c r="BD77" s="185"/>
    </row>
    <row r="78" spans="1:56" x14ac:dyDescent="0.35">
      <c r="A78" s="144"/>
      <c r="B78" s="259" t="s">
        <v>441</v>
      </c>
      <c r="C78" s="259"/>
      <c r="F78" s="260" t="s">
        <v>441</v>
      </c>
      <c r="G78" s="261"/>
      <c r="J78" s="260" t="s">
        <v>596</v>
      </c>
      <c r="K78" s="261"/>
      <c r="N78" s="259" t="s">
        <v>441</v>
      </c>
      <c r="O78" s="259"/>
      <c r="R78" s="259" t="s">
        <v>441</v>
      </c>
      <c r="S78" s="259"/>
      <c r="V78" s="260" t="s">
        <v>596</v>
      </c>
      <c r="W78" s="261"/>
      <c r="Z78" s="260" t="s">
        <v>596</v>
      </c>
      <c r="AA78" s="261"/>
      <c r="AD78" s="259" t="s">
        <v>441</v>
      </c>
      <c r="AE78" s="259"/>
      <c r="AH78" s="260" t="s">
        <v>441</v>
      </c>
      <c r="AI78" s="261"/>
      <c r="AL78" s="259" t="s">
        <v>441</v>
      </c>
      <c r="AM78" s="259"/>
      <c r="AP78" s="246"/>
      <c r="AQ78" s="246"/>
      <c r="AT78" s="145"/>
      <c r="AV78" s="254"/>
      <c r="AW78" s="254"/>
      <c r="BB78" s="184"/>
      <c r="BC78" s="184"/>
      <c r="BD78" s="185"/>
    </row>
    <row r="79" spans="1:56" x14ac:dyDescent="0.35">
      <c r="A79" s="144"/>
      <c r="B79" s="180" t="str">
        <f>VLOOKUP(B75,'[80]Location Status'!$A$7:$D$178,3,0)</f>
        <v>DA+3</v>
      </c>
      <c r="C79" s="180"/>
      <c r="F79" s="180" t="str">
        <f>VLOOKUP(F75,'[80]Location Status'!$A$7:$D$178,3,0)</f>
        <v>DA+0</v>
      </c>
      <c r="G79" s="180"/>
      <c r="J79" s="180" t="str">
        <f>VLOOKUP(J75,'[80]Location Status'!$A$7:$D$178,3,0)</f>
        <v>DB2+0</v>
      </c>
      <c r="K79" s="180"/>
      <c r="N79" s="180" t="str">
        <f>VLOOKUP(N75,'[80]Location Status'!$A$7:$D$178,3,0)</f>
        <v>DA-3</v>
      </c>
      <c r="O79" s="180"/>
      <c r="R79" s="180" t="str">
        <f>VLOOKUP(R75,'[80]Location Status'!$A$7:$D$178,3,0)</f>
        <v>DA+0</v>
      </c>
      <c r="S79" s="180"/>
      <c r="V79" s="180" t="str">
        <f>VLOOKUP(V75,'[80]Location Status'!$A$7:$D$178,3,0)</f>
        <v>DA+0</v>
      </c>
      <c r="W79" s="180"/>
      <c r="Z79" s="180" t="str">
        <f>VLOOKUP(Z75,'[80]Location Status'!$A$7:$D$178,3,0)</f>
        <v>DA+6</v>
      </c>
      <c r="AA79" s="180"/>
      <c r="AD79" s="180" t="str">
        <f>VLOOKUP(AD75,'[80]Location Status'!$A$7:$D$178,3,0)</f>
        <v>DA+6</v>
      </c>
      <c r="AE79" s="180"/>
      <c r="AH79" s="180" t="str">
        <f>VLOOKUP(AH75,'[80]Location Status'!$A$7:$D$178,3,0)</f>
        <v>DB2+0</v>
      </c>
      <c r="AI79" s="180"/>
      <c r="AL79" s="180" t="str">
        <f>VLOOKUP(AL75,'[80]Location Status'!$A$7:$D$178,3,0)</f>
        <v>DA+0</v>
      </c>
      <c r="AM79" s="180"/>
      <c r="AP79" s="180" t="str">
        <f>VLOOKUP(AP75,'[80]Location Status'!$A$7:$D$178,3,0)</f>
        <v>DA+0</v>
      </c>
      <c r="AQ79" s="180"/>
      <c r="AT79" s="145"/>
      <c r="AV79" s="254"/>
      <c r="AW79" s="254"/>
      <c r="BB79" s="184"/>
      <c r="BC79" s="184"/>
      <c r="BD79" s="185"/>
    </row>
    <row r="80" spans="1:56" x14ac:dyDescent="0.35">
      <c r="A80" s="144"/>
      <c r="AT80" s="145"/>
      <c r="AV80" s="254"/>
      <c r="AW80" s="254"/>
      <c r="BB80" s="184"/>
      <c r="BC80" s="184"/>
      <c r="BD80" s="185"/>
    </row>
    <row r="81" spans="1:56" x14ac:dyDescent="0.35">
      <c r="J81" s="188" t="s">
        <v>464</v>
      </c>
      <c r="K81" s="188"/>
      <c r="AT81" s="145"/>
      <c r="AV81" s="254"/>
      <c r="AW81" s="254"/>
      <c r="BB81" s="184"/>
      <c r="BC81" s="184"/>
      <c r="BD81" s="185"/>
    </row>
    <row r="82" spans="1:56" x14ac:dyDescent="0.35">
      <c r="A82" s="144"/>
      <c r="B82" s="265" t="str">
        <f>VLOOKUP(B84,'[80]Location Status'!$A$7:$D$178,2,0)</f>
        <v>13/3</v>
      </c>
      <c r="C82" s="266"/>
      <c r="F82" s="265" t="str">
        <f>VLOOKUP(F84,'[80]Location Status'!$A$7:$D$178,2,0)</f>
        <v>13/4</v>
      </c>
      <c r="G82" s="266"/>
      <c r="J82" s="265" t="str">
        <f>VLOOKUP(J84,'[80]Location Status'!$A$7:$D$178,2,0)</f>
        <v>13/5</v>
      </c>
      <c r="K82" s="266"/>
      <c r="N82" s="265" t="str">
        <f>VLOOKUP(N84,'[80]Location Status'!$A$7:$D$178,2,0)</f>
        <v>13/6</v>
      </c>
      <c r="O82" s="266"/>
      <c r="R82" s="265" t="str">
        <f>VLOOKUP(R84,'[80]Location Status'!$A$7:$D$178,2,0)</f>
        <v>14/0</v>
      </c>
      <c r="S82" s="266"/>
      <c r="V82" s="265" t="str">
        <f>VLOOKUP(V84,'[80]Location Status'!$A$7:$D$178,2,0)</f>
        <v>14/1</v>
      </c>
      <c r="W82" s="266"/>
      <c r="Z82" s="265" t="str">
        <f>VLOOKUP(Z84,'[80]Location Status'!$A$7:$D$178,2,0)</f>
        <v>14/2</v>
      </c>
      <c r="AA82" s="266"/>
      <c r="AD82" s="265" t="str">
        <f>VLOOKUP(AD84,'[80]Location Status'!$A$7:$D$178,2,0)</f>
        <v>14/3</v>
      </c>
      <c r="AE82" s="266"/>
      <c r="AH82" s="265" t="str">
        <f>VLOOKUP(AH84,'[80]Location Status'!$A$7:$D$178,2,0)</f>
        <v>14/4</v>
      </c>
      <c r="AI82" s="266"/>
      <c r="AL82" s="265" t="str">
        <f>VLOOKUP(AL84,'[80]Location Status'!$A$7:$D$178,2,0)</f>
        <v>14/5</v>
      </c>
      <c r="AM82" s="266"/>
      <c r="AP82" s="265" t="str">
        <f>VLOOKUP(AP84,'[80]Location Status'!$A$7:$D$178,2,0)</f>
        <v>14/6</v>
      </c>
      <c r="AQ82" s="266"/>
      <c r="AT82" s="145"/>
      <c r="AV82" s="254"/>
      <c r="AW82" s="254"/>
      <c r="BB82" s="183"/>
      <c r="BC82" s="184"/>
      <c r="BD82" s="185"/>
    </row>
    <row r="83" spans="1:56" x14ac:dyDescent="0.35">
      <c r="A83" s="144"/>
      <c r="AT83" s="145"/>
      <c r="AV83" s="254"/>
      <c r="AW83" s="254"/>
      <c r="BB83" s="184"/>
      <c r="BC83" s="184"/>
      <c r="BD83" s="185"/>
    </row>
    <row r="84" spans="1:56" s="175" customFormat="1" ht="12.5" x14ac:dyDescent="0.25">
      <c r="A84" s="174"/>
      <c r="B84" s="175">
        <f>1+AP75</f>
        <v>63</v>
      </c>
      <c r="F84" s="175">
        <f>1+B84</f>
        <v>64</v>
      </c>
      <c r="J84" s="175">
        <f>1+F84</f>
        <v>65</v>
      </c>
      <c r="N84" s="175">
        <f>1+J84</f>
        <v>66</v>
      </c>
      <c r="R84" s="175">
        <f>1+N84</f>
        <v>67</v>
      </c>
      <c r="V84" s="175">
        <f>1+R84</f>
        <v>68</v>
      </c>
      <c r="Z84" s="175">
        <f>1+V84</f>
        <v>69</v>
      </c>
      <c r="AD84" s="175">
        <f>1+Z84</f>
        <v>70</v>
      </c>
      <c r="AH84" s="175">
        <f>1+AD84</f>
        <v>71</v>
      </c>
      <c r="AL84" s="175">
        <f>1+AH84</f>
        <v>72</v>
      </c>
      <c r="AP84" s="175">
        <f>1+AL84</f>
        <v>73</v>
      </c>
      <c r="AT84" s="176"/>
      <c r="AV84" s="267"/>
      <c r="AW84" s="267"/>
    </row>
    <row r="85" spans="1:56" x14ac:dyDescent="0.35">
      <c r="A85" s="144"/>
      <c r="B85" s="181" t="s">
        <v>577</v>
      </c>
      <c r="C85" s="181" t="s">
        <v>578</v>
      </c>
      <c r="D85" s="265">
        <f>VLOOKUP(B84,'[80]Location Status'!$A$7:$D$178,4,0)</f>
        <v>374</v>
      </c>
      <c r="E85" s="266"/>
      <c r="F85" s="182" t="s">
        <v>577</v>
      </c>
      <c r="G85" s="182" t="s">
        <v>578</v>
      </c>
      <c r="H85" s="265">
        <f>VLOOKUP(F84,'[80]Location Status'!$A$7:$D$178,4,0)</f>
        <v>441</v>
      </c>
      <c r="I85" s="266"/>
      <c r="J85" s="182" t="s">
        <v>577</v>
      </c>
      <c r="K85" s="182" t="s">
        <v>578</v>
      </c>
      <c r="L85" s="265">
        <f>VLOOKUP(J84,'[80]Location Status'!$A$7:$D$178,4,0)</f>
        <v>376</v>
      </c>
      <c r="M85" s="266"/>
      <c r="N85" s="182" t="s">
        <v>577</v>
      </c>
      <c r="O85" s="182" t="s">
        <v>578</v>
      </c>
      <c r="P85" s="265">
        <f>VLOOKUP(N84,'[80]Location Status'!$A$7:$D$178,4,0)</f>
        <v>409.10300000000001</v>
      </c>
      <c r="Q85" s="266"/>
      <c r="R85" s="182" t="s">
        <v>577</v>
      </c>
      <c r="S85" s="182" t="s">
        <v>578</v>
      </c>
      <c r="T85" s="265">
        <f>VLOOKUP(R84,'[80]Location Status'!$A$7:$D$178,4,0)</f>
        <v>387.99700000000001</v>
      </c>
      <c r="U85" s="266"/>
      <c r="V85" s="178" t="s">
        <v>577</v>
      </c>
      <c r="W85" s="178" t="s">
        <v>578</v>
      </c>
      <c r="X85" s="265">
        <f>VLOOKUP(V84,'[80]Location Status'!$A$7:$D$178,4,0)</f>
        <v>393</v>
      </c>
      <c r="Y85" s="266"/>
      <c r="Z85" s="182" t="s">
        <v>577</v>
      </c>
      <c r="AA85" s="182" t="s">
        <v>578</v>
      </c>
      <c r="AB85" s="265">
        <f>VLOOKUP(Z84,'[80]Location Status'!$A$7:$D$178,4,0)</f>
        <v>399</v>
      </c>
      <c r="AC85" s="266"/>
      <c r="AD85" s="182" t="s">
        <v>577</v>
      </c>
      <c r="AE85" s="182" t="s">
        <v>578</v>
      </c>
      <c r="AF85" s="262">
        <f>VLOOKUP(AD84,'[80]Location Status'!$A$7:$D$178,4,0)</f>
        <v>395</v>
      </c>
      <c r="AG85" s="263"/>
      <c r="AH85" s="182" t="s">
        <v>577</v>
      </c>
      <c r="AI85" s="182" t="s">
        <v>578</v>
      </c>
      <c r="AJ85" s="265">
        <f>VLOOKUP(AH84,'[80]Location Status'!$A$7:$D$178,4,0)</f>
        <v>395</v>
      </c>
      <c r="AK85" s="266"/>
      <c r="AL85" s="182" t="s">
        <v>577</v>
      </c>
      <c r="AM85" s="182" t="s">
        <v>578</v>
      </c>
      <c r="AN85" s="265">
        <f>VLOOKUP(AL84,'[80]Location Status'!$A$7:$D$178,4,0)</f>
        <v>417</v>
      </c>
      <c r="AO85" s="266"/>
      <c r="AP85" s="182" t="s">
        <v>577</v>
      </c>
      <c r="AQ85" s="182" t="s">
        <v>578</v>
      </c>
      <c r="AR85" s="265">
        <f>VLOOKUP(AP84,'[80]Location Status'!$A$7:$D$178,4,0)</f>
        <v>415</v>
      </c>
      <c r="AS85" s="266"/>
      <c r="AT85" s="145"/>
      <c r="AV85" s="254">
        <f>D85+H85+L85+P85+T85+X85+AB85+AF85+AJ85+AN85+AR85</f>
        <v>4402.1000000000004</v>
      </c>
      <c r="AW85" s="254"/>
      <c r="AY85">
        <v>11</v>
      </c>
      <c r="BB85" s="184"/>
      <c r="BC85" s="184"/>
      <c r="BD85" s="185"/>
    </row>
    <row r="86" spans="1:56" x14ac:dyDescent="0.35">
      <c r="A86" s="144"/>
      <c r="B86" s="157" t="s">
        <v>581</v>
      </c>
      <c r="C86" s="157" t="s">
        <v>582</v>
      </c>
      <c r="F86" s="156" t="s">
        <v>581</v>
      </c>
      <c r="G86" s="156" t="s">
        <v>582</v>
      </c>
      <c r="J86" s="156" t="s">
        <v>581</v>
      </c>
      <c r="K86" s="156" t="s">
        <v>582</v>
      </c>
      <c r="N86" s="156" t="s">
        <v>581</v>
      </c>
      <c r="O86" s="156" t="s">
        <v>582</v>
      </c>
      <c r="R86" s="156" t="s">
        <v>581</v>
      </c>
      <c r="S86" s="156" t="s">
        <v>582</v>
      </c>
      <c r="V86" s="71" t="s">
        <v>581</v>
      </c>
      <c r="W86" s="71" t="s">
        <v>582</v>
      </c>
      <c r="Z86" s="156" t="s">
        <v>581</v>
      </c>
      <c r="AA86" s="156" t="s">
        <v>582</v>
      </c>
      <c r="AD86" s="156" t="s">
        <v>581</v>
      </c>
      <c r="AE86" s="156" t="s">
        <v>582</v>
      </c>
      <c r="AH86" s="156" t="s">
        <v>581</v>
      </c>
      <c r="AI86" s="156" t="s">
        <v>582</v>
      </c>
      <c r="AL86" s="156" t="s">
        <v>581</v>
      </c>
      <c r="AM86" s="156" t="s">
        <v>582</v>
      </c>
      <c r="AP86" s="156" t="s">
        <v>581</v>
      </c>
      <c r="AQ86" s="156" t="s">
        <v>582</v>
      </c>
      <c r="AT86" s="145"/>
      <c r="AV86" s="254"/>
      <c r="AW86" s="254"/>
      <c r="BB86" s="184"/>
      <c r="BC86" s="184"/>
      <c r="BD86" s="185"/>
    </row>
    <row r="87" spans="1:56" x14ac:dyDescent="0.35">
      <c r="A87" s="144"/>
      <c r="B87" s="246"/>
      <c r="C87" s="246"/>
      <c r="F87" s="268" t="s">
        <v>441</v>
      </c>
      <c r="G87" s="269"/>
      <c r="J87" s="259" t="s">
        <v>441</v>
      </c>
      <c r="K87" s="259"/>
      <c r="N87" s="259" t="s">
        <v>441</v>
      </c>
      <c r="O87" s="259"/>
      <c r="R87" s="259" t="s">
        <v>441</v>
      </c>
      <c r="S87" s="259"/>
      <c r="V87" s="246"/>
      <c r="W87" s="246"/>
      <c r="Z87" s="259" t="s">
        <v>441</v>
      </c>
      <c r="AA87" s="259"/>
      <c r="AD87" s="260" t="s">
        <v>596</v>
      </c>
      <c r="AE87" s="261"/>
      <c r="AH87" s="259" t="s">
        <v>441</v>
      </c>
      <c r="AI87" s="259"/>
      <c r="AL87" s="259" t="s">
        <v>441</v>
      </c>
      <c r="AM87" s="259"/>
      <c r="AP87" s="259" t="s">
        <v>441</v>
      </c>
      <c r="AQ87" s="259"/>
      <c r="AT87" s="145"/>
      <c r="AV87" s="254"/>
      <c r="AW87" s="254"/>
      <c r="BB87" s="184"/>
      <c r="BC87" s="184"/>
      <c r="BD87" s="185"/>
    </row>
    <row r="88" spans="1:56" x14ac:dyDescent="0.35">
      <c r="A88" s="144"/>
      <c r="B88" s="180" t="str">
        <f>VLOOKUP(B84,'[80]Location Status'!$A$7:$D$178,3,0)</f>
        <v>DA+0</v>
      </c>
      <c r="C88" s="180"/>
      <c r="F88" s="180" t="str">
        <f>VLOOKUP(F84,'[80]Location Status'!$A$7:$D$178,3,0)</f>
        <v>DA+3</v>
      </c>
      <c r="G88" s="180"/>
      <c r="J88" s="180" t="str">
        <f>VLOOKUP(J84,'[80]Location Status'!$A$7:$D$178,3,0)</f>
        <v>DA+3</v>
      </c>
      <c r="K88" s="180"/>
      <c r="N88" s="180" t="str">
        <f>VLOOKUP(N84,'[80]Location Status'!$A$7:$D$178,3,0)</f>
        <v>DA+3</v>
      </c>
      <c r="O88" s="180"/>
      <c r="R88" s="180" t="str">
        <f>VLOOKUP(R84,'[80]Location Status'!$A$7:$D$178,3,0)</f>
        <v>DD45+0</v>
      </c>
      <c r="S88" s="180"/>
      <c r="V88" s="180" t="str">
        <f>VLOOKUP(V84,'[80]Location Status'!$A$7:$D$178,3,0)</f>
        <v>DA+0</v>
      </c>
      <c r="W88" s="180"/>
      <c r="Z88" s="180" t="str">
        <f>VLOOKUP(Z84,'[80]Location Status'!$A$7:$D$178,3,0)</f>
        <v>DA+0</v>
      </c>
      <c r="AA88" s="180"/>
      <c r="AD88" s="180" t="str">
        <f>VLOOKUP(AD84,'[80]Location Status'!$A$7:$D$178,3,0)</f>
        <v>DA+0</v>
      </c>
      <c r="AE88" s="180"/>
      <c r="AH88" s="180" t="str">
        <f>VLOOKUP(AH84,'[80]Location Status'!$A$7:$D$178,3,0)</f>
        <v>DA+0</v>
      </c>
      <c r="AI88" s="180"/>
      <c r="AL88" s="180" t="str">
        <f>VLOOKUP(AL84,'[80]Location Status'!$A$7:$D$178,3,0)</f>
        <v>DA+3</v>
      </c>
      <c r="AM88" s="180"/>
      <c r="AP88" s="180" t="str">
        <f>VLOOKUP(AP84,'[80]Location Status'!$A$7:$D$178,3,0)</f>
        <v>DA+0</v>
      </c>
      <c r="AQ88" s="180"/>
      <c r="AT88" s="145"/>
      <c r="AV88" s="254"/>
      <c r="AW88" s="254"/>
      <c r="BB88" s="184"/>
      <c r="BC88" s="184"/>
      <c r="BD88" s="185"/>
    </row>
    <row r="89" spans="1:56" x14ac:dyDescent="0.35">
      <c r="A89" s="144"/>
      <c r="AT89" s="145"/>
      <c r="AV89" s="254"/>
      <c r="AW89" s="254"/>
      <c r="BB89" s="184"/>
      <c r="BC89" s="184"/>
      <c r="BD89" s="185"/>
    </row>
    <row r="90" spans="1:56" x14ac:dyDescent="0.35">
      <c r="A90" s="144"/>
      <c r="B90" s="265" t="str">
        <f>VLOOKUP(B92,'[80]Location Status'!$A$7:$D$178,2,0)</f>
        <v>14/7</v>
      </c>
      <c r="C90" s="266"/>
      <c r="F90" s="265" t="str">
        <f>VLOOKUP(F92,'[80]Location Status'!$A$7:$D$178,2,0)</f>
        <v>15/0</v>
      </c>
      <c r="G90" s="266"/>
      <c r="J90" s="265" t="str">
        <f>VLOOKUP(J92,'[80]Location Status'!$A$7:$D$178,2,0)</f>
        <v>15/1</v>
      </c>
      <c r="K90" s="266"/>
      <c r="N90" s="265" t="str">
        <f>VLOOKUP(N92,'[80]Location Status'!$A$7:$D$178,2,0)</f>
        <v>15/2</v>
      </c>
      <c r="O90" s="266"/>
      <c r="R90" s="265" t="str">
        <f>VLOOKUP(R92,'[80]Location Status'!$A$7:$D$178,2,0)</f>
        <v>15/3</v>
      </c>
      <c r="S90" s="266"/>
      <c r="V90" s="265" t="str">
        <f>VLOOKUP(V92,'[80]Location Status'!$A$7:$D$178,2,0)</f>
        <v>15/4</v>
      </c>
      <c r="W90" s="266"/>
      <c r="Z90" s="265" t="str">
        <f>VLOOKUP(Z92,'[80]Location Status'!$A$7:$D$178,2,0)</f>
        <v>15/5</v>
      </c>
      <c r="AA90" s="266"/>
      <c r="AD90" s="265" t="str">
        <f>VLOOKUP(AD92,'[80]Location Status'!$A$7:$D$178,2,0)</f>
        <v>15/6</v>
      </c>
      <c r="AE90" s="266"/>
      <c r="AH90" s="265" t="str">
        <f>VLOOKUP(AH92,'[80]Location Status'!$A$7:$D$178,2,0)</f>
        <v>15/7</v>
      </c>
      <c r="AI90" s="266"/>
      <c r="AL90" s="265" t="str">
        <f>VLOOKUP(AL92,'[80]Location Status'!$A$7:$D$178,2,0)</f>
        <v>16/0</v>
      </c>
      <c r="AM90" s="266"/>
      <c r="AP90" s="265" t="str">
        <f>VLOOKUP(AP92,'[80]Location Status'!$A$7:$D$178,2,0)</f>
        <v>16/1</v>
      </c>
      <c r="AQ90" s="266"/>
      <c r="AT90" s="145"/>
      <c r="AV90" s="254"/>
      <c r="AW90" s="254"/>
      <c r="BB90" s="183"/>
      <c r="BC90" s="184"/>
      <c r="BD90" s="185"/>
    </row>
    <row r="91" spans="1:56" x14ac:dyDescent="0.35">
      <c r="A91" s="144"/>
      <c r="AT91" s="145"/>
      <c r="AV91" s="254"/>
      <c r="AW91" s="254"/>
      <c r="BB91" s="184"/>
      <c r="BC91" s="184"/>
      <c r="BD91" s="185"/>
    </row>
    <row r="92" spans="1:56" s="175" customFormat="1" ht="12.5" x14ac:dyDescent="0.25">
      <c r="A92" s="174"/>
      <c r="B92" s="175">
        <f>1+AP84</f>
        <v>74</v>
      </c>
      <c r="F92" s="175">
        <f>1+B92</f>
        <v>75</v>
      </c>
      <c r="J92" s="175">
        <f>1+F92</f>
        <v>76</v>
      </c>
      <c r="N92" s="175">
        <f>1+J92</f>
        <v>77</v>
      </c>
      <c r="R92" s="175">
        <f>1+N92</f>
        <v>78</v>
      </c>
      <c r="V92" s="175">
        <f>1+R92</f>
        <v>79</v>
      </c>
      <c r="Z92" s="175">
        <f>1+V92</f>
        <v>80</v>
      </c>
      <c r="AD92" s="175">
        <f>1+Z92</f>
        <v>81</v>
      </c>
      <c r="AH92" s="175">
        <f>1+AD92</f>
        <v>82</v>
      </c>
      <c r="AL92" s="175">
        <f>1+AH92</f>
        <v>83</v>
      </c>
      <c r="AP92" s="175">
        <f>1+AL92</f>
        <v>84</v>
      </c>
      <c r="AT92" s="176"/>
      <c r="AV92" s="267"/>
      <c r="AW92" s="267"/>
    </row>
    <row r="93" spans="1:56" x14ac:dyDescent="0.35">
      <c r="A93" s="144"/>
      <c r="B93" s="182" t="s">
        <v>577</v>
      </c>
      <c r="C93" s="182" t="s">
        <v>578</v>
      </c>
      <c r="D93" s="265">
        <f>VLOOKUP(B92,'[80]Location Status'!$A$7:$D$178,4,0)</f>
        <v>417.392</v>
      </c>
      <c r="E93" s="266"/>
      <c r="F93" s="182" t="s">
        <v>577</v>
      </c>
      <c r="G93" s="182" t="s">
        <v>578</v>
      </c>
      <c r="H93" s="265">
        <f>VLOOKUP(F92,'[80]Location Status'!$A$7:$D$178,4,0)</f>
        <v>482</v>
      </c>
      <c r="I93" s="266"/>
      <c r="J93" s="182" t="s">
        <v>577</v>
      </c>
      <c r="K93" s="182" t="s">
        <v>578</v>
      </c>
      <c r="L93" s="265">
        <f>VLOOKUP(J92,'[80]Location Status'!$A$7:$D$178,4,0)</f>
        <v>357</v>
      </c>
      <c r="M93" s="266"/>
      <c r="N93" s="182" t="s">
        <v>577</v>
      </c>
      <c r="O93" s="182" t="s">
        <v>578</v>
      </c>
      <c r="P93" s="265">
        <f>VLOOKUP(N92,'[80]Location Status'!$A$7:$D$178,4,0)</f>
        <v>401</v>
      </c>
      <c r="Q93" s="266"/>
      <c r="R93" s="182" t="s">
        <v>577</v>
      </c>
      <c r="S93" s="182" t="s">
        <v>578</v>
      </c>
      <c r="T93" s="262">
        <f>VLOOKUP(R92,'[80]Location Status'!$A$7:$D$178,4,0)</f>
        <v>413</v>
      </c>
      <c r="U93" s="263"/>
      <c r="V93" s="182" t="s">
        <v>577</v>
      </c>
      <c r="W93" s="182" t="s">
        <v>578</v>
      </c>
      <c r="X93" s="265">
        <f>VLOOKUP(V92,'[80]Location Status'!$A$7:$D$178,4,0)</f>
        <v>380</v>
      </c>
      <c r="Y93" s="266"/>
      <c r="Z93" s="182" t="s">
        <v>577</v>
      </c>
      <c r="AA93" s="182" t="s">
        <v>578</v>
      </c>
      <c r="AB93" s="265">
        <f>VLOOKUP(Z92,'[80]Location Status'!$A$7:$D$178,4,0)</f>
        <v>364</v>
      </c>
      <c r="AC93" s="266"/>
      <c r="AD93" s="182" t="s">
        <v>577</v>
      </c>
      <c r="AE93" s="182" t="s">
        <v>578</v>
      </c>
      <c r="AF93" s="265">
        <f>VLOOKUP(AD92,'[80]Location Status'!$A$7:$D$178,4,0)</f>
        <v>443</v>
      </c>
      <c r="AG93" s="266"/>
      <c r="AH93" s="182" t="s">
        <v>577</v>
      </c>
      <c r="AI93" s="182" t="s">
        <v>578</v>
      </c>
      <c r="AJ93" s="262">
        <f>VLOOKUP(AH92,'[80]Location Status'!$A$7:$D$178,4,0)</f>
        <v>389.72500000000002</v>
      </c>
      <c r="AK93" s="263"/>
      <c r="AL93" s="182" t="s">
        <v>577</v>
      </c>
      <c r="AM93" s="182" t="s">
        <v>578</v>
      </c>
      <c r="AN93" s="265">
        <f>VLOOKUP(AL92,'[80]Location Status'!$A$7:$D$178,4,0)</f>
        <v>439.99599999999998</v>
      </c>
      <c r="AO93" s="266"/>
      <c r="AP93" s="182" t="s">
        <v>577</v>
      </c>
      <c r="AQ93" s="182" t="s">
        <v>578</v>
      </c>
      <c r="AR93" s="265">
        <f>VLOOKUP(AP92,'[80]Location Status'!$A$7:$D$178,4,0)</f>
        <v>398</v>
      </c>
      <c r="AS93" s="266"/>
      <c r="AT93" s="145"/>
      <c r="AV93" s="254">
        <f>D93+H93+L93+P93+T93+X93+AB93+AF93+AJ93+AN93+AR93</f>
        <v>4485.1129999999994</v>
      </c>
      <c r="AW93" s="254"/>
      <c r="AY93">
        <v>11</v>
      </c>
      <c r="BB93" s="175"/>
      <c r="BC93" s="175"/>
      <c r="BD93" s="175"/>
    </row>
    <row r="94" spans="1:56" x14ac:dyDescent="0.35">
      <c r="A94" s="144"/>
      <c r="B94" s="156" t="s">
        <v>581</v>
      </c>
      <c r="C94" s="156" t="s">
        <v>582</v>
      </c>
      <c r="F94" s="156" t="s">
        <v>581</v>
      </c>
      <c r="G94" s="156" t="s">
        <v>582</v>
      </c>
      <c r="J94" s="156" t="s">
        <v>581</v>
      </c>
      <c r="K94" s="156" t="s">
        <v>582</v>
      </c>
      <c r="N94" s="156" t="s">
        <v>581</v>
      </c>
      <c r="O94" s="156" t="s">
        <v>582</v>
      </c>
      <c r="R94" s="156" t="s">
        <v>581</v>
      </c>
      <c r="S94" s="156" t="s">
        <v>582</v>
      </c>
      <c r="V94" s="156" t="s">
        <v>581</v>
      </c>
      <c r="W94" s="156" t="s">
        <v>582</v>
      </c>
      <c r="Z94" s="156" t="s">
        <v>581</v>
      </c>
      <c r="AA94" s="156" t="s">
        <v>582</v>
      </c>
      <c r="AD94" s="156" t="s">
        <v>581</v>
      </c>
      <c r="AE94" s="156" t="s">
        <v>582</v>
      </c>
      <c r="AH94" s="156" t="s">
        <v>581</v>
      </c>
      <c r="AI94" s="156" t="s">
        <v>582</v>
      </c>
      <c r="AL94" s="156" t="s">
        <v>581</v>
      </c>
      <c r="AM94" s="156" t="s">
        <v>582</v>
      </c>
      <c r="AP94" s="156" t="s">
        <v>581</v>
      </c>
      <c r="AQ94" s="156" t="s">
        <v>582</v>
      </c>
      <c r="AT94" s="145"/>
      <c r="AV94" s="254"/>
      <c r="AW94" s="254"/>
      <c r="BB94" s="175"/>
      <c r="BC94" s="175"/>
      <c r="BD94" s="175"/>
    </row>
    <row r="95" spans="1:56" x14ac:dyDescent="0.35">
      <c r="A95" s="144"/>
      <c r="B95" s="259" t="s">
        <v>441</v>
      </c>
      <c r="C95" s="259"/>
      <c r="F95" s="259" t="s">
        <v>441</v>
      </c>
      <c r="G95" s="259"/>
      <c r="J95" s="260" t="s">
        <v>596</v>
      </c>
      <c r="K95" s="261"/>
      <c r="N95" s="259" t="s">
        <v>441</v>
      </c>
      <c r="O95" s="259"/>
      <c r="R95" s="259" t="s">
        <v>441</v>
      </c>
      <c r="S95" s="259"/>
      <c r="V95" s="259" t="s">
        <v>441</v>
      </c>
      <c r="W95" s="259"/>
      <c r="Z95" s="259" t="s">
        <v>441</v>
      </c>
      <c r="AA95" s="259"/>
      <c r="AD95" s="259" t="s">
        <v>441</v>
      </c>
      <c r="AE95" s="259"/>
      <c r="AH95" s="259" t="s">
        <v>441</v>
      </c>
      <c r="AI95" s="259"/>
      <c r="AL95" s="259" t="s">
        <v>441</v>
      </c>
      <c r="AM95" s="259"/>
      <c r="AP95" s="259" t="s">
        <v>441</v>
      </c>
      <c r="AQ95" s="259"/>
      <c r="AT95" s="145"/>
      <c r="AV95" s="254"/>
      <c r="AW95" s="254"/>
      <c r="BB95" s="175"/>
      <c r="BC95" s="175"/>
      <c r="BD95" s="175"/>
    </row>
    <row r="96" spans="1:56" x14ac:dyDescent="0.35">
      <c r="A96" s="144"/>
      <c r="B96" s="180" t="str">
        <f>VLOOKUP(B92,'[80]Location Status'!$A$7:$D$178,3,0)</f>
        <v>DA+3</v>
      </c>
      <c r="C96" s="180"/>
      <c r="F96" s="180" t="str">
        <f>VLOOKUP(F92,'[80]Location Status'!$A$7:$D$178,3,0)</f>
        <v>DB1+9</v>
      </c>
      <c r="G96" s="180"/>
      <c r="J96" s="180" t="str">
        <f>VLOOKUP(J92,'[80]Location Status'!$A$7:$D$178,3,0)</f>
        <v>DA+9</v>
      </c>
      <c r="K96" s="180"/>
      <c r="N96" s="180" t="str">
        <f>VLOOKUP(N92,'[80]Location Status'!$A$7:$D$178,3,0)</f>
        <v>DA+3</v>
      </c>
      <c r="O96" s="180"/>
      <c r="R96" s="180" t="str">
        <f>VLOOKUP(R92,'[80]Location Status'!$A$7:$D$178,3,0)</f>
        <v>DA+0</v>
      </c>
      <c r="S96" s="180"/>
      <c r="V96" s="180" t="str">
        <f>VLOOKUP(V92,'[80]Location Status'!$A$7:$D$178,3,0)</f>
        <v>DA+3</v>
      </c>
      <c r="W96" s="180"/>
      <c r="Z96" s="180" t="str">
        <f>VLOOKUP(Z92,'[80]Location Status'!$A$7:$D$178,3,0)</f>
        <v>DA-3</v>
      </c>
      <c r="AA96" s="180"/>
      <c r="AD96" s="180" t="str">
        <f>VLOOKUP(AD92,'[80]Location Status'!$A$7:$D$178,3,0)</f>
        <v>DA+3</v>
      </c>
      <c r="AE96" s="180"/>
      <c r="AH96" s="180" t="str">
        <f>VLOOKUP(AH92,'[80]Location Status'!$A$7:$D$178,3,0)</f>
        <v>DA+6</v>
      </c>
      <c r="AI96" s="180"/>
      <c r="AL96" s="180" t="str">
        <f>VLOOKUP(AL92,'[80]Location Status'!$A$7:$D$178,3,0)</f>
        <v>DB2+3</v>
      </c>
      <c r="AM96" s="180"/>
      <c r="AP96" s="180" t="str">
        <f>VLOOKUP(AP92,'[80]Location Status'!$A$7:$D$178,3,0)</f>
        <v>DA+6</v>
      </c>
      <c r="AQ96" s="180"/>
      <c r="AT96" s="145"/>
      <c r="AV96" s="254"/>
      <c r="AW96" s="254"/>
      <c r="BB96" s="175"/>
      <c r="BC96" s="175"/>
      <c r="BD96" s="175"/>
    </row>
    <row r="97" spans="1:56" x14ac:dyDescent="0.35">
      <c r="A97" s="144"/>
      <c r="B97" s="158"/>
      <c r="C97" s="158"/>
      <c r="F97" s="158"/>
      <c r="G97" s="158"/>
      <c r="J97" s="158"/>
      <c r="K97" s="158"/>
      <c r="N97" s="158"/>
      <c r="O97" s="158"/>
      <c r="R97" s="158"/>
      <c r="S97" s="187"/>
      <c r="V97" s="158"/>
      <c r="W97" s="158"/>
      <c r="Z97" s="158"/>
      <c r="AA97" s="158"/>
      <c r="AD97" s="158"/>
      <c r="AE97" s="158"/>
      <c r="AH97" s="158"/>
      <c r="AI97" s="158"/>
      <c r="AL97" s="158"/>
      <c r="AM97" s="158"/>
      <c r="AP97" s="158"/>
      <c r="AQ97" s="158"/>
      <c r="AT97" s="145"/>
      <c r="AV97" s="254"/>
      <c r="AW97" s="254"/>
      <c r="BB97" s="175"/>
      <c r="BC97" s="175"/>
      <c r="BD97" s="175"/>
    </row>
    <row r="98" spans="1:56" x14ac:dyDescent="0.35">
      <c r="A98" s="144"/>
      <c r="B98" s="265" t="str">
        <f>VLOOKUP(B100,'[80]Location Status'!$A$7:$D$178,2,0)</f>
        <v>16/2</v>
      </c>
      <c r="C98" s="266"/>
      <c r="F98" s="265" t="str">
        <f>VLOOKUP(F100,'[80]Location Status'!$A$7:$D$178,2,0)</f>
        <v>16/3</v>
      </c>
      <c r="G98" s="266"/>
      <c r="J98" s="265" t="str">
        <f>VLOOKUP(J100,'[80]Location Status'!$A$7:$D$178,2,0)</f>
        <v>16/4</v>
      </c>
      <c r="K98" s="266"/>
      <c r="N98" s="265" t="str">
        <f>VLOOKUP(N100,'[80]Location Status'!$A$7:$D$178,2,0)</f>
        <v>16/5</v>
      </c>
      <c r="O98" s="266"/>
      <c r="R98" s="265" t="str">
        <f>VLOOKUP(R100,'[80]Location Status'!$A$7:$D$178,2,0)</f>
        <v>16/6</v>
      </c>
      <c r="S98" s="266"/>
      <c r="V98" s="265" t="str">
        <f>VLOOKUP(V100,'[80]Location Status'!$A$7:$D$178,2,0)</f>
        <v>17/0</v>
      </c>
      <c r="W98" s="266"/>
      <c r="Z98" s="265" t="str">
        <f>VLOOKUP(Z100,'[80]Location Status'!$A$7:$D$178,2,0)</f>
        <v>17/1</v>
      </c>
      <c r="AA98" s="266"/>
      <c r="AD98" s="265" t="str">
        <f>VLOOKUP(AD100,'[80]Location Status'!$A$7:$D$178,2,0)</f>
        <v>17/2</v>
      </c>
      <c r="AE98" s="266"/>
      <c r="AH98" s="265" t="str">
        <f>VLOOKUP(AH100,'[80]Location Status'!$A$7:$D$178,2,0)</f>
        <v>17/3</v>
      </c>
      <c r="AI98" s="266"/>
      <c r="AL98" s="265" t="str">
        <f>VLOOKUP(AL100,'[80]Location Status'!$A$7:$D$178,2,0)</f>
        <v>17/4</v>
      </c>
      <c r="AM98" s="266"/>
      <c r="AP98" s="265" t="str">
        <f>VLOOKUP(AP100,'[80]Location Status'!$A$7:$D$178,2,0)</f>
        <v>17/5</v>
      </c>
      <c r="AQ98" s="266"/>
      <c r="AT98" s="145"/>
      <c r="AV98" s="254"/>
      <c r="AW98" s="254"/>
      <c r="BB98" s="175"/>
      <c r="BC98" s="175"/>
      <c r="BD98" s="175"/>
    </row>
    <row r="99" spans="1:56" x14ac:dyDescent="0.35">
      <c r="A99" s="144"/>
      <c r="AT99" s="145"/>
      <c r="AV99" s="254"/>
      <c r="AW99" s="254"/>
      <c r="BB99" s="175"/>
      <c r="BC99" s="175"/>
      <c r="BD99" s="175"/>
    </row>
    <row r="100" spans="1:56" s="175" customFormat="1" ht="12.5" x14ac:dyDescent="0.25">
      <c r="A100" s="174"/>
      <c r="B100" s="175">
        <f>1+AP92</f>
        <v>85</v>
      </c>
      <c r="F100" s="175">
        <f>1+B100</f>
        <v>86</v>
      </c>
      <c r="J100" s="175">
        <f>1+F100</f>
        <v>87</v>
      </c>
      <c r="N100" s="175">
        <f>1+J100</f>
        <v>88</v>
      </c>
      <c r="R100" s="175">
        <f>1+N100</f>
        <v>89</v>
      </c>
      <c r="V100" s="175">
        <f>1+R100</f>
        <v>90</v>
      </c>
      <c r="Z100" s="175">
        <f>1+V100</f>
        <v>91</v>
      </c>
      <c r="AD100" s="175">
        <f>1+Z100</f>
        <v>92</v>
      </c>
      <c r="AH100" s="175">
        <f>1+AD100</f>
        <v>93</v>
      </c>
      <c r="AL100" s="175">
        <f>1+AH100</f>
        <v>94</v>
      </c>
      <c r="AP100" s="175">
        <f>1+AL100</f>
        <v>95</v>
      </c>
      <c r="AT100" s="176"/>
      <c r="AV100" s="267"/>
      <c r="AW100" s="267"/>
    </row>
    <row r="101" spans="1:56" x14ac:dyDescent="0.35">
      <c r="A101" s="144"/>
      <c r="B101" s="182" t="s">
        <v>577</v>
      </c>
      <c r="C101" s="182" t="s">
        <v>578</v>
      </c>
      <c r="D101" s="262">
        <f>VLOOKUP(B100,'[80]Location Status'!$A$7:$D$178,4,0)</f>
        <v>408</v>
      </c>
      <c r="E101" s="263"/>
      <c r="F101" s="182" t="s">
        <v>577</v>
      </c>
      <c r="G101" s="182" t="s">
        <v>578</v>
      </c>
      <c r="H101" s="265">
        <f>VLOOKUP(F100,'[80]Location Status'!$A$7:$D$178,4,0)</f>
        <v>481</v>
      </c>
      <c r="I101" s="266"/>
      <c r="J101" s="182" t="s">
        <v>577</v>
      </c>
      <c r="K101" s="182" t="s">
        <v>578</v>
      </c>
      <c r="L101" s="265">
        <f>VLOOKUP(J100,'[80]Location Status'!$A$7:$D$178,4,0)</f>
        <v>346</v>
      </c>
      <c r="M101" s="266"/>
      <c r="N101" s="182" t="s">
        <v>577</v>
      </c>
      <c r="O101" s="182" t="s">
        <v>578</v>
      </c>
      <c r="P101" s="265">
        <f>VLOOKUP(N100,'[80]Location Status'!$A$7:$D$178,4,0)</f>
        <v>291</v>
      </c>
      <c r="Q101" s="266"/>
      <c r="R101" s="182" t="s">
        <v>577</v>
      </c>
      <c r="S101" s="182" t="s">
        <v>578</v>
      </c>
      <c r="T101" s="262">
        <f>VLOOKUP(R100,'[80]Location Status'!$A$7:$D$178,4,0)</f>
        <v>348.60399999999998</v>
      </c>
      <c r="U101" s="263"/>
      <c r="V101" s="182" t="s">
        <v>577</v>
      </c>
      <c r="W101" s="182" t="s">
        <v>578</v>
      </c>
      <c r="X101" s="265">
        <f>VLOOKUP(V100,'[80]Location Status'!$A$7:$D$178,4,0)</f>
        <v>399.99599999999998</v>
      </c>
      <c r="Y101" s="266"/>
      <c r="Z101" s="182" t="s">
        <v>577</v>
      </c>
      <c r="AA101" s="182" t="s">
        <v>578</v>
      </c>
      <c r="AB101" s="265">
        <f>VLOOKUP(Z100,'[80]Location Status'!$A$7:$D$178,4,0)</f>
        <v>408</v>
      </c>
      <c r="AC101" s="266"/>
      <c r="AD101" s="182" t="s">
        <v>577</v>
      </c>
      <c r="AE101" s="182" t="s">
        <v>578</v>
      </c>
      <c r="AF101" s="265">
        <f>VLOOKUP(AD100,'[80]Location Status'!$A$7:$D$178,4,0)</f>
        <v>418</v>
      </c>
      <c r="AG101" s="266"/>
      <c r="AH101" s="182" t="s">
        <v>577</v>
      </c>
      <c r="AI101" s="182" t="s">
        <v>578</v>
      </c>
      <c r="AJ101" s="265">
        <f>VLOOKUP(AH100,'[80]Location Status'!$A$7:$D$178,4,0)</f>
        <v>421</v>
      </c>
      <c r="AK101" s="266"/>
      <c r="AL101" s="182" t="s">
        <v>577</v>
      </c>
      <c r="AM101" s="182" t="s">
        <v>578</v>
      </c>
      <c r="AN101" s="265">
        <f>VLOOKUP(AL100,'[80]Location Status'!$A$7:$D$178,4,0)</f>
        <v>503</v>
      </c>
      <c r="AO101" s="266"/>
      <c r="AP101" s="182" t="s">
        <v>577</v>
      </c>
      <c r="AQ101" s="182" t="s">
        <v>578</v>
      </c>
      <c r="AR101" s="262">
        <f>VLOOKUP(AP100,'[80]Location Status'!$A$7:$D$178,4,0)</f>
        <v>321</v>
      </c>
      <c r="AS101" s="263"/>
      <c r="AT101" s="145"/>
      <c r="AV101" s="254">
        <f>D101+H101+L101+P101+T101+X101+AB101+AF101+AJ101+AN101+AR101</f>
        <v>4345.6000000000004</v>
      </c>
      <c r="AW101" s="254"/>
      <c r="AY101">
        <v>11</v>
      </c>
      <c r="BB101" s="175"/>
      <c r="BC101" s="175"/>
      <c r="BD101" s="175"/>
    </row>
    <row r="102" spans="1:56" x14ac:dyDescent="0.35">
      <c r="A102" s="144"/>
      <c r="B102" s="156" t="s">
        <v>581</v>
      </c>
      <c r="C102" s="156" t="s">
        <v>582</v>
      </c>
      <c r="F102" s="156" t="s">
        <v>581</v>
      </c>
      <c r="G102" s="156" t="s">
        <v>582</v>
      </c>
      <c r="J102" s="156" t="s">
        <v>581</v>
      </c>
      <c r="K102" s="156" t="s">
        <v>582</v>
      </c>
      <c r="N102" s="156" t="s">
        <v>581</v>
      </c>
      <c r="O102" s="156" t="s">
        <v>582</v>
      </c>
      <c r="R102" s="156" t="s">
        <v>581</v>
      </c>
      <c r="S102" s="156" t="s">
        <v>582</v>
      </c>
      <c r="V102" s="156" t="s">
        <v>581</v>
      </c>
      <c r="W102" s="156" t="s">
        <v>582</v>
      </c>
      <c r="Z102" s="156" t="s">
        <v>581</v>
      </c>
      <c r="AA102" s="156" t="s">
        <v>582</v>
      </c>
      <c r="AD102" s="156" t="s">
        <v>581</v>
      </c>
      <c r="AE102" s="156" t="s">
        <v>582</v>
      </c>
      <c r="AH102" s="156" t="s">
        <v>581</v>
      </c>
      <c r="AI102" s="156" t="s">
        <v>582</v>
      </c>
      <c r="AL102" s="156" t="s">
        <v>581</v>
      </c>
      <c r="AM102" s="156" t="s">
        <v>582</v>
      </c>
      <c r="AP102" s="156" t="s">
        <v>581</v>
      </c>
      <c r="AQ102" s="156" t="s">
        <v>582</v>
      </c>
      <c r="AT102" s="145"/>
      <c r="AV102" s="254"/>
      <c r="AW102" s="254"/>
      <c r="BB102" s="175"/>
      <c r="BC102" s="175"/>
      <c r="BD102" s="175"/>
    </row>
    <row r="103" spans="1:56" x14ac:dyDescent="0.35">
      <c r="A103" s="144"/>
      <c r="B103" s="259" t="s">
        <v>441</v>
      </c>
      <c r="C103" s="259"/>
      <c r="F103" s="259" t="s">
        <v>441</v>
      </c>
      <c r="G103" s="259"/>
      <c r="J103" s="259" t="s">
        <v>441</v>
      </c>
      <c r="K103" s="259"/>
      <c r="N103" s="259" t="s">
        <v>441</v>
      </c>
      <c r="O103" s="259"/>
      <c r="R103" s="259" t="s">
        <v>441</v>
      </c>
      <c r="S103" s="259"/>
      <c r="V103" s="259" t="s">
        <v>441</v>
      </c>
      <c r="W103" s="259"/>
      <c r="Z103" s="259" t="s">
        <v>441</v>
      </c>
      <c r="AA103" s="259"/>
      <c r="AD103" s="259" t="s">
        <v>441</v>
      </c>
      <c r="AE103" s="259"/>
      <c r="AH103" s="260" t="s">
        <v>596</v>
      </c>
      <c r="AI103" s="261"/>
      <c r="AL103" s="260" t="s">
        <v>596</v>
      </c>
      <c r="AM103" s="261"/>
      <c r="AP103" s="259" t="s">
        <v>441</v>
      </c>
      <c r="AQ103" s="259"/>
      <c r="AT103" s="145"/>
      <c r="AV103" s="254"/>
      <c r="AW103" s="254"/>
      <c r="BB103" s="175"/>
      <c r="BC103" s="175"/>
      <c r="BD103" s="175"/>
    </row>
    <row r="104" spans="1:56" x14ac:dyDescent="0.35">
      <c r="A104" s="144"/>
      <c r="B104" s="180" t="str">
        <f>VLOOKUP(B100,'[80]Location Status'!$A$7:$D$178,3,0)</f>
        <v>DA-3</v>
      </c>
      <c r="C104" s="180"/>
      <c r="F104" s="180" t="str">
        <f>VLOOKUP(F100,'[80]Location Status'!$A$7:$D$178,3,0)</f>
        <v>DB1+6</v>
      </c>
      <c r="G104" s="180"/>
      <c r="J104" s="180" t="str">
        <f>VLOOKUP(J100,'[80]Location Status'!$A$7:$D$178,3,0)</f>
        <v>DA+9</v>
      </c>
      <c r="K104" s="180"/>
      <c r="N104" s="180" t="str">
        <f>VLOOKUP(N100,'[80]Location Status'!$A$7:$D$178,3,0)</f>
        <v>DA+0</v>
      </c>
      <c r="O104" s="180"/>
      <c r="R104" s="180" t="str">
        <f>VLOOKUP(R100,'[80]Location Status'!$A$7:$D$178,3,0)</f>
        <v>DA-3</v>
      </c>
      <c r="S104" s="180"/>
      <c r="V104" s="180" t="str">
        <f>VLOOKUP(V100,'[80]Location Status'!$A$7:$D$178,3,0)</f>
        <v>DB2+0</v>
      </c>
      <c r="W104" s="180"/>
      <c r="Z104" s="180" t="str">
        <f>VLOOKUP(Z100,'[80]Location Status'!$A$7:$D$178,3,0)</f>
        <v>DA+3</v>
      </c>
      <c r="AA104" s="180"/>
      <c r="AD104" s="180" t="str">
        <f>VLOOKUP(AD100,'[80]Location Status'!$A$7:$D$178,3,0)</f>
        <v>DA+0</v>
      </c>
      <c r="AE104" s="180"/>
      <c r="AH104" s="180" t="str">
        <f>VLOOKUP(AH100,'[80]Location Status'!$A$7:$D$178,3,0)</f>
        <v>DA+3</v>
      </c>
      <c r="AI104" s="180"/>
      <c r="AL104" s="180" t="str">
        <f>VLOOKUP(AL100,'[80]Location Status'!$A$7:$D$178,3,0)</f>
        <v>DB1+9</v>
      </c>
      <c r="AM104" s="180"/>
      <c r="AP104" s="180" t="str">
        <f>VLOOKUP(AP100,'[80]Location Status'!$A$7:$D$178,3,0)</f>
        <v>DA+9</v>
      </c>
      <c r="AQ104" s="180"/>
      <c r="AT104" s="145"/>
      <c r="AV104" s="254"/>
      <c r="AW104" s="254"/>
      <c r="BB104" s="184"/>
      <c r="BC104" s="184"/>
      <c r="BD104" s="185"/>
    </row>
    <row r="105" spans="1:56" x14ac:dyDescent="0.35">
      <c r="A105" s="144"/>
      <c r="R105" s="189"/>
      <c r="AT105" s="145"/>
      <c r="AV105" s="254"/>
      <c r="AW105" s="254"/>
    </row>
    <row r="106" spans="1:56" x14ac:dyDescent="0.35">
      <c r="A106" s="144"/>
      <c r="B106" s="265" t="str">
        <f>VLOOKUP(B108,'[80]Location Status'!$A$7:$D$178,2,0)</f>
        <v>17/6</v>
      </c>
      <c r="C106" s="266"/>
      <c r="F106" s="265" t="str">
        <f>VLOOKUP(F108,'[80]Location Status'!$A$7:$D$178,2,0)</f>
        <v>17/7</v>
      </c>
      <c r="G106" s="266"/>
      <c r="J106" s="265" t="str">
        <f>VLOOKUP(J108,'[80]Location Status'!$A$7:$D$178,2,0)</f>
        <v>17/8</v>
      </c>
      <c r="K106" s="266"/>
      <c r="N106" s="265" t="str">
        <f>VLOOKUP(N108,'[80]Location Status'!$A$7:$D$178,2,0)</f>
        <v>17/9</v>
      </c>
      <c r="O106" s="266"/>
      <c r="R106" s="265" t="str">
        <f>VLOOKUP(R108,'[80]Location Status'!$A$7:$D$178,2,0)</f>
        <v>18/0</v>
      </c>
      <c r="S106" s="266"/>
      <c r="V106" s="265" t="str">
        <f>VLOOKUP(V108,'[80]Location Status'!$A$7:$D$178,2,0)</f>
        <v>18/1</v>
      </c>
      <c r="W106" s="266"/>
      <c r="Z106" s="265" t="str">
        <f>VLOOKUP(Z108,'[80]Location Status'!$A$7:$D$178,2,0)</f>
        <v>18/2</v>
      </c>
      <c r="AA106" s="266"/>
      <c r="AD106" s="265" t="str">
        <f>VLOOKUP(AD108,'[80]Location Status'!$A$7:$D$178,2,0)</f>
        <v>18/3</v>
      </c>
      <c r="AE106" s="266"/>
      <c r="AH106" s="265" t="str">
        <f>VLOOKUP(AH108,'[80]Location Status'!$A$7:$D$178,2,0)</f>
        <v>18/4</v>
      </c>
      <c r="AI106" s="266"/>
      <c r="AL106" s="265" t="str">
        <f>VLOOKUP(AL108,'[80]Location Status'!$A$7:$D$178,2,0)</f>
        <v>18/5</v>
      </c>
      <c r="AM106" s="266"/>
      <c r="AP106" s="265" t="str">
        <f>VLOOKUP(AP108,'[80]Location Status'!$A$7:$D$178,2,0)</f>
        <v>18/6</v>
      </c>
      <c r="AQ106" s="266"/>
      <c r="AT106" s="145"/>
      <c r="AV106" s="254"/>
      <c r="AW106" s="254"/>
      <c r="BB106" s="183"/>
      <c r="BC106" s="184"/>
      <c r="BD106" s="185"/>
    </row>
    <row r="107" spans="1:56" x14ac:dyDescent="0.35">
      <c r="A107" s="144"/>
      <c r="AT107" s="145"/>
      <c r="AV107" s="254"/>
      <c r="AW107" s="254"/>
    </row>
    <row r="108" spans="1:56" s="175" customFormat="1" ht="12.5" x14ac:dyDescent="0.25">
      <c r="A108" s="174"/>
      <c r="B108" s="175">
        <f>1+AP100</f>
        <v>96</v>
      </c>
      <c r="F108" s="175">
        <f>1+B108</f>
        <v>97</v>
      </c>
      <c r="J108" s="175">
        <f>1+F108</f>
        <v>98</v>
      </c>
      <c r="N108" s="175">
        <f>1+J108</f>
        <v>99</v>
      </c>
      <c r="R108" s="175">
        <f>1+N108</f>
        <v>100</v>
      </c>
      <c r="V108" s="175">
        <f>1+R108</f>
        <v>101</v>
      </c>
      <c r="Z108" s="175">
        <f>1+V108</f>
        <v>102</v>
      </c>
      <c r="AD108" s="175">
        <f>1+Z108</f>
        <v>103</v>
      </c>
      <c r="AH108" s="175">
        <f>1+AD108</f>
        <v>104</v>
      </c>
      <c r="AL108" s="175">
        <f>1+AH108</f>
        <v>105</v>
      </c>
      <c r="AP108" s="175">
        <f>1+AL108</f>
        <v>106</v>
      </c>
      <c r="AT108" s="176"/>
      <c r="AV108" s="267"/>
      <c r="AW108" s="267"/>
    </row>
    <row r="109" spans="1:56" x14ac:dyDescent="0.35">
      <c r="A109" s="144"/>
      <c r="B109" s="182" t="s">
        <v>577</v>
      </c>
      <c r="C109" s="182" t="s">
        <v>578</v>
      </c>
      <c r="D109" s="265">
        <f>VLOOKUP(B108,'[80]Location Status'!$A$7:$D$178,4,0)</f>
        <v>389</v>
      </c>
      <c r="E109" s="266"/>
      <c r="F109" s="182" t="s">
        <v>577</v>
      </c>
      <c r="G109" s="182" t="s">
        <v>578</v>
      </c>
      <c r="H109" s="265">
        <f>VLOOKUP(F108,'[80]Location Status'!$A$7:$D$178,4,0)</f>
        <v>448</v>
      </c>
      <c r="I109" s="266"/>
      <c r="J109" s="182" t="s">
        <v>577</v>
      </c>
      <c r="K109" s="182" t="s">
        <v>578</v>
      </c>
      <c r="L109" s="265">
        <f>VLOOKUP(J108,'[80]Location Status'!$A$7:$D$178,4,0)</f>
        <v>304</v>
      </c>
      <c r="M109" s="266"/>
      <c r="N109" s="182" t="s">
        <v>577</v>
      </c>
      <c r="O109" s="182" t="s">
        <v>578</v>
      </c>
      <c r="P109" s="262">
        <f>VLOOKUP(N108,'[80]Location Status'!$A$7:$D$178,4,0)</f>
        <v>339.22800000000001</v>
      </c>
      <c r="Q109" s="263"/>
      <c r="R109" s="182" t="s">
        <v>577</v>
      </c>
      <c r="S109" s="182" t="s">
        <v>578</v>
      </c>
      <c r="T109" s="265">
        <f>VLOOKUP(R108,'[80]Location Status'!$A$7:$D$178,4,0)</f>
        <v>503.00200000000001</v>
      </c>
      <c r="U109" s="266"/>
      <c r="V109" s="182" t="s">
        <v>577</v>
      </c>
      <c r="W109" s="182" t="s">
        <v>578</v>
      </c>
      <c r="X109" s="265">
        <f>VLOOKUP(V108,'[80]Location Status'!$A$7:$D$178,4,0)</f>
        <v>433</v>
      </c>
      <c r="Y109" s="266"/>
      <c r="Z109" s="182" t="s">
        <v>577</v>
      </c>
      <c r="AA109" s="182" t="s">
        <v>578</v>
      </c>
      <c r="AB109" s="265">
        <f>VLOOKUP(Z108,'[80]Location Status'!$A$7:$D$178,4,0)</f>
        <v>405</v>
      </c>
      <c r="AC109" s="266"/>
      <c r="AD109" s="182" t="s">
        <v>577</v>
      </c>
      <c r="AE109" s="182" t="s">
        <v>578</v>
      </c>
      <c r="AF109" s="265">
        <f>VLOOKUP(AD108,'[80]Location Status'!$A$7:$D$178,4,0)</f>
        <v>418</v>
      </c>
      <c r="AG109" s="266"/>
      <c r="AH109" s="182" t="s">
        <v>577</v>
      </c>
      <c r="AI109" s="182" t="s">
        <v>578</v>
      </c>
      <c r="AJ109" s="262">
        <f>VLOOKUP(AH108,'[80]Location Status'!$A$7:$D$178,4,0)</f>
        <v>344</v>
      </c>
      <c r="AK109" s="263"/>
      <c r="AL109" s="182" t="s">
        <v>577</v>
      </c>
      <c r="AM109" s="182" t="s">
        <v>578</v>
      </c>
      <c r="AN109" s="265">
        <f>VLOOKUP(AL108,'[80]Location Status'!$A$7:$D$178,4,0)</f>
        <v>417</v>
      </c>
      <c r="AO109" s="266"/>
      <c r="AP109" s="182" t="s">
        <v>577</v>
      </c>
      <c r="AQ109" s="182" t="s">
        <v>578</v>
      </c>
      <c r="AR109" s="265">
        <f>VLOOKUP(AP108,'[80]Location Status'!$A$7:$D$178,4,0)</f>
        <v>384</v>
      </c>
      <c r="AS109" s="266"/>
      <c r="AT109" s="145"/>
      <c r="AV109" s="254">
        <f>D109+H109+L109+P109+T109+X109+AB109+AF109+AJ109+AN109+AR109</f>
        <v>4384.2299999999996</v>
      </c>
      <c r="AW109" s="254"/>
      <c r="AY109">
        <v>11</v>
      </c>
      <c r="BB109" s="184"/>
      <c r="BC109" s="184"/>
      <c r="BD109" s="185"/>
    </row>
    <row r="110" spans="1:56" x14ac:dyDescent="0.35">
      <c r="A110" s="144"/>
      <c r="B110" s="156" t="s">
        <v>581</v>
      </c>
      <c r="C110" s="156" t="s">
        <v>582</v>
      </c>
      <c r="F110" s="156" t="s">
        <v>581</v>
      </c>
      <c r="G110" s="156" t="s">
        <v>582</v>
      </c>
      <c r="J110" s="156" t="s">
        <v>581</v>
      </c>
      <c r="K110" s="156" t="s">
        <v>582</v>
      </c>
      <c r="N110" s="156" t="s">
        <v>581</v>
      </c>
      <c r="O110" s="156" t="s">
        <v>582</v>
      </c>
      <c r="R110" s="156" t="s">
        <v>581</v>
      </c>
      <c r="S110" s="156" t="s">
        <v>582</v>
      </c>
      <c r="V110" s="156" t="s">
        <v>581</v>
      </c>
      <c r="W110" s="156" t="s">
        <v>582</v>
      </c>
      <c r="Z110" s="156" t="s">
        <v>581</v>
      </c>
      <c r="AA110" s="156" t="s">
        <v>582</v>
      </c>
      <c r="AD110" s="156" t="s">
        <v>581</v>
      </c>
      <c r="AE110" s="156" t="s">
        <v>582</v>
      </c>
      <c r="AH110" s="156" t="s">
        <v>581</v>
      </c>
      <c r="AI110" s="156" t="s">
        <v>582</v>
      </c>
      <c r="AL110" s="156" t="s">
        <v>581</v>
      </c>
      <c r="AM110" s="156" t="s">
        <v>582</v>
      </c>
      <c r="AP110" s="156" t="s">
        <v>581</v>
      </c>
      <c r="AQ110" s="156" t="s">
        <v>582</v>
      </c>
      <c r="AT110" s="145"/>
      <c r="AV110" s="254"/>
      <c r="AW110" s="254"/>
    </row>
    <row r="111" spans="1:56" x14ac:dyDescent="0.35">
      <c r="A111" s="144"/>
      <c r="B111" s="259" t="s">
        <v>441</v>
      </c>
      <c r="C111" s="259"/>
      <c r="F111" s="260" t="s">
        <v>596</v>
      </c>
      <c r="G111" s="261"/>
      <c r="J111" s="260" t="s">
        <v>596</v>
      </c>
      <c r="K111" s="261"/>
      <c r="N111" s="260" t="s">
        <v>596</v>
      </c>
      <c r="O111" s="261"/>
      <c r="R111" s="260" t="s">
        <v>596</v>
      </c>
      <c r="S111" s="261"/>
      <c r="V111" s="260" t="s">
        <v>596</v>
      </c>
      <c r="W111" s="261"/>
      <c r="Z111" s="259" t="s">
        <v>441</v>
      </c>
      <c r="AA111" s="259"/>
      <c r="AD111" s="259" t="s">
        <v>441</v>
      </c>
      <c r="AE111" s="259"/>
      <c r="AH111" s="259" t="s">
        <v>441</v>
      </c>
      <c r="AI111" s="259"/>
      <c r="AL111" s="259" t="s">
        <v>441</v>
      </c>
      <c r="AM111" s="259"/>
      <c r="AP111" s="259" t="s">
        <v>441</v>
      </c>
      <c r="AQ111" s="259"/>
      <c r="AT111" s="145"/>
      <c r="AV111" s="254"/>
      <c r="AW111" s="254"/>
    </row>
    <row r="112" spans="1:56" x14ac:dyDescent="0.35">
      <c r="A112" s="144"/>
      <c r="B112" s="180" t="str">
        <f>VLOOKUP(B108,'[80]Location Status'!$A$7:$D$178,3,0)</f>
        <v>DA+3</v>
      </c>
      <c r="C112" s="180"/>
      <c r="F112" s="180" t="str">
        <f>VLOOKUP(F108,'[80]Location Status'!$A$7:$D$178,3,0)</f>
        <v>DA+9</v>
      </c>
      <c r="G112" s="180"/>
      <c r="J112" s="180" t="str">
        <f>VLOOKUP(J108,'[80]Location Status'!$A$7:$D$178,3,0)</f>
        <v>DA+0</v>
      </c>
      <c r="K112" s="180"/>
      <c r="N112" s="180" t="str">
        <f>VLOOKUP(N108,'[80]Location Status'!$A$7:$D$178,3,0)</f>
        <v>DA-1.5</v>
      </c>
      <c r="O112" s="180"/>
      <c r="R112" s="180" t="str">
        <f>VLOOKUP(R108,'[80]Location Status'!$A$7:$D$178,3,0)</f>
        <v>DB1+9</v>
      </c>
      <c r="S112" s="180"/>
      <c r="V112" s="180" t="str">
        <f>VLOOKUP(V108,'[80]Location Status'!$A$7:$D$178,3,0)</f>
        <v>DB1+9</v>
      </c>
      <c r="W112" s="180"/>
      <c r="Z112" s="180" t="str">
        <f>VLOOKUP(Z108,'[80]Location Status'!$A$7:$D$178,3,0)</f>
        <v>DA+0</v>
      </c>
      <c r="AA112" s="180"/>
      <c r="AD112" s="180" t="str">
        <f>VLOOKUP(AD108,'[80]Location Status'!$A$7:$D$178,3,0)</f>
        <v>DA+6</v>
      </c>
      <c r="AE112" s="180"/>
      <c r="AH112" s="180" t="str">
        <f>VLOOKUP(AH108,'[80]Location Status'!$A$7:$D$178,3,0)</f>
        <v>DA-1.5</v>
      </c>
      <c r="AI112" s="180"/>
      <c r="AL112" s="180" t="str">
        <f>VLOOKUP(AL108,'[80]Location Status'!$A$7:$D$178,3,0)</f>
        <v>DA+3</v>
      </c>
      <c r="AM112" s="180"/>
      <c r="AP112" s="180" t="str">
        <f>VLOOKUP(AP108,'[80]Location Status'!$A$7:$D$178,3,0)</f>
        <v>DA+3</v>
      </c>
      <c r="AQ112" s="180"/>
      <c r="AT112" s="145"/>
      <c r="AV112" s="254"/>
      <c r="AW112" s="254"/>
      <c r="BB112" s="184"/>
      <c r="BC112" s="184"/>
      <c r="BD112" s="185"/>
    </row>
    <row r="113" spans="1:56" x14ac:dyDescent="0.35">
      <c r="A113" s="144"/>
      <c r="B113" s="180"/>
      <c r="C113" s="180"/>
      <c r="F113" s="180"/>
      <c r="G113" s="180"/>
      <c r="J113" s="180"/>
      <c r="K113" s="180"/>
      <c r="N113" s="180"/>
      <c r="O113" s="180"/>
      <c r="R113" s="180"/>
      <c r="S113" s="180"/>
      <c r="V113" s="180"/>
      <c r="W113" s="180"/>
      <c r="Z113" s="180"/>
      <c r="AA113" s="180"/>
      <c r="AD113" s="180"/>
      <c r="AE113" s="180"/>
      <c r="AH113" s="180"/>
      <c r="AI113" s="180"/>
      <c r="AL113" s="180"/>
      <c r="AM113" s="180"/>
      <c r="AP113" s="180"/>
      <c r="AQ113" s="180"/>
      <c r="AT113" s="145"/>
      <c r="AV113" s="158"/>
      <c r="AW113" s="158"/>
      <c r="BB113" s="184"/>
      <c r="BC113" s="184"/>
      <c r="BD113" s="185"/>
    </row>
    <row r="114" spans="1:56" x14ac:dyDescent="0.35">
      <c r="A114" s="144"/>
      <c r="R114" s="188" t="s">
        <v>464</v>
      </c>
      <c r="S114" s="188"/>
      <c r="AT114" s="145"/>
      <c r="AV114" s="254"/>
      <c r="AW114" s="254"/>
    </row>
    <row r="115" spans="1:56" x14ac:dyDescent="0.35">
      <c r="A115" s="144"/>
      <c r="B115" s="265" t="str">
        <f>VLOOKUP(B117,'[80]Location Status'!$A$7:$D$178,2,0)</f>
        <v>18/7</v>
      </c>
      <c r="C115" s="266"/>
      <c r="F115" s="265" t="str">
        <f>VLOOKUP(F117,'[80]Location Status'!$A$7:$D$178,2,0)</f>
        <v>18/8</v>
      </c>
      <c r="G115" s="266"/>
      <c r="J115" s="265" t="str">
        <f>VLOOKUP(J117,'[80]Location Status'!$A$7:$D$178,2,0)</f>
        <v>19/0</v>
      </c>
      <c r="K115" s="266"/>
      <c r="N115" s="265" t="str">
        <f>VLOOKUP(N117,'[80]Location Status'!$A$7:$D$178,2,0)</f>
        <v>19/1</v>
      </c>
      <c r="O115" s="266"/>
      <c r="R115" s="265" t="str">
        <f>VLOOKUP(R117,'[80]Location Status'!$A$7:$D$178,2,0)</f>
        <v>19/2</v>
      </c>
      <c r="S115" s="266"/>
      <c r="V115" s="265" t="str">
        <f>VLOOKUP(V116,'[80]Location Status'!$A$7:$D$178,2,0)</f>
        <v>19/3</v>
      </c>
      <c r="W115" s="266"/>
      <c r="Z115" s="172" t="str">
        <f>VLOOKUP(Z117,'[80]Location Status'!$A$7:$D$178,2,0)</f>
        <v>20/0</v>
      </c>
      <c r="AA115" s="171"/>
      <c r="AD115" s="265" t="str">
        <f>VLOOKUP(AD117,'[80]Location Status'!$A$7:$D$178,2,0)</f>
        <v>21/0</v>
      </c>
      <c r="AE115" s="266"/>
      <c r="AH115" s="265" t="str">
        <f>VLOOKUP(AH117,'[80]Location Status'!$A$7:$D$178,2,0)</f>
        <v>21/1</v>
      </c>
      <c r="AI115" s="266"/>
      <c r="AL115" s="265" t="str">
        <f>VLOOKUP(AL117,'[80]Location Status'!$A$7:$D$178,2,0)</f>
        <v>21/2</v>
      </c>
      <c r="AM115" s="266"/>
      <c r="AP115" s="265" t="str">
        <f>VLOOKUP(AP117,'[80]Location Status'!$A$7:$D$178,2,0)</f>
        <v>21/3</v>
      </c>
      <c r="AQ115" s="266"/>
      <c r="AT115" s="145"/>
      <c r="AV115" s="254"/>
      <c r="AW115" s="254"/>
      <c r="BB115" s="183"/>
      <c r="BC115" s="184"/>
      <c r="BD115" s="185"/>
    </row>
    <row r="116" spans="1:56" x14ac:dyDescent="0.35">
      <c r="A116" s="144"/>
      <c r="V116" s="175">
        <f>R117+1</f>
        <v>112</v>
      </c>
      <c r="AT116" s="145"/>
      <c r="AV116" s="254"/>
      <c r="AW116" s="254"/>
    </row>
    <row r="117" spans="1:56" s="175" customFormat="1" ht="12.5" x14ac:dyDescent="0.25">
      <c r="A117" s="174"/>
      <c r="B117" s="175">
        <f>1+AP108</f>
        <v>107</v>
      </c>
      <c r="F117" s="175">
        <f>1+B117</f>
        <v>108</v>
      </c>
      <c r="J117" s="175">
        <f>1+F117</f>
        <v>109</v>
      </c>
      <c r="N117" s="175">
        <f>1+J117</f>
        <v>110</v>
      </c>
      <c r="R117" s="175">
        <f>1+N117</f>
        <v>111</v>
      </c>
      <c r="V117" s="175">
        <f>1+R117</f>
        <v>112</v>
      </c>
      <c r="Z117" s="175">
        <f>1+V117</f>
        <v>113</v>
      </c>
      <c r="AD117" s="175">
        <f>1+Z117</f>
        <v>114</v>
      </c>
      <c r="AH117" s="175">
        <f>1+AD117</f>
        <v>115</v>
      </c>
      <c r="AL117" s="175">
        <f>1+AH117</f>
        <v>116</v>
      </c>
      <c r="AP117" s="175">
        <f>1+AL117</f>
        <v>117</v>
      </c>
      <c r="AT117" s="176"/>
      <c r="AV117" s="267"/>
      <c r="AW117" s="267"/>
    </row>
    <row r="118" spans="1:56" x14ac:dyDescent="0.35">
      <c r="A118" s="144"/>
      <c r="B118" s="182" t="s">
        <v>577</v>
      </c>
      <c r="C118" s="182" t="s">
        <v>578</v>
      </c>
      <c r="D118" s="265">
        <f>VLOOKUP(B117,'[80]Location Status'!$A$7:$D$178,4,0)</f>
        <v>326</v>
      </c>
      <c r="E118" s="266"/>
      <c r="F118" s="182" t="s">
        <v>577</v>
      </c>
      <c r="G118" s="182" t="s">
        <v>578</v>
      </c>
      <c r="H118" s="262">
        <f>VLOOKUP(F117,'[80]Location Status'!$A$7:$D$178,4,0)</f>
        <v>298.20600000000002</v>
      </c>
      <c r="I118" s="263"/>
      <c r="J118" s="182" t="s">
        <v>577</v>
      </c>
      <c r="K118" s="182" t="s">
        <v>578</v>
      </c>
      <c r="L118" s="262">
        <f>VLOOKUP(J117,'[80]Location Status'!$A$7:$D$178,4,0)</f>
        <v>415.00400000000002</v>
      </c>
      <c r="M118" s="263"/>
      <c r="N118" s="182" t="s">
        <v>577</v>
      </c>
      <c r="O118" s="182" t="s">
        <v>578</v>
      </c>
      <c r="P118" s="265">
        <f>VLOOKUP(N117,'[80]Location Status'!$A$7:$D$178,4,0)</f>
        <v>395</v>
      </c>
      <c r="Q118" s="266"/>
      <c r="R118" s="182" t="s">
        <v>577</v>
      </c>
      <c r="S118" s="182" t="s">
        <v>578</v>
      </c>
      <c r="T118" s="265">
        <f>VLOOKUP(R117,'[80]Location Status'!$A$7:$D$178,4,0)</f>
        <v>404</v>
      </c>
      <c r="U118" s="266"/>
      <c r="V118" s="182" t="s">
        <v>577</v>
      </c>
      <c r="W118" s="182" t="s">
        <v>578</v>
      </c>
      <c r="X118" s="262">
        <f>VLOOKUP(V116,'[80]Location Status'!$A$7:$D$178,4,0)</f>
        <v>359.55599999999998</v>
      </c>
      <c r="Y118" s="263"/>
      <c r="Z118" s="182" t="s">
        <v>577</v>
      </c>
      <c r="AA118" s="182" t="s">
        <v>578</v>
      </c>
      <c r="AB118" s="262">
        <f>VLOOKUP(Z117,'[80]Location Status'!$A$7:$D$178,4,0)</f>
        <v>460.68400000000003</v>
      </c>
      <c r="AC118" s="263"/>
      <c r="AD118" s="182" t="s">
        <v>577</v>
      </c>
      <c r="AE118" s="182" t="s">
        <v>578</v>
      </c>
      <c r="AF118" s="265">
        <f>VLOOKUP(AD117,'[80]Location Status'!$A$7:$D$178,4,0)</f>
        <v>431</v>
      </c>
      <c r="AG118" s="266"/>
      <c r="AH118" s="182" t="s">
        <v>577</v>
      </c>
      <c r="AI118" s="182" t="s">
        <v>578</v>
      </c>
      <c r="AJ118" s="262">
        <f>VLOOKUP(AH117,'[80]Location Status'!$A$7:$D$178,4,0)</f>
        <v>409</v>
      </c>
      <c r="AK118" s="263"/>
      <c r="AL118" s="182" t="s">
        <v>577</v>
      </c>
      <c r="AM118" s="182" t="s">
        <v>578</v>
      </c>
      <c r="AN118" s="265">
        <f>VLOOKUP(AL117,'[80]Location Status'!$A$7:$D$178,4,0)</f>
        <v>359</v>
      </c>
      <c r="AO118" s="266"/>
      <c r="AP118" s="182" t="s">
        <v>577</v>
      </c>
      <c r="AQ118" s="182" t="s">
        <v>578</v>
      </c>
      <c r="AR118" s="265">
        <f>VLOOKUP(AP117,'[80]Location Status'!$A$7:$D$178,4,0)</f>
        <v>414</v>
      </c>
      <c r="AS118" s="266"/>
      <c r="AT118" s="145"/>
      <c r="AV118" s="254">
        <f>D118+H118+L118+P118+T118+X118+AB118+AF118+AJ118+AN118+AR118</f>
        <v>4271.4500000000007</v>
      </c>
      <c r="AW118" s="254"/>
      <c r="AY118">
        <v>11</v>
      </c>
      <c r="BB118" s="184"/>
      <c r="BC118" s="184"/>
      <c r="BD118" s="185"/>
    </row>
    <row r="119" spans="1:56" x14ac:dyDescent="0.35">
      <c r="A119" s="144"/>
      <c r="B119" s="156" t="s">
        <v>581</v>
      </c>
      <c r="C119" s="156" t="s">
        <v>582</v>
      </c>
      <c r="F119" s="156" t="s">
        <v>581</v>
      </c>
      <c r="G119" s="156" t="s">
        <v>582</v>
      </c>
      <c r="J119" s="156" t="s">
        <v>581</v>
      </c>
      <c r="K119" s="156" t="s">
        <v>582</v>
      </c>
      <c r="N119" s="156" t="s">
        <v>581</v>
      </c>
      <c r="O119" s="156" t="s">
        <v>582</v>
      </c>
      <c r="R119" s="156" t="s">
        <v>581</v>
      </c>
      <c r="S119" s="156" t="s">
        <v>582</v>
      </c>
      <c r="V119" s="156" t="s">
        <v>581</v>
      </c>
      <c r="W119" s="156" t="s">
        <v>582</v>
      </c>
      <c r="Z119" s="156" t="s">
        <v>581</v>
      </c>
      <c r="AA119" s="156" t="s">
        <v>582</v>
      </c>
      <c r="AD119" s="156" t="s">
        <v>581</v>
      </c>
      <c r="AE119" s="156" t="s">
        <v>582</v>
      </c>
      <c r="AH119" s="156" t="s">
        <v>581</v>
      </c>
      <c r="AI119" s="156" t="s">
        <v>582</v>
      </c>
      <c r="AL119" s="156" t="s">
        <v>581</v>
      </c>
      <c r="AM119" s="156" t="s">
        <v>582</v>
      </c>
      <c r="AP119" s="156" t="s">
        <v>581</v>
      </c>
      <c r="AQ119" s="156" t="s">
        <v>582</v>
      </c>
      <c r="AT119" s="145"/>
      <c r="AV119" s="254"/>
      <c r="AW119" s="254"/>
    </row>
    <row r="120" spans="1:56" x14ac:dyDescent="0.35">
      <c r="A120" s="144"/>
      <c r="B120" s="259" t="s">
        <v>441</v>
      </c>
      <c r="C120" s="259"/>
      <c r="F120" s="259" t="s">
        <v>441</v>
      </c>
      <c r="G120" s="259"/>
      <c r="J120" s="259" t="s">
        <v>441</v>
      </c>
      <c r="K120" s="259"/>
      <c r="N120" s="260" t="s">
        <v>596</v>
      </c>
      <c r="O120" s="261"/>
      <c r="R120" s="259" t="s">
        <v>441</v>
      </c>
      <c r="S120" s="259"/>
      <c r="V120" s="259" t="s">
        <v>441</v>
      </c>
      <c r="W120" s="259"/>
      <c r="Z120" s="246" t="s">
        <v>441</v>
      </c>
      <c r="AA120" s="246"/>
      <c r="AD120" s="259" t="s">
        <v>441</v>
      </c>
      <c r="AE120" s="259"/>
      <c r="AH120" s="259" t="s">
        <v>441</v>
      </c>
      <c r="AI120" s="259"/>
      <c r="AL120" s="259" t="s">
        <v>441</v>
      </c>
      <c r="AM120" s="259"/>
      <c r="AP120" s="259" t="s">
        <v>441</v>
      </c>
      <c r="AQ120" s="259"/>
      <c r="AT120" s="145"/>
      <c r="AV120" s="254"/>
      <c r="AW120" s="254"/>
    </row>
    <row r="121" spans="1:56" x14ac:dyDescent="0.35">
      <c r="A121" s="144"/>
      <c r="B121" s="180" t="str">
        <f>VLOOKUP(B117,'[80]Location Status'!$A$7:$D$178,3,0)</f>
        <v>DA-1.5</v>
      </c>
      <c r="C121" s="180"/>
      <c r="F121" s="180" t="str">
        <f>VLOOKUP(F117,'[80]Location Status'!$A$7:$D$178,3,0)</f>
        <v>DA-3</v>
      </c>
      <c r="G121" s="180"/>
      <c r="J121" s="180" t="str">
        <f>VLOOKUP(J117,'[80]Location Status'!$A$7:$D$178,3,0)</f>
        <v>DD45+0</v>
      </c>
      <c r="K121" s="180"/>
      <c r="N121" s="180" t="str">
        <f>VLOOKUP(N117,'[80]Location Status'!$A$7:$D$178,3,0)</f>
        <v>DA+3</v>
      </c>
      <c r="O121" s="180"/>
      <c r="R121" s="180" t="str">
        <f>VLOOKUP(R117,'[80]Location Status'!$A$7:$D$178,3,0)</f>
        <v>DA+3</v>
      </c>
      <c r="S121" s="180"/>
      <c r="V121" s="180" t="str">
        <f>VLOOKUP(V116,'[80]Location Status'!$A$7:$D$178,3,0)</f>
        <v>DA+0</v>
      </c>
      <c r="W121" s="180"/>
      <c r="Z121" s="180" t="str">
        <f>VLOOKUP(Z117,'[80]Location Status'!$A$7:$D$178,3,0)</f>
        <v>DD45+6</v>
      </c>
      <c r="AA121" s="180"/>
      <c r="AD121" s="180" t="str">
        <f>VLOOKUP(AD117,'[80]Location Status'!$A$7:$D$178,3,0)</f>
        <v>DB2+6</v>
      </c>
      <c r="AE121" s="180"/>
      <c r="AH121" s="180" t="str">
        <f>VLOOKUP(AH117,'[80]Location Status'!$A$7:$D$178,3,0)</f>
        <v>DA+0</v>
      </c>
      <c r="AI121" s="180"/>
      <c r="AL121" s="180" t="str">
        <f>VLOOKUP(AL117,'[80]Location Status'!$A$7:$D$178,3,0)</f>
        <v>DA+3</v>
      </c>
      <c r="AM121" s="180"/>
      <c r="AP121" s="180" t="str">
        <f>VLOOKUP(AP117,'[80]Location Status'!$A$7:$D$178,3,0)</f>
        <v>DC1+0(T)</v>
      </c>
      <c r="AQ121" s="180"/>
      <c r="AT121" s="145"/>
      <c r="AV121" s="254"/>
      <c r="AW121" s="254"/>
      <c r="BB121" s="184"/>
      <c r="BC121" s="184"/>
      <c r="BD121" s="185"/>
    </row>
    <row r="122" spans="1:56" x14ac:dyDescent="0.35">
      <c r="A122" s="144"/>
      <c r="B122" s="158"/>
      <c r="C122" s="158"/>
      <c r="F122" s="158"/>
      <c r="G122" s="158"/>
      <c r="J122" s="158"/>
      <c r="K122" s="158"/>
      <c r="N122" s="158"/>
      <c r="O122" s="158"/>
      <c r="R122" s="158"/>
      <c r="S122" s="158"/>
      <c r="T122" s="179"/>
      <c r="V122" s="158"/>
      <c r="W122" s="158"/>
      <c r="AD122" s="158"/>
      <c r="AE122" s="158"/>
      <c r="AH122" s="158"/>
      <c r="AI122" s="158"/>
      <c r="AL122" s="158"/>
      <c r="AM122" s="158"/>
      <c r="AP122" s="187" t="s">
        <v>599</v>
      </c>
      <c r="AQ122" s="158"/>
      <c r="AT122" s="145"/>
      <c r="AV122" s="254"/>
      <c r="AW122" s="254"/>
    </row>
    <row r="123" spans="1:56" x14ac:dyDescent="0.35">
      <c r="A123" s="144"/>
      <c r="AT123" s="145"/>
      <c r="AV123" s="254"/>
      <c r="AW123" s="254"/>
    </row>
    <row r="124" spans="1:56" x14ac:dyDescent="0.35">
      <c r="A124" s="144"/>
      <c r="B124" s="265" t="str">
        <f>VLOOKUP(B126,'[80]Location Status'!$A$7:$D$178,2,0)</f>
        <v>21/4</v>
      </c>
      <c r="C124" s="266"/>
      <c r="F124" s="265" t="str">
        <f>VLOOKUP(F126,'[80]Location Status'!$A$7:$D$178,2,0)</f>
        <v>21/5</v>
      </c>
      <c r="G124" s="266"/>
      <c r="J124" s="265" t="str">
        <f>VLOOKUP(J126,'[80]Location Status'!$A$7:$D$178,2,0)</f>
        <v>22/0</v>
      </c>
      <c r="K124" s="266"/>
      <c r="N124" s="265" t="str">
        <f>VLOOKUP(N126,'[80]Location Status'!$A$7:$D$178,2,0)</f>
        <v>22/1</v>
      </c>
      <c r="O124" s="266"/>
      <c r="R124" s="265" t="str">
        <f>VLOOKUP(R126,'[80]Location Status'!$A$7:$D$178,2,0)</f>
        <v>22/2</v>
      </c>
      <c r="S124" s="266"/>
      <c r="V124" s="265" t="str">
        <f>VLOOKUP(V126,'[80]Location Status'!$A$7:$D$178,2,0)</f>
        <v>22/3</v>
      </c>
      <c r="W124" s="266"/>
      <c r="Z124" s="265" t="str">
        <f>VLOOKUP(Z126,'[80]Location Status'!$A$7:$D$178,2,0)</f>
        <v>22/4</v>
      </c>
      <c r="AA124" s="266"/>
      <c r="AD124" s="265" t="str">
        <f>VLOOKUP(AD126,'[80]Location Status'!$A$7:$D$178,2,0)</f>
        <v>23/0</v>
      </c>
      <c r="AE124" s="266"/>
      <c r="AH124" s="265" t="str">
        <f>VLOOKUP(AH126,'[80]Location Status'!$A$7:$D$178,2,0)</f>
        <v>23/1</v>
      </c>
      <c r="AI124" s="266"/>
      <c r="AL124" s="265" t="str">
        <f>VLOOKUP(AL126,'[80]Location Status'!$A$7:$D$178,2,0)</f>
        <v>23/2</v>
      </c>
      <c r="AM124" s="266"/>
      <c r="AP124" s="265" t="str">
        <f>VLOOKUP(AP126,'[80]Location Status'!$A$7:$D$178,2,0)</f>
        <v>23/3</v>
      </c>
      <c r="AQ124" s="266"/>
      <c r="AT124" s="145"/>
      <c r="AV124" s="254"/>
      <c r="AW124" s="254"/>
      <c r="BB124" s="183"/>
      <c r="BC124" s="184"/>
      <c r="BD124" s="185"/>
    </row>
    <row r="125" spans="1:56" x14ac:dyDescent="0.35">
      <c r="A125" s="144"/>
      <c r="AT125" s="145"/>
      <c r="AV125" s="254"/>
      <c r="AW125" s="254"/>
    </row>
    <row r="126" spans="1:56" s="175" customFormat="1" ht="12.5" x14ac:dyDescent="0.25">
      <c r="A126" s="174"/>
      <c r="B126" s="175">
        <f>1+AP117</f>
        <v>118</v>
      </c>
      <c r="F126" s="175">
        <f>1+B126</f>
        <v>119</v>
      </c>
      <c r="J126" s="175">
        <f>1+F126</f>
        <v>120</v>
      </c>
      <c r="N126" s="175">
        <f>1+J126</f>
        <v>121</v>
      </c>
      <c r="R126" s="175">
        <f>1+N126</f>
        <v>122</v>
      </c>
      <c r="V126" s="175">
        <f>1+R126</f>
        <v>123</v>
      </c>
      <c r="Z126" s="175">
        <f>1+V126</f>
        <v>124</v>
      </c>
      <c r="AD126" s="175">
        <f>1+Z126</f>
        <v>125</v>
      </c>
      <c r="AH126" s="175">
        <f>1+AD126</f>
        <v>126</v>
      </c>
      <c r="AL126" s="175">
        <f>1+AH126</f>
        <v>127</v>
      </c>
      <c r="AP126" s="175">
        <f>1+AL126</f>
        <v>128</v>
      </c>
      <c r="AT126" s="176"/>
      <c r="AV126" s="267"/>
      <c r="AW126" s="267"/>
    </row>
    <row r="127" spans="1:56" x14ac:dyDescent="0.35">
      <c r="A127" s="144"/>
      <c r="B127" s="182" t="s">
        <v>577</v>
      </c>
      <c r="C127" s="182" t="s">
        <v>578</v>
      </c>
      <c r="D127" s="262">
        <f>VLOOKUP(B126,'[80]Location Status'!$A$7:$D$178,4,0)</f>
        <v>425</v>
      </c>
      <c r="E127" s="263"/>
      <c r="F127" s="182" t="s">
        <v>577</v>
      </c>
      <c r="G127" s="182" t="s">
        <v>578</v>
      </c>
      <c r="H127" s="262">
        <f>VLOOKUP(F126,'[80]Location Status'!$A$7:$D$178,4,0)</f>
        <v>356.40600000000001</v>
      </c>
      <c r="I127" s="263"/>
      <c r="J127" s="182" t="s">
        <v>577</v>
      </c>
      <c r="K127" s="182" t="s">
        <v>578</v>
      </c>
      <c r="L127" s="262">
        <f>VLOOKUP(J126,'[80]Location Status'!$A$7:$D$178,4,0)</f>
        <v>409.00400000000002</v>
      </c>
      <c r="M127" s="263"/>
      <c r="N127" s="182" t="s">
        <v>577</v>
      </c>
      <c r="O127" s="182" t="s">
        <v>578</v>
      </c>
      <c r="P127" s="262">
        <f>VLOOKUP(N126,'[80]Location Status'!$A$7:$D$178,4,0)</f>
        <v>416</v>
      </c>
      <c r="Q127" s="263"/>
      <c r="R127" s="182" t="s">
        <v>577</v>
      </c>
      <c r="S127" s="182" t="s">
        <v>578</v>
      </c>
      <c r="T127" s="262">
        <f>VLOOKUP(R126,'[80]Location Status'!$A$7:$D$178,4,0)</f>
        <v>419</v>
      </c>
      <c r="U127" s="263"/>
      <c r="V127" s="182" t="s">
        <v>577</v>
      </c>
      <c r="W127" s="182" t="s">
        <v>578</v>
      </c>
      <c r="X127" s="262">
        <f>VLOOKUP(V126,'[80]Location Status'!$A$7:$D$178,4,0)</f>
        <v>413</v>
      </c>
      <c r="Y127" s="263"/>
      <c r="Z127" s="182" t="s">
        <v>577</v>
      </c>
      <c r="AA127" s="182" t="s">
        <v>578</v>
      </c>
      <c r="AB127" s="262">
        <f>VLOOKUP(Z126,'[80]Location Status'!$A$7:$D$178,4,0)</f>
        <v>315.50799999999998</v>
      </c>
      <c r="AC127" s="263"/>
      <c r="AD127" s="182" t="s">
        <v>577</v>
      </c>
      <c r="AE127" s="182" t="s">
        <v>578</v>
      </c>
      <c r="AF127" s="262">
        <f>VLOOKUP(AD126,'[80]Location Status'!$A$7:$D$178,4,0)</f>
        <v>431.00200000000001</v>
      </c>
      <c r="AG127" s="263"/>
      <c r="AH127" s="182" t="s">
        <v>577</v>
      </c>
      <c r="AI127" s="182" t="s">
        <v>578</v>
      </c>
      <c r="AJ127" s="262">
        <f>VLOOKUP(AH126,'[80]Location Status'!$A$7:$D$178,4,0)</f>
        <v>409</v>
      </c>
      <c r="AK127" s="263"/>
      <c r="AL127" s="182" t="s">
        <v>577</v>
      </c>
      <c r="AM127" s="182" t="s">
        <v>578</v>
      </c>
      <c r="AN127" s="262">
        <f>VLOOKUP(AL126,'[80]Location Status'!$A$7:$D$178,4,0)</f>
        <v>428</v>
      </c>
      <c r="AO127" s="263"/>
      <c r="AP127" s="182" t="s">
        <v>577</v>
      </c>
      <c r="AQ127" s="182" t="s">
        <v>578</v>
      </c>
      <c r="AR127" s="262">
        <f>VLOOKUP(AP126,'[80]Location Status'!$A$7:$D$178,4,0)</f>
        <v>412</v>
      </c>
      <c r="AS127" s="263"/>
      <c r="AT127" s="190"/>
      <c r="AV127" s="254">
        <f>D127+H127+L127+P127+T127+X127+AB127+AF127+AJ127+AN127+AR127</f>
        <v>4433.92</v>
      </c>
      <c r="AW127" s="254"/>
      <c r="AY127">
        <v>11</v>
      </c>
      <c r="BB127" s="184"/>
      <c r="BC127" s="184"/>
      <c r="BD127" s="185"/>
    </row>
    <row r="128" spans="1:56" x14ac:dyDescent="0.35">
      <c r="A128" s="144"/>
      <c r="B128" s="156" t="s">
        <v>581</v>
      </c>
      <c r="C128" s="156" t="s">
        <v>582</v>
      </c>
      <c r="F128" s="156" t="s">
        <v>581</v>
      </c>
      <c r="G128" s="156" t="s">
        <v>582</v>
      </c>
      <c r="J128" s="156" t="s">
        <v>581</v>
      </c>
      <c r="K128" s="156" t="s">
        <v>582</v>
      </c>
      <c r="N128" s="156" t="s">
        <v>581</v>
      </c>
      <c r="O128" s="156" t="s">
        <v>582</v>
      </c>
      <c r="R128" s="156" t="s">
        <v>581</v>
      </c>
      <c r="S128" s="156" t="s">
        <v>582</v>
      </c>
      <c r="V128" s="156" t="s">
        <v>581</v>
      </c>
      <c r="W128" s="156" t="s">
        <v>582</v>
      </c>
      <c r="Z128" s="156" t="s">
        <v>581</v>
      </c>
      <c r="AA128" s="156" t="s">
        <v>582</v>
      </c>
      <c r="AD128" s="156" t="s">
        <v>581</v>
      </c>
      <c r="AE128" s="156" t="s">
        <v>582</v>
      </c>
      <c r="AH128" s="156" t="s">
        <v>581</v>
      </c>
      <c r="AI128" s="156" t="s">
        <v>582</v>
      </c>
      <c r="AL128" s="156" t="s">
        <v>581</v>
      </c>
      <c r="AM128" s="156" t="s">
        <v>582</v>
      </c>
      <c r="AP128" s="156" t="s">
        <v>581</v>
      </c>
      <c r="AQ128" s="156" t="s">
        <v>582</v>
      </c>
      <c r="AT128" s="145"/>
      <c r="AV128" s="254"/>
      <c r="AW128" s="254"/>
    </row>
    <row r="129" spans="1:56" x14ac:dyDescent="0.35">
      <c r="A129" s="144"/>
      <c r="B129" s="259" t="s">
        <v>441</v>
      </c>
      <c r="C129" s="259"/>
      <c r="F129" s="259" t="s">
        <v>441</v>
      </c>
      <c r="G129" s="259"/>
      <c r="J129" s="259" t="s">
        <v>441</v>
      </c>
      <c r="K129" s="259"/>
      <c r="N129" s="259" t="s">
        <v>441</v>
      </c>
      <c r="O129" s="259"/>
      <c r="R129" s="259" t="s">
        <v>441</v>
      </c>
      <c r="S129" s="259"/>
      <c r="V129" s="259" t="s">
        <v>441</v>
      </c>
      <c r="W129" s="259"/>
      <c r="Z129" s="259" t="s">
        <v>441</v>
      </c>
      <c r="AA129" s="259"/>
      <c r="AD129" s="259" t="s">
        <v>441</v>
      </c>
      <c r="AE129" s="259"/>
      <c r="AH129" s="259" t="s">
        <v>441</v>
      </c>
      <c r="AI129" s="259"/>
      <c r="AL129" s="259" t="s">
        <v>441</v>
      </c>
      <c r="AM129" s="259"/>
      <c r="AP129" s="259" t="s">
        <v>600</v>
      </c>
      <c r="AQ129" s="259"/>
      <c r="AT129" s="145"/>
      <c r="AV129" s="254"/>
      <c r="AW129" s="254"/>
    </row>
    <row r="130" spans="1:56" x14ac:dyDescent="0.35">
      <c r="A130" s="144"/>
      <c r="B130" s="180" t="str">
        <f>VLOOKUP(B126,'[80]Location Status'!$A$7:$D$178,3,0)</f>
        <v>DA+3</v>
      </c>
      <c r="C130" s="180"/>
      <c r="F130" s="180" t="str">
        <f>VLOOKUP(F126,'[80]Location Status'!$A$7:$D$178,3,0)</f>
        <v>DA+3</v>
      </c>
      <c r="G130" s="180"/>
      <c r="J130" s="180" t="str">
        <f>VLOOKUP(J126,'[80]Location Status'!$A$7:$D$178,3,0)</f>
        <v>DD45+0</v>
      </c>
      <c r="K130" s="180"/>
      <c r="N130" s="180" t="str">
        <f>VLOOKUP(N126,'[80]Location Status'!$A$7:$D$178,3,0)</f>
        <v>DA+3</v>
      </c>
      <c r="O130" s="180"/>
      <c r="R130" s="180" t="str">
        <f>VLOOKUP(R126,'[80]Location Status'!$A$7:$D$178,3,0)</f>
        <v>DA-1.5</v>
      </c>
      <c r="S130" s="180"/>
      <c r="V130" s="180" t="str">
        <f>VLOOKUP(V126,'[80]Location Status'!$A$7:$D$178,3,0)</f>
        <v>DA+6</v>
      </c>
      <c r="W130" s="180"/>
      <c r="Z130" s="180" t="str">
        <f>VLOOKUP(Z126,'[80]Location Status'!$A$7:$D$178,3,0)</f>
        <v>DA+3</v>
      </c>
      <c r="AA130" s="180"/>
      <c r="AD130" s="180" t="str">
        <f>VLOOKUP(AD126,'[80]Location Status'!$A$7:$D$178,3,0)</f>
        <v>DC2+3</v>
      </c>
      <c r="AE130" s="180"/>
      <c r="AH130" s="180" t="str">
        <f>VLOOKUP(AH126,'[80]Location Status'!$A$7:$D$178,3,0)</f>
        <v>DA+9</v>
      </c>
      <c r="AI130" s="180"/>
      <c r="AL130" s="180" t="str">
        <f>VLOOKUP(AL126,'[80]Location Status'!$A$7:$D$178,3,0)</f>
        <v>DA+0</v>
      </c>
      <c r="AM130" s="180"/>
      <c r="AP130" s="180" t="str">
        <f>VLOOKUP(AP126,'[80]Location Status'!$A$7:$D$178,3,0)</f>
        <v>DA+6</v>
      </c>
      <c r="AQ130" s="180"/>
      <c r="AT130" s="145"/>
      <c r="AV130" s="254"/>
      <c r="AW130" s="254"/>
      <c r="BB130" s="184"/>
      <c r="BC130" s="184"/>
      <c r="BD130" s="185"/>
    </row>
    <row r="131" spans="1:56" x14ac:dyDescent="0.35">
      <c r="A131" s="144"/>
      <c r="AT131" s="145"/>
      <c r="AV131" s="254"/>
      <c r="AW131" s="254"/>
    </row>
    <row r="132" spans="1:56" x14ac:dyDescent="0.35">
      <c r="A132" s="144"/>
      <c r="B132" s="179"/>
      <c r="F132" s="179"/>
      <c r="I132" s="179"/>
      <c r="Q132" s="179"/>
      <c r="U132" s="179"/>
      <c r="Z132" s="191" t="s">
        <v>405</v>
      </c>
      <c r="AD132" s="179"/>
      <c r="AH132" s="191" t="s">
        <v>405</v>
      </c>
      <c r="AL132" s="191" t="s">
        <v>405</v>
      </c>
      <c r="AP132" s="179"/>
      <c r="AQ132" s="179"/>
      <c r="AT132" s="145"/>
      <c r="AV132" s="254"/>
      <c r="AW132" s="254"/>
    </row>
    <row r="133" spans="1:56" x14ac:dyDescent="0.35">
      <c r="A133" s="144"/>
      <c r="B133" s="265" t="str">
        <f>VLOOKUP(B135,'[80]Location Status'!$A$7:$D$178,2,0)</f>
        <v>23/4</v>
      </c>
      <c r="C133" s="266"/>
      <c r="F133" s="265" t="str">
        <f>VLOOKUP(F135,'[80]Location Status'!$A$7:$D$178,2,0)</f>
        <v>23/5</v>
      </c>
      <c r="G133" s="266"/>
      <c r="J133" s="265" t="str">
        <f>VLOOKUP(J135,'[80]Location Status'!$A$7:$D$178,2,0)</f>
        <v>23/6</v>
      </c>
      <c r="K133" s="266"/>
      <c r="N133" s="265" t="str">
        <f>VLOOKUP(N135,'[80]Location Status'!$A$7:$D$178,2,0)</f>
        <v>23/7</v>
      </c>
      <c r="O133" s="266"/>
      <c r="R133" s="265" t="str">
        <f>VLOOKUP(R135,'[80]Location Status'!$A$7:$D$178,2,0)</f>
        <v>24/0</v>
      </c>
      <c r="S133" s="266"/>
      <c r="V133" s="265" t="str">
        <f>VLOOKUP(V135,'[80]Location Status'!$A$7:$D$178,2,0)</f>
        <v>24/1</v>
      </c>
      <c r="W133" s="266"/>
      <c r="Z133" s="265" t="str">
        <f>VLOOKUP(Z135,'[80]Location Status'!$A$7:$D$178,2,0)</f>
        <v>24/2.</v>
      </c>
      <c r="AA133" s="266"/>
      <c r="AD133" s="265" t="str">
        <f>VLOOKUP(AD135,'[80]Location Status'!$A$7:$D$178,2,0)</f>
        <v>25/0</v>
      </c>
      <c r="AE133" s="266"/>
      <c r="AH133" s="265" t="str">
        <f>VLOOKUP(AH135,'[80]Location Status'!$A$7:$D$178,2,0)</f>
        <v>25/1</v>
      </c>
      <c r="AI133" s="266"/>
      <c r="AL133" s="265" t="str">
        <f>VLOOKUP(AL135,'[80]Location Status'!$A$7:$D$178,2,0)</f>
        <v>25/2.</v>
      </c>
      <c r="AM133" s="266"/>
      <c r="AP133" s="265" t="str">
        <f>VLOOKUP(AP135,'[80]Location Status'!$A$7:$D$178,2,0)</f>
        <v>25/3.</v>
      </c>
      <c r="AQ133" s="266"/>
      <c r="AT133" s="145"/>
      <c r="AV133" s="254"/>
      <c r="AW133" s="254"/>
      <c r="BB133" s="183"/>
      <c r="BC133" s="184"/>
      <c r="BD133" s="185"/>
    </row>
    <row r="134" spans="1:56" x14ac:dyDescent="0.35">
      <c r="A134" s="144"/>
      <c r="AT134" s="145"/>
      <c r="AV134" s="254"/>
      <c r="AW134" s="254"/>
    </row>
    <row r="135" spans="1:56" s="175" customFormat="1" ht="12.5" x14ac:dyDescent="0.25">
      <c r="A135" s="174"/>
      <c r="B135" s="175">
        <f>1+AP126</f>
        <v>129</v>
      </c>
      <c r="F135" s="175">
        <f>1+B135</f>
        <v>130</v>
      </c>
      <c r="J135" s="175">
        <f>1+F135</f>
        <v>131</v>
      </c>
      <c r="N135" s="175">
        <f>1+J135</f>
        <v>132</v>
      </c>
      <c r="R135" s="175">
        <f>1+N135</f>
        <v>133</v>
      </c>
      <c r="V135" s="175">
        <f>1+R135</f>
        <v>134</v>
      </c>
      <c r="Z135" s="175">
        <f>1+V135</f>
        <v>135</v>
      </c>
      <c r="AD135" s="175">
        <f>1+Z135</f>
        <v>136</v>
      </c>
      <c r="AH135" s="175">
        <f>1+AD135</f>
        <v>137</v>
      </c>
      <c r="AL135" s="175">
        <f>1+AH135</f>
        <v>138</v>
      </c>
      <c r="AP135" s="175">
        <f>1+AL135</f>
        <v>139</v>
      </c>
      <c r="AT135" s="176"/>
      <c r="AV135" s="267"/>
      <c r="AW135" s="267"/>
    </row>
    <row r="136" spans="1:56" x14ac:dyDescent="0.35">
      <c r="A136" s="144"/>
      <c r="B136" s="182" t="s">
        <v>577</v>
      </c>
      <c r="C136" s="182" t="s">
        <v>578</v>
      </c>
      <c r="D136" s="265">
        <f>VLOOKUP(B135,'[80]Location Status'!$A$7:$D$178,4,0)</f>
        <v>408</v>
      </c>
      <c r="E136" s="266"/>
      <c r="F136" s="182" t="s">
        <v>577</v>
      </c>
      <c r="G136" s="182" t="s">
        <v>578</v>
      </c>
      <c r="H136" s="265">
        <f>VLOOKUP(F135,'[80]Location Status'!$A$7:$D$178,4,0)</f>
        <v>362</v>
      </c>
      <c r="I136" s="266"/>
      <c r="J136" s="182" t="s">
        <v>577</v>
      </c>
      <c r="K136" s="182" t="s">
        <v>578</v>
      </c>
      <c r="L136" s="262">
        <f>VLOOKUP(J135,'[80]Location Status'!$A$7:$D$178,4,0)</f>
        <v>303</v>
      </c>
      <c r="M136" s="263"/>
      <c r="N136" s="182" t="s">
        <v>577</v>
      </c>
      <c r="O136" s="182" t="s">
        <v>578</v>
      </c>
      <c r="P136" s="262">
        <f>VLOOKUP(N135,'[80]Location Status'!$A$7:$D$178,4,0)</f>
        <v>336.96199999999999</v>
      </c>
      <c r="Q136" s="263"/>
      <c r="R136" s="182" t="s">
        <v>577</v>
      </c>
      <c r="S136" s="182" t="s">
        <v>578</v>
      </c>
      <c r="T136" s="262">
        <f>VLOOKUP(R135,'[80]Location Status'!$A$7:$D$178,4,0)</f>
        <v>431.99799999999999</v>
      </c>
      <c r="U136" s="263"/>
      <c r="V136" s="182" t="s">
        <v>577</v>
      </c>
      <c r="W136" s="182" t="s">
        <v>578</v>
      </c>
      <c r="X136" s="262">
        <f>VLOOKUP(V135,'[80]Location Status'!$A$7:$D$178,4,0)</f>
        <v>567</v>
      </c>
      <c r="Y136" s="263"/>
      <c r="Z136" s="182" t="s">
        <v>577</v>
      </c>
      <c r="AA136" s="182" t="s">
        <v>578</v>
      </c>
      <c r="AB136" s="262">
        <f>VLOOKUP(Z135,'[80]Location Status'!$A$7:$D$178,4,0)</f>
        <v>543.55399999999997</v>
      </c>
      <c r="AC136" s="263"/>
      <c r="AD136" s="182" t="s">
        <v>577</v>
      </c>
      <c r="AE136" s="182" t="s">
        <v>578</v>
      </c>
      <c r="AF136" s="265">
        <f>VLOOKUP(AD135,'[80]Location Status'!$A$7:$D$178,4,0)</f>
        <v>429</v>
      </c>
      <c r="AG136" s="266"/>
      <c r="AH136" s="178" t="s">
        <v>577</v>
      </c>
      <c r="AI136" s="178" t="s">
        <v>578</v>
      </c>
      <c r="AJ136" s="265">
        <f>VLOOKUP(AH135,'[80]Location Status'!$A$7:$D$178,4,0)</f>
        <v>346</v>
      </c>
      <c r="AK136" s="266"/>
      <c r="AL136" s="178" t="s">
        <v>577</v>
      </c>
      <c r="AM136" s="178" t="s">
        <v>578</v>
      </c>
      <c r="AN136" s="265">
        <f>VLOOKUP(AL135,'[80]Location Status'!$A$7:$D$178,4,0)</f>
        <v>381</v>
      </c>
      <c r="AO136" s="266"/>
      <c r="AP136" s="182" t="s">
        <v>577</v>
      </c>
      <c r="AQ136" s="182" t="s">
        <v>578</v>
      </c>
      <c r="AR136" s="265">
        <f>VLOOKUP(AP135,'[80]Location Status'!$A$7:$D$178,4,0)</f>
        <v>394</v>
      </c>
      <c r="AS136" s="266"/>
      <c r="AT136" s="145"/>
      <c r="AV136" s="254">
        <f>D136+H136+L136+P136+T136+X136+AB136+AF136+AJ136+AN136+AR136</f>
        <v>4502.5140000000001</v>
      </c>
      <c r="AW136" s="254"/>
      <c r="AY136">
        <v>11</v>
      </c>
      <c r="BB136" s="184"/>
      <c r="BC136" s="184"/>
      <c r="BD136" s="185"/>
    </row>
    <row r="137" spans="1:56" x14ac:dyDescent="0.35">
      <c r="A137" s="144"/>
      <c r="B137" s="156" t="s">
        <v>581</v>
      </c>
      <c r="C137" s="156" t="s">
        <v>582</v>
      </c>
      <c r="F137" s="156" t="s">
        <v>581</v>
      </c>
      <c r="G137" s="156" t="s">
        <v>582</v>
      </c>
      <c r="J137" s="156" t="s">
        <v>581</v>
      </c>
      <c r="K137" s="156" t="s">
        <v>582</v>
      </c>
      <c r="N137" s="156" t="s">
        <v>581</v>
      </c>
      <c r="O137" s="156" t="s">
        <v>582</v>
      </c>
      <c r="R137" s="156" t="s">
        <v>581</v>
      </c>
      <c r="S137" s="156" t="s">
        <v>582</v>
      </c>
      <c r="V137" s="156" t="s">
        <v>581</v>
      </c>
      <c r="W137" s="156" t="s">
        <v>582</v>
      </c>
      <c r="Z137" s="156" t="s">
        <v>581</v>
      </c>
      <c r="AA137" s="156" t="s">
        <v>582</v>
      </c>
      <c r="AD137" s="156" t="s">
        <v>581</v>
      </c>
      <c r="AE137" s="156" t="s">
        <v>582</v>
      </c>
      <c r="AH137" s="71" t="s">
        <v>581</v>
      </c>
      <c r="AI137" s="71" t="s">
        <v>582</v>
      </c>
      <c r="AL137" s="71" t="s">
        <v>581</v>
      </c>
      <c r="AM137" s="71" t="s">
        <v>582</v>
      </c>
      <c r="AP137" s="156" t="s">
        <v>581</v>
      </c>
      <c r="AQ137" s="156" t="s">
        <v>582</v>
      </c>
      <c r="AT137" s="145"/>
      <c r="AV137" s="254"/>
      <c r="AW137" s="254"/>
    </row>
    <row r="138" spans="1:56" x14ac:dyDescent="0.35">
      <c r="A138" s="144"/>
      <c r="B138" s="259" t="s">
        <v>441</v>
      </c>
      <c r="C138" s="259"/>
      <c r="F138" s="259" t="s">
        <v>441</v>
      </c>
      <c r="G138" s="259"/>
      <c r="J138" s="259" t="s">
        <v>441</v>
      </c>
      <c r="K138" s="259"/>
      <c r="N138" s="259" t="s">
        <v>441</v>
      </c>
      <c r="O138" s="259"/>
      <c r="R138" s="246" t="s">
        <v>441</v>
      </c>
      <c r="S138" s="246"/>
      <c r="V138" s="260" t="s">
        <v>596</v>
      </c>
      <c r="W138" s="261"/>
      <c r="Z138" s="246"/>
      <c r="AA138" s="246"/>
      <c r="AD138" s="260" t="s">
        <v>596</v>
      </c>
      <c r="AE138" s="261"/>
      <c r="AH138" s="246"/>
      <c r="AI138" s="246"/>
      <c r="AL138" s="246"/>
      <c r="AM138" s="246"/>
      <c r="AP138" s="259" t="s">
        <v>441</v>
      </c>
      <c r="AQ138" s="259"/>
      <c r="AT138" s="145"/>
      <c r="AV138" s="254"/>
      <c r="AW138" s="254"/>
    </row>
    <row r="139" spans="1:56" x14ac:dyDescent="0.35">
      <c r="A139" s="144"/>
      <c r="B139" s="180" t="str">
        <f>VLOOKUP(B135,'[80]Location Status'!$A$7:$D$178,3,0)</f>
        <v>DA-1.5</v>
      </c>
      <c r="C139" s="180"/>
      <c r="F139" s="180" t="str">
        <f>VLOOKUP(F135,'[80]Location Status'!$A$7:$D$178,3,0)</f>
        <v>DA+3</v>
      </c>
      <c r="G139" s="180"/>
      <c r="J139" s="180" t="str">
        <f>VLOOKUP(J135,'[80]Location Status'!$A$7:$D$178,3,0)</f>
        <v>DA-3</v>
      </c>
      <c r="K139" s="180"/>
      <c r="N139" s="180" t="str">
        <f>VLOOKUP(N135,'[80]Location Status'!$A$7:$D$178,3,0)</f>
        <v>DA-3</v>
      </c>
      <c r="O139" s="180"/>
      <c r="R139" s="180" t="str">
        <f>VLOOKUP(R135,'[80]Location Status'!$A$7:$D$178,3,0)</f>
        <v>DB2+0</v>
      </c>
      <c r="S139" s="180"/>
      <c r="V139" s="180" t="str">
        <f>VLOOKUP(V135,'[80]Location Status'!$A$7:$D$178,3,0)</f>
        <v>DB1+9</v>
      </c>
      <c r="W139" s="180"/>
      <c r="Z139" s="180" t="str">
        <f>VLOOKUP(Z135,'[80]Location Status'!$A$7:$D$178,3,0)</f>
        <v>DB1+0</v>
      </c>
      <c r="AA139" s="180"/>
      <c r="AD139" s="180" t="str">
        <f>VLOOKUP(AD135,'[80]Location Status'!$A$7:$D$178,3,0)</f>
        <v>DC1+9</v>
      </c>
      <c r="AE139" s="180"/>
      <c r="AH139" s="180" t="str">
        <f>VLOOKUP(AH135,'[80]Location Status'!$A$7:$D$178,3,0)</f>
        <v>DA+0</v>
      </c>
      <c r="AI139" s="180"/>
      <c r="AL139" s="180" t="str">
        <f>VLOOKUP(AL135,'[80]Location Status'!$A$7:$D$178,3,0)</f>
        <v>DA+0</v>
      </c>
      <c r="AM139" s="180"/>
      <c r="AP139" s="180" t="str">
        <f>VLOOKUP(AP135,'[80]Location Status'!$A$7:$D$178,3,0)</f>
        <v>DA+0</v>
      </c>
      <c r="AQ139" s="180"/>
      <c r="AT139" s="145"/>
      <c r="AV139" s="254"/>
      <c r="AW139" s="254"/>
      <c r="BB139" s="184"/>
      <c r="BC139" s="184"/>
      <c r="BD139" s="185"/>
    </row>
    <row r="140" spans="1:56" x14ac:dyDescent="0.35">
      <c r="A140" s="144"/>
      <c r="C140" s="187"/>
      <c r="AT140" s="145"/>
      <c r="AV140" s="254"/>
      <c r="AW140" s="254"/>
    </row>
    <row r="141" spans="1:56" x14ac:dyDescent="0.35">
      <c r="A141" s="144"/>
      <c r="N141" s="191" t="s">
        <v>405</v>
      </c>
      <c r="AH141" s="188" t="s">
        <v>464</v>
      </c>
      <c r="AI141" s="188"/>
      <c r="AP141" s="188" t="s">
        <v>464</v>
      </c>
      <c r="AQ141" s="188"/>
      <c r="AT141" s="145"/>
      <c r="AV141" s="254"/>
      <c r="AW141" s="254"/>
    </row>
    <row r="142" spans="1:56" x14ac:dyDescent="0.35">
      <c r="A142" s="144"/>
      <c r="B142" s="265" t="str">
        <f>VLOOKUP(B144,'[80]Location Status'!$A$7:$D$178,2,0)</f>
        <v>25/4</v>
      </c>
      <c r="C142" s="266"/>
      <c r="F142" s="265" t="str">
        <f>VLOOKUP(F144,'[80]Location Status'!$A$7:$D$178,2,0)</f>
        <v>26/0</v>
      </c>
      <c r="G142" s="266"/>
      <c r="J142" s="265" t="str">
        <f>VLOOKUP(J144,'[80]Location Status'!$A$7:$D$178,2,0)</f>
        <v>26/1</v>
      </c>
      <c r="K142" s="266"/>
      <c r="N142" s="265" t="str">
        <f>VLOOKUP(N144,'[80]Location Status'!$A$7:$D$178,2,0)</f>
        <v>26/2</v>
      </c>
      <c r="O142" s="266"/>
      <c r="R142" s="265" t="str">
        <f>VLOOKUP(R144,'[80]Location Status'!$A$7:$D$178,2,0)</f>
        <v>26/3</v>
      </c>
      <c r="S142" s="266"/>
      <c r="V142" s="265" t="str">
        <f>VLOOKUP(V144,'[80]Location Status'!$A$7:$D$178,2,0)</f>
        <v>26/4</v>
      </c>
      <c r="W142" s="266"/>
      <c r="Z142" s="265" t="str">
        <f>VLOOKUP(Z144,'[80]Location Status'!$A$7:$D$178,2,0)</f>
        <v>26/5</v>
      </c>
      <c r="AA142" s="266"/>
      <c r="AD142" s="265" t="str">
        <f>VLOOKUP(AD144,'[80]Location Status'!$A$7:$D$178,2,0)</f>
        <v>26/6</v>
      </c>
      <c r="AE142" s="266"/>
      <c r="AH142" s="265" t="str">
        <f>VLOOKUP(AH144,'[80]Location Status'!$A$7:$D$178,2,0)</f>
        <v>26/7</v>
      </c>
      <c r="AI142" s="266"/>
      <c r="AL142" s="265" t="str">
        <f>VLOOKUP(AL144,'[80]Location Status'!$A$7:$D$178,2,0)</f>
        <v>26/8</v>
      </c>
      <c r="AM142" s="266"/>
      <c r="AP142" s="265" t="str">
        <f>VLOOKUP(AP144,'[80]Location Status'!$A$7:$D$178,2,0)</f>
        <v>26/9</v>
      </c>
      <c r="AQ142" s="266"/>
      <c r="AT142" s="145"/>
      <c r="AV142" s="254"/>
      <c r="AW142" s="254"/>
      <c r="BB142" s="183"/>
      <c r="BC142" s="184"/>
      <c r="BD142" s="185"/>
    </row>
    <row r="143" spans="1:56" x14ac:dyDescent="0.35">
      <c r="A143" s="144"/>
      <c r="AT143" s="145"/>
      <c r="AV143" s="254"/>
      <c r="AW143" s="254"/>
    </row>
    <row r="144" spans="1:56" s="175" customFormat="1" ht="12.5" x14ac:dyDescent="0.25">
      <c r="A144" s="174"/>
      <c r="B144" s="175">
        <f>1+AP135</f>
        <v>140</v>
      </c>
      <c r="F144" s="175">
        <f>1+B144</f>
        <v>141</v>
      </c>
      <c r="J144" s="175">
        <f>1+F144</f>
        <v>142</v>
      </c>
      <c r="N144" s="175">
        <f>1+J144</f>
        <v>143</v>
      </c>
      <c r="R144" s="175">
        <f>1+N144</f>
        <v>144</v>
      </c>
      <c r="V144" s="175">
        <f>1+R144</f>
        <v>145</v>
      </c>
      <c r="Z144" s="175">
        <f>1+V144</f>
        <v>146</v>
      </c>
      <c r="AD144" s="175">
        <f>1+Z144</f>
        <v>147</v>
      </c>
      <c r="AH144" s="175">
        <f>1+AD144</f>
        <v>148</v>
      </c>
      <c r="AL144" s="175">
        <f>1+AH144</f>
        <v>149</v>
      </c>
      <c r="AP144" s="175">
        <f>1+AL144</f>
        <v>150</v>
      </c>
      <c r="AT144" s="176"/>
      <c r="AV144" s="267"/>
      <c r="AW144" s="267"/>
    </row>
    <row r="145" spans="1:56" x14ac:dyDescent="0.35">
      <c r="A145" s="144"/>
      <c r="B145" s="182" t="s">
        <v>577</v>
      </c>
      <c r="C145" s="182" t="s">
        <v>578</v>
      </c>
      <c r="D145" s="262">
        <f>VLOOKUP(B144,'[80]Location Status'!$A$7:$D$178,4,0)</f>
        <v>356.86900000000003</v>
      </c>
      <c r="E145" s="263"/>
      <c r="F145" s="182" t="s">
        <v>577</v>
      </c>
      <c r="G145" s="182" t="s">
        <v>578</v>
      </c>
      <c r="H145" s="262">
        <f>VLOOKUP(F144,'[80]Location Status'!$A$7:$D$178,4,0)</f>
        <v>438</v>
      </c>
      <c r="I145" s="263"/>
      <c r="J145" s="182" t="s">
        <v>577</v>
      </c>
      <c r="K145" s="182" t="s">
        <v>578</v>
      </c>
      <c r="L145" s="262">
        <f>VLOOKUP(J144,'[80]Location Status'!$A$7:$D$178,4,0)</f>
        <v>399</v>
      </c>
      <c r="M145" s="263"/>
      <c r="N145" s="178" t="s">
        <v>577</v>
      </c>
      <c r="O145" s="178" t="s">
        <v>578</v>
      </c>
      <c r="P145" s="262">
        <f>VLOOKUP(N144,'[80]Location Status'!$A$7:$D$178,4,0)</f>
        <v>347</v>
      </c>
      <c r="Q145" s="263"/>
      <c r="R145" s="182" t="s">
        <v>577</v>
      </c>
      <c r="S145" s="182" t="s">
        <v>578</v>
      </c>
      <c r="T145" s="262">
        <f>VLOOKUP(R144,'[80]Location Status'!$A$7:$D$178,4,0)</f>
        <v>400</v>
      </c>
      <c r="U145" s="263"/>
      <c r="V145" s="182" t="s">
        <v>577</v>
      </c>
      <c r="W145" s="182" t="s">
        <v>578</v>
      </c>
      <c r="X145" s="262">
        <f>VLOOKUP(V144,'[80]Location Status'!$A$7:$D$178,4,0)</f>
        <v>375</v>
      </c>
      <c r="Y145" s="263"/>
      <c r="Z145" s="182" t="s">
        <v>577</v>
      </c>
      <c r="AA145" s="182" t="s">
        <v>578</v>
      </c>
      <c r="AB145" s="262">
        <f>VLOOKUP(Z144,'[80]Location Status'!$A$7:$D$178,4,0)</f>
        <v>416</v>
      </c>
      <c r="AC145" s="263"/>
      <c r="AD145" s="182" t="s">
        <v>577</v>
      </c>
      <c r="AE145" s="182" t="s">
        <v>578</v>
      </c>
      <c r="AF145" s="262">
        <f>VLOOKUP(AD144,'[80]Location Status'!$A$7:$D$178,4,0)</f>
        <v>408</v>
      </c>
      <c r="AG145" s="263"/>
      <c r="AH145" s="182" t="s">
        <v>577</v>
      </c>
      <c r="AI145" s="182" t="s">
        <v>578</v>
      </c>
      <c r="AJ145" s="262">
        <f>VLOOKUP(AH144,'[80]Location Status'!$A$7:$D$178,4,0)</f>
        <v>404</v>
      </c>
      <c r="AK145" s="263"/>
      <c r="AL145" s="182" t="s">
        <v>577</v>
      </c>
      <c r="AM145" s="182" t="s">
        <v>578</v>
      </c>
      <c r="AN145" s="262">
        <f>VLOOKUP(AL144,'[80]Location Status'!$A$7:$D$178,4,0)</f>
        <v>391</v>
      </c>
      <c r="AO145" s="263"/>
      <c r="AP145" s="182" t="s">
        <v>577</v>
      </c>
      <c r="AQ145" s="182" t="s">
        <v>578</v>
      </c>
      <c r="AR145" s="262">
        <f>VLOOKUP(AP144,'[80]Location Status'!$A$7:$D$178,4,0)</f>
        <v>371</v>
      </c>
      <c r="AS145" s="263"/>
      <c r="AT145" s="145"/>
      <c r="AV145" s="254">
        <f>D145+H145+L145+P145+T145+X145+AB145+AF145+AJ145+AN145+AR145</f>
        <v>4305.8690000000006</v>
      </c>
      <c r="AW145" s="254"/>
      <c r="AY145">
        <v>11</v>
      </c>
      <c r="BB145" s="184"/>
      <c r="BC145" s="184"/>
      <c r="BD145" s="185"/>
    </row>
    <row r="146" spans="1:56" x14ac:dyDescent="0.35">
      <c r="A146" s="144"/>
      <c r="B146" s="156" t="s">
        <v>581</v>
      </c>
      <c r="C146" s="156" t="s">
        <v>582</v>
      </c>
      <c r="F146" s="156" t="s">
        <v>581</v>
      </c>
      <c r="G146" s="156" t="s">
        <v>582</v>
      </c>
      <c r="J146" s="156" t="s">
        <v>581</v>
      </c>
      <c r="K146" s="156" t="s">
        <v>582</v>
      </c>
      <c r="N146" s="71" t="s">
        <v>581</v>
      </c>
      <c r="O146" s="71" t="s">
        <v>582</v>
      </c>
      <c r="R146" s="156" t="s">
        <v>581</v>
      </c>
      <c r="S146" s="156" t="s">
        <v>582</v>
      </c>
      <c r="V146" s="156" t="s">
        <v>581</v>
      </c>
      <c r="W146" s="156" t="s">
        <v>582</v>
      </c>
      <c r="Z146" s="156" t="s">
        <v>581</v>
      </c>
      <c r="AA146" s="156" t="s">
        <v>582</v>
      </c>
      <c r="AD146" s="156" t="s">
        <v>581</v>
      </c>
      <c r="AE146" s="156" t="s">
        <v>582</v>
      </c>
      <c r="AH146" s="156" t="s">
        <v>581</v>
      </c>
      <c r="AI146" s="156" t="s">
        <v>582</v>
      </c>
      <c r="AL146" s="156" t="s">
        <v>581</v>
      </c>
      <c r="AM146" s="156" t="s">
        <v>582</v>
      </c>
      <c r="AP146" s="156" t="s">
        <v>581</v>
      </c>
      <c r="AQ146" s="156" t="s">
        <v>582</v>
      </c>
      <c r="AT146" s="145"/>
      <c r="AV146" s="254"/>
      <c r="AW146" s="254"/>
    </row>
    <row r="147" spans="1:56" x14ac:dyDescent="0.35">
      <c r="A147" s="144"/>
      <c r="B147" s="259" t="s">
        <v>441</v>
      </c>
      <c r="C147" s="259"/>
      <c r="F147" s="259" t="s">
        <v>441</v>
      </c>
      <c r="G147" s="259"/>
      <c r="J147" s="259" t="s">
        <v>441</v>
      </c>
      <c r="K147" s="259"/>
      <c r="N147" s="246"/>
      <c r="O147" s="246"/>
      <c r="R147" s="259" t="s">
        <v>441</v>
      </c>
      <c r="S147" s="259"/>
      <c r="V147" s="259" t="s">
        <v>441</v>
      </c>
      <c r="W147" s="259"/>
      <c r="Z147" s="259" t="s">
        <v>600</v>
      </c>
      <c r="AA147" s="259"/>
      <c r="AD147" s="259" t="s">
        <v>441</v>
      </c>
      <c r="AE147" s="259"/>
      <c r="AH147" s="260" t="s">
        <v>596</v>
      </c>
      <c r="AI147" s="261"/>
      <c r="AL147" s="260" t="s">
        <v>596</v>
      </c>
      <c r="AM147" s="261"/>
      <c r="AP147" s="259" t="s">
        <v>441</v>
      </c>
      <c r="AQ147" s="259"/>
      <c r="AT147" s="145"/>
      <c r="AV147" s="254"/>
      <c r="AW147" s="254"/>
    </row>
    <row r="148" spans="1:56" x14ac:dyDescent="0.35">
      <c r="A148" s="144"/>
      <c r="B148" s="180" t="str">
        <f>VLOOKUP(B144,'[80]Location Status'!$A$7:$D$178,3,0)</f>
        <v>DA+0</v>
      </c>
      <c r="C148" s="180"/>
      <c r="F148" s="180" t="str">
        <f>VLOOKUP(F144,'[80]Location Status'!$A$7:$D$178,3,0)</f>
        <v>DC2+0</v>
      </c>
      <c r="G148" s="180"/>
      <c r="J148" s="180" t="str">
        <f>VLOOKUP(J144,'[80]Location Status'!$A$7:$D$178,3,0)</f>
        <v>DA+6</v>
      </c>
      <c r="K148" s="180"/>
      <c r="N148" s="180" t="str">
        <f>VLOOKUP(N144,'[80]Location Status'!$A$7:$D$178,3,0)</f>
        <v>DA+3</v>
      </c>
      <c r="O148" s="180"/>
      <c r="R148" s="180" t="str">
        <f>VLOOKUP(R144,'[80]Location Status'!$A$7:$D$178,3,0)</f>
        <v>DA+3</v>
      </c>
      <c r="S148" s="180"/>
      <c r="V148" s="180" t="str">
        <f>VLOOKUP(V144,'[80]Location Status'!$A$7:$D$178,3,0)</f>
        <v>DA-3</v>
      </c>
      <c r="W148" s="180"/>
      <c r="Z148" s="180" t="str">
        <f>VLOOKUP(Z144,'[80]Location Status'!$A$7:$D$178,3,0)</f>
        <v>DA+0</v>
      </c>
      <c r="AA148" s="180"/>
      <c r="AD148" s="180" t="str">
        <f>VLOOKUP(AD144,'[80]Location Status'!$A$7:$D$178,3,0)</f>
        <v>DA+3</v>
      </c>
      <c r="AE148" s="180"/>
      <c r="AH148" s="180" t="str">
        <f>VLOOKUP(AH144,'[80]Location Status'!$A$7:$D$178,3,0)</f>
        <v>DA+0</v>
      </c>
      <c r="AI148" s="180"/>
      <c r="AL148" s="180" t="str">
        <f>VLOOKUP(AL144,'[80]Location Status'!$A$7:$D$178,3,0)</f>
        <v>DA+0</v>
      </c>
      <c r="AM148" s="180"/>
      <c r="AP148" s="180" t="str">
        <f>VLOOKUP(AP144,'[80]Location Status'!$A$7:$D$178,3,0)</f>
        <v>DA+0</v>
      </c>
      <c r="AQ148" s="180"/>
      <c r="AT148" s="145"/>
      <c r="AV148" s="254"/>
      <c r="AW148" s="254"/>
      <c r="BB148" s="184"/>
      <c r="BC148" s="184"/>
      <c r="BD148" s="185"/>
    </row>
    <row r="149" spans="1:56" x14ac:dyDescent="0.35">
      <c r="A149" s="144"/>
      <c r="U149" s="158"/>
      <c r="AF149" s="158"/>
      <c r="AT149" s="145"/>
      <c r="AV149" s="254"/>
      <c r="AW149" s="254"/>
    </row>
    <row r="150" spans="1:56" x14ac:dyDescent="0.35">
      <c r="A150" s="144"/>
      <c r="R150" s="192" t="s">
        <v>601</v>
      </c>
      <c r="S150" s="193"/>
      <c r="T150" s="193"/>
      <c r="U150" s="194"/>
      <c r="V150" s="192" t="s">
        <v>601</v>
      </c>
      <c r="W150" s="193"/>
      <c r="X150" s="193"/>
      <c r="Y150" s="193"/>
      <c r="Z150" s="192" t="s">
        <v>601</v>
      </c>
      <c r="AA150" s="193"/>
      <c r="AB150" s="193"/>
      <c r="AC150" s="193"/>
      <c r="AF150" s="158"/>
      <c r="AT150" s="145"/>
      <c r="AV150" s="254"/>
      <c r="AW150" s="254"/>
    </row>
    <row r="151" spans="1:56" x14ac:dyDescent="0.35">
      <c r="A151" s="144"/>
      <c r="R151" s="195" t="s">
        <v>602</v>
      </c>
      <c r="S151" s="196"/>
      <c r="V151" s="191" t="s">
        <v>405</v>
      </c>
      <c r="Z151" s="191" t="s">
        <v>405</v>
      </c>
      <c r="AC151" s="158"/>
      <c r="AD151" s="158"/>
      <c r="AE151" s="158"/>
      <c r="AF151" s="158"/>
      <c r="AT151" s="145"/>
      <c r="AV151" s="254"/>
      <c r="AW151" s="254"/>
    </row>
    <row r="152" spans="1:56" x14ac:dyDescent="0.35">
      <c r="A152" s="144"/>
      <c r="B152" s="265" t="str">
        <f>VLOOKUP(B154,'[80]Location Status'!$A$7:$D$178,2,0)</f>
        <v>26/10</v>
      </c>
      <c r="C152" s="266"/>
      <c r="F152" s="265" t="str">
        <f>VLOOKUP(F154,'[80]Location Status'!$A$7:$D$178,2,0)</f>
        <v>27/0</v>
      </c>
      <c r="G152" s="266"/>
      <c r="J152" s="265" t="str">
        <f>VLOOKUP(J154,'[80]Location Status'!$A$7:$D$178,2,0)</f>
        <v>27/1</v>
      </c>
      <c r="K152" s="266"/>
      <c r="N152" s="265" t="str">
        <f>VLOOKUP(N154,'[80]Location Status'!$A$7:$D$178,2,0)</f>
        <v>28/0</v>
      </c>
      <c r="O152" s="266"/>
      <c r="R152" s="265" t="str">
        <f>VLOOKUP(R154,'[80]Location Status'!$A$7:$D$178,2,0)</f>
        <v>28/1</v>
      </c>
      <c r="S152" s="266"/>
      <c r="V152" s="265" t="str">
        <f>VLOOKUP(V154,'[80]Location Status'!$A$7:$D$178,2,0)</f>
        <v>29/0</v>
      </c>
      <c r="W152" s="266"/>
      <c r="Z152" s="265" t="str">
        <f>VLOOKUP(Z154,'[80]Location Status'!$A$7:$D$178,2,0)</f>
        <v>29/1</v>
      </c>
      <c r="AA152" s="266"/>
      <c r="AD152" s="265" t="str">
        <f>VLOOKUP(AD154,'[80]Location Status'!$A$7:$D$178,2,0)</f>
        <v>29/2</v>
      </c>
      <c r="AE152" s="266"/>
      <c r="AH152" s="265" t="str">
        <f>VLOOKUP(AH154,'[80]Location Status'!$A$7:$D$178,2,0)</f>
        <v>30/0</v>
      </c>
      <c r="AI152" s="266"/>
      <c r="AL152" s="265" t="str">
        <f>VLOOKUP(AL154,'[80]Location Status'!$A$7:$D$178,2,0)</f>
        <v>30/1</v>
      </c>
      <c r="AM152" s="266"/>
      <c r="AP152" s="265" t="str">
        <f>VLOOKUP(AP154,'[80]Location Status'!$A$7:$D$178,2,0)</f>
        <v>30/2</v>
      </c>
      <c r="AQ152" s="266"/>
      <c r="AT152" s="145"/>
      <c r="AV152" s="254"/>
      <c r="AW152" s="254"/>
      <c r="BB152" s="183"/>
      <c r="BC152" s="184"/>
      <c r="BD152" s="185"/>
    </row>
    <row r="153" spans="1:56" x14ac:dyDescent="0.35">
      <c r="A153" s="144"/>
      <c r="AT153" s="145"/>
      <c r="AV153" s="254"/>
      <c r="AW153" s="254"/>
    </row>
    <row r="154" spans="1:56" s="175" customFormat="1" ht="12.5" x14ac:dyDescent="0.25">
      <c r="A154" s="174"/>
      <c r="B154" s="175">
        <f>1+AP144</f>
        <v>151</v>
      </c>
      <c r="F154" s="175">
        <f>1+B154</f>
        <v>152</v>
      </c>
      <c r="J154" s="175">
        <f>1+F154</f>
        <v>153</v>
      </c>
      <c r="N154" s="175">
        <f>1+J154</f>
        <v>154</v>
      </c>
      <c r="R154" s="175">
        <f>1+N154</f>
        <v>155</v>
      </c>
      <c r="V154" s="175">
        <f>1+R154</f>
        <v>156</v>
      </c>
      <c r="Z154" s="175">
        <f>1+V154</f>
        <v>157</v>
      </c>
      <c r="AD154" s="175">
        <f>1+Z154</f>
        <v>158</v>
      </c>
      <c r="AH154" s="175">
        <f>1+AD154</f>
        <v>159</v>
      </c>
      <c r="AL154" s="175">
        <f>1+AH154</f>
        <v>160</v>
      </c>
      <c r="AP154" s="175">
        <f>1+AL154</f>
        <v>161</v>
      </c>
      <c r="AT154" s="176"/>
      <c r="AV154" s="267"/>
      <c r="AW154" s="267"/>
    </row>
    <row r="155" spans="1:56" x14ac:dyDescent="0.35">
      <c r="A155" s="144"/>
      <c r="B155" s="156" t="s">
        <v>577</v>
      </c>
      <c r="C155" s="156" t="s">
        <v>578</v>
      </c>
      <c r="D155" s="262">
        <f>VLOOKUP(B154,'[80]Location Status'!$A$7:$D$178,4,0)</f>
        <v>391.18900000000002</v>
      </c>
      <c r="E155" s="263"/>
      <c r="F155" s="182" t="s">
        <v>577</v>
      </c>
      <c r="G155" s="182" t="s">
        <v>578</v>
      </c>
      <c r="H155" s="262">
        <f>VLOOKUP(F154,'[80]Location Status'!$A$7:$D$178,4,0)</f>
        <v>412</v>
      </c>
      <c r="I155" s="263"/>
      <c r="J155" s="182" t="s">
        <v>577</v>
      </c>
      <c r="K155" s="182" t="s">
        <v>578</v>
      </c>
      <c r="L155" s="262">
        <f>VLOOKUP(J154,'[80]Location Status'!$A$7:$D$178,4,0)</f>
        <v>384.05200000000002</v>
      </c>
      <c r="M155" s="263"/>
      <c r="N155" s="182" t="s">
        <v>577</v>
      </c>
      <c r="O155" s="182" t="s">
        <v>578</v>
      </c>
      <c r="P155" s="262">
        <f>VLOOKUP(N154,'[80]Location Status'!$A$7:$D$178,4,0)</f>
        <v>404</v>
      </c>
      <c r="Q155" s="263"/>
      <c r="R155" s="182" t="s">
        <v>577</v>
      </c>
      <c r="S155" s="182" t="s">
        <v>578</v>
      </c>
      <c r="T155" s="262">
        <f>VLOOKUP(R154,'[80]Location Status'!$A$7:$D$178,4,0)</f>
        <v>261.80599999999998</v>
      </c>
      <c r="U155" s="263"/>
      <c r="V155" s="182" t="s">
        <v>577</v>
      </c>
      <c r="W155" s="182" t="s">
        <v>578</v>
      </c>
      <c r="X155" s="262">
        <f>VLOOKUP(V154,'[80]Location Status'!$A$7:$D$178,4,0)</f>
        <v>358</v>
      </c>
      <c r="Y155" s="263"/>
      <c r="Z155" s="181" t="s">
        <v>577</v>
      </c>
      <c r="AA155" s="181" t="s">
        <v>578</v>
      </c>
      <c r="AB155" s="262">
        <f>VLOOKUP(Z154,'[80]Location Status'!$A$7:$D$178,4,0)</f>
        <v>419</v>
      </c>
      <c r="AC155" s="263"/>
      <c r="AD155" s="182" t="s">
        <v>577</v>
      </c>
      <c r="AE155" s="182" t="s">
        <v>578</v>
      </c>
      <c r="AF155" s="262">
        <f>VLOOKUP(AD154,'[80]Location Status'!$A$7:$D$178,4,0)</f>
        <v>367.80799999999999</v>
      </c>
      <c r="AG155" s="263"/>
      <c r="AH155" s="182" t="s">
        <v>577</v>
      </c>
      <c r="AI155" s="182" t="s">
        <v>578</v>
      </c>
      <c r="AJ155" s="262">
        <f>VLOOKUP(AH154,'[80]Location Status'!$A$7:$D$178,4,0)</f>
        <v>409.00299999999999</v>
      </c>
      <c r="AK155" s="263"/>
      <c r="AL155" s="182" t="s">
        <v>577</v>
      </c>
      <c r="AM155" s="182" t="s">
        <v>578</v>
      </c>
      <c r="AN155" s="262">
        <f>VLOOKUP(AL154,'[80]Location Status'!$A$7:$D$178,4,0)</f>
        <v>343</v>
      </c>
      <c r="AO155" s="263"/>
      <c r="AP155" s="182" t="s">
        <v>577</v>
      </c>
      <c r="AQ155" s="182" t="s">
        <v>578</v>
      </c>
      <c r="AR155" s="262">
        <f>VLOOKUP(AP154,'[80]Location Status'!$A$7:$D$178,4,0)</f>
        <v>394</v>
      </c>
      <c r="AS155" s="263"/>
      <c r="AT155" s="145"/>
      <c r="AV155" s="254">
        <f>D155+H155+L155+P155+T155+X155+AB155+AF155+AJ155+AN155+AR155</f>
        <v>4143.8580000000002</v>
      </c>
      <c r="AW155" s="254"/>
      <c r="AY155">
        <v>11</v>
      </c>
      <c r="BB155" s="184"/>
      <c r="BC155" s="184"/>
      <c r="BD155" s="185"/>
    </row>
    <row r="156" spans="1:56" x14ac:dyDescent="0.35">
      <c r="A156" s="144"/>
      <c r="B156" s="156" t="s">
        <v>581</v>
      </c>
      <c r="C156" s="156" t="s">
        <v>582</v>
      </c>
      <c r="F156" s="156" t="s">
        <v>581</v>
      </c>
      <c r="G156" s="156" t="s">
        <v>582</v>
      </c>
      <c r="J156" s="156" t="s">
        <v>581</v>
      </c>
      <c r="K156" s="156" t="s">
        <v>582</v>
      </c>
      <c r="N156" s="156" t="s">
        <v>581</v>
      </c>
      <c r="O156" s="156" t="s">
        <v>582</v>
      </c>
      <c r="R156" s="156" t="s">
        <v>581</v>
      </c>
      <c r="S156" s="156" t="s">
        <v>582</v>
      </c>
      <c r="V156" s="156" t="s">
        <v>581</v>
      </c>
      <c r="W156" s="156" t="s">
        <v>582</v>
      </c>
      <c r="Z156" s="157" t="s">
        <v>581</v>
      </c>
      <c r="AA156" s="157" t="s">
        <v>582</v>
      </c>
      <c r="AD156" s="156" t="s">
        <v>581</v>
      </c>
      <c r="AE156" s="156" t="s">
        <v>582</v>
      </c>
      <c r="AH156" s="156" t="s">
        <v>581</v>
      </c>
      <c r="AI156" s="156" t="s">
        <v>582</v>
      </c>
      <c r="AL156" s="156" t="s">
        <v>581</v>
      </c>
      <c r="AM156" s="156" t="s">
        <v>582</v>
      </c>
      <c r="AP156" s="156" t="s">
        <v>581</v>
      </c>
      <c r="AQ156" s="156" t="s">
        <v>582</v>
      </c>
      <c r="AT156" s="145"/>
      <c r="AV156" s="254"/>
      <c r="AW156" s="254"/>
    </row>
    <row r="157" spans="1:56" x14ac:dyDescent="0.35">
      <c r="A157" s="144"/>
      <c r="B157" s="260" t="s">
        <v>596</v>
      </c>
      <c r="C157" s="261"/>
      <c r="F157" s="260" t="s">
        <v>596</v>
      </c>
      <c r="G157" s="261"/>
      <c r="J157" s="259" t="s">
        <v>441</v>
      </c>
      <c r="K157" s="259"/>
      <c r="N157" s="260" t="s">
        <v>596</v>
      </c>
      <c r="O157" s="261"/>
      <c r="R157" s="246"/>
      <c r="S157" s="246"/>
      <c r="V157" s="246"/>
      <c r="W157" s="246"/>
      <c r="Z157" s="246"/>
      <c r="AA157" s="246"/>
      <c r="AD157" s="259" t="s">
        <v>441</v>
      </c>
      <c r="AE157" s="259"/>
      <c r="AH157" s="259" t="s">
        <v>441</v>
      </c>
      <c r="AI157" s="259"/>
      <c r="AL157" s="259" t="s">
        <v>441</v>
      </c>
      <c r="AM157" s="259"/>
      <c r="AP157" s="259" t="s">
        <v>441</v>
      </c>
      <c r="AQ157" s="259"/>
      <c r="AT157" s="145"/>
      <c r="AV157" s="254"/>
      <c r="AW157" s="254"/>
    </row>
    <row r="158" spans="1:56" x14ac:dyDescent="0.35">
      <c r="A158" s="144"/>
      <c r="B158" s="180" t="str">
        <f>VLOOKUP(B154,'[80]Location Status'!$A$7:$D$178,3,0)</f>
        <v>DA+0</v>
      </c>
      <c r="C158" s="180"/>
      <c r="F158" s="180" t="str">
        <f>VLOOKUP(F154,'[80]Location Status'!$A$7:$D$178,3,0)</f>
        <v>DC1+0</v>
      </c>
      <c r="G158" s="180"/>
      <c r="J158" s="180" t="str">
        <f>VLOOKUP(J154,'[80]Location Status'!$A$7:$D$178,3,0)</f>
        <v>DA+3</v>
      </c>
      <c r="K158" s="180"/>
      <c r="N158" s="180" t="str">
        <f>VLOOKUP(N154,'[80]Location Status'!$A$7:$D$178,3,0)</f>
        <v>DC1+0</v>
      </c>
      <c r="O158" s="180"/>
      <c r="R158" s="180" t="str">
        <f>VLOOKUP(R154,'[80]Location Status'!$A$7:$D$178,3,0)</f>
        <v>DB1+0</v>
      </c>
      <c r="S158" s="180"/>
      <c r="V158" s="180" t="str">
        <f>VLOOKUP(V154,'[80]Location Status'!$A$7:$D$178,3,0)</f>
        <v>DB2+0</v>
      </c>
      <c r="W158" s="180"/>
      <c r="Z158" s="180" t="str">
        <f>VLOOKUP(Z154,'[80]Location Status'!$A$7:$D$178,3,0)</f>
        <v>DA+0</v>
      </c>
      <c r="AA158" s="180"/>
      <c r="AD158" s="180" t="str">
        <f>VLOOKUP(AD154,'[80]Location Status'!$A$7:$D$178,3,0)</f>
        <v>DA+0</v>
      </c>
      <c r="AE158" s="180"/>
      <c r="AH158" s="180" t="str">
        <f>VLOOKUP(AH154,'[80]Location Status'!$A$7:$D$178,3,0)</f>
        <v>DC2+0</v>
      </c>
      <c r="AI158" s="180"/>
      <c r="AL158" s="180" t="str">
        <f>VLOOKUP(AL154,'[80]Location Status'!$A$7:$D$178,3,0)</f>
        <v>DA+9</v>
      </c>
      <c r="AM158" s="180"/>
      <c r="AP158" s="180" t="str">
        <f>VLOOKUP(AP154,'[80]Location Status'!$A$7:$D$178,3,0)</f>
        <v>DA+3</v>
      </c>
      <c r="AQ158" s="180"/>
      <c r="AT158" s="145"/>
      <c r="AV158" s="254"/>
      <c r="AW158" s="254"/>
      <c r="BB158" s="184"/>
      <c r="BC158" s="184"/>
      <c r="BD158" s="185"/>
    </row>
    <row r="159" spans="1:56" x14ac:dyDescent="0.35">
      <c r="A159" s="144"/>
      <c r="AT159" s="145"/>
      <c r="AV159" s="254"/>
      <c r="AW159" s="254"/>
    </row>
    <row r="160" spans="1:56" x14ac:dyDescent="0.35">
      <c r="A160" s="179"/>
      <c r="B160" s="179"/>
      <c r="C160" s="179"/>
      <c r="E160" s="179"/>
      <c r="F160" s="179"/>
      <c r="G160" s="179"/>
      <c r="M160" s="179"/>
      <c r="N160" s="179"/>
      <c r="O160" s="179"/>
      <c r="P160" s="179"/>
      <c r="R160" s="191" t="s">
        <v>405</v>
      </c>
      <c r="V160" s="195" t="s">
        <v>602</v>
      </c>
      <c r="W160" s="196"/>
      <c r="X160" s="197"/>
      <c r="AD160" s="191" t="s">
        <v>405</v>
      </c>
      <c r="AT160" s="145"/>
      <c r="AV160" s="254"/>
      <c r="AW160" s="254"/>
    </row>
    <row r="161" spans="1:56" x14ac:dyDescent="0.35">
      <c r="A161" s="144"/>
      <c r="B161" s="265" t="str">
        <f>VLOOKUP(B163,'[80]Location Status'!$A$7:$D$178,2,0)</f>
        <v>30/3</v>
      </c>
      <c r="C161" s="266"/>
      <c r="F161" s="265" t="str">
        <f>VLOOKUP(F163,'[80]Location Status'!$A$7:$D$178,2,0)</f>
        <v>30/4</v>
      </c>
      <c r="G161" s="266"/>
      <c r="J161" s="265" t="str">
        <f>VLOOKUP(J163,'[80]Location Status'!$A$7:$D$178,2,0)</f>
        <v>30/5</v>
      </c>
      <c r="K161" s="266"/>
      <c r="N161" s="265" t="str">
        <f>VLOOKUP(N163,'[80]Location Status'!$A$7:$D$178,2,0)</f>
        <v>31/0</v>
      </c>
      <c r="O161" s="266"/>
      <c r="R161" s="265" t="str">
        <f>VLOOKUP(R163,'[80]Location Status'!$A$7:$D$178,2,0)</f>
        <v>31/1</v>
      </c>
      <c r="S161" s="266"/>
      <c r="V161" s="265" t="str">
        <f>VLOOKUP(V163,'[80]Location Status'!$A$7:$D$178,2,0)</f>
        <v>31/2</v>
      </c>
      <c r="W161" s="266"/>
      <c r="Z161" s="265" t="str">
        <f>VLOOKUP(Z163,'[80]Location Status'!$A$7:$D$178,2,0)</f>
        <v xml:space="preserve">32/0 </v>
      </c>
      <c r="AA161" s="266"/>
      <c r="AD161" s="265" t="str">
        <f>VLOOKUP(AD163,'[80]Location Status'!$A$7:$D$178,2,0)</f>
        <v>32/1</v>
      </c>
      <c r="AE161" s="266"/>
      <c r="AH161" s="265" t="str">
        <f>VLOOKUP(AH163,'[80]Location Status'!$A$7:$D$178,2,0)</f>
        <v>32/2</v>
      </c>
      <c r="AI161" s="266"/>
      <c r="AL161" s="265" t="str">
        <f>VLOOKUP(AL163,'[80]Location Status'!$A$7:$D$178,2,0)</f>
        <v>33/0</v>
      </c>
      <c r="AM161" s="266"/>
      <c r="AP161" s="172"/>
      <c r="AQ161" s="171"/>
      <c r="AT161" s="145"/>
      <c r="AV161" s="254"/>
      <c r="AW161" s="254"/>
      <c r="BB161" s="183"/>
      <c r="BC161" s="184"/>
      <c r="BD161" s="185"/>
    </row>
    <row r="162" spans="1:56" x14ac:dyDescent="0.35">
      <c r="A162" s="144"/>
      <c r="AP162" s="172"/>
      <c r="AQ162" s="171"/>
      <c r="AT162" s="145"/>
      <c r="AV162" s="254"/>
      <c r="AW162" s="254"/>
    </row>
    <row r="163" spans="1:56" s="175" customFormat="1" x14ac:dyDescent="0.25">
      <c r="A163" s="174"/>
      <c r="B163" s="175">
        <f>1+AP154</f>
        <v>162</v>
      </c>
      <c r="F163" s="175">
        <f>1+B163</f>
        <v>163</v>
      </c>
      <c r="J163" s="175">
        <f>1+F163</f>
        <v>164</v>
      </c>
      <c r="N163" s="175">
        <f>1+J163</f>
        <v>165</v>
      </c>
      <c r="R163" s="175">
        <f>1+N163</f>
        <v>166</v>
      </c>
      <c r="V163" s="175">
        <f>1+R163</f>
        <v>167</v>
      </c>
      <c r="Z163" s="175">
        <f>1+V163</f>
        <v>168</v>
      </c>
      <c r="AD163" s="175">
        <f>1+Z163</f>
        <v>169</v>
      </c>
      <c r="AH163" s="175">
        <f>1+AD163</f>
        <v>170</v>
      </c>
      <c r="AL163" s="175">
        <f>1+AH163</f>
        <v>171</v>
      </c>
      <c r="AP163" s="172"/>
      <c r="AQ163" s="171"/>
      <c r="AT163" s="176"/>
      <c r="AV163" s="267"/>
      <c r="AW163" s="267"/>
    </row>
    <row r="164" spans="1:56" x14ac:dyDescent="0.35">
      <c r="A164" s="144"/>
      <c r="B164" s="156" t="s">
        <v>577</v>
      </c>
      <c r="C164" s="156" t="s">
        <v>578</v>
      </c>
      <c r="D164" s="265">
        <f>VLOOKUP(B163,'[80]Location Status'!$A$7:$D$178,4,0)</f>
        <v>403</v>
      </c>
      <c r="E164" s="266"/>
      <c r="F164" s="156" t="s">
        <v>577</v>
      </c>
      <c r="G164" s="156" t="s">
        <v>578</v>
      </c>
      <c r="H164" s="262">
        <f>VLOOKUP(F163,'[80]Location Status'!$A$7:$D$178,4,0)</f>
        <v>350</v>
      </c>
      <c r="I164" s="263"/>
      <c r="J164" s="182" t="s">
        <v>577</v>
      </c>
      <c r="K164" s="182" t="s">
        <v>578</v>
      </c>
      <c r="L164" s="262">
        <f>VLOOKUP(J163,'[80]Location Status'!$A$7:$D$178,4,0)</f>
        <v>354.815</v>
      </c>
      <c r="M164" s="263"/>
      <c r="N164" s="182" t="s">
        <v>577</v>
      </c>
      <c r="O164" s="182" t="s">
        <v>578</v>
      </c>
      <c r="P164" s="262">
        <f>VLOOKUP(N163,'[80]Location Status'!$A$7:$D$178,4,0)</f>
        <v>363</v>
      </c>
      <c r="Q164" s="263"/>
      <c r="R164" s="178" t="s">
        <v>577</v>
      </c>
      <c r="S164" s="178" t="s">
        <v>578</v>
      </c>
      <c r="T164" s="262">
        <f>VLOOKUP(R163,'[80]Location Status'!$A$7:$D$178,4,0)</f>
        <v>437</v>
      </c>
      <c r="U164" s="263"/>
      <c r="V164" s="182" t="s">
        <v>577</v>
      </c>
      <c r="W164" s="182" t="s">
        <v>578</v>
      </c>
      <c r="X164" s="262">
        <f>VLOOKUP(V163,'[80]Location Status'!$A$7:$D$178,4,0)</f>
        <v>347.61599999999999</v>
      </c>
      <c r="Y164" s="263"/>
      <c r="Z164" s="182" t="s">
        <v>577</v>
      </c>
      <c r="AA164" s="182" t="s">
        <v>578</v>
      </c>
      <c r="AB164" s="262">
        <f>VLOOKUP(Z163,'[80]Location Status'!$A$7:$D$178,4,0)</f>
        <v>400</v>
      </c>
      <c r="AC164" s="263"/>
      <c r="AD164" s="178" t="s">
        <v>577</v>
      </c>
      <c r="AE164" s="178" t="s">
        <v>578</v>
      </c>
      <c r="AF164" s="262">
        <f>VLOOKUP(AD163,'[80]Location Status'!$A$7:$D$178,4,0)</f>
        <v>439</v>
      </c>
      <c r="AG164" s="263"/>
      <c r="AH164" s="182" t="s">
        <v>577</v>
      </c>
      <c r="AI164" s="182" t="s">
        <v>578</v>
      </c>
      <c r="AJ164" s="262">
        <f>VLOOKUP(AH163,'[80]Location Status'!$A$7:$D$178,4,0)</f>
        <v>343.60700000000003</v>
      </c>
      <c r="AK164" s="263"/>
      <c r="AL164" s="182" t="s">
        <v>577</v>
      </c>
      <c r="AM164" s="182" t="s">
        <v>578</v>
      </c>
      <c r="AN164" s="177"/>
      <c r="AO164" s="198"/>
      <c r="AP164" s="172"/>
      <c r="AQ164" s="171"/>
      <c r="AR164" s="172"/>
      <c r="AS164" s="171"/>
      <c r="AT164" s="145"/>
      <c r="AV164" s="264">
        <f>D164+H164+L164+P164+T164+X164+AB164+AF164+AJ164+AN164+AR164</f>
        <v>3438.038</v>
      </c>
      <c r="AW164" s="264"/>
      <c r="AY164">
        <v>10</v>
      </c>
      <c r="BB164" s="184"/>
      <c r="BC164" s="184"/>
      <c r="BD164" s="185"/>
    </row>
    <row r="165" spans="1:56" x14ac:dyDescent="0.35">
      <c r="A165" s="144"/>
      <c r="B165" s="156" t="s">
        <v>581</v>
      </c>
      <c r="C165" s="156" t="s">
        <v>582</v>
      </c>
      <c r="F165" s="156" t="s">
        <v>581</v>
      </c>
      <c r="G165" s="156" t="s">
        <v>582</v>
      </c>
      <c r="J165" s="156" t="s">
        <v>581</v>
      </c>
      <c r="K165" s="156" t="s">
        <v>582</v>
      </c>
      <c r="N165" s="156" t="s">
        <v>581</v>
      </c>
      <c r="O165" s="156" t="s">
        <v>582</v>
      </c>
      <c r="R165" s="71" t="s">
        <v>581</v>
      </c>
      <c r="S165" s="71" t="s">
        <v>582</v>
      </c>
      <c r="V165" s="156" t="s">
        <v>581</v>
      </c>
      <c r="W165" s="156" t="s">
        <v>582</v>
      </c>
      <c r="Z165" s="156" t="s">
        <v>581</v>
      </c>
      <c r="AA165" s="156" t="s">
        <v>582</v>
      </c>
      <c r="AD165" s="71" t="s">
        <v>581</v>
      </c>
      <c r="AE165" s="71" t="s">
        <v>582</v>
      </c>
      <c r="AH165" s="156" t="s">
        <v>581</v>
      </c>
      <c r="AI165" s="156" t="s">
        <v>582</v>
      </c>
      <c r="AL165" s="156" t="s">
        <v>581</v>
      </c>
      <c r="AM165" s="156" t="s">
        <v>582</v>
      </c>
      <c r="AP165" s="172"/>
      <c r="AQ165" s="171"/>
      <c r="AT165" s="145"/>
      <c r="AV165" s="254"/>
      <c r="AW165" s="254"/>
    </row>
    <row r="166" spans="1:56" x14ac:dyDescent="0.35">
      <c r="A166" s="144"/>
      <c r="B166" s="260" t="s">
        <v>596</v>
      </c>
      <c r="C166" s="261"/>
      <c r="F166" s="259" t="s">
        <v>441</v>
      </c>
      <c r="G166" s="259"/>
      <c r="J166" s="259" t="s">
        <v>441</v>
      </c>
      <c r="K166" s="259"/>
      <c r="N166" s="259" t="s">
        <v>441</v>
      </c>
      <c r="O166" s="259"/>
      <c r="R166" s="246"/>
      <c r="S166" s="246"/>
      <c r="V166" s="246"/>
      <c r="W166" s="246"/>
      <c r="Z166" s="259" t="s">
        <v>441</v>
      </c>
      <c r="AA166" s="259"/>
      <c r="AD166" s="246"/>
      <c r="AE166" s="246"/>
      <c r="AH166" s="260" t="s">
        <v>596</v>
      </c>
      <c r="AI166" s="261"/>
      <c r="AL166" s="260" t="s">
        <v>596</v>
      </c>
      <c r="AM166" s="261"/>
      <c r="AP166" s="172"/>
      <c r="AQ166" s="171"/>
      <c r="AT166" s="145"/>
      <c r="AV166" s="254"/>
      <c r="AW166" s="254"/>
    </row>
    <row r="167" spans="1:56" x14ac:dyDescent="0.35">
      <c r="A167" s="144"/>
      <c r="B167" s="180" t="str">
        <f>VLOOKUP(B163,'[80]Location Status'!$A$7:$D$178,3,0)</f>
        <v>DA+9</v>
      </c>
      <c r="C167" s="180"/>
      <c r="F167" s="180" t="str">
        <f>VLOOKUP(F163,'[80]Location Status'!$A$7:$D$178,3,0)</f>
        <v>DA+3</v>
      </c>
      <c r="G167" s="180"/>
      <c r="J167" s="180" t="str">
        <f>VLOOKUP(J163,'[80]Location Status'!$A$7:$D$178,3,0)</f>
        <v>DA+0</v>
      </c>
      <c r="K167" s="180"/>
      <c r="N167" s="180" t="str">
        <f>VLOOKUP(N163,'[80]Location Status'!$A$7:$D$178,3,0)</f>
        <v>DD45+0</v>
      </c>
      <c r="O167" s="180"/>
      <c r="R167" s="180" t="str">
        <f>VLOOKUP(R163,'[80]Location Status'!$A$7:$D$178,3,0)</f>
        <v>DA+6</v>
      </c>
      <c r="S167" s="180"/>
      <c r="V167" s="180" t="str">
        <f>VLOOKUP(V163,'[80]Location Status'!$A$7:$D$178,3,0)</f>
        <v>DB1+6</v>
      </c>
      <c r="W167" s="180"/>
      <c r="Z167" s="180" t="str">
        <f>VLOOKUP(Z163,'[80]Location Status'!$A$7:$D$178,3,0)</f>
        <v>DB1+0</v>
      </c>
      <c r="AA167" s="180"/>
      <c r="AD167" s="180" t="str">
        <f>VLOOKUP(AD163,'[80]Location Status'!$A$7:$D$178,3,0)</f>
        <v>DA+6</v>
      </c>
      <c r="AE167" s="180"/>
      <c r="AH167" s="180" t="str">
        <f>VLOOKUP(AH163,'[80]Location Status'!$A$7:$D$178,3,0)</f>
        <v>DB1+9</v>
      </c>
      <c r="AI167" s="180"/>
      <c r="AL167" s="180" t="str">
        <f>VLOOKUP(AL163,'[80]Location Status'!$A$7:$D$178,3,0)</f>
        <v>DC2+0</v>
      </c>
      <c r="AM167" s="180"/>
      <c r="AP167" s="180"/>
      <c r="AQ167" s="180"/>
      <c r="AT167" s="145"/>
      <c r="AV167" s="254"/>
      <c r="AW167" s="254"/>
      <c r="BB167" s="184"/>
      <c r="BC167" s="184"/>
      <c r="BD167" s="185"/>
    </row>
    <row r="168" spans="1:56" ht="15" thickBot="1" x14ac:dyDescent="0.4">
      <c r="A168" s="199"/>
      <c r="B168" s="200"/>
      <c r="C168" s="200"/>
      <c r="D168" s="201"/>
      <c r="E168" s="201"/>
      <c r="F168" s="200"/>
      <c r="G168" s="200"/>
      <c r="H168" s="201"/>
      <c r="I168" s="201"/>
      <c r="J168" s="200"/>
      <c r="K168" s="200"/>
      <c r="L168" s="201"/>
      <c r="M168" s="201"/>
      <c r="N168" s="200"/>
      <c r="O168" s="200"/>
      <c r="P168" s="201"/>
      <c r="Q168" s="201"/>
      <c r="R168" s="200"/>
      <c r="S168" s="200"/>
      <c r="T168" s="201"/>
      <c r="U168" s="201"/>
      <c r="V168" s="200"/>
      <c r="W168" s="200"/>
      <c r="X168" s="201"/>
      <c r="Y168" s="201"/>
      <c r="Z168" s="200"/>
      <c r="AA168" s="200"/>
      <c r="AB168" s="201"/>
      <c r="AC168" s="201"/>
      <c r="AD168" s="200"/>
      <c r="AE168" s="200"/>
      <c r="AF168" s="201"/>
      <c r="AG168" s="201"/>
      <c r="AH168" s="200"/>
      <c r="AI168" s="200"/>
      <c r="AJ168" s="201"/>
      <c r="AK168" s="201"/>
      <c r="AL168" s="200"/>
      <c r="AM168" s="200"/>
      <c r="AN168" s="201"/>
      <c r="AO168" s="201"/>
      <c r="AP168" s="200"/>
      <c r="AQ168" s="200"/>
      <c r="AR168" s="201"/>
      <c r="AS168" s="201"/>
      <c r="AT168" s="202"/>
      <c r="AV168" s="254"/>
      <c r="AW168" s="254"/>
    </row>
    <row r="169" spans="1:56" ht="15" thickBot="1" x14ac:dyDescent="0.4"/>
    <row r="170" spans="1:56" ht="15" thickBot="1" x14ac:dyDescent="0.4">
      <c r="A170" s="255" t="s">
        <v>618</v>
      </c>
      <c r="B170" s="256"/>
      <c r="C170" s="256"/>
      <c r="D170" s="256"/>
      <c r="E170" s="256"/>
      <c r="F170" s="256"/>
      <c r="G170" s="256"/>
      <c r="H170" s="256"/>
      <c r="I170" s="256"/>
      <c r="J170" s="256"/>
      <c r="K170" s="256"/>
      <c r="L170" s="256"/>
      <c r="M170" s="256"/>
      <c r="N170" s="256"/>
      <c r="O170" s="257"/>
    </row>
    <row r="171" spans="1:56" ht="0.75" customHeight="1" thickBot="1" x14ac:dyDescent="0.4">
      <c r="A171" s="144"/>
      <c r="O171" s="145"/>
    </row>
    <row r="172" spans="1:56" s="211" customFormat="1" ht="24.75" customHeight="1" thickBot="1" x14ac:dyDescent="0.4">
      <c r="A172" s="258" t="s">
        <v>619</v>
      </c>
      <c r="B172" s="250"/>
      <c r="C172" s="250" t="s">
        <v>620</v>
      </c>
      <c r="D172" s="250"/>
      <c r="E172" s="250"/>
      <c r="F172" s="210"/>
      <c r="G172" s="250" t="s">
        <v>621</v>
      </c>
      <c r="H172" s="250"/>
      <c r="I172" s="250"/>
      <c r="J172" s="250" t="s">
        <v>622</v>
      </c>
      <c r="K172" s="250"/>
      <c r="L172" s="250"/>
      <c r="M172" s="250" t="s">
        <v>0</v>
      </c>
      <c r="N172" s="250"/>
      <c r="O172" s="251"/>
      <c r="P172"/>
      <c r="Q172"/>
      <c r="R172"/>
      <c r="S172"/>
      <c r="T172"/>
      <c r="U172"/>
      <c r="V172"/>
      <c r="Y172" s="258" t="s">
        <v>623</v>
      </c>
      <c r="Z172" s="250"/>
      <c r="AA172" s="250"/>
      <c r="AB172" s="250" t="s">
        <v>624</v>
      </c>
      <c r="AC172" s="250"/>
      <c r="AD172" s="250"/>
      <c r="AE172" s="250" t="s">
        <v>570</v>
      </c>
      <c r="AF172" s="250"/>
      <c r="AG172" s="251"/>
    </row>
    <row r="173" spans="1:56" x14ac:dyDescent="0.35">
      <c r="A173" s="252">
        <f>1</f>
        <v>1</v>
      </c>
      <c r="B173" s="253"/>
      <c r="C173" s="235" t="s">
        <v>4</v>
      </c>
      <c r="D173" s="235"/>
      <c r="E173" s="235"/>
      <c r="F173" s="212" t="s">
        <v>625</v>
      </c>
      <c r="G173" s="235">
        <f>'[80]updated Progress'!C185</f>
        <v>10</v>
      </c>
      <c r="H173" s="235"/>
      <c r="I173" s="235"/>
      <c r="J173" s="235">
        <f>'[80]updated Progress'!D185</f>
        <v>9</v>
      </c>
      <c r="K173" s="235"/>
      <c r="L173" s="235"/>
      <c r="M173" s="235">
        <f>'[80]updated Progress'!E185</f>
        <v>1</v>
      </c>
      <c r="N173" s="235"/>
      <c r="O173" s="237"/>
      <c r="W173" s="158"/>
      <c r="X173" s="158"/>
      <c r="Y173" s="248">
        <f>'[80]updated Progress'!N185</f>
        <v>7</v>
      </c>
      <c r="Z173" s="235"/>
      <c r="AA173" s="235"/>
      <c r="AB173" s="235">
        <f>'[80]updated Progress'!O185</f>
        <v>2</v>
      </c>
      <c r="AC173" s="235"/>
      <c r="AD173" s="235"/>
      <c r="AE173" s="236">
        <f>'[80]updated Progress'!Q185</f>
        <v>3</v>
      </c>
      <c r="AF173" s="235"/>
      <c r="AG173" s="237"/>
    </row>
    <row r="174" spans="1:56" x14ac:dyDescent="0.35">
      <c r="A174" s="245">
        <f>A173+1</f>
        <v>2</v>
      </c>
      <c r="B174" s="246"/>
      <c r="C174" s="247" t="s">
        <v>55</v>
      </c>
      <c r="D174" s="247"/>
      <c r="E174" s="247"/>
      <c r="F174" s="203" t="s">
        <v>625</v>
      </c>
      <c r="G174" s="235">
        <f>'[80]updated Progress'!C186</f>
        <v>5</v>
      </c>
      <c r="H174" s="235"/>
      <c r="I174" s="235"/>
      <c r="J174" s="235">
        <f>'[80]updated Progress'!D186</f>
        <v>5</v>
      </c>
      <c r="K174" s="235"/>
      <c r="L174" s="235"/>
      <c r="M174" s="235">
        <f>'[80]updated Progress'!E186</f>
        <v>0</v>
      </c>
      <c r="N174" s="235"/>
      <c r="O174" s="237"/>
      <c r="W174" s="158"/>
      <c r="X174" s="158"/>
      <c r="Y174" s="248">
        <f>'[80]updated Progress'!N186</f>
        <v>5</v>
      </c>
      <c r="Z174" s="235"/>
      <c r="AA174" s="235"/>
      <c r="AB174" s="235">
        <f>'[80]updated Progress'!O186</f>
        <v>0</v>
      </c>
      <c r="AC174" s="235"/>
      <c r="AD174" s="235"/>
      <c r="AE174" s="236">
        <f>'[80]updated Progress'!Q186</f>
        <v>0</v>
      </c>
      <c r="AF174" s="235"/>
      <c r="AG174" s="237"/>
    </row>
    <row r="175" spans="1:56" x14ac:dyDescent="0.35">
      <c r="A175" s="245">
        <f t="shared" ref="A175:A205" si="1">A174+1</f>
        <v>3</v>
      </c>
      <c r="B175" s="246"/>
      <c r="C175" s="247" t="s">
        <v>3</v>
      </c>
      <c r="D175" s="247"/>
      <c r="E175" s="247"/>
      <c r="F175" s="203" t="s">
        <v>625</v>
      </c>
      <c r="G175" s="235">
        <f>'[80]updated Progress'!C187</f>
        <v>44</v>
      </c>
      <c r="H175" s="235"/>
      <c r="I175" s="235"/>
      <c r="J175" s="235">
        <f>'[80]updated Progress'!D187</f>
        <v>31</v>
      </c>
      <c r="K175" s="235"/>
      <c r="L175" s="235"/>
      <c r="M175" s="235">
        <f>'[80]updated Progress'!E187</f>
        <v>13</v>
      </c>
      <c r="N175" s="235"/>
      <c r="O175" s="237"/>
      <c r="W175" s="158"/>
      <c r="X175" s="158"/>
      <c r="Y175" s="248">
        <f>'[80]updated Progress'!N187</f>
        <v>17</v>
      </c>
      <c r="Z175" s="235"/>
      <c r="AA175" s="235"/>
      <c r="AB175" s="235">
        <f>'[80]updated Progress'!O187</f>
        <v>14</v>
      </c>
      <c r="AC175" s="235"/>
      <c r="AD175" s="235"/>
      <c r="AE175" s="236">
        <f>'[80]updated Progress'!Q187</f>
        <v>27</v>
      </c>
      <c r="AF175" s="235"/>
      <c r="AG175" s="237"/>
    </row>
    <row r="176" spans="1:56" x14ac:dyDescent="0.35">
      <c r="A176" s="245">
        <f t="shared" si="1"/>
        <v>4</v>
      </c>
      <c r="B176" s="246"/>
      <c r="C176" s="249" t="s">
        <v>68</v>
      </c>
      <c r="D176" s="247"/>
      <c r="E176" s="247"/>
      <c r="F176" s="203" t="s">
        <v>625</v>
      </c>
      <c r="G176" s="235">
        <f>'[80]updated Progress'!C188</f>
        <v>0</v>
      </c>
      <c r="H176" s="235"/>
      <c r="I176" s="235"/>
      <c r="J176" s="235">
        <f>'[80]updated Progress'!D188</f>
        <v>0</v>
      </c>
      <c r="K176" s="235"/>
      <c r="L176" s="235"/>
      <c r="M176" s="235">
        <f>'[80]updated Progress'!E188</f>
        <v>0</v>
      </c>
      <c r="N176" s="235"/>
      <c r="O176" s="237"/>
      <c r="W176" s="158"/>
      <c r="X176" s="158"/>
      <c r="Y176" s="248">
        <f>'[80]updated Progress'!N188</f>
        <v>0</v>
      </c>
      <c r="Z176" s="235"/>
      <c r="AA176" s="235"/>
      <c r="AB176" s="235">
        <f>'[80]updated Progress'!O188</f>
        <v>0</v>
      </c>
      <c r="AC176" s="235"/>
      <c r="AD176" s="235"/>
      <c r="AE176" s="236">
        <f>'[80]updated Progress'!Q188</f>
        <v>0</v>
      </c>
      <c r="AF176" s="235"/>
      <c r="AG176" s="237"/>
    </row>
    <row r="177" spans="1:33" x14ac:dyDescent="0.35">
      <c r="A177" s="245">
        <f t="shared" si="1"/>
        <v>5</v>
      </c>
      <c r="B177" s="246"/>
      <c r="C177" s="249" t="s">
        <v>2</v>
      </c>
      <c r="D177" s="247"/>
      <c r="E177" s="247"/>
      <c r="F177" s="203" t="s">
        <v>625</v>
      </c>
      <c r="G177" s="235">
        <f>'[80]updated Progress'!C189</f>
        <v>43</v>
      </c>
      <c r="H177" s="235"/>
      <c r="I177" s="235"/>
      <c r="J177" s="235">
        <f>'[80]updated Progress'!D189</f>
        <v>32</v>
      </c>
      <c r="K177" s="235"/>
      <c r="L177" s="235"/>
      <c r="M177" s="235">
        <f>'[80]updated Progress'!E189</f>
        <v>11</v>
      </c>
      <c r="N177" s="235"/>
      <c r="O177" s="237"/>
      <c r="W177" s="158"/>
      <c r="X177" s="158"/>
      <c r="Y177" s="248">
        <f>'[80]updated Progress'!N189</f>
        <v>21</v>
      </c>
      <c r="Z177" s="235"/>
      <c r="AA177" s="235"/>
      <c r="AB177" s="235">
        <f>'[80]updated Progress'!O189</f>
        <v>11</v>
      </c>
      <c r="AC177" s="235"/>
      <c r="AD177" s="235"/>
      <c r="AE177" s="236">
        <f>'[80]updated Progress'!Q189</f>
        <v>22</v>
      </c>
      <c r="AF177" s="235"/>
      <c r="AG177" s="237"/>
    </row>
    <row r="178" spans="1:33" x14ac:dyDescent="0.35">
      <c r="A178" s="245">
        <f t="shared" si="1"/>
        <v>6</v>
      </c>
      <c r="B178" s="246"/>
      <c r="C178" s="247" t="s">
        <v>47</v>
      </c>
      <c r="D178" s="247"/>
      <c r="E178" s="247"/>
      <c r="F178" s="203" t="s">
        <v>625</v>
      </c>
      <c r="G178" s="235">
        <f>'[80]updated Progress'!C190</f>
        <v>14</v>
      </c>
      <c r="H178" s="235"/>
      <c r="I178" s="235"/>
      <c r="J178" s="235">
        <f>'[80]updated Progress'!D190</f>
        <v>11</v>
      </c>
      <c r="K178" s="235"/>
      <c r="L178" s="235"/>
      <c r="M178" s="235">
        <f>'[80]updated Progress'!E190</f>
        <v>3</v>
      </c>
      <c r="N178" s="235"/>
      <c r="O178" s="237"/>
      <c r="W178" s="158"/>
      <c r="X178" s="158"/>
      <c r="Y178" s="248">
        <f>'[80]updated Progress'!N190</f>
        <v>8</v>
      </c>
      <c r="Z178" s="235"/>
      <c r="AA178" s="235"/>
      <c r="AB178" s="235">
        <f>'[80]updated Progress'!O190</f>
        <v>3</v>
      </c>
      <c r="AC178" s="235"/>
      <c r="AD178" s="235"/>
      <c r="AE178" s="236">
        <f>'[80]updated Progress'!Q190</f>
        <v>6</v>
      </c>
      <c r="AF178" s="235"/>
      <c r="AG178" s="237"/>
    </row>
    <row r="179" spans="1:33" x14ac:dyDescent="0.35">
      <c r="A179" s="245">
        <f t="shared" si="1"/>
        <v>7</v>
      </c>
      <c r="B179" s="246"/>
      <c r="C179" s="247" t="s">
        <v>17</v>
      </c>
      <c r="D179" s="247"/>
      <c r="E179" s="247"/>
      <c r="F179" s="203" t="s">
        <v>625</v>
      </c>
      <c r="G179" s="235">
        <f>'[80]updated Progress'!C191</f>
        <v>8</v>
      </c>
      <c r="H179" s="235"/>
      <c r="I179" s="235"/>
      <c r="J179" s="235">
        <f>'[80]updated Progress'!D191</f>
        <v>7</v>
      </c>
      <c r="K179" s="235"/>
      <c r="L179" s="235"/>
      <c r="M179" s="235">
        <f>'[80]updated Progress'!E191</f>
        <v>1</v>
      </c>
      <c r="N179" s="235"/>
      <c r="O179" s="237"/>
      <c r="W179" s="158"/>
      <c r="X179" s="158"/>
      <c r="Y179" s="248">
        <f>'[80]updated Progress'!N191</f>
        <v>3</v>
      </c>
      <c r="Z179" s="235"/>
      <c r="AA179" s="235"/>
      <c r="AB179" s="235">
        <f>'[80]updated Progress'!O191</f>
        <v>4</v>
      </c>
      <c r="AC179" s="235"/>
      <c r="AD179" s="235"/>
      <c r="AE179" s="236">
        <f>'[80]updated Progress'!Q191</f>
        <v>5</v>
      </c>
      <c r="AF179" s="235"/>
      <c r="AG179" s="237"/>
    </row>
    <row r="180" spans="1:33" x14ac:dyDescent="0.35">
      <c r="A180" s="245">
        <f t="shared" si="1"/>
        <v>8</v>
      </c>
      <c r="B180" s="246"/>
      <c r="C180" s="247" t="s">
        <v>89</v>
      </c>
      <c r="D180" s="247"/>
      <c r="E180" s="247"/>
      <c r="F180" s="203" t="s">
        <v>625</v>
      </c>
      <c r="G180" s="235">
        <f>'[80]updated Progress'!C192</f>
        <v>3</v>
      </c>
      <c r="H180" s="235"/>
      <c r="I180" s="235"/>
      <c r="J180" s="235">
        <f>'[80]updated Progress'!D192</f>
        <v>1</v>
      </c>
      <c r="K180" s="235"/>
      <c r="L180" s="235"/>
      <c r="M180" s="235">
        <f>'[80]updated Progress'!E192</f>
        <v>2</v>
      </c>
      <c r="N180" s="235"/>
      <c r="O180" s="237"/>
      <c r="W180" s="158"/>
      <c r="X180" s="158"/>
      <c r="Y180" s="248">
        <f>'[80]updated Progress'!N192</f>
        <v>0</v>
      </c>
      <c r="Z180" s="235"/>
      <c r="AA180" s="235"/>
      <c r="AB180" s="235">
        <f>'[80]updated Progress'!O192</f>
        <v>1</v>
      </c>
      <c r="AC180" s="235"/>
      <c r="AD180" s="235"/>
      <c r="AE180" s="236">
        <f>'[80]updated Progress'!Q192</f>
        <v>3</v>
      </c>
      <c r="AF180" s="235"/>
      <c r="AG180" s="237"/>
    </row>
    <row r="181" spans="1:33" x14ac:dyDescent="0.35">
      <c r="A181" s="245">
        <f t="shared" si="1"/>
        <v>9</v>
      </c>
      <c r="B181" s="246"/>
      <c r="C181" s="249" t="s">
        <v>98</v>
      </c>
      <c r="D181" s="247"/>
      <c r="E181" s="247"/>
      <c r="F181" s="203" t="s">
        <v>625</v>
      </c>
      <c r="G181" s="235">
        <f>'[80]updated Progress'!C193</f>
        <v>0</v>
      </c>
      <c r="H181" s="235"/>
      <c r="I181" s="235"/>
      <c r="J181" s="235">
        <f>'[80]updated Progress'!D193</f>
        <v>0</v>
      </c>
      <c r="K181" s="235"/>
      <c r="L181" s="235"/>
      <c r="M181" s="235">
        <f>'[80]updated Progress'!E193</f>
        <v>0</v>
      </c>
      <c r="N181" s="235"/>
      <c r="O181" s="237"/>
      <c r="W181" s="158"/>
      <c r="X181" s="158"/>
      <c r="Y181" s="248">
        <f>'[80]updated Progress'!N193</f>
        <v>0</v>
      </c>
      <c r="Z181" s="235"/>
      <c r="AA181" s="235"/>
      <c r="AB181" s="235">
        <f>'[80]updated Progress'!O193</f>
        <v>0</v>
      </c>
      <c r="AC181" s="235"/>
      <c r="AD181" s="235"/>
      <c r="AE181" s="236">
        <f>'[80]updated Progress'!Q193</f>
        <v>0</v>
      </c>
      <c r="AF181" s="235"/>
      <c r="AG181" s="237"/>
    </row>
    <row r="182" spans="1:33" x14ac:dyDescent="0.35">
      <c r="A182" s="245">
        <f>A180+1</f>
        <v>9</v>
      </c>
      <c r="B182" s="246"/>
      <c r="C182" s="247" t="s">
        <v>99</v>
      </c>
      <c r="D182" s="247"/>
      <c r="E182" s="247"/>
      <c r="F182" s="203" t="s">
        <v>625</v>
      </c>
      <c r="G182" s="235">
        <f>'[80]updated Progress'!C194</f>
        <v>4</v>
      </c>
      <c r="H182" s="235"/>
      <c r="I182" s="235"/>
      <c r="J182" s="235">
        <f>'[80]updated Progress'!D194</f>
        <v>3</v>
      </c>
      <c r="K182" s="235"/>
      <c r="L182" s="235"/>
      <c r="M182" s="235">
        <f>'[80]updated Progress'!E194</f>
        <v>1</v>
      </c>
      <c r="N182" s="235"/>
      <c r="O182" s="237"/>
      <c r="W182" s="158"/>
      <c r="X182" s="158"/>
      <c r="Y182" s="248">
        <f>'[80]updated Progress'!N194</f>
        <v>0</v>
      </c>
      <c r="Z182" s="235"/>
      <c r="AA182" s="235"/>
      <c r="AB182" s="235">
        <f>'[80]updated Progress'!O194</f>
        <v>3</v>
      </c>
      <c r="AC182" s="235"/>
      <c r="AD182" s="235"/>
      <c r="AE182" s="236">
        <f>'[80]updated Progress'!Q194</f>
        <v>4</v>
      </c>
      <c r="AF182" s="235"/>
      <c r="AG182" s="237"/>
    </row>
    <row r="183" spans="1:33" x14ac:dyDescent="0.35">
      <c r="A183" s="245">
        <f t="shared" si="1"/>
        <v>10</v>
      </c>
      <c r="B183" s="246"/>
      <c r="C183" s="247" t="s">
        <v>93</v>
      </c>
      <c r="D183" s="247"/>
      <c r="E183" s="247"/>
      <c r="F183" s="203" t="s">
        <v>625</v>
      </c>
      <c r="G183" s="235">
        <f>'[80]updated Progress'!C195</f>
        <v>6</v>
      </c>
      <c r="H183" s="235"/>
      <c r="I183" s="235"/>
      <c r="J183" s="235">
        <f>'[80]updated Progress'!D195</f>
        <v>6</v>
      </c>
      <c r="K183" s="235"/>
      <c r="L183" s="235"/>
      <c r="M183" s="235">
        <f>'[80]updated Progress'!E195</f>
        <v>0</v>
      </c>
      <c r="N183" s="235"/>
      <c r="O183" s="237"/>
      <c r="W183" s="158"/>
      <c r="X183" s="158"/>
      <c r="Y183" s="248">
        <f>'[80]updated Progress'!N195</f>
        <v>0</v>
      </c>
      <c r="Z183" s="235"/>
      <c r="AA183" s="235"/>
      <c r="AB183" s="235">
        <f>'[80]updated Progress'!O195</f>
        <v>6</v>
      </c>
      <c r="AC183" s="235"/>
      <c r="AD183" s="235"/>
      <c r="AE183" s="236">
        <f>'[80]updated Progress'!Q195</f>
        <v>6</v>
      </c>
      <c r="AF183" s="235"/>
      <c r="AG183" s="237"/>
    </row>
    <row r="184" spans="1:33" x14ac:dyDescent="0.35">
      <c r="A184" s="245">
        <f t="shared" si="1"/>
        <v>11</v>
      </c>
      <c r="B184" s="246"/>
      <c r="C184" s="247" t="s">
        <v>82</v>
      </c>
      <c r="D184" s="247"/>
      <c r="E184" s="247"/>
      <c r="F184" s="203" t="s">
        <v>625</v>
      </c>
      <c r="G184" s="235">
        <f>'[80]updated Progress'!C196</f>
        <v>8</v>
      </c>
      <c r="H184" s="235"/>
      <c r="I184" s="235"/>
      <c r="J184" s="235">
        <f>'[80]updated Progress'!D196</f>
        <v>5</v>
      </c>
      <c r="K184" s="235"/>
      <c r="L184" s="235"/>
      <c r="M184" s="235">
        <f>'[80]updated Progress'!E196</f>
        <v>3</v>
      </c>
      <c r="N184" s="235"/>
      <c r="O184" s="237"/>
      <c r="W184" s="158"/>
      <c r="X184" s="158"/>
      <c r="Y184" s="248">
        <f>'[80]updated Progress'!N196</f>
        <v>0</v>
      </c>
      <c r="Z184" s="235"/>
      <c r="AA184" s="235"/>
      <c r="AB184" s="235">
        <f>'[80]updated Progress'!O196</f>
        <v>5</v>
      </c>
      <c r="AC184" s="235"/>
      <c r="AD184" s="235"/>
      <c r="AE184" s="236">
        <f>'[80]updated Progress'!Q196</f>
        <v>8</v>
      </c>
      <c r="AF184" s="235"/>
      <c r="AG184" s="237"/>
    </row>
    <row r="185" spans="1:33" x14ac:dyDescent="0.35">
      <c r="A185" s="245">
        <f t="shared" si="1"/>
        <v>12</v>
      </c>
      <c r="B185" s="246"/>
      <c r="C185" s="247" t="s">
        <v>100</v>
      </c>
      <c r="D185" s="247"/>
      <c r="E185" s="247"/>
      <c r="F185" s="203" t="s">
        <v>625</v>
      </c>
      <c r="G185" s="235">
        <f>'[80]updated Progress'!C197</f>
        <v>1</v>
      </c>
      <c r="H185" s="235"/>
      <c r="I185" s="235"/>
      <c r="J185" s="235">
        <f>'[80]updated Progress'!D197</f>
        <v>1</v>
      </c>
      <c r="K185" s="235"/>
      <c r="L185" s="235"/>
      <c r="M185" s="235">
        <f>'[80]updated Progress'!E197</f>
        <v>0</v>
      </c>
      <c r="N185" s="235"/>
      <c r="O185" s="237"/>
      <c r="W185" s="158"/>
      <c r="X185" s="158"/>
      <c r="Y185" s="248">
        <f>'[80]updated Progress'!N197</f>
        <v>0</v>
      </c>
      <c r="Z185" s="235"/>
      <c r="AA185" s="235"/>
      <c r="AB185" s="235">
        <f>'[80]updated Progress'!O197</f>
        <v>1</v>
      </c>
      <c r="AC185" s="235"/>
      <c r="AD185" s="235"/>
      <c r="AE185" s="236">
        <f>'[80]updated Progress'!Q197</f>
        <v>1</v>
      </c>
      <c r="AF185" s="235"/>
      <c r="AG185" s="237"/>
    </row>
    <row r="186" spans="1:33" x14ac:dyDescent="0.35">
      <c r="A186" s="245">
        <f t="shared" si="1"/>
        <v>13</v>
      </c>
      <c r="B186" s="246"/>
      <c r="C186" s="247" t="s">
        <v>101</v>
      </c>
      <c r="D186" s="247"/>
      <c r="E186" s="247"/>
      <c r="F186" s="203" t="s">
        <v>625</v>
      </c>
      <c r="G186" s="235">
        <f>'[80]updated Progress'!C198</f>
        <v>1</v>
      </c>
      <c r="H186" s="235"/>
      <c r="I186" s="235"/>
      <c r="J186" s="235">
        <f>'[80]updated Progress'!D198</f>
        <v>1</v>
      </c>
      <c r="K186" s="235"/>
      <c r="L186" s="235"/>
      <c r="M186" s="235">
        <f>'[80]updated Progress'!E198</f>
        <v>0</v>
      </c>
      <c r="N186" s="235"/>
      <c r="O186" s="237"/>
      <c r="W186" s="158"/>
      <c r="X186" s="158"/>
      <c r="Y186" s="248">
        <f>'[80]updated Progress'!N198</f>
        <v>0</v>
      </c>
      <c r="Z186" s="235"/>
      <c r="AA186" s="235"/>
      <c r="AB186" s="235">
        <f>'[80]updated Progress'!O198</f>
        <v>1</v>
      </c>
      <c r="AC186" s="235"/>
      <c r="AD186" s="235"/>
      <c r="AE186" s="236">
        <f>'[80]updated Progress'!Q198</f>
        <v>1</v>
      </c>
      <c r="AF186" s="235"/>
      <c r="AG186" s="237"/>
    </row>
    <row r="187" spans="1:33" x14ac:dyDescent="0.35">
      <c r="A187" s="245">
        <f t="shared" si="1"/>
        <v>14</v>
      </c>
      <c r="B187" s="246"/>
      <c r="C187" s="249" t="s">
        <v>95</v>
      </c>
      <c r="D187" s="247"/>
      <c r="E187" s="247"/>
      <c r="F187" s="203" t="s">
        <v>625</v>
      </c>
      <c r="G187" s="235">
        <f>'[80]updated Progress'!C199</f>
        <v>0</v>
      </c>
      <c r="H187" s="235"/>
      <c r="I187" s="235"/>
      <c r="J187" s="235">
        <f>'[80]updated Progress'!D199</f>
        <v>0</v>
      </c>
      <c r="K187" s="235"/>
      <c r="L187" s="235"/>
      <c r="M187" s="235">
        <f>'[80]updated Progress'!E199</f>
        <v>0</v>
      </c>
      <c r="N187" s="235"/>
      <c r="O187" s="237"/>
      <c r="W187" s="158"/>
      <c r="X187" s="158"/>
      <c r="Y187" s="248">
        <f>'[80]updated Progress'!N199</f>
        <v>0</v>
      </c>
      <c r="Z187" s="235"/>
      <c r="AA187" s="235"/>
      <c r="AB187" s="235">
        <f>'[80]updated Progress'!O199</f>
        <v>0</v>
      </c>
      <c r="AC187" s="235"/>
      <c r="AD187" s="235"/>
      <c r="AE187" s="236">
        <f>'[80]updated Progress'!Q199</f>
        <v>0</v>
      </c>
      <c r="AF187" s="235"/>
      <c r="AG187" s="237"/>
    </row>
    <row r="188" spans="1:33" x14ac:dyDescent="0.35">
      <c r="A188" s="245">
        <f>A189+1</f>
        <v>15</v>
      </c>
      <c r="B188" s="246"/>
      <c r="C188" s="247" t="s">
        <v>626</v>
      </c>
      <c r="D188" s="247"/>
      <c r="E188" s="247"/>
      <c r="F188" s="203" t="s">
        <v>625</v>
      </c>
      <c r="G188" s="235">
        <f>'[80]updated Progress'!C200</f>
        <v>1</v>
      </c>
      <c r="H188" s="235"/>
      <c r="I188" s="235"/>
      <c r="J188" s="235">
        <f>'[80]updated Progress'!D200</f>
        <v>1</v>
      </c>
      <c r="K188" s="235"/>
      <c r="L188" s="235"/>
      <c r="M188" s="235">
        <f>'[80]updated Progress'!E200</f>
        <v>0</v>
      </c>
      <c r="N188" s="235"/>
      <c r="O188" s="237"/>
      <c r="W188" s="158"/>
      <c r="X188" s="158"/>
      <c r="Y188" s="248">
        <f>'[80]updated Progress'!N200</f>
        <v>0</v>
      </c>
      <c r="Z188" s="235"/>
      <c r="AA188" s="235"/>
      <c r="AB188" s="235">
        <f>'[80]updated Progress'!O200</f>
        <v>1</v>
      </c>
      <c r="AC188" s="235"/>
      <c r="AD188" s="235"/>
      <c r="AE188" s="236">
        <f>'[80]updated Progress'!Q200</f>
        <v>1</v>
      </c>
      <c r="AF188" s="235"/>
      <c r="AG188" s="237"/>
    </row>
    <row r="189" spans="1:33" x14ac:dyDescent="0.35">
      <c r="A189" s="245">
        <f>A186+1</f>
        <v>14</v>
      </c>
      <c r="B189" s="246"/>
      <c r="C189" s="247" t="s">
        <v>83</v>
      </c>
      <c r="D189" s="247"/>
      <c r="E189" s="247"/>
      <c r="F189" s="203" t="s">
        <v>625</v>
      </c>
      <c r="G189" s="235">
        <f>'[80]updated Progress'!C201</f>
        <v>4</v>
      </c>
      <c r="H189" s="235"/>
      <c r="I189" s="235"/>
      <c r="J189" s="235">
        <f>'[80]updated Progress'!D201</f>
        <v>3</v>
      </c>
      <c r="K189" s="235"/>
      <c r="L189" s="235"/>
      <c r="M189" s="235">
        <f>'[80]updated Progress'!E201</f>
        <v>1</v>
      </c>
      <c r="N189" s="235"/>
      <c r="O189" s="237"/>
      <c r="W189" s="158"/>
      <c r="X189" s="158"/>
      <c r="Y189" s="248">
        <f>'[80]updated Progress'!N201</f>
        <v>0</v>
      </c>
      <c r="Z189" s="235"/>
      <c r="AA189" s="235"/>
      <c r="AB189" s="235">
        <f>'[80]updated Progress'!O201</f>
        <v>3</v>
      </c>
      <c r="AC189" s="235"/>
      <c r="AD189" s="235"/>
      <c r="AE189" s="236">
        <f>'[80]updated Progress'!Q201</f>
        <v>4</v>
      </c>
      <c r="AF189" s="235"/>
      <c r="AG189" s="237"/>
    </row>
    <row r="190" spans="1:33" x14ac:dyDescent="0.35">
      <c r="A190" s="245">
        <f>A188+1</f>
        <v>16</v>
      </c>
      <c r="B190" s="246"/>
      <c r="C190" s="247" t="s">
        <v>96</v>
      </c>
      <c r="D190" s="247"/>
      <c r="E190" s="247"/>
      <c r="F190" s="203" t="s">
        <v>625</v>
      </c>
      <c r="G190" s="235">
        <f>'[80]updated Progress'!C202</f>
        <v>0</v>
      </c>
      <c r="H190" s="235"/>
      <c r="I190" s="235"/>
      <c r="J190" s="235">
        <f>'[80]updated Progress'!D202</f>
        <v>0</v>
      </c>
      <c r="K190" s="235"/>
      <c r="L190" s="235"/>
      <c r="M190" s="235">
        <f>'[80]updated Progress'!E202</f>
        <v>0</v>
      </c>
      <c r="N190" s="235"/>
      <c r="O190" s="237"/>
      <c r="W190" s="158"/>
      <c r="X190" s="158"/>
      <c r="Y190" s="248">
        <f>'[80]updated Progress'!N202</f>
        <v>0</v>
      </c>
      <c r="Z190" s="235"/>
      <c r="AA190" s="235"/>
      <c r="AB190" s="235">
        <f>'[80]updated Progress'!O202</f>
        <v>0</v>
      </c>
      <c r="AC190" s="235"/>
      <c r="AD190" s="235"/>
      <c r="AE190" s="236">
        <f>'[80]updated Progress'!Q202</f>
        <v>0</v>
      </c>
      <c r="AF190" s="235"/>
      <c r="AG190" s="237"/>
    </row>
    <row r="191" spans="1:33" x14ac:dyDescent="0.35">
      <c r="A191" s="245">
        <f t="shared" si="1"/>
        <v>17</v>
      </c>
      <c r="B191" s="246"/>
      <c r="C191" s="247" t="s">
        <v>627</v>
      </c>
      <c r="D191" s="247"/>
      <c r="E191" s="247"/>
      <c r="F191" s="203" t="s">
        <v>625</v>
      </c>
      <c r="G191" s="235">
        <f>'[80]updated Progress'!C203</f>
        <v>0</v>
      </c>
      <c r="H191" s="235"/>
      <c r="I191" s="235"/>
      <c r="J191" s="235">
        <f>'[80]updated Progress'!D203</f>
        <v>0</v>
      </c>
      <c r="K191" s="235"/>
      <c r="L191" s="235"/>
      <c r="M191" s="235">
        <f>'[80]updated Progress'!E203</f>
        <v>0</v>
      </c>
      <c r="N191" s="235"/>
      <c r="O191" s="237"/>
      <c r="W191" s="158"/>
      <c r="X191" s="158"/>
      <c r="Y191" s="248">
        <f>'[80]updated Progress'!N203</f>
        <v>0</v>
      </c>
      <c r="Z191" s="235"/>
      <c r="AA191" s="235"/>
      <c r="AB191" s="235">
        <f>'[80]updated Progress'!O203</f>
        <v>0</v>
      </c>
      <c r="AC191" s="235"/>
      <c r="AD191" s="235"/>
      <c r="AE191" s="236">
        <f>'[80]updated Progress'!Q203</f>
        <v>0</v>
      </c>
      <c r="AF191" s="235"/>
      <c r="AG191" s="237"/>
    </row>
    <row r="192" spans="1:33" x14ac:dyDescent="0.35">
      <c r="A192" s="245">
        <f t="shared" si="1"/>
        <v>18</v>
      </c>
      <c r="B192" s="246"/>
      <c r="C192" s="247" t="s">
        <v>628</v>
      </c>
      <c r="D192" s="247"/>
      <c r="E192" s="247"/>
      <c r="F192" s="203" t="s">
        <v>625</v>
      </c>
      <c r="G192" s="235">
        <f>'[80]updated Progress'!C204</f>
        <v>2</v>
      </c>
      <c r="H192" s="235"/>
      <c r="I192" s="235"/>
      <c r="J192" s="235">
        <f>'[80]updated Progress'!D204</f>
        <v>1</v>
      </c>
      <c r="K192" s="235"/>
      <c r="L192" s="235"/>
      <c r="M192" s="235">
        <f>'[80]updated Progress'!E204</f>
        <v>1</v>
      </c>
      <c r="N192" s="235"/>
      <c r="O192" s="237"/>
      <c r="W192" s="158"/>
      <c r="X192" s="158"/>
      <c r="Y192" s="248">
        <f>'[80]updated Progress'!N204</f>
        <v>0</v>
      </c>
      <c r="Z192" s="235"/>
      <c r="AA192" s="235"/>
      <c r="AB192" s="235">
        <f>'[80]updated Progress'!O204</f>
        <v>1</v>
      </c>
      <c r="AC192" s="235"/>
      <c r="AD192" s="235"/>
      <c r="AE192" s="236">
        <f>'[80]updated Progress'!Q204</f>
        <v>2</v>
      </c>
      <c r="AF192" s="235"/>
      <c r="AG192" s="237"/>
    </row>
    <row r="193" spans="1:33" x14ac:dyDescent="0.35">
      <c r="A193" s="245">
        <f t="shared" si="1"/>
        <v>19</v>
      </c>
      <c r="B193" s="246"/>
      <c r="C193" s="247" t="s">
        <v>71</v>
      </c>
      <c r="D193" s="247"/>
      <c r="E193" s="247"/>
      <c r="F193" s="203" t="s">
        <v>625</v>
      </c>
      <c r="G193" s="235">
        <f>'[80]updated Progress'!C205</f>
        <v>3</v>
      </c>
      <c r="H193" s="235"/>
      <c r="I193" s="235"/>
      <c r="J193" s="235">
        <f>'[80]updated Progress'!D205</f>
        <v>3</v>
      </c>
      <c r="K193" s="235"/>
      <c r="L193" s="235"/>
      <c r="M193" s="235">
        <f>'[80]updated Progress'!E205</f>
        <v>0</v>
      </c>
      <c r="N193" s="235"/>
      <c r="O193" s="237"/>
      <c r="W193" s="158"/>
      <c r="X193" s="158"/>
      <c r="Y193" s="248">
        <f>'[80]updated Progress'!N205</f>
        <v>0</v>
      </c>
      <c r="Z193" s="235"/>
      <c r="AA193" s="235"/>
      <c r="AB193" s="235">
        <f>'[80]updated Progress'!O205</f>
        <v>3</v>
      </c>
      <c r="AC193" s="235"/>
      <c r="AD193" s="235"/>
      <c r="AE193" s="236">
        <f>'[80]updated Progress'!Q205</f>
        <v>3</v>
      </c>
      <c r="AF193" s="235"/>
      <c r="AG193" s="237"/>
    </row>
    <row r="194" spans="1:33" x14ac:dyDescent="0.35">
      <c r="A194" s="245">
        <f t="shared" si="1"/>
        <v>20</v>
      </c>
      <c r="B194" s="246"/>
      <c r="C194" s="247" t="s">
        <v>629</v>
      </c>
      <c r="D194" s="247"/>
      <c r="E194" s="247"/>
      <c r="F194" s="203" t="s">
        <v>625</v>
      </c>
      <c r="G194" s="235">
        <f>'[80]updated Progress'!C206</f>
        <v>1</v>
      </c>
      <c r="H194" s="235"/>
      <c r="I194" s="235"/>
      <c r="J194" s="235">
        <f>'[80]updated Progress'!D206</f>
        <v>1</v>
      </c>
      <c r="K194" s="235"/>
      <c r="L194" s="235"/>
      <c r="M194" s="235">
        <f>'[80]updated Progress'!E206</f>
        <v>0</v>
      </c>
      <c r="N194" s="235"/>
      <c r="O194" s="237"/>
      <c r="W194" s="158"/>
      <c r="X194" s="158"/>
      <c r="Y194" s="248">
        <f>'[80]updated Progress'!N206</f>
        <v>0</v>
      </c>
      <c r="Z194" s="235"/>
      <c r="AA194" s="235"/>
      <c r="AB194" s="235">
        <f>'[80]updated Progress'!O206</f>
        <v>1</v>
      </c>
      <c r="AC194" s="235"/>
      <c r="AD194" s="235"/>
      <c r="AE194" s="236">
        <f>'[80]updated Progress'!Q206</f>
        <v>1</v>
      </c>
      <c r="AF194" s="235"/>
      <c r="AG194" s="237"/>
    </row>
    <row r="195" spans="1:33" x14ac:dyDescent="0.35">
      <c r="A195" s="245">
        <f t="shared" si="1"/>
        <v>21</v>
      </c>
      <c r="B195" s="246"/>
      <c r="C195" s="247" t="s">
        <v>630</v>
      </c>
      <c r="D195" s="247"/>
      <c r="E195" s="247"/>
      <c r="F195" s="203" t="s">
        <v>625</v>
      </c>
      <c r="G195" s="235">
        <f>'[80]updated Progress'!C207</f>
        <v>1</v>
      </c>
      <c r="H195" s="235"/>
      <c r="I195" s="235"/>
      <c r="J195" s="235">
        <f>'[80]updated Progress'!D207</f>
        <v>0</v>
      </c>
      <c r="K195" s="235"/>
      <c r="L195" s="235"/>
      <c r="M195" s="235">
        <f>'[80]updated Progress'!E207</f>
        <v>1</v>
      </c>
      <c r="N195" s="235"/>
      <c r="O195" s="237"/>
      <c r="W195" s="158"/>
      <c r="X195" s="158"/>
      <c r="Y195" s="248">
        <f>'[80]updated Progress'!N207</f>
        <v>0</v>
      </c>
      <c r="Z195" s="235"/>
      <c r="AA195" s="235"/>
      <c r="AB195" s="235">
        <f>'[80]updated Progress'!O207</f>
        <v>0</v>
      </c>
      <c r="AC195" s="235"/>
      <c r="AD195" s="235"/>
      <c r="AE195" s="236">
        <f>'[80]updated Progress'!Q207</f>
        <v>1</v>
      </c>
      <c r="AF195" s="235"/>
      <c r="AG195" s="237"/>
    </row>
    <row r="196" spans="1:33" x14ac:dyDescent="0.35">
      <c r="A196" s="245">
        <f t="shared" si="1"/>
        <v>22</v>
      </c>
      <c r="B196" s="246"/>
      <c r="C196" s="247" t="s">
        <v>631</v>
      </c>
      <c r="D196" s="247"/>
      <c r="E196" s="247"/>
      <c r="F196" s="203" t="s">
        <v>625</v>
      </c>
      <c r="G196" s="235">
        <f>'[80]updated Progress'!C208</f>
        <v>0</v>
      </c>
      <c r="H196" s="235"/>
      <c r="I196" s="235"/>
      <c r="J196" s="235">
        <f>'[80]updated Progress'!D208</f>
        <v>0</v>
      </c>
      <c r="K196" s="235"/>
      <c r="L196" s="235"/>
      <c r="M196" s="235">
        <f>'[80]updated Progress'!E208</f>
        <v>0</v>
      </c>
      <c r="N196" s="235"/>
      <c r="O196" s="237"/>
      <c r="W196" s="158"/>
      <c r="X196" s="158"/>
      <c r="Y196" s="248">
        <f>'[80]updated Progress'!N208</f>
        <v>0</v>
      </c>
      <c r="Z196" s="235"/>
      <c r="AA196" s="235"/>
      <c r="AB196" s="235">
        <f>'[80]updated Progress'!O208</f>
        <v>0</v>
      </c>
      <c r="AC196" s="235"/>
      <c r="AD196" s="235"/>
      <c r="AE196" s="236">
        <f>'[80]updated Progress'!Q208</f>
        <v>0</v>
      </c>
      <c r="AF196" s="235"/>
      <c r="AG196" s="237"/>
    </row>
    <row r="197" spans="1:33" x14ac:dyDescent="0.35">
      <c r="A197" s="245">
        <f t="shared" si="1"/>
        <v>23</v>
      </c>
      <c r="B197" s="246"/>
      <c r="C197" s="247" t="s">
        <v>76</v>
      </c>
      <c r="D197" s="247"/>
      <c r="E197" s="247"/>
      <c r="F197" s="203" t="s">
        <v>625</v>
      </c>
      <c r="G197" s="235">
        <f>'[80]updated Progress'!C209</f>
        <v>5</v>
      </c>
      <c r="H197" s="235"/>
      <c r="I197" s="235"/>
      <c r="J197" s="235">
        <f>'[80]updated Progress'!D209</f>
        <v>4</v>
      </c>
      <c r="K197" s="235"/>
      <c r="L197" s="235"/>
      <c r="M197" s="235">
        <f>'[80]updated Progress'!E209</f>
        <v>1</v>
      </c>
      <c r="N197" s="235"/>
      <c r="O197" s="237"/>
      <c r="W197" s="158"/>
      <c r="X197" s="158"/>
      <c r="Y197" s="248">
        <f>'[80]updated Progress'!N209</f>
        <v>0</v>
      </c>
      <c r="Z197" s="235"/>
      <c r="AA197" s="235"/>
      <c r="AB197" s="235">
        <f>'[80]updated Progress'!O209</f>
        <v>4</v>
      </c>
      <c r="AC197" s="235"/>
      <c r="AD197" s="235"/>
      <c r="AE197" s="236">
        <f>'[80]updated Progress'!Q209</f>
        <v>5</v>
      </c>
      <c r="AF197" s="235"/>
      <c r="AG197" s="237"/>
    </row>
    <row r="198" spans="1:33" x14ac:dyDescent="0.35">
      <c r="A198" s="245">
        <f t="shared" si="1"/>
        <v>24</v>
      </c>
      <c r="B198" s="246"/>
      <c r="C198" s="247" t="s">
        <v>81</v>
      </c>
      <c r="D198" s="247"/>
      <c r="E198" s="247"/>
      <c r="F198" s="203" t="s">
        <v>625</v>
      </c>
      <c r="G198" s="235">
        <f>'[80]updated Progress'!C210</f>
        <v>0</v>
      </c>
      <c r="H198" s="235"/>
      <c r="I198" s="235"/>
      <c r="J198" s="235">
        <f>'[80]updated Progress'!D210</f>
        <v>0</v>
      </c>
      <c r="K198" s="235"/>
      <c r="L198" s="235"/>
      <c r="M198" s="235">
        <f>'[80]updated Progress'!E210</f>
        <v>0</v>
      </c>
      <c r="N198" s="235"/>
      <c r="O198" s="237"/>
      <c r="W198" s="158"/>
      <c r="X198" s="158"/>
      <c r="Y198" s="248">
        <f>'[80]updated Progress'!N210</f>
        <v>0</v>
      </c>
      <c r="Z198" s="235"/>
      <c r="AA198" s="235"/>
      <c r="AB198" s="235">
        <f>'[80]updated Progress'!O210</f>
        <v>0</v>
      </c>
      <c r="AC198" s="235"/>
      <c r="AD198" s="235"/>
      <c r="AE198" s="236">
        <f>'[80]updated Progress'!Q210</f>
        <v>0</v>
      </c>
      <c r="AF198" s="235"/>
      <c r="AG198" s="237"/>
    </row>
    <row r="199" spans="1:33" x14ac:dyDescent="0.35">
      <c r="A199" s="245">
        <f t="shared" si="1"/>
        <v>25</v>
      </c>
      <c r="B199" s="246"/>
      <c r="C199" s="247" t="s">
        <v>632</v>
      </c>
      <c r="D199" s="247"/>
      <c r="E199" s="247"/>
      <c r="F199" s="203" t="s">
        <v>625</v>
      </c>
      <c r="G199" s="235">
        <f>'[80]updated Progress'!C211</f>
        <v>2</v>
      </c>
      <c r="H199" s="235"/>
      <c r="I199" s="235"/>
      <c r="J199" s="235">
        <f>'[80]updated Progress'!D211</f>
        <v>1</v>
      </c>
      <c r="K199" s="235"/>
      <c r="L199" s="235"/>
      <c r="M199" s="235">
        <f>'[80]updated Progress'!E211</f>
        <v>1</v>
      </c>
      <c r="N199" s="235"/>
      <c r="O199" s="237"/>
      <c r="W199" s="158"/>
      <c r="X199" s="158"/>
      <c r="Y199" s="248">
        <f>'[80]updated Progress'!N211</f>
        <v>0</v>
      </c>
      <c r="Z199" s="235"/>
      <c r="AA199" s="235"/>
      <c r="AB199" s="235">
        <f>'[80]updated Progress'!O211</f>
        <v>1</v>
      </c>
      <c r="AC199" s="235"/>
      <c r="AD199" s="235"/>
      <c r="AE199" s="236">
        <f>'[80]updated Progress'!Q211</f>
        <v>2</v>
      </c>
      <c r="AF199" s="235"/>
      <c r="AG199" s="237"/>
    </row>
    <row r="200" spans="1:33" x14ac:dyDescent="0.35">
      <c r="A200" s="245">
        <f t="shared" si="1"/>
        <v>26</v>
      </c>
      <c r="B200" s="246"/>
      <c r="C200" s="247" t="s">
        <v>633</v>
      </c>
      <c r="D200" s="247"/>
      <c r="E200" s="247"/>
      <c r="F200" s="203" t="s">
        <v>625</v>
      </c>
      <c r="G200" s="235">
        <f>'[80]updated Progress'!C212</f>
        <v>0</v>
      </c>
      <c r="H200" s="235"/>
      <c r="I200" s="235"/>
      <c r="J200" s="235">
        <f>'[80]updated Progress'!D212</f>
        <v>0</v>
      </c>
      <c r="K200" s="235"/>
      <c r="L200" s="235"/>
      <c r="M200" s="235">
        <f>'[80]updated Progress'!E212</f>
        <v>0</v>
      </c>
      <c r="N200" s="235"/>
      <c r="O200" s="237"/>
      <c r="W200" s="158"/>
      <c r="X200" s="158"/>
      <c r="Y200" s="248">
        <f>'[80]updated Progress'!N212</f>
        <v>0</v>
      </c>
      <c r="Z200" s="235"/>
      <c r="AA200" s="235"/>
      <c r="AB200" s="235">
        <f>'[80]updated Progress'!O212</f>
        <v>0</v>
      </c>
      <c r="AC200" s="235"/>
      <c r="AD200" s="235"/>
      <c r="AE200" s="236">
        <f>'[80]updated Progress'!Q212</f>
        <v>0</v>
      </c>
      <c r="AF200" s="235"/>
      <c r="AG200" s="237"/>
    </row>
    <row r="201" spans="1:33" x14ac:dyDescent="0.35">
      <c r="A201" s="245">
        <f t="shared" si="1"/>
        <v>27</v>
      </c>
      <c r="B201" s="246"/>
      <c r="C201" s="247" t="s">
        <v>86</v>
      </c>
      <c r="D201" s="247"/>
      <c r="E201" s="247"/>
      <c r="F201" s="203" t="s">
        <v>625</v>
      </c>
      <c r="G201" s="235">
        <f>'[80]updated Progress'!C213</f>
        <v>3</v>
      </c>
      <c r="H201" s="235"/>
      <c r="I201" s="235"/>
      <c r="J201" s="235">
        <f>'[80]updated Progress'!D213</f>
        <v>0</v>
      </c>
      <c r="K201" s="235"/>
      <c r="L201" s="235"/>
      <c r="M201" s="235">
        <f>'[80]updated Progress'!E213</f>
        <v>3</v>
      </c>
      <c r="N201" s="235"/>
      <c r="O201" s="237"/>
      <c r="W201" s="158"/>
      <c r="X201" s="158"/>
      <c r="Y201" s="248">
        <f>'[80]updated Progress'!N213</f>
        <v>0</v>
      </c>
      <c r="Z201" s="235"/>
      <c r="AA201" s="235"/>
      <c r="AB201" s="235">
        <f>'[80]updated Progress'!O213</f>
        <v>0</v>
      </c>
      <c r="AC201" s="235"/>
      <c r="AD201" s="235"/>
      <c r="AE201" s="236">
        <f>'[80]updated Progress'!Q213</f>
        <v>3</v>
      </c>
      <c r="AF201" s="235"/>
      <c r="AG201" s="237"/>
    </row>
    <row r="202" spans="1:33" x14ac:dyDescent="0.35">
      <c r="A202" s="245">
        <f t="shared" si="1"/>
        <v>28</v>
      </c>
      <c r="B202" s="246"/>
      <c r="C202" s="247" t="s">
        <v>94</v>
      </c>
      <c r="D202" s="247"/>
      <c r="E202" s="247"/>
      <c r="F202" s="203" t="s">
        <v>625</v>
      </c>
      <c r="G202" s="235">
        <f>'[80]updated Progress'!C214</f>
        <v>0</v>
      </c>
      <c r="H202" s="235"/>
      <c r="I202" s="235"/>
      <c r="J202" s="235">
        <f>'[80]updated Progress'!D214</f>
        <v>0</v>
      </c>
      <c r="K202" s="235"/>
      <c r="L202" s="235"/>
      <c r="M202" s="235">
        <f>'[80]updated Progress'!E214</f>
        <v>0</v>
      </c>
      <c r="N202" s="235"/>
      <c r="O202" s="237"/>
      <c r="W202" s="158"/>
      <c r="X202" s="158"/>
      <c r="Y202" s="248">
        <f>'[80]updated Progress'!N214</f>
        <v>0</v>
      </c>
      <c r="Z202" s="235"/>
      <c r="AA202" s="235"/>
      <c r="AB202" s="235">
        <f>'[80]updated Progress'!O214</f>
        <v>0</v>
      </c>
      <c r="AC202" s="235"/>
      <c r="AD202" s="235"/>
      <c r="AE202" s="236">
        <f>'[80]updated Progress'!Q214</f>
        <v>0</v>
      </c>
      <c r="AF202" s="235"/>
      <c r="AG202" s="237"/>
    </row>
    <row r="203" spans="1:33" x14ac:dyDescent="0.35">
      <c r="A203" s="245">
        <f t="shared" si="1"/>
        <v>29</v>
      </c>
      <c r="B203" s="246"/>
      <c r="C203" s="247" t="s">
        <v>634</v>
      </c>
      <c r="D203" s="247"/>
      <c r="E203" s="247"/>
      <c r="F203" s="203" t="s">
        <v>625</v>
      </c>
      <c r="G203" s="235">
        <f>'[80]updated Progress'!C215</f>
        <v>0</v>
      </c>
      <c r="H203" s="235"/>
      <c r="I203" s="235"/>
      <c r="J203" s="235">
        <f>'[80]updated Progress'!D215</f>
        <v>0</v>
      </c>
      <c r="K203" s="235"/>
      <c r="L203" s="235"/>
      <c r="M203" s="235">
        <f>'[80]updated Progress'!E215</f>
        <v>0</v>
      </c>
      <c r="N203" s="235"/>
      <c r="O203" s="237"/>
      <c r="W203" s="158"/>
      <c r="X203" s="158"/>
      <c r="Y203" s="248">
        <f>'[80]updated Progress'!N215</f>
        <v>0</v>
      </c>
      <c r="Z203" s="235"/>
      <c r="AA203" s="235"/>
      <c r="AB203" s="235">
        <f>'[80]updated Progress'!O215</f>
        <v>0</v>
      </c>
      <c r="AC203" s="235"/>
      <c r="AD203" s="235"/>
      <c r="AE203" s="236">
        <f>'[80]updated Progress'!Q215</f>
        <v>0</v>
      </c>
      <c r="AF203" s="235"/>
      <c r="AG203" s="237"/>
    </row>
    <row r="204" spans="1:33" x14ac:dyDescent="0.35">
      <c r="A204" s="245">
        <f t="shared" si="1"/>
        <v>30</v>
      </c>
      <c r="B204" s="246"/>
      <c r="C204" s="247" t="s">
        <v>92</v>
      </c>
      <c r="D204" s="247"/>
      <c r="E204" s="247"/>
      <c r="F204" s="203" t="s">
        <v>625</v>
      </c>
      <c r="G204" s="235">
        <f>'[80]updated Progress'!C216</f>
        <v>0</v>
      </c>
      <c r="H204" s="235"/>
      <c r="I204" s="235"/>
      <c r="J204" s="235">
        <f>'[80]updated Progress'!D216</f>
        <v>0</v>
      </c>
      <c r="K204" s="235"/>
      <c r="L204" s="235"/>
      <c r="M204" s="235">
        <f>'[80]updated Progress'!E216</f>
        <v>0</v>
      </c>
      <c r="N204" s="235"/>
      <c r="O204" s="237"/>
      <c r="W204" s="158"/>
      <c r="X204" s="158"/>
      <c r="Y204" s="248">
        <f>'[80]updated Progress'!N216</f>
        <v>0</v>
      </c>
      <c r="Z204" s="235"/>
      <c r="AA204" s="235"/>
      <c r="AB204" s="235">
        <f>'[80]updated Progress'!O216</f>
        <v>0</v>
      </c>
      <c r="AC204" s="235"/>
      <c r="AD204" s="235"/>
      <c r="AE204" s="236">
        <f>'[80]updated Progress'!Q216</f>
        <v>0</v>
      </c>
      <c r="AF204" s="235"/>
      <c r="AG204" s="237"/>
    </row>
    <row r="205" spans="1:33" ht="15" thickBot="1" x14ac:dyDescent="0.4">
      <c r="A205" s="238">
        <f t="shared" si="1"/>
        <v>31</v>
      </c>
      <c r="B205" s="239"/>
      <c r="C205" s="240" t="s">
        <v>168</v>
      </c>
      <c r="D205" s="240"/>
      <c r="E205" s="240"/>
      <c r="F205" s="213" t="s">
        <v>625</v>
      </c>
      <c r="G205" s="235">
        <f>'[80]updated Progress'!C217</f>
        <v>2</v>
      </c>
      <c r="H205" s="235"/>
      <c r="I205" s="235"/>
      <c r="J205" s="235">
        <f>'[80]updated Progress'!D217</f>
        <v>0</v>
      </c>
      <c r="K205" s="235"/>
      <c r="L205" s="235"/>
      <c r="M205" s="235">
        <f>'[80]updated Progress'!E217</f>
        <v>2</v>
      </c>
      <c r="N205" s="235"/>
      <c r="O205" s="237"/>
      <c r="W205" s="158"/>
      <c r="X205" s="158"/>
      <c r="Y205" s="241">
        <f>'[80]updated Progress'!N217</f>
        <v>0</v>
      </c>
      <c r="Z205" s="242"/>
      <c r="AA205" s="242"/>
      <c r="AB205" s="242">
        <f>'[80]updated Progress'!O217</f>
        <v>0</v>
      </c>
      <c r="AC205" s="242"/>
      <c r="AD205" s="242"/>
      <c r="AE205" s="243">
        <f>'[80]updated Progress'!Q217</f>
        <v>2</v>
      </c>
      <c r="AF205" s="242"/>
      <c r="AG205" s="244"/>
    </row>
    <row r="206" spans="1:33" ht="15" thickBot="1" x14ac:dyDescent="0.4">
      <c r="A206" s="230"/>
      <c r="B206" s="231"/>
      <c r="C206" s="232" t="s">
        <v>48</v>
      </c>
      <c r="D206" s="232"/>
      <c r="E206" s="232"/>
      <c r="F206" s="214" t="s">
        <v>625</v>
      </c>
      <c r="G206" s="232">
        <f>'[80]updated Progress'!C218</f>
        <v>171</v>
      </c>
      <c r="H206" s="232"/>
      <c r="I206" s="232"/>
      <c r="J206" s="232">
        <f>'[80]updated Progress'!D218</f>
        <v>126</v>
      </c>
      <c r="K206" s="232"/>
      <c r="L206" s="232"/>
      <c r="M206" s="232">
        <f>'[80]updated Progress'!E218</f>
        <v>45</v>
      </c>
      <c r="N206" s="232"/>
      <c r="O206" s="233"/>
      <c r="W206" s="158"/>
      <c r="X206" s="158"/>
      <c r="Y206" s="234">
        <f>'[80]updated Progress'!N218</f>
        <v>61</v>
      </c>
      <c r="Z206" s="226"/>
      <c r="AA206" s="226"/>
      <c r="AB206" s="226">
        <f>'[80]updated Progress'!O218</f>
        <v>65</v>
      </c>
      <c r="AC206" s="226"/>
      <c r="AD206" s="226"/>
      <c r="AE206" s="227">
        <f>'[80]updated Progress'!Q218</f>
        <v>110</v>
      </c>
      <c r="AF206" s="226"/>
      <c r="AG206" s="228"/>
    </row>
    <row r="207" spans="1:33" x14ac:dyDescent="0.35">
      <c r="W207" s="158"/>
      <c r="X207" s="158"/>
    </row>
  </sheetData>
  <mergeCells count="1006"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K16:P16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L31:AM31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V36:A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V36:W36"/>
    <mergeCell ref="Z36:AA36"/>
    <mergeCell ref="AD36:AE36"/>
    <mergeCell ref="AH36:AI36"/>
    <mergeCell ref="AL36:AM36"/>
    <mergeCell ref="AP36:AQ36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F39:AG39"/>
    <mergeCell ref="AJ39:AK39"/>
    <mergeCell ref="AN39:AO39"/>
    <mergeCell ref="AR39:AS39"/>
    <mergeCell ref="AV39:AW39"/>
    <mergeCell ref="AV40:AW40"/>
    <mergeCell ref="AH45:AI45"/>
    <mergeCell ref="AL45:AM45"/>
    <mergeCell ref="AP45:AQ45"/>
    <mergeCell ref="AV45:AW45"/>
    <mergeCell ref="AV46:AW46"/>
    <mergeCell ref="AV47:AW47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L50:AM50"/>
    <mergeCell ref="AP50:AQ50"/>
    <mergeCell ref="AV50:AW50"/>
    <mergeCell ref="AV51:AW51"/>
    <mergeCell ref="AV52:AW52"/>
    <mergeCell ref="AV53:AW53"/>
    <mergeCell ref="AV49:AW49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AB48:AC48"/>
    <mergeCell ref="AF48:AG48"/>
    <mergeCell ref="AJ48:AK48"/>
    <mergeCell ref="AN48:AO48"/>
    <mergeCell ref="AR48:AS48"/>
    <mergeCell ref="AV48:AW48"/>
    <mergeCell ref="D48:E48"/>
    <mergeCell ref="H48:I48"/>
    <mergeCell ref="L48:M48"/>
    <mergeCell ref="P48:Q48"/>
    <mergeCell ref="T48:U48"/>
    <mergeCell ref="X48:Y48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B54:C54"/>
    <mergeCell ref="F54:G54"/>
    <mergeCell ref="J54:K54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V84:AW84"/>
    <mergeCell ref="D85:E85"/>
    <mergeCell ref="H85:I85"/>
    <mergeCell ref="L85:M85"/>
    <mergeCell ref="P85:Q85"/>
    <mergeCell ref="T85:U85"/>
    <mergeCell ref="X85:Y85"/>
    <mergeCell ref="AB85:AC85"/>
    <mergeCell ref="AF85:AG85"/>
    <mergeCell ref="AJ85:AK85"/>
    <mergeCell ref="AD82:AE82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AV88:AW88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Z87:AA87"/>
    <mergeCell ref="AD87:AE87"/>
    <mergeCell ref="AH87:AI87"/>
    <mergeCell ref="AL87:AM87"/>
    <mergeCell ref="AP87:AQ87"/>
    <mergeCell ref="AV87:AW87"/>
    <mergeCell ref="AN85:AO85"/>
    <mergeCell ref="AR85:AS85"/>
    <mergeCell ref="AV85:AW85"/>
    <mergeCell ref="AV86:AW86"/>
    <mergeCell ref="B87:C87"/>
    <mergeCell ref="F87:G87"/>
    <mergeCell ref="J87:K87"/>
    <mergeCell ref="N87:O87"/>
    <mergeCell ref="R87:S87"/>
    <mergeCell ref="V87:W87"/>
    <mergeCell ref="AB93:AC93"/>
    <mergeCell ref="AF93:AG93"/>
    <mergeCell ref="AJ93:AK93"/>
    <mergeCell ref="AN93:AO93"/>
    <mergeCell ref="AR93:AS93"/>
    <mergeCell ref="AV93:AW93"/>
    <mergeCell ref="D93:E93"/>
    <mergeCell ref="H93:I93"/>
    <mergeCell ref="L93:M93"/>
    <mergeCell ref="P93:Q93"/>
    <mergeCell ref="T93:U93"/>
    <mergeCell ref="X93:Y93"/>
    <mergeCell ref="AH90:AI90"/>
    <mergeCell ref="AL90:AM90"/>
    <mergeCell ref="AP90:AQ90"/>
    <mergeCell ref="AV90:AW90"/>
    <mergeCell ref="AV91:AW91"/>
    <mergeCell ref="AV92:AW92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D98:AE98"/>
    <mergeCell ref="AH98:AI98"/>
    <mergeCell ref="AL98:AM98"/>
    <mergeCell ref="AP98:AQ98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B115:C115"/>
    <mergeCell ref="F115:G115"/>
    <mergeCell ref="J115:K115"/>
    <mergeCell ref="N115:O115"/>
    <mergeCell ref="R115:S115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AV116:AW116"/>
    <mergeCell ref="AV117:AW117"/>
    <mergeCell ref="D118:E118"/>
    <mergeCell ref="H118:I118"/>
    <mergeCell ref="L118:M118"/>
    <mergeCell ref="P118:Q118"/>
    <mergeCell ref="T118:U118"/>
    <mergeCell ref="X118:Y118"/>
    <mergeCell ref="AB118:AC118"/>
    <mergeCell ref="AF118:AG118"/>
    <mergeCell ref="V115:W115"/>
    <mergeCell ref="AD115:AE115"/>
    <mergeCell ref="AH115:AI115"/>
    <mergeCell ref="AL115:AM115"/>
    <mergeCell ref="AP115:AQ115"/>
    <mergeCell ref="AV115:AW115"/>
    <mergeCell ref="AL111:AM111"/>
    <mergeCell ref="AP111:AQ111"/>
    <mergeCell ref="AV111:AW111"/>
    <mergeCell ref="AV112:AW112"/>
    <mergeCell ref="AV114:AW114"/>
    <mergeCell ref="B124:C124"/>
    <mergeCell ref="F124:G124"/>
    <mergeCell ref="J124:K124"/>
    <mergeCell ref="N124:O124"/>
    <mergeCell ref="R124:S124"/>
    <mergeCell ref="V124:W124"/>
    <mergeCell ref="V120:W120"/>
    <mergeCell ref="Z120:AA120"/>
    <mergeCell ref="AD120:AE120"/>
    <mergeCell ref="AH120:AI120"/>
    <mergeCell ref="AL120:AM120"/>
    <mergeCell ref="AP120:AQ120"/>
    <mergeCell ref="AJ118:AK118"/>
    <mergeCell ref="AN118:AO118"/>
    <mergeCell ref="AR118:AS118"/>
    <mergeCell ref="AV118:AW118"/>
    <mergeCell ref="AV119:AW119"/>
    <mergeCell ref="B120:C120"/>
    <mergeCell ref="F120:G120"/>
    <mergeCell ref="J120:K120"/>
    <mergeCell ref="N120:O120"/>
    <mergeCell ref="R120:S120"/>
    <mergeCell ref="AV125:AW125"/>
    <mergeCell ref="AV126:AW126"/>
    <mergeCell ref="D127:E127"/>
    <mergeCell ref="H127:I127"/>
    <mergeCell ref="L127:M127"/>
    <mergeCell ref="P127:Q127"/>
    <mergeCell ref="T127:U127"/>
    <mergeCell ref="X127:Y127"/>
    <mergeCell ref="AB127:AC127"/>
    <mergeCell ref="AF127:AG127"/>
    <mergeCell ref="Z124:AA124"/>
    <mergeCell ref="AD124:AE124"/>
    <mergeCell ref="AH124:AI124"/>
    <mergeCell ref="AL124:AM124"/>
    <mergeCell ref="AP124:AQ124"/>
    <mergeCell ref="AV124:AW124"/>
    <mergeCell ref="AV120:AW120"/>
    <mergeCell ref="AV121:AW121"/>
    <mergeCell ref="AV122:AW122"/>
    <mergeCell ref="AV123:AW123"/>
    <mergeCell ref="B133:C133"/>
    <mergeCell ref="F133:G133"/>
    <mergeCell ref="J133:K133"/>
    <mergeCell ref="N133:O133"/>
    <mergeCell ref="R133:S133"/>
    <mergeCell ref="V133:W133"/>
    <mergeCell ref="V129:W129"/>
    <mergeCell ref="Z129:AA129"/>
    <mergeCell ref="AD129:AE129"/>
    <mergeCell ref="AH129:AI129"/>
    <mergeCell ref="AL129:AM129"/>
    <mergeCell ref="AP129:AQ129"/>
    <mergeCell ref="AJ127:AK127"/>
    <mergeCell ref="AN127:AO127"/>
    <mergeCell ref="AR127:AS127"/>
    <mergeCell ref="AV127:AW127"/>
    <mergeCell ref="AV128:AW128"/>
    <mergeCell ref="B129:C129"/>
    <mergeCell ref="F129:G129"/>
    <mergeCell ref="J129:K129"/>
    <mergeCell ref="N129:O129"/>
    <mergeCell ref="R129:S129"/>
    <mergeCell ref="AV134:AW134"/>
    <mergeCell ref="AV135:AW135"/>
    <mergeCell ref="D136:E136"/>
    <mergeCell ref="H136:I136"/>
    <mergeCell ref="L136:M136"/>
    <mergeCell ref="P136:Q136"/>
    <mergeCell ref="T136:U136"/>
    <mergeCell ref="X136:Y136"/>
    <mergeCell ref="AB136:AC136"/>
    <mergeCell ref="AF136:AG136"/>
    <mergeCell ref="Z133:AA133"/>
    <mergeCell ref="AD133:AE133"/>
    <mergeCell ref="AH133:AI133"/>
    <mergeCell ref="AL133:AM133"/>
    <mergeCell ref="AP133:AQ133"/>
    <mergeCell ref="AV133:AW133"/>
    <mergeCell ref="AV129:AW129"/>
    <mergeCell ref="AV130:AW130"/>
    <mergeCell ref="AV131:AW131"/>
    <mergeCell ref="AV132:AW132"/>
    <mergeCell ref="B142:C142"/>
    <mergeCell ref="F142:G142"/>
    <mergeCell ref="J142:K142"/>
    <mergeCell ref="N142:O142"/>
    <mergeCell ref="R142:S142"/>
    <mergeCell ref="V142:W142"/>
    <mergeCell ref="V138:W138"/>
    <mergeCell ref="Z138:AA138"/>
    <mergeCell ref="AD138:AE138"/>
    <mergeCell ref="AH138:AI138"/>
    <mergeCell ref="AL138:AM138"/>
    <mergeCell ref="AP138:AQ138"/>
    <mergeCell ref="AJ136:AK136"/>
    <mergeCell ref="AN136:AO136"/>
    <mergeCell ref="AR136:AS136"/>
    <mergeCell ref="AV136:AW136"/>
    <mergeCell ref="AV137:AW137"/>
    <mergeCell ref="B138:C138"/>
    <mergeCell ref="F138:G138"/>
    <mergeCell ref="J138:K138"/>
    <mergeCell ref="N138:O138"/>
    <mergeCell ref="R138:S138"/>
    <mergeCell ref="AV143:AW143"/>
    <mergeCell ref="AV144:AW144"/>
    <mergeCell ref="D145:E145"/>
    <mergeCell ref="H145:I145"/>
    <mergeCell ref="L145:M145"/>
    <mergeCell ref="P145:Q145"/>
    <mergeCell ref="T145:U145"/>
    <mergeCell ref="X145:Y145"/>
    <mergeCell ref="AB145:AC145"/>
    <mergeCell ref="AF145:AG145"/>
    <mergeCell ref="Z142:AA142"/>
    <mergeCell ref="AD142:AE142"/>
    <mergeCell ref="AH142:AI142"/>
    <mergeCell ref="AL142:AM142"/>
    <mergeCell ref="AP142:AQ142"/>
    <mergeCell ref="AV142:AW142"/>
    <mergeCell ref="AV138:AW138"/>
    <mergeCell ref="AV139:AW139"/>
    <mergeCell ref="AV140:AW140"/>
    <mergeCell ref="AV141:AW141"/>
    <mergeCell ref="AV147:AW147"/>
    <mergeCell ref="AV148:AW148"/>
    <mergeCell ref="AV149:AW149"/>
    <mergeCell ref="AV150:AW150"/>
    <mergeCell ref="AV151:AW151"/>
    <mergeCell ref="B152:C152"/>
    <mergeCell ref="F152:G152"/>
    <mergeCell ref="J152:K152"/>
    <mergeCell ref="N152:O152"/>
    <mergeCell ref="R152:S152"/>
    <mergeCell ref="V147:W147"/>
    <mergeCell ref="Z147:AA147"/>
    <mergeCell ref="AD147:AE147"/>
    <mergeCell ref="AH147:AI147"/>
    <mergeCell ref="AL147:AM147"/>
    <mergeCell ref="AP147:AQ147"/>
    <mergeCell ref="AJ145:AK145"/>
    <mergeCell ref="AN145:AO145"/>
    <mergeCell ref="AR145:AS145"/>
    <mergeCell ref="AV145:AW145"/>
    <mergeCell ref="AV146:AW146"/>
    <mergeCell ref="B147:C147"/>
    <mergeCell ref="F147:G147"/>
    <mergeCell ref="J147:K147"/>
    <mergeCell ref="N147:O147"/>
    <mergeCell ref="R147:S147"/>
    <mergeCell ref="AF155:AG155"/>
    <mergeCell ref="AJ155:AK155"/>
    <mergeCell ref="AN155:AO155"/>
    <mergeCell ref="AR155:AS155"/>
    <mergeCell ref="AV155:AW155"/>
    <mergeCell ref="AV156:AW156"/>
    <mergeCell ref="AV152:AW152"/>
    <mergeCell ref="AV153:AW153"/>
    <mergeCell ref="AV154:AW154"/>
    <mergeCell ref="D155:E155"/>
    <mergeCell ref="H155:I155"/>
    <mergeCell ref="L155:M155"/>
    <mergeCell ref="P155:Q155"/>
    <mergeCell ref="T155:U155"/>
    <mergeCell ref="X155:Y155"/>
    <mergeCell ref="AB155:AC155"/>
    <mergeCell ref="V152:W152"/>
    <mergeCell ref="Z152:AA152"/>
    <mergeCell ref="AD152:AE152"/>
    <mergeCell ref="AH152:AI152"/>
    <mergeCell ref="AL152:AM152"/>
    <mergeCell ref="AP152:AQ152"/>
    <mergeCell ref="AD161:AE161"/>
    <mergeCell ref="AH161:AI161"/>
    <mergeCell ref="AL161:AM161"/>
    <mergeCell ref="AV161:AW161"/>
    <mergeCell ref="AV162:AW162"/>
    <mergeCell ref="AV163:AW163"/>
    <mergeCell ref="AV158:AW158"/>
    <mergeCell ref="AV159:AW159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Z157:AA157"/>
    <mergeCell ref="AD157:AE157"/>
    <mergeCell ref="AH157:AI157"/>
    <mergeCell ref="AL157:AM157"/>
    <mergeCell ref="AP157:AQ157"/>
    <mergeCell ref="AV157:AW157"/>
    <mergeCell ref="B157:C157"/>
    <mergeCell ref="F157:G157"/>
    <mergeCell ref="J157:K157"/>
    <mergeCell ref="N157:O157"/>
    <mergeCell ref="R157:S157"/>
    <mergeCell ref="V157:W157"/>
    <mergeCell ref="AV167:AW167"/>
    <mergeCell ref="AV168:AW168"/>
    <mergeCell ref="A170:O170"/>
    <mergeCell ref="A172:B172"/>
    <mergeCell ref="C172:E172"/>
    <mergeCell ref="G172:I172"/>
    <mergeCell ref="J172:L172"/>
    <mergeCell ref="M172:O172"/>
    <mergeCell ref="Y172:AA172"/>
    <mergeCell ref="AB172:AD172"/>
    <mergeCell ref="V166:W166"/>
    <mergeCell ref="Z166:AA166"/>
    <mergeCell ref="AD166:AE166"/>
    <mergeCell ref="AH166:AI166"/>
    <mergeCell ref="AL166:AM166"/>
    <mergeCell ref="AV166:AW166"/>
    <mergeCell ref="AB164:AC164"/>
    <mergeCell ref="AF164:AG164"/>
    <mergeCell ref="AJ164:AK164"/>
    <mergeCell ref="AV164:AW164"/>
    <mergeCell ref="AV165:AW165"/>
    <mergeCell ref="B166:C166"/>
    <mergeCell ref="F166:G166"/>
    <mergeCell ref="J166:K166"/>
    <mergeCell ref="N166:O166"/>
    <mergeCell ref="R166:S166"/>
    <mergeCell ref="D164:E164"/>
    <mergeCell ref="H164:I164"/>
    <mergeCell ref="L164:M164"/>
    <mergeCell ref="P164:Q164"/>
    <mergeCell ref="T164:U164"/>
    <mergeCell ref="X164:Y164"/>
    <mergeCell ref="AB174:AD174"/>
    <mergeCell ref="AE174:AG174"/>
    <mergeCell ref="A175:B175"/>
    <mergeCell ref="C175:E175"/>
    <mergeCell ref="G175:I175"/>
    <mergeCell ref="J175:L175"/>
    <mergeCell ref="M175:O175"/>
    <mergeCell ref="Y175:AA175"/>
    <mergeCell ref="AB175:AD175"/>
    <mergeCell ref="AE175:AG175"/>
    <mergeCell ref="A174:B174"/>
    <mergeCell ref="C174:E174"/>
    <mergeCell ref="G174:I174"/>
    <mergeCell ref="J174:L174"/>
    <mergeCell ref="M174:O174"/>
    <mergeCell ref="Y174:AA174"/>
    <mergeCell ref="AE172:AG172"/>
    <mergeCell ref="A173:B173"/>
    <mergeCell ref="C173:E173"/>
    <mergeCell ref="G173:I173"/>
    <mergeCell ref="J173:L173"/>
    <mergeCell ref="M173:O173"/>
    <mergeCell ref="Y173:AA173"/>
    <mergeCell ref="AB173:AD173"/>
    <mergeCell ref="AE173:AG173"/>
    <mergeCell ref="AB178:AD178"/>
    <mergeCell ref="AE178:AG178"/>
    <mergeCell ref="A179:B179"/>
    <mergeCell ref="C179:E179"/>
    <mergeCell ref="G179:I179"/>
    <mergeCell ref="J179:L179"/>
    <mergeCell ref="M179:O179"/>
    <mergeCell ref="Y179:AA179"/>
    <mergeCell ref="AB179:AD179"/>
    <mergeCell ref="AE179:AG179"/>
    <mergeCell ref="A178:B178"/>
    <mergeCell ref="C178:E178"/>
    <mergeCell ref="G178:I178"/>
    <mergeCell ref="J178:L178"/>
    <mergeCell ref="M178:O178"/>
    <mergeCell ref="Y178:AA178"/>
    <mergeCell ref="AB176:AD176"/>
    <mergeCell ref="AE176:AG176"/>
    <mergeCell ref="A177:B177"/>
    <mergeCell ref="C177:E177"/>
    <mergeCell ref="G177:I177"/>
    <mergeCell ref="J177:L177"/>
    <mergeCell ref="M177:O177"/>
    <mergeCell ref="Y177:AA177"/>
    <mergeCell ref="AB177:AD177"/>
    <mergeCell ref="AE177:AG177"/>
    <mergeCell ref="A176:B176"/>
    <mergeCell ref="C176:E176"/>
    <mergeCell ref="G176:I176"/>
    <mergeCell ref="J176:L176"/>
    <mergeCell ref="M176:O176"/>
    <mergeCell ref="Y176:AA176"/>
    <mergeCell ref="AB182:AD182"/>
    <mergeCell ref="AE182:AG182"/>
    <mergeCell ref="A183:B183"/>
    <mergeCell ref="C183:E183"/>
    <mergeCell ref="G183:I183"/>
    <mergeCell ref="J183:L183"/>
    <mergeCell ref="M183:O183"/>
    <mergeCell ref="Y183:AA183"/>
    <mergeCell ref="AB183:AD183"/>
    <mergeCell ref="AE183:AG183"/>
    <mergeCell ref="A182:B182"/>
    <mergeCell ref="C182:E182"/>
    <mergeCell ref="G182:I182"/>
    <mergeCell ref="J182:L182"/>
    <mergeCell ref="M182:O182"/>
    <mergeCell ref="Y182:AA182"/>
    <mergeCell ref="AB180:AD180"/>
    <mergeCell ref="AE180:AG180"/>
    <mergeCell ref="A181:B181"/>
    <mergeCell ref="C181:E181"/>
    <mergeCell ref="G181:I181"/>
    <mergeCell ref="J181:L181"/>
    <mergeCell ref="M181:O181"/>
    <mergeCell ref="Y181:AA181"/>
    <mergeCell ref="AB181:AD181"/>
    <mergeCell ref="AE181:AG181"/>
    <mergeCell ref="A180:B180"/>
    <mergeCell ref="C180:E180"/>
    <mergeCell ref="G180:I180"/>
    <mergeCell ref="J180:L180"/>
    <mergeCell ref="M180:O180"/>
    <mergeCell ref="Y180:AA180"/>
    <mergeCell ref="AB186:AD186"/>
    <mergeCell ref="AE186:AG186"/>
    <mergeCell ref="A187:B187"/>
    <mergeCell ref="C187:E187"/>
    <mergeCell ref="G187:I187"/>
    <mergeCell ref="J187:L187"/>
    <mergeCell ref="M187:O187"/>
    <mergeCell ref="Y187:AA187"/>
    <mergeCell ref="AB187:AD187"/>
    <mergeCell ref="AE187:AG187"/>
    <mergeCell ref="A186:B186"/>
    <mergeCell ref="C186:E186"/>
    <mergeCell ref="G186:I186"/>
    <mergeCell ref="J186:L186"/>
    <mergeCell ref="M186:O186"/>
    <mergeCell ref="Y186:AA186"/>
    <mergeCell ref="AB184:AD184"/>
    <mergeCell ref="AE184:AG184"/>
    <mergeCell ref="A185:B185"/>
    <mergeCell ref="C185:E185"/>
    <mergeCell ref="G185:I185"/>
    <mergeCell ref="J185:L185"/>
    <mergeCell ref="M185:O185"/>
    <mergeCell ref="Y185:AA185"/>
    <mergeCell ref="AB185:AD185"/>
    <mergeCell ref="AE185:AG185"/>
    <mergeCell ref="A184:B184"/>
    <mergeCell ref="C184:E184"/>
    <mergeCell ref="G184:I184"/>
    <mergeCell ref="J184:L184"/>
    <mergeCell ref="M184:O184"/>
    <mergeCell ref="Y184:AA184"/>
    <mergeCell ref="AB190:AD190"/>
    <mergeCell ref="AE190:AG190"/>
    <mergeCell ref="A191:B191"/>
    <mergeCell ref="C191:E191"/>
    <mergeCell ref="G191:I191"/>
    <mergeCell ref="J191:L191"/>
    <mergeCell ref="M191:O191"/>
    <mergeCell ref="Y191:AA191"/>
    <mergeCell ref="AB191:AD191"/>
    <mergeCell ref="AE191:AG191"/>
    <mergeCell ref="A190:B190"/>
    <mergeCell ref="C190:E190"/>
    <mergeCell ref="G190:I190"/>
    <mergeCell ref="J190:L190"/>
    <mergeCell ref="M190:O190"/>
    <mergeCell ref="Y190:AA190"/>
    <mergeCell ref="AB188:AD188"/>
    <mergeCell ref="AE188:AG188"/>
    <mergeCell ref="A189:B189"/>
    <mergeCell ref="C189:E189"/>
    <mergeCell ref="G189:I189"/>
    <mergeCell ref="J189:L189"/>
    <mergeCell ref="M189:O189"/>
    <mergeCell ref="Y189:AA189"/>
    <mergeCell ref="AB189:AD189"/>
    <mergeCell ref="AE189:AG189"/>
    <mergeCell ref="A188:B188"/>
    <mergeCell ref="C188:E188"/>
    <mergeCell ref="G188:I188"/>
    <mergeCell ref="J188:L188"/>
    <mergeCell ref="M188:O188"/>
    <mergeCell ref="Y188:AA188"/>
    <mergeCell ref="AB194:AD194"/>
    <mergeCell ref="AE194:AG194"/>
    <mergeCell ref="A195:B195"/>
    <mergeCell ref="C195:E195"/>
    <mergeCell ref="G195:I195"/>
    <mergeCell ref="J195:L195"/>
    <mergeCell ref="M195:O195"/>
    <mergeCell ref="Y195:AA195"/>
    <mergeCell ref="AB195:AD195"/>
    <mergeCell ref="AE195:AG195"/>
    <mergeCell ref="A194:B194"/>
    <mergeCell ref="C194:E194"/>
    <mergeCell ref="G194:I194"/>
    <mergeCell ref="J194:L194"/>
    <mergeCell ref="M194:O194"/>
    <mergeCell ref="Y194:AA194"/>
    <mergeCell ref="AB192:AD192"/>
    <mergeCell ref="AE192:AG192"/>
    <mergeCell ref="A193:B193"/>
    <mergeCell ref="C193:E193"/>
    <mergeCell ref="G193:I193"/>
    <mergeCell ref="J193:L193"/>
    <mergeCell ref="M193:O193"/>
    <mergeCell ref="Y193:AA193"/>
    <mergeCell ref="AB193:AD193"/>
    <mergeCell ref="AE193:AG193"/>
    <mergeCell ref="A192:B192"/>
    <mergeCell ref="C192:E192"/>
    <mergeCell ref="G192:I192"/>
    <mergeCell ref="J192:L192"/>
    <mergeCell ref="M192:O192"/>
    <mergeCell ref="Y192:AA192"/>
    <mergeCell ref="AB198:AD198"/>
    <mergeCell ref="AE198:AG198"/>
    <mergeCell ref="A199:B199"/>
    <mergeCell ref="C199:E199"/>
    <mergeCell ref="G199:I199"/>
    <mergeCell ref="J199:L199"/>
    <mergeCell ref="M199:O199"/>
    <mergeCell ref="Y199:AA199"/>
    <mergeCell ref="AB199:AD199"/>
    <mergeCell ref="AE199:AG199"/>
    <mergeCell ref="A198:B198"/>
    <mergeCell ref="C198:E198"/>
    <mergeCell ref="G198:I198"/>
    <mergeCell ref="J198:L198"/>
    <mergeCell ref="M198:O198"/>
    <mergeCell ref="Y198:AA198"/>
    <mergeCell ref="AB196:AD196"/>
    <mergeCell ref="AE196:AG196"/>
    <mergeCell ref="A197:B197"/>
    <mergeCell ref="C197:E197"/>
    <mergeCell ref="G197:I197"/>
    <mergeCell ref="J197:L197"/>
    <mergeCell ref="M197:O197"/>
    <mergeCell ref="Y197:AA197"/>
    <mergeCell ref="AB197:AD197"/>
    <mergeCell ref="AE197:AG197"/>
    <mergeCell ref="A196:B196"/>
    <mergeCell ref="C196:E196"/>
    <mergeCell ref="G196:I196"/>
    <mergeCell ref="J196:L196"/>
    <mergeCell ref="M196:O196"/>
    <mergeCell ref="Y196:AA196"/>
    <mergeCell ref="Y203:AA203"/>
    <mergeCell ref="AB203:AD203"/>
    <mergeCell ref="AE203:AG203"/>
    <mergeCell ref="A202:B202"/>
    <mergeCell ref="C202:E202"/>
    <mergeCell ref="G202:I202"/>
    <mergeCell ref="J202:L202"/>
    <mergeCell ref="M202:O202"/>
    <mergeCell ref="Y202:AA202"/>
    <mergeCell ref="AB200:AD200"/>
    <mergeCell ref="AE200:AG200"/>
    <mergeCell ref="A201:B201"/>
    <mergeCell ref="C201:E201"/>
    <mergeCell ref="G201:I201"/>
    <mergeCell ref="J201:L201"/>
    <mergeCell ref="M201:O201"/>
    <mergeCell ref="Y201:AA201"/>
    <mergeCell ref="AB201:AD201"/>
    <mergeCell ref="AE201:AG201"/>
    <mergeCell ref="A200:B200"/>
    <mergeCell ref="C200:E200"/>
    <mergeCell ref="G200:I200"/>
    <mergeCell ref="J200:L200"/>
    <mergeCell ref="M200:O200"/>
    <mergeCell ref="Y200:AA200"/>
    <mergeCell ref="AB206:AD206"/>
    <mergeCell ref="AE206:AG206"/>
    <mergeCell ref="B53:N53"/>
    <mergeCell ref="A206:B206"/>
    <mergeCell ref="C206:E206"/>
    <mergeCell ref="G206:I206"/>
    <mergeCell ref="J206:L206"/>
    <mergeCell ref="M206:O206"/>
    <mergeCell ref="Y206:AA206"/>
    <mergeCell ref="AB204:AD204"/>
    <mergeCell ref="AE204:AG204"/>
    <mergeCell ref="A205:B205"/>
    <mergeCell ref="C205:E205"/>
    <mergeCell ref="G205:I205"/>
    <mergeCell ref="J205:L205"/>
    <mergeCell ref="M205:O205"/>
    <mergeCell ref="Y205:AA205"/>
    <mergeCell ref="AB205:AD205"/>
    <mergeCell ref="AE205:AG205"/>
    <mergeCell ref="A204:B204"/>
    <mergeCell ref="C204:E204"/>
    <mergeCell ref="G204:I204"/>
    <mergeCell ref="J204:L204"/>
    <mergeCell ref="M204:O204"/>
    <mergeCell ref="Y204:AA204"/>
    <mergeCell ref="AB202:AD202"/>
    <mergeCell ref="AE202:AG202"/>
    <mergeCell ref="A203:B203"/>
    <mergeCell ref="C203:E203"/>
    <mergeCell ref="G203:I203"/>
    <mergeCell ref="J203:L203"/>
    <mergeCell ref="M203:O203"/>
  </mergeCells>
  <conditionalFormatting sqref="A1 I3 L3 G4 I4:K4 M4 A5:I6 AA10:AA15 G19:J21 M19:T21 C19:D24 H22:J22 M22:Q22 T22 G23:S23 G24:N24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8" t="s">
        <v>489</v>
      </c>
      <c r="B1" s="98" t="s">
        <v>488</v>
      </c>
      <c r="C1" s="98" t="s">
        <v>487</v>
      </c>
      <c r="D1" s="98" t="s">
        <v>486</v>
      </c>
      <c r="E1" s="98" t="s">
        <v>485</v>
      </c>
      <c r="F1" s="98" t="s">
        <v>484</v>
      </c>
      <c r="G1" s="98" t="s">
        <v>483</v>
      </c>
      <c r="H1" s="98" t="s">
        <v>482</v>
      </c>
      <c r="I1" s="98" t="s">
        <v>481</v>
      </c>
      <c r="J1" s="98" t="s">
        <v>480</v>
      </c>
      <c r="K1" s="98" t="s">
        <v>479</v>
      </c>
    </row>
    <row r="2" spans="1:11" x14ac:dyDescent="0.35">
      <c r="A2" s="96" t="s">
        <v>612</v>
      </c>
      <c r="B2" s="96" t="s">
        <v>613</v>
      </c>
      <c r="C2" s="96" t="s">
        <v>478</v>
      </c>
      <c r="D2" s="97">
        <v>45488</v>
      </c>
      <c r="E2" s="97">
        <v>46187</v>
      </c>
      <c r="F2" s="96" t="s">
        <v>615</v>
      </c>
      <c r="G2" s="96" t="s">
        <v>603</v>
      </c>
      <c r="H2" s="96" t="s">
        <v>604</v>
      </c>
      <c r="I2" s="96" t="s">
        <v>605</v>
      </c>
      <c r="J2" s="96" t="s">
        <v>606</v>
      </c>
      <c r="K2" s="96" t="s">
        <v>607</v>
      </c>
    </row>
    <row r="3" spans="1:11" x14ac:dyDescent="0.35">
      <c r="A3" s="96"/>
      <c r="B3" s="96"/>
      <c r="C3" s="96"/>
      <c r="D3" s="96"/>
      <c r="E3" s="97"/>
      <c r="F3" s="96"/>
      <c r="G3" s="96"/>
      <c r="H3" s="96"/>
      <c r="I3" s="96"/>
      <c r="J3" s="96"/>
      <c r="K3" t="s">
        <v>608</v>
      </c>
    </row>
    <row r="4" spans="1:1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 t="s">
        <v>609</v>
      </c>
    </row>
    <row r="5" spans="1:11" x14ac:dyDescent="0.35">
      <c r="A5" s="96"/>
      <c r="B5" s="96"/>
      <c r="C5" s="96"/>
      <c r="D5" s="96"/>
      <c r="E5" s="96"/>
      <c r="F5" s="96"/>
      <c r="G5" s="96"/>
      <c r="H5" s="96"/>
      <c r="I5" s="96"/>
      <c r="J5" s="96"/>
      <c r="K5" s="96" t="s">
        <v>610</v>
      </c>
    </row>
    <row r="6" spans="1:11" x14ac:dyDescent="0.35">
      <c r="A6" s="96"/>
      <c r="B6" s="97"/>
      <c r="C6" s="96"/>
      <c r="D6" s="96"/>
      <c r="E6" s="96"/>
      <c r="F6" s="96"/>
      <c r="G6" s="96"/>
      <c r="H6" s="96"/>
      <c r="I6" s="96"/>
      <c r="J6" s="96"/>
      <c r="K6" s="96" t="s">
        <v>611</v>
      </c>
    </row>
    <row r="7" spans="1:1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x14ac:dyDescent="0.3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3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x14ac:dyDescent="0.35">
      <c r="K12" s="96"/>
    </row>
    <row r="13" spans="1:11" x14ac:dyDescent="0.35">
      <c r="K13" s="96"/>
    </row>
    <row r="14" spans="1:11" x14ac:dyDescent="0.35">
      <c r="K14" s="96"/>
    </row>
    <row r="15" spans="1:11" x14ac:dyDescent="0.35">
      <c r="K15" s="96"/>
    </row>
    <row r="16" spans="1:11" x14ac:dyDescent="0.35">
      <c r="K16" s="96"/>
    </row>
    <row r="17" spans="11:11" x14ac:dyDescent="0.35">
      <c r="K17" s="96"/>
    </row>
    <row r="18" spans="11:11" x14ac:dyDescent="0.35">
      <c r="K18" s="96"/>
    </row>
    <row r="19" spans="11:11" x14ac:dyDescent="0.35">
      <c r="K19" s="96"/>
    </row>
    <row r="20" spans="11:11" x14ac:dyDescent="0.35">
      <c r="K20" s="96"/>
    </row>
    <row r="21" spans="11:11" x14ac:dyDescent="0.35">
      <c r="K21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7265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47" t="s">
        <v>347</v>
      </c>
      <c r="B1" s="348"/>
      <c r="C1" s="348"/>
      <c r="D1" s="349"/>
      <c r="E1" s="349"/>
      <c r="F1" s="349"/>
      <c r="G1" s="349"/>
      <c r="H1" s="349"/>
      <c r="I1" s="349"/>
      <c r="J1" s="348"/>
      <c r="K1" s="348"/>
      <c r="L1" s="348"/>
      <c r="M1" s="348"/>
      <c r="N1" s="348"/>
      <c r="O1" s="348"/>
      <c r="P1" s="350"/>
    </row>
    <row r="2" spans="1:16" s="2" customFormat="1" ht="29.25" customHeight="1" x14ac:dyDescent="0.35">
      <c r="A2" s="351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51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DPR_TA-504</vt:lpstr>
      <vt:lpstr>Erection compiled</vt:lpstr>
      <vt:lpstr>Visual Chart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2025-11-27T05:40:12Z</dcterms:modified>
</cp:coreProperties>
</file>