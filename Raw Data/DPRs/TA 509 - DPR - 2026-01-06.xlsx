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awan TA-509\DPR\Jan'25 Internal DPR\"/>
    </mc:Choice>
  </mc:AlternateContent>
  <xr:revisionPtr revIDLastSave="0" documentId="13_ncr:1_{3D8AE52C-699B-43BC-B16F-3A2FDB0BC7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C-765kV MKTL" sheetId="23" r:id="rId1"/>
    <sheet name="SUMMARY" sheetId="13" r:id="rId2"/>
    <sheet name="FOUNDATION" sheetId="11" r:id="rId3"/>
    <sheet name="ERECTION" sheetId="16" r:id="rId4"/>
    <sheet name="EARTHING" sheetId="12" r:id="rId5"/>
    <sheet name="XING" sheetId="20" r:id="rId6"/>
    <sheet name="SUPPLY" sheetId="19" r:id="rId7"/>
    <sheet name="Sheet1" sheetId="17" state="hidden" r:id="rId8"/>
    <sheet name="SURVEY SUMMARY" sheetId="14" state="hidden" r:id="rId9"/>
    <sheet name="SURVEY STATUS " sheetId="15" state="hidden" r:id="rId10"/>
    <sheet name="Erection productivity" sheetId="22" state="hidden" r:id="rId11"/>
    <sheet name="TS  25-10-25 " sheetId="21" r:id="rId12"/>
  </sheets>
  <externalReferences>
    <externalReference r:id="rId13"/>
    <externalReference r:id="rId14"/>
  </externalReferences>
  <definedNames>
    <definedName name="\0">#REF!</definedName>
    <definedName name="\A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#N/A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1" localSheetId="0" hidden="1">{"'PROFITABILITY'!$A$1:$F$45"}</definedName>
    <definedName name="__f1" hidden="1">{"'PROFITABILITY'!$A$1:$F$45"}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ov2007" localSheetId="0" hidden="1">{"'PROFITABILITY'!$A$1:$F$45"}</definedName>
    <definedName name="__Nov2007" hidden="1">{"'PROFITABILITY'!$A$1:$F$45"}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#N/A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1" localSheetId="0" hidden="1">{"'PROFITABILITY'!$A$1:$F$45"}</definedName>
    <definedName name="_f1" hidden="1">{"'PROFITABILITY'!$A$1:$F$45"}</definedName>
    <definedName name="_Fill" hidden="1">#REF!</definedName>
    <definedName name="_xlnm._FilterDatabase" localSheetId="4" hidden="1">EARTHING!$A$2:$I$187</definedName>
    <definedName name="_xlnm._FilterDatabase" localSheetId="3" hidden="1">ERECTION!$A$2:$G$68</definedName>
    <definedName name="_xlnm._FilterDatabase" localSheetId="2" hidden="1">FOUNDATION!$A$2:$K$235</definedName>
    <definedName name="_xlnm._FilterDatabase" localSheetId="11" hidden="1">'TS  25-10-25 '!$A$7:$AE$629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>#REF!</definedName>
    <definedName name="_mnk1">#REF!</definedName>
    <definedName name="_N">#REF!</definedName>
    <definedName name="_new1">#REF!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>#REF!</definedName>
    <definedName name="_Sort" hidden="1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0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c" localSheetId="0" hidden="1">{"'PROFITABILITY'!$A$1:$F$45"}</definedName>
    <definedName name="aac" hidden="1">{"'PROFITABILITY'!$A$1:$F$45"}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nscount" hidden="1">1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DGSG" localSheetId="0" hidden="1">{"'PROFITABILITY'!$A$1:$F$45"}</definedName>
    <definedName name="ASDGSG" hidden="1">{"'PROFITABILITY'!$A$1:$F$45"}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cv" localSheetId="0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a" localSheetId="0" hidden="1">{"'PROFITABILITY'!$A$1:$F$45"}</definedName>
    <definedName name="caa" hidden="1">{"'PROFITABILITY'!$A$1:$F$45"}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0" hidden="1">{"'Sheet1'!$A$4386:$N$4591"}</definedName>
    <definedName name="cash" hidden="1">{"'Sheet1'!$A$4386:$N$4591"}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em">190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 hidden="1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st" localSheetId="0" hidden="1">{"'PROFITABILITY'!$A$1:$F$45"}</definedName>
    <definedName name="const" hidden="1">{"'PROFITABILITY'!$A$1:$F$45"}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w">10</definedName>
    <definedName name="cx">#REF!</definedName>
    <definedName name="d___0">#REF!</definedName>
    <definedName name="d___13">#REF!</definedName>
    <definedName name="d_jp" localSheetId="0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hidden="1">#REF!</definedName>
    <definedName name="ddddd">#REF!</definedName>
    <definedName name="ddf">#REF!</definedName>
    <definedName name="DE" localSheetId="0" hidden="1">{"'PROFITABILITY'!$A$1:$F$45"}</definedName>
    <definedName name="DE" hidden="1">{"'PROFITABILITY'!$A$1:$F$45"}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dfs" localSheetId="0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v">#REF!</definedName>
    <definedName name="DHTML" localSheetId="0" hidden="1">{"'Sheet1'!$A$4386:$N$4591"}</definedName>
    <definedName name="DHTML" hidden="1">{"'Sheet1'!$A$4386:$N$4591"}</definedName>
    <definedName name="Di">#REF!</definedName>
    <definedName name="Dialog5">#N/A</definedName>
    <definedName name="Dis" localSheetId="0" hidden="1">{"'PROFITABILITY'!$A$1:$F$45"}</definedName>
    <definedName name="Dis" hidden="1">{"'PROFITABILITY'!$A$1:$F$45"}</definedName>
    <definedName name="Discount" hidden="1">#REF!</definedName>
    <definedName name="display_area_2" hidden="1">#REF!</definedName>
    <definedName name="DIV">1000000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fadsf">#REF!</definedName>
    <definedName name="Eair">#REF!</definedName>
    <definedName name="earth" localSheetId="0" hidden="1">{"'Sheet1'!$A$4386:$N$4591"}</definedName>
    <definedName name="earth" hidden="1">{"'Sheet1'!$A$4386:$N$4591"}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wre" hidden="1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HEADS">#REF!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QAvz">#REF!</definedName>
    <definedName name="ff" hidden="1">#REF!</definedName>
    <definedName name="FFB">#REF!</definedName>
    <definedName name="ffff">#REF!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ll" hidden="1">#REF!</definedName>
    <definedName name="fill2" hidden="1">#REF!</definedName>
    <definedName name="FIM">#REF!</definedName>
    <definedName name="FIT">#REF!</definedName>
    <definedName name="FIT___0">#REF!</definedName>
    <definedName name="FIT___13">#REF!</definedName>
    <definedName name="fjhgfd" localSheetId="0" hidden="1">{"'Sheet1'!$A$4386:$N$4591"}</definedName>
    <definedName name="fjhgfd" hidden="1">{"'Sheet1'!$A$4386:$N$4591"}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pi0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0" hidden="1">{"'Sheet1'!$A$4386:$N$4591"}</definedName>
    <definedName name="funds" hidden="1">{"'Sheet1'!$A$4386:$N$4591"}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0" hidden="1">{"'PROFITABILITY'!$A$1:$F$45"}</definedName>
    <definedName name="ghmgm" hidden="1">{"'PROFITABILITY'!$A$1:$F$45"}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eader_Row">ROW(#REF!)</definedName>
    <definedName name="hf">#REF!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0" hidden="1">{"'PROFITABILITY'!$A$1:$F$45"}</definedName>
    <definedName name="hfjtyu" hidden="1">{"'PROFITABILITY'!$A$1:$F$45"}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 hidden="1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TML_CodePage" hidden="1">1252</definedName>
    <definedName name="HTML_Control" localSheetId="0" hidden="1">{"'TP-SUMMARY'!$I$11:$K$11"}</definedName>
    <definedName name="HTML_Control" hidden="1">{"'TP-SUMMARY'!$I$11:$K$11"}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AM" localSheetId="0" hidden="1">{"'Sheet1'!$A$4386:$N$4591"}</definedName>
    <definedName name="IAM" hidden="1">{"'Sheet1'!$A$4386:$N$4591"}</definedName>
    <definedName name="ic">5%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gjg" localSheetId="0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b">#REF!</definedName>
    <definedName name="kc">#REF!</definedName>
    <definedName name="key" hidden="1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lhl" localSheetId="0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ast_Row">#N/A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0">#REF!</definedName>
    <definedName name="Ma">#REF!</definedName>
    <definedName name="Ma_v">#REF!</definedName>
    <definedName name="MAACONSTN">#REF!</definedName>
    <definedName name="mac">75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pc">#REF!:#REF!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lllk" localSheetId="0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t0">#REF!</definedName>
    <definedName name="Num_Pmt_Per_Year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erbacklog">#REF!</definedName>
    <definedName name="ORDERSTATUS">#REF!</definedName>
    <definedName name="OrderTable" hidden="1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_2___m____p___l_______ln__4___l___d____1___2___K1____l___SQRT_A_____SQRT_m__1__2">"ki1"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centComplete" localSheetId="0">PercentCompleteBeyond*PeriodInPlan</definedName>
    <definedName name="PercentComplete">PercentCompleteBeyond*PeriodInPlan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atap" localSheetId="0" hidden="1">{"'Sheet1'!$A$4386:$N$4591"}</definedName>
    <definedName name="pratap" hidden="1">{"'Sheet1'!$A$4386:$N$4591"}</definedName>
    <definedName name="price">#REF!</definedName>
    <definedName name="Princ">#REF!</definedName>
    <definedName name="_xlnm.Print_Area" localSheetId="11">'TS  25-10-25 '!$A$1:$X$645</definedName>
    <definedName name="_xlnm.Print_Area" localSheetId="0">'VC-765kV MKTL'!$A$1:$AT$218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_xlnm.Print_Titles" localSheetId="11">'TS  25-10-25 '!$1:$7</definedName>
    <definedName name="_xlnm.Print_Titles">#N/A</definedName>
    <definedName name="PRINT_TITLES_MI">#REF!</definedName>
    <definedName name="print1">#REF!</definedName>
    <definedName name="printarea">#REF!</definedName>
    <definedName name="printn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aa" localSheetId="0" hidden="1">{"'Sheet1'!$A$4386:$N$4591"}</definedName>
    <definedName name="raaa" hidden="1">{"'Sheet1'!$A$4386:$N$4591"}</definedName>
    <definedName name="Rahul">#REF!</definedName>
    <definedName name="Rahul1">#REF!</definedName>
    <definedName name="RAIL">#REF!</definedName>
    <definedName name="Raj" localSheetId="0" hidden="1">{"'Sheet1'!$A$4386:$N$4591"}</definedName>
    <definedName name="Raj" hidden="1">{"'Sheet1'!$A$4386:$N$4591"}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_xlnm.Recorde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jrj" localSheetId="0" hidden="1">{"'PROFITABILITY'!$A$1:$F$45"}</definedName>
    <definedName name="rjrj" hidden="1">{"'PROFITABILITY'!$A$1:$F$45"}</definedName>
    <definedName name="rjrjj" localSheetId="0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ttj" localSheetId="0" hidden="1">{"'PROFITABILITY'!$A$1:$F$45"}</definedName>
    <definedName name="rttj" hidden="1">{"'PROFITABILITY'!$A$1:$F$45"}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UPEES">#REF!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S">#REF!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te">#REF!</definedName>
    <definedName name="sdf" localSheetId="0" hidden="1">{"'PROFITABILITY'!$A$1:$F$45"}</definedName>
    <definedName name="sdf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0" hidden="1">{"'PROFITABILITY'!$A$1:$F$45"}</definedName>
    <definedName name="SDGSG" hidden="1">{"'PROFITABILITY'!$A$1:$F$45"}</definedName>
    <definedName name="sdr">#REF!</definedName>
    <definedName name="sds">#REF!</definedName>
    <definedName name="se">#REF!</definedName>
    <definedName name="sect_table">#REF!:#REF!</definedName>
    <definedName name="SECTAB">#REF!:#REF!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oh">1%</definedName>
    <definedName name="Soil">#REF!</definedName>
    <definedName name="SOR">#REF!</definedName>
    <definedName name="sort1" hidden="1">#REF!</definedName>
    <definedName name="Spanner_Auto_File">"C:\Documents and Settings\pcsai\My Documents\DRAIN_De.x2a"</definedName>
    <definedName name="SpecialPrice" hidden="1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axTV">10%</definedName>
    <definedName name="TaxXL">5%</definedName>
    <definedName name="tb">#REF!</definedName>
    <definedName name="tbl_ProdInfo" hidden="1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#N/A</definedName>
    <definedName name="tr0">#REF!</definedName>
    <definedName name="TRANS">#REF!</definedName>
    <definedName name="Tres">#REF!</definedName>
    <definedName name="tres4">#REF!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y">#N/A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tyjyj" localSheetId="0" hidden="1">{"'PROFITABILITY'!$A$1:$F$45"}</definedName>
    <definedName name="tyjyj" hidden="1">{"'PROFITABILITY'!$A$1:$F$45"}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gfd" localSheetId="0" hidden="1">{"'Sheet1'!$A$4386:$N$4591"}</definedName>
    <definedName name="vggfd" hidden="1">{"'Sheet1'!$A$4386:$N$4591"}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aiting">"Picture 1"</definedName>
    <definedName name="water_funds" localSheetId="0" hidden="1">{"'Sheet1'!$A$4386:$N$4591"}</definedName>
    <definedName name="water_funds" hidden="1">{"'Sheet1'!$A$4386:$N$4591"}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were" hidden="1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0" hidden="1">{#N/A,#N/A,FALSE,"17MAY";#N/A,#N/A,FALSE,"24MAY"}</definedName>
    <definedName name="wrn.1." hidden="1">{#N/A,#N/A,FALSE,"17MAY";#N/A,#N/A,FALSE,"24MAY"}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0" hidden="1">{#N/A,#N/A,FALSE,"Motor List"}</definedName>
    <definedName name="wrn.test." hidden="1">{#N/A,#N/A,FALSE,"Motor List"}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0">#REF!</definedName>
    <definedName name="YEN">#REF!</definedName>
    <definedName name="ys">#REF!</definedName>
    <definedName name="yyy" localSheetId="0" hidden="1">{"'PROFITABILITY'!$A$1:$F$45"}</definedName>
    <definedName name="yyy" hidden="1">{"'PROFITABILITY'!$A$1:$F$45"}</definedName>
    <definedName name="yyy1" localSheetId="0" hidden="1">{"'PROFITABILITY'!$A$1:$F$45"}</definedName>
    <definedName name="yyy1" hidden="1">{"'PROFITABILITY'!$A$1:$F$45"}</definedName>
    <definedName name="z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9" l="1"/>
  <c r="I11" i="19" s="1"/>
  <c r="L9" i="13"/>
  <c r="L7" i="13"/>
  <c r="L8" i="13"/>
  <c r="I12" i="19"/>
  <c r="AV4" i="23"/>
  <c r="M8" i="13"/>
  <c r="M9" i="13"/>
  <c r="M7" i="13"/>
  <c r="AK204" i="23"/>
  <c r="AK203" i="23"/>
  <c r="AK202" i="23"/>
  <c r="AK201" i="23"/>
  <c r="AK200" i="23"/>
  <c r="AK199" i="23"/>
  <c r="AK198" i="23"/>
  <c r="AK197" i="23"/>
  <c r="AZ194" i="23"/>
  <c r="AY194" i="23"/>
  <c r="AX194" i="23"/>
  <c r="AW194" i="23"/>
  <c r="AV194" i="23"/>
  <c r="BB182" i="23"/>
  <c r="BB174" i="23"/>
  <c r="BB166" i="23"/>
  <c r="BB158" i="23"/>
  <c r="BB150" i="23"/>
  <c r="BB142" i="23"/>
  <c r="BB134" i="23"/>
  <c r="BB126" i="23"/>
  <c r="BB118" i="23"/>
  <c r="BB110" i="23"/>
  <c r="BB102" i="23"/>
  <c r="BB94" i="23"/>
  <c r="BB86" i="23"/>
  <c r="BB78" i="23"/>
  <c r="BB70" i="23"/>
  <c r="BB62" i="23"/>
  <c r="BB54" i="23"/>
  <c r="BB46" i="23"/>
  <c r="BB38" i="23"/>
  <c r="BB30" i="23"/>
  <c r="BB22" i="23"/>
  <c r="BB14" i="23"/>
  <c r="BB6" i="23"/>
  <c r="AV3" i="23"/>
  <c r="AN2" i="23"/>
  <c r="AV1" i="23"/>
  <c r="A1" i="23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G22" i="21" l="1"/>
  <c r="N8" i="13" l="1"/>
  <c r="I10" i="19"/>
  <c r="N9" i="13"/>
  <c r="R643" i="21" l="1"/>
  <c r="Q643" i="21"/>
  <c r="P643" i="21"/>
  <c r="O643" i="21"/>
  <c r="N643" i="21"/>
  <c r="M643" i="21"/>
  <c r="L643" i="21"/>
  <c r="K643" i="21"/>
  <c r="J643" i="21"/>
  <c r="I643" i="21"/>
  <c r="R642" i="21"/>
  <c r="Q642" i="21"/>
  <c r="P642" i="21"/>
  <c r="O642" i="21"/>
  <c r="N642" i="21"/>
  <c r="M642" i="21"/>
  <c r="L642" i="21"/>
  <c r="K642" i="21"/>
  <c r="J642" i="21"/>
  <c r="I642" i="21"/>
  <c r="R641" i="21"/>
  <c r="Q641" i="21"/>
  <c r="P641" i="21"/>
  <c r="O641" i="21"/>
  <c r="N641" i="21"/>
  <c r="M641" i="21"/>
  <c r="L641" i="21"/>
  <c r="K641" i="21"/>
  <c r="J641" i="21"/>
  <c r="I641" i="21"/>
  <c r="R640" i="21"/>
  <c r="Q640" i="21"/>
  <c r="P640" i="21"/>
  <c r="O640" i="21"/>
  <c r="N640" i="21"/>
  <c r="M640" i="21"/>
  <c r="L640" i="21"/>
  <c r="K640" i="21"/>
  <c r="J640" i="21"/>
  <c r="I640" i="21"/>
  <c r="R639" i="21"/>
  <c r="Q639" i="21"/>
  <c r="P639" i="21"/>
  <c r="O639" i="21"/>
  <c r="N639" i="21"/>
  <c r="M639" i="21"/>
  <c r="L639" i="21"/>
  <c r="K639" i="21"/>
  <c r="J639" i="21"/>
  <c r="I639" i="21"/>
  <c r="R638" i="21"/>
  <c r="Q638" i="21"/>
  <c r="P638" i="21"/>
  <c r="O638" i="21"/>
  <c r="N638" i="21"/>
  <c r="M638" i="21"/>
  <c r="L638" i="21"/>
  <c r="K638" i="21"/>
  <c r="J638" i="21"/>
  <c r="I638" i="21"/>
  <c r="R637" i="21"/>
  <c r="Q637" i="21"/>
  <c r="P637" i="21"/>
  <c r="O637" i="21"/>
  <c r="N637" i="21"/>
  <c r="M637" i="21"/>
  <c r="L637" i="21"/>
  <c r="K637" i="21"/>
  <c r="J637" i="21"/>
  <c r="I637" i="21"/>
  <c r="F629" i="21"/>
  <c r="K628" i="21" s="1"/>
  <c r="L628" i="21" s="1"/>
  <c r="G628" i="21"/>
  <c r="K626" i="21"/>
  <c r="L626" i="21" s="1"/>
  <c r="K624" i="21"/>
  <c r="L624" i="21" s="1"/>
  <c r="K622" i="21"/>
  <c r="L622" i="21" s="1"/>
  <c r="K620" i="21"/>
  <c r="L620" i="21" s="1"/>
  <c r="G620" i="21"/>
  <c r="K618" i="21"/>
  <c r="L618" i="21" s="1"/>
  <c r="K616" i="21"/>
  <c r="L616" i="21" s="1"/>
  <c r="K614" i="21"/>
  <c r="L614" i="21" s="1"/>
  <c r="K612" i="21"/>
  <c r="L612" i="21" s="1"/>
  <c r="K610" i="21"/>
  <c r="L610" i="21" s="1"/>
  <c r="K608" i="21"/>
  <c r="L608" i="21" s="1"/>
  <c r="K606" i="21"/>
  <c r="L606" i="21" s="1"/>
  <c r="K604" i="21"/>
  <c r="L604" i="21" s="1"/>
  <c r="K602" i="21"/>
  <c r="L602" i="21" s="1"/>
  <c r="G602" i="21"/>
  <c r="K600" i="21"/>
  <c r="L600" i="21" s="1"/>
  <c r="K598" i="21"/>
  <c r="L598" i="21" s="1"/>
  <c r="K596" i="21"/>
  <c r="L596" i="21" s="1"/>
  <c r="K594" i="21"/>
  <c r="L594" i="21" s="1"/>
  <c r="K592" i="21"/>
  <c r="L592" i="21" s="1"/>
  <c r="K590" i="21"/>
  <c r="L590" i="21" s="1"/>
  <c r="K588" i="21"/>
  <c r="L588" i="21" s="1"/>
  <c r="K586" i="21"/>
  <c r="L586" i="21" s="1"/>
  <c r="K584" i="21"/>
  <c r="L584" i="21" s="1"/>
  <c r="K582" i="21"/>
  <c r="L582" i="21" s="1"/>
  <c r="K580" i="21"/>
  <c r="L580" i="21" s="1"/>
  <c r="K578" i="21"/>
  <c r="L578" i="21" s="1"/>
  <c r="G578" i="21"/>
  <c r="K576" i="21"/>
  <c r="L576" i="21" s="1"/>
  <c r="K574" i="21"/>
  <c r="L574" i="21" s="1"/>
  <c r="G574" i="21"/>
  <c r="K572" i="21"/>
  <c r="L572" i="21" s="1"/>
  <c r="K570" i="21"/>
  <c r="L570" i="21" s="1"/>
  <c r="K568" i="21"/>
  <c r="L568" i="21" s="1"/>
  <c r="K566" i="21"/>
  <c r="L566" i="21" s="1"/>
  <c r="G566" i="21"/>
  <c r="K564" i="21"/>
  <c r="L564" i="21" s="1"/>
  <c r="G564" i="21"/>
  <c r="K562" i="21"/>
  <c r="L562" i="21" s="1"/>
  <c r="K560" i="21"/>
  <c r="L560" i="21" s="1"/>
  <c r="G560" i="21"/>
  <c r="K558" i="21"/>
  <c r="L558" i="21" s="1"/>
  <c r="G558" i="21"/>
  <c r="K556" i="21"/>
  <c r="L556" i="21" s="1"/>
  <c r="K554" i="21"/>
  <c r="L554" i="21" s="1"/>
  <c r="G554" i="21"/>
  <c r="G526" i="21"/>
  <c r="G522" i="21"/>
  <c r="G520" i="21"/>
  <c r="G518" i="21"/>
  <c r="G514" i="21"/>
  <c r="K512" i="21"/>
  <c r="L512" i="21" s="1"/>
  <c r="K510" i="21"/>
  <c r="L510" i="21" s="1"/>
  <c r="K508" i="21"/>
  <c r="L508" i="21" s="1"/>
  <c r="K506" i="21"/>
  <c r="L506" i="21" s="1"/>
  <c r="K504" i="21"/>
  <c r="L504" i="21" s="1"/>
  <c r="G504" i="21"/>
  <c r="K502" i="21"/>
  <c r="L502" i="21" s="1"/>
  <c r="K500" i="21"/>
  <c r="L500" i="21" s="1"/>
  <c r="K498" i="21"/>
  <c r="L498" i="21" s="1"/>
  <c r="K496" i="21"/>
  <c r="L496" i="21" s="1"/>
  <c r="K494" i="21"/>
  <c r="L494" i="21" s="1"/>
  <c r="K492" i="21"/>
  <c r="L492" i="21" s="1"/>
  <c r="K490" i="21"/>
  <c r="L490" i="21" s="1"/>
  <c r="G490" i="21"/>
  <c r="K488" i="21"/>
  <c r="L488" i="21" s="1"/>
  <c r="K486" i="21"/>
  <c r="L486" i="21" s="1"/>
  <c r="K484" i="21"/>
  <c r="L484" i="21" s="1"/>
  <c r="K482" i="21"/>
  <c r="L482" i="21" s="1"/>
  <c r="K480" i="21"/>
  <c r="L480" i="21" s="1"/>
  <c r="K478" i="21"/>
  <c r="L478" i="21" s="1"/>
  <c r="K476" i="21"/>
  <c r="L476" i="21" s="1"/>
  <c r="K474" i="21"/>
  <c r="L474" i="21" s="1"/>
  <c r="K472" i="21"/>
  <c r="L472" i="21" s="1"/>
  <c r="K470" i="21"/>
  <c r="L470" i="21" s="1"/>
  <c r="G470" i="21"/>
  <c r="K468" i="21"/>
  <c r="L468" i="21" s="1"/>
  <c r="K466" i="21"/>
  <c r="L466" i="21" s="1"/>
  <c r="K464" i="21"/>
  <c r="L464" i="21" s="1"/>
  <c r="K462" i="21"/>
  <c r="L462" i="21" s="1"/>
  <c r="K460" i="21"/>
  <c r="L460" i="21" s="1"/>
  <c r="K458" i="21"/>
  <c r="L458" i="21" s="1"/>
  <c r="K456" i="21"/>
  <c r="L456" i="21" s="1"/>
  <c r="K454" i="21"/>
  <c r="L454" i="21" s="1"/>
  <c r="K452" i="21"/>
  <c r="L452" i="21" s="1"/>
  <c r="K450" i="21"/>
  <c r="L450" i="21" s="1"/>
  <c r="K448" i="21"/>
  <c r="L448" i="21" s="1"/>
  <c r="G418" i="21"/>
  <c r="K416" i="21"/>
  <c r="L416" i="21" s="1"/>
  <c r="K414" i="21"/>
  <c r="L414" i="21" s="1"/>
  <c r="K412" i="21"/>
  <c r="L412" i="21" s="1"/>
  <c r="G412" i="21"/>
  <c r="K410" i="21"/>
  <c r="L410" i="21" s="1"/>
  <c r="G410" i="21"/>
  <c r="K408" i="21"/>
  <c r="L408" i="21" s="1"/>
  <c r="G408" i="21"/>
  <c r="K406" i="21"/>
  <c r="L406" i="21" s="1"/>
  <c r="G406" i="21"/>
  <c r="K404" i="21"/>
  <c r="L404" i="21" s="1"/>
  <c r="K402" i="21"/>
  <c r="L402" i="21" s="1"/>
  <c r="K400" i="21"/>
  <c r="L400" i="21" s="1"/>
  <c r="K398" i="21"/>
  <c r="L398" i="21" s="1"/>
  <c r="K396" i="21"/>
  <c r="L396" i="21" s="1"/>
  <c r="K394" i="21"/>
  <c r="L394" i="21" s="1"/>
  <c r="K392" i="21"/>
  <c r="L392" i="21" s="1"/>
  <c r="K390" i="21"/>
  <c r="L390" i="21" s="1"/>
  <c r="K388" i="21"/>
  <c r="L388" i="21" s="1"/>
  <c r="G388" i="21"/>
  <c r="K386" i="21"/>
  <c r="L386" i="21" s="1"/>
  <c r="K384" i="21"/>
  <c r="L384" i="21" s="1"/>
  <c r="K382" i="21"/>
  <c r="L382" i="21" s="1"/>
  <c r="K380" i="21"/>
  <c r="L380" i="21" s="1"/>
  <c r="G380" i="21"/>
  <c r="K378" i="21"/>
  <c r="L378" i="21" s="1"/>
  <c r="K376" i="21"/>
  <c r="L376" i="21" s="1"/>
  <c r="K374" i="21"/>
  <c r="L374" i="21" s="1"/>
  <c r="K372" i="21"/>
  <c r="L372" i="21" s="1"/>
  <c r="K370" i="21"/>
  <c r="L370" i="21" s="1"/>
  <c r="K368" i="21"/>
  <c r="L368" i="21" s="1"/>
  <c r="K366" i="21"/>
  <c r="L366" i="21" s="1"/>
  <c r="K364" i="21"/>
  <c r="L364" i="21" s="1"/>
  <c r="K362" i="21"/>
  <c r="L362" i="21" s="1"/>
  <c r="K360" i="21"/>
  <c r="L360" i="21" s="1"/>
  <c r="K358" i="21"/>
  <c r="L358" i="21" s="1"/>
  <c r="K356" i="21"/>
  <c r="L356" i="21" s="1"/>
  <c r="G356" i="21"/>
  <c r="K354" i="21"/>
  <c r="L354" i="21" s="1"/>
  <c r="K352" i="21"/>
  <c r="L352" i="21" s="1"/>
  <c r="K350" i="21"/>
  <c r="L350" i="21" s="1"/>
  <c r="K348" i="21"/>
  <c r="L348" i="21" s="1"/>
  <c r="K346" i="21"/>
  <c r="L346" i="21" s="1"/>
  <c r="K344" i="21"/>
  <c r="L344" i="21" s="1"/>
  <c r="K342" i="21"/>
  <c r="L342" i="21" s="1"/>
  <c r="K340" i="21"/>
  <c r="L340" i="21" s="1"/>
  <c r="K338" i="21"/>
  <c r="L338" i="21" s="1"/>
  <c r="G338" i="21"/>
  <c r="K336" i="21"/>
  <c r="L336" i="21" s="1"/>
  <c r="G336" i="21"/>
  <c r="K334" i="21"/>
  <c r="L334" i="21" s="1"/>
  <c r="K332" i="21"/>
  <c r="L332" i="21" s="1"/>
  <c r="K330" i="21"/>
  <c r="L330" i="21" s="1"/>
  <c r="K328" i="21"/>
  <c r="L328" i="21" s="1"/>
  <c r="K326" i="21"/>
  <c r="L326" i="21" s="1"/>
  <c r="K324" i="21"/>
  <c r="L324" i="21" s="1"/>
  <c r="K322" i="21"/>
  <c r="L322" i="21" s="1"/>
  <c r="R320" i="21"/>
  <c r="O320" i="21"/>
  <c r="K320" i="21"/>
  <c r="L320" i="21" s="1"/>
  <c r="R318" i="21"/>
  <c r="O318" i="21"/>
  <c r="K318" i="21"/>
  <c r="L318" i="21" s="1"/>
  <c r="G318" i="21"/>
  <c r="K316" i="21"/>
  <c r="L316" i="21" s="1"/>
  <c r="G316" i="21"/>
  <c r="K314" i="21"/>
  <c r="L314" i="21" s="1"/>
  <c r="K312" i="21"/>
  <c r="L312" i="21" s="1"/>
  <c r="K310" i="21"/>
  <c r="L310" i="21" s="1"/>
  <c r="K308" i="21"/>
  <c r="L308" i="21" s="1"/>
  <c r="G308" i="21"/>
  <c r="K306" i="21"/>
  <c r="L306" i="21" s="1"/>
  <c r="G306" i="21"/>
  <c r="K304" i="21"/>
  <c r="L304" i="21" s="1"/>
  <c r="K302" i="21"/>
  <c r="L302" i="21" s="1"/>
  <c r="K300" i="21"/>
  <c r="L300" i="21" s="1"/>
  <c r="K298" i="21"/>
  <c r="L298" i="21" s="1"/>
  <c r="K296" i="21"/>
  <c r="L296" i="21" s="1"/>
  <c r="K294" i="21"/>
  <c r="L294" i="21" s="1"/>
  <c r="K292" i="21"/>
  <c r="L292" i="21" s="1"/>
  <c r="G292" i="21"/>
  <c r="K290" i="21"/>
  <c r="L290" i="21" s="1"/>
  <c r="G290" i="21"/>
  <c r="K288" i="21"/>
  <c r="L288" i="21" s="1"/>
  <c r="G288" i="21"/>
  <c r="K286" i="21"/>
  <c r="L286" i="21" s="1"/>
  <c r="K284" i="21"/>
  <c r="L284" i="21" s="1"/>
  <c r="K282" i="21"/>
  <c r="L282" i="21" s="1"/>
  <c r="G282" i="21"/>
  <c r="K280" i="21"/>
  <c r="L280" i="21" s="1"/>
  <c r="K278" i="21"/>
  <c r="L278" i="21" s="1"/>
  <c r="K276" i="21"/>
  <c r="L276" i="21" s="1"/>
  <c r="G276" i="21"/>
  <c r="K274" i="21"/>
  <c r="L274" i="21" s="1"/>
  <c r="G274" i="21"/>
  <c r="K272" i="21"/>
  <c r="L272" i="21" s="1"/>
  <c r="K270" i="21"/>
  <c r="L270" i="21" s="1"/>
  <c r="K268" i="21"/>
  <c r="L268" i="21" s="1"/>
  <c r="K266" i="21"/>
  <c r="L266" i="21" s="1"/>
  <c r="K264" i="21"/>
  <c r="L264" i="21" s="1"/>
  <c r="G264" i="21"/>
  <c r="K262" i="21"/>
  <c r="L262" i="21" s="1"/>
  <c r="G262" i="21"/>
  <c r="K260" i="21"/>
  <c r="L260" i="21" s="1"/>
  <c r="K258" i="21"/>
  <c r="L258" i="21" s="1"/>
  <c r="K256" i="21"/>
  <c r="L256" i="21" s="1"/>
  <c r="K254" i="21"/>
  <c r="L254" i="21" s="1"/>
  <c r="K252" i="21"/>
  <c r="L252" i="21" s="1"/>
  <c r="G252" i="21"/>
  <c r="K250" i="21"/>
  <c r="L250" i="21" s="1"/>
  <c r="G250" i="21"/>
  <c r="K248" i="21"/>
  <c r="L248" i="21" s="1"/>
  <c r="K246" i="21"/>
  <c r="L246" i="21" s="1"/>
  <c r="K244" i="21"/>
  <c r="L244" i="21" s="1"/>
  <c r="K242" i="21"/>
  <c r="L242" i="21" s="1"/>
  <c r="K240" i="21"/>
  <c r="L240" i="21" s="1"/>
  <c r="K238" i="21"/>
  <c r="L238" i="21" s="1"/>
  <c r="K236" i="21"/>
  <c r="L236" i="21" s="1"/>
  <c r="K234" i="21"/>
  <c r="L234" i="21" s="1"/>
  <c r="K232" i="21"/>
  <c r="L232" i="21" s="1"/>
  <c r="K230" i="21"/>
  <c r="L230" i="21" s="1"/>
  <c r="K228" i="21"/>
  <c r="L228" i="21" s="1"/>
  <c r="K226" i="21"/>
  <c r="L226" i="21" s="1"/>
  <c r="G226" i="21"/>
  <c r="K224" i="21"/>
  <c r="L224" i="21" s="1"/>
  <c r="K222" i="21"/>
  <c r="L222" i="21" s="1"/>
  <c r="G222" i="21"/>
  <c r="K220" i="21"/>
  <c r="L220" i="21" s="1"/>
  <c r="K218" i="21"/>
  <c r="L218" i="21" s="1"/>
  <c r="G218" i="21"/>
  <c r="K216" i="21"/>
  <c r="L216" i="21" s="1"/>
  <c r="K214" i="21"/>
  <c r="L214" i="21" s="1"/>
  <c r="K212" i="21"/>
  <c r="L212" i="21" s="1"/>
  <c r="K210" i="21"/>
  <c r="L210" i="21" s="1"/>
  <c r="K208" i="21"/>
  <c r="L208" i="21" s="1"/>
  <c r="G208" i="21"/>
  <c r="K206" i="21"/>
  <c r="L206" i="21" s="1"/>
  <c r="K204" i="21"/>
  <c r="L204" i="21" s="1"/>
  <c r="K202" i="21"/>
  <c r="L202" i="21" s="1"/>
  <c r="G202" i="21"/>
  <c r="K200" i="21"/>
  <c r="L200" i="21" s="1"/>
  <c r="G200" i="21"/>
  <c r="K198" i="21"/>
  <c r="L198" i="21" s="1"/>
  <c r="K196" i="21"/>
  <c r="L196" i="21" s="1"/>
  <c r="G196" i="21"/>
  <c r="K194" i="21"/>
  <c r="L194" i="21" s="1"/>
  <c r="G194" i="21"/>
  <c r="K192" i="21"/>
  <c r="L192" i="21" s="1"/>
  <c r="K190" i="21"/>
  <c r="L190" i="21" s="1"/>
  <c r="K188" i="21"/>
  <c r="L188" i="21" s="1"/>
  <c r="K186" i="21"/>
  <c r="L186" i="21" s="1"/>
  <c r="K184" i="21"/>
  <c r="L184" i="21" s="1"/>
  <c r="K182" i="21"/>
  <c r="L182" i="21" s="1"/>
  <c r="K180" i="21"/>
  <c r="L180" i="21" s="1"/>
  <c r="K178" i="21"/>
  <c r="L178" i="21" s="1"/>
  <c r="K176" i="21"/>
  <c r="L176" i="21" s="1"/>
  <c r="K174" i="21"/>
  <c r="L174" i="21" s="1"/>
  <c r="K172" i="21"/>
  <c r="L172" i="21" s="1"/>
  <c r="R170" i="21"/>
  <c r="O170" i="21"/>
  <c r="K170" i="21"/>
  <c r="L170" i="21" s="1"/>
  <c r="G170" i="21"/>
  <c r="K168" i="21"/>
  <c r="L168" i="21" s="1"/>
  <c r="K166" i="21"/>
  <c r="L166" i="21" s="1"/>
  <c r="K164" i="21"/>
  <c r="L164" i="21" s="1"/>
  <c r="K162" i="21"/>
  <c r="L162" i="21" s="1"/>
  <c r="K160" i="21"/>
  <c r="L160" i="21" s="1"/>
  <c r="K158" i="21"/>
  <c r="L158" i="21" s="1"/>
  <c r="K156" i="21"/>
  <c r="L156" i="21" s="1"/>
  <c r="K154" i="21"/>
  <c r="L154" i="21" s="1"/>
  <c r="K152" i="21"/>
  <c r="L152" i="21" s="1"/>
  <c r="K150" i="21"/>
  <c r="L150" i="21" s="1"/>
  <c r="G150" i="21"/>
  <c r="K148" i="21"/>
  <c r="L148" i="21" s="1"/>
  <c r="K146" i="21"/>
  <c r="L146" i="21" s="1"/>
  <c r="K144" i="21"/>
  <c r="L144" i="21" s="1"/>
  <c r="K142" i="21"/>
  <c r="L142" i="21" s="1"/>
  <c r="K140" i="21"/>
  <c r="L140" i="21" s="1"/>
  <c r="K138" i="21"/>
  <c r="L138" i="21" s="1"/>
  <c r="G138" i="21"/>
  <c r="K136" i="21"/>
  <c r="L136" i="21" s="1"/>
  <c r="K134" i="21"/>
  <c r="L134" i="21" s="1"/>
  <c r="K132" i="21"/>
  <c r="L132" i="21" s="1"/>
  <c r="K130" i="21"/>
  <c r="L130" i="21" s="1"/>
  <c r="K128" i="21"/>
  <c r="L128" i="21" s="1"/>
  <c r="K126" i="21"/>
  <c r="L126" i="21" s="1"/>
  <c r="G126" i="21"/>
  <c r="K124" i="21"/>
  <c r="L124" i="21" s="1"/>
  <c r="K122" i="21"/>
  <c r="L122" i="21" s="1"/>
  <c r="K120" i="21"/>
  <c r="L120" i="21" s="1"/>
  <c r="K118" i="21"/>
  <c r="L118" i="21" s="1"/>
  <c r="L116" i="21"/>
  <c r="K116" i="21"/>
  <c r="K114" i="21"/>
  <c r="L114" i="21" s="1"/>
  <c r="K112" i="21"/>
  <c r="L112" i="21" s="1"/>
  <c r="K110" i="21"/>
  <c r="L110" i="21" s="1"/>
  <c r="G110" i="21"/>
  <c r="K108" i="21"/>
  <c r="L108" i="21" s="1"/>
  <c r="G108" i="21"/>
  <c r="K106" i="21"/>
  <c r="L106" i="21" s="1"/>
  <c r="K104" i="21"/>
  <c r="L104" i="21" s="1"/>
  <c r="K102" i="21"/>
  <c r="L102" i="21" s="1"/>
  <c r="K100" i="21"/>
  <c r="L100" i="21" s="1"/>
  <c r="G100" i="21"/>
  <c r="K98" i="21"/>
  <c r="L98" i="21" s="1"/>
  <c r="K96" i="21"/>
  <c r="L96" i="21" s="1"/>
  <c r="K94" i="21"/>
  <c r="L94" i="21" s="1"/>
  <c r="K92" i="21"/>
  <c r="L92" i="21" s="1"/>
  <c r="G92" i="21"/>
  <c r="K90" i="21"/>
  <c r="L90" i="21" s="1"/>
  <c r="K88" i="21"/>
  <c r="L88" i="21" s="1"/>
  <c r="K86" i="21"/>
  <c r="L86" i="21" s="1"/>
  <c r="K84" i="21"/>
  <c r="L84" i="21" s="1"/>
  <c r="K82" i="21"/>
  <c r="L82" i="21" s="1"/>
  <c r="K80" i="21"/>
  <c r="L80" i="21" s="1"/>
  <c r="K78" i="21"/>
  <c r="L78" i="21" s="1"/>
  <c r="K76" i="21"/>
  <c r="L76" i="21" s="1"/>
  <c r="K74" i="21"/>
  <c r="L74" i="21" s="1"/>
  <c r="K72" i="21"/>
  <c r="L72" i="21" s="1"/>
  <c r="K70" i="21"/>
  <c r="L70" i="21" s="1"/>
  <c r="G70" i="21"/>
  <c r="K68" i="21"/>
  <c r="L68" i="21" s="1"/>
  <c r="K66" i="21"/>
  <c r="L66" i="21" s="1"/>
  <c r="K64" i="21"/>
  <c r="L64" i="21" s="1"/>
  <c r="K62" i="21"/>
  <c r="L62" i="21" s="1"/>
  <c r="K60" i="21"/>
  <c r="L60" i="21" s="1"/>
  <c r="G60" i="21"/>
  <c r="K58" i="21"/>
  <c r="L58" i="21" s="1"/>
  <c r="K56" i="21"/>
  <c r="L56" i="21" s="1"/>
  <c r="K54" i="21"/>
  <c r="L54" i="21" s="1"/>
  <c r="K52" i="21"/>
  <c r="L52" i="21" s="1"/>
  <c r="G52" i="21"/>
  <c r="K50" i="21"/>
  <c r="L50" i="21" s="1"/>
  <c r="K48" i="21"/>
  <c r="L48" i="21" s="1"/>
  <c r="K46" i="21"/>
  <c r="L46" i="21" s="1"/>
  <c r="K44" i="21"/>
  <c r="L44" i="21" s="1"/>
  <c r="K42" i="21"/>
  <c r="L42" i="21" s="1"/>
  <c r="K40" i="21"/>
  <c r="L40" i="21" s="1"/>
  <c r="K38" i="21"/>
  <c r="L38" i="21" s="1"/>
  <c r="G36" i="21"/>
  <c r="G16" i="21"/>
  <c r="H10" i="21"/>
  <c r="H12" i="21" s="1"/>
  <c r="H14" i="21" s="1"/>
  <c r="H16" i="21" s="1"/>
  <c r="H18" i="21" s="1"/>
  <c r="H20" i="21" s="1"/>
  <c r="H22" i="21" s="1"/>
  <c r="H24" i="21" s="1"/>
  <c r="H26" i="21" s="1"/>
  <c r="H28" i="21" s="1"/>
  <c r="H30" i="21" s="1"/>
  <c r="H32" i="21" s="1"/>
  <c r="H34" i="21" s="1"/>
  <c r="H36" i="21" s="1"/>
  <c r="H38" i="21" s="1"/>
  <c r="H40" i="21" s="1"/>
  <c r="H42" i="21" s="1"/>
  <c r="H44" i="21" s="1"/>
  <c r="H46" i="21" s="1"/>
  <c r="H48" i="21" s="1"/>
  <c r="H50" i="21" s="1"/>
  <c r="H52" i="21" s="1"/>
  <c r="H54" i="21" s="1"/>
  <c r="H56" i="21" s="1"/>
  <c r="H58" i="21" s="1"/>
  <c r="H60" i="21" s="1"/>
  <c r="H62" i="21" s="1"/>
  <c r="H64" i="21" s="1"/>
  <c r="H66" i="21" s="1"/>
  <c r="H68" i="21" s="1"/>
  <c r="H70" i="21" s="1"/>
  <c r="H72" i="21" s="1"/>
  <c r="H74" i="21" s="1"/>
  <c r="H76" i="21" s="1"/>
  <c r="H78" i="21" s="1"/>
  <c r="H80" i="21" s="1"/>
  <c r="H82" i="21" s="1"/>
  <c r="H84" i="21" s="1"/>
  <c r="H86" i="21" s="1"/>
  <c r="H88" i="21" s="1"/>
  <c r="H90" i="21" s="1"/>
  <c r="H92" i="21" s="1"/>
  <c r="H94" i="21" s="1"/>
  <c r="H96" i="21" s="1"/>
  <c r="H98" i="21" s="1"/>
  <c r="H100" i="21" s="1"/>
  <c r="H102" i="21" s="1"/>
  <c r="H104" i="21" s="1"/>
  <c r="H106" i="21" s="1"/>
  <c r="H108" i="21" s="1"/>
  <c r="H110" i="21" s="1"/>
  <c r="H112" i="21" s="1"/>
  <c r="H114" i="21" s="1"/>
  <c r="H116" i="21" s="1"/>
  <c r="H118" i="21" s="1"/>
  <c r="H120" i="21" s="1"/>
  <c r="H122" i="21" s="1"/>
  <c r="H124" i="21" s="1"/>
  <c r="H126" i="21" s="1"/>
  <c r="H128" i="21" s="1"/>
  <c r="H130" i="21" s="1"/>
  <c r="H132" i="21" s="1"/>
  <c r="H134" i="21" s="1"/>
  <c r="H136" i="21" s="1"/>
  <c r="H138" i="21" s="1"/>
  <c r="H140" i="21" s="1"/>
  <c r="H142" i="21" s="1"/>
  <c r="H144" i="21" s="1"/>
  <c r="H146" i="21" s="1"/>
  <c r="H148" i="21" s="1"/>
  <c r="H150" i="21" s="1"/>
  <c r="H152" i="21" s="1"/>
  <c r="H154" i="21" s="1"/>
  <c r="H156" i="21" s="1"/>
  <c r="H158" i="21" s="1"/>
  <c r="H160" i="21" s="1"/>
  <c r="H162" i="21" s="1"/>
  <c r="H164" i="21" s="1"/>
  <c r="H166" i="21" s="1"/>
  <c r="H168" i="21" s="1"/>
  <c r="H170" i="21" s="1"/>
  <c r="H172" i="21" s="1"/>
  <c r="H174" i="21" s="1"/>
  <c r="H176" i="21" s="1"/>
  <c r="H178" i="21" s="1"/>
  <c r="H180" i="21" s="1"/>
  <c r="H182" i="21" s="1"/>
  <c r="H184" i="21" s="1"/>
  <c r="H186" i="21" s="1"/>
  <c r="H188" i="21" s="1"/>
  <c r="H190" i="21" s="1"/>
  <c r="H192" i="21" s="1"/>
  <c r="H194" i="21" s="1"/>
  <c r="H196" i="21" s="1"/>
  <c r="H198" i="21" s="1"/>
  <c r="H200" i="21" s="1"/>
  <c r="H202" i="21" s="1"/>
  <c r="H204" i="21" s="1"/>
  <c r="H206" i="21" s="1"/>
  <c r="H208" i="21" s="1"/>
  <c r="H210" i="21" s="1"/>
  <c r="H212" i="21" s="1"/>
  <c r="H214" i="21" s="1"/>
  <c r="H216" i="21" s="1"/>
  <c r="H218" i="21" s="1"/>
  <c r="H220" i="21" s="1"/>
  <c r="H222" i="21" s="1"/>
  <c r="H224" i="21" s="1"/>
  <c r="H226" i="21" s="1"/>
  <c r="H228" i="21" s="1"/>
  <c r="H230" i="21" s="1"/>
  <c r="H232" i="21" s="1"/>
  <c r="H234" i="21" s="1"/>
  <c r="H236" i="21" s="1"/>
  <c r="H238" i="21" s="1"/>
  <c r="H240" i="21" s="1"/>
  <c r="H242" i="21" s="1"/>
  <c r="H244" i="21" s="1"/>
  <c r="H246" i="21" s="1"/>
  <c r="H248" i="21" s="1"/>
  <c r="H250" i="21" s="1"/>
  <c r="H252" i="21" s="1"/>
  <c r="H254" i="21" s="1"/>
  <c r="H256" i="21" s="1"/>
  <c r="H258" i="21" s="1"/>
  <c r="H260" i="21" s="1"/>
  <c r="H262" i="21" s="1"/>
  <c r="H264" i="21" s="1"/>
  <c r="H266" i="21" s="1"/>
  <c r="H268" i="21" s="1"/>
  <c r="H270" i="21" s="1"/>
  <c r="H272" i="21" s="1"/>
  <c r="H274" i="21" s="1"/>
  <c r="H276" i="21" s="1"/>
  <c r="H278" i="21" s="1"/>
  <c r="H280" i="21" s="1"/>
  <c r="H282" i="21" s="1"/>
  <c r="H284" i="21" s="1"/>
  <c r="H286" i="21" s="1"/>
  <c r="H288" i="21" s="1"/>
  <c r="H290" i="21" s="1"/>
  <c r="H292" i="21" s="1"/>
  <c r="H294" i="21" s="1"/>
  <c r="H296" i="21" s="1"/>
  <c r="H298" i="21" s="1"/>
  <c r="H300" i="21" s="1"/>
  <c r="H302" i="21" s="1"/>
  <c r="H304" i="21" s="1"/>
  <c r="H306" i="21" s="1"/>
  <c r="H308" i="21" s="1"/>
  <c r="H310" i="21" s="1"/>
  <c r="H312" i="21" s="1"/>
  <c r="H314" i="21" s="1"/>
  <c r="H316" i="21" s="1"/>
  <c r="H318" i="21" s="1"/>
  <c r="H320" i="21" s="1"/>
  <c r="H322" i="21" s="1"/>
  <c r="H324" i="21" s="1"/>
  <c r="H326" i="21" s="1"/>
  <c r="H328" i="21" s="1"/>
  <c r="H330" i="21" s="1"/>
  <c r="H332" i="21" s="1"/>
  <c r="H334" i="21" s="1"/>
  <c r="H336" i="21" s="1"/>
  <c r="H338" i="21" s="1"/>
  <c r="H340" i="21" s="1"/>
  <c r="H342" i="21" s="1"/>
  <c r="H344" i="21" s="1"/>
  <c r="H346" i="21" s="1"/>
  <c r="H348" i="21" s="1"/>
  <c r="H350" i="21" s="1"/>
  <c r="H352" i="21" s="1"/>
  <c r="H354" i="21" s="1"/>
  <c r="H356" i="21" s="1"/>
  <c r="H358" i="21" s="1"/>
  <c r="H360" i="21" s="1"/>
  <c r="H362" i="21" s="1"/>
  <c r="H364" i="21" s="1"/>
  <c r="H366" i="21" s="1"/>
  <c r="H368" i="21" s="1"/>
  <c r="H370" i="21" s="1"/>
  <c r="H372" i="21" s="1"/>
  <c r="H374" i="21" s="1"/>
  <c r="H376" i="21" s="1"/>
  <c r="H378" i="21" s="1"/>
  <c r="H380" i="21" s="1"/>
  <c r="H382" i="21" s="1"/>
  <c r="H384" i="21" s="1"/>
  <c r="H386" i="21" s="1"/>
  <c r="H388" i="21" s="1"/>
  <c r="H390" i="21" s="1"/>
  <c r="H392" i="21" s="1"/>
  <c r="H394" i="21" s="1"/>
  <c r="H396" i="21" s="1"/>
  <c r="H398" i="21" s="1"/>
  <c r="H400" i="21" s="1"/>
  <c r="H402" i="21" s="1"/>
  <c r="H404" i="21" s="1"/>
  <c r="H406" i="21" s="1"/>
  <c r="H408" i="21" s="1"/>
  <c r="H410" i="21" s="1"/>
  <c r="H412" i="21" s="1"/>
  <c r="H414" i="21" s="1"/>
  <c r="H416" i="21" s="1"/>
  <c r="H418" i="21" s="1"/>
  <c r="H420" i="21" s="1"/>
  <c r="H422" i="21" s="1"/>
  <c r="H424" i="21" s="1"/>
  <c r="H426" i="21" s="1"/>
  <c r="H428" i="21" s="1"/>
  <c r="H430" i="21" s="1"/>
  <c r="H432" i="21" s="1"/>
  <c r="H434" i="21" s="1"/>
  <c r="H436" i="21" s="1"/>
  <c r="H438" i="21" s="1"/>
  <c r="H440" i="21" s="1"/>
  <c r="H442" i="21" s="1"/>
  <c r="H444" i="21" s="1"/>
  <c r="H446" i="21" s="1"/>
  <c r="H448" i="21" s="1"/>
  <c r="H450" i="21" s="1"/>
  <c r="H452" i="21" s="1"/>
  <c r="H454" i="21" s="1"/>
  <c r="H456" i="21" s="1"/>
  <c r="H458" i="21" s="1"/>
  <c r="H460" i="21" s="1"/>
  <c r="H462" i="21" s="1"/>
  <c r="H464" i="21" s="1"/>
  <c r="H466" i="21" s="1"/>
  <c r="H468" i="21" s="1"/>
  <c r="H470" i="21" s="1"/>
  <c r="H472" i="21" s="1"/>
  <c r="H474" i="21" s="1"/>
  <c r="H476" i="21" s="1"/>
  <c r="H478" i="21" s="1"/>
  <c r="H480" i="21" s="1"/>
  <c r="H482" i="21" s="1"/>
  <c r="H484" i="21" s="1"/>
  <c r="H486" i="21" s="1"/>
  <c r="H488" i="21" s="1"/>
  <c r="H490" i="21" s="1"/>
  <c r="H492" i="21" s="1"/>
  <c r="H494" i="21" s="1"/>
  <c r="H496" i="21" s="1"/>
  <c r="H498" i="21" s="1"/>
  <c r="H500" i="21" s="1"/>
  <c r="H502" i="21" s="1"/>
  <c r="H504" i="21" s="1"/>
  <c r="H506" i="21" s="1"/>
  <c r="H508" i="21" s="1"/>
  <c r="H510" i="21" s="1"/>
  <c r="H512" i="21" s="1"/>
  <c r="H514" i="21" s="1"/>
  <c r="H516" i="21" s="1"/>
  <c r="H518" i="21" s="1"/>
  <c r="H520" i="21" s="1"/>
  <c r="H522" i="21" s="1"/>
  <c r="H524" i="21" s="1"/>
  <c r="H526" i="21" s="1"/>
  <c r="H528" i="21" s="1"/>
  <c r="H530" i="21" s="1"/>
  <c r="H532" i="21" s="1"/>
  <c r="H534" i="21" s="1"/>
  <c r="H536" i="21" s="1"/>
  <c r="H538" i="21" s="1"/>
  <c r="H540" i="21" s="1"/>
  <c r="H542" i="21" s="1"/>
  <c r="H544" i="21" s="1"/>
  <c r="H546" i="21" s="1"/>
  <c r="H548" i="21" s="1"/>
  <c r="H550" i="21" s="1"/>
  <c r="H552" i="21" s="1"/>
  <c r="H554" i="21" s="1"/>
  <c r="H556" i="21" s="1"/>
  <c r="H558" i="21" s="1"/>
  <c r="H560" i="21" s="1"/>
  <c r="H562" i="21" s="1"/>
  <c r="H564" i="21" s="1"/>
  <c r="H566" i="21" s="1"/>
  <c r="H568" i="21" s="1"/>
  <c r="H570" i="21" s="1"/>
  <c r="H572" i="21" s="1"/>
  <c r="H574" i="21" s="1"/>
  <c r="H576" i="21" s="1"/>
  <c r="H578" i="21" s="1"/>
  <c r="H580" i="21" s="1"/>
  <c r="H582" i="21" s="1"/>
  <c r="H584" i="21" s="1"/>
  <c r="H586" i="21" s="1"/>
  <c r="H588" i="21" s="1"/>
  <c r="H590" i="21" s="1"/>
  <c r="H592" i="21" s="1"/>
  <c r="H594" i="21" s="1"/>
  <c r="H596" i="21" s="1"/>
  <c r="H598" i="21" s="1"/>
  <c r="H600" i="21" s="1"/>
  <c r="H602" i="21" s="1"/>
  <c r="H604" i="21" s="1"/>
  <c r="H606" i="21" s="1"/>
  <c r="H608" i="21" s="1"/>
  <c r="H610" i="21" s="1"/>
  <c r="H612" i="21" s="1"/>
  <c r="H614" i="21" s="1"/>
  <c r="H616" i="21" s="1"/>
  <c r="H618" i="21" s="1"/>
  <c r="H620" i="21" s="1"/>
  <c r="H622" i="21" s="1"/>
  <c r="H624" i="21" s="1"/>
  <c r="H626" i="21" s="1"/>
  <c r="H628" i="21" s="1"/>
  <c r="G15" i="13"/>
  <c r="S639" i="21" l="1"/>
  <c r="S640" i="21"/>
  <c r="K644" i="21"/>
  <c r="L644" i="21"/>
  <c r="S638" i="21"/>
  <c r="M644" i="21"/>
  <c r="N644" i="21"/>
  <c r="G629" i="21"/>
  <c r="O644" i="21"/>
  <c r="S642" i="21"/>
  <c r="P644" i="21"/>
  <c r="S643" i="21"/>
  <c r="S641" i="21"/>
  <c r="I644" i="21"/>
  <c r="S637" i="21"/>
  <c r="Q644" i="21"/>
  <c r="J644" i="21"/>
  <c r="R644" i="21"/>
  <c r="G14" i="13"/>
  <c r="N7" i="13"/>
  <c r="C19" i="20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M11" i="13"/>
  <c r="E11" i="13"/>
  <c r="D11" i="13"/>
  <c r="M10" i="13"/>
  <c r="N10" i="13" s="1"/>
  <c r="L10" i="13"/>
  <c r="L11" i="13" s="1"/>
  <c r="O4" i="13"/>
  <c r="S644" i="21" l="1"/>
  <c r="N1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<sst xmlns="http://schemas.openxmlformats.org/spreadsheetml/2006/main" count="7708" uniqueCount="2067">
  <si>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</si>
  <si>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</si>
  <si>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</si>
  <si>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</si>
  <si>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</si>
  <si>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</si>
  <si>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</si>
  <si>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</si>
  <si>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A</t>
  </si>
  <si>
    <t>B</t>
  </si>
  <si>
    <t>C</t>
  </si>
  <si>
    <t>D</t>
  </si>
  <si>
    <t>Gantry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</si>
  <si>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</si>
  <si>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</si>
  <si>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</si>
  <si>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</si>
  <si>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</si>
  <si>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</si>
  <si>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</si>
  <si>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</si>
  <si>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</si>
  <si>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</si>
  <si>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</si>
  <si>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</si>
  <si>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</si>
  <si>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</si>
  <si>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</si>
  <si>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</si>
  <si>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</si>
  <si>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</si>
  <si>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</si>
  <si>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</si>
  <si>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</si>
  <si>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</si>
  <si>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</si>
  <si>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</si>
  <si>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</si>
  <si>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</si>
  <si>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</si>
  <si>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</si>
  <si>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</si>
  <si>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</si>
  <si>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</si>
  <si>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</si>
  <si>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</si>
  <si>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</si>
  <si>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</si>
  <si>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</si>
  <si>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</si>
  <si>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</si>
  <si>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</si>
  <si>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</si>
  <si>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</si>
  <si>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</si>
  <si>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</si>
  <si>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</si>
  <si>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</si>
  <si>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</si>
  <si>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</si>
  <si>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</si>
  <si>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</si>
  <si>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</si>
  <si>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</si>
  <si>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</si>
  <si>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</si>
  <si>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</si>
  <si>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</si>
  <si>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</si>
  <si>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</si>
  <si>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</si>
  <si>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</si>
  <si>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</si>
  <si>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</si>
  <si>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</si>
  <si>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</si>
  <si>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</si>
  <si>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</si>
  <si>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</si>
  <si>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</si>
  <si>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</si>
  <si>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</si>
  <si>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</si>
  <si>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</si>
  <si>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</si>
  <si>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</si>
  <si>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</si>
  <si>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</si>
  <si>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</si>
  <si>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</si>
  <si>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</si>
  <si>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</si>
  <si>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</si>
  <si>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</si>
  <si>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</si>
  <si>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</si>
  <si>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</si>
  <si>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</si>
  <si>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</si>
  <si>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</si>
  <si>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</si>
  <si>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</si>
  <si>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</si>
  <si>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</si>
  <si>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</si>
  <si>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</si>
  <si>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</si>
  <si>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</si>
  <si>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</si>
  <si>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</si>
  <si>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</si>
  <si>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</si>
  <si>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</si>
  <si>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</si>
  <si>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</si>
  <si>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</si>
  <si>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</si>
  <si>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</si>
  <si>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</si>
  <si>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</si>
  <si>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</si>
  <si>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</si>
  <si>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</si>
  <si>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</si>
  <si>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</si>
  <si>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</si>
  <si>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</si>
  <si>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</si>
  <si>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</si>
  <si>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</si>
  <si>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</si>
  <si>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</si>
  <si>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</si>
  <si>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</si>
  <si>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</si>
  <si>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</si>
  <si>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</si>
  <si>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</si>
  <si>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</si>
  <si>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</si>
  <si>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</si>
  <si>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</si>
  <si>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</si>
  <si>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</si>
  <si>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</si>
  <si>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</si>
  <si>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</si>
  <si>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</si>
  <si>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</si>
  <si>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</si>
  <si>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</si>
  <si>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</si>
  <si>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</si>
  <si>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</si>
  <si>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</si>
  <si>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</si>
  <si>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</si>
  <si>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</si>
  <si>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</si>
  <si>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</si>
  <si>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</si>
  <si>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</si>
  <si>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</si>
  <si>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</si>
  <si>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</si>
  <si>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</si>
  <si>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</si>
  <si>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</si>
  <si>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</si>
  <si>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</si>
  <si>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</si>
  <si>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</si>
  <si>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</si>
  <si>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</si>
  <si>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</si>
  <si>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</si>
  <si>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</si>
  <si>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</si>
  <si>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</si>
  <si>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</si>
  <si>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</si>
  <si>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</si>
  <si>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</si>
  <si>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</si>
  <si>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</si>
  <si>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</si>
  <si>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</si>
  <si>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</si>
  <si>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</si>
  <si>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</si>
  <si>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</si>
  <si>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</si>
  <si>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</si>
  <si>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</si>
  <si>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</si>
  <si>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</si>
  <si>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</si>
  <si>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</si>
  <si>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</si>
  <si>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</si>
  <si>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</si>
  <si>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</si>
  <si>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</si>
  <si>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</si>
  <si>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</si>
  <si>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</si>
  <si>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</si>
  <si>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</si>
  <si>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</si>
  <si>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</si>
  <si>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</si>
  <si>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</si>
  <si>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</si>
  <si>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</si>
  <si>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</si>
  <si>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</si>
  <si>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</si>
  <si>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</si>
  <si>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</si>
  <si>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</si>
  <si>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</si>
  <si>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</si>
  <si>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</si>
  <si>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</si>
  <si>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</si>
  <si>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</si>
  <si>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</si>
  <si>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</si>
  <si>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</si>
  <si>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</si>
  <si>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</si>
  <si>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</si>
  <si>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</si>
  <si>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</si>
  <si>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</si>
  <si>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</si>
  <si>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</si>
  <si>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</si>
  <si>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</si>
  <si>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</si>
  <si>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</si>
  <si>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</si>
  <si>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</si>
  <si>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</si>
  <si>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</si>
  <si>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</si>
  <si>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</si>
  <si>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</si>
  <si>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</si>
  <si>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</si>
  <si>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</si>
  <si>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</si>
  <si>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</si>
  <si>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</si>
  <si>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</si>
  <si>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</si>
  <si>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</si>
  <si>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</si>
  <si>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</si>
  <si>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</si>
  <si>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</si>
  <si>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</si>
  <si>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</si>
  <si>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</si>
  <si>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</si>
  <si>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</si>
  <si>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</si>
  <si>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</si>
  <si>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</si>
  <si>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</si>
  <si>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</si>
  <si>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</si>
  <si>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</si>
  <si>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</si>
  <si>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</si>
  <si>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</si>
  <si>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</si>
  <si>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</si>
  <si>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</si>
  <si>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</si>
  <si>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</si>
  <si>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</si>
  <si>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</si>
  <si>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</si>
  <si>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</si>
  <si>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</si>
  <si>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</si>
  <si>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</si>
  <si>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</si>
  <si>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</si>
  <si>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</si>
  <si>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</si>
  <si>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</si>
  <si>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</si>
  <si>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</si>
  <si>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</si>
  <si>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</si>
  <si>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</si>
  <si>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</si>
  <si>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</si>
  <si>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</si>
  <si>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</si>
  <si>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</si>
  <si>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</si>
  <si>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</si>
  <si>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</si>
  <si>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</si>
  <si>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</si>
  <si>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</si>
  <si>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</si>
  <si>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</si>
  <si>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</si>
  <si>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</si>
  <si>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</si>
  <si>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</si>
  <si>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</si>
  <si>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</si>
  <si>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</si>
  <si>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</si>
  <si>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</si>
  <si>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</si>
  <si>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</si>
  <si>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</si>
  <si>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</si>
  <si>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</si>
  <si>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</si>
  <si>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</si>
  <si>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</si>
  <si>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</si>
  <si>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</si>
  <si>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</si>
  <si>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</si>
  <si>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</si>
  <si>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</si>
  <si>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</si>
  <si>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</si>
  <si>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</si>
  <si>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</si>
  <si>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</si>
  <si>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</si>
  <si>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</si>
  <si>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</si>
  <si>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</si>
  <si>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</si>
  <si>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</si>
  <si>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</si>
  <si>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</si>
  <si>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</si>
  <si>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</si>
  <si>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</si>
  <si>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</si>
  <si>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</si>
  <si>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</si>
  <si>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</si>
  <si>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</si>
  <si>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</si>
  <si>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</si>
  <si>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Fnd</t>
  </si>
  <si>
    <t>Ear</t>
  </si>
  <si>
    <t>Ere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</si>
  <si>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</si>
  <si>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</si>
  <si>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</si>
  <si>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</si>
  <si>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</si>
  <si>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</si>
  <si>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</si>
  <si>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</si>
  <si>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</si>
  <si>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</si>
  <si>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</si>
  <si>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</si>
  <si>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</si>
  <si>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</si>
  <si>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</si>
  <si>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</si>
  <si>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</si>
  <si>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</si>
  <si>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</si>
  <si>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</si>
  <si>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</si>
  <si>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</si>
  <si>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</si>
  <si>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</si>
  <si>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</si>
  <si>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</si>
  <si>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</si>
  <si>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</si>
  <si>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</si>
  <si>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</si>
  <si>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</si>
  <si>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</si>
  <si>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</si>
  <si>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</si>
  <si>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</si>
  <si>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</si>
  <si>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</si>
  <si>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</si>
  <si>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</si>
  <si>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</si>
  <si>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</si>
  <si>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</si>
  <si>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</si>
  <si>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</si>
  <si>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Court Case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</si>
  <si>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</si>
  <si>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</si>
  <si>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</si>
  <si>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</si>
  <si>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</si>
  <si>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</si>
  <si>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</si>
  <si>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 15/6, 19/0, 20/0, 22/0, 24/0, 38/5, 45A/1, 46/1, 48/7, 56/0, 56/1,  56/3, 57/0, 58/0, 59/0, 65/10, 66/1, 67/3-                                                                          Total - 20 N0's</t>
    </r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</si>
  <si>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</si>
  <si>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</si>
  <si>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</si>
  <si>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</si>
  <si>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</si>
  <si>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</si>
  <si>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</si>
  <si>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>Total FND</t>
  </si>
  <si>
    <t>Comp.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</si>
  <si>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</si>
  <si>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</si>
  <si>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</si>
  <si>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</si>
  <si>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</si>
  <si>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</si>
  <si>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</si>
  <si>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</si>
  <si>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 xml:space="preserve">CONTRACTOR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</si>
  <si>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</si>
  <si>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</si>
  <si>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</si>
  <si>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</si>
  <si>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</si>
  <si>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</si>
  <si>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</si>
  <si>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</si>
  <si>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</si>
  <si>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</si>
  <si>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</si>
  <si>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</si>
  <si>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</si>
  <si>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</si>
  <si>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</si>
  <si>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</si>
  <si>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</si>
  <si>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</si>
  <si>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</si>
  <si>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</si>
  <si>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</si>
  <si>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</si>
  <si>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</si>
  <si>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</si>
  <si>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</si>
  <si>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</si>
  <si>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</si>
  <si>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</si>
  <si>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</si>
  <si>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</si>
  <si>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</si>
  <si>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</si>
  <si>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</si>
  <si>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</si>
  <si>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</si>
  <si>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</si>
  <si>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</si>
  <si>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</si>
  <si>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</si>
  <si>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</si>
  <si>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</si>
  <si>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</si>
  <si>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</si>
  <si>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</si>
  <si>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</si>
  <si>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</si>
  <si>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</si>
  <si>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</si>
  <si>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</si>
  <si>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</si>
  <si>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</si>
  <si>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</si>
  <si>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</si>
  <si>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</si>
  <si>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</si>
  <si>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</si>
  <si>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</si>
  <si>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</si>
  <si>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</si>
  <si>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</si>
  <si>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</si>
  <si>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</si>
  <si>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</si>
  <si>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</si>
  <si>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</si>
  <si>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</si>
  <si>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</si>
  <si>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</si>
  <si>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</si>
  <si>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</si>
  <si>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</si>
  <si>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</si>
  <si>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</si>
  <si>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</si>
  <si>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</si>
  <si>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</si>
  <si>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</si>
  <si>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</si>
  <si>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</si>
  <si>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</si>
  <si>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</si>
  <si>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</si>
  <si>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</si>
  <si>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</si>
  <si>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</si>
  <si>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</si>
  <si>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</si>
  <si>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</si>
  <si>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</si>
  <si>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</si>
  <si>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</si>
  <si>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</si>
  <si>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</si>
  <si>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</si>
  <si>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</si>
  <si>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</si>
  <si>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</si>
  <si>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</si>
  <si>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</si>
  <si>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</si>
  <si>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</si>
  <si>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</si>
  <si>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</si>
  <si>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</si>
  <si>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</si>
  <si>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</si>
  <si>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</si>
  <si>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</si>
  <si>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</si>
  <si>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</si>
  <si>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</si>
  <si>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</si>
  <si>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</si>
  <si>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</si>
  <si>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</si>
  <si>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</si>
  <si>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</si>
  <si>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</si>
  <si>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</si>
  <si>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</si>
  <si>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</si>
  <si>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</si>
  <si>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</si>
  <si>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</si>
  <si>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</si>
  <si>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</si>
  <si>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</si>
  <si>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</si>
  <si>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</si>
  <si>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</si>
  <si>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</si>
  <si>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</si>
  <si>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</si>
  <si>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</si>
  <si>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</si>
  <si>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</si>
  <si>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</si>
  <si>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</si>
  <si>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</si>
  <si>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</si>
  <si>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</si>
  <si>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</si>
  <si>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</si>
  <si>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</si>
  <si>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</si>
  <si>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</si>
  <si>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</si>
  <si>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</si>
  <si>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</si>
  <si>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</si>
  <si>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</si>
  <si>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</si>
  <si>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</si>
  <si>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</si>
  <si>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</si>
  <si>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</si>
  <si>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</si>
  <si>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</si>
  <si>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</si>
  <si>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</si>
  <si>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</si>
  <si>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</si>
  <si>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</si>
  <si>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</si>
  <si>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</si>
  <si>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</si>
  <si>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</si>
  <si>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</si>
  <si>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</si>
  <si>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</si>
  <si>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</si>
  <si>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</si>
  <si>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</si>
  <si>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</si>
  <si>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</si>
  <si>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</si>
  <si>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</si>
  <si>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</si>
  <si>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</si>
  <si>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</si>
  <si>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</si>
  <si>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</si>
  <si>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</si>
  <si>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</si>
  <si>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</si>
  <si>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</si>
  <si>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</si>
  <si>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</si>
  <si>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</si>
  <si>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</si>
  <si>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</si>
  <si>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</si>
  <si>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</si>
  <si>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</si>
  <si>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</si>
  <si>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</si>
  <si>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</si>
  <si>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</si>
  <si>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</si>
  <si>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</si>
  <si>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</si>
  <si>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</si>
  <si>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</si>
  <si>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</si>
  <si>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</si>
  <si>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</si>
  <si>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</si>
  <si>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</si>
  <si>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</si>
  <si>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</si>
  <si>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</si>
  <si>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</si>
  <si>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</si>
  <si>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</si>
  <si>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</si>
  <si>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</si>
  <si>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</si>
  <si>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</si>
  <si>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</si>
  <si>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</si>
  <si>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</si>
  <si>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</si>
  <si>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</si>
  <si>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JAWALA SINGH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</si>
  <si>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</si>
  <si>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</si>
  <si>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</si>
  <si>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</si>
  <si>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</si>
  <si>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</si>
  <si>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</si>
  <si>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</si>
  <si>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</si>
  <si>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</si>
  <si>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</si>
  <si>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</si>
  <si>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</si>
  <si>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</si>
  <si>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</si>
  <si>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</si>
  <si>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</si>
  <si>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</si>
  <si>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</si>
  <si>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</si>
  <si>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</si>
  <si>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</si>
  <si>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</si>
  <si>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</si>
  <si>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</si>
  <si>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</si>
  <si>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</si>
  <si>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</si>
  <si>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</si>
  <si>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</si>
  <si>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</si>
  <si>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</si>
  <si>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</si>
  <si>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</si>
  <si>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</si>
  <si>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</si>
  <si>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</si>
  <si>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</si>
  <si>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</si>
  <si>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</si>
  <si>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</si>
  <si>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</si>
  <si>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</si>
  <si>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</si>
  <si>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</si>
  <si>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</si>
  <si>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</si>
  <si>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</si>
  <si>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</si>
  <si>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</si>
  <si>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</si>
  <si>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</si>
  <si>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</si>
  <si>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</si>
  <si>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</si>
  <si>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</si>
  <si>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</si>
  <si>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</si>
  <si>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</si>
  <si>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</si>
  <si>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</si>
  <si>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</si>
  <si>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</si>
  <si>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</si>
  <si>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</si>
  <si>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</si>
  <si>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</si>
  <si>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</si>
  <si>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</si>
  <si>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</si>
  <si>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</si>
  <si>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</si>
  <si>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</si>
  <si>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</si>
  <si>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</si>
  <si>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</si>
  <si>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</si>
  <si>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</si>
  <si>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</si>
  <si>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</si>
  <si>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</si>
  <si>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</si>
  <si>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</si>
  <si>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</si>
  <si>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</si>
  <si>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</si>
  <si>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</si>
  <si>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</si>
  <si>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</si>
  <si>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</si>
  <si>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</si>
  <si>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</si>
  <si>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</si>
  <si>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</si>
  <si>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</si>
  <si>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</si>
  <si>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</si>
  <si>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</si>
  <si>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</si>
  <si>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</si>
  <si>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</si>
  <si>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</si>
  <si>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</si>
  <si>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</si>
  <si>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</si>
  <si>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</si>
  <si>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</si>
  <si>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</si>
  <si>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</si>
  <si>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</si>
  <si>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</si>
  <si>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</si>
  <si>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</si>
  <si>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</si>
  <si>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</si>
  <si>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</si>
  <si>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</si>
  <si>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Sri Balaji Construction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</si>
  <si>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</si>
  <si>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</si>
  <si>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</si>
  <si>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</si>
  <si>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</si>
  <si>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</si>
  <si>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</si>
  <si>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</si>
  <si>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</si>
  <si>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</si>
  <si>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</si>
  <si>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</si>
  <si>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</si>
  <si>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</si>
  <si>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</si>
  <si>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</si>
  <si>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</si>
  <si>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</si>
  <si>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</si>
  <si>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</si>
  <si>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</si>
  <si>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</si>
  <si>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</si>
  <si>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</si>
  <si>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</si>
  <si>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14.10.2025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</si>
  <si>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</si>
  <si>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</si>
  <si>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</si>
  <si>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</si>
  <si>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</si>
  <si>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</si>
  <si>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</si>
  <si>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DD45(-)3</t>
  </si>
  <si>
    <t>2A/0</t>
  </si>
  <si>
    <t>DC1(-)3</t>
  </si>
  <si>
    <t>DD60</t>
  </si>
  <si>
    <t>DD60(-)3</t>
  </si>
  <si>
    <t>DA</t>
  </si>
  <si>
    <t>29.10.2025</t>
  </si>
  <si>
    <t>HOLD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</si>
  <si>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</si>
  <si>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</si>
  <si>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</si>
  <si>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</si>
  <si>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</si>
  <si>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</si>
  <si>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</si>
  <si>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</si>
  <si>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</si>
  <si>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</si>
  <si>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</si>
  <si>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</si>
  <si>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</si>
  <si>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</si>
  <si>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</si>
  <si>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</si>
  <si>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</si>
  <si>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 xml:space="preserve"> TOWER SCHEDULE SECTION:-  GANTRY TO AP 68  LENGTH:- 118.479 KM</t>
  </si>
  <si>
    <t>KEC/TA509/MKTL/TS/    Dt-25-10-2025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</si>
  <si>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</si>
  <si>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</si>
  <si>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</si>
  <si>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</si>
  <si>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</si>
  <si>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</si>
  <si>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</si>
  <si>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</si>
  <si>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</si>
  <si>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</si>
  <si>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</si>
  <si>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</si>
  <si>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</si>
  <si>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</si>
  <si>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</si>
  <si>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</si>
  <si>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</si>
  <si>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</si>
  <si>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</si>
  <si>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</si>
  <si>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</si>
  <si>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</si>
  <si>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</si>
  <si>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</si>
  <si>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</si>
  <si>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</si>
  <si>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/>
  </si>
  <si>
    <t>Mandsur Gantry</t>
  </si>
  <si>
    <t>75d10'24.829"E</t>
  </si>
  <si>
    <t>24d12'17.524"N</t>
  </si>
  <si>
    <t>AP1/0</t>
  </si>
  <si>
    <t xml:space="preserve"> 7° 41' 29"LT</t>
  </si>
  <si>
    <t>75d10'21.828"E</t>
  </si>
  <si>
    <t>24d12'15.345"N</t>
  </si>
  <si>
    <t>Talabpipalya</t>
  </si>
  <si>
    <t>Malhargarh</t>
  </si>
  <si>
    <t>AP2/0</t>
  </si>
  <si>
    <t xml:space="preserve"> 42° 35' 48"LT</t>
  </si>
  <si>
    <t>75d10'18.175"E</t>
  </si>
  <si>
    <t>24d12'11.87"N</t>
  </si>
  <si>
    <t>NALA/WELL/LT LINE</t>
  </si>
  <si>
    <t>AP2A/0</t>
  </si>
  <si>
    <t xml:space="preserve"> 18° 15' 36"LT</t>
  </si>
  <si>
    <t>75d10'17.952"E</t>
  </si>
  <si>
    <t>24d12'3.221"N</t>
  </si>
  <si>
    <t>NALA/ROAD</t>
  </si>
  <si>
    <t>AP3/0</t>
  </si>
  <si>
    <t xml:space="preserve"> 46° 49' 31"LT</t>
  </si>
  <si>
    <t>75d10'20.782"E</t>
  </si>
  <si>
    <t>24d11'54.679"N</t>
  </si>
  <si>
    <t>NALA/CT/ WELL/ROAD</t>
  </si>
  <si>
    <t>75d10'31.622"E</t>
  </si>
  <si>
    <t>24d11'49.771"N</t>
  </si>
  <si>
    <t>LT LINE/WELL</t>
  </si>
  <si>
    <t>75d10'45.449"E</t>
  </si>
  <si>
    <t>24d11'43.511"N</t>
  </si>
  <si>
    <t>Kachariya</t>
  </si>
  <si>
    <t>11KV, LT, CT, WELL, SAMADHI</t>
  </si>
  <si>
    <t>AP4/0</t>
  </si>
  <si>
    <t xml:space="preserve"> 12° 56' 59"LT</t>
  </si>
  <si>
    <t>75d10'58.331"E</t>
  </si>
  <si>
    <t>24d11'37.678"N</t>
  </si>
  <si>
    <t>NALA, POND, WELL</t>
  </si>
  <si>
    <t>75d11'12.473"E</t>
  </si>
  <si>
    <t>24d11'34.605"N</t>
  </si>
  <si>
    <t>Benching / Raised Chimney Expected</t>
  </si>
  <si>
    <t>SUBMITED</t>
  </si>
  <si>
    <t>CT</t>
  </si>
  <si>
    <t>75d11'25.615"E</t>
  </si>
  <si>
    <t>24d11'31.75"N</t>
  </si>
  <si>
    <t>Sohangara</t>
  </si>
  <si>
    <t>75d11'39.998"E</t>
  </si>
  <si>
    <t>24d11'28.624"N</t>
  </si>
  <si>
    <t>METAL ROAD, CT, 11KV, LT</t>
  </si>
  <si>
    <t>75d11'54.381"E</t>
  </si>
  <si>
    <t>24d11'25.498"N</t>
  </si>
  <si>
    <t>WELL, LT</t>
  </si>
  <si>
    <t>75d12'8.764"E</t>
  </si>
  <si>
    <t>24d11'22.372"N</t>
  </si>
  <si>
    <t>75d12'22.147"E</t>
  </si>
  <si>
    <t>24d11'19.462"N</t>
  </si>
  <si>
    <t>11KV, SHIVNA RIVER</t>
  </si>
  <si>
    <t>AP5/0</t>
  </si>
  <si>
    <t xml:space="preserve"> 0° 52' 40"LT</t>
  </si>
  <si>
    <t>75d12'37.748"E</t>
  </si>
  <si>
    <t>24d11'16.07"N</t>
  </si>
  <si>
    <t>Aabakhedi</t>
  </si>
  <si>
    <t>Sitamau</t>
  </si>
  <si>
    <t>NALA, PIPAL TREE</t>
  </si>
  <si>
    <t>75°12'51.627"E</t>
  </si>
  <si>
    <t>24°11'13.257"N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</si>
  <si>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</si>
  <si>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</si>
  <si>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</si>
  <si>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</si>
  <si>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</si>
  <si>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</si>
  <si>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</si>
  <si>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</si>
  <si>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</si>
  <si>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</si>
  <si>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</si>
  <si>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</si>
  <si>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</si>
  <si>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</si>
  <si>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</si>
  <si>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</si>
  <si>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</si>
  <si>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</si>
  <si>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</si>
  <si>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</si>
  <si>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</si>
  <si>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</si>
  <si>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</si>
  <si>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</si>
  <si>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</si>
  <si>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</si>
  <si>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</si>
  <si>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</si>
  <si>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</si>
  <si>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</si>
  <si>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</si>
  <si>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</si>
  <si>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</si>
  <si>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</si>
  <si>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</si>
  <si>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</si>
  <si>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</si>
  <si>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</si>
  <si>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</si>
  <si>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</si>
  <si>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</si>
  <si>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</si>
  <si>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</si>
  <si>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</si>
  <si>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</si>
  <si>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</si>
  <si>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</si>
  <si>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</si>
  <si>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</si>
  <si>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</si>
  <si>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</si>
  <si>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</si>
  <si>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</si>
  <si>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</si>
  <si>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</si>
  <si>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</si>
  <si>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</si>
  <si>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</si>
  <si>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</si>
  <si>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</si>
  <si>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</si>
  <si>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</si>
  <si>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</si>
  <si>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</si>
  <si>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</si>
  <si>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</si>
  <si>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</si>
  <si>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</si>
  <si>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</si>
  <si>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</si>
  <si>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</si>
  <si>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</si>
  <si>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</si>
  <si>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</si>
  <si>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</si>
  <si>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</si>
  <si>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</si>
  <si>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</si>
  <si>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</si>
  <si>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</si>
  <si>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</si>
  <si>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</si>
  <si>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</si>
  <si>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</si>
  <si>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</si>
  <si>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</si>
  <si>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</si>
  <si>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</si>
  <si>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</si>
  <si>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</si>
  <si>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</si>
  <si>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</si>
  <si>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</si>
  <si>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</si>
  <si>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</si>
  <si>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</si>
  <si>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</si>
  <si>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</si>
  <si>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</si>
  <si>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</si>
  <si>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</si>
  <si>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</si>
  <si>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</si>
  <si>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</si>
  <si>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</si>
  <si>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</si>
  <si>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</si>
  <si>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</si>
  <si>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</si>
  <si>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</si>
  <si>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</si>
  <si>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</si>
  <si>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</si>
  <si>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</si>
  <si>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</si>
  <si>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</si>
  <si>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</si>
  <si>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</si>
  <si>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</si>
  <si>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</si>
  <si>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</si>
  <si>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</si>
  <si>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APPROVED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</si>
  <si>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</si>
  <si>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</si>
  <si>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</si>
  <si>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</si>
  <si>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</si>
  <si>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</si>
  <si>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</si>
  <si>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</si>
  <si>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</si>
  <si>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</si>
  <si>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</si>
  <si>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</si>
  <si>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</si>
  <si>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</si>
  <si>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</si>
  <si>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</si>
  <si>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</si>
  <si>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</si>
  <si>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</si>
  <si>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</si>
  <si>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</si>
  <si>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</si>
  <si>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</si>
  <si>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</si>
  <si>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</si>
  <si>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</si>
  <si>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</si>
  <si>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</si>
  <si>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</si>
  <si>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</si>
  <si>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</si>
  <si>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</si>
  <si>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</si>
  <si>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</si>
  <si>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</si>
  <si>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</si>
  <si>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</si>
  <si>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</si>
  <si>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</si>
  <si>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</si>
  <si>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</si>
  <si>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</si>
  <si>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</si>
  <si>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</si>
  <si>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</si>
  <si>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</si>
  <si>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</si>
  <si>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</si>
  <si>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</si>
  <si>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</si>
  <si>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</si>
  <si>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</si>
  <si>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</si>
  <si>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</si>
  <si>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</si>
  <si>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</si>
  <si>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</si>
  <si>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</si>
  <si>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</si>
  <si>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</si>
  <si>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</si>
  <si>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</si>
  <si>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</si>
  <si>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</si>
  <si>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</si>
  <si>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</si>
  <si>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</si>
  <si>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</si>
  <si>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</si>
  <si>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</si>
  <si>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</si>
  <si>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</si>
  <si>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</si>
  <si>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</si>
  <si>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</si>
  <si>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</si>
  <si>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</si>
  <si>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</si>
  <si>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</si>
  <si>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</si>
  <si>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</si>
  <si>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</si>
  <si>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</si>
  <si>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</si>
  <si>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</si>
  <si>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</si>
  <si>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</si>
  <si>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</si>
  <si>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</si>
  <si>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</si>
  <si>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</si>
  <si>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</si>
  <si>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</si>
  <si>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</si>
  <si>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</si>
  <si>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</si>
  <si>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</si>
  <si>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</si>
  <si>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</si>
  <si>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</si>
  <si>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</si>
  <si>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</si>
  <si>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</si>
  <si>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</si>
  <si>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</si>
  <si>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</si>
  <si>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</si>
  <si>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</si>
  <si>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</si>
  <si>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</si>
  <si>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</si>
  <si>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</si>
  <si>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</si>
  <si>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</si>
  <si>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</si>
  <si>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</si>
  <si>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</si>
  <si>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</si>
  <si>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</si>
  <si>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2 NOS 33KV LINE/NE-4 DELHI MUMBAI EXPRESSWAY/CART TRACK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</si>
  <si>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</si>
  <si>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</si>
  <si>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</si>
  <si>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</si>
  <si>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</si>
  <si>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</si>
  <si>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</si>
  <si>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</si>
  <si>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</si>
  <si>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</si>
  <si>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</si>
  <si>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r>
      <rPr>
        <b/>
        <sz val="10"/>
        <color indexed="10"/>
        <rFont val="Tahoma"/>
        <family val="2"/>
      </rPr>
      <t>Raised Chimney</t>
    </r>
    <r>
      <rPr>
        <b/>
        <sz val="10"/>
        <color indexed="8"/>
        <rFont val="Tahoma"/>
        <family val="2"/>
      </rPr>
      <t xml:space="preserve"> </t>
    </r>
  </si>
  <si>
    <r>
      <t xml:space="preserve">11KV, </t>
    </r>
    <r>
      <rPr>
        <b/>
        <sz val="10"/>
        <color indexed="10"/>
        <rFont val="Tahoma"/>
        <family val="2"/>
      </rPr>
      <t>CHAMBAL RIVER</t>
    </r>
    <r>
      <rPr>
        <b/>
        <sz val="10"/>
        <color indexed="8"/>
        <rFont val="Tahoma"/>
        <family val="2"/>
      </rPr>
      <t>, LT END</t>
    </r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</si>
  <si>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</si>
  <si>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</si>
  <si>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</si>
  <si>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</si>
  <si>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</si>
  <si>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</si>
  <si>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</si>
  <si>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</si>
  <si>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</si>
  <si>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</si>
  <si>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</si>
  <si>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</si>
  <si>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</si>
  <si>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</si>
  <si>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</si>
  <si>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</si>
  <si>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</si>
  <si>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</si>
  <si>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</si>
  <si>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</si>
  <si>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</si>
  <si>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</si>
  <si>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</si>
  <si>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</si>
  <si>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</si>
  <si>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</si>
  <si>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</si>
  <si>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</si>
  <si>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</si>
  <si>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</si>
  <si>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</si>
  <si>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</si>
  <si>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</si>
  <si>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</si>
  <si>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</si>
  <si>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</si>
  <si>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</si>
  <si>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</si>
  <si>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</si>
  <si>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</si>
  <si>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</si>
  <si>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33KV, SH-8+S407 T223METAL ROAD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</si>
  <si>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</si>
  <si>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</si>
  <si>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</si>
  <si>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</si>
  <si>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</si>
  <si>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</si>
  <si>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</si>
  <si>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</si>
  <si>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</si>
  <si>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</si>
  <si>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</si>
  <si>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</si>
  <si>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</si>
  <si>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</si>
  <si>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</si>
  <si>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</si>
  <si>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</si>
  <si>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11KV, 33KV, METAL ROAD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</si>
  <si>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</si>
  <si>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</si>
  <si>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</si>
  <si>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</si>
  <si>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</si>
  <si>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</si>
  <si>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</si>
  <si>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</si>
  <si>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</si>
  <si>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</si>
  <si>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</si>
  <si>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</si>
  <si>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</si>
  <si>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</si>
  <si>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</si>
  <si>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</si>
  <si>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</si>
  <si>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</si>
  <si>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</si>
  <si>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</si>
  <si>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</si>
  <si>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</si>
  <si>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</si>
  <si>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</si>
  <si>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</si>
  <si>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</si>
  <si>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</si>
  <si>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</si>
  <si>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</si>
  <si>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</si>
  <si>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</si>
  <si>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</si>
  <si>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</si>
  <si>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</si>
  <si>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</si>
  <si>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</si>
  <si>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</si>
  <si>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</si>
  <si>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</si>
  <si>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</si>
  <si>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</si>
  <si>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</si>
  <si>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</si>
  <si>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</si>
  <si>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</si>
  <si>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</si>
  <si>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</si>
  <si>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</si>
  <si>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</si>
  <si>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</si>
  <si>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75°36'46.379"E</t>
  </si>
  <si>
    <t>24°3'38.084"N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</si>
  <si>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</si>
  <si>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</si>
  <si>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</si>
  <si>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</si>
  <si>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</si>
  <si>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</si>
  <si>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</si>
  <si>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</si>
  <si>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</si>
  <si>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</si>
  <si>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</si>
  <si>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</si>
  <si>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</si>
  <si>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</si>
  <si>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</si>
  <si>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</si>
  <si>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</si>
  <si>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</si>
  <si>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</si>
  <si>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</si>
  <si>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</si>
  <si>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</si>
  <si>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</si>
  <si>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</si>
  <si>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</si>
  <si>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</si>
  <si>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</si>
  <si>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</si>
  <si>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</si>
  <si>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</si>
  <si>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</si>
  <si>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</si>
  <si>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</si>
  <si>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</si>
  <si>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</si>
  <si>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</si>
  <si>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</si>
  <si>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</si>
  <si>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75°38'44.435"E</t>
  </si>
  <si>
    <t>24°2'25.883"N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</si>
  <si>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</si>
  <si>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</si>
  <si>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</si>
  <si>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</si>
  <si>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</si>
  <si>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</si>
  <si>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</si>
  <si>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</si>
  <si>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</si>
  <si>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</si>
  <si>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</si>
  <si>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</si>
  <si>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</si>
  <si>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</si>
  <si>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</si>
  <si>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</si>
  <si>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</si>
  <si>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</si>
  <si>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</si>
  <si>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</si>
  <si>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</si>
  <si>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</si>
  <si>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</si>
  <si>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</si>
  <si>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</si>
  <si>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</si>
  <si>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</si>
  <si>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</si>
  <si>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</si>
  <si>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</si>
  <si>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</si>
  <si>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</si>
  <si>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</si>
  <si>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</si>
  <si>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</si>
  <si>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</si>
  <si>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</si>
  <si>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</si>
  <si>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</si>
  <si>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</si>
  <si>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</si>
  <si>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</si>
  <si>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</si>
  <si>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</si>
  <si>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</si>
  <si>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</si>
  <si>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</si>
  <si>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</si>
  <si>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</si>
  <si>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</si>
  <si>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</si>
  <si>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</si>
  <si>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</si>
  <si>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</si>
  <si>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</si>
  <si>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</si>
  <si>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</si>
  <si>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</si>
  <si>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</si>
  <si>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</si>
  <si>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</si>
  <si>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</si>
  <si>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</si>
  <si>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</si>
  <si>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</si>
  <si>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</si>
  <si>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</si>
  <si>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</si>
  <si>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</si>
  <si>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</si>
  <si>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</si>
  <si>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</si>
  <si>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</si>
  <si>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</si>
  <si>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</si>
  <si>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</si>
  <si>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</si>
  <si>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</si>
  <si>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</si>
  <si>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</si>
  <si>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</si>
  <si>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</si>
  <si>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</si>
  <si>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</si>
  <si>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</si>
  <si>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</si>
  <si>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</si>
  <si>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</si>
  <si>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</si>
  <si>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</si>
  <si>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</si>
  <si>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</si>
  <si>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</si>
  <si>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</si>
  <si>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</si>
  <si>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</si>
  <si>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</si>
  <si>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</si>
  <si>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</si>
  <si>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</si>
  <si>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</si>
  <si>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</si>
  <si>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</si>
  <si>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</si>
  <si>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</si>
  <si>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</si>
  <si>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</si>
  <si>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</si>
  <si>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</si>
  <si>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</si>
  <si>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</si>
  <si>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</si>
  <si>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</si>
  <si>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</si>
  <si>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</si>
  <si>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</si>
  <si>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</si>
  <si>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</si>
  <si>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</si>
  <si>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</si>
  <si>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</si>
  <si>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</si>
  <si>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</si>
  <si>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</si>
  <si>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</si>
  <si>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</si>
  <si>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</si>
  <si>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</si>
  <si>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</si>
  <si>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</si>
  <si>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</si>
  <si>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</si>
  <si>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</si>
  <si>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</si>
  <si>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</si>
  <si>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</si>
  <si>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</si>
  <si>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</si>
  <si>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</si>
  <si>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</si>
  <si>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</si>
  <si>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</si>
  <si>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</si>
  <si>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</si>
  <si>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</si>
  <si>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</si>
  <si>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</si>
  <si>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</si>
  <si>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</si>
  <si>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</si>
  <si>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</si>
  <si>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</si>
  <si>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</si>
  <si>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</si>
  <si>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</si>
  <si>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</si>
  <si>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</si>
  <si>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</si>
  <si>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</si>
  <si>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</si>
  <si>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</si>
  <si>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</si>
  <si>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</si>
  <si>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</si>
  <si>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</si>
  <si>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</si>
  <si>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</si>
  <si>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</si>
  <si>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</si>
  <si>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</si>
  <si>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</si>
  <si>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</si>
  <si>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</si>
  <si>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</si>
  <si>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</si>
  <si>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</si>
  <si>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</si>
  <si>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</si>
  <si>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</si>
  <si>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</si>
  <si>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</si>
  <si>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</si>
  <si>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</si>
  <si>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</si>
  <si>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</si>
  <si>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</si>
  <si>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</si>
  <si>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</si>
  <si>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</si>
  <si>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</si>
  <si>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</si>
  <si>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</si>
  <si>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</si>
  <si>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</si>
  <si>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</si>
  <si>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</si>
  <si>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</si>
  <si>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</si>
  <si>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</si>
  <si>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</si>
  <si>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</si>
  <si>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</si>
  <si>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132kV S/C Modak-Dag RJVPNL line (T193-194) &amp; 11kV line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</si>
  <si>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</si>
  <si>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</si>
  <si>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</si>
  <si>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</si>
  <si>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</si>
  <si>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</si>
  <si>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</si>
  <si>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</si>
  <si>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</si>
  <si>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</si>
  <si>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</si>
  <si>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</si>
  <si>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</si>
  <si>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</si>
  <si>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</si>
  <si>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</si>
  <si>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</si>
  <si>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51'51.046"E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</si>
  <si>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56'30.389"N</t>
    </r>
  </si>
  <si>
    <t>Orange garden &amp; Nala, CT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</si>
  <si>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52'1.818"E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</si>
  <si>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56'22.007"N</t>
    </r>
  </si>
  <si>
    <t>Ganeshpura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</si>
  <si>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52'10.674"E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</si>
  <si>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56'15.117"N</t>
    </r>
  </si>
  <si>
    <t>11kV line, WELL, CT &amp; Nala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</si>
  <si>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52'21.419"E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</si>
  <si>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56'6.756"N</t>
    </r>
  </si>
  <si>
    <t>11KV, WELL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</si>
  <si>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52'31.516"E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</si>
  <si>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55'58.898"N</t>
    </r>
  </si>
  <si>
    <t>Daryavpura</t>
  </si>
  <si>
    <t>TAR ROAD</t>
  </si>
  <si>
    <t>AP45A/0</t>
  </si>
  <si>
    <t xml:space="preserve"> 24° 2' 43"LT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</si>
  <si>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52'42.557"E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</si>
  <si>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55'50.305"N</t>
    </r>
  </si>
  <si>
    <t>11KV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</si>
  <si>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52'52.95"E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</si>
  <si>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55'42.217"N</t>
    </r>
  </si>
  <si>
    <t>Raised Chimney Expected</t>
  </si>
  <si>
    <t>AP46/0</t>
  </si>
  <si>
    <t xml:space="preserve"> 30° 59' 37"LT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</si>
  <si>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53'4.931"E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</si>
  <si>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55'32.891"N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</si>
  <si>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53'16.956"E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</si>
  <si>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55'32.744"N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</si>
  <si>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53'33.154"E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</si>
  <si>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55'32.544"N</t>
    </r>
  </si>
  <si>
    <t>Ghati</t>
  </si>
  <si>
    <t>11kV line, Cart track, WELL</t>
  </si>
  <si>
    <t>AP46A/0</t>
  </si>
  <si>
    <t xml:space="preserve"> 15° 18' 60"RT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</si>
  <si>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53'46.452"E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</si>
  <si>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55'32.38"N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</si>
  <si>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53'57.487"E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</si>
  <si>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55'32.244"N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</si>
  <si>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54'10.855"E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</si>
  <si>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55'32.079"N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</si>
  <si>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54'24.932"E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</si>
  <si>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55'31.904"N</t>
    </r>
  </si>
  <si>
    <t>Cart track, WELL &amp; Nala</t>
  </si>
  <si>
    <t>AP47/0</t>
  </si>
  <si>
    <t xml:space="preserve"> 15° 21' 6"RT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</si>
  <si>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54'39.466"E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</si>
  <si>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55'31.724"N</t>
    </r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</si>
  <si>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</si>
  <si>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</si>
  <si>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</si>
  <si>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</si>
  <si>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</si>
  <si>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</si>
  <si>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</si>
  <si>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Chhaan(Chhaan Dug)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</si>
  <si>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</si>
  <si>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</si>
  <si>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</si>
  <si>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</si>
  <si>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</si>
  <si>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</si>
  <si>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</si>
  <si>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</si>
  <si>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</si>
  <si>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</si>
  <si>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</si>
  <si>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</si>
  <si>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</si>
  <si>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</si>
  <si>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</si>
  <si>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</si>
  <si>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</si>
  <si>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</si>
  <si>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</si>
  <si>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</si>
  <si>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</si>
  <si>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</si>
  <si>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</si>
  <si>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</si>
  <si>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</si>
  <si>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</si>
  <si>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</si>
  <si>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</si>
  <si>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</si>
  <si>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</si>
  <si>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</si>
  <si>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</si>
  <si>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</si>
  <si>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</si>
  <si>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</si>
  <si>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</si>
  <si>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</si>
  <si>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</si>
  <si>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</si>
  <si>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</si>
  <si>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</si>
  <si>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</si>
  <si>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</si>
  <si>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</si>
  <si>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</si>
  <si>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</si>
  <si>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</si>
  <si>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</si>
  <si>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</si>
  <si>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</si>
  <si>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</si>
  <si>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</si>
  <si>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</si>
  <si>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</si>
  <si>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</si>
  <si>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</si>
  <si>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</si>
  <si>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</si>
  <si>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</si>
  <si>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</si>
  <si>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</si>
  <si>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</si>
  <si>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</si>
  <si>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</si>
  <si>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</si>
  <si>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</si>
  <si>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</si>
  <si>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</si>
  <si>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</si>
  <si>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</si>
  <si>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</si>
  <si>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</si>
  <si>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</si>
  <si>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</si>
  <si>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</si>
  <si>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</si>
  <si>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</si>
  <si>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</si>
  <si>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</si>
  <si>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</si>
  <si>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</si>
  <si>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</si>
  <si>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</si>
  <si>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</si>
  <si>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</si>
  <si>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</si>
  <si>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</si>
  <si>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76°1'41.165"E</t>
  </si>
  <si>
    <t>23°52'56.009"N</t>
  </si>
  <si>
    <t>Shyamgarh</t>
  </si>
  <si>
    <t>WELL, 11KV</t>
  </si>
  <si>
    <t>AP52/0</t>
  </si>
  <si>
    <t xml:space="preserve"> 24° 40' 51"LT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</si>
  <si>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1'51.365"E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</si>
  <si>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52'49.584"N</t>
    </r>
  </si>
  <si>
    <t>LT LINE/METAL ROAD/WELL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</si>
  <si>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2'5.618"E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</si>
  <si>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52'47.335"N</t>
    </r>
  </si>
  <si>
    <t>AP53/0</t>
  </si>
  <si>
    <t xml:space="preserve"> 11° 13'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</si>
  <si>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2'19.245"E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</si>
  <si>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52'45.185"N</t>
    </r>
  </si>
  <si>
    <t>11KV LINE/CART TRACK/SCHOOL/SCHOOL/CRICKET PITCH/CART TRACK/11KV LINE</t>
  </si>
  <si>
    <t>AP53A/0</t>
  </si>
  <si>
    <t xml:space="preserve"> 4° 32'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</si>
  <si>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2'31.992"E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</si>
  <si>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52'40.695"N</t>
    </r>
  </si>
  <si>
    <t>Saranga_khedi</t>
  </si>
  <si>
    <t>MUMBAI-MANMAD BIJWASAN GAS PIPE LINE(BPCL)</t>
  </si>
  <si>
    <t>AP53B/0</t>
  </si>
  <si>
    <t xml:space="preserve"> 14° 18'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</si>
  <si>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2'43.891"E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</si>
  <si>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52'35.475"N</t>
    </r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</si>
  <si>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2'52.936"E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</si>
  <si>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52'28.544"N</t>
    </r>
  </si>
  <si>
    <t>2 NOS. 11KV LINE</t>
  </si>
  <si>
    <t>AP54/0</t>
  </si>
  <si>
    <t xml:space="preserve"> 28° 2'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</si>
  <si>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3'2.636"E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</si>
  <si>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52'21.111"N</t>
    </r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</si>
  <si>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</si>
  <si>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</si>
  <si>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</si>
  <si>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</si>
  <si>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</si>
  <si>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</si>
  <si>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</si>
  <si>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EQUAL RC IN 4 LEGS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</si>
  <si>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</si>
  <si>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</si>
  <si>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</si>
  <si>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</si>
  <si>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</si>
  <si>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</si>
  <si>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</si>
  <si>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</si>
  <si>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</si>
  <si>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</si>
  <si>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</si>
  <si>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</si>
  <si>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</si>
  <si>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</si>
  <si>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</si>
  <si>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</si>
  <si>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</si>
  <si>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</si>
  <si>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</si>
  <si>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</si>
  <si>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</si>
  <si>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</si>
  <si>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</si>
  <si>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</si>
  <si>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</si>
  <si>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</si>
  <si>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</si>
  <si>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</si>
  <si>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</si>
  <si>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</si>
  <si>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</si>
  <si>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</si>
  <si>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</si>
  <si>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</si>
  <si>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</si>
  <si>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</si>
  <si>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</si>
  <si>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</si>
  <si>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</si>
  <si>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</si>
  <si>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</si>
  <si>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</si>
  <si>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</si>
  <si>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</si>
  <si>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</si>
  <si>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</si>
  <si>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76°6'2.856"E</t>
  </si>
  <si>
    <t>23°51'24.593"N</t>
  </si>
  <si>
    <t>Semalkhedi</t>
  </si>
  <si>
    <t>Nalkheda</t>
  </si>
  <si>
    <t>33kV lines, 11kV lines</t>
  </si>
  <si>
    <t>AP60/0</t>
  </si>
  <si>
    <t xml:space="preserve"> 26° 15' 27"RT</t>
  </si>
  <si>
    <t>76°6'15.048"E</t>
  </si>
  <si>
    <t>23°51'22.678"N</t>
  </si>
  <si>
    <t>NH-552G, 33kV line, 11kV line, Nala</t>
  </si>
  <si>
    <t>AP61/0</t>
  </si>
  <si>
    <t xml:space="preserve"> 2° 56' 37"LT</t>
  </si>
  <si>
    <t>76°6'22.173"E</t>
  </si>
  <si>
    <t>23°51'17.925"N</t>
  </si>
  <si>
    <t>Nala, LT line, Well, Cart Track</t>
  </si>
  <si>
    <t>76°6'32.579"E</t>
  </si>
  <si>
    <t>23°51'11.709"N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</si>
  <si>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</si>
  <si>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</si>
  <si>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</si>
  <si>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</si>
  <si>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</si>
  <si>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</si>
  <si>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</si>
  <si>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</si>
  <si>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</si>
  <si>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</si>
  <si>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</si>
  <si>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</si>
  <si>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</si>
  <si>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</si>
  <si>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</si>
  <si>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</si>
  <si>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</si>
  <si>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</si>
  <si>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</si>
  <si>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</si>
  <si>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</si>
  <si>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</si>
  <si>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</si>
  <si>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</si>
  <si>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</si>
  <si>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</si>
  <si>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</si>
  <si>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</si>
  <si>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</si>
  <si>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</si>
  <si>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</si>
  <si>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</si>
  <si>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</si>
  <si>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</si>
  <si>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</si>
  <si>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</si>
  <si>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</si>
  <si>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</si>
  <si>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</si>
  <si>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</si>
  <si>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</si>
  <si>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</si>
  <si>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</si>
  <si>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</si>
  <si>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</si>
  <si>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</si>
  <si>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</si>
  <si>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</si>
  <si>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</si>
  <si>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</si>
  <si>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</si>
  <si>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</si>
  <si>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</si>
  <si>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</si>
  <si>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</si>
  <si>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</si>
  <si>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</si>
  <si>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</si>
  <si>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</si>
  <si>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</si>
  <si>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</si>
  <si>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</si>
  <si>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</si>
  <si>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</si>
  <si>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</si>
  <si>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</si>
  <si>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</si>
  <si>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</si>
  <si>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</si>
  <si>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</si>
  <si>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</si>
  <si>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</si>
  <si>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</si>
  <si>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</si>
  <si>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</si>
  <si>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</si>
  <si>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</si>
  <si>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</si>
  <si>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</si>
  <si>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</si>
  <si>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</si>
  <si>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</si>
  <si>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</si>
  <si>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</si>
  <si>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</si>
  <si>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</si>
  <si>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</si>
  <si>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</si>
  <si>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</si>
  <si>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</si>
  <si>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</si>
  <si>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</si>
  <si>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</si>
  <si>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</si>
  <si>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</si>
  <si>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</si>
  <si>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</si>
  <si>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</si>
  <si>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</si>
  <si>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</si>
  <si>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</si>
  <si>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</si>
  <si>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</si>
  <si>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</si>
  <si>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</si>
  <si>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</si>
  <si>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</si>
  <si>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</si>
  <si>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</si>
  <si>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</si>
  <si>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</si>
  <si>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</si>
  <si>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</si>
  <si>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</si>
  <si>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</si>
  <si>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</si>
  <si>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</si>
  <si>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</si>
  <si>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DB1</t>
  </si>
  <si>
    <t>DB2</t>
  </si>
  <si>
    <t>DC1</t>
  </si>
  <si>
    <t>DC2</t>
  </si>
  <si>
    <t>DD45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</si>
  <si>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</si>
  <si>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</si>
  <si>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</si>
  <si>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</si>
  <si>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</si>
  <si>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Hemraj singh cont.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</si>
  <si>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</si>
  <si>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</si>
  <si>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</si>
  <si>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</si>
  <si>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</si>
  <si>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</si>
  <si>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</si>
  <si>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</si>
  <si>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</si>
  <si>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</si>
  <si>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</si>
  <si>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</si>
  <si>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</si>
  <si>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</si>
  <si>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</si>
  <si>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</si>
  <si>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</si>
  <si>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</si>
  <si>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</si>
  <si>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TP ROW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</si>
  <si>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</si>
  <si>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</si>
  <si>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</si>
  <si>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</si>
  <si>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</si>
  <si>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</si>
  <si>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</si>
  <si>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</si>
  <si>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</si>
  <si>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</si>
  <si>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</si>
  <si>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</si>
  <si>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</si>
  <si>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</si>
  <si>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</si>
  <si>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</si>
  <si>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</si>
  <si>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</si>
  <si>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</si>
  <si>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</si>
  <si>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</si>
  <si>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</si>
  <si>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</si>
  <si>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</si>
  <si>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</si>
  <si>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</si>
  <si>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</si>
  <si>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</si>
  <si>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</si>
  <si>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</si>
  <si>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</si>
  <si>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</si>
  <si>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</si>
  <si>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</si>
  <si>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</si>
  <si>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</si>
  <si>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</si>
  <si>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</si>
  <si>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</si>
  <si>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</si>
  <si>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</si>
  <si>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</si>
  <si>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</si>
  <si>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</si>
  <si>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</si>
  <si>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</si>
  <si>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</si>
  <si>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</si>
  <si>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</si>
  <si>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</si>
  <si>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</si>
  <si>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</si>
  <si>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</si>
  <si>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</si>
  <si>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</si>
  <si>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</si>
  <si>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</si>
  <si>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</si>
  <si>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</si>
  <si>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</si>
  <si>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</si>
  <si>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Excavation U/P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</si>
  <si>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</si>
  <si>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</si>
  <si>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</si>
  <si>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</si>
  <si>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</si>
  <si>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</si>
  <si>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</si>
  <si>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</si>
  <si>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</si>
  <si>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</si>
  <si>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</si>
  <si>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</si>
  <si>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</si>
  <si>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</si>
  <si>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</si>
  <si>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</si>
  <si>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</si>
  <si>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</si>
  <si>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</si>
  <si>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</si>
  <si>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</si>
  <si>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</si>
  <si>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</si>
  <si>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</si>
  <si>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</si>
  <si>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</si>
  <si>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</si>
  <si>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</si>
  <si>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</si>
  <si>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</si>
  <si>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</si>
  <si>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</si>
  <si>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</si>
  <si>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</si>
  <si>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</si>
  <si>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</si>
  <si>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</si>
  <si>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</si>
  <si>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</si>
  <si>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</si>
  <si>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160KN=4584</t>
  </si>
  <si>
    <t>210KN=6413</t>
  </si>
  <si>
    <t>UPTO  Dec-25 
L2 Schedule</t>
  </si>
  <si>
    <t>03.01.2026</t>
  </si>
  <si>
    <t>Material Shifting</t>
  </si>
  <si>
    <t>04.01.2026</t>
  </si>
  <si>
    <t>B Pit chimney completed &amp; C Pit Frustum,Step Box Completed</t>
  </si>
  <si>
    <t>B Pit chimney completed</t>
  </si>
  <si>
    <t>4.01.2026</t>
  </si>
  <si>
    <t>06.01.2026</t>
  </si>
  <si>
    <t>Basic Body U/P</t>
  </si>
  <si>
    <t>05.01.2026</t>
  </si>
  <si>
    <t>Body Part-1 U/P</t>
  </si>
  <si>
    <t>Cage Part-1 U/P</t>
  </si>
  <si>
    <t>52/0,38/0,36/0</t>
  </si>
  <si>
    <t>65/2,16/10,7/4,32/5,10/3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</si>
</sst>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"/>
    <numFmt numFmtId="166" formatCode="0.000"/>
    <numFmt numFmtId="167" formatCode="0;;"/>
    <numFmt numFmtId="168" formatCode="0.000;;"/>
    <numFmt numFmtId="169" formatCode="_(* #,##0.000_);_(* \(#,##0.000\);_(* &quot;-&quot;???_);_(@_)"/>
    <numFmt numFmtId="170" formatCode="[$-14009]dd/mm/yy;@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10"/>
      <name val="Arial"/>
      <family val="2"/>
    </font>
    <font>
      <b/>
      <sz val="10"/>
      <color indexed="10"/>
      <name val="Tahoma"/>
      <family val="2"/>
    </font>
    <font>
      <b/>
      <sz val="10"/>
      <color indexed="8"/>
      <name val="Tahoma"/>
      <family val="2"/>
    </font>
    <font>
      <b/>
      <vertAlign val="superscript"/>
      <sz val="10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37" fillId="0" borderId="0" applyNumberForma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</cellStyleXfs>
  <cellXfs count="76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8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6" borderId="1" xfId="0" applyFill="1" applyBorder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2" fillId="0" borderId="0" xfId="0" applyNumberFormat="1" applyFont="1"/>
    <xf numFmtId="0" fontId="10" fillId="9" borderId="0" xfId="0" applyFont="1" applyFill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9" xfId="0" applyBorder="1"/>
    <xf numFmtId="0" fontId="14" fillId="0" borderId="18" xfId="0" applyFont="1" applyBorder="1"/>
    <xf numFmtId="0" fontId="14" fillId="0" borderId="0" xfId="0" applyFont="1"/>
    <xf numFmtId="0" fontId="14" fillId="0" borderId="7" xfId="0" applyFont="1" applyBorder="1"/>
    <xf numFmtId="0" fontId="0" fillId="8" borderId="0" xfId="0" applyFill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33" xfId="0" applyBorder="1"/>
    <xf numFmtId="1" fontId="2" fillId="0" borderId="0" xfId="0" applyNumberFormat="1" applyFont="1" applyAlignment="1">
      <alignment horizontal="right" vertical="center"/>
    </xf>
    <xf numFmtId="0" fontId="2" fillId="0" borderId="0" xfId="0" quotePrefix="1" applyFont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2" fontId="2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" fontId="17" fillId="2" borderId="1" xfId="0" applyNumberFormat="1" applyFont="1" applyFill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2" xfId="0" applyFont="1" applyBorder="1" applyAlignment="1">
      <alignment horizontal="right"/>
    </xf>
    <xf numFmtId="0" fontId="21" fillId="0" borderId="5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52" xfId="0" applyNumberFormat="1" applyFont="1" applyBorder="1" applyAlignment="1">
      <alignment horizontal="center" vertical="center" wrapText="1"/>
    </xf>
    <xf numFmtId="1" fontId="21" fillId="2" borderId="5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 wrapText="1"/>
    </xf>
    <xf numFmtId="1" fontId="21" fillId="2" borderId="42" xfId="0" applyNumberFormat="1" applyFont="1" applyFill="1" applyBorder="1" applyAlignment="1">
      <alignment horizontal="center" vertical="center" wrapText="1"/>
    </xf>
    <xf numFmtId="16" fontId="21" fillId="0" borderId="1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1" fontId="21" fillId="0" borderId="42" xfId="0" applyNumberFormat="1" applyFont="1" applyBorder="1" applyAlignment="1">
      <alignment vertical="center"/>
    </xf>
    <xf numFmtId="1" fontId="22" fillId="0" borderId="16" xfId="0" applyNumberFormat="1" applyFont="1" applyBorder="1" applyAlignment="1">
      <alignment vertical="center"/>
    </xf>
    <xf numFmtId="166" fontId="19" fillId="0" borderId="42" xfId="0" applyNumberFormat="1" applyFont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165" fontId="21" fillId="2" borderId="42" xfId="0" applyNumberFormat="1" applyFont="1" applyFill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0" fillId="0" borderId="16" xfId="0" applyBorder="1"/>
    <xf numFmtId="0" fontId="21" fillId="0" borderId="22" xfId="0" applyFont="1" applyBorder="1" applyAlignment="1">
      <alignment horizontal="center" vertical="center"/>
    </xf>
    <xf numFmtId="2" fontId="21" fillId="0" borderId="49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1" fontId="21" fillId="0" borderId="49" xfId="0" applyNumberFormat="1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1" fontId="22" fillId="0" borderId="22" xfId="0" applyNumberFormat="1" applyFont="1" applyBorder="1" applyAlignment="1">
      <alignment vertical="center"/>
    </xf>
    <xf numFmtId="166" fontId="19" fillId="0" borderId="49" xfId="0" applyNumberFormat="1" applyFont="1" applyBorder="1" applyAlignment="1">
      <alignment horizontal="center" vertical="center"/>
    </xf>
    <xf numFmtId="166" fontId="19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 wrapText="1"/>
    </xf>
    <xf numFmtId="1" fontId="19" fillId="0" borderId="22" xfId="0" applyNumberFormat="1" applyFont="1" applyBorder="1" applyAlignment="1">
      <alignment horizontal="center" vertical="center"/>
    </xf>
    <xf numFmtId="165" fontId="21" fillId="2" borderId="49" xfId="0" applyNumberFormat="1" applyFont="1" applyFill="1" applyBorder="1" applyAlignment="1">
      <alignment horizontal="center" vertical="center" wrapText="1"/>
    </xf>
    <xf numFmtId="166" fontId="21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3" fillId="19" borderId="49" xfId="0" applyFont="1" applyFill="1" applyBorder="1" applyAlignment="1">
      <alignment vertical="center" wrapText="1"/>
    </xf>
    <xf numFmtId="0" fontId="23" fillId="19" borderId="3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3" fillId="19" borderId="3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7" fontId="24" fillId="0" borderId="54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7" fontId="24" fillId="2" borderId="54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8" fontId="24" fillId="2" borderId="5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167" fontId="24" fillId="2" borderId="55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7" fontId="24" fillId="2" borderId="1" xfId="0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wrapText="1"/>
    </xf>
    <xf numFmtId="169" fontId="24" fillId="0" borderId="54" xfId="0" applyNumberFormat="1" applyFont="1" applyBorder="1" applyAlignment="1">
      <alignment horizontal="center" vertical="center" wrapText="1"/>
    </xf>
    <xf numFmtId="0" fontId="25" fillId="2" borderId="56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24" fillId="0" borderId="5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7" fontId="24" fillId="0" borderId="5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7" fillId="19" borderId="0" xfId="0" applyFont="1" applyFill="1" applyAlignment="1">
      <alignment vertical="center" wrapText="1"/>
    </xf>
    <xf numFmtId="0" fontId="0" fillId="19" borderId="0" xfId="0" applyFill="1"/>
    <xf numFmtId="0" fontId="28" fillId="19" borderId="0" xfId="0" applyFont="1" applyFill="1" applyAlignment="1">
      <alignment vertical="center" wrapText="1"/>
    </xf>
    <xf numFmtId="0" fontId="29" fillId="19" borderId="49" xfId="0" applyFont="1" applyFill="1" applyBorder="1" applyAlignment="1">
      <alignment vertical="center" wrapText="1"/>
    </xf>
    <xf numFmtId="0" fontId="29" fillId="19" borderId="33" xfId="0" applyFont="1" applyFill="1" applyBorder="1" applyAlignment="1">
      <alignment horizontal="center" vertical="center" wrapText="1"/>
    </xf>
    <xf numFmtId="0" fontId="30" fillId="19" borderId="33" xfId="0" applyFont="1" applyFill="1" applyBorder="1" applyAlignment="1">
      <alignment horizontal="center" vertical="center" wrapText="1"/>
    </xf>
    <xf numFmtId="0" fontId="29" fillId="19" borderId="33" xfId="0" applyFont="1" applyFill="1" applyBorder="1" applyAlignment="1">
      <alignment vertical="center" wrapText="1"/>
    </xf>
    <xf numFmtId="0" fontId="16" fillId="0" borderId="5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16" fillId="0" borderId="17" xfId="0" applyFont="1" applyBorder="1" applyAlignment="1">
      <alignment vertical="center"/>
    </xf>
    <xf numFmtId="0" fontId="29" fillId="19" borderId="52" xfId="0" applyFont="1" applyFill="1" applyBorder="1" applyAlignment="1">
      <alignment vertical="center" wrapText="1"/>
    </xf>
    <xf numFmtId="0" fontId="29" fillId="19" borderId="1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22" borderId="57" xfId="0" applyFont="1" applyFill="1" applyBorder="1" applyAlignment="1">
      <alignment horizontal="center" vertical="center" wrapText="1"/>
    </xf>
    <xf numFmtId="0" fontId="33" fillId="22" borderId="36" xfId="0" applyFont="1" applyFill="1" applyBorder="1" applyAlignment="1">
      <alignment horizontal="center" vertical="center" wrapText="1"/>
    </xf>
    <xf numFmtId="0" fontId="33" fillId="22" borderId="58" xfId="0" applyFont="1" applyFill="1" applyBorder="1" applyAlignment="1">
      <alignment horizontal="center" vertical="center" wrapText="1"/>
    </xf>
    <xf numFmtId="0" fontId="33" fillId="22" borderId="59" xfId="0" applyFont="1" applyFill="1" applyBorder="1" applyAlignment="1">
      <alignment horizontal="center" vertical="center" wrapText="1"/>
    </xf>
    <xf numFmtId="0" fontId="33" fillId="22" borderId="45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7" fontId="34" fillId="0" borderId="42" xfId="4" quotePrefix="1" applyNumberFormat="1" applyFont="1" applyBorder="1" applyAlignment="1">
      <alignment horizontal="center" vertical="center"/>
    </xf>
    <xf numFmtId="0" fontId="34" fillId="0" borderId="16" xfId="4" applyFont="1" applyBorder="1" applyAlignment="1">
      <alignment horizontal="center" vertical="center"/>
    </xf>
    <xf numFmtId="0" fontId="34" fillId="0" borderId="42" xfId="4" quotePrefix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42" xfId="5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34" fillId="0" borderId="52" xfId="4" applyFont="1" applyBorder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2" fillId="0" borderId="52" xfId="5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0" fontId="34" fillId="0" borderId="42" xfId="4" applyFont="1" applyBorder="1" applyAlignment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7" fillId="0" borderId="0" xfId="6"/>
    <xf numFmtId="0" fontId="39" fillId="0" borderId="0" xfId="7"/>
    <xf numFmtId="0" fontId="39" fillId="0" borderId="1" xfId="7" applyBorder="1" applyAlignment="1">
      <alignment horizontal="center" vertical="center" wrapText="1"/>
    </xf>
    <xf numFmtId="0" fontId="39" fillId="0" borderId="0" xfId="7" applyAlignment="1">
      <alignment horizontal="left" vertical="center" wrapText="1"/>
    </xf>
    <xf numFmtId="0" fontId="39" fillId="0" borderId="0" xfId="7" applyAlignment="1">
      <alignment horizontal="center" vertical="center" wrapText="1"/>
    </xf>
    <xf numFmtId="0" fontId="39" fillId="0" borderId="1" xfId="7" applyBorder="1" applyAlignment="1">
      <alignment horizontal="left" vertical="center" wrapText="1"/>
    </xf>
    <xf numFmtId="1" fontId="39" fillId="0" borderId="1" xfId="7" applyNumberFormat="1" applyBorder="1" applyAlignment="1">
      <alignment horizontal="center" vertical="center" wrapText="1"/>
    </xf>
    <xf numFmtId="0" fontId="39" fillId="2" borderId="1" xfId="7" applyFill="1" applyBorder="1" applyAlignment="1">
      <alignment horizontal="left" vertical="center" wrapText="1"/>
    </xf>
    <xf numFmtId="0" fontId="39" fillId="2" borderId="1" xfId="7" applyFill="1" applyBorder="1" applyAlignment="1">
      <alignment horizontal="center" vertical="center" wrapText="1"/>
    </xf>
    <xf numFmtId="0" fontId="13" fillId="0" borderId="0" xfId="7" applyFont="1" applyAlignment="1">
      <alignment horizontal="left" vertical="center" wrapText="1"/>
    </xf>
    <xf numFmtId="9" fontId="39" fillId="0" borderId="1" xfId="8" applyFont="1" applyBorder="1" applyAlignment="1">
      <alignment horizontal="center" vertical="center" wrapText="1"/>
    </xf>
    <xf numFmtId="9" fontId="39" fillId="0" borderId="1" xfId="7" applyNumberFormat="1" applyBorder="1" applyAlignment="1">
      <alignment horizontal="center" vertical="center" wrapText="1"/>
    </xf>
    <xf numFmtId="0" fontId="40" fillId="0" borderId="43" xfId="7" applyFont="1" applyBorder="1" applyAlignment="1">
      <alignment horizontal="center" vertical="center" wrapText="1"/>
    </xf>
    <xf numFmtId="0" fontId="40" fillId="0" borderId="25" xfId="7" applyFont="1" applyBorder="1" applyAlignment="1">
      <alignment horizontal="center" vertical="center" wrapText="1"/>
    </xf>
    <xf numFmtId="0" fontId="40" fillId="0" borderId="26" xfId="7" applyFont="1" applyBorder="1" applyAlignment="1">
      <alignment horizontal="center" vertical="center" wrapText="1"/>
    </xf>
    <xf numFmtId="0" fontId="39" fillId="0" borderId="12" xfId="7" applyBorder="1" applyAlignment="1">
      <alignment horizontal="center" vertical="center" wrapText="1"/>
    </xf>
    <xf numFmtId="0" fontId="39" fillId="2" borderId="27" xfId="7" applyFill="1" applyBorder="1" applyAlignment="1">
      <alignment horizontal="center" vertical="center" wrapText="1"/>
    </xf>
    <xf numFmtId="0" fontId="39" fillId="0" borderId="13" xfId="7" applyBorder="1" applyAlignment="1">
      <alignment horizontal="center" vertical="center" wrapText="1"/>
    </xf>
    <xf numFmtId="0" fontId="39" fillId="2" borderId="14" xfId="7" applyFill="1" applyBorder="1" applyAlignment="1">
      <alignment horizontal="left" vertical="center" wrapText="1"/>
    </xf>
    <xf numFmtId="0" fontId="39" fillId="2" borderId="14" xfId="7" applyFill="1" applyBorder="1" applyAlignment="1">
      <alignment horizontal="center" vertical="center" wrapText="1"/>
    </xf>
    <xf numFmtId="0" fontId="39" fillId="2" borderId="34" xfId="7" applyFill="1" applyBorder="1" applyAlignment="1">
      <alignment horizontal="center" vertical="center" wrapText="1"/>
    </xf>
    <xf numFmtId="0" fontId="13" fillId="0" borderId="43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13" xfId="7" applyFont="1" applyBorder="1" applyAlignment="1">
      <alignment vertical="center" wrapText="1"/>
    </xf>
    <xf numFmtId="0" fontId="39" fillId="0" borderId="0" xfId="7" applyAlignment="1">
      <alignment vertical="center" wrapText="1"/>
    </xf>
    <xf numFmtId="0" fontId="13" fillId="0" borderId="0" xfId="7" applyFont="1" applyAlignment="1">
      <alignment vertical="center" wrapText="1"/>
    </xf>
    <xf numFmtId="0" fontId="41" fillId="14" borderId="42" xfId="0" applyFont="1" applyFill="1" applyBorder="1" applyAlignment="1">
      <alignment horizontal="center" vertical="center" wrapText="1"/>
    </xf>
    <xf numFmtId="0" fontId="41" fillId="14" borderId="17" xfId="0" applyFont="1" applyFill="1" applyBorder="1" applyAlignment="1">
      <alignment horizontal="center" vertical="center" wrapText="1"/>
    </xf>
    <xf numFmtId="0" fontId="42" fillId="23" borderId="49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19" borderId="42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21" fillId="19" borderId="38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42" xfId="0" applyFont="1" applyBorder="1" applyAlignment="1">
      <alignment vertical="center" wrapText="1"/>
    </xf>
    <xf numFmtId="0" fontId="21" fillId="19" borderId="42" xfId="0" applyFont="1" applyFill="1" applyBorder="1" applyAlignment="1">
      <alignment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horizontal="center" vertical="center" wrapText="1"/>
    </xf>
    <xf numFmtId="14" fontId="21" fillId="19" borderId="38" xfId="0" applyNumberFormat="1" applyFont="1" applyFill="1" applyBorder="1" applyAlignment="1">
      <alignment horizontal="center" vertical="center" wrapText="1"/>
    </xf>
    <xf numFmtId="0" fontId="19" fillId="19" borderId="33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vertical="center" wrapText="1"/>
    </xf>
    <xf numFmtId="0" fontId="21" fillId="19" borderId="17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" fontId="21" fillId="0" borderId="0" xfId="0" quotePrefix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2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/>
    <xf numFmtId="0" fontId="0" fillId="0" borderId="19" xfId="0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" fontId="45" fillId="2" borderId="24" xfId="3" applyNumberFormat="1" applyFont="1" applyFill="1" applyBorder="1" applyAlignment="1">
      <alignment horizontal="center" vertical="center"/>
    </xf>
    <xf numFmtId="0" fontId="46" fillId="2" borderId="24" xfId="3" applyFont="1" applyFill="1" applyBorder="1" applyAlignment="1">
      <alignment vertical="center"/>
    </xf>
    <xf numFmtId="0" fontId="46" fillId="2" borderId="38" xfId="3" applyFont="1" applyFill="1" applyBorder="1" applyAlignment="1">
      <alignment vertical="center"/>
    </xf>
    <xf numFmtId="0" fontId="46" fillId="2" borderId="0" xfId="3" applyFont="1" applyFill="1" applyAlignment="1">
      <alignment vertical="center"/>
    </xf>
    <xf numFmtId="2" fontId="45" fillId="2" borderId="0" xfId="3" applyNumberFormat="1" applyFont="1" applyFill="1" applyAlignment="1">
      <alignment horizontal="center" vertical="center"/>
    </xf>
    <xf numFmtId="0" fontId="46" fillId="2" borderId="19" xfId="3" applyFont="1" applyFill="1" applyBorder="1" applyAlignment="1">
      <alignment vertical="center"/>
    </xf>
    <xf numFmtId="0" fontId="3" fillId="2" borderId="14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1" fontId="45" fillId="2" borderId="14" xfId="11" applyNumberFormat="1" applyFont="1" applyFill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0" borderId="34" xfId="3" applyFont="1" applyBorder="1" applyAlignment="1">
      <alignment horizontal="center" vertical="center" wrapText="1"/>
    </xf>
    <xf numFmtId="0" fontId="46" fillId="2" borderId="0" xfId="3" applyFont="1" applyFill="1" applyAlignment="1">
      <alignment vertical="center" wrapText="1"/>
    </xf>
    <xf numFmtId="0" fontId="3" fillId="0" borderId="10" xfId="3" applyFont="1" applyBorder="1" applyAlignment="1">
      <alignment horizontal="center" vertical="center" wrapText="1"/>
    </xf>
    <xf numFmtId="0" fontId="6" fillId="0" borderId="1" xfId="3" applyBorder="1" applyAlignment="1">
      <alignment horizontal="center"/>
    </xf>
    <xf numFmtId="0" fontId="6" fillId="0" borderId="1" xfId="3" applyBorder="1" applyAlignment="1">
      <alignment horizontal="center" vertical="center" wrapText="1"/>
    </xf>
    <xf numFmtId="0" fontId="6" fillId="0" borderId="1" xfId="3" applyBorder="1" applyAlignment="1">
      <alignment horizontal="center" vertical="center"/>
    </xf>
    <xf numFmtId="0" fontId="6" fillId="0" borderId="25" xfId="3" applyBorder="1" applyAlignment="1">
      <alignment horizontal="center"/>
    </xf>
    <xf numFmtId="0" fontId="5" fillId="0" borderId="6" xfId="3" applyFont="1" applyBorder="1" applyAlignment="1">
      <alignment horizontal="center"/>
    </xf>
    <xf numFmtId="2" fontId="6" fillId="0" borderId="1" xfId="3" applyNumberFormat="1" applyBorder="1" applyAlignment="1">
      <alignment horizontal="center"/>
    </xf>
    <xf numFmtId="166" fontId="6" fillId="0" borderId="1" xfId="3" applyNumberFormat="1" applyBorder="1" applyAlignment="1">
      <alignment horizontal="center"/>
    </xf>
    <xf numFmtId="166" fontId="6" fillId="0" borderId="4" xfId="3" applyNumberFormat="1" applyBorder="1" applyAlignment="1">
      <alignment horizontal="center"/>
    </xf>
    <xf numFmtId="0" fontId="3" fillId="0" borderId="8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0" borderId="9" xfId="3" applyFont="1" applyBorder="1" applyAlignment="1">
      <alignment vertical="center" wrapText="1"/>
    </xf>
    <xf numFmtId="0" fontId="3" fillId="0" borderId="63" xfId="3" applyFont="1" applyBorder="1" applyAlignment="1">
      <alignment vertical="center" wrapText="1"/>
    </xf>
    <xf numFmtId="0" fontId="46" fillId="0" borderId="0" xfId="3" applyFont="1" applyAlignment="1">
      <alignment vertical="center" wrapText="1"/>
    </xf>
    <xf numFmtId="0" fontId="3" fillId="0" borderId="11" xfId="3" applyFont="1" applyBorder="1" applyAlignment="1">
      <alignment horizontal="center" vertical="center" wrapText="1"/>
    </xf>
    <xf numFmtId="2" fontId="6" fillId="0" borderId="1" xfId="3" applyNumberForma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 wrapText="1"/>
    </xf>
    <xf numFmtId="0" fontId="3" fillId="0" borderId="27" xfId="3" applyFont="1" applyBorder="1" applyAlignment="1">
      <alignment vertical="center" wrapText="1"/>
    </xf>
    <xf numFmtId="0" fontId="3" fillId="0" borderId="12" xfId="3" applyFont="1" applyBorder="1" applyAlignment="1">
      <alignment horizontal="center" vertical="center" wrapText="1"/>
    </xf>
    <xf numFmtId="2" fontId="5" fillId="0" borderId="6" xfId="3" applyNumberFormat="1" applyFont="1" applyBorder="1" applyAlignment="1">
      <alignment horizontal="center"/>
    </xf>
    <xf numFmtId="0" fontId="48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2" fontId="48" fillId="0" borderId="1" xfId="3" applyNumberFormat="1" applyFont="1" applyBorder="1" applyAlignment="1">
      <alignment horizontal="center"/>
    </xf>
    <xf numFmtId="0" fontId="30" fillId="0" borderId="1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166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vertical="center" wrapText="1"/>
    </xf>
    <xf numFmtId="0" fontId="3" fillId="2" borderId="27" xfId="3" applyFont="1" applyFill="1" applyBorder="1" applyAlignment="1">
      <alignment vertical="center" wrapText="1"/>
    </xf>
    <xf numFmtId="0" fontId="5" fillId="0" borderId="1" xfId="3" applyFont="1" applyBorder="1" applyAlignment="1">
      <alignment horizontal="center" vertical="center"/>
    </xf>
    <xf numFmtId="2" fontId="3" fillId="2" borderId="1" xfId="3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center" vertical="center" wrapText="1"/>
    </xf>
    <xf numFmtId="0" fontId="49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wrapText="1"/>
    </xf>
    <xf numFmtId="0" fontId="4" fillId="2" borderId="1" xfId="3" quotePrefix="1" applyFont="1" applyFill="1" applyBorder="1" applyAlignment="1">
      <alignment horizontal="center" vertical="center" wrapText="1"/>
    </xf>
    <xf numFmtId="0" fontId="4" fillId="2" borderId="27" xfId="3" quotePrefix="1" applyFont="1" applyFill="1" applyBorder="1" applyAlignment="1">
      <alignment horizontal="center" vertical="center" wrapText="1"/>
    </xf>
    <xf numFmtId="0" fontId="3" fillId="2" borderId="1" xfId="3" applyFont="1" applyFill="1" applyBorder="1"/>
    <xf numFmtId="0" fontId="3" fillId="2" borderId="27" xfId="3" applyFont="1" applyFill="1" applyBorder="1"/>
    <xf numFmtId="0" fontId="45" fillId="2" borderId="0" xfId="3" applyFont="1" applyFill="1"/>
    <xf numFmtId="0" fontId="4" fillId="2" borderId="1" xfId="3" applyFont="1" applyFill="1" applyBorder="1" applyAlignment="1">
      <alignment horizontal="center" vertical="center"/>
    </xf>
    <xf numFmtId="0" fontId="4" fillId="2" borderId="27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/>
    </xf>
    <xf numFmtId="1" fontId="3" fillId="2" borderId="1" xfId="3" applyNumberFormat="1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3" fillId="2" borderId="1" xfId="13" applyFont="1" applyFill="1" applyBorder="1" applyAlignment="1">
      <alignment horizontal="center" vertical="center" wrapText="1"/>
    </xf>
    <xf numFmtId="1" fontId="5" fillId="2" borderId="1" xfId="3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1" fontId="5" fillId="2" borderId="1" xfId="3" applyNumberFormat="1" applyFont="1" applyFill="1" applyBorder="1" applyAlignment="1">
      <alignment vertical="center"/>
    </xf>
    <xf numFmtId="1" fontId="5" fillId="2" borderId="1" xfId="3" applyNumberFormat="1" applyFont="1" applyFill="1" applyBorder="1" applyAlignment="1">
      <alignment horizontal="center"/>
    </xf>
    <xf numFmtId="166" fontId="5" fillId="2" borderId="1" xfId="3" applyNumberFormat="1" applyFont="1" applyFill="1" applyBorder="1" applyAlignment="1">
      <alignment horizontal="center"/>
    </xf>
    <xf numFmtId="0" fontId="3" fillId="2" borderId="4" xfId="3" applyFont="1" applyFill="1" applyBorder="1"/>
    <xf numFmtId="0" fontId="3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5" fillId="0" borderId="1" xfId="3" applyFont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center" wrapText="1"/>
    </xf>
    <xf numFmtId="0" fontId="45" fillId="0" borderId="0" xfId="3" applyFont="1"/>
    <xf numFmtId="0" fontId="5" fillId="0" borderId="1" xfId="3" applyFont="1" applyBorder="1" applyAlignment="1">
      <alignment vertical="center"/>
    </xf>
    <xf numFmtId="2" fontId="5" fillId="2" borderId="1" xfId="3" applyNumberFormat="1" applyFont="1" applyFill="1" applyBorder="1" applyAlignment="1">
      <alignment horizontal="center" vertical="center"/>
    </xf>
    <xf numFmtId="165" fontId="4" fillId="2" borderId="27" xfId="3" applyNumberFormat="1" applyFont="1" applyFill="1" applyBorder="1" applyAlignment="1">
      <alignment horizontal="center" vertical="center"/>
    </xf>
    <xf numFmtId="1" fontId="5" fillId="0" borderId="1" xfId="3" applyNumberFormat="1" applyFont="1" applyBorder="1" applyAlignment="1">
      <alignment horizontal="center" vertical="center"/>
    </xf>
    <xf numFmtId="0" fontId="3" fillId="0" borderId="1" xfId="3" applyFont="1" applyBorder="1"/>
    <xf numFmtId="0" fontId="3" fillId="0" borderId="27" xfId="3" applyFont="1" applyBorder="1"/>
    <xf numFmtId="2" fontId="5" fillId="0" borderId="1" xfId="3" applyNumberFormat="1" applyFont="1" applyBorder="1" applyAlignment="1">
      <alignment horizontal="center" vertical="center"/>
    </xf>
    <xf numFmtId="0" fontId="3" fillId="0" borderId="4" xfId="3" applyFont="1" applyBorder="1"/>
    <xf numFmtId="2" fontId="5" fillId="0" borderId="0" xfId="3" applyNumberFormat="1" applyFont="1" applyAlignment="1">
      <alignment horizontal="center"/>
    </xf>
    <xf numFmtId="0" fontId="48" fillId="0" borderId="1" xfId="3" applyFont="1" applyBorder="1" applyAlignment="1">
      <alignment horizontal="center"/>
    </xf>
    <xf numFmtId="1" fontId="6" fillId="0" borderId="1" xfId="3" applyNumberFormat="1" applyBorder="1" applyAlignment="1">
      <alignment horizontal="center"/>
    </xf>
    <xf numFmtId="1" fontId="6" fillId="0" borderId="1" xfId="3" applyNumberFormat="1" applyBorder="1" applyAlignment="1">
      <alignment horizontal="center" vertical="center"/>
    </xf>
    <xf numFmtId="166" fontId="6" fillId="0" borderId="1" xfId="3" applyNumberFormat="1" applyBorder="1" applyAlignment="1">
      <alignment horizontal="center" vertical="center"/>
    </xf>
    <xf numFmtId="0" fontId="52" fillId="0" borderId="1" xfId="3" applyFont="1" applyBorder="1" applyAlignment="1">
      <alignment horizontal="center" vertical="center" wrapText="1"/>
    </xf>
    <xf numFmtId="0" fontId="6" fillId="0" borderId="0" xfId="3" applyAlignment="1">
      <alignment horizontal="center" vertical="center" wrapText="1"/>
    </xf>
    <xf numFmtId="0" fontId="6" fillId="0" borderId="0" xfId="3" applyAlignment="1">
      <alignment horizontal="center"/>
    </xf>
    <xf numFmtId="0" fontId="4" fillId="0" borderId="27" xfId="3" applyFont="1" applyBorder="1" applyAlignment="1">
      <alignment horizontal="center" vertical="center"/>
    </xf>
    <xf numFmtId="0" fontId="3" fillId="2" borderId="0" xfId="3" applyFont="1" applyFill="1"/>
    <xf numFmtId="165" fontId="4" fillId="2" borderId="1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/>
    </xf>
    <xf numFmtId="1" fontId="5" fillId="2" borderId="14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/>
    </xf>
    <xf numFmtId="166" fontId="5" fillId="2" borderId="14" xfId="3" applyNumberFormat="1" applyFont="1" applyFill="1" applyBorder="1" applyAlignment="1">
      <alignment horizontal="center"/>
    </xf>
    <xf numFmtId="0" fontId="5" fillId="0" borderId="14" xfId="3" applyFont="1" applyBorder="1" applyAlignment="1">
      <alignment horizontal="center" vertical="center"/>
    </xf>
    <xf numFmtId="0" fontId="3" fillId="2" borderId="48" xfId="3" applyFont="1" applyFill="1" applyBorder="1" applyAlignment="1">
      <alignment horizontal="center" vertical="center" wrapText="1"/>
    </xf>
    <xf numFmtId="0" fontId="3" fillId="2" borderId="14" xfId="3" applyFont="1" applyFill="1" applyBorder="1"/>
    <xf numFmtId="0" fontId="3" fillId="2" borderId="34" xfId="3" applyFont="1" applyFill="1" applyBorder="1"/>
    <xf numFmtId="0" fontId="3" fillId="2" borderId="35" xfId="3" applyFont="1" applyFill="1" applyBorder="1"/>
    <xf numFmtId="0" fontId="3" fillId="2" borderId="24" xfId="3" applyFont="1" applyFill="1" applyBorder="1" applyAlignment="1">
      <alignment horizontal="center"/>
    </xf>
    <xf numFmtId="1" fontId="3" fillId="2" borderId="24" xfId="3" applyNumberFormat="1" applyFont="1" applyFill="1" applyBorder="1" applyAlignment="1">
      <alignment horizontal="center"/>
    </xf>
    <xf numFmtId="2" fontId="3" fillId="2" borderId="24" xfId="3" applyNumberFormat="1" applyFont="1" applyFill="1" applyBorder="1" applyAlignment="1">
      <alignment horizontal="center"/>
    </xf>
    <xf numFmtId="166" fontId="3" fillId="2" borderId="24" xfId="3" applyNumberFormat="1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 wrapText="1"/>
    </xf>
    <xf numFmtId="0" fontId="3" fillId="2" borderId="24" xfId="3" applyFont="1" applyFill="1" applyBorder="1"/>
    <xf numFmtId="0" fontId="3" fillId="2" borderId="38" xfId="3" applyFont="1" applyFill="1" applyBorder="1"/>
    <xf numFmtId="0" fontId="3" fillId="2" borderId="18" xfId="3" applyFont="1" applyFill="1" applyBorder="1"/>
    <xf numFmtId="0" fontId="3" fillId="2" borderId="0" xfId="3" applyFont="1" applyFill="1" applyAlignment="1">
      <alignment horizontal="center"/>
    </xf>
    <xf numFmtId="1" fontId="3" fillId="2" borderId="0" xfId="3" applyNumberFormat="1" applyFont="1" applyFill="1" applyAlignment="1">
      <alignment horizontal="center"/>
    </xf>
    <xf numFmtId="165" fontId="3" fillId="2" borderId="0" xfId="13" applyNumberFormat="1" applyFont="1" applyFill="1" applyAlignment="1">
      <alignment horizontal="right" wrapText="1"/>
    </xf>
    <xf numFmtId="2" fontId="3" fillId="2" borderId="0" xfId="3" applyNumberFormat="1" applyFont="1" applyFill="1" applyAlignment="1">
      <alignment horizontal="center"/>
    </xf>
    <xf numFmtId="166" fontId="3" fillId="2" borderId="0" xfId="3" applyNumberFormat="1" applyFont="1" applyFill="1" applyAlignment="1">
      <alignment horizontal="center"/>
    </xf>
    <xf numFmtId="0" fontId="3" fillId="2" borderId="0" xfId="3" applyFont="1" applyFill="1" applyAlignment="1">
      <alignment horizontal="center" wrapText="1"/>
    </xf>
    <xf numFmtId="0" fontId="3" fillId="2" borderId="19" xfId="3" applyFont="1" applyFill="1" applyBorder="1"/>
    <xf numFmtId="2" fontId="3" fillId="2" borderId="18" xfId="13" applyNumberFormat="1" applyFont="1" applyFill="1" applyBorder="1" applyAlignment="1">
      <alignment horizontal="center" vertical="center"/>
    </xf>
    <xf numFmtId="0" fontId="3" fillId="2" borderId="0" xfId="13" applyFont="1" applyFill="1" applyAlignment="1">
      <alignment horizontal="center"/>
    </xf>
    <xf numFmtId="49" fontId="3" fillId="2" borderId="0" xfId="13" applyNumberFormat="1" applyFont="1" applyFill="1" applyAlignment="1">
      <alignment horizontal="center"/>
    </xf>
    <xf numFmtId="166" fontId="3" fillId="2" borderId="0" xfId="13" applyNumberFormat="1" applyFont="1" applyFill="1" applyAlignment="1">
      <alignment horizontal="right" wrapText="1"/>
    </xf>
    <xf numFmtId="1" fontId="3" fillId="2" borderId="0" xfId="13" applyNumberFormat="1" applyFont="1" applyFill="1" applyAlignment="1">
      <alignment horizontal="left" wrapText="1"/>
    </xf>
    <xf numFmtId="2" fontId="3" fillId="2" borderId="0" xfId="13" applyNumberFormat="1" applyFont="1" applyFill="1" applyAlignment="1">
      <alignment horizontal="center" vertical="center"/>
    </xf>
    <xf numFmtId="2" fontId="3" fillId="2" borderId="0" xfId="13" applyNumberFormat="1" applyFont="1" applyFill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/>
    </xf>
    <xf numFmtId="49" fontId="53" fillId="2" borderId="9" xfId="12" applyNumberFormat="1" applyFont="1" applyFill="1" applyBorder="1" applyAlignment="1">
      <alignment horizontal="center" vertical="center"/>
    </xf>
    <xf numFmtId="49" fontId="53" fillId="2" borderId="1" xfId="12" applyNumberFormat="1" applyFont="1" applyFill="1" applyBorder="1" applyAlignment="1">
      <alignment horizontal="center" vertical="center"/>
    </xf>
    <xf numFmtId="1" fontId="53" fillId="2" borderId="1" xfId="12" applyNumberFormat="1" applyFont="1" applyFill="1" applyBorder="1" applyAlignment="1">
      <alignment horizontal="center" vertical="center"/>
    </xf>
    <xf numFmtId="1" fontId="53" fillId="2" borderId="1" xfId="3" applyNumberFormat="1" applyFont="1" applyFill="1" applyBorder="1" applyAlignment="1">
      <alignment horizontal="center" vertical="center"/>
    </xf>
    <xf numFmtId="0" fontId="3" fillId="2" borderId="23" xfId="3" applyFont="1" applyFill="1" applyBorder="1"/>
    <xf numFmtId="0" fontId="3" fillId="2" borderId="22" xfId="3" applyFont="1" applyFill="1" applyBorder="1" applyAlignment="1">
      <alignment horizontal="center"/>
    </xf>
    <xf numFmtId="0" fontId="3" fillId="2" borderId="22" xfId="3" applyFont="1" applyFill="1" applyBorder="1"/>
    <xf numFmtId="0" fontId="3" fillId="2" borderId="33" xfId="3" applyFont="1" applyFill="1" applyBorder="1"/>
    <xf numFmtId="0" fontId="45" fillId="2" borderId="0" xfId="3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0" fillId="0" borderId="25" xfId="0" applyBorder="1"/>
    <xf numFmtId="0" fontId="0" fillId="9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/>
    </xf>
    <xf numFmtId="0" fontId="10" fillId="0" borderId="1" xfId="0" applyFont="1" applyBorder="1"/>
    <xf numFmtId="0" fontId="55" fillId="0" borderId="0" xfId="0" applyFont="1" applyAlignment="1">
      <alignment vertical="center"/>
    </xf>
    <xf numFmtId="0" fontId="56" fillId="16" borderId="2" xfId="0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8" fillId="2" borderId="1" xfId="0" applyFont="1" applyFill="1" applyBorder="1" applyAlignment="1">
      <alignment horizontal="center" vertical="center" wrapText="1"/>
    </xf>
    <xf numFmtId="0" fontId="59" fillId="2" borderId="1" xfId="5" applyFont="1" applyFill="1" applyBorder="1" applyAlignment="1">
      <alignment horizontal="center" vertical="center"/>
    </xf>
    <xf numFmtId="16" fontId="59" fillId="2" borderId="1" xfId="14" quotePrefix="1" applyNumberFormat="1" applyFont="1" applyFill="1" applyBorder="1" applyAlignment="1">
      <alignment horizontal="center" vertical="center"/>
    </xf>
    <xf numFmtId="0" fontId="59" fillId="2" borderId="1" xfId="14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1" fontId="59" fillId="2" borderId="2" xfId="14" applyNumberFormat="1" applyFont="1" applyFill="1" applyBorder="1" applyAlignment="1">
      <alignment horizontal="center" vertical="center"/>
    </xf>
    <xf numFmtId="166" fontId="58" fillId="2" borderId="2" xfId="0" applyNumberFormat="1" applyFont="1" applyFill="1" applyBorder="1" applyAlignment="1">
      <alignment horizontal="center" vertical="center"/>
    </xf>
    <xf numFmtId="166" fontId="57" fillId="2" borderId="0" xfId="0" applyNumberFormat="1" applyFont="1" applyFill="1" applyAlignment="1">
      <alignment vertical="center"/>
    </xf>
    <xf numFmtId="0" fontId="57" fillId="2" borderId="0" xfId="0" applyFont="1" applyFill="1" applyAlignment="1">
      <alignment vertical="center"/>
    </xf>
    <xf numFmtId="0" fontId="59" fillId="2" borderId="1" xfId="14" quotePrefix="1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 wrapText="1"/>
    </xf>
    <xf numFmtId="0" fontId="59" fillId="2" borderId="29" xfId="14" applyFont="1" applyFill="1" applyBorder="1" applyAlignment="1">
      <alignment horizontal="center" vertical="center"/>
    </xf>
    <xf numFmtId="1" fontId="59" fillId="2" borderId="29" xfId="14" applyNumberFormat="1" applyFont="1" applyFill="1" applyBorder="1" applyAlignment="1">
      <alignment horizontal="center" vertical="center"/>
    </xf>
    <xf numFmtId="2" fontId="60" fillId="2" borderId="4" xfId="0" applyNumberFormat="1" applyFont="1" applyFill="1" applyBorder="1" applyAlignment="1">
      <alignment horizontal="center" vertical="center" wrapText="1"/>
    </xf>
    <xf numFmtId="166" fontId="58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166" fontId="55" fillId="0" borderId="0" xfId="0" applyNumberFormat="1" applyFont="1" applyAlignment="1">
      <alignment vertical="center"/>
    </xf>
    <xf numFmtId="0" fontId="55" fillId="2" borderId="0" xfId="0" applyFont="1" applyFill="1" applyAlignment="1">
      <alignment vertical="center"/>
    </xf>
    <xf numFmtId="0" fontId="10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3" fillId="0" borderId="27" xfId="7" applyFont="1" applyBorder="1" applyAlignment="1">
      <alignment horizontal="left" vertical="center" wrapText="1"/>
    </xf>
    <xf numFmtId="0" fontId="39" fillId="0" borderId="27" xfId="7" applyBorder="1" applyAlignment="1">
      <alignment horizontal="left" vertical="center" wrapText="1"/>
    </xf>
    <xf numFmtId="0" fontId="39" fillId="0" borderId="14" xfId="7" applyBorder="1" applyAlignment="1">
      <alignment horizontal="left" vertical="center" wrapText="1"/>
    </xf>
    <xf numFmtId="0" fontId="39" fillId="0" borderId="14" xfId="7" applyBorder="1" applyAlignment="1">
      <alignment horizontal="center" vertical="center" wrapText="1"/>
    </xf>
    <xf numFmtId="1" fontId="39" fillId="0" borderId="14" xfId="7" applyNumberFormat="1" applyBorder="1" applyAlignment="1">
      <alignment horizontal="center" vertical="center" wrapText="1"/>
    </xf>
    <xf numFmtId="0" fontId="39" fillId="0" borderId="34" xfId="7" applyBorder="1" applyAlignment="1">
      <alignment horizontal="left" vertical="center" wrapText="1"/>
    </xf>
    <xf numFmtId="0" fontId="39" fillId="0" borderId="39" xfId="7" applyBorder="1" applyAlignment="1">
      <alignment horizontal="center" vertical="center" wrapText="1"/>
    </xf>
    <xf numFmtId="0" fontId="39" fillId="0" borderId="41" xfId="7" applyBorder="1" applyAlignment="1">
      <alignment horizontal="center" vertical="center" wrapText="1"/>
    </xf>
    <xf numFmtId="0" fontId="39" fillId="0" borderId="64" xfId="7" applyBorder="1" applyAlignment="1">
      <alignment horizontal="center" vertical="center" wrapText="1"/>
    </xf>
    <xf numFmtId="0" fontId="39" fillId="0" borderId="9" xfId="7" applyBorder="1" applyAlignment="1">
      <alignment horizontal="left" vertical="center" wrapText="1"/>
    </xf>
    <xf numFmtId="0" fontId="39" fillId="0" borderId="9" xfId="7" applyBorder="1" applyAlignment="1">
      <alignment horizontal="center" vertical="center" wrapText="1"/>
    </xf>
    <xf numFmtId="1" fontId="39" fillId="0" borderId="9" xfId="7" applyNumberFormat="1" applyBorder="1" applyAlignment="1">
      <alignment horizontal="center" vertical="center" wrapText="1"/>
    </xf>
    <xf numFmtId="0" fontId="13" fillId="0" borderId="63" xfId="7" applyFont="1" applyBorder="1" applyAlignment="1">
      <alignment horizontal="left" vertical="center" wrapText="1"/>
    </xf>
    <xf numFmtId="0" fontId="13" fillId="0" borderId="39" xfId="7" applyFont="1" applyBorder="1" applyAlignment="1">
      <alignment horizontal="center" vertical="center" wrapText="1"/>
    </xf>
    <xf numFmtId="0" fontId="13" fillId="0" borderId="40" xfId="7" applyFont="1" applyBorder="1" applyAlignment="1">
      <alignment horizontal="center" vertical="center" wrapText="1"/>
    </xf>
    <xf numFmtId="0" fontId="13" fillId="0" borderId="41" xfId="7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16" fontId="17" fillId="0" borderId="1" xfId="0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16" fontId="17" fillId="0" borderId="0" xfId="0" quotePrefix="1" applyNumberFormat="1" applyFont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20" xfId="0" applyFont="1" applyBorder="1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2" fontId="2" fillId="0" borderId="20" xfId="0" quotePrefix="1" applyNumberFormat="1" applyFont="1" applyBorder="1" applyAlignment="1">
      <alignment horizontal="center"/>
    </xf>
    <xf numFmtId="12" fontId="2" fillId="0" borderId="20" xfId="0" applyNumberFormat="1" applyFont="1" applyBorder="1" applyAlignment="1">
      <alignment horizontal="center"/>
    </xf>
    <xf numFmtId="2" fontId="2" fillId="0" borderId="20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0" fontId="2" fillId="0" borderId="20" xfId="0" quotePrefix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20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8" fillId="13" borderId="29" xfId="0" applyFont="1" applyFill="1" applyBorder="1" applyAlignment="1">
      <alignment horizontal="center" wrapText="1"/>
    </xf>
    <xf numFmtId="0" fontId="8" fillId="13" borderId="30" xfId="0" applyFont="1" applyFill="1" applyBorder="1" applyAlignment="1">
      <alignment horizontal="center" wrapText="1"/>
    </xf>
    <xf numFmtId="0" fontId="8" fillId="13" borderId="31" xfId="0" applyFont="1" applyFill="1" applyBorder="1" applyAlignment="1">
      <alignment horizontal="center" wrapText="1"/>
    </xf>
    <xf numFmtId="0" fontId="8" fillId="13" borderId="32" xfId="0" applyFont="1" applyFill="1" applyBorder="1" applyAlignment="1">
      <alignment horizontal="center" wrapText="1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/>
    </xf>
    <xf numFmtId="0" fontId="8" fillId="15" borderId="3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4" fillId="10" borderId="28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left"/>
    </xf>
    <xf numFmtId="0" fontId="14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" fontId="0" fillId="0" borderId="20" xfId="0" quotePrefix="1" applyNumberFormat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4" fillId="10" borderId="18" xfId="0" applyFont="1" applyFill="1" applyBorder="1" applyAlignment="1">
      <alignment horizontal="left"/>
    </xf>
    <xf numFmtId="0" fontId="14" fillId="10" borderId="0" xfId="0" applyFont="1" applyFill="1" applyAlignment="1">
      <alignment horizontal="left"/>
    </xf>
    <xf numFmtId="0" fontId="14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5" xfId="0" applyNumberForma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38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3" xfId="0" applyNumberForma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" fillId="18" borderId="39" xfId="0" applyFont="1" applyFill="1" applyBorder="1" applyAlignment="1">
      <alignment horizontal="center" vertical="center"/>
    </xf>
    <xf numFmtId="0" fontId="2" fillId="18" borderId="40" xfId="0" applyFont="1" applyFill="1" applyBorder="1" applyAlignment="1">
      <alignment horizontal="center" vertical="center"/>
    </xf>
    <xf numFmtId="0" fontId="2" fillId="18" borderId="41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left"/>
    </xf>
    <xf numFmtId="14" fontId="2" fillId="0" borderId="40" xfId="0" applyNumberFormat="1" applyFont="1" applyBorder="1" applyAlignment="1">
      <alignment horizontal="left"/>
    </xf>
    <xf numFmtId="14" fontId="2" fillId="0" borderId="41" xfId="0" applyNumberFormat="1" applyFont="1" applyBorder="1" applyAlignment="1">
      <alignment horizontal="left"/>
    </xf>
    <xf numFmtId="0" fontId="20" fillId="2" borderId="47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3" fillId="23" borderId="15" xfId="0" applyFont="1" applyFill="1" applyBorder="1" applyAlignment="1">
      <alignment horizontal="left" vertical="center" wrapText="1"/>
    </xf>
    <xf numFmtId="0" fontId="43" fillId="23" borderId="16" xfId="0" applyFont="1" applyFill="1" applyBorder="1" applyAlignment="1">
      <alignment horizontal="left" vertical="center" wrapText="1"/>
    </xf>
    <xf numFmtId="0" fontId="43" fillId="23" borderId="17" xfId="0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19" borderId="45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7" fillId="0" borderId="39" xfId="7" applyFont="1" applyBorder="1" applyAlignment="1">
      <alignment horizontal="left" vertical="center" wrapText="1"/>
    </xf>
    <xf numFmtId="0" fontId="7" fillId="0" borderId="40" xfId="7" applyFont="1" applyBorder="1" applyAlignment="1">
      <alignment horizontal="left" vertical="center" wrapText="1"/>
    </xf>
    <xf numFmtId="0" fontId="7" fillId="0" borderId="41" xfId="7" applyFont="1" applyBorder="1" applyAlignment="1">
      <alignment horizontal="left" vertical="center" wrapText="1"/>
    </xf>
    <xf numFmtId="14" fontId="13" fillId="0" borderId="14" xfId="7" applyNumberFormat="1" applyFont="1" applyBorder="1" applyAlignment="1">
      <alignment horizontal="left" vertical="center" wrapText="1"/>
    </xf>
    <xf numFmtId="0" fontId="13" fillId="0" borderId="14" xfId="7" applyFont="1" applyBorder="1" applyAlignment="1">
      <alignment horizontal="left" vertical="center" wrapText="1"/>
    </xf>
    <xf numFmtId="0" fontId="13" fillId="0" borderId="34" xfId="7" applyFont="1" applyBorder="1" applyAlignment="1">
      <alignment horizontal="left" vertical="center" wrapText="1"/>
    </xf>
    <xf numFmtId="0" fontId="39" fillId="0" borderId="44" xfId="7" applyBorder="1" applyAlignment="1">
      <alignment horizontal="center" vertical="center" wrapText="1"/>
    </xf>
    <xf numFmtId="0" fontId="39" fillId="0" borderId="46" xfId="7" applyBorder="1" applyAlignment="1">
      <alignment horizontal="center" vertical="center" wrapText="1"/>
    </xf>
    <xf numFmtId="0" fontId="39" fillId="0" borderId="61" xfId="7" applyBorder="1" applyAlignment="1">
      <alignment horizontal="center" vertical="center" wrapText="1"/>
    </xf>
    <xf numFmtId="0" fontId="39" fillId="0" borderId="4" xfId="7" applyBorder="1" applyAlignment="1">
      <alignment horizontal="center" vertical="center" wrapText="1"/>
    </xf>
    <xf numFmtId="0" fontId="39" fillId="0" borderId="5" xfId="7" applyBorder="1" applyAlignment="1">
      <alignment horizontal="center" vertical="center" wrapText="1"/>
    </xf>
    <xf numFmtId="0" fontId="39" fillId="0" borderId="62" xfId="7" applyBorder="1" applyAlignment="1">
      <alignment horizontal="center" vertical="center" wrapText="1"/>
    </xf>
    <xf numFmtId="0" fontId="38" fillId="0" borderId="0" xfId="6" quotePrefix="1" applyFont="1" applyAlignment="1">
      <alignment horizontal="center" vertical="center"/>
    </xf>
    <xf numFmtId="0" fontId="26" fillId="21" borderId="15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6" fillId="21" borderId="24" xfId="0" applyFont="1" applyFill="1" applyBorder="1" applyAlignment="1">
      <alignment horizontal="center" vertical="center" wrapText="1"/>
    </xf>
    <xf numFmtId="0" fontId="26" fillId="21" borderId="38" xfId="0" applyFont="1" applyFill="1" applyBorder="1" applyAlignment="1">
      <alignment horizontal="center" vertical="center" wrapText="1"/>
    </xf>
    <xf numFmtId="0" fontId="26" fillId="21" borderId="45" xfId="0" applyFont="1" applyFill="1" applyBorder="1" applyAlignment="1">
      <alignment horizontal="center" vertical="center" wrapText="1"/>
    </xf>
    <xf numFmtId="0" fontId="26" fillId="21" borderId="49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31" fillId="4" borderId="15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54" fillId="24" borderId="21" xfId="0" applyFont="1" applyFill="1" applyBorder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31" xfId="0" applyFont="1" applyFill="1" applyBorder="1" applyAlignment="1">
      <alignment horizontal="center" vertical="center"/>
    </xf>
    <xf numFmtId="0" fontId="54" fillId="24" borderId="3" xfId="0" applyFont="1" applyFill="1" applyBorder="1" applyAlignment="1">
      <alignment horizontal="center" vertical="center"/>
    </xf>
    <xf numFmtId="0" fontId="56" fillId="16" borderId="2" xfId="0" applyFont="1" applyFill="1" applyBorder="1" applyAlignment="1">
      <alignment horizontal="center" vertical="center" wrapText="1"/>
    </xf>
    <xf numFmtId="0" fontId="56" fillId="16" borderId="9" xfId="0" applyFont="1" applyFill="1" applyBorder="1" applyAlignment="1">
      <alignment horizontal="center" vertical="center" wrapText="1"/>
    </xf>
    <xf numFmtId="0" fontId="56" fillId="16" borderId="4" xfId="0" applyFont="1" applyFill="1" applyBorder="1" applyAlignment="1">
      <alignment horizontal="center" vertical="center" wrapText="1"/>
    </xf>
    <xf numFmtId="0" fontId="56" fillId="16" borderId="5" xfId="0" applyFont="1" applyFill="1" applyBorder="1" applyAlignment="1">
      <alignment horizontal="center" vertical="center" wrapText="1"/>
    </xf>
    <xf numFmtId="0" fontId="56" fillId="16" borderId="6" xfId="0" applyFont="1" applyFill="1" applyBorder="1" applyAlignment="1">
      <alignment horizontal="center" vertical="center" wrapText="1"/>
    </xf>
    <xf numFmtId="0" fontId="58" fillId="2" borderId="2" xfId="15" applyFont="1" applyFill="1" applyBorder="1" applyAlignment="1">
      <alignment horizontal="center" vertical="center"/>
    </xf>
    <xf numFmtId="0" fontId="58" fillId="2" borderId="8" xfId="15" applyFont="1" applyFill="1" applyBorder="1" applyAlignment="1">
      <alignment horizontal="center" vertical="center"/>
    </xf>
    <xf numFmtId="0" fontId="58" fillId="2" borderId="9" xfId="15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0" fontId="59" fillId="2" borderId="8" xfId="14" applyFont="1" applyFill="1" applyBorder="1" applyAlignment="1">
      <alignment horizontal="center" vertical="center"/>
    </xf>
    <xf numFmtId="0" fontId="59" fillId="2" borderId="9" xfId="14" applyFont="1" applyFill="1" applyBorder="1" applyAlignment="1">
      <alignment horizontal="center" vertical="center"/>
    </xf>
    <xf numFmtId="1" fontId="58" fillId="2" borderId="2" xfId="0" applyNumberFormat="1" applyFont="1" applyFill="1" applyBorder="1" applyAlignment="1">
      <alignment horizontal="center" vertical="center"/>
    </xf>
    <xf numFmtId="1" fontId="58" fillId="2" borderId="8" xfId="0" applyNumberFormat="1" applyFont="1" applyFill="1" applyBorder="1" applyAlignment="1">
      <alignment horizontal="center" vertical="center"/>
    </xf>
    <xf numFmtId="1" fontId="58" fillId="2" borderId="9" xfId="0" applyNumberFormat="1" applyFont="1" applyFill="1" applyBorder="1" applyAlignment="1">
      <alignment horizontal="center" vertical="center"/>
    </xf>
    <xf numFmtId="0" fontId="60" fillId="2" borderId="4" xfId="0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60" fillId="2" borderId="6" xfId="0" applyFont="1" applyFill="1" applyBorder="1" applyAlignment="1">
      <alignment horizontal="center" vertical="center" wrapText="1"/>
    </xf>
    <xf numFmtId="0" fontId="3" fillId="2" borderId="43" xfId="3" applyFont="1" applyFill="1" applyBorder="1" applyAlignment="1">
      <alignment horizontal="center" vertical="center" wrapText="1"/>
    </xf>
    <xf numFmtId="0" fontId="3" fillId="2" borderId="13" xfId="3" applyFont="1" applyFill="1" applyBorder="1" applyAlignment="1">
      <alignment horizontal="center" vertical="center" wrapText="1"/>
    </xf>
    <xf numFmtId="0" fontId="3" fillId="2" borderId="25" xfId="3" applyFont="1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center" vertical="center" wrapText="1"/>
    </xf>
    <xf numFmtId="0" fontId="44" fillId="2" borderId="35" xfId="11" applyFont="1" applyFill="1" applyBorder="1" applyAlignment="1">
      <alignment horizontal="center" vertical="center"/>
    </xf>
    <xf numFmtId="0" fontId="44" fillId="2" borderId="24" xfId="11" applyFont="1" applyFill="1" applyBorder="1" applyAlignment="1">
      <alignment horizontal="center" vertical="center"/>
    </xf>
    <xf numFmtId="0" fontId="44" fillId="2" borderId="18" xfId="12" applyFont="1" applyFill="1" applyBorder="1" applyAlignment="1">
      <alignment horizontal="center" vertical="center" wrapText="1"/>
    </xf>
    <xf numFmtId="0" fontId="44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 wrapText="1"/>
    </xf>
    <xf numFmtId="0" fontId="47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/>
    </xf>
    <xf numFmtId="0" fontId="47" fillId="2" borderId="0" xfId="12" applyFont="1" applyFill="1" applyAlignment="1">
      <alignment horizontal="center" vertical="center"/>
    </xf>
    <xf numFmtId="0" fontId="5" fillId="0" borderId="25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49" fontId="53" fillId="2" borderId="2" xfId="12" applyNumberFormat="1" applyFont="1" applyFill="1" applyBorder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 vertical="center" wrapText="1"/>
    </xf>
    <xf numFmtId="49" fontId="53" fillId="2" borderId="4" xfId="12" applyNumberFormat="1" applyFont="1" applyFill="1" applyBorder="1" applyAlignment="1">
      <alignment horizontal="center" vertical="center"/>
    </xf>
    <xf numFmtId="49" fontId="53" fillId="2" borderId="5" xfId="12" applyNumberFormat="1" applyFont="1" applyFill="1" applyBorder="1" applyAlignment="1">
      <alignment horizontal="center" vertical="center"/>
    </xf>
    <xf numFmtId="49" fontId="53" fillId="2" borderId="6" xfId="12" applyNumberFormat="1" applyFont="1" applyFill="1" applyBorder="1" applyAlignment="1">
      <alignment horizontal="center" vertical="center"/>
    </xf>
    <xf numFmtId="0" fontId="46" fillId="2" borderId="25" xfId="3" applyFont="1" applyFill="1" applyBorder="1" applyAlignment="1">
      <alignment horizontal="center" vertical="center"/>
    </xf>
    <xf numFmtId="0" fontId="47" fillId="2" borderId="25" xfId="3" applyFont="1" applyFill="1" applyBorder="1" applyAlignment="1">
      <alignment horizontal="center" vertical="center" wrapText="1"/>
    </xf>
    <xf numFmtId="0" fontId="47" fillId="2" borderId="14" xfId="3" applyFont="1" applyFill="1" applyBorder="1" applyAlignment="1">
      <alignment horizontal="center" vertical="center" wrapText="1"/>
    </xf>
    <xf numFmtId="0" fontId="3" fillId="2" borderId="26" xfId="3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center" vertical="center" wrapText="1"/>
    </xf>
    <xf numFmtId="0" fontId="5" fillId="0" borderId="43" xfId="3" applyFont="1" applyBorder="1" applyAlignment="1">
      <alignment horizontal="center" vertical="center" wrapText="1"/>
    </xf>
    <xf numFmtId="0" fontId="5" fillId="0" borderId="26" xfId="3" applyFont="1" applyBorder="1" applyAlignment="1">
      <alignment horizontal="center" vertical="center" wrapText="1"/>
    </xf>
    <xf numFmtId="49" fontId="3" fillId="2" borderId="4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/>
    </xf>
    <xf numFmtId="49" fontId="3" fillId="2" borderId="6" xfId="12" applyNumberFormat="1" applyFont="1" applyFill="1" applyBorder="1" applyAlignment="1">
      <alignment horizontal="center" vertical="center"/>
    </xf>
    <xf numFmtId="0" fontId="3" fillId="2" borderId="25" xfId="3" applyFont="1" applyFill="1" applyBorder="1" applyAlignment="1">
      <alignment horizontal="center" vertical="center"/>
    </xf>
    <xf numFmtId="0" fontId="3" fillId="2" borderId="14" xfId="3" applyFont="1" applyFill="1" applyBorder="1" applyAlignment="1">
      <alignment horizontal="center" vertical="center"/>
    </xf>
  </cellXfs>
  <cellStyles count="16">
    <cellStyle name="Hyperlink" xfId="6" builtinId="8"/>
    <cellStyle name="Normal" xfId="0" builtinId="0"/>
    <cellStyle name="Normal 13 10" xfId="13" xr:uid="{00000000-0005-0000-0000-000002000000}"/>
    <cellStyle name="Normal 17" xfId="1" xr:uid="{00000000-0005-0000-0000-000003000000}"/>
    <cellStyle name="Normal 2" xfId="3" xr:uid="{00000000-0005-0000-0000-000004000000}"/>
    <cellStyle name="Normal 2 10" xfId="14" xr:uid="{00000000-0005-0000-0000-000005000000}"/>
    <cellStyle name="Normal 2 2" xfId="11" xr:uid="{00000000-0005-0000-0000-000006000000}"/>
    <cellStyle name="Normal 2 3" xfId="12" xr:uid="{00000000-0005-0000-0000-000007000000}"/>
    <cellStyle name="Normal 2 3 2" xfId="5" xr:uid="{00000000-0005-0000-0000-000008000000}"/>
    <cellStyle name="Normal 3" xfId="10" xr:uid="{00000000-0005-0000-0000-000009000000}"/>
    <cellStyle name="Normal 4" xfId="7" xr:uid="{00000000-0005-0000-0000-00000A000000}"/>
    <cellStyle name="Normal 5" xfId="2" xr:uid="{00000000-0005-0000-0000-00000B000000}"/>
    <cellStyle name="Normal 5 2" xfId="9" xr:uid="{00000000-0005-0000-0000-00000C000000}"/>
    <cellStyle name="Normal 7" xfId="15" xr:uid="{00000000-0005-0000-0000-00000D000000}"/>
    <cellStyle name="Normal 8" xfId="4" xr:uid="{00000000-0005-0000-0000-00000E000000}"/>
    <cellStyle name="Percent 2" xfId="8" xr:uid="{00000000-0005-0000-0000-00000F000000}"/>
  </cellStyles>
  <dxfs count="22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2032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4320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60493"/>
        <a:ext cx="3165814" cy="319654"/>
      </dsp:txXfrm>
    </dsp:sp>
    <dsp:sp modelId="{74CCA097-B8FD-4E30-BFF9-3A094070AD82}">
      <dsp:nvSpPr>
        <dsp:cNvPr id="0" name=""/>
        <dsp:cNvSpPr/>
      </dsp:nvSpPr>
      <dsp:spPr>
        <a:xfrm>
          <a:off x="0" y="76464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58752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i="0" kern="1200"/>
            <a:t>VC-765kV MKTL'!A1</a:t>
          </a:r>
          <a:endParaRPr lang="en-US" sz="1200" kern="1200"/>
        </a:p>
      </dsp:txBody>
      <dsp:txXfrm>
        <a:off x="245893" y="604813"/>
        <a:ext cx="3165814" cy="319654"/>
      </dsp:txXfrm>
    </dsp:sp>
    <dsp:sp modelId="{492CA18B-BB2C-4C58-9D39-78D8C7727378}">
      <dsp:nvSpPr>
        <dsp:cNvPr id="0" name=""/>
        <dsp:cNvSpPr/>
      </dsp:nvSpPr>
      <dsp:spPr>
        <a:xfrm>
          <a:off x="0" y="130896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3184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149133"/>
        <a:ext cx="3165814" cy="319654"/>
      </dsp:txXfrm>
    </dsp:sp>
    <dsp:sp modelId="{AFCC7078-ECB9-4C9F-A9E8-A4DC16031B29}">
      <dsp:nvSpPr>
        <dsp:cNvPr id="0" name=""/>
        <dsp:cNvSpPr/>
      </dsp:nvSpPr>
      <dsp:spPr>
        <a:xfrm>
          <a:off x="0" y="185328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7616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693453"/>
        <a:ext cx="3165814" cy="319654"/>
      </dsp:txXfrm>
    </dsp:sp>
    <dsp:sp modelId="{21D74230-2EDB-40E9-ADBB-3C94C2A4E047}">
      <dsp:nvSpPr>
        <dsp:cNvPr id="0" name=""/>
        <dsp:cNvSpPr/>
      </dsp:nvSpPr>
      <dsp:spPr>
        <a:xfrm>
          <a:off x="0" y="2397599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220479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2237772"/>
        <a:ext cx="3165814" cy="31965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1E01DD0B-1C1E-4024-82E3-57368822F9C4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26C61D0B-994A-453D-81C9-FDF1F34636DD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6137DD9B-588D-49DC-AA7A-ACA6E08C891C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E697ED3-5240-4BCA-A17C-AF317FDAE0D0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7D84F35F-48CE-4A09-A620-9D07AA6D9867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02170D9-9422-4305-B3C5-FD4D9DFC693F}"/>
            </a:ext>
          </a:extLst>
        </xdr:cNvPr>
        <xdr:cNvSpPr/>
      </xdr:nvSpPr>
      <xdr:spPr>
        <a:xfrm>
          <a:off x="11868150" y="5341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A0C4630A-5EDF-4369-B680-C6A1E0AF003B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A0BE280A-593A-4078-9A3C-91CB59004784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2720ACC-EE5B-4AC7-BB39-B0BD1A197895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7DDBD912-4C94-4867-B5D3-DF29EF44C45F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10C67BB-280C-40CE-A76B-ABDE97DA989A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9F7DEF3-C4EB-4F19-BEAB-8FBFC4DCC4CF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A80E257-9916-4FE6-AFB8-087794412C6B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DB53AB8C-6C51-4EEC-B8A5-BF887F2DEDE5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723C40D2-2D53-4337-8872-6556CCCC18E6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E56F942-FF95-49B5-869E-403FE404598E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18</xdr:row>
      <xdr:rowOff>10584</xdr:rowOff>
    </xdr:from>
    <xdr:to>
      <xdr:col>3</xdr:col>
      <xdr:colOff>2441</xdr:colOff>
      <xdr:row>20</xdr:row>
      <xdr:rowOff>3257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4FCE50E9-4138-4020-8B81-E69777BCBF3E}"/>
            </a:ext>
          </a:extLst>
        </xdr:cNvPr>
        <xdr:cNvSpPr/>
      </xdr:nvSpPr>
      <xdr:spPr>
        <a:xfrm>
          <a:off x="343958" y="3572934"/>
          <a:ext cx="525258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CCB87C9E-7DCD-4D85-9378-C9308A853E69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28E2B0AE-A583-4794-A204-46FBEF107E91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8414F90-A508-4089-856F-BD0B178080D1}"/>
            </a:ext>
          </a:extLst>
        </xdr:cNvPr>
        <xdr:cNvSpPr/>
      </xdr:nvSpPr>
      <xdr:spPr>
        <a:xfrm>
          <a:off x="4267200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26</xdr:row>
      <xdr:rowOff>0</xdr:rowOff>
    </xdr:from>
    <xdr:to>
      <xdr:col>17</xdr:col>
      <xdr:colOff>256442</xdr:colOff>
      <xdr:row>27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F237A3BC-A997-4EF7-96D1-0EB7802175ED}"/>
            </a:ext>
          </a:extLst>
        </xdr:cNvPr>
        <xdr:cNvSpPr/>
      </xdr:nvSpPr>
      <xdr:spPr>
        <a:xfrm>
          <a:off x="51339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2C6679C0-F764-4F0A-8F04-15D2700D8DFB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14F8ED0-1C8D-4257-82DF-4E6ED17BC258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D97A457-3966-4BDF-BE8D-AB95DD780869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CDBA0478-4790-498F-9DD1-B4E079D7A65B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A4DAAB5E-37D9-4CAD-ADC4-22CF8010ED50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6DF3C830-7278-4EB7-88F3-F99E13436C44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51FD995C-E403-4D42-9D11-86A482A7355C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294A9ADF-021D-4153-B06A-60A2AE9AC152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03D9DD2-895B-4B80-AA72-058BA5EEAD05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E685E2A2-49D7-44BD-9249-B9F9E84D61D8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55609D40-50C8-4723-88E9-D8F6FA6BCE7A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CB4BB8C1-D49F-483E-AF53-A540CBCFA6B3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DB296385-8841-45AB-996A-E3867CC55482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3B2A5DF2-E7E6-4F87-A242-4C9B460D47E6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41A55A6B-022F-4819-BB65-F1E98D045C87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D977A559-BC3F-4E28-BDA5-1CE53AA9DD3D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4442492-AEC7-4385-BC36-BF1BFA8FC8FA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187757E-63B7-47FC-AB51-A538E96AE3B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FD7785B1-94BD-4820-9315-904F3034002D}"/>
            </a:ext>
          </a:extLst>
        </xdr:cNvPr>
        <xdr:cNvSpPr/>
      </xdr:nvSpPr>
      <xdr:spPr>
        <a:xfrm>
          <a:off x="51339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92A4F9CC-5F60-49E3-A490-5BA325C2F942}"/>
            </a:ext>
          </a:extLst>
        </xdr:cNvPr>
        <xdr:cNvSpPr/>
      </xdr:nvSpPr>
      <xdr:spPr>
        <a:xfrm>
          <a:off x="6048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E14030B6-161E-4EC4-972C-247082CD530A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B9A27429-6CE6-4158-9F6E-92EEF1382707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E855FDFA-706F-48CB-B471-884C06F4D6C0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70C9C7D-9E4F-49A1-B702-892918B4B1D0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DF379E64-44BA-4F92-9BC6-662394B0C5FA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A7928570-C2A8-467B-B453-D48813C34BC5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41F60F8C-F9E2-4CFD-860A-23FEBE3D33AC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B2A81AD-668A-4A08-8DCB-FE4D39D9DA1A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D64DF4A-10FD-43E7-BB8C-B96FC7456F46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7EAA8BA9-FD59-4A01-8510-7A801599538C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F7380447-4BBB-486A-8B62-0FF8257B8398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3E6536B3-8B1F-4B69-BC9A-35BFE1701AEB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330904F6-18A5-4207-BE04-D19EBE1F8751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A064FBFB-E8E0-444D-B640-877B9E0EB957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A715544B-15B7-42DA-A7D9-634678AB85A1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28807D-C135-483F-818E-B0CB8B92F17F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B1E9D704-FC98-4FCD-89DC-B2DD66B57FA8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5CADFA6E-1E77-480D-8419-380DB0197AC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53B421A1-6749-438D-816C-E8047040FBDA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D5D7114-F952-4556-A18A-6F89D25F5948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8E7E3CAD-D39B-4FCC-92FA-29F1938DB12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8DC5519C-F9BA-4ADD-A55C-1A03B9745951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DC99CE0-180E-4184-B3FD-78579DE3262E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4B49B45-89ED-406C-A795-442F15D491BE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34873713-AB06-44CD-B729-7C095955E32F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C97AFAE3-2D2A-47D4-B749-B90BE3AF2824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F7BDEFFB-06B5-40BC-9822-9CDFAD4F4172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9297CB26-C932-4D77-9FA2-F5F234446F8C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E4601668-E420-4E9B-A52E-A1EAE8227447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138DC99F-E974-472E-B709-503ED303954B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1ECDA55C-894E-425A-A1F1-EAF0851FD355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7FB4104E-025C-4FE8-A788-D9B988FB2D67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1170DD19-88AB-4755-BB09-81071649B220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F7DC78DE-6F8F-47EE-8940-8C1736B0E3DA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B2FA42D4-8D45-4079-8F66-86FADE4DD706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E8C10459-80CF-42BA-AE36-3F88078A0AA9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4DDAA0D-5BE1-47E3-90F2-621782945101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3353260F-C43E-4268-9FC2-B6E48F0B30B2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61440EC8-F167-481C-897E-BE25C1AD9843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5530A8B3-5288-4272-9F31-5F78331E7761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EF3DD8C7-3D06-4278-83A5-76260C83C1A4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564B2E51-67F0-48BE-B386-110097F9E483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95A3F37C-3B7D-4848-B88B-BE6306C0C597}"/>
            </a:ext>
          </a:extLst>
        </xdr:cNvPr>
        <xdr:cNvSpPr/>
      </xdr:nvSpPr>
      <xdr:spPr>
        <a:xfrm>
          <a:off x="1276350" y="1575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9040E3F-0572-4CF4-9B08-75A595DB1BA9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5333D7A9-F7A4-4CE6-AAA9-57D4926482CB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B0981B85-D03B-41F4-82C7-C37A21036A96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8428055-FCC5-4BC2-BEA8-4A4CE20D3D39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FD57C18-D83D-4718-937B-8A31DA5A8179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1865DD0-77BA-4099-9962-053210EA47D5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FC0F152B-64E5-4339-AD9B-DFA78B73B223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BADE25B0-6BFA-4F51-A109-B4747C58C073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716E23C9-3E16-4703-AB08-84BFE7897D8E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E4347BC0-30D3-426C-94E2-E20FDAF77F72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2123AB7-E784-4F4A-98DB-BAD73D748AD9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ED8EC631-AEDA-4996-9FFE-40878701FCE0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810900F-5858-4DCF-AEE4-E4D7D30B2FB8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146785A-C941-4D91-B412-D1B5456956E8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7F1375ED-3E21-43B1-B76B-11EAEA9EEECF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BBD554F7-F1B3-4968-8E8B-395E669D561B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945AE68F-3ED5-41AA-B09D-2136B17F8F50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DED2FD66-D5B8-4D9B-BBE5-2D16B978AD2F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907DAFEB-3EB9-4815-90A2-6AC5C0A943DC}"/>
            </a:ext>
          </a:extLst>
        </xdr:cNvPr>
        <xdr:cNvSpPr/>
      </xdr:nvSpPr>
      <xdr:spPr>
        <a:xfrm>
          <a:off x="8963025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AD2639D-4406-461E-8854-17EF8835C6BE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9715E636-974E-4276-B104-D8B565BD4750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7BAB7A2-B2B6-4F8C-BA75-EEFE8AAC94AD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BED18F33-126B-48A7-AED8-FC86F3DECA25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31B913A3-BDA4-45A5-81E7-EAC7E8714010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A4D7863-7D54-4387-896A-CEC6141549D6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E47F7E58-097F-49C6-BD3B-A5A8BDBE6FE2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C7111CDD-7C9E-431D-ADBC-F5AD39972D08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AA9968DD-599D-4041-8803-0FCE25F4978A}"/>
            </a:ext>
          </a:extLst>
        </xdr:cNvPr>
        <xdr:cNvSpPr/>
      </xdr:nvSpPr>
      <xdr:spPr>
        <a:xfrm>
          <a:off x="4252915" y="18813174"/>
          <a:ext cx="547686" cy="37140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883482-1D17-4ACE-BA19-997E31DB6101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77B945C8-BBEB-48E2-9791-8DA3EF31C3EA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14F1A4C0-7094-41F5-9A61-79C8F52870D4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C64AA1B4-6939-4FC4-979E-7E7DA86C6AB9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2FB4FA35-D770-4125-B07F-B3D1289FA567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26A7FD51-5C84-44EB-A1FC-6F9AF57F98B1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66E0AEB-0142-45E8-9245-716C65959F7B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7275264-4D24-448A-9FB8-43010C13FA8D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AC62B483-AA72-4B72-BDBA-CADDB9A013BA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DACB7064-0CA4-4F2A-972D-50392AD932F3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853EF0-D2DA-460F-B226-E480899773F0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4C33CD6E-AF3D-4C63-93F3-EAF43ABFF77C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AE422E13-933D-4FCF-AED0-E713EEBA1D4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4603D975-9901-4CD2-84BD-5928C096B9BB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6C8922F-9F9A-448C-A362-9D2BC4806DE8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FE0165A6-C742-4081-976F-BF7662C96494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22D22C20-7D1D-4D72-869E-6EEF9E38F90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9F150311-6380-441A-B3D8-760E925435DC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BDF6D77C-AF5A-481C-9502-DF60882F448C}"/>
            </a:ext>
          </a:extLst>
        </xdr:cNvPr>
        <xdr:cNvSpPr/>
      </xdr:nvSpPr>
      <xdr:spPr>
        <a:xfrm>
          <a:off x="2295525" y="5355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810BB3BD-9627-4F30-89E2-A01FB4DFC4E1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1846A310-500A-4586-8D4D-06FC781B371B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EBD95F47-0C36-4289-BD0F-DB00EC47948A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487E378-D3C5-473C-B651-994E1A1D6AF6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F92EB95-38C8-4CF6-BC9A-ECD0F0451033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E5B90407-16BB-4ECE-BB07-1954B36B0710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158" name="5-Point Star 520">
          <a:extLst>
            <a:ext uri="{FF2B5EF4-FFF2-40B4-BE49-F238E27FC236}">
              <a16:creationId xmlns:a16="http://schemas.microsoft.com/office/drawing/2014/main" id="{AF198E73-ACE3-4CE7-BFB9-E7FA78F610D4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159" name="Curved Connector 523">
          <a:extLst>
            <a:ext uri="{FF2B5EF4-FFF2-40B4-BE49-F238E27FC236}">
              <a16:creationId xmlns:a16="http://schemas.microsoft.com/office/drawing/2014/main" id="{BAC1F1DC-20B5-4C1D-9D4C-D1E6B309D15F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43D32400-D7D8-4889-93B0-236B477387CF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4A3C2DF9-8F41-4CF4-9B8C-B1C619948FCA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7434888E-B704-4717-B2F1-A98B82A8271D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2E0B45B1-A6F8-4D1C-8579-9A9C0F16B24D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E5AF7EE5-CBE6-4DC6-9E6A-A49A06196130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65" name="Picture 164" descr="A black and white symbol&#10;&#10;Description automatically generated">
          <a:extLst>
            <a:ext uri="{FF2B5EF4-FFF2-40B4-BE49-F238E27FC236}">
              <a16:creationId xmlns:a16="http://schemas.microsoft.com/office/drawing/2014/main" id="{5EA37F77-BC00-47F1-964F-9FEEF10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43EEE82-586A-4755-9F62-EDB919A988F4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163D33E5-73B0-43BC-AE4C-C795060D1AD6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68" name="Lightning Bolt 167">
          <a:extLst>
            <a:ext uri="{FF2B5EF4-FFF2-40B4-BE49-F238E27FC236}">
              <a16:creationId xmlns:a16="http://schemas.microsoft.com/office/drawing/2014/main" id="{1F79DC77-3189-40AE-B014-7D315A0B7D2B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id="{3CB75F0C-EF90-42F0-AD9E-8BC6A4A9138B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70" name="Arrow: Up 169">
          <a:extLst>
            <a:ext uri="{FF2B5EF4-FFF2-40B4-BE49-F238E27FC236}">
              <a16:creationId xmlns:a16="http://schemas.microsoft.com/office/drawing/2014/main" id="{245656B2-0300-4176-A829-DE4C08B4450F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71" name="Arrow: Up 170">
          <a:extLst>
            <a:ext uri="{FF2B5EF4-FFF2-40B4-BE49-F238E27FC236}">
              <a16:creationId xmlns:a16="http://schemas.microsoft.com/office/drawing/2014/main" id="{07EFABB7-E8FA-4341-A91D-73AB41A600C0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72" name="Arrow: Up-Down 171">
          <a:extLst>
            <a:ext uri="{FF2B5EF4-FFF2-40B4-BE49-F238E27FC236}">
              <a16:creationId xmlns:a16="http://schemas.microsoft.com/office/drawing/2014/main" id="{2EC20034-A171-45E8-B627-2DA614475DFB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73" name="Picture 95405" descr="LADDER">
          <a:extLst>
            <a:ext uri="{FF2B5EF4-FFF2-40B4-BE49-F238E27FC236}">
              <a16:creationId xmlns:a16="http://schemas.microsoft.com/office/drawing/2014/main" id="{D610AE6D-2FF1-42D8-8CDC-82C45EC1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74" name="Picture 1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A67553-619D-40E2-BFC7-992B96B28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75" name="Arrow: Up 174">
          <a:extLst>
            <a:ext uri="{FF2B5EF4-FFF2-40B4-BE49-F238E27FC236}">
              <a16:creationId xmlns:a16="http://schemas.microsoft.com/office/drawing/2014/main" id="{009697DD-682D-4160-A875-B0E83EFEB0F3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76" name="Arrow: Up 175">
          <a:extLst>
            <a:ext uri="{FF2B5EF4-FFF2-40B4-BE49-F238E27FC236}">
              <a16:creationId xmlns:a16="http://schemas.microsoft.com/office/drawing/2014/main" id="{679D19BE-94F0-4DE9-A718-757409FD865F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77" name="Arrow: Up 176">
          <a:extLst>
            <a:ext uri="{FF2B5EF4-FFF2-40B4-BE49-F238E27FC236}">
              <a16:creationId xmlns:a16="http://schemas.microsoft.com/office/drawing/2014/main" id="{E1B05F88-3F01-4341-B2A7-F83975D04A1A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78" name="Arrow: Up 177">
          <a:extLst>
            <a:ext uri="{FF2B5EF4-FFF2-40B4-BE49-F238E27FC236}">
              <a16:creationId xmlns:a16="http://schemas.microsoft.com/office/drawing/2014/main" id="{60127EA8-AB76-442E-ABC8-CB55B7AC5FBE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79" name="Arrow: Up 178">
          <a:extLst>
            <a:ext uri="{FF2B5EF4-FFF2-40B4-BE49-F238E27FC236}">
              <a16:creationId xmlns:a16="http://schemas.microsoft.com/office/drawing/2014/main" id="{22C0822C-894C-41C7-88E3-A92A681405CA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80" name="Arrow: Up 179">
          <a:extLst>
            <a:ext uri="{FF2B5EF4-FFF2-40B4-BE49-F238E27FC236}">
              <a16:creationId xmlns:a16="http://schemas.microsoft.com/office/drawing/2014/main" id="{94B5E510-BA3B-4C9D-B193-906F8C13DCE8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81" name="Arrow: Up 180">
          <a:extLst>
            <a:ext uri="{FF2B5EF4-FFF2-40B4-BE49-F238E27FC236}">
              <a16:creationId xmlns:a16="http://schemas.microsoft.com/office/drawing/2014/main" id="{65F0A91C-D164-4889-B497-006333A51233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82" name="Arrow: Up 181">
          <a:extLst>
            <a:ext uri="{FF2B5EF4-FFF2-40B4-BE49-F238E27FC236}">
              <a16:creationId xmlns:a16="http://schemas.microsoft.com/office/drawing/2014/main" id="{3B17F0DB-BA47-4C82-AAE1-6380E853E017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83" name="Arrow: Up 182">
          <a:extLst>
            <a:ext uri="{FF2B5EF4-FFF2-40B4-BE49-F238E27FC236}">
              <a16:creationId xmlns:a16="http://schemas.microsoft.com/office/drawing/2014/main" id="{FFFDF35D-B6BE-473D-9D30-3614883AB951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84" name="Arrow: Up 183">
          <a:extLst>
            <a:ext uri="{FF2B5EF4-FFF2-40B4-BE49-F238E27FC236}">
              <a16:creationId xmlns:a16="http://schemas.microsoft.com/office/drawing/2014/main" id="{E8AFD9B2-6054-45A1-91D4-2498A20A52B3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85" name="Arrow: Up 184">
          <a:extLst>
            <a:ext uri="{FF2B5EF4-FFF2-40B4-BE49-F238E27FC236}">
              <a16:creationId xmlns:a16="http://schemas.microsoft.com/office/drawing/2014/main" id="{7CA95F27-9370-4056-BCB6-2AAA13929969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86" name="Arrow: Up 185">
          <a:extLst>
            <a:ext uri="{FF2B5EF4-FFF2-40B4-BE49-F238E27FC236}">
              <a16:creationId xmlns:a16="http://schemas.microsoft.com/office/drawing/2014/main" id="{68E5F563-0669-45B8-82B4-80B3136760F7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87" name="Arrow: Up 186">
          <a:extLst>
            <a:ext uri="{FF2B5EF4-FFF2-40B4-BE49-F238E27FC236}">
              <a16:creationId xmlns:a16="http://schemas.microsoft.com/office/drawing/2014/main" id="{1C458D14-2D5C-4CE1-9EAD-819A383E92CD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88" name="Arrow: Up 187">
          <a:extLst>
            <a:ext uri="{FF2B5EF4-FFF2-40B4-BE49-F238E27FC236}">
              <a16:creationId xmlns:a16="http://schemas.microsoft.com/office/drawing/2014/main" id="{1750676F-5C95-494F-8499-003B4D32B16C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89" name="Arrow: Up 188">
          <a:extLst>
            <a:ext uri="{FF2B5EF4-FFF2-40B4-BE49-F238E27FC236}">
              <a16:creationId xmlns:a16="http://schemas.microsoft.com/office/drawing/2014/main" id="{5DC1A521-ACF0-4B2A-A881-1202040E421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90" name="Arrow: Up 189">
          <a:extLst>
            <a:ext uri="{FF2B5EF4-FFF2-40B4-BE49-F238E27FC236}">
              <a16:creationId xmlns:a16="http://schemas.microsoft.com/office/drawing/2014/main" id="{63A4BEB6-B6A8-4166-B21F-B9CF138E6143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91" name="Arrow: Up 190">
          <a:extLst>
            <a:ext uri="{FF2B5EF4-FFF2-40B4-BE49-F238E27FC236}">
              <a16:creationId xmlns:a16="http://schemas.microsoft.com/office/drawing/2014/main" id="{285953CF-F9ED-43FC-B971-EBD7EC30A008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92" name="Arrow: Up 191">
          <a:extLst>
            <a:ext uri="{FF2B5EF4-FFF2-40B4-BE49-F238E27FC236}">
              <a16:creationId xmlns:a16="http://schemas.microsoft.com/office/drawing/2014/main" id="{1C723D6E-4353-47D6-9393-5A518E1A04F3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93" name="Arrow: Up 192">
          <a:extLst>
            <a:ext uri="{FF2B5EF4-FFF2-40B4-BE49-F238E27FC236}">
              <a16:creationId xmlns:a16="http://schemas.microsoft.com/office/drawing/2014/main" id="{976F37F5-F8E1-48B4-9B86-1A8F1B57C445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94" name="Arrow: Up 193">
          <a:extLst>
            <a:ext uri="{FF2B5EF4-FFF2-40B4-BE49-F238E27FC236}">
              <a16:creationId xmlns:a16="http://schemas.microsoft.com/office/drawing/2014/main" id="{48C7335F-EC7A-4C51-B5D3-1451EBB781DE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95" name="Arrow: Up 194">
          <a:extLst>
            <a:ext uri="{FF2B5EF4-FFF2-40B4-BE49-F238E27FC236}">
              <a16:creationId xmlns:a16="http://schemas.microsoft.com/office/drawing/2014/main" id="{296CAB0D-FADD-447D-922F-457FF44BD2A6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96" name="Arrow: Up 195">
          <a:extLst>
            <a:ext uri="{FF2B5EF4-FFF2-40B4-BE49-F238E27FC236}">
              <a16:creationId xmlns:a16="http://schemas.microsoft.com/office/drawing/2014/main" id="{3B0551DA-F77C-47FB-AE0C-2C5F8BFAE9AC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97" name="Arrow: Up 196">
          <a:extLst>
            <a:ext uri="{FF2B5EF4-FFF2-40B4-BE49-F238E27FC236}">
              <a16:creationId xmlns:a16="http://schemas.microsoft.com/office/drawing/2014/main" id="{4CFEDBEE-57C8-4082-88FF-2D2970C90ADE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98" name="Arrow: Up 197">
          <a:extLst>
            <a:ext uri="{FF2B5EF4-FFF2-40B4-BE49-F238E27FC236}">
              <a16:creationId xmlns:a16="http://schemas.microsoft.com/office/drawing/2014/main" id="{26A747D9-6B20-43C8-B0DB-3B0975F76DE2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99" name="Arrow: Up 198">
          <a:extLst>
            <a:ext uri="{FF2B5EF4-FFF2-40B4-BE49-F238E27FC236}">
              <a16:creationId xmlns:a16="http://schemas.microsoft.com/office/drawing/2014/main" id="{B523BED1-19AE-4D2A-AD22-36B2E71B3227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200" name="Arrow: Up 199">
          <a:extLst>
            <a:ext uri="{FF2B5EF4-FFF2-40B4-BE49-F238E27FC236}">
              <a16:creationId xmlns:a16="http://schemas.microsoft.com/office/drawing/2014/main" id="{4F814210-697B-4450-ACF4-9DB3402533C0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201" name="Arrow: Up 200">
          <a:extLst>
            <a:ext uri="{FF2B5EF4-FFF2-40B4-BE49-F238E27FC236}">
              <a16:creationId xmlns:a16="http://schemas.microsoft.com/office/drawing/2014/main" id="{38C224E0-C140-405C-9BB0-E786A01647B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202" name="Arrow: Up 201">
          <a:extLst>
            <a:ext uri="{FF2B5EF4-FFF2-40B4-BE49-F238E27FC236}">
              <a16:creationId xmlns:a16="http://schemas.microsoft.com/office/drawing/2014/main" id="{7D6F58BB-7370-40B4-A745-846BA4A1129B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203" name="Arrow: Up 202">
          <a:extLst>
            <a:ext uri="{FF2B5EF4-FFF2-40B4-BE49-F238E27FC236}">
              <a16:creationId xmlns:a16="http://schemas.microsoft.com/office/drawing/2014/main" id="{2ACA7058-1C94-42ED-9C44-3AFF8827F6CD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204" name="Arrow: Up 203">
          <a:extLst>
            <a:ext uri="{FF2B5EF4-FFF2-40B4-BE49-F238E27FC236}">
              <a16:creationId xmlns:a16="http://schemas.microsoft.com/office/drawing/2014/main" id="{A3528898-5902-467D-A2D2-57BB11621790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205" name="Arrow: Up 204">
          <a:extLst>
            <a:ext uri="{FF2B5EF4-FFF2-40B4-BE49-F238E27FC236}">
              <a16:creationId xmlns:a16="http://schemas.microsoft.com/office/drawing/2014/main" id="{D55106CB-D7BC-4F38-A02E-8B2A2A79896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206" name="Arrow: Up 205">
          <a:extLst>
            <a:ext uri="{FF2B5EF4-FFF2-40B4-BE49-F238E27FC236}">
              <a16:creationId xmlns:a16="http://schemas.microsoft.com/office/drawing/2014/main" id="{F3BF8833-463F-4D65-8399-E670502FCBED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207" name="Arrow: Up 206">
          <a:extLst>
            <a:ext uri="{FF2B5EF4-FFF2-40B4-BE49-F238E27FC236}">
              <a16:creationId xmlns:a16="http://schemas.microsoft.com/office/drawing/2014/main" id="{53865F5D-5FBC-4D7E-AF51-5A694AF9DB28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49AAC0FC-F64C-46ED-BBE6-293A3908238B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CEF0B7B3-8BC9-4F67-B36B-DD01AE3E6D34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4F986C-BC4E-44B7-B787-E5FF0FE3C82A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E9F37B67-D9BC-4696-9D49-9C8EBD9D726F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2D42D88D-6076-4D38-B845-9762D0CF47B9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D34BD4F1-9B06-4094-B0C6-21E02CA60527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D748C81A-F854-4407-8134-21972FF9E66F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9F2DD090-030B-406E-A763-13CF77C4A358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E07E797D-9A28-4875-8BC4-40A9F05FD57E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82CFAABF-1DDA-4E50-B852-197331D7129D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DD36240-4B27-41BA-93F5-491FB55D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219" name="Picture 218">
          <a:extLst>
            <a:ext uri="{FF2B5EF4-FFF2-40B4-BE49-F238E27FC236}">
              <a16:creationId xmlns:a16="http://schemas.microsoft.com/office/drawing/2014/main" id="{D185E27E-FE04-4020-A8AA-AEAE7EF1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94D9FB8A-FFFB-41E8-A3BA-DD3905334D62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93337249-184B-4BFB-B51F-6A6B472211B0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50A4ED3E-C3C1-4173-AFD6-EBEC46B3FFF1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2D3C81ED-E14B-4B02-BAD5-5E36F0FEB28C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874C7060-3848-4716-8C2D-050677D3544F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2963A63A-7DA6-4696-BA18-BD67864B10B3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423BB432-82F5-42C1-9824-CCD1EEB7199B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F7A6FA72-675D-49F9-9FD0-DD8011F93DEE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219</xdr:rowOff>
    </xdr:from>
    <xdr:to>
      <xdr:col>12</xdr:col>
      <xdr:colOff>11616</xdr:colOff>
      <xdr:row>75</xdr:row>
      <xdr:rowOff>177694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3A00F5CA-05C9-4119-BFF3-0E39202548CA}"/>
            </a:ext>
          </a:extLst>
        </xdr:cNvPr>
        <xdr:cNvSpPr/>
      </xdr:nvSpPr>
      <xdr:spPr>
        <a:xfrm>
          <a:off x="3362325" y="14230569"/>
          <a:ext cx="5450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7DD13D0B-3AC0-454A-A4EE-70E6483091B6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FC3C8BE-A3BE-4EE6-B9CD-9B5844AA10C5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119453AC-E49C-48C1-B9F6-21C231F10CF8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9B31091-1F2C-4B74-A4D5-DA767BE25750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A8E2AF20-7FE7-49F9-9851-35833E34B00F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3009D65-4512-4CAB-BD01-4CC41C0901FC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11656538-885D-48F6-959E-4697E198A32B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E4E68805-816F-45B1-B658-F5B0C77721D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8D0CF43A-5420-40BB-80AC-6B2BF6801E92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6842AC43-985B-4844-BA7A-55A47AD276E6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1D57EB4D-AAE3-4079-99D8-1922177E2D4E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27A0D2FE-B0BD-435B-881A-FD34AAE21F78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6D0C938-5823-4220-8C41-FC2BCC695BA9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2D020D82-56BA-4489-93D3-F0CD8F57C15F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D0A93A37-AC20-453F-A94A-E2A46CFD1E51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F8C81189-8DB4-4C07-8D97-91BB7C30019A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07341DF-91E6-48B2-A9D3-9DFD6E05EF83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B32DDF55-E656-4614-8589-2DE30A27EBFE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A7DF82C-1765-4354-9FC5-A65988072AA4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A211AAB3-7E7B-4529-B265-4377C027BC96}"/>
            </a:ext>
          </a:extLst>
        </xdr:cNvPr>
        <xdr:cNvSpPr/>
      </xdr:nvSpPr>
      <xdr:spPr>
        <a:xfrm>
          <a:off x="12868275" y="11182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33CB64FB-8D3B-4562-93D4-DAB6AAC18762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2DCA67B1-2752-4227-86B6-3AF6D3E919CB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302388A9-2931-48C3-8694-31DCA847960E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B1639331-B9B8-4BB1-96AA-014E228D3A04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750B94C3-104A-4D90-A859-43DC33EEE1F0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AD5A70CF-D1F9-4C41-AC72-393ED721B0C6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DD4ADF56-F29F-4F7A-823D-7583D8CD1AFB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4D234CFF-9089-4C9E-9B50-E4224C90EB01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17210CEE-6963-442C-AD16-8809B0952AED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6C880E65-09C8-4AF9-8829-726BDED00461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B610F438-2EFC-4FDF-87D5-D405226522F8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963D92BD-EE04-4556-A9E7-F9C9250CF57C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3654BE57-57AB-4424-89F8-4CF4775E6D56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5CE3BAA6-F553-4927-ADA5-E4D7F400D35F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1B83C668-95CB-42D5-9653-5FACE782A20F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77E5AF75-98B3-4E1A-86A1-FD2610B316E6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22578D2D-02AF-48F8-8765-A3350FEEF9E7}"/>
            </a:ext>
          </a:extLst>
        </xdr:cNvPr>
        <xdr:cNvSpPr/>
      </xdr:nvSpPr>
      <xdr:spPr>
        <a:xfrm>
          <a:off x="1276350" y="15754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7D14248B-2681-4415-BB12-02A052EECBA6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3AD72BA4-9CF5-454C-AA18-2FBCD5F11574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F93BEE56-3E7F-4DF8-B898-A6DC81448E7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203E4A6E-8630-4349-85D8-FDF40746FAE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E304A86B-85BE-4B5E-B3AC-FA7923B1527C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493E0939-7F4B-41AC-9A03-8783343374CB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982F0D30-3D08-4FC7-9081-338817000B66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6F937E83-4BA6-4543-98ED-BDC64E2330D4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727E21B3-BD3E-4C1A-997C-EE01B0F58128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AFBE1808-A7B1-46AC-AA42-5BF7F0D4952A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831D1D42-390B-4359-8CF2-DB3CE89B66C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2F6EC34B-4F50-4E48-A149-F15F4C95C097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21266752-D4D9-4433-9FEB-A636ECD0525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931F4CD-BC37-419F-A324-BD6AF7FEF997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30C484E5-F4C8-47B9-AC14-5530EDB76AE4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138924C-7CA6-44D1-BCA8-E613E96E89EB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267C98B1-45B3-4C9C-A6D1-76B1BF1A2187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CF63DE2-9E7A-41B9-A0F6-049CA3F5617D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177476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FBAF4E5F-50FF-4D9D-9D69-2F62900D429F}"/>
            </a:ext>
          </a:extLst>
        </xdr:cNvPr>
        <xdr:cNvSpPr/>
      </xdr:nvSpPr>
      <xdr:spPr>
        <a:xfrm>
          <a:off x="5133975" y="965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3F16F880-9F5F-468C-ADBA-65F91CFCA143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10B726B-E5D0-4EB7-9757-735A96A4CE97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B7340A4B-6EE6-467C-99A5-F26EE41CDDD9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5BA6E8FA-6488-48D4-806A-8154BB0886BC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480AC6F8-2484-45A7-9624-DAAED0611152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B3FCFF7F-F932-4CDD-AF5B-7E9C32975BF1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301" name="5-Point Star 520">
          <a:extLst>
            <a:ext uri="{FF2B5EF4-FFF2-40B4-BE49-F238E27FC236}">
              <a16:creationId xmlns:a16="http://schemas.microsoft.com/office/drawing/2014/main" id="{98294CBE-9AB7-471C-9353-412025FE6750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303" name="Curved Connector 522">
          <a:extLst>
            <a:ext uri="{FF2B5EF4-FFF2-40B4-BE49-F238E27FC236}">
              <a16:creationId xmlns:a16="http://schemas.microsoft.com/office/drawing/2014/main" id="{E731F3D2-656C-4AC7-A1CF-502E6D4C06FB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1AD5F7D3-1EAA-47BD-9BE6-C9E7B759FB6F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D89C4029-9321-4AAA-A41F-908BB258D3EE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E44C2EB6-8881-4969-A489-C6AFDCA59196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D1ECBF6A-0627-440F-A45F-60A70205DD3D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5FF87B1C-97E2-4738-B0FB-0921DEAAFFB2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B34A7AFF-1ECE-44E4-A3E1-63B5AFCA42CD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480A4541-E85E-46E8-AF0C-20813CF6B822}"/>
            </a:ext>
          </a:extLst>
        </xdr:cNvPr>
        <xdr:cNvSpPr/>
      </xdr:nvSpPr>
      <xdr:spPr>
        <a:xfrm>
          <a:off x="333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8CED06F5-7456-4F9F-A992-BEF6C5E45B59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E46B549A-F450-45D0-8FB2-FB064A312D7E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6B01ECDB-C518-4619-942F-CD293B514E3E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FB955BF8-8A97-449E-AE32-B65412FC4FE0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C821EDB-8C6D-42D3-9708-3CB32F0170ED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194E6485-0197-4602-AD5E-8E3D4A6E734E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5AEC9547-14F9-4EF9-B6BF-7E8653175C1F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8A4A2E90-5143-4635-866A-5B1D518ADD72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9C10A6D8-7C95-4C11-A5EE-65460E8A71EB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A8B7C8AC-693F-44A2-A0C6-A78FFBC94D84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3920CF72-BAED-4FCE-ACBB-23B2153CE3B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896E6E69-CCEC-4F2C-8157-22CE48F12B58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A09FA919-EFE6-4BC8-ACCE-DF8775450738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9CCEF46D-1CCB-4E59-9F3C-BF10E6531A3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A4899101-9B39-4A0D-BEEE-FF2A4523B725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326" name="Picture 325" descr="A black and white symbol&#10;&#10;Description automatically generated">
          <a:extLst>
            <a:ext uri="{FF2B5EF4-FFF2-40B4-BE49-F238E27FC236}">
              <a16:creationId xmlns:a16="http://schemas.microsoft.com/office/drawing/2014/main" id="{C23C557C-36C4-45EF-AEED-3430B238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6E9091F4-E824-4DDB-A752-3D4F7FD4F29C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39A06172-9D0A-4618-9949-2C38C08592AA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A2838E2F-FD11-4426-A7B7-6F43E7B210D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118</xdr:row>
      <xdr:rowOff>0</xdr:rowOff>
    </xdr:from>
    <xdr:ext cx="230186" cy="271084"/>
    <xdr:pic>
      <xdr:nvPicPr>
        <xdr:cNvPr id="330" name="Picture 329" descr="A black and white symbol&#10;&#10;Description automatically generated">
          <a:extLst>
            <a:ext uri="{FF2B5EF4-FFF2-40B4-BE49-F238E27FC236}">
              <a16:creationId xmlns:a16="http://schemas.microsoft.com/office/drawing/2014/main" id="{B830DA9B-8AB0-4C35-BC04-B66FBA36C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83A8CAE1-FC14-465D-945A-994DCDAA6B04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F05231B7-4E7B-4515-82B6-D561960528B3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AD36A6D1-5D2B-4E0B-AE4E-0C9AEE4C10F4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1223D5AA-E11A-4D4D-87EE-2A3AD47C26A5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1E786EAA-93EA-4230-BF7F-42C95A5AEC69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BCDDF2C8-140E-4E19-93CB-E29239931B16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972FB41E-7524-4A08-939F-4E074F5A85AF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DE5E6656-2EB1-488D-828F-B0E2B2DEB7AD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403BB96E-2653-4E55-9BBF-77495972FD20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A7CD01E0-CCD0-4E8B-A2C7-48BC348326B4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961C9453-67CB-49F1-A2A4-44258901E05E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D6232C74-ECF0-4CF9-9FB8-58B8681F7C15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157B824E-BA47-4CAE-B17A-5753D1B5191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EDF7EE2F-8F43-4C79-8E55-AB1C24938BE1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3AEC2F00-86A3-4A49-BE03-105EF28930A8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1CAE81B6-212F-4C40-87FD-3EAAAAB5EF4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C15F835-1718-4BDF-B006-671A92547C8F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178E73B5-EC96-4BB0-A886-EC4A4630C9FD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487896FF-1124-40D5-B06B-07C1AC51A829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5D1EC339-1B73-49C2-9BE9-90A8192F85CF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ABB3EABF-8796-46D9-B9DB-759E1C06F483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52" name="Arrow: Up 351">
          <a:extLst>
            <a:ext uri="{FF2B5EF4-FFF2-40B4-BE49-F238E27FC236}">
              <a16:creationId xmlns:a16="http://schemas.microsoft.com/office/drawing/2014/main" id="{ABFC7B1E-0E2F-4C86-8B10-23E2799E2BDF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D8A6EEB8-D9BD-469A-8D7A-58FABBCA115F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BCDA622E-1AFE-4065-96B7-9B5F298275FE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C6FE36FB-F329-411B-9B86-FB48FE1382C3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48EA2DAA-ADAF-4E05-BC45-A118BDD37B1D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FF395AF4-EE96-4984-A5DB-051330F2A4D6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6B3C6D22-8368-42E9-A97D-17FE694E295F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2F74288F-70EB-4084-A7F7-2C874E40204B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B7F31564-9E1D-496C-8E10-5305ECE18E9C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E24EE2A1-025E-4853-B4CB-904B5F83B5CD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178CFB48-6393-4B17-9078-2E381B9C64A9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507E554F-6D7D-402F-A8C2-DDE898EF7AE2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A54DE7D6-F3B5-4073-AFFF-781A475D62B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7806C923-F08E-490B-8192-D76EBACEFD8E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1AA1050A-4125-485A-81B3-CBDC5CF3D2A4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F1551D3F-11C5-44A3-A80E-48EBA4BAE082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9F53C95F-6C04-42BE-9047-7C253535B20F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B528F559-D20F-4102-962D-2EA0C4F17A08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543AC742-36E7-4410-9271-50A48F54B24C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646D0B3F-DFB5-4D60-A8BE-92BCD25D5A1A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DA204781-AE17-4857-9322-EE6F18053D51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EF95EFAA-5BD0-4A11-B5EC-632759C333B3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C6506443-6404-4ABD-8B33-109539DF5FC4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65564A27-5129-4A1E-A7A5-BDA8E2C0C73E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B26FAEB4-CDFA-48B9-B785-2231F885251C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96DA12BD-CC32-408D-A4C4-E960345ED4E6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2FCAB9CB-FFFF-4EA2-BBDD-009FCC3A1CE2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E8C63D77-C921-4934-BFAF-E2B9B3F0F44B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C3CD703D-61A0-4651-848D-ED05E3B8A7CF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4DDB1A8B-707D-4FE9-88FF-96A065A97671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46BF758E-853E-4A4F-9E2D-3FB2F6267CCF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6820088E-99E6-49CD-BF2A-20C74983E506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39AAF99C-F9B7-4BD6-B954-1964BF0B15E6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67A7AA2D-DFCB-4479-AEAE-E3A93F77C132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C3CDCFE6-EB69-48B1-B252-59CD07918D20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1C0AE6C9-5ED8-4A07-8CD2-6063F7F5A407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1A07F400-71A1-425E-83A7-A3215283E98E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C6E48C-DB31-4436-AB95-584302B5E5C9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2EE6836C-8FB1-48B2-B061-279D98071B41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12BFA9BB-44A1-4811-B82D-920B17B455D6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3FB8FB35-7422-4FD7-9049-D5F8ECAD0732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8F8FA128-67FB-4403-94B2-4790CBAC3317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BA1559AC-FD58-4C46-A858-3C6051281A1F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652399B5-8C70-448E-B61F-7729B3E7E3F0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E24BF694-D0C7-4DE8-B703-153E44FC2C31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C4516923-DF51-40C2-BDAC-1C95AB01E901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32F81CDB-C90A-454C-B01D-BE5B1E5041E7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5AC49E7B-4CB4-42C0-9771-6144F4A67572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400" name="Arrow: Up 399">
          <a:extLst>
            <a:ext uri="{FF2B5EF4-FFF2-40B4-BE49-F238E27FC236}">
              <a16:creationId xmlns:a16="http://schemas.microsoft.com/office/drawing/2014/main" id="{B930278D-05C6-4316-8BB3-7EA31BAE8271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53B054D7-40E0-4688-8B92-908CE8DF9DA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6E97C9FE-3701-414F-9F70-5DFCC60C3EB8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6C66C00B-86CD-43B3-B4A5-0ACA3F3870DF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F3801793-19F1-4820-8A54-2875B1926611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3CDD667-7971-4173-8B3B-FA66848C852B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FEDAFAF6-EB59-4831-84FB-0AA38372BCC5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F1A5CA1F-6C66-4E76-92D5-364F53F37DE0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D9C54C78-75F6-4CD0-9EA8-F15DE8824572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57F0C86-6B44-45E3-8F0D-0B65BC36E61C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446E73C1-D71A-40AA-A93E-C9D32668899D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F5119800-5B92-4C0A-AF37-67B18BD2A37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A268D158-20B7-4E41-8B31-F025ADFAD9A8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9D02DED4-BBC2-404B-B7A5-15343E927CBA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F3149250-D6F7-46E6-B311-947303C7D583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4B6B47B-AE77-400A-BE40-7064C13C105C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5E9BF262-94F0-4730-8FEF-E568B27D48F5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AB46B787-8895-4BF0-94F8-BA51F5407A2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DBD9C13A-4695-4A22-8CF8-CD65405F1224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B1568B4E-A9B1-4A23-955F-0CFD0B660E9D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36CE77AD-2093-4E23-9A61-9C19FE23E586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C3EAABF6-495B-4499-9B07-0623417807BD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711776C1-F2D8-4E31-B935-D64838CB2D71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BB56563-F2B1-45C0-9F7A-D7F5A244A769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29765C6-D4FA-4727-AB60-E7ECD8239DB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425" name="Arrow: Up 424">
          <a:extLst>
            <a:ext uri="{FF2B5EF4-FFF2-40B4-BE49-F238E27FC236}">
              <a16:creationId xmlns:a16="http://schemas.microsoft.com/office/drawing/2014/main" id="{F6E19A58-6ED0-449F-8585-4C80661D3636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9E2E1261-7A39-42C6-9A76-56B011FA779F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EE1CE68D-0860-42E0-B26C-9A10C2B8C0B4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4F77BDD0-BB4F-42D0-8E59-F9BB1F27EE58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271B58E0-8193-40AD-BD95-AB53FCB5C022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627DEBFF-0C00-4372-947B-0181EF33A1C5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3B925A52-C373-478A-8280-1331684DDA97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F42DE75-C915-4EDF-A23C-EE4210C18B44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C0122C85-C4C4-4D94-BC78-EC02BEAF3A0F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49545DF1-06C0-4271-8CD0-A9F8BADCFBF1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E898F017-9967-4C4B-A5EC-D4264DAA52A7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C70C12C0-351C-494F-81F5-E00E15CBE3C6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EC2B32F4-2317-48D0-8E0A-6B86EB837431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EB59AA7C-81D6-435B-8668-EA592FA75D23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C6C92FAB-40D1-4694-9ACD-3C977EDC3FA9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B3DBEA-5CD4-4864-A46B-4C2D994D3AD5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168E6BDB-A572-41E8-9D48-3F5D818ED94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45C07892-2869-4AE2-99B9-7968055FE16C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2FA75833-D2CA-4F69-AE9F-A5D332C85809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C6534528-FD9D-4E67-9B8F-EA44953BB731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61FF86D9-EE0C-4446-A480-A61F499A6129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7E424CE8-8DB8-47E2-87D2-6A84D6370E65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1059595E-1CCD-411D-AEEE-0E5A790DE2B5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767BF2E5-64F8-4E3F-A602-220512EE058A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F9F4D6D1-EA32-457A-BD2B-8510AF867F00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50" name="Arrow: Up 449">
          <a:extLst>
            <a:ext uri="{FF2B5EF4-FFF2-40B4-BE49-F238E27FC236}">
              <a16:creationId xmlns:a16="http://schemas.microsoft.com/office/drawing/2014/main" id="{5CD436BD-BBD4-4044-813D-7B5217C135F0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D93C0C02-E386-440B-88AC-3ABE53F0B18E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55EF4364-512B-4A79-9CB8-BD09BAB05968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B6C17A9B-81F1-4DA2-8FCE-FC61ACC7D9C8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AEB9CFC4-0E94-4F37-B5DF-2125BAD70571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D102FD35-7773-4F7C-907B-9B13895E1E49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D769DF96-76BC-4DB5-91D5-9F924B5FC7F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2963EE08-F293-4887-B710-4FE2DA27B443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6035FF03-19B7-4258-8BC1-023DA339ACF3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362A1400-6ECF-4AF8-9414-401515829E92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8B678825-48F4-48AC-BF1A-43801647672A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7B8C79A4-AF15-439C-9E05-0FF7B5F816AF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A5166ACA-D9F8-4EB5-912D-2AD58A4E25B5}"/>
            </a:ext>
          </a:extLst>
        </xdr:cNvPr>
        <xdr:cNvSpPr/>
      </xdr:nvSpPr>
      <xdr:spPr>
        <a:xfrm>
          <a:off x="1291713" y="31009713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545FFD53-9183-4B2E-AC1D-031ED9095338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13D37030-82BF-4FCD-B422-AECFA57FA2AB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70EBFDD5-96F2-4633-ADCA-C74BFB71C53E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162</xdr:row>
      <xdr:rowOff>0</xdr:rowOff>
    </xdr:from>
    <xdr:to>
      <xdr:col>17</xdr:col>
      <xdr:colOff>256442</xdr:colOff>
      <xdr:row>163</xdr:row>
      <xdr:rowOff>183173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E4A4158A-6E69-4C6A-9B36-62407E939164}"/>
            </a:ext>
          </a:extLst>
        </xdr:cNvPr>
        <xdr:cNvSpPr/>
      </xdr:nvSpPr>
      <xdr:spPr>
        <a:xfrm>
          <a:off x="51339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B1B62BAC-2666-4768-AB71-8C1596DADCDE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1C61C0EC-8CC0-41E1-B0DD-B82057703223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2C65D992-DDFB-4FDE-ACF9-16444169617A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42FA54F0-DC77-461D-9E42-552E9789781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47CF2C28-6E8A-4770-BCB3-408A50A371FC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5A13168A-658C-4C36-A185-3BF77144A4E4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387CA8A9-049E-4699-9249-0E6AB3C8108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75" name="Arrow: Up 474">
          <a:extLst>
            <a:ext uri="{FF2B5EF4-FFF2-40B4-BE49-F238E27FC236}">
              <a16:creationId xmlns:a16="http://schemas.microsoft.com/office/drawing/2014/main" id="{4BD7163D-7704-4AA1-BDB8-723A87E70AB5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1B475572-7487-4E6D-B386-16C8A8E8CFA3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E5EBEC11-F265-4D95-9434-121D80ECCFF5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A8EEECC-2BD5-4F39-B40B-3BA076574955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FED74BDE-DD9B-40AF-A497-494B3113E353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162</xdr:row>
      <xdr:rowOff>0</xdr:rowOff>
    </xdr:from>
    <xdr:to>
      <xdr:col>17</xdr:col>
      <xdr:colOff>256442</xdr:colOff>
      <xdr:row>163</xdr:row>
      <xdr:rowOff>177475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C3DC5C2-90FE-4E8B-80BA-3F63F0F455EA}"/>
            </a:ext>
          </a:extLst>
        </xdr:cNvPr>
        <xdr:cNvSpPr/>
      </xdr:nvSpPr>
      <xdr:spPr>
        <a:xfrm>
          <a:off x="51339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1F4F286-4FA6-4706-A0E0-FC09D8339CC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B4987EF6-EE75-4CDE-A6DB-CE4ABE7DF703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FEF9E972-E823-4A75-B085-42F4D6756526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DE583DC4-DC8C-48D5-99E4-0A601A0D6984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F81FCFEA-2C73-46CE-9D05-B5FD829C8B78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D2600ECB-622C-46FE-99E8-8BE49283C278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3F969BF3-89CE-417F-8C70-4CC1FF65CE93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C177CABB-464B-4901-B8CA-135396574B15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3BA20291-639D-4E58-BD30-5DD641FD9927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5C6CD456-DA96-48CD-90B6-B87B14AA7588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326AD519-A034-470E-BF45-D4A3D19B8970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A0F514BC-E75D-45AF-9214-A963D39AF069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58F200A0-6026-4CD7-BFC0-A4C8F095131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339FE048-A1BD-4177-9BF6-CF113FE20B2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25265998-A1CF-443E-A4F1-1DE5C15F72B0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id="{0D0976FE-D842-4BFB-A790-D6759746ED46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1F81D285-5FE8-41FE-A80C-003387FD8391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id="{D5D1F7A3-5494-40B4-B931-09D201D885C8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id="{0A3FBA0B-0EFF-4886-8EAE-98A5E348C7F3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id="{66D27919-35CB-4EBF-B6C0-6771D8B7C9C3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id="{A849F146-1D48-4AC1-A0F8-42DB9870AFD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id="{2764C112-3D5C-42A5-9C99-6620EB05CDFC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C0FC558-490E-4BAC-9D11-5407FA74D8E8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925F3756-239E-43B9-9C8C-1E8CEC695FEC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BF97D175-AF1C-44E3-B430-D2AD553FA83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01072EA-004D-4211-B3B9-0FDEFBA15FB1}"/>
            </a:ext>
          </a:extLst>
        </xdr:cNvPr>
        <xdr:cNvSpPr/>
      </xdr:nvSpPr>
      <xdr:spPr>
        <a:xfrm>
          <a:off x="1276350" y="3404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A9A9998E-374A-4819-A9FE-37B80DAF7545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D903A4C5-CF86-4155-9040-0A0878831DE2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86A4F0D5-FAFA-4BF0-A83A-669EDD3ED5D1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071B25D1-8E99-4448-A283-DF97925DA379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80D23C19-649F-4E85-BBD3-3A9828AB5142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DE9AAE15-E69D-4E1F-80F5-CE18F633017D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6454D25E-C931-4021-AF67-6B99DB6F28A5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id="{D2D64539-96D1-43DE-B78A-B07ABB0D6A0B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id="{B4C34E8F-4EE4-462B-8935-EBFC2E591C49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id="{104F70FB-1B76-4DAF-9832-5436CF72B7DD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id="{2AA4EB9A-5993-4A62-ADD1-C0441E1D2232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id="{FA25D5D4-87EC-483F-96E8-69D9EB07737A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id="{112364EB-38C0-4E83-A4BD-A0427ACFFEE2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id="{D981C9EF-8962-4F15-97CB-EB2E8C8C5580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id="{4AED97C0-4B71-405B-BC30-AC47A6037D1E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id="{0E8FE9C9-1F08-4632-8831-2C601B449ACB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525" name="Isosceles Triangle 524">
          <a:extLst>
            <a:ext uri="{FF2B5EF4-FFF2-40B4-BE49-F238E27FC236}">
              <a16:creationId xmlns:a16="http://schemas.microsoft.com/office/drawing/2014/main" id="{BE2F3A07-A2B5-4740-BBAC-9D5FE2C476ED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85A3006F-9E81-4F46-9BE3-4E723E2561CC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A246E08F-637E-4FAA-8F6B-0948F14862FF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F8FEA80A-3205-4F49-8EAB-C348AD5F3E3A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A94AF338-7A1F-4251-8A04-512FB2EDB91B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7E5D809A-2CB7-40B8-869E-FCA98E8C6D89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531" name="Arrow: Up 256">
          <a:extLst>
            <a:ext uri="{FF2B5EF4-FFF2-40B4-BE49-F238E27FC236}">
              <a16:creationId xmlns:a16="http://schemas.microsoft.com/office/drawing/2014/main" id="{2EEFED60-771B-4E1B-B0DF-C6C2B680A3A1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9CDFE88-4CAC-43FF-9D37-F0279F62866D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533" name="Arrow: Up 256">
          <a:extLst>
            <a:ext uri="{FF2B5EF4-FFF2-40B4-BE49-F238E27FC236}">
              <a16:creationId xmlns:a16="http://schemas.microsoft.com/office/drawing/2014/main" id="{1B31E113-2E22-4A03-B866-D09D1B450611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BA0B51F4-321D-4E16-8655-48151F372A49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535" name="Arrow: Up 232">
          <a:extLst>
            <a:ext uri="{FF2B5EF4-FFF2-40B4-BE49-F238E27FC236}">
              <a16:creationId xmlns:a16="http://schemas.microsoft.com/office/drawing/2014/main" id="{C9795F55-83C1-4110-89A3-AF63C5A9C7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536" name="Arrow: Up-Down 285">
          <a:extLst>
            <a:ext uri="{FF2B5EF4-FFF2-40B4-BE49-F238E27FC236}">
              <a16:creationId xmlns:a16="http://schemas.microsoft.com/office/drawing/2014/main" id="{AA8B3DA4-19C3-45CF-97C3-3A941FD24CBB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537" name="Arrow: Up 232">
          <a:extLst>
            <a:ext uri="{FF2B5EF4-FFF2-40B4-BE49-F238E27FC236}">
              <a16:creationId xmlns:a16="http://schemas.microsoft.com/office/drawing/2014/main" id="{7C9D4A95-FD4B-4109-817C-B556249E9EAA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538" name="Arrow: Up 256">
          <a:extLst>
            <a:ext uri="{FF2B5EF4-FFF2-40B4-BE49-F238E27FC236}">
              <a16:creationId xmlns:a16="http://schemas.microsoft.com/office/drawing/2014/main" id="{5FE3F0CA-9EE2-4811-A060-B58C414A6865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539" name="Arrow: Up 232">
          <a:extLst>
            <a:ext uri="{FF2B5EF4-FFF2-40B4-BE49-F238E27FC236}">
              <a16:creationId xmlns:a16="http://schemas.microsoft.com/office/drawing/2014/main" id="{22F15A0D-C18A-4CF7-8184-9977ACCBBCC5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40" name="Arrow: Up 256">
          <a:extLst>
            <a:ext uri="{FF2B5EF4-FFF2-40B4-BE49-F238E27FC236}">
              <a16:creationId xmlns:a16="http://schemas.microsoft.com/office/drawing/2014/main" id="{701FB70C-51F4-4AB1-B670-4D5C0488043C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41" name="Arrow: Up 233">
          <a:extLst>
            <a:ext uri="{FF2B5EF4-FFF2-40B4-BE49-F238E27FC236}">
              <a16:creationId xmlns:a16="http://schemas.microsoft.com/office/drawing/2014/main" id="{2095ADD3-4EB1-4D63-BD8C-730C265EC8A2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42" name="Arrow: Up 256">
          <a:extLst>
            <a:ext uri="{FF2B5EF4-FFF2-40B4-BE49-F238E27FC236}">
              <a16:creationId xmlns:a16="http://schemas.microsoft.com/office/drawing/2014/main" id="{7FD44323-149C-4B46-9522-6431F1C45E56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43" name="Arrow: Up 256">
          <a:extLst>
            <a:ext uri="{FF2B5EF4-FFF2-40B4-BE49-F238E27FC236}">
              <a16:creationId xmlns:a16="http://schemas.microsoft.com/office/drawing/2014/main" id="{C89FC109-219B-447B-93A2-D86FF3D5E942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44" name="Arrow: Up 256">
          <a:extLst>
            <a:ext uri="{FF2B5EF4-FFF2-40B4-BE49-F238E27FC236}">
              <a16:creationId xmlns:a16="http://schemas.microsoft.com/office/drawing/2014/main" id="{F45E84FC-0C01-4319-B8C4-C2A932F46634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45" name="Arrow: Up 256">
          <a:extLst>
            <a:ext uri="{FF2B5EF4-FFF2-40B4-BE49-F238E27FC236}">
              <a16:creationId xmlns:a16="http://schemas.microsoft.com/office/drawing/2014/main" id="{DBD017A8-3607-4A8C-9A5A-BB391C5F52F4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46" name="Arrow: Up 228">
          <a:extLst>
            <a:ext uri="{FF2B5EF4-FFF2-40B4-BE49-F238E27FC236}">
              <a16:creationId xmlns:a16="http://schemas.microsoft.com/office/drawing/2014/main" id="{850E4A05-AE8D-4CDB-AB9A-B0700ACEE0F7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47" name="Arrow: Up 256">
          <a:extLst>
            <a:ext uri="{FF2B5EF4-FFF2-40B4-BE49-F238E27FC236}">
              <a16:creationId xmlns:a16="http://schemas.microsoft.com/office/drawing/2014/main" id="{08975D69-A88E-41E2-ADF6-BB00326BD65D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48" name="Arrow: Up 241">
          <a:extLst>
            <a:ext uri="{FF2B5EF4-FFF2-40B4-BE49-F238E27FC236}">
              <a16:creationId xmlns:a16="http://schemas.microsoft.com/office/drawing/2014/main" id="{EFF9709F-EBBC-40AE-BE92-BF335FEDA60D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49" name="Arrow: Up-Down 285">
          <a:extLst>
            <a:ext uri="{FF2B5EF4-FFF2-40B4-BE49-F238E27FC236}">
              <a16:creationId xmlns:a16="http://schemas.microsoft.com/office/drawing/2014/main" id="{3E4CE99F-FC9C-4EB2-B8BF-475AE94019CE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50" name="Arrow: Up 256">
          <a:extLst>
            <a:ext uri="{FF2B5EF4-FFF2-40B4-BE49-F238E27FC236}">
              <a16:creationId xmlns:a16="http://schemas.microsoft.com/office/drawing/2014/main" id="{74C5B72F-3D88-4672-AD7D-CA3A126B670B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51" name="Arrow: Up 237">
          <a:extLst>
            <a:ext uri="{FF2B5EF4-FFF2-40B4-BE49-F238E27FC236}">
              <a16:creationId xmlns:a16="http://schemas.microsoft.com/office/drawing/2014/main" id="{FFD46878-8FF1-463A-BB47-FE4038FE6FC9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52" name="Arrow: Up 237">
          <a:extLst>
            <a:ext uri="{FF2B5EF4-FFF2-40B4-BE49-F238E27FC236}">
              <a16:creationId xmlns:a16="http://schemas.microsoft.com/office/drawing/2014/main" id="{55306F78-B474-49D4-B963-F697941CDE7C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53" name="Arrow: Up 256">
          <a:extLst>
            <a:ext uri="{FF2B5EF4-FFF2-40B4-BE49-F238E27FC236}">
              <a16:creationId xmlns:a16="http://schemas.microsoft.com/office/drawing/2014/main" id="{5F5B4B9E-D126-4ECA-A0EE-8AABFFDEFB37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54" name="Arrow: Up 239">
          <a:extLst>
            <a:ext uri="{FF2B5EF4-FFF2-40B4-BE49-F238E27FC236}">
              <a16:creationId xmlns:a16="http://schemas.microsoft.com/office/drawing/2014/main" id="{8D47A2EF-C5E3-491E-95D9-AC582002FF0F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55" name="Arrow: Up 256">
          <a:extLst>
            <a:ext uri="{FF2B5EF4-FFF2-40B4-BE49-F238E27FC236}">
              <a16:creationId xmlns:a16="http://schemas.microsoft.com/office/drawing/2014/main" id="{821CEA88-BF00-4789-A358-E4F15416B947}"/>
            </a:ext>
          </a:extLst>
        </xdr:cNvPr>
        <xdr:cNvSpPr/>
      </xdr:nvSpPr>
      <xdr:spPr>
        <a:xfrm>
          <a:off x="2828925" y="5467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56" name="Arrow: Up-Down 285">
          <a:extLst>
            <a:ext uri="{FF2B5EF4-FFF2-40B4-BE49-F238E27FC236}">
              <a16:creationId xmlns:a16="http://schemas.microsoft.com/office/drawing/2014/main" id="{AC4D3A3B-5664-42CA-A18D-FBC034ADD846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57" name="Arrow: Up-Down 285">
          <a:extLst>
            <a:ext uri="{FF2B5EF4-FFF2-40B4-BE49-F238E27FC236}">
              <a16:creationId xmlns:a16="http://schemas.microsoft.com/office/drawing/2014/main" id="{549ACA8A-4A35-4589-96C7-A9E4F9931E0F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58" name="Arrow: Up 240">
          <a:extLst>
            <a:ext uri="{FF2B5EF4-FFF2-40B4-BE49-F238E27FC236}">
              <a16:creationId xmlns:a16="http://schemas.microsoft.com/office/drawing/2014/main" id="{2C1926A2-7D23-4B3A-99CE-E3C0C93700EE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59" name="Arrow: Up 240">
          <a:extLst>
            <a:ext uri="{FF2B5EF4-FFF2-40B4-BE49-F238E27FC236}">
              <a16:creationId xmlns:a16="http://schemas.microsoft.com/office/drawing/2014/main" id="{FEC2744B-701C-43B5-B9CD-A73F19AF6F08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60" name="Arrow: Up 256">
          <a:extLst>
            <a:ext uri="{FF2B5EF4-FFF2-40B4-BE49-F238E27FC236}">
              <a16:creationId xmlns:a16="http://schemas.microsoft.com/office/drawing/2014/main" id="{6D9CD449-C87F-47A6-8744-80D6FF9D6016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61" name="Arrow: Up 241">
          <a:extLst>
            <a:ext uri="{FF2B5EF4-FFF2-40B4-BE49-F238E27FC236}">
              <a16:creationId xmlns:a16="http://schemas.microsoft.com/office/drawing/2014/main" id="{890B96A2-E1A9-4A56-9DC9-4F0FDCD5E3C6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62" name="Arrow: Up 256">
          <a:extLst>
            <a:ext uri="{FF2B5EF4-FFF2-40B4-BE49-F238E27FC236}">
              <a16:creationId xmlns:a16="http://schemas.microsoft.com/office/drawing/2014/main" id="{2E05082D-CEBA-4F20-A0C6-C1A6C15F5669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63" name="Arrow: Up 241">
          <a:extLst>
            <a:ext uri="{FF2B5EF4-FFF2-40B4-BE49-F238E27FC236}">
              <a16:creationId xmlns:a16="http://schemas.microsoft.com/office/drawing/2014/main" id="{ACD55686-29E7-4D87-A31F-BA0F1AF15CC4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64" name="Arrow: Up 241">
          <a:extLst>
            <a:ext uri="{FF2B5EF4-FFF2-40B4-BE49-F238E27FC236}">
              <a16:creationId xmlns:a16="http://schemas.microsoft.com/office/drawing/2014/main" id="{8C6E0F6C-0D5A-42CA-848D-7CE436A3F768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65" name="Arrow: Up 256">
          <a:extLst>
            <a:ext uri="{FF2B5EF4-FFF2-40B4-BE49-F238E27FC236}">
              <a16:creationId xmlns:a16="http://schemas.microsoft.com/office/drawing/2014/main" id="{FC043122-1636-422C-A0B8-644854027F93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66" name="Arrow: Up 256">
          <a:extLst>
            <a:ext uri="{FF2B5EF4-FFF2-40B4-BE49-F238E27FC236}">
              <a16:creationId xmlns:a16="http://schemas.microsoft.com/office/drawing/2014/main" id="{D10B3C2A-1678-4D04-B02A-CDB66CF528E1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67" name="Arrow: Up 256">
          <a:extLst>
            <a:ext uri="{FF2B5EF4-FFF2-40B4-BE49-F238E27FC236}">
              <a16:creationId xmlns:a16="http://schemas.microsoft.com/office/drawing/2014/main" id="{9B9F12FC-A6AD-4209-954A-29E3E7DDA1EB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68" name="Arrow: Up 243">
          <a:extLst>
            <a:ext uri="{FF2B5EF4-FFF2-40B4-BE49-F238E27FC236}">
              <a16:creationId xmlns:a16="http://schemas.microsoft.com/office/drawing/2014/main" id="{2F3E51CA-B61A-437B-B267-1F64AEC16854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69" name="Arrow: Up 256">
          <a:extLst>
            <a:ext uri="{FF2B5EF4-FFF2-40B4-BE49-F238E27FC236}">
              <a16:creationId xmlns:a16="http://schemas.microsoft.com/office/drawing/2014/main" id="{BAC9902F-B16D-4B4A-93E2-54E3015AB9CD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70" name="Arrow: Up 243">
          <a:extLst>
            <a:ext uri="{FF2B5EF4-FFF2-40B4-BE49-F238E27FC236}">
              <a16:creationId xmlns:a16="http://schemas.microsoft.com/office/drawing/2014/main" id="{02D35FB5-47EF-4DDF-887C-8AE0B925385B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71" name="Arrow: Up-Down 285">
          <a:extLst>
            <a:ext uri="{FF2B5EF4-FFF2-40B4-BE49-F238E27FC236}">
              <a16:creationId xmlns:a16="http://schemas.microsoft.com/office/drawing/2014/main" id="{71764658-DB75-41C3-A2D5-FE6BDFCEAA11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72" name="Arrow: Up 256">
          <a:extLst>
            <a:ext uri="{FF2B5EF4-FFF2-40B4-BE49-F238E27FC236}">
              <a16:creationId xmlns:a16="http://schemas.microsoft.com/office/drawing/2014/main" id="{F1776C2C-B644-44F3-8498-46978ADACE78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73" name="Arrow: Up 244">
          <a:extLst>
            <a:ext uri="{FF2B5EF4-FFF2-40B4-BE49-F238E27FC236}">
              <a16:creationId xmlns:a16="http://schemas.microsoft.com/office/drawing/2014/main" id="{192F03BD-E51E-4660-9F37-F1B1002C5AF1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74" name="Arrow: Up 256">
          <a:extLst>
            <a:ext uri="{FF2B5EF4-FFF2-40B4-BE49-F238E27FC236}">
              <a16:creationId xmlns:a16="http://schemas.microsoft.com/office/drawing/2014/main" id="{FC7AC345-0C65-441D-9833-7DF3524A73D1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75" name="Arrow: Up 256">
          <a:extLst>
            <a:ext uri="{FF2B5EF4-FFF2-40B4-BE49-F238E27FC236}">
              <a16:creationId xmlns:a16="http://schemas.microsoft.com/office/drawing/2014/main" id="{8CDD2431-603B-4D87-904B-3FE1308D6B71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76" name="Arrow: Up 243">
          <a:extLst>
            <a:ext uri="{FF2B5EF4-FFF2-40B4-BE49-F238E27FC236}">
              <a16:creationId xmlns:a16="http://schemas.microsoft.com/office/drawing/2014/main" id="{D7E32DFC-4B15-4B99-AAAF-054C9C83EDAD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77" name="Arrow: Up 243">
          <a:extLst>
            <a:ext uri="{FF2B5EF4-FFF2-40B4-BE49-F238E27FC236}">
              <a16:creationId xmlns:a16="http://schemas.microsoft.com/office/drawing/2014/main" id="{A8BD9DFA-887D-4560-BBDD-AC408E9AA984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78" name="Arrow: Up 252">
          <a:extLst>
            <a:ext uri="{FF2B5EF4-FFF2-40B4-BE49-F238E27FC236}">
              <a16:creationId xmlns:a16="http://schemas.microsoft.com/office/drawing/2014/main" id="{9C6D3F01-6AC2-484D-BDAD-E05F75D89FCC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79" name="Arrow: Up 252">
          <a:extLst>
            <a:ext uri="{FF2B5EF4-FFF2-40B4-BE49-F238E27FC236}">
              <a16:creationId xmlns:a16="http://schemas.microsoft.com/office/drawing/2014/main" id="{ACE41633-CFE5-4FB0-AFD6-3D02DC4EFFA5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80" name="Arrow: Up-Down 285">
          <a:extLst>
            <a:ext uri="{FF2B5EF4-FFF2-40B4-BE49-F238E27FC236}">
              <a16:creationId xmlns:a16="http://schemas.microsoft.com/office/drawing/2014/main" id="{E7C3BD91-59BA-4DDC-8E59-BF96A85047EB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81" name="Arrow: Up-Down 285">
          <a:extLst>
            <a:ext uri="{FF2B5EF4-FFF2-40B4-BE49-F238E27FC236}">
              <a16:creationId xmlns:a16="http://schemas.microsoft.com/office/drawing/2014/main" id="{E8BE013A-8F10-4472-AB30-4D6BE8DB09D6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82" name="Arrow: Up 251">
          <a:extLst>
            <a:ext uri="{FF2B5EF4-FFF2-40B4-BE49-F238E27FC236}">
              <a16:creationId xmlns:a16="http://schemas.microsoft.com/office/drawing/2014/main" id="{6F6D7C4C-1FED-4A59-AB68-DFFFFABD4766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83" name="Arrow: Up 247">
          <a:extLst>
            <a:ext uri="{FF2B5EF4-FFF2-40B4-BE49-F238E27FC236}">
              <a16:creationId xmlns:a16="http://schemas.microsoft.com/office/drawing/2014/main" id="{8771C4EF-4B7F-47C4-9518-D1FB47C1880A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84" name="Arrow: Up 247">
          <a:extLst>
            <a:ext uri="{FF2B5EF4-FFF2-40B4-BE49-F238E27FC236}">
              <a16:creationId xmlns:a16="http://schemas.microsoft.com/office/drawing/2014/main" id="{22C79A10-B63F-433C-AA8B-AB51D8868370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85" name="Arrow: Up 251">
          <a:extLst>
            <a:ext uri="{FF2B5EF4-FFF2-40B4-BE49-F238E27FC236}">
              <a16:creationId xmlns:a16="http://schemas.microsoft.com/office/drawing/2014/main" id="{1FE8BF11-231F-477F-9722-C9D44721527A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86" name="Arrow: Up 251">
          <a:extLst>
            <a:ext uri="{FF2B5EF4-FFF2-40B4-BE49-F238E27FC236}">
              <a16:creationId xmlns:a16="http://schemas.microsoft.com/office/drawing/2014/main" id="{2905A366-3A66-4C19-94B7-5E591A718F1D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87" name="Arrow: Up 251">
          <a:extLst>
            <a:ext uri="{FF2B5EF4-FFF2-40B4-BE49-F238E27FC236}">
              <a16:creationId xmlns:a16="http://schemas.microsoft.com/office/drawing/2014/main" id="{65373E10-116D-4DDE-B52E-3404A030C612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88" name="Arrow: Up 251">
          <a:extLst>
            <a:ext uri="{FF2B5EF4-FFF2-40B4-BE49-F238E27FC236}">
              <a16:creationId xmlns:a16="http://schemas.microsoft.com/office/drawing/2014/main" id="{2E940311-C338-4A01-A87D-A408BC098EB5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89" name="Arrow: Up 255">
          <a:extLst>
            <a:ext uri="{FF2B5EF4-FFF2-40B4-BE49-F238E27FC236}">
              <a16:creationId xmlns:a16="http://schemas.microsoft.com/office/drawing/2014/main" id="{FD39C4B8-358E-4BB5-9E09-704D7A19F53E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90" name="Arrow: Up 247">
          <a:extLst>
            <a:ext uri="{FF2B5EF4-FFF2-40B4-BE49-F238E27FC236}">
              <a16:creationId xmlns:a16="http://schemas.microsoft.com/office/drawing/2014/main" id="{4AB90E11-4891-4E2E-A802-6F12B560C91D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91" name="Arrow: Up-Down 285">
          <a:extLst>
            <a:ext uri="{FF2B5EF4-FFF2-40B4-BE49-F238E27FC236}">
              <a16:creationId xmlns:a16="http://schemas.microsoft.com/office/drawing/2014/main" id="{22B6F021-DD1F-4931-AA7E-A37A708A3BF0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92" name="Arrow: Up-Down 285">
          <a:extLst>
            <a:ext uri="{FF2B5EF4-FFF2-40B4-BE49-F238E27FC236}">
              <a16:creationId xmlns:a16="http://schemas.microsoft.com/office/drawing/2014/main" id="{42ACCA63-94DC-4F8A-B31B-0E4A87BDCDB4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93" name="Arrow: Up 257">
          <a:extLst>
            <a:ext uri="{FF2B5EF4-FFF2-40B4-BE49-F238E27FC236}">
              <a16:creationId xmlns:a16="http://schemas.microsoft.com/office/drawing/2014/main" id="{EF935BA3-A197-4360-B4F2-AEFDB9F86A3C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94" name="Arrow: Up-Down 285">
          <a:extLst>
            <a:ext uri="{FF2B5EF4-FFF2-40B4-BE49-F238E27FC236}">
              <a16:creationId xmlns:a16="http://schemas.microsoft.com/office/drawing/2014/main" id="{8161A94A-AE31-4F06-87EC-1EE06487E841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E00A2E59-E3DB-4624-8987-0BFDBBC333C5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96" name="Arrow: Up 268">
          <a:extLst>
            <a:ext uri="{FF2B5EF4-FFF2-40B4-BE49-F238E27FC236}">
              <a16:creationId xmlns:a16="http://schemas.microsoft.com/office/drawing/2014/main" id="{76C6F0D9-F822-4112-9F34-067515FCD8AD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97" name="Arrow: Up 269">
          <a:extLst>
            <a:ext uri="{FF2B5EF4-FFF2-40B4-BE49-F238E27FC236}">
              <a16:creationId xmlns:a16="http://schemas.microsoft.com/office/drawing/2014/main" id="{99F0E7AC-3829-4CBB-AAC2-862ED94C12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98" name="Arrow: Up 268">
          <a:extLst>
            <a:ext uri="{FF2B5EF4-FFF2-40B4-BE49-F238E27FC236}">
              <a16:creationId xmlns:a16="http://schemas.microsoft.com/office/drawing/2014/main" id="{E2BDEBD2-0BA1-4B3E-8E9E-5833E6BCE0D2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99" name="Arrow: Up 271">
          <a:extLst>
            <a:ext uri="{FF2B5EF4-FFF2-40B4-BE49-F238E27FC236}">
              <a16:creationId xmlns:a16="http://schemas.microsoft.com/office/drawing/2014/main" id="{F6386C9E-C146-488B-9B9C-304FABB2FCC4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600" name="Arrow: Up 265">
          <a:extLst>
            <a:ext uri="{FF2B5EF4-FFF2-40B4-BE49-F238E27FC236}">
              <a16:creationId xmlns:a16="http://schemas.microsoft.com/office/drawing/2014/main" id="{03688DA4-B89C-469F-8E91-71E851C96DD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601" name="Arrow: Up 265">
          <a:extLst>
            <a:ext uri="{FF2B5EF4-FFF2-40B4-BE49-F238E27FC236}">
              <a16:creationId xmlns:a16="http://schemas.microsoft.com/office/drawing/2014/main" id="{D3DC310F-E27F-4F91-8A53-70A8DEF358F8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602" name="Arrow: Up 265">
          <a:extLst>
            <a:ext uri="{FF2B5EF4-FFF2-40B4-BE49-F238E27FC236}">
              <a16:creationId xmlns:a16="http://schemas.microsoft.com/office/drawing/2014/main" id="{686C6DFC-AE2E-4513-BB8B-F6F98DD8ACE5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603" name="Arrow: Up 265">
          <a:extLst>
            <a:ext uri="{FF2B5EF4-FFF2-40B4-BE49-F238E27FC236}">
              <a16:creationId xmlns:a16="http://schemas.microsoft.com/office/drawing/2014/main" id="{D4872A33-F1EC-4740-94E9-F30A1674337C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604" name="Arrow: Up 265">
          <a:extLst>
            <a:ext uri="{FF2B5EF4-FFF2-40B4-BE49-F238E27FC236}">
              <a16:creationId xmlns:a16="http://schemas.microsoft.com/office/drawing/2014/main" id="{61EBAEC9-AE66-4191-91BC-5149F438583D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605" name="Arrow: Up 262">
          <a:extLst>
            <a:ext uri="{FF2B5EF4-FFF2-40B4-BE49-F238E27FC236}">
              <a16:creationId xmlns:a16="http://schemas.microsoft.com/office/drawing/2014/main" id="{263AB41A-8488-4737-B7E2-0338CA814887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606" name="Arrow: Up 265">
          <a:extLst>
            <a:ext uri="{FF2B5EF4-FFF2-40B4-BE49-F238E27FC236}">
              <a16:creationId xmlns:a16="http://schemas.microsoft.com/office/drawing/2014/main" id="{8DD717A7-36DC-4C1A-A644-22F7A228FE16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607" name="Arrow: Up 275">
          <a:extLst>
            <a:ext uri="{FF2B5EF4-FFF2-40B4-BE49-F238E27FC236}">
              <a16:creationId xmlns:a16="http://schemas.microsoft.com/office/drawing/2014/main" id="{D1893448-BA36-4BBA-B3B3-0039324E06F8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608" name="Arrow: Up 262">
          <a:extLst>
            <a:ext uri="{FF2B5EF4-FFF2-40B4-BE49-F238E27FC236}">
              <a16:creationId xmlns:a16="http://schemas.microsoft.com/office/drawing/2014/main" id="{C4285CA0-74A8-4023-88CE-67774485ACE5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609" name="Arrow: Up 262">
          <a:extLst>
            <a:ext uri="{FF2B5EF4-FFF2-40B4-BE49-F238E27FC236}">
              <a16:creationId xmlns:a16="http://schemas.microsoft.com/office/drawing/2014/main" id="{587C95E3-B6FA-48C4-A437-CB0ED94A36EA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610" name="Arrow: Up 275">
          <a:extLst>
            <a:ext uri="{FF2B5EF4-FFF2-40B4-BE49-F238E27FC236}">
              <a16:creationId xmlns:a16="http://schemas.microsoft.com/office/drawing/2014/main" id="{E7BD32D7-B944-460A-8BFE-4D6B160A5A26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611" name="Arrow: Up 275">
          <a:extLst>
            <a:ext uri="{FF2B5EF4-FFF2-40B4-BE49-F238E27FC236}">
              <a16:creationId xmlns:a16="http://schemas.microsoft.com/office/drawing/2014/main" id="{9D7A5731-D1A0-4F09-A9F0-B84547AEE5C6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612" name="Arrow: Up 275">
          <a:extLst>
            <a:ext uri="{FF2B5EF4-FFF2-40B4-BE49-F238E27FC236}">
              <a16:creationId xmlns:a16="http://schemas.microsoft.com/office/drawing/2014/main" id="{373EC236-3C25-4461-969D-C7FCED54EBCC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613" name="Arrow: Up 275">
          <a:extLst>
            <a:ext uri="{FF2B5EF4-FFF2-40B4-BE49-F238E27FC236}">
              <a16:creationId xmlns:a16="http://schemas.microsoft.com/office/drawing/2014/main" id="{A35A64ED-204E-43B1-84B9-7907A03F2DEE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614" name="Arrow: Up 275">
          <a:extLst>
            <a:ext uri="{FF2B5EF4-FFF2-40B4-BE49-F238E27FC236}">
              <a16:creationId xmlns:a16="http://schemas.microsoft.com/office/drawing/2014/main" id="{75C85A87-788F-4E5D-82BA-654E052AACCB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615" name="Arrow: Up 279">
          <a:extLst>
            <a:ext uri="{FF2B5EF4-FFF2-40B4-BE49-F238E27FC236}">
              <a16:creationId xmlns:a16="http://schemas.microsoft.com/office/drawing/2014/main" id="{E66EC2B2-C054-476A-BA84-076A618531EE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616" name="Arrow: Up 275">
          <a:extLst>
            <a:ext uri="{FF2B5EF4-FFF2-40B4-BE49-F238E27FC236}">
              <a16:creationId xmlns:a16="http://schemas.microsoft.com/office/drawing/2014/main" id="{98E45CF6-FF90-40AB-AA22-35BDACBFE19C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617" name="Arrow: Up 279">
          <a:extLst>
            <a:ext uri="{FF2B5EF4-FFF2-40B4-BE49-F238E27FC236}">
              <a16:creationId xmlns:a16="http://schemas.microsoft.com/office/drawing/2014/main" id="{77FAA76A-FD24-4BA9-B76F-97908FCA4179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618" name="Arrow: Up 275">
          <a:extLst>
            <a:ext uri="{FF2B5EF4-FFF2-40B4-BE49-F238E27FC236}">
              <a16:creationId xmlns:a16="http://schemas.microsoft.com/office/drawing/2014/main" id="{79EB99FA-4188-4446-B485-3D4471600343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619" name="Arrow: Up 281">
          <a:extLst>
            <a:ext uri="{FF2B5EF4-FFF2-40B4-BE49-F238E27FC236}">
              <a16:creationId xmlns:a16="http://schemas.microsoft.com/office/drawing/2014/main" id="{996B162E-F69F-402F-A8B5-CAEF8D9C211B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620" name="Arrow: Up 284">
          <a:extLst>
            <a:ext uri="{FF2B5EF4-FFF2-40B4-BE49-F238E27FC236}">
              <a16:creationId xmlns:a16="http://schemas.microsoft.com/office/drawing/2014/main" id="{66722470-F829-468B-A5F2-C10CEF9E9B39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621" name="Arrow: Up 281">
          <a:extLst>
            <a:ext uri="{FF2B5EF4-FFF2-40B4-BE49-F238E27FC236}">
              <a16:creationId xmlns:a16="http://schemas.microsoft.com/office/drawing/2014/main" id="{10E7DA8B-1DC7-4DF3-AB09-EEE191AA0BE3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622" name="Arrow: Up 286">
          <a:extLst>
            <a:ext uri="{FF2B5EF4-FFF2-40B4-BE49-F238E27FC236}">
              <a16:creationId xmlns:a16="http://schemas.microsoft.com/office/drawing/2014/main" id="{28C02FC7-31A1-44D9-950F-C9F995A5EDDD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623" name="Arrow: Up 275">
          <a:extLst>
            <a:ext uri="{FF2B5EF4-FFF2-40B4-BE49-F238E27FC236}">
              <a16:creationId xmlns:a16="http://schemas.microsoft.com/office/drawing/2014/main" id="{73B03A5D-DEF6-4AE0-9DE2-7FDEB35D5D5D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624" name="Arrow: Up 289">
          <a:extLst>
            <a:ext uri="{FF2B5EF4-FFF2-40B4-BE49-F238E27FC236}">
              <a16:creationId xmlns:a16="http://schemas.microsoft.com/office/drawing/2014/main" id="{B98B8C21-86AB-4E97-B49E-B7046105C05A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625" name="Arrow: Up 275">
          <a:extLst>
            <a:ext uri="{FF2B5EF4-FFF2-40B4-BE49-F238E27FC236}">
              <a16:creationId xmlns:a16="http://schemas.microsoft.com/office/drawing/2014/main" id="{6F476DBF-D422-4AE1-B79F-DF28EAF83B9D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626" name="Arrow: Up 289">
          <a:extLst>
            <a:ext uri="{FF2B5EF4-FFF2-40B4-BE49-F238E27FC236}">
              <a16:creationId xmlns:a16="http://schemas.microsoft.com/office/drawing/2014/main" id="{632DD642-6F96-42AA-AC08-237607D239C0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BDE1FC68-DC57-4E4A-B7A5-501D13A7564F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628" name="Arrow: Up 291">
          <a:extLst>
            <a:ext uri="{FF2B5EF4-FFF2-40B4-BE49-F238E27FC236}">
              <a16:creationId xmlns:a16="http://schemas.microsoft.com/office/drawing/2014/main" id="{31C68B3F-210C-4D60-B85A-F6371A85FABA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629" name="Arrow: Up 310">
          <a:extLst>
            <a:ext uri="{FF2B5EF4-FFF2-40B4-BE49-F238E27FC236}">
              <a16:creationId xmlns:a16="http://schemas.microsoft.com/office/drawing/2014/main" id="{E948A937-6218-4855-B419-E9D7C2B45EF5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A58124A8-DBB5-4BA4-B923-DFD4D26982D4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A9B38619-8AD7-4437-A629-6E4F49F43B56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E742F7A0-6051-4632-8399-C1226371FC1A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633" name="Arrow: Up 313">
          <a:extLst>
            <a:ext uri="{FF2B5EF4-FFF2-40B4-BE49-F238E27FC236}">
              <a16:creationId xmlns:a16="http://schemas.microsoft.com/office/drawing/2014/main" id="{659D8448-1101-4181-92DA-B4DA7C430A29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634" name="Arrow: Up 313">
          <a:extLst>
            <a:ext uri="{FF2B5EF4-FFF2-40B4-BE49-F238E27FC236}">
              <a16:creationId xmlns:a16="http://schemas.microsoft.com/office/drawing/2014/main" id="{4E4E1D63-2569-4C95-87B4-9188224D6D0A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635" name="Arrow: Up-Down 285">
          <a:extLst>
            <a:ext uri="{FF2B5EF4-FFF2-40B4-BE49-F238E27FC236}">
              <a16:creationId xmlns:a16="http://schemas.microsoft.com/office/drawing/2014/main" id="{AFFFD31B-30DF-4FEB-8345-63B0670A2ADA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3FD170CB-2AB2-4348-AC49-B3AFC7629AAF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637" name="Arrow: Up 296">
          <a:extLst>
            <a:ext uri="{FF2B5EF4-FFF2-40B4-BE49-F238E27FC236}">
              <a16:creationId xmlns:a16="http://schemas.microsoft.com/office/drawing/2014/main" id="{342398FD-A685-4FD4-8626-8355AB5A8832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638" name="Arrow: Up 296">
          <a:extLst>
            <a:ext uri="{FF2B5EF4-FFF2-40B4-BE49-F238E27FC236}">
              <a16:creationId xmlns:a16="http://schemas.microsoft.com/office/drawing/2014/main" id="{6B7497AA-1D51-411D-991C-43FB15C50344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639" name="Arrow: Up 313">
          <a:extLst>
            <a:ext uri="{FF2B5EF4-FFF2-40B4-BE49-F238E27FC236}">
              <a16:creationId xmlns:a16="http://schemas.microsoft.com/office/drawing/2014/main" id="{DDA5CD22-2E55-4882-8532-83A9CE1DD8F5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40" name="Arrow: Up 296">
          <a:extLst>
            <a:ext uri="{FF2B5EF4-FFF2-40B4-BE49-F238E27FC236}">
              <a16:creationId xmlns:a16="http://schemas.microsoft.com/office/drawing/2014/main" id="{D2185A9F-AD11-4A46-A852-B02FC3B8CC0F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1C8642DE-2AC4-47B6-AC5B-2BAFF3AA9867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42" name="Arrow: Up 296">
          <a:extLst>
            <a:ext uri="{FF2B5EF4-FFF2-40B4-BE49-F238E27FC236}">
              <a16:creationId xmlns:a16="http://schemas.microsoft.com/office/drawing/2014/main" id="{93A9B1EC-C2EF-4671-8E40-95BD829AB04C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A5CF76D6-4FDF-4260-BDE2-1183D7379708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44" name="Arrow: Up-Down 285">
          <a:extLst>
            <a:ext uri="{FF2B5EF4-FFF2-40B4-BE49-F238E27FC236}">
              <a16:creationId xmlns:a16="http://schemas.microsoft.com/office/drawing/2014/main" id="{3241B0B9-8442-4C77-B280-6B11B758EED2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73A7016A-5B06-4D80-BB30-64C0A019386F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46" name="Arrow: Up 296">
          <a:extLst>
            <a:ext uri="{FF2B5EF4-FFF2-40B4-BE49-F238E27FC236}">
              <a16:creationId xmlns:a16="http://schemas.microsoft.com/office/drawing/2014/main" id="{29DD17AE-3211-4D93-A07A-95A93C483867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2DE13656-B5B7-4DF7-8F89-A83B5A997C78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7AD6EBF-7D43-450A-9AB7-E2670CC2A8B1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49" name="Arrow: Up 296">
          <a:extLst>
            <a:ext uri="{FF2B5EF4-FFF2-40B4-BE49-F238E27FC236}">
              <a16:creationId xmlns:a16="http://schemas.microsoft.com/office/drawing/2014/main" id="{8349D38E-CE89-4595-A091-6A07FD79A323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5A5566D-7EB7-405B-A977-C61ED5EFACE8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51" name="Arrow: Up 296">
          <a:extLst>
            <a:ext uri="{FF2B5EF4-FFF2-40B4-BE49-F238E27FC236}">
              <a16:creationId xmlns:a16="http://schemas.microsoft.com/office/drawing/2014/main" id="{365B2242-949A-4D34-9939-4EF521A9161F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609EA25B-B57A-406B-A161-5E0C7D4F1963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F0D7A46F-3D9A-40AF-B815-34EEE0BBC65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54" name="Arrow: Up 296">
          <a:extLst>
            <a:ext uri="{FF2B5EF4-FFF2-40B4-BE49-F238E27FC236}">
              <a16:creationId xmlns:a16="http://schemas.microsoft.com/office/drawing/2014/main" id="{34BAFA83-1971-4B2F-8F64-0C418047FC2E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12E54602-CD9F-46F3-9A09-1DB5EDE4FAAF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45DEF646-6B3F-4AFD-8466-AC868FBDF83A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6B4B9F26-A85F-40ED-86C7-1EF83520A018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F400FFDF-8A77-4A4A-AB84-49031E014E5B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59" name="Arrow: Up 805">
          <a:extLst>
            <a:ext uri="{FF2B5EF4-FFF2-40B4-BE49-F238E27FC236}">
              <a16:creationId xmlns:a16="http://schemas.microsoft.com/office/drawing/2014/main" id="{DF279934-A165-4C0D-9DD5-3107357B5131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60" name="Arrow: Up 805">
          <a:extLst>
            <a:ext uri="{FF2B5EF4-FFF2-40B4-BE49-F238E27FC236}">
              <a16:creationId xmlns:a16="http://schemas.microsoft.com/office/drawing/2014/main" id="{33C4EE4F-2F4E-4281-910E-1B95E3C649A5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D6BCED0D-361A-4AF8-865C-6987D5ED8ADB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8FBD0522-6157-4DC4-ACE9-ED80CEA3BC86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63" name="Arrow: Up 805">
          <a:extLst>
            <a:ext uri="{FF2B5EF4-FFF2-40B4-BE49-F238E27FC236}">
              <a16:creationId xmlns:a16="http://schemas.microsoft.com/office/drawing/2014/main" id="{D706F173-6E7F-4B30-B03B-B1F54E0AD65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64" name="Arrow: Up 296">
          <a:extLst>
            <a:ext uri="{FF2B5EF4-FFF2-40B4-BE49-F238E27FC236}">
              <a16:creationId xmlns:a16="http://schemas.microsoft.com/office/drawing/2014/main" id="{0B8593C6-1FC0-47D5-A377-C47122ACE375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65" name="Arrow: Up 805">
          <a:extLst>
            <a:ext uri="{FF2B5EF4-FFF2-40B4-BE49-F238E27FC236}">
              <a16:creationId xmlns:a16="http://schemas.microsoft.com/office/drawing/2014/main" id="{3047976D-D1DC-4492-9A1E-5727B80A6EE6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66" name="Arrow: Up 296">
          <a:extLst>
            <a:ext uri="{FF2B5EF4-FFF2-40B4-BE49-F238E27FC236}">
              <a16:creationId xmlns:a16="http://schemas.microsoft.com/office/drawing/2014/main" id="{68D0501B-0293-4CB4-AF20-C8A48552A3E8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67" name="Arrow: Up 296">
          <a:extLst>
            <a:ext uri="{FF2B5EF4-FFF2-40B4-BE49-F238E27FC236}">
              <a16:creationId xmlns:a16="http://schemas.microsoft.com/office/drawing/2014/main" id="{E20E630D-180A-4418-93BC-1732B76E56D0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68" name="Arrow: Up 296">
          <a:extLst>
            <a:ext uri="{FF2B5EF4-FFF2-40B4-BE49-F238E27FC236}">
              <a16:creationId xmlns:a16="http://schemas.microsoft.com/office/drawing/2014/main" id="{37B660D6-737D-4ED6-A518-1E199B951025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69" name="Arrow: Up 296">
          <a:extLst>
            <a:ext uri="{FF2B5EF4-FFF2-40B4-BE49-F238E27FC236}">
              <a16:creationId xmlns:a16="http://schemas.microsoft.com/office/drawing/2014/main" id="{D6A7576B-217F-4518-A640-CAEE2C175657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70" name="Arrow: Up 296">
          <a:extLst>
            <a:ext uri="{FF2B5EF4-FFF2-40B4-BE49-F238E27FC236}">
              <a16:creationId xmlns:a16="http://schemas.microsoft.com/office/drawing/2014/main" id="{D53E36EA-2E87-4D1B-A0DA-204C6664DD17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71" name="Arrow: Up 296">
          <a:extLst>
            <a:ext uri="{FF2B5EF4-FFF2-40B4-BE49-F238E27FC236}">
              <a16:creationId xmlns:a16="http://schemas.microsoft.com/office/drawing/2014/main" id="{1D7687F0-B21A-47CE-9D83-E24F842650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72" name="Arrow: Up 296">
          <a:extLst>
            <a:ext uri="{FF2B5EF4-FFF2-40B4-BE49-F238E27FC236}">
              <a16:creationId xmlns:a16="http://schemas.microsoft.com/office/drawing/2014/main" id="{FCE60BE8-4088-4ED3-B55C-9159AD4346AE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73" name="Arrow: Up 296">
          <a:extLst>
            <a:ext uri="{FF2B5EF4-FFF2-40B4-BE49-F238E27FC236}">
              <a16:creationId xmlns:a16="http://schemas.microsoft.com/office/drawing/2014/main" id="{769C6823-3123-4611-A519-8739E91650B6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74" name="Arrow: Up-Down 285">
          <a:extLst>
            <a:ext uri="{FF2B5EF4-FFF2-40B4-BE49-F238E27FC236}">
              <a16:creationId xmlns:a16="http://schemas.microsoft.com/office/drawing/2014/main" id="{816F9AE8-5FAE-49F3-905C-40F6B326978A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75" name="Arrow: Up 913">
          <a:extLst>
            <a:ext uri="{FF2B5EF4-FFF2-40B4-BE49-F238E27FC236}">
              <a16:creationId xmlns:a16="http://schemas.microsoft.com/office/drawing/2014/main" id="{9B59EDA0-BAA1-456F-B190-2D14A57F7BF4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76" name="Arrow: Up 296">
          <a:extLst>
            <a:ext uri="{FF2B5EF4-FFF2-40B4-BE49-F238E27FC236}">
              <a16:creationId xmlns:a16="http://schemas.microsoft.com/office/drawing/2014/main" id="{384E3239-FFBB-41CB-B8DB-39DA87DDAF41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77" name="Arrow: Up-Down 285">
          <a:extLst>
            <a:ext uri="{FF2B5EF4-FFF2-40B4-BE49-F238E27FC236}">
              <a16:creationId xmlns:a16="http://schemas.microsoft.com/office/drawing/2014/main" id="{E39688B6-2A1E-4BF0-A2E8-5FCBD2ED1677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78" name="Arrow: Up 913">
          <a:extLst>
            <a:ext uri="{FF2B5EF4-FFF2-40B4-BE49-F238E27FC236}">
              <a16:creationId xmlns:a16="http://schemas.microsoft.com/office/drawing/2014/main" id="{B5FB61C7-EC6F-48DC-8A24-2ED155082C68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79" name="Arrow: Up-Down 285">
          <a:extLst>
            <a:ext uri="{FF2B5EF4-FFF2-40B4-BE49-F238E27FC236}">
              <a16:creationId xmlns:a16="http://schemas.microsoft.com/office/drawing/2014/main" id="{8B646632-9FB3-4204-8286-015EB76CBB14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80" name="Arrow: Up-Down 285">
          <a:extLst>
            <a:ext uri="{FF2B5EF4-FFF2-40B4-BE49-F238E27FC236}">
              <a16:creationId xmlns:a16="http://schemas.microsoft.com/office/drawing/2014/main" id="{D97E3D2A-8F7F-4F89-B38E-47694EA0BB83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81" name="Arrow: Up 296">
          <a:extLst>
            <a:ext uri="{FF2B5EF4-FFF2-40B4-BE49-F238E27FC236}">
              <a16:creationId xmlns:a16="http://schemas.microsoft.com/office/drawing/2014/main" id="{3D90D317-7109-4B5F-8C4C-48E3C2EA4F11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82" name="Arrow: Up-Down 285">
          <a:extLst>
            <a:ext uri="{FF2B5EF4-FFF2-40B4-BE49-F238E27FC236}">
              <a16:creationId xmlns:a16="http://schemas.microsoft.com/office/drawing/2014/main" id="{748EB4E8-FEF7-4625-BFA1-6E6EBA0F2F5A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83" name="Arrow: Up 296">
          <a:extLst>
            <a:ext uri="{FF2B5EF4-FFF2-40B4-BE49-F238E27FC236}">
              <a16:creationId xmlns:a16="http://schemas.microsoft.com/office/drawing/2014/main" id="{E21E11FE-4273-4857-A826-523EF1B4DDFB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84" name="Arrow: Up 913">
          <a:extLst>
            <a:ext uri="{FF2B5EF4-FFF2-40B4-BE49-F238E27FC236}">
              <a16:creationId xmlns:a16="http://schemas.microsoft.com/office/drawing/2014/main" id="{4756DD67-C749-4341-9FA1-8A2541854405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85" name="Arrow: Up 296">
          <a:extLst>
            <a:ext uri="{FF2B5EF4-FFF2-40B4-BE49-F238E27FC236}">
              <a16:creationId xmlns:a16="http://schemas.microsoft.com/office/drawing/2014/main" id="{5D1BF92B-EED4-4BDB-9CDC-18198B74A040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86" name="Arrow: Up-Down 285">
          <a:extLst>
            <a:ext uri="{FF2B5EF4-FFF2-40B4-BE49-F238E27FC236}">
              <a16:creationId xmlns:a16="http://schemas.microsoft.com/office/drawing/2014/main" id="{A40D1CF0-CB5C-4563-A606-B2107831CC15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87" name="Arrow: Up 296">
          <a:extLst>
            <a:ext uri="{FF2B5EF4-FFF2-40B4-BE49-F238E27FC236}">
              <a16:creationId xmlns:a16="http://schemas.microsoft.com/office/drawing/2014/main" id="{C5788ABF-C29E-4860-8D6C-1A71495C09A9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88" name="Arrow: Up 296">
          <a:extLst>
            <a:ext uri="{FF2B5EF4-FFF2-40B4-BE49-F238E27FC236}">
              <a16:creationId xmlns:a16="http://schemas.microsoft.com/office/drawing/2014/main" id="{296CF431-4B10-498B-84BA-76EA23DE727F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89" name="Arrow: Up 913">
          <a:extLst>
            <a:ext uri="{FF2B5EF4-FFF2-40B4-BE49-F238E27FC236}">
              <a16:creationId xmlns:a16="http://schemas.microsoft.com/office/drawing/2014/main" id="{2793EC42-7F9B-4DBC-9029-14CCD772FB29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90" name="Arrow: Up 296">
          <a:extLst>
            <a:ext uri="{FF2B5EF4-FFF2-40B4-BE49-F238E27FC236}">
              <a16:creationId xmlns:a16="http://schemas.microsoft.com/office/drawing/2014/main" id="{16E8661F-ABF5-4E36-9546-AA762A1AA643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91" name="Arrow: Up 913">
          <a:extLst>
            <a:ext uri="{FF2B5EF4-FFF2-40B4-BE49-F238E27FC236}">
              <a16:creationId xmlns:a16="http://schemas.microsoft.com/office/drawing/2014/main" id="{0C2D47D4-BF21-4881-B44B-C2DCE8D122AB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92" name="Arrow: Up 296">
          <a:extLst>
            <a:ext uri="{FF2B5EF4-FFF2-40B4-BE49-F238E27FC236}">
              <a16:creationId xmlns:a16="http://schemas.microsoft.com/office/drawing/2014/main" id="{C1026BF3-317D-4250-BCE4-D9C75BCC50F2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93" name="Arrow: Up 296">
          <a:extLst>
            <a:ext uri="{FF2B5EF4-FFF2-40B4-BE49-F238E27FC236}">
              <a16:creationId xmlns:a16="http://schemas.microsoft.com/office/drawing/2014/main" id="{C6C78051-94C9-489D-AE74-8557802FAF83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94" name="Arrow: Up 1075">
          <a:extLst>
            <a:ext uri="{FF2B5EF4-FFF2-40B4-BE49-F238E27FC236}">
              <a16:creationId xmlns:a16="http://schemas.microsoft.com/office/drawing/2014/main" id="{0B4F67D9-F0E2-4849-A7AE-6845AD3B0F4F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95" name="Arrow: Up 296">
          <a:extLst>
            <a:ext uri="{FF2B5EF4-FFF2-40B4-BE49-F238E27FC236}">
              <a16:creationId xmlns:a16="http://schemas.microsoft.com/office/drawing/2014/main" id="{03431550-B7F4-41EC-952F-85C22460751C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96" name="Arrow: Up 296">
          <a:extLst>
            <a:ext uri="{FF2B5EF4-FFF2-40B4-BE49-F238E27FC236}">
              <a16:creationId xmlns:a16="http://schemas.microsoft.com/office/drawing/2014/main" id="{48BF268B-C970-4E4B-8301-3B63D6ED9E35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97" name="Arrow: Up 296">
          <a:extLst>
            <a:ext uri="{FF2B5EF4-FFF2-40B4-BE49-F238E27FC236}">
              <a16:creationId xmlns:a16="http://schemas.microsoft.com/office/drawing/2014/main" id="{A94C844B-3BEE-4997-AE9B-3204C2ED30FF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98" name="Arrow: Up 296">
          <a:extLst>
            <a:ext uri="{FF2B5EF4-FFF2-40B4-BE49-F238E27FC236}">
              <a16:creationId xmlns:a16="http://schemas.microsoft.com/office/drawing/2014/main" id="{7DB6A53A-B487-42EC-850B-DE221CB7B418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99" name="Arrow: Up 296">
          <a:extLst>
            <a:ext uri="{FF2B5EF4-FFF2-40B4-BE49-F238E27FC236}">
              <a16:creationId xmlns:a16="http://schemas.microsoft.com/office/drawing/2014/main" id="{66F1C3AB-BE10-4767-87E8-4551CB3FAE50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700" name="Arrow: Up 296">
          <a:extLst>
            <a:ext uri="{FF2B5EF4-FFF2-40B4-BE49-F238E27FC236}">
              <a16:creationId xmlns:a16="http://schemas.microsoft.com/office/drawing/2014/main" id="{87502167-FF24-408C-B03D-7730A9ED18FC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701" name="Arrow: Up 296">
          <a:extLst>
            <a:ext uri="{FF2B5EF4-FFF2-40B4-BE49-F238E27FC236}">
              <a16:creationId xmlns:a16="http://schemas.microsoft.com/office/drawing/2014/main" id="{0CA6C036-B11B-448A-B6F5-5CAD49404B02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702" name="Arrow: Up 296">
          <a:extLst>
            <a:ext uri="{FF2B5EF4-FFF2-40B4-BE49-F238E27FC236}">
              <a16:creationId xmlns:a16="http://schemas.microsoft.com/office/drawing/2014/main" id="{02585FFC-9B11-4B7D-85D8-DE60BEA694CA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703" name="Arrow: Up 281">
          <a:extLst>
            <a:ext uri="{FF2B5EF4-FFF2-40B4-BE49-F238E27FC236}">
              <a16:creationId xmlns:a16="http://schemas.microsoft.com/office/drawing/2014/main" id="{8D490DA4-8DD0-4DDB-8531-B7F9B9B01DF8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704" name="Lightning Bolt 703">
          <a:extLst>
            <a:ext uri="{FF2B5EF4-FFF2-40B4-BE49-F238E27FC236}">
              <a16:creationId xmlns:a16="http://schemas.microsoft.com/office/drawing/2014/main" id="{53C0A64E-5CAD-4E8A-994C-BE1A01A99BE3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705" name="Lightning Bolt 704">
          <a:extLst>
            <a:ext uri="{FF2B5EF4-FFF2-40B4-BE49-F238E27FC236}">
              <a16:creationId xmlns:a16="http://schemas.microsoft.com/office/drawing/2014/main" id="{DDAFF919-FC79-4FA6-9F2E-53B1D521B408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706" name="Lightning Bolt 705">
          <a:extLst>
            <a:ext uri="{FF2B5EF4-FFF2-40B4-BE49-F238E27FC236}">
              <a16:creationId xmlns:a16="http://schemas.microsoft.com/office/drawing/2014/main" id="{EB0CCE42-302E-4E47-B1FF-CCB2681278BE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707" name="Lightning Bolt 706">
          <a:extLst>
            <a:ext uri="{FF2B5EF4-FFF2-40B4-BE49-F238E27FC236}">
              <a16:creationId xmlns:a16="http://schemas.microsoft.com/office/drawing/2014/main" id="{346E73AE-1FC6-4470-ABDA-365C384DC244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708" name="Lightning Bolt 707">
          <a:extLst>
            <a:ext uri="{FF2B5EF4-FFF2-40B4-BE49-F238E27FC236}">
              <a16:creationId xmlns:a16="http://schemas.microsoft.com/office/drawing/2014/main" id="{6AB3AAB5-253B-4700-99BC-2F60D67AD83A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709" name="Lightning Bolt 708">
          <a:extLst>
            <a:ext uri="{FF2B5EF4-FFF2-40B4-BE49-F238E27FC236}">
              <a16:creationId xmlns:a16="http://schemas.microsoft.com/office/drawing/2014/main" id="{E759F9B6-0F3C-46B9-ACAE-230ED070D3DF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710" name="Picture 70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662E77D2-FBEF-4FBD-AB50-39730AA19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711" name="Picture 71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FE26210-BE4F-4394-B95A-5BCB89B6C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712" name="Picture 7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3CAA431-10CD-47E9-B9C0-A472A6476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713" name="Picture 95405" descr="LADDER">
          <a:extLst>
            <a:ext uri="{FF2B5EF4-FFF2-40B4-BE49-F238E27FC236}">
              <a16:creationId xmlns:a16="http://schemas.microsoft.com/office/drawing/2014/main" id="{61DE3FDB-6832-4BC0-B70F-05C7F54B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D72C2F28-C3A0-4B7F-95EC-2FC121F4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1AF60AA2-B879-42EC-AF86-0ECF444D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1D4ACFBA-113E-465C-AE7A-BF9E1610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8260CE5-B8BE-4B2D-9F58-3FC00A6E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5DC05172-8DB5-47AC-A572-BBBD9E635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E42F8FDF-AF62-4AA0-A63A-F9B57AE2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E32760D-0D0F-4DE0-9CDB-86DBD474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BAA9A17C-6854-4AA8-BA03-D7CC229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F87DF210-46BA-41BE-9116-ED24FB1B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F13FAFE3-997F-4E72-9A3A-FD64CF30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642453E9-A991-487C-98FF-9271E612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D9B27402-0ED4-4D87-A814-6CB74455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B04024E3-4048-4B16-B651-5BC13653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57EFAE52-54C8-4288-B977-B312EAF02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CF8DC15F-38B3-4A0C-9DEE-16FD045F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B022D51A-2D5C-4E64-B3D7-A6788EB7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7EF773F9-6EEF-49BA-B9BF-D8FFD322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932419B9-1144-43B3-9C69-B126FA065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84E4E3B1-7A5A-4ED4-9560-ADF01246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77F6B444-9387-41B4-8287-6C718062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1F7CE902-6AD4-4611-ACFB-3D4A9DAE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BA6026A5-41B4-4605-83E1-C8192A79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7E93F29F-2144-4331-B392-7C1D598F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CC91D95D-226A-47E3-AE25-2BF35059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B444BB3C-265C-4FDB-9197-841BAAB6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6FBD97B5-F787-46A6-823E-D54E5FDC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107A6FE5-A29F-4F06-A633-FE6008F3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57A60D46-3ED8-41F0-AE7E-853FB030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3611BB62-34C1-4551-8B73-B03EEFF7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195D69B8-9F0F-4D3A-894B-FAEA773AF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5C10926C-3EF5-4D7F-829D-6AE5C647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273A112B-68E4-45DE-903A-557D43C63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B5D08784-43BB-45B9-91FA-C25A22AF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503B3DEE-67CF-4199-B528-9EDFE960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1A1B30E4-0844-4E3A-8CFF-60F6112E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68AE623C-7EFE-45B3-AEDB-4A642A2FC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1ECF7762-C6CF-4A28-A813-DB602798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31923DB8-A955-4AEF-8EF8-54810A83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904EE10-D294-48C4-A6F7-D2EE7E87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AFCC6D15-D503-4FAB-AD28-9F8F90A0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E400315A-12F6-440E-8CF8-59ED76D2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FC00AB10-DC71-451C-9F6B-7C87B801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90ACAC9F-5773-48BC-BEE7-4B83B8B0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80A2721C-59A1-4786-8309-86A49CF6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2B9F0B2A-0E7C-4594-B296-3E13E9DD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F9B1A0FD-0D9D-4802-9CFA-5E65ECF9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1D4F4425-504C-4126-A603-49BE11349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73D20110-2E62-4ED4-99DC-EF5B3AEB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9BE505C8-D2C0-4E60-BB80-F26BAC99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5D8D15DA-BAD1-45EF-B8C8-BB16EBD9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48190B91-E4C6-401A-8611-0F9BAA34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4B3E9636-F27B-4E68-983B-2569C87A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85775B36-59E2-45CA-926F-4000323EA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8BE9E52D-A4B2-45C6-8E9B-252A85C7E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67C3C9CE-C87E-4220-AD6A-696CD4F8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F6648704-5FE7-41E3-BFA2-35AAD314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A3B4A94-8972-4791-B7A9-A5FDC156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99595E31-9201-4846-8368-80219592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505EDB34-1953-4F35-9674-EA793348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8EE3A57-9FA4-46E8-8E7A-5E1E35A9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2BB60D71-7610-41C5-AD5F-706EC361B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F8F24A2-F112-4AEF-9F6E-2CE4CDF9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87A138AE-FE97-47E8-A249-7474C814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777" name="Lightning Bolt 776">
          <a:extLst>
            <a:ext uri="{FF2B5EF4-FFF2-40B4-BE49-F238E27FC236}">
              <a16:creationId xmlns:a16="http://schemas.microsoft.com/office/drawing/2014/main" id="{3ED825A2-5C92-4424-A25D-A57ABBFF3998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78" name="Lightning Bolt 777">
          <a:extLst>
            <a:ext uri="{FF2B5EF4-FFF2-40B4-BE49-F238E27FC236}">
              <a16:creationId xmlns:a16="http://schemas.microsoft.com/office/drawing/2014/main" id="{4BD36598-8FBA-4DCD-AD44-20972551D085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79" name="Lightning Bolt 778">
          <a:extLst>
            <a:ext uri="{FF2B5EF4-FFF2-40B4-BE49-F238E27FC236}">
              <a16:creationId xmlns:a16="http://schemas.microsoft.com/office/drawing/2014/main" id="{200548A9-2267-4A23-951E-ABC753F53BBB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80" name="Lightning Bolt 779">
          <a:extLst>
            <a:ext uri="{FF2B5EF4-FFF2-40B4-BE49-F238E27FC236}">
              <a16:creationId xmlns:a16="http://schemas.microsoft.com/office/drawing/2014/main" id="{28CA1C08-3087-4D5B-940F-4969DDFFCDA8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F8345BBF-543D-4EC5-ACAD-B170C5A5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2B469626-788F-46BD-8210-9D58B82C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EBA1A6E9-B97F-49D2-8FA0-4F6F3A1C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34D88A9-D4A4-492C-8DD0-9B6BAC34B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4D99038A-52CF-4B41-B3E8-8E82BFD8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B5E3065F-9A7D-44A8-A546-1CF83F5F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BA73408-A1EA-4294-83A4-B21CEEC4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8ECFFD13-2594-4399-BC6E-E981012D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B701C4A4-7C45-469C-A42A-6BA03E61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A19271A0-6514-4578-B75C-781DFF54F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EBC12E21-74E3-47E4-B02D-282B10CA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BAFC1FF9-15FD-4DEC-B122-DE77BAE4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2D680D09-F1D4-410A-B21E-E748566B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94" name="Picture 793" descr="A black and white symbol&#10;&#10;Description automatically generated">
          <a:extLst>
            <a:ext uri="{FF2B5EF4-FFF2-40B4-BE49-F238E27FC236}">
              <a16:creationId xmlns:a16="http://schemas.microsoft.com/office/drawing/2014/main" id="{2911EAAB-3B1E-434E-92E1-A250A6EA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5742769-6728-4B08-84D0-BE797AA8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96" name="Picture 795" descr="A black and white symbol&#10;&#10;Description automatically generated">
          <a:extLst>
            <a:ext uri="{FF2B5EF4-FFF2-40B4-BE49-F238E27FC236}">
              <a16:creationId xmlns:a16="http://schemas.microsoft.com/office/drawing/2014/main" id="{AC5E5159-6FBB-4E51-9DED-06864D495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97" name="Picture 796" descr="A black and white symbol&#10;&#10;Description automatically generated">
          <a:extLst>
            <a:ext uri="{FF2B5EF4-FFF2-40B4-BE49-F238E27FC236}">
              <a16:creationId xmlns:a16="http://schemas.microsoft.com/office/drawing/2014/main" id="{AD6DBBD1-AEF4-4F87-A8AC-87FD35A8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98" name="Picture 797" descr="A black and white symbol&#10;&#10;Description automatically generated">
          <a:extLst>
            <a:ext uri="{FF2B5EF4-FFF2-40B4-BE49-F238E27FC236}">
              <a16:creationId xmlns:a16="http://schemas.microsoft.com/office/drawing/2014/main" id="{2D6F14D8-4622-44A6-B4B3-A4176BBC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99" name="Picture 798" descr="A black and white symbol&#10;&#10;Description automatically generated">
          <a:extLst>
            <a:ext uri="{FF2B5EF4-FFF2-40B4-BE49-F238E27FC236}">
              <a16:creationId xmlns:a16="http://schemas.microsoft.com/office/drawing/2014/main" id="{BD52A42B-36E4-452A-9150-B2FFABD4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800" name="Picture 799" descr="A black and white symbol&#10;&#10;Description automatically generated">
          <a:extLst>
            <a:ext uri="{FF2B5EF4-FFF2-40B4-BE49-F238E27FC236}">
              <a16:creationId xmlns:a16="http://schemas.microsoft.com/office/drawing/2014/main" id="{DF2DB35F-1539-44DB-BFE0-9C235790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801" name="Picture 800" descr="A black and white symbol&#10;&#10;Description automatically generated">
          <a:extLst>
            <a:ext uri="{FF2B5EF4-FFF2-40B4-BE49-F238E27FC236}">
              <a16:creationId xmlns:a16="http://schemas.microsoft.com/office/drawing/2014/main" id="{3AB7FBC7-A811-4297-A46F-67B58112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802" name="Picture 801" descr="A black and white symbol&#10;&#10;Description automatically generated">
          <a:extLst>
            <a:ext uri="{FF2B5EF4-FFF2-40B4-BE49-F238E27FC236}">
              <a16:creationId xmlns:a16="http://schemas.microsoft.com/office/drawing/2014/main" id="{1E1779C8-CCD4-4A31-80EE-99E0A88E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803" name="Picture 802" descr="A black and white symbol&#10;&#10;Description automatically generated">
          <a:extLst>
            <a:ext uri="{FF2B5EF4-FFF2-40B4-BE49-F238E27FC236}">
              <a16:creationId xmlns:a16="http://schemas.microsoft.com/office/drawing/2014/main" id="{C70351AB-6E7D-4F1F-9E75-6A11864F3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804" name="Picture 803" descr="A black and white symbol&#10;&#10;Description automatically generated">
          <a:extLst>
            <a:ext uri="{FF2B5EF4-FFF2-40B4-BE49-F238E27FC236}">
              <a16:creationId xmlns:a16="http://schemas.microsoft.com/office/drawing/2014/main" id="{0FA7DFC1-74D6-4C8A-AED2-637F0BD4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805" name="Picture 804" descr="A black and white symbol&#10;&#10;Description automatically generated">
          <a:extLst>
            <a:ext uri="{FF2B5EF4-FFF2-40B4-BE49-F238E27FC236}">
              <a16:creationId xmlns:a16="http://schemas.microsoft.com/office/drawing/2014/main" id="{67C82643-8F03-4DA7-8AFF-9DA6F49B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806" name="Picture 805" descr="A black and white symbol&#10;&#10;Description automatically generated">
          <a:extLst>
            <a:ext uri="{FF2B5EF4-FFF2-40B4-BE49-F238E27FC236}">
              <a16:creationId xmlns:a16="http://schemas.microsoft.com/office/drawing/2014/main" id="{B09DB55F-E9B4-4030-B63E-4C53B484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807" name="Picture 806" descr="A black and white symbol&#10;&#10;Description automatically generated">
          <a:extLst>
            <a:ext uri="{FF2B5EF4-FFF2-40B4-BE49-F238E27FC236}">
              <a16:creationId xmlns:a16="http://schemas.microsoft.com/office/drawing/2014/main" id="{C426B0CC-1B79-4AD9-8540-81993A0C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808" name="Picture 807" descr="A black and white symbol&#10;&#10;Description automatically generated">
          <a:extLst>
            <a:ext uri="{FF2B5EF4-FFF2-40B4-BE49-F238E27FC236}">
              <a16:creationId xmlns:a16="http://schemas.microsoft.com/office/drawing/2014/main" id="{02D047DB-4A28-42F1-8037-C05E1EEF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809" name="Picture 808" descr="A black and white symbol&#10;&#10;Description automatically generated">
          <a:extLst>
            <a:ext uri="{FF2B5EF4-FFF2-40B4-BE49-F238E27FC236}">
              <a16:creationId xmlns:a16="http://schemas.microsoft.com/office/drawing/2014/main" id="{73E0AC87-0FA6-4085-85E2-CBDD9670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810" name="Picture 809" descr="A black and white symbol&#10;&#10;Description automatically generated">
          <a:extLst>
            <a:ext uri="{FF2B5EF4-FFF2-40B4-BE49-F238E27FC236}">
              <a16:creationId xmlns:a16="http://schemas.microsoft.com/office/drawing/2014/main" id="{2D8CCC1B-9B46-4DF5-9307-5F038C6F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811" name="Picture 810" descr="A black and white symbol&#10;&#10;Description automatically generated">
          <a:extLst>
            <a:ext uri="{FF2B5EF4-FFF2-40B4-BE49-F238E27FC236}">
              <a16:creationId xmlns:a16="http://schemas.microsoft.com/office/drawing/2014/main" id="{23982861-459E-47E1-954B-65CE904D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812" name="Picture 811" descr="A black and white symbol&#10;&#10;Description automatically generated">
          <a:extLst>
            <a:ext uri="{FF2B5EF4-FFF2-40B4-BE49-F238E27FC236}">
              <a16:creationId xmlns:a16="http://schemas.microsoft.com/office/drawing/2014/main" id="{F3411861-5998-433E-B1BF-AAFBFCA82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813" name="Picture 812" descr="A black and white symbol&#10;&#10;Description automatically generated">
          <a:extLst>
            <a:ext uri="{FF2B5EF4-FFF2-40B4-BE49-F238E27FC236}">
              <a16:creationId xmlns:a16="http://schemas.microsoft.com/office/drawing/2014/main" id="{FF5273E4-2DB5-48C9-9785-00C257FC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814" name="Picture 813" descr="A black and white symbol&#10;&#10;Description automatically generated">
          <a:extLst>
            <a:ext uri="{FF2B5EF4-FFF2-40B4-BE49-F238E27FC236}">
              <a16:creationId xmlns:a16="http://schemas.microsoft.com/office/drawing/2014/main" id="{3B63120B-4BCE-4614-936B-0F665DEC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815" name="Picture 814" descr="A black and white symbol&#10;&#10;Description automatically generated">
          <a:extLst>
            <a:ext uri="{FF2B5EF4-FFF2-40B4-BE49-F238E27FC236}">
              <a16:creationId xmlns:a16="http://schemas.microsoft.com/office/drawing/2014/main" id="{E87498B6-3223-4CEA-8B8C-0AB80894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816" name="Picture 815" descr="A black and white symbol&#10;&#10;Description automatically generated">
          <a:extLst>
            <a:ext uri="{FF2B5EF4-FFF2-40B4-BE49-F238E27FC236}">
              <a16:creationId xmlns:a16="http://schemas.microsoft.com/office/drawing/2014/main" id="{3BFD4219-F415-4E0A-90C9-73F7700B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817" name="Picture 816" descr="A black and white symbol&#10;&#10;Description automatically generated">
          <a:extLst>
            <a:ext uri="{FF2B5EF4-FFF2-40B4-BE49-F238E27FC236}">
              <a16:creationId xmlns:a16="http://schemas.microsoft.com/office/drawing/2014/main" id="{42B66BBF-4202-40CB-8B90-ED9D6EA7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818" name="Picture 817" descr="A black and white symbol&#10;&#10;Description automatically generated">
          <a:extLst>
            <a:ext uri="{FF2B5EF4-FFF2-40B4-BE49-F238E27FC236}">
              <a16:creationId xmlns:a16="http://schemas.microsoft.com/office/drawing/2014/main" id="{181F3222-9D50-4283-BDA0-6D1B4C85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819" name="Picture 818" descr="A black and white symbol&#10;&#10;Description automatically generated">
          <a:extLst>
            <a:ext uri="{FF2B5EF4-FFF2-40B4-BE49-F238E27FC236}">
              <a16:creationId xmlns:a16="http://schemas.microsoft.com/office/drawing/2014/main" id="{EECE32F6-32CE-4B9A-92D9-6A4B7D21E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820" name="Picture 819" descr="A black and white symbol&#10;&#10;Description automatically generated">
          <a:extLst>
            <a:ext uri="{FF2B5EF4-FFF2-40B4-BE49-F238E27FC236}">
              <a16:creationId xmlns:a16="http://schemas.microsoft.com/office/drawing/2014/main" id="{CDC4A552-B776-4CE0-8B24-BFA558E8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821" name="Picture 820" descr="A black and white symbol&#10;&#10;Description automatically generated">
          <a:extLst>
            <a:ext uri="{FF2B5EF4-FFF2-40B4-BE49-F238E27FC236}">
              <a16:creationId xmlns:a16="http://schemas.microsoft.com/office/drawing/2014/main" id="{9E170787-7A20-49F5-86FD-FF74A849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822" name="Picture 821" descr="A black and white symbol&#10;&#10;Description automatically generated">
          <a:extLst>
            <a:ext uri="{FF2B5EF4-FFF2-40B4-BE49-F238E27FC236}">
              <a16:creationId xmlns:a16="http://schemas.microsoft.com/office/drawing/2014/main" id="{B9387FE4-4EEC-4E29-ADCD-78956D42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823" name="Picture 822" descr="A black and white symbol&#10;&#10;Description automatically generated">
          <a:extLst>
            <a:ext uri="{FF2B5EF4-FFF2-40B4-BE49-F238E27FC236}">
              <a16:creationId xmlns:a16="http://schemas.microsoft.com/office/drawing/2014/main" id="{4FECC643-4271-41B1-BA89-EDC0A8AEC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824" name="Picture 823" descr="A black and white symbol&#10;&#10;Description automatically generated">
          <a:extLst>
            <a:ext uri="{FF2B5EF4-FFF2-40B4-BE49-F238E27FC236}">
              <a16:creationId xmlns:a16="http://schemas.microsoft.com/office/drawing/2014/main" id="{48F255E1-45EE-4E5B-80E6-3F633102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825" name="Picture 824" descr="A black and white symbol&#10;&#10;Description automatically generated">
          <a:extLst>
            <a:ext uri="{FF2B5EF4-FFF2-40B4-BE49-F238E27FC236}">
              <a16:creationId xmlns:a16="http://schemas.microsoft.com/office/drawing/2014/main" id="{87190BC5-DAE6-4EAE-82B1-A1E70774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826" name="Picture 825" descr="A black and white symbol&#10;&#10;Description automatically generated">
          <a:extLst>
            <a:ext uri="{FF2B5EF4-FFF2-40B4-BE49-F238E27FC236}">
              <a16:creationId xmlns:a16="http://schemas.microsoft.com/office/drawing/2014/main" id="{ECBCA663-ACB1-4004-976F-14AEACF2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827" name="Picture 826" descr="A black and white symbol&#10;&#10;Description automatically generated">
          <a:extLst>
            <a:ext uri="{FF2B5EF4-FFF2-40B4-BE49-F238E27FC236}">
              <a16:creationId xmlns:a16="http://schemas.microsoft.com/office/drawing/2014/main" id="{C33EAE11-84B2-4758-89E7-8A9A19DE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828" name="Picture 827" descr="A black and white symbol&#10;&#10;Description automatically generated">
          <a:extLst>
            <a:ext uri="{FF2B5EF4-FFF2-40B4-BE49-F238E27FC236}">
              <a16:creationId xmlns:a16="http://schemas.microsoft.com/office/drawing/2014/main" id="{BDC5D51D-8093-4794-840A-0E3D3F2E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829" name="Picture 828" descr="A black and white symbol&#10;&#10;Description automatically generated">
          <a:extLst>
            <a:ext uri="{FF2B5EF4-FFF2-40B4-BE49-F238E27FC236}">
              <a16:creationId xmlns:a16="http://schemas.microsoft.com/office/drawing/2014/main" id="{C2697DD0-2164-49DC-BDC1-0EA79B73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830" name="Picture 829" descr="A black and white symbol&#10;&#10;Description automatically generated">
          <a:extLst>
            <a:ext uri="{FF2B5EF4-FFF2-40B4-BE49-F238E27FC236}">
              <a16:creationId xmlns:a16="http://schemas.microsoft.com/office/drawing/2014/main" id="{96ECD751-0B6C-4ED5-90F1-A617B954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831" name="Picture 830" descr="A black and white symbol&#10;&#10;Description automatically generated">
          <a:extLst>
            <a:ext uri="{FF2B5EF4-FFF2-40B4-BE49-F238E27FC236}">
              <a16:creationId xmlns:a16="http://schemas.microsoft.com/office/drawing/2014/main" id="{4E101055-4540-4629-BBB6-63F25427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832" name="Picture 831" descr="A black and white symbol&#10;&#10;Description automatically generated">
          <a:extLst>
            <a:ext uri="{FF2B5EF4-FFF2-40B4-BE49-F238E27FC236}">
              <a16:creationId xmlns:a16="http://schemas.microsoft.com/office/drawing/2014/main" id="{BD2ADA76-AD9F-46C4-A0B4-E60B2B3F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833" name="Picture 832" descr="A black and white symbol&#10;&#10;Description automatically generated">
          <a:extLst>
            <a:ext uri="{FF2B5EF4-FFF2-40B4-BE49-F238E27FC236}">
              <a16:creationId xmlns:a16="http://schemas.microsoft.com/office/drawing/2014/main" id="{9BC515D8-FEB1-4276-AEC3-FC08F2AB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834" name="Lightning Bolt 833">
          <a:extLst>
            <a:ext uri="{FF2B5EF4-FFF2-40B4-BE49-F238E27FC236}">
              <a16:creationId xmlns:a16="http://schemas.microsoft.com/office/drawing/2014/main" id="{DCA8FC9E-44AE-4CFC-A325-82F877D5ABAB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835" name="Picture 834" descr="A black and white symbol&#10;&#10;Description automatically generated">
          <a:extLst>
            <a:ext uri="{FF2B5EF4-FFF2-40B4-BE49-F238E27FC236}">
              <a16:creationId xmlns:a16="http://schemas.microsoft.com/office/drawing/2014/main" id="{624BB31C-4A07-4438-A9A6-9604612A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918A4B41-C8B9-49BC-91B5-399751F4BAAF}"/>
            </a:ext>
          </a:extLst>
        </xdr:cNvPr>
        <xdr:cNvSpPr/>
      </xdr:nvSpPr>
      <xdr:spPr>
        <a:xfrm>
          <a:off x="11868150" y="96690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B2FDB00F-7AF2-4F3F-9A85-2B45F2817CF7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9A6D9775-508C-4B3C-B798-0CE5B6C22E2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1EA725F-F6A8-489A-8A30-3457AA47C89E}"/>
            </a:ext>
          </a:extLst>
        </xdr:cNvPr>
        <xdr:cNvSpPr/>
      </xdr:nvSpPr>
      <xdr:spPr>
        <a:xfrm>
          <a:off x="12858749" y="4983201"/>
          <a:ext cx="615641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DEE4682B-789C-407C-8E6A-4804BB75CD06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F0EF7777-C61A-4FF0-9F93-486A5FDDC575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70149894-36C9-4CDB-86F6-CC76D469D74F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A079E063-810F-43EC-92B9-98B288E99D8D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7967A8DB-8F52-49F8-BFBB-12D2D2BCE821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6BAB30C4-5C39-495D-B4B5-757600DDDA81}"/>
            </a:ext>
          </a:extLst>
        </xdr:cNvPr>
        <xdr:cNvSpPr/>
      </xdr:nvSpPr>
      <xdr:spPr>
        <a:xfrm>
          <a:off x="11859787" y="542557"/>
          <a:ext cx="504556" cy="35379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A8BB194-7AFF-4380-99A4-B6B2FDC6AB51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2F45F774-B8DE-415A-A8BA-EB098181CCE0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49DA7328-D1D7-4AAB-B835-8CB492DF25C4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183F154C-3E4E-4BDB-BA1D-F317EE94170E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BA0CA5C1-7C16-4B06-A8BB-67602B52E645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8284F8B-FD31-43D9-B345-5CE7786F5075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64989B07-C0C9-4EF3-8C79-7BDDE8191E88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DD705C56-56C7-4A10-9AEB-91DCD8017829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3C1156D8-5F78-49A2-8DD2-FBFEB9A93325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BFB4259E-19C8-46B7-AD87-9764F26ADCE1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481210F7-6CA9-4711-8955-A6984E2C4A06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7C5F6531-3EA7-44DA-AE2B-1C5B56D4A243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3165C90E-23C2-488F-9ED3-A35B0740F854}"/>
            </a:ext>
          </a:extLst>
        </xdr:cNvPr>
        <xdr:cNvSpPr/>
      </xdr:nvSpPr>
      <xdr:spPr>
        <a:xfrm>
          <a:off x="4278539" y="50886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26</xdr:row>
      <xdr:rowOff>0</xdr:rowOff>
    </xdr:from>
    <xdr:to>
      <xdr:col>17</xdr:col>
      <xdr:colOff>256442</xdr:colOff>
      <xdr:row>27</xdr:row>
      <xdr:rowOff>183173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737F53BD-4980-4FE6-A532-7EDB5B5747CE}"/>
            </a:ext>
          </a:extLst>
        </xdr:cNvPr>
        <xdr:cNvSpPr/>
      </xdr:nvSpPr>
      <xdr:spPr>
        <a:xfrm>
          <a:off x="5133975" y="5086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A9CDD505-0894-4496-9379-3EC08414AB28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1D0FE1B1-9577-48E9-82E0-3CAFA05100C2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EFD4429A-54D1-4E4C-BF2E-585E8394A6E3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49864F9D-5488-47B7-80D0-7DB5C364DA51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C975ABFF-1DB4-414E-9262-B8B44302DEC3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BE7DA6D7-AB02-43AC-8A42-EBA316490C86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2CD4046-51B7-4E4C-98E5-D0A1E12E0E9E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299F9509-3BD4-4DEC-BC00-BD6759A661E6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CF7DC31D-2945-47F0-8367-888154683FDE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38AAA5DB-866D-42CB-8EF7-6C4F99CC4A55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DEAA253F-C1A3-4E16-A519-8DDA206E84D7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D7BBF6EF-0134-4942-94D0-114454F50E4E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985D75A9-F3FF-4060-9F6F-A2475A2D61AA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1E11BF9E-FDF3-4760-9C0A-9C47F43C265C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34D87EB8-0D36-473E-8401-FF90F5486F8B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D68F0945-7D7E-4DC7-AC34-6C2D0B071D04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AFE712D7-2FE6-49D7-982F-F81973AA8A14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577B2C61-E601-4E8D-A6A4-4E335AE65A6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5495CE10-FC92-474C-ADFC-D2FBE7DA0721}"/>
            </a:ext>
          </a:extLst>
        </xdr:cNvPr>
        <xdr:cNvSpPr/>
      </xdr:nvSpPr>
      <xdr:spPr>
        <a:xfrm>
          <a:off x="5133975" y="9658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872FE4E7-5B03-4E68-BA19-E58788E9FF51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6689ADDA-FD93-4730-984D-85B0F025F07C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59EFFDEF-6062-443C-83CA-55EE0A2FFC33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3E195846-4FDE-4117-864B-FABF4B7E1DB9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A6B9CCD6-C853-4CA9-BD69-B17A6C28405C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386834DF-982E-450E-8E40-C029EACD2ECB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726D93B6-7D0A-4FA4-B616-7BD340F9D1C3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C87FAD23-5683-4249-AF1E-306510C2D37B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B071047-E789-420B-B21A-434344069E9E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E9319D16-288F-4A17-9A63-A07B1FFD9CC7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2F46091A-7531-4DEF-8E2A-A7778F49AC87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8C4AC2C7-0CCE-4550-AFA0-BC3BC9616802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CC123AE2-F22F-4C4B-ABE2-8D8F6B66E2C8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6E7034BB-8557-463A-BC6F-FE0B8028F121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DD1BEEFA-265C-4D4B-8652-16A98BCAB9E7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8306220C-47CE-460F-96D8-52B2E5C0B840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6D54ACAE-F1C5-4242-B66F-8B3D06280454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800BCEE3-3083-44D7-BDA9-7C7A87D2AC6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18C5EF51-7CD9-45CF-B312-447C332640ED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6F0021EE-4C5A-48E4-9935-AFCDF2E63E0E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5B7D2BFC-765C-4126-AA2E-A52500B9CED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49A85005-9738-40F7-895B-8642B54D151E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D2D8B3BF-B5AF-44FB-8942-DBEA4AD8A312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62269860-6C13-4DD1-A930-3C94A613D12C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D77153E1-9427-4DD0-A962-88FD8877DA62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B980A0EC-08EC-4452-B77D-A9DC4371301D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2DCDA508-5C71-40D7-9E11-2771CCEC154F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AB4BF2E4-D8F4-4AC5-ADF8-07D3C89C6360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D28E92E7-BA00-410B-B9E2-97414981EE38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393B7BE3-A5E2-4188-BE2A-FDF625BBFF07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A6285B7F-23BF-44A9-9E9A-30BB02E0E111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7679189F-AE3C-4401-B6C8-DBFF5F1B9EE0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FC207E17-40A8-4846-BA76-2CD60039080A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9" name="Isosceles Triangle 928">
          <a:extLst>
            <a:ext uri="{FF2B5EF4-FFF2-40B4-BE49-F238E27FC236}">
              <a16:creationId xmlns:a16="http://schemas.microsoft.com/office/drawing/2014/main" id="{8EE53923-F218-4BD4-BBE2-B2B860879AA5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id="{FA74F193-E2CB-4A2B-AC5D-748EA825CCE7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id="{04FCF41D-3FA2-40C5-8946-24A8028325B5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id="{667B1DF7-BA5A-4E46-84AA-F0E128DE6F3C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id="{59DACFF2-D1DC-40F3-ADB0-865D302924E1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34" name="Isosceles Triangle 933">
          <a:extLst>
            <a:ext uri="{FF2B5EF4-FFF2-40B4-BE49-F238E27FC236}">
              <a16:creationId xmlns:a16="http://schemas.microsoft.com/office/drawing/2014/main" id="{B8D25DA2-950C-40CE-BE28-28892166EF0F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id="{E4F72595-75F6-4D7E-BCAD-17DAB59CADB3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id="{08B0F095-4A03-47CE-8346-87D062662F9F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id="{E5930C1D-A265-419A-A13E-10AAB342D34F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id="{F207B696-172A-444B-93B1-5510D9C4E676}"/>
            </a:ext>
          </a:extLst>
        </xdr:cNvPr>
        <xdr:cNvSpPr/>
      </xdr:nvSpPr>
      <xdr:spPr>
        <a:xfrm>
          <a:off x="1276350" y="1575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id="{40D679AB-286B-4B52-8B28-4669649EDD42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id="{EC108216-39A0-4DC8-AC50-77BB0B6B6038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944" name="Isosceles Triangle 943">
          <a:extLst>
            <a:ext uri="{FF2B5EF4-FFF2-40B4-BE49-F238E27FC236}">
              <a16:creationId xmlns:a16="http://schemas.microsoft.com/office/drawing/2014/main" id="{EDB3D72A-7ECF-478A-A471-CC85EF635EED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945" name="Isosceles Triangle 944">
          <a:extLst>
            <a:ext uri="{FF2B5EF4-FFF2-40B4-BE49-F238E27FC236}">
              <a16:creationId xmlns:a16="http://schemas.microsoft.com/office/drawing/2014/main" id="{D259807E-E4F8-4292-9D1D-37A4C4633F54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946" name="Isosceles Triangle 945">
          <a:extLst>
            <a:ext uri="{FF2B5EF4-FFF2-40B4-BE49-F238E27FC236}">
              <a16:creationId xmlns:a16="http://schemas.microsoft.com/office/drawing/2014/main" id="{29AD4782-C462-4DE3-85C6-CC7D35100B97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id="{93681A5C-9AFA-47E7-B6A7-8A2292F95ED9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948" name="Isosceles Triangle 947">
          <a:extLst>
            <a:ext uri="{FF2B5EF4-FFF2-40B4-BE49-F238E27FC236}">
              <a16:creationId xmlns:a16="http://schemas.microsoft.com/office/drawing/2014/main" id="{9EB2F6C8-45B5-46A4-984E-8A1B5971E9E4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id="{130CA82A-E9E1-4B00-9E16-151A5FA32B5D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50" name="Isosceles Triangle 949">
          <a:extLst>
            <a:ext uri="{FF2B5EF4-FFF2-40B4-BE49-F238E27FC236}">
              <a16:creationId xmlns:a16="http://schemas.microsoft.com/office/drawing/2014/main" id="{1DCE2518-197D-4E67-85AE-56BD5D988049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id="{516E0BB9-864D-4F7E-995E-745B910297DC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52" name="Isosceles Triangle 951">
          <a:extLst>
            <a:ext uri="{FF2B5EF4-FFF2-40B4-BE49-F238E27FC236}">
              <a16:creationId xmlns:a16="http://schemas.microsoft.com/office/drawing/2014/main" id="{BEC2CA21-A75F-409C-9114-4CB9AE01208D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id="{24ACE19B-1AB6-45EE-A883-CAB0CF855273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4" name="Isosceles Triangle 953">
          <a:extLst>
            <a:ext uri="{FF2B5EF4-FFF2-40B4-BE49-F238E27FC236}">
              <a16:creationId xmlns:a16="http://schemas.microsoft.com/office/drawing/2014/main" id="{382871F5-7D3F-449C-AC4B-213FDBA19161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id="{DB53B24F-0BC1-4AE2-B1B9-0B7383C0C6C6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56" name="Isosceles Triangle 955">
          <a:extLst>
            <a:ext uri="{FF2B5EF4-FFF2-40B4-BE49-F238E27FC236}">
              <a16:creationId xmlns:a16="http://schemas.microsoft.com/office/drawing/2014/main" id="{41574D21-46AF-491E-A6DC-1CD408AB0170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BB63459-07A8-4934-BA76-9D9230B36C57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58" name="Isosceles Triangle 957">
          <a:extLst>
            <a:ext uri="{FF2B5EF4-FFF2-40B4-BE49-F238E27FC236}">
              <a16:creationId xmlns:a16="http://schemas.microsoft.com/office/drawing/2014/main" id="{FC6383A3-12CC-46AC-B479-6631F369AC5D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id="{F30C981A-0236-4743-9C5B-A7B7CCAFA3C1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960" name="Isosceles Triangle 959">
          <a:extLst>
            <a:ext uri="{FF2B5EF4-FFF2-40B4-BE49-F238E27FC236}">
              <a16:creationId xmlns:a16="http://schemas.microsoft.com/office/drawing/2014/main" id="{CE2A3693-F0A1-4769-A5C9-2EE9C1F97A20}"/>
            </a:ext>
          </a:extLst>
        </xdr:cNvPr>
        <xdr:cNvSpPr/>
      </xdr:nvSpPr>
      <xdr:spPr>
        <a:xfrm>
          <a:off x="8963025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id="{A824007D-BF5C-4639-A7B3-2D1E1337D8C3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962" name="Isosceles Triangle 961">
          <a:extLst>
            <a:ext uri="{FF2B5EF4-FFF2-40B4-BE49-F238E27FC236}">
              <a16:creationId xmlns:a16="http://schemas.microsoft.com/office/drawing/2014/main" id="{AA35FAAA-BEDF-4A99-AB9A-46FE6B1477E2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id="{A449A2AD-A1F9-4021-8CBB-D4F51C7731C6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64" name="Isosceles Triangle 963">
          <a:extLst>
            <a:ext uri="{FF2B5EF4-FFF2-40B4-BE49-F238E27FC236}">
              <a16:creationId xmlns:a16="http://schemas.microsoft.com/office/drawing/2014/main" id="{FC6DB17C-796D-4F60-940C-A885C49C5290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id="{B316A65C-A545-467B-AB65-F99431AB29F9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66" name="Isosceles Triangle 965">
          <a:extLst>
            <a:ext uri="{FF2B5EF4-FFF2-40B4-BE49-F238E27FC236}">
              <a16:creationId xmlns:a16="http://schemas.microsoft.com/office/drawing/2014/main" id="{A84839CD-483A-4E21-B5B1-E932862A3FEF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id="{57405FB7-8E13-4506-A6EA-FB4770DFC16D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68" name="Isosceles Triangle 967">
          <a:extLst>
            <a:ext uri="{FF2B5EF4-FFF2-40B4-BE49-F238E27FC236}">
              <a16:creationId xmlns:a16="http://schemas.microsoft.com/office/drawing/2014/main" id="{169033B7-14DE-4382-9485-A2F30B3AEBD1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id="{B9024A3B-5E42-45CF-9C38-D4D35ED9F2D9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70" name="Isosceles Triangle 969">
          <a:extLst>
            <a:ext uri="{FF2B5EF4-FFF2-40B4-BE49-F238E27FC236}">
              <a16:creationId xmlns:a16="http://schemas.microsoft.com/office/drawing/2014/main" id="{854549CE-7352-45C8-8310-40593A768243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id="{3A9A90BF-F3A2-4C3B-845B-D7A31481DDCB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A5784984-C520-469D-ABC2-F6CB7DD5E7A2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id="{B6DB169C-053F-426C-A6F3-F33776FD340E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74" name="Isosceles Triangle 973">
          <a:extLst>
            <a:ext uri="{FF2B5EF4-FFF2-40B4-BE49-F238E27FC236}">
              <a16:creationId xmlns:a16="http://schemas.microsoft.com/office/drawing/2014/main" id="{7D848F52-C052-4319-86F0-AA33D2E7888E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id="{24698962-E084-4F19-91B5-C858A8553E2F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76" name="Isosceles Triangle 975">
          <a:extLst>
            <a:ext uri="{FF2B5EF4-FFF2-40B4-BE49-F238E27FC236}">
              <a16:creationId xmlns:a16="http://schemas.microsoft.com/office/drawing/2014/main" id="{FF182E4E-CB77-4193-9026-DF0560D54E91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id="{FA0DC240-4D37-475C-922D-0E8FECFF38A4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78" name="Isosceles Triangle 977">
          <a:extLst>
            <a:ext uri="{FF2B5EF4-FFF2-40B4-BE49-F238E27FC236}">
              <a16:creationId xmlns:a16="http://schemas.microsoft.com/office/drawing/2014/main" id="{9A0ECB4F-A6F8-406A-A06D-7FC7F608966F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id="{8CC9E4FD-54ED-41E8-8A92-7D08BD067302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612F0A4D-795D-4EF4-BF0C-27FFEC2615F4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31B02773-26C0-4048-8EC6-AF7AB5D19DB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7ED17C82-CA70-4A5E-B20C-6238EE7CCD47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796E96B5-3A61-4106-BE07-76F743FA6F00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EA6BDC1-331D-4641-B630-77BB139205BD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A9F4E1D2-5D34-4519-91B1-12112E1E9EC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A12FDD8D-80B0-4D57-B35A-FFCD104101FB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F6173005-F1AB-4374-8AD3-129213AE41A8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CD521AA-C2AA-4261-B5A5-137FFDA3BAE0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id="{9609806D-21B1-491A-985A-AACABA47E5A7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id="{59381298-6DC7-4888-A06B-3C029B9E6C20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id="{8D24DDA0-01AB-4B9A-A0F4-A1DE8E553737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id="{15469BC6-C973-4A5B-B27E-B87E622E5404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993" name="5-Point Star 520">
          <a:extLst>
            <a:ext uri="{FF2B5EF4-FFF2-40B4-BE49-F238E27FC236}">
              <a16:creationId xmlns:a16="http://schemas.microsoft.com/office/drawing/2014/main" id="{34CA42C9-B02F-4298-96EC-B2B97462DBFE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994" name="Curved Connector 523">
          <a:extLst>
            <a:ext uri="{FF2B5EF4-FFF2-40B4-BE49-F238E27FC236}">
              <a16:creationId xmlns:a16="http://schemas.microsoft.com/office/drawing/2014/main" id="{007D7A45-7F2D-48CA-BE63-B1521B295A97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995" name="Straight Arrow Connector 994">
          <a:extLst>
            <a:ext uri="{FF2B5EF4-FFF2-40B4-BE49-F238E27FC236}">
              <a16:creationId xmlns:a16="http://schemas.microsoft.com/office/drawing/2014/main" id="{1C4F9174-A042-4F4F-9EFD-205168EE1B47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996" name="Straight Arrow Connector 995">
          <a:extLst>
            <a:ext uri="{FF2B5EF4-FFF2-40B4-BE49-F238E27FC236}">
              <a16:creationId xmlns:a16="http://schemas.microsoft.com/office/drawing/2014/main" id="{38248DA7-E491-4077-9EB1-423196C245B9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997" name="Straight Arrow Connector 996">
          <a:extLst>
            <a:ext uri="{FF2B5EF4-FFF2-40B4-BE49-F238E27FC236}">
              <a16:creationId xmlns:a16="http://schemas.microsoft.com/office/drawing/2014/main" id="{0005D415-3963-482D-B6B4-73275AB20DD0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998" name="Straight Arrow Connector 997">
          <a:extLst>
            <a:ext uri="{FF2B5EF4-FFF2-40B4-BE49-F238E27FC236}">
              <a16:creationId xmlns:a16="http://schemas.microsoft.com/office/drawing/2014/main" id="{7528B627-C8E0-44C6-A344-CF5C1D1ECFC5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999" name="Straight Arrow Connector 998">
          <a:extLst>
            <a:ext uri="{FF2B5EF4-FFF2-40B4-BE49-F238E27FC236}">
              <a16:creationId xmlns:a16="http://schemas.microsoft.com/office/drawing/2014/main" id="{EBABFA2A-9E30-49C3-9CBF-A4230F619575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000" name="Picture 999" descr="A black and white symbol&#10;&#10;Description automatically generated">
          <a:extLst>
            <a:ext uri="{FF2B5EF4-FFF2-40B4-BE49-F238E27FC236}">
              <a16:creationId xmlns:a16="http://schemas.microsoft.com/office/drawing/2014/main" id="{30D518FD-4EC9-40AB-958B-B6B73F759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001" name="Straight Arrow Connector 1000">
          <a:extLst>
            <a:ext uri="{FF2B5EF4-FFF2-40B4-BE49-F238E27FC236}">
              <a16:creationId xmlns:a16="http://schemas.microsoft.com/office/drawing/2014/main" id="{E1E41E06-792E-4086-9BEA-7D7FE494A131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002" name="Straight Arrow Connector 1001">
          <a:extLst>
            <a:ext uri="{FF2B5EF4-FFF2-40B4-BE49-F238E27FC236}">
              <a16:creationId xmlns:a16="http://schemas.microsoft.com/office/drawing/2014/main" id="{73DB3468-7507-481A-94CC-642F140D00EF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003" name="Lightning Bolt 1002">
          <a:extLst>
            <a:ext uri="{FF2B5EF4-FFF2-40B4-BE49-F238E27FC236}">
              <a16:creationId xmlns:a16="http://schemas.microsoft.com/office/drawing/2014/main" id="{B0496335-BA3F-4E06-89E1-4FDF5861790C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004" name="Lightning Bolt 1003">
          <a:extLst>
            <a:ext uri="{FF2B5EF4-FFF2-40B4-BE49-F238E27FC236}">
              <a16:creationId xmlns:a16="http://schemas.microsoft.com/office/drawing/2014/main" id="{A6997AF4-0845-452A-AE7D-DCB9936A37D8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005" name="Arrow: Up 1004">
          <a:extLst>
            <a:ext uri="{FF2B5EF4-FFF2-40B4-BE49-F238E27FC236}">
              <a16:creationId xmlns:a16="http://schemas.microsoft.com/office/drawing/2014/main" id="{0F11EEEC-CA14-4C57-8A9B-BF74149C3BD0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006" name="Arrow: Up 1005">
          <a:extLst>
            <a:ext uri="{FF2B5EF4-FFF2-40B4-BE49-F238E27FC236}">
              <a16:creationId xmlns:a16="http://schemas.microsoft.com/office/drawing/2014/main" id="{2D197450-F09B-4CC4-AC24-1E796CFDE0CF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007" name="Arrow: Up-Down 1006">
          <a:extLst>
            <a:ext uri="{FF2B5EF4-FFF2-40B4-BE49-F238E27FC236}">
              <a16:creationId xmlns:a16="http://schemas.microsoft.com/office/drawing/2014/main" id="{CCAD95C6-6B9F-4003-8278-4382845BA282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008" name="Picture 95405" descr="LADDER">
          <a:extLst>
            <a:ext uri="{FF2B5EF4-FFF2-40B4-BE49-F238E27FC236}">
              <a16:creationId xmlns:a16="http://schemas.microsoft.com/office/drawing/2014/main" id="{53A964DD-60BC-435C-9CDA-29ED860A0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009" name="Picture 100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9C5FFE2-FC45-4CC7-80B5-D6C2844A6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010" name="Arrow: Up 1009">
          <a:extLst>
            <a:ext uri="{FF2B5EF4-FFF2-40B4-BE49-F238E27FC236}">
              <a16:creationId xmlns:a16="http://schemas.microsoft.com/office/drawing/2014/main" id="{DFD2BF9E-52EC-441A-B29E-57828CE3EAD0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011" name="Arrow: Up 1010">
          <a:extLst>
            <a:ext uri="{FF2B5EF4-FFF2-40B4-BE49-F238E27FC236}">
              <a16:creationId xmlns:a16="http://schemas.microsoft.com/office/drawing/2014/main" id="{8C14A684-E0F4-42A3-9B3B-FB77ABA6B323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012" name="Arrow: Up 1011">
          <a:extLst>
            <a:ext uri="{FF2B5EF4-FFF2-40B4-BE49-F238E27FC236}">
              <a16:creationId xmlns:a16="http://schemas.microsoft.com/office/drawing/2014/main" id="{0D25B774-5465-42E8-A173-39482D216E76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013" name="Arrow: Up 1012">
          <a:extLst>
            <a:ext uri="{FF2B5EF4-FFF2-40B4-BE49-F238E27FC236}">
              <a16:creationId xmlns:a16="http://schemas.microsoft.com/office/drawing/2014/main" id="{350605A5-353E-4F8F-A9B3-259667603006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014" name="Arrow: Up 1013">
          <a:extLst>
            <a:ext uri="{FF2B5EF4-FFF2-40B4-BE49-F238E27FC236}">
              <a16:creationId xmlns:a16="http://schemas.microsoft.com/office/drawing/2014/main" id="{5852D7C1-E117-45E9-9906-A8604FE01A59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015" name="Arrow: Up 1014">
          <a:extLst>
            <a:ext uri="{FF2B5EF4-FFF2-40B4-BE49-F238E27FC236}">
              <a16:creationId xmlns:a16="http://schemas.microsoft.com/office/drawing/2014/main" id="{E69EA92A-A2B2-42BE-A4FA-AD8F9B73886E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016" name="Arrow: Up 1015">
          <a:extLst>
            <a:ext uri="{FF2B5EF4-FFF2-40B4-BE49-F238E27FC236}">
              <a16:creationId xmlns:a16="http://schemas.microsoft.com/office/drawing/2014/main" id="{7D1B5244-5ACB-4255-8D5B-2AA536CA215D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017" name="Arrow: Up 1016">
          <a:extLst>
            <a:ext uri="{FF2B5EF4-FFF2-40B4-BE49-F238E27FC236}">
              <a16:creationId xmlns:a16="http://schemas.microsoft.com/office/drawing/2014/main" id="{CE75466C-63DA-4771-88E4-6D5A3473B8C3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018" name="Arrow: Up 1017">
          <a:extLst>
            <a:ext uri="{FF2B5EF4-FFF2-40B4-BE49-F238E27FC236}">
              <a16:creationId xmlns:a16="http://schemas.microsoft.com/office/drawing/2014/main" id="{5E7C75A3-DE1A-47D8-A95A-011F571104BD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019" name="Arrow: Up 1018">
          <a:extLst>
            <a:ext uri="{FF2B5EF4-FFF2-40B4-BE49-F238E27FC236}">
              <a16:creationId xmlns:a16="http://schemas.microsoft.com/office/drawing/2014/main" id="{2E100CA6-9E20-428D-9FB6-EE3D3BC15972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020" name="Arrow: Up 1019">
          <a:extLst>
            <a:ext uri="{FF2B5EF4-FFF2-40B4-BE49-F238E27FC236}">
              <a16:creationId xmlns:a16="http://schemas.microsoft.com/office/drawing/2014/main" id="{AC44C6C0-1A5A-499E-8080-C20D4A17F0C5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1021" name="Arrow: Up 1020">
          <a:extLst>
            <a:ext uri="{FF2B5EF4-FFF2-40B4-BE49-F238E27FC236}">
              <a16:creationId xmlns:a16="http://schemas.microsoft.com/office/drawing/2014/main" id="{AAAE98F2-7192-4350-AFF3-B101782C178E}"/>
            </a:ext>
          </a:extLst>
        </xdr:cNvPr>
        <xdr:cNvSpPr/>
      </xdr:nvSpPr>
      <xdr:spPr>
        <a:xfrm>
          <a:off x="13529683" y="84799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022" name="Arrow: Up 1021">
          <a:extLst>
            <a:ext uri="{FF2B5EF4-FFF2-40B4-BE49-F238E27FC236}">
              <a16:creationId xmlns:a16="http://schemas.microsoft.com/office/drawing/2014/main" id="{41A2D1AF-CC8D-4E0A-AB25-D407B5B02F72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023" name="Arrow: Up 1022">
          <a:extLst>
            <a:ext uri="{FF2B5EF4-FFF2-40B4-BE49-F238E27FC236}">
              <a16:creationId xmlns:a16="http://schemas.microsoft.com/office/drawing/2014/main" id="{D3AB1B66-BE0A-4A77-994B-900EEB2D3DD2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024" name="Arrow: Up 1023">
          <a:extLst>
            <a:ext uri="{FF2B5EF4-FFF2-40B4-BE49-F238E27FC236}">
              <a16:creationId xmlns:a16="http://schemas.microsoft.com/office/drawing/2014/main" id="{F783D47D-BCA4-4030-AF53-3D5818FAB53D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025" name="Arrow: Up 1024">
          <a:extLst>
            <a:ext uri="{FF2B5EF4-FFF2-40B4-BE49-F238E27FC236}">
              <a16:creationId xmlns:a16="http://schemas.microsoft.com/office/drawing/2014/main" id="{2BFC5329-8ED7-4007-8EF3-E7F2A7D50CA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1026" name="Arrow: Up 1025">
          <a:extLst>
            <a:ext uri="{FF2B5EF4-FFF2-40B4-BE49-F238E27FC236}">
              <a16:creationId xmlns:a16="http://schemas.microsoft.com/office/drawing/2014/main" id="{AC2992F2-90FA-49C7-831F-B005DBB6DE0E}"/>
            </a:ext>
          </a:extLst>
        </xdr:cNvPr>
        <xdr:cNvSpPr/>
      </xdr:nvSpPr>
      <xdr:spPr>
        <a:xfrm>
          <a:off x="13671396" y="115276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027" name="Arrow: Up 1026">
          <a:extLst>
            <a:ext uri="{FF2B5EF4-FFF2-40B4-BE49-F238E27FC236}">
              <a16:creationId xmlns:a16="http://schemas.microsoft.com/office/drawing/2014/main" id="{ABB6D619-0ADD-4731-84D8-DE6ECF673D1A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028" name="Arrow: Up 1027">
          <a:extLst>
            <a:ext uri="{FF2B5EF4-FFF2-40B4-BE49-F238E27FC236}">
              <a16:creationId xmlns:a16="http://schemas.microsoft.com/office/drawing/2014/main" id="{3F1FF46C-6EE6-4D48-BE57-59441A5CA6CC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029" name="Arrow: Up 1028">
          <a:extLst>
            <a:ext uri="{FF2B5EF4-FFF2-40B4-BE49-F238E27FC236}">
              <a16:creationId xmlns:a16="http://schemas.microsoft.com/office/drawing/2014/main" id="{FFF7FDCF-64B0-417F-B2D9-896A5D03B32B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030" name="Arrow: Up 1029">
          <a:extLst>
            <a:ext uri="{FF2B5EF4-FFF2-40B4-BE49-F238E27FC236}">
              <a16:creationId xmlns:a16="http://schemas.microsoft.com/office/drawing/2014/main" id="{FFD70470-8CA7-47DB-9352-531E093419C9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031" name="Arrow: Up 1030">
          <a:extLst>
            <a:ext uri="{FF2B5EF4-FFF2-40B4-BE49-F238E27FC236}">
              <a16:creationId xmlns:a16="http://schemas.microsoft.com/office/drawing/2014/main" id="{E59CCAC5-01BB-4085-98EE-F665DE38CADC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032" name="Arrow: Up 1031">
          <a:extLst>
            <a:ext uri="{FF2B5EF4-FFF2-40B4-BE49-F238E27FC236}">
              <a16:creationId xmlns:a16="http://schemas.microsoft.com/office/drawing/2014/main" id="{91BDA84A-4F0F-4951-8763-AC8A63014FB2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1033" name="Arrow: Up 1032">
          <a:extLst>
            <a:ext uri="{FF2B5EF4-FFF2-40B4-BE49-F238E27FC236}">
              <a16:creationId xmlns:a16="http://schemas.microsoft.com/office/drawing/2014/main" id="{A8299CBC-2469-42C2-9FAC-0F2F808DB990}"/>
            </a:ext>
          </a:extLst>
        </xdr:cNvPr>
        <xdr:cNvSpPr/>
      </xdr:nvSpPr>
      <xdr:spPr>
        <a:xfrm>
          <a:off x="13531716" y="130751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034" name="Arrow: Up 1033">
          <a:extLst>
            <a:ext uri="{FF2B5EF4-FFF2-40B4-BE49-F238E27FC236}">
              <a16:creationId xmlns:a16="http://schemas.microsoft.com/office/drawing/2014/main" id="{DD330AD1-9D92-4045-8F5C-3DCE5205B442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035" name="Arrow: Up 1034">
          <a:extLst>
            <a:ext uri="{FF2B5EF4-FFF2-40B4-BE49-F238E27FC236}">
              <a16:creationId xmlns:a16="http://schemas.microsoft.com/office/drawing/2014/main" id="{A761B0D0-106F-48C1-AC86-6A6867BE4EF7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036" name="Arrow: Up 1035">
          <a:extLst>
            <a:ext uri="{FF2B5EF4-FFF2-40B4-BE49-F238E27FC236}">
              <a16:creationId xmlns:a16="http://schemas.microsoft.com/office/drawing/2014/main" id="{B3AD2E12-C01A-448B-9751-DA940C039B48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037" name="Arrow: Up 1036">
          <a:extLst>
            <a:ext uri="{FF2B5EF4-FFF2-40B4-BE49-F238E27FC236}">
              <a16:creationId xmlns:a16="http://schemas.microsoft.com/office/drawing/2014/main" id="{A4B52B1D-B166-4A11-ACE5-7AA6E553963E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038" name="Arrow: Up 1037">
          <a:extLst>
            <a:ext uri="{FF2B5EF4-FFF2-40B4-BE49-F238E27FC236}">
              <a16:creationId xmlns:a16="http://schemas.microsoft.com/office/drawing/2014/main" id="{42713063-9D08-49A6-87EA-00EEACB820FA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039" name="Arrow: Up 1038">
          <a:extLst>
            <a:ext uri="{FF2B5EF4-FFF2-40B4-BE49-F238E27FC236}">
              <a16:creationId xmlns:a16="http://schemas.microsoft.com/office/drawing/2014/main" id="{EAE4CBB1-90B2-4521-A60F-A7174146CBF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040" name="Arrow: Up 1039">
          <a:extLst>
            <a:ext uri="{FF2B5EF4-FFF2-40B4-BE49-F238E27FC236}">
              <a16:creationId xmlns:a16="http://schemas.microsoft.com/office/drawing/2014/main" id="{C6DEA320-72D7-4332-AB10-FC07840B8A98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041" name="Arrow: Up 1040">
          <a:extLst>
            <a:ext uri="{FF2B5EF4-FFF2-40B4-BE49-F238E27FC236}">
              <a16:creationId xmlns:a16="http://schemas.microsoft.com/office/drawing/2014/main" id="{2066895C-F9AC-4988-84D6-718BA486B4C0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042" name="Arrow: Up 1041">
          <a:extLst>
            <a:ext uri="{FF2B5EF4-FFF2-40B4-BE49-F238E27FC236}">
              <a16:creationId xmlns:a16="http://schemas.microsoft.com/office/drawing/2014/main" id="{CA75A402-928B-49A5-BABB-D65ACA40A9AC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043" name="Arrow: Up 1042">
          <a:extLst>
            <a:ext uri="{FF2B5EF4-FFF2-40B4-BE49-F238E27FC236}">
              <a16:creationId xmlns:a16="http://schemas.microsoft.com/office/drawing/2014/main" id="{86C5F4E2-C906-4985-A3A4-115DA254203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044" name="Arrow: Up 1043">
          <a:extLst>
            <a:ext uri="{FF2B5EF4-FFF2-40B4-BE49-F238E27FC236}">
              <a16:creationId xmlns:a16="http://schemas.microsoft.com/office/drawing/2014/main" id="{189FC433-F7C5-4912-A55A-23794C550EB7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045" name="Arrow: Up 1044">
          <a:extLst>
            <a:ext uri="{FF2B5EF4-FFF2-40B4-BE49-F238E27FC236}">
              <a16:creationId xmlns:a16="http://schemas.microsoft.com/office/drawing/2014/main" id="{338B8807-138B-4E61-8D10-56894CB64F67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7BB1B1ED-E775-4189-B3F1-A1DF723A7E13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20E1C900-3AE0-481B-89E0-A5A8B864E2DA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5DAD9E48-8656-4FF9-B60B-AE7053C78AE3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7CD3D51-889E-4666-B31F-1C9606CEAD32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AD00B8C3-2CC0-43B4-84C4-FA437026F4DE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624B54C0-6493-40ED-89CB-AA11FE00B436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F354A7AC-FFEC-4651-8F04-D13A39A7668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053" name="Arrow: Up 1052">
          <a:extLst>
            <a:ext uri="{FF2B5EF4-FFF2-40B4-BE49-F238E27FC236}">
              <a16:creationId xmlns:a16="http://schemas.microsoft.com/office/drawing/2014/main" id="{D8989D51-DE1A-4854-B701-72DB1E838ADA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054" name="Arrow: Up 1053">
          <a:extLst>
            <a:ext uri="{FF2B5EF4-FFF2-40B4-BE49-F238E27FC236}">
              <a16:creationId xmlns:a16="http://schemas.microsoft.com/office/drawing/2014/main" id="{D7B96FEC-1D1E-41CA-A8D2-8498A9C66B58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1055" name="Arrow: Up 1054">
          <a:extLst>
            <a:ext uri="{FF2B5EF4-FFF2-40B4-BE49-F238E27FC236}">
              <a16:creationId xmlns:a16="http://schemas.microsoft.com/office/drawing/2014/main" id="{9056DB1D-D7EB-4E13-BDC3-3F0AFFD92215}"/>
            </a:ext>
          </a:extLst>
        </xdr:cNvPr>
        <xdr:cNvSpPr/>
      </xdr:nvSpPr>
      <xdr:spPr>
        <a:xfrm>
          <a:off x="13577889" y="191595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056" name="Arrow: Up 1055">
          <a:extLst>
            <a:ext uri="{FF2B5EF4-FFF2-40B4-BE49-F238E27FC236}">
              <a16:creationId xmlns:a16="http://schemas.microsoft.com/office/drawing/2014/main" id="{2E668A37-8246-4A1A-824D-5A73F6E8492E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9B5AAB2E-395B-4FF8-A61C-82EDCC74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058" name="Picture 1057">
          <a:extLst>
            <a:ext uri="{FF2B5EF4-FFF2-40B4-BE49-F238E27FC236}">
              <a16:creationId xmlns:a16="http://schemas.microsoft.com/office/drawing/2014/main" id="{FE02A3D8-3667-4BC1-AB4C-82A4EF7EB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C73F914-F2F6-4010-AC58-3F169D09940C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CEF07EE9-607B-43D7-9D24-30BF7BA2A2C4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2575DAB3-BB1B-4F5F-BFAE-1BCCF7A4FEFE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6BF984DC-6542-409A-B188-8FB8DF3F0D5A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D6E6617D-7440-4D80-B18A-EEB8F0F2EE5C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9399CCE3-273E-47FD-A29C-89E9DBB4795A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BEF1821C-7CC3-448F-A161-008C21AEA6E2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181FF953-A179-446B-A3CD-6203A49A0A76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3FD315AC-1237-4B0B-B6A6-9AD295038EE7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137919E3-0967-4F4C-8C6C-FC9C4429065D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B1A37C24-E4B8-4C70-ACBD-67EF5EC9BC2B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A604D315-7B8D-4431-BFC5-365D9DF09823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D8FF094E-AAC4-44A5-93C5-F377B8A9C8EA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5B070158-059D-4481-B135-664860678D07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EACF1968-46D3-4B30-97AF-18FF156466FE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D63A6F28-AF9B-4A1E-9574-1EAEA67AB97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B92A6AB9-B98D-4B2F-B97B-DBC045503DE8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257F0A1D-C361-409E-BF01-46EECD2ACF9C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2D0D9C50-FEDC-4C06-B668-9A10258A20F6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185B72CD-E480-4EB8-AFEE-2836EE773410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66B38C55-F892-4656-9FFB-D3BEC3E03EC5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33D75034-C1E8-487C-BE07-450F10327A90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9D8ACD17-293B-497C-B700-8721A050DC7C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8E01EDC5-C6B7-4E73-AC17-8A2763BB6162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7A0C9535-0FFA-4AEF-A4F9-4079436AF747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DCB6B217-FCB6-4D53-8A63-A22A91A5FF6A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527B60D2-3038-46B2-A7D0-B0A1BB8DF82E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8F9FF405-D1E3-4B38-BF18-4E0F737E5C86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DB64C5F8-BE89-4F66-8073-8AE368745DE0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D32E544-4FC7-4EDE-9750-56FB088517D5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EDF0F97-84F0-44BE-98E3-BC4324003977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A03D535-E0F8-4794-A7BC-1E28D08B9B7A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93756316-4920-4329-8944-B747E6C2B644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16236B3-9EBC-46B4-9CAA-ECA2347BD05D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9F427511-A3AB-4DBA-9287-12F90384C287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D890B2DD-611C-49D7-8BC6-333CBC620252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55A6831C-E978-48F5-9C21-A81AEABEA182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72074FDD-3F80-4451-A1B0-15446B04DC39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8E98DF43-4812-4BD1-A281-B9ED358B8EF1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56BB0044-1C52-4FEF-9CC2-D267462B6852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CD01A544-5E12-4DB1-837C-9215E1ECFC40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93F9D060-CD19-4593-8571-69407EC1D486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D42A7881-C10B-4666-ACFD-9CC81D2613E2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D9EF9585-DCD2-4E1A-A8F0-088AE1DE4DE9}"/>
            </a:ext>
          </a:extLst>
        </xdr:cNvPr>
        <xdr:cNvSpPr/>
      </xdr:nvSpPr>
      <xdr:spPr>
        <a:xfrm>
          <a:off x="1276350" y="15754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2C225CD9-6485-44DD-800B-7066532B498E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9C69129E-14CD-48CE-A4C8-3780C6D76671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5C3D33E6-E5B0-4576-9D87-356976D9C38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768CEDF3-BD48-4057-B6C4-D3934B8FACA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BFB14D5E-6BD6-46A6-AED9-445CDFC8312F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2980523-7835-4DB7-85D3-65DBB61D7745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9BA20C9-9B2F-44BC-BB67-46656D0D1347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58472D00-4860-4656-ABAE-1771750FECE2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127E8D19-08AC-4554-99A3-309680CECF2C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4EF2B9D7-FBF4-4D43-B67C-D1282BE60DA3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6838AAAC-E968-4168-9E5A-BA7542CD815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D5BF35AA-3B91-4A65-B6BA-03ED5E4A6F1D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81C700C9-45B8-4ACD-96E7-43A0A6D9B0D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72456D32-AE64-447B-9402-69B2AD664DD8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557DA290-AB85-49A5-ABEF-98F6B3A947F3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5DB334F4-0EC2-4F9A-97ED-97365F25D037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F526A19C-0D1F-47AC-AB7F-67F0E89A2A71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2058BA30-B1CE-4C0B-9EDE-148907022A89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177476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F3A1102B-E4C9-4425-9FC7-C1B65C78EC3A}"/>
            </a:ext>
          </a:extLst>
        </xdr:cNvPr>
        <xdr:cNvSpPr/>
      </xdr:nvSpPr>
      <xdr:spPr>
        <a:xfrm>
          <a:off x="5133975" y="965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AC4FE4EC-28C0-4E79-87D5-AA05FC2C168D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B29C241-8770-48F7-ACFA-60CD07348E88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E9F66341-7E8C-4C55-9F05-B9101EE7D5CC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4B8DF789-9108-4A06-803B-B7B515881B53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8B16D332-0104-4B1E-B666-AA566CB4A488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22E2FE0B-2916-4B84-852D-735E372461B9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1138" name="5-Point Star 520">
          <a:extLst>
            <a:ext uri="{FF2B5EF4-FFF2-40B4-BE49-F238E27FC236}">
              <a16:creationId xmlns:a16="http://schemas.microsoft.com/office/drawing/2014/main" id="{BB5A46EB-80D4-470B-A289-FCC07F654419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1140" name="Curved Connector 522">
          <a:extLst>
            <a:ext uri="{FF2B5EF4-FFF2-40B4-BE49-F238E27FC236}">
              <a16:creationId xmlns:a16="http://schemas.microsoft.com/office/drawing/2014/main" id="{07C9003A-8976-4928-AE5A-48CE1321C111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AE4356E5-CB85-4F6A-946C-4E3700AF25CC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96C883B7-986D-45D0-B1EF-2590CBEAD5B5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143C12A0-24BD-4AB6-B02B-D7472A60487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F39391D7-B2F6-42B6-9EB2-BC8ED2A3EBE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57086BFA-42DA-46EA-9600-D0DADA68779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2B2600F4-9964-4A7E-A13D-6B440DF95069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8C1437B1-A8D1-4D9C-B373-D97966511D9D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A7599A60-4EDA-46C5-AE13-2098AECC85E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4A7FBD74-258A-46B1-B025-DCECF1B0F17B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B5589AE5-677E-489D-A917-C765F0848A6A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B5E3F681-7061-495B-8758-CC8C4A75AACE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E7FCC814-66B7-436A-B3A8-C1EB9D26CB42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8B2FC331-378E-4E89-8A77-27863BA56CD5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5C7E8916-F0AE-4869-9349-2FFD5D9AB643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6DDAA7B4-071A-46E0-A1D3-2B8E8BF6D300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6DD587E5-BC6E-432C-99DA-DB93298EBE82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9EA8E8D9-B75B-4EFC-9B95-84A7942E0CD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9BC35085-6DFF-4477-86A3-9AC89AF06B1C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C59402FD-1D71-4CF6-B24F-33966BA9E9FB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68305635-AF6E-40EF-AD71-EBD00799E80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5606F248-8BFB-44F1-A3F1-F61925F8B8B1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162" name="Picture 1161" descr="A black and white symbol&#10;&#10;Description automatically generated">
          <a:extLst>
            <a:ext uri="{FF2B5EF4-FFF2-40B4-BE49-F238E27FC236}">
              <a16:creationId xmlns:a16="http://schemas.microsoft.com/office/drawing/2014/main" id="{CC492C66-461E-47D2-8D64-E7B8B36B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383CAA4B-0A41-48E2-A854-3A4C0805C624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57FEB984-18AC-415B-A9C8-76DD65B534B4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591A08D-1436-4D46-8D08-F73F9A9EE5C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E9E0776A-222F-48F3-9E34-36E0D327263E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A22B2715-A5AE-485F-9124-142F258523AB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4AE8804B-ABC2-4B34-BB2A-9305AB6037C6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45B7A24-8809-480C-A760-1FD0E8434EF4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6C4F86EF-74AE-4D63-BDD8-D003E50EA122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CDF45167-BEF0-42EA-93E3-5DA69E481E3B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B623964F-F478-4858-9A0B-7EBF8C490248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F3D7F669-DD29-48AD-85AD-702D698F03B7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8BACF209-25EE-49E6-8E86-BF0F7AF75F01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994EBF03-5D16-4F18-AAAE-0BE785D2733E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C6518E33-31B3-408D-9886-5D04C480608B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77DFB21-476C-4A67-9AED-FDE05F37B168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22194D8-ED63-4B2B-A288-15116DD9008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47D58526-8F79-432C-8BF4-B24EDA26608C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F81E7F3B-CD6A-4C16-9E3D-3E47889FFAAB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758823D1-6F39-4AA9-9DE4-7A01B51C729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B080EB12-013D-4DC1-AAFF-7BD0143F86AC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94ECE4A8-43FA-4298-B35B-A39CA65DA201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92B170AE-BEC7-4B7F-BC70-9AD58EF99352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4943EF69-5540-4707-9A74-4B74E1B8CE14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EDD16084-D39B-4466-B03A-A7610AFE1AA2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87" name="Arrow: Up 1186">
          <a:extLst>
            <a:ext uri="{FF2B5EF4-FFF2-40B4-BE49-F238E27FC236}">
              <a16:creationId xmlns:a16="http://schemas.microsoft.com/office/drawing/2014/main" id="{525D1D9B-4F3F-4D25-8577-E0362BF3653B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C0844571-6F82-46A1-881E-3A992206341A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85D22FA0-0CB4-4475-9EAF-97273DAB3364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3704C8C6-07A6-4A2C-84D5-8A4EB04767C2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291534BB-9AF7-4FDC-902A-0C9F6B56A171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963393A9-3FCC-4417-A189-02F401989219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BB0ADB73-22C1-49E9-91FB-27F633BDECD1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E136F4FC-400D-4BF9-A26F-7B67B0BC7234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E01D1A23-CC51-4331-AD80-431A9DB7E5F9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9558511-0E4E-4787-95C7-F1F0DADCDF25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889EA588-A632-4961-843E-07A12F7ADEEA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9948353B-DD52-46E0-80DB-3F143A425B97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9EE73098-E60A-43FC-A03B-9439EDD4ED7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38D16274-50A8-4468-9A83-0367313923BB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851CB352-3D3B-49B9-A5E5-257D964E3C56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235CB589-A217-4056-8531-11F2CFA93824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39F0E06-03CA-4723-8359-146BC7A2258C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7F19EA9F-176A-4F52-AA0D-61F05CA04CDC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C71C8A24-54B8-4258-94B3-DCBAA0DAC84B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C2A5234C-B23D-4484-B7F5-23F37B12EB6D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61CAE14-DD99-4EDD-AF22-D01F05BAB7DA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A369AF15-9C29-4A49-968A-DFD21DF348F0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973C22B1-27C0-4C40-9EAB-95498997D413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C15317C-A133-4A36-95C4-6F74049FC436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D1CEFDB7-E41E-43D0-97DB-8DF53756BCF0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99AC3836-0EF2-4130-B222-CA082E762FD5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499999B5-44F8-481B-9A58-1793C878BC4B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AFD698BC-3E56-4C19-BBEF-19BC1EE63F5C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AEB1EA57-1E02-4A60-8DDF-143D455CDA0D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2996BBD6-53A9-46F4-ABE7-4B99BAFB1F4E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4E3D9F74-AE39-4D80-BD2B-095633879A88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FA8A9904-F8DD-4C4C-A835-0310D1A851C7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F45B4315-BBED-42B2-9D1A-E54FFEB3388E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3842E085-0FD6-4948-B924-7F5CDB47CE7C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C7BA1723-2597-4803-8510-8C1B0AE0DDB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7F4060A3-6361-4DCD-826F-2702D0965F3E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EAA3526E-B7D3-49EB-9A3E-B6271386E5F6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F7A4C2EA-AC21-49A4-B8BE-CBCCAB7F8643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B6B35C5C-EE07-4CEB-881E-E4957FB173E7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CC12B202-F472-44FE-BCEA-475779EA001C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A0A0360E-E3CA-4100-8F33-101F89A9E6B4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55675FBA-9E8E-44A1-B3A0-A7A958B339AB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1C216BBD-7788-4740-8C66-909D3DBE3421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C0947B02-41A0-48ED-9410-D82320CE70A8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9E678292-CD9A-4B6E-B28E-396851E68D6D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57C9022C-1615-4508-8339-7720A8DD5F09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A710946-5B5F-495D-91CE-8706E8F6A12F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F76D450F-8350-4297-949C-7A4F0CE7592F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235" name="Arrow: Up 1234">
          <a:extLst>
            <a:ext uri="{FF2B5EF4-FFF2-40B4-BE49-F238E27FC236}">
              <a16:creationId xmlns:a16="http://schemas.microsoft.com/office/drawing/2014/main" id="{10C2790A-5B6E-4041-84AF-1E7766121D43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8C77B331-0F52-42BF-AEF8-EFE55646C14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E4330021-542B-4A3D-8C58-07C156F2AB34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440C786B-DB58-4E87-A10A-F43CDBCFC5F2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E4A6A3FE-E077-4E4C-BE6D-F1E65E3070E2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321F0C5F-6845-4609-BF41-2F898E2FDD52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2299AD4B-F1EC-445D-B853-4D20A619098C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E80F170D-80C4-4219-9F9D-EE867842028D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48FA8A0-7A0F-4AE3-BDEC-4054F66E593C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A07414C3-FCF7-4D1F-858D-266AEE573AF2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A2CE7459-8D0C-47DB-813F-8DB310550D45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F9CA003B-6A61-44BD-9C39-F4F319D68558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7F99FBD3-2971-4C8E-A0BE-ACA2467486DD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29695B65-2729-4409-BA55-1A02CAC2925E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E1F76255-1BE9-4166-8EEA-B86A0DD3B6FE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27B16271-7FB3-485C-B0DE-016BF0CECFD6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BAF551B1-CDC4-49E6-94BA-65D0D3B6D53F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E31DF294-D46B-4843-8D51-4C4456E69E8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3DAD0DCF-3E08-4C07-B13E-1DE3123B49E1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7FA9D270-1ACC-4A4C-B955-DF9B950D54EE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33F3C429-7855-4C9B-9C03-C4CAD6B1B89F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9477DB5-B423-4D8D-91CB-56417FA6339C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D6978CBC-C9D3-408B-A000-664EDBF9363E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34EEE658-902F-4B65-BFCF-DE22D103D970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6BD7F785-88A4-444E-974E-ACE0910B219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260" name="Arrow: Up 1259">
          <a:extLst>
            <a:ext uri="{FF2B5EF4-FFF2-40B4-BE49-F238E27FC236}">
              <a16:creationId xmlns:a16="http://schemas.microsoft.com/office/drawing/2014/main" id="{56BFB46F-BE2C-480C-9705-FA1D7845A5D1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21307B76-F712-4CB2-8151-98ADED6E44E7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53DBB20E-FA79-4FC2-A581-263F170B260C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5F55F996-CF33-417A-BCE4-0076A40DE7CF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54A194D4-DC04-421F-B03E-0C6188FE9467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5AD5E59C-5806-49A1-BE6E-4DDFD97AFF7B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7D14AFE8-8F60-4F2C-A42F-28C73923C9DD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7BA828BD-9722-4FC4-AD78-8C620C76DA6B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6399B39B-3514-4C11-B4C0-F2233329D0BC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E3C0DE03-F781-41C0-94F8-E7B1A3280E14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41706E2-2983-439E-B78F-A30168D88F3B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88A6BA31-0D54-4B92-B9B3-8D074B46F1F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1E97ABC5-3E4B-4EE2-AC19-756FA3BDE356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51E596A9-C2A0-42C4-80E3-4E822CC8CA1C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D9CCCF71-AADF-46A1-BEF0-DA881970D655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4B7224B4-5C71-4BA0-A522-2CC35F161FA7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7A0BE01-2CD2-4C6A-975D-B31DF109B05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616220F2-5442-47B7-A95F-C449F725B171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C5464E80-7F3E-423F-AE7D-51C55B9D7B0B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DE8A00C7-CE33-41D6-8138-ED5BA56383A7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F7E7B06C-B37E-4C19-A8C0-60FFADBA7EBD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FEEAED17-2429-4870-9AED-298CF0FC4BDD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79861119-CB77-4C4B-B1AD-AFAAF0016CE1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7EE3CD80-3684-41CA-8037-2CDFB1E4587D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84" name="Isosceles Triangle 1283">
          <a:extLst>
            <a:ext uri="{FF2B5EF4-FFF2-40B4-BE49-F238E27FC236}">
              <a16:creationId xmlns:a16="http://schemas.microsoft.com/office/drawing/2014/main" id="{ACBE98DC-16F8-4F32-933C-9B41B92597F4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85" name="Arrow: Up 1284">
          <a:extLst>
            <a:ext uri="{FF2B5EF4-FFF2-40B4-BE49-F238E27FC236}">
              <a16:creationId xmlns:a16="http://schemas.microsoft.com/office/drawing/2014/main" id="{2D7C6B6C-C132-4E59-9F0B-BD3A8F7540FF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86" name="Isosceles Triangle 1285">
          <a:extLst>
            <a:ext uri="{FF2B5EF4-FFF2-40B4-BE49-F238E27FC236}">
              <a16:creationId xmlns:a16="http://schemas.microsoft.com/office/drawing/2014/main" id="{7D625A92-CED0-4B19-9C8D-E904B0132612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87" name="Isosceles Triangle 1286">
          <a:extLst>
            <a:ext uri="{FF2B5EF4-FFF2-40B4-BE49-F238E27FC236}">
              <a16:creationId xmlns:a16="http://schemas.microsoft.com/office/drawing/2014/main" id="{E51D82FC-8366-45AB-AA7B-7F973983DD44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88" name="Isosceles Triangle 1287">
          <a:extLst>
            <a:ext uri="{FF2B5EF4-FFF2-40B4-BE49-F238E27FC236}">
              <a16:creationId xmlns:a16="http://schemas.microsoft.com/office/drawing/2014/main" id="{0E4E3ED8-578A-4B43-8A65-0E87174AA443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89" name="Isosceles Triangle 1288">
          <a:extLst>
            <a:ext uri="{FF2B5EF4-FFF2-40B4-BE49-F238E27FC236}">
              <a16:creationId xmlns:a16="http://schemas.microsoft.com/office/drawing/2014/main" id="{3C62CCED-0F15-4614-8657-144D02E96D86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90" name="Isosceles Triangle 1289">
          <a:extLst>
            <a:ext uri="{FF2B5EF4-FFF2-40B4-BE49-F238E27FC236}">
              <a16:creationId xmlns:a16="http://schemas.microsoft.com/office/drawing/2014/main" id="{AEAF291F-99AE-4B36-8BC4-2DE4F5B474FF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91" name="Isosceles Triangle 1290">
          <a:extLst>
            <a:ext uri="{FF2B5EF4-FFF2-40B4-BE49-F238E27FC236}">
              <a16:creationId xmlns:a16="http://schemas.microsoft.com/office/drawing/2014/main" id="{4FC6870C-C8D4-48F1-9F99-931F5A6D09B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92" name="Isosceles Triangle 1291">
          <a:extLst>
            <a:ext uri="{FF2B5EF4-FFF2-40B4-BE49-F238E27FC236}">
              <a16:creationId xmlns:a16="http://schemas.microsoft.com/office/drawing/2014/main" id="{D261E68B-CA6F-408D-BCD5-F015CE56CF56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93" name="Isosceles Triangle 1292">
          <a:extLst>
            <a:ext uri="{FF2B5EF4-FFF2-40B4-BE49-F238E27FC236}">
              <a16:creationId xmlns:a16="http://schemas.microsoft.com/office/drawing/2014/main" id="{371DF946-8C01-40D7-A230-305D8395C319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94" name="Isosceles Triangle 1293">
          <a:extLst>
            <a:ext uri="{FF2B5EF4-FFF2-40B4-BE49-F238E27FC236}">
              <a16:creationId xmlns:a16="http://schemas.microsoft.com/office/drawing/2014/main" id="{B6CFCD5F-410F-4E4F-8151-5791AB67C74F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95" name="Isosceles Triangle 1294">
          <a:extLst>
            <a:ext uri="{FF2B5EF4-FFF2-40B4-BE49-F238E27FC236}">
              <a16:creationId xmlns:a16="http://schemas.microsoft.com/office/drawing/2014/main" id="{E654B718-17EC-4192-9960-7E9C9870BEB4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96" name="Isosceles Triangle 1295">
          <a:extLst>
            <a:ext uri="{FF2B5EF4-FFF2-40B4-BE49-F238E27FC236}">
              <a16:creationId xmlns:a16="http://schemas.microsoft.com/office/drawing/2014/main" id="{659B9C46-759F-486F-89E7-1CEF4ED6B197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97" name="Isosceles Triangle 1296">
          <a:extLst>
            <a:ext uri="{FF2B5EF4-FFF2-40B4-BE49-F238E27FC236}">
              <a16:creationId xmlns:a16="http://schemas.microsoft.com/office/drawing/2014/main" id="{FA2D24EA-4B9F-45A7-9752-2C4407759EC3}"/>
            </a:ext>
          </a:extLst>
        </xdr:cNvPr>
        <xdr:cNvSpPr/>
      </xdr:nvSpPr>
      <xdr:spPr>
        <a:xfrm>
          <a:off x="1280097" y="30998097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98" name="Isosceles Triangle 1297">
          <a:extLst>
            <a:ext uri="{FF2B5EF4-FFF2-40B4-BE49-F238E27FC236}">
              <a16:creationId xmlns:a16="http://schemas.microsoft.com/office/drawing/2014/main" id="{4F210EC6-DF6B-46DE-B0FA-ED0CA2D94ECF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99" name="Isosceles Triangle 1298">
          <a:extLst>
            <a:ext uri="{FF2B5EF4-FFF2-40B4-BE49-F238E27FC236}">
              <a16:creationId xmlns:a16="http://schemas.microsoft.com/office/drawing/2014/main" id="{DAD3BAED-288F-4E2C-B1E5-83BF92BBC65F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300" name="Isosceles Triangle 1299">
          <a:extLst>
            <a:ext uri="{FF2B5EF4-FFF2-40B4-BE49-F238E27FC236}">
              <a16:creationId xmlns:a16="http://schemas.microsoft.com/office/drawing/2014/main" id="{A4DB8095-8331-4345-B860-3EDBCB42DAFD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162</xdr:row>
      <xdr:rowOff>0</xdr:rowOff>
    </xdr:from>
    <xdr:to>
      <xdr:col>17</xdr:col>
      <xdr:colOff>256442</xdr:colOff>
      <xdr:row>163</xdr:row>
      <xdr:rowOff>183173</xdr:rowOff>
    </xdr:to>
    <xdr:sp macro="" textlink="">
      <xdr:nvSpPr>
        <xdr:cNvPr id="1301" name="Isosceles Triangle 1300">
          <a:extLst>
            <a:ext uri="{FF2B5EF4-FFF2-40B4-BE49-F238E27FC236}">
              <a16:creationId xmlns:a16="http://schemas.microsoft.com/office/drawing/2014/main" id="{A0FF1E4A-0B20-44AA-97F7-76651D267360}"/>
            </a:ext>
          </a:extLst>
        </xdr:cNvPr>
        <xdr:cNvSpPr/>
      </xdr:nvSpPr>
      <xdr:spPr>
        <a:xfrm>
          <a:off x="51339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302" name="Isosceles Triangle 1301">
          <a:extLst>
            <a:ext uri="{FF2B5EF4-FFF2-40B4-BE49-F238E27FC236}">
              <a16:creationId xmlns:a16="http://schemas.microsoft.com/office/drawing/2014/main" id="{836C7DA9-2F40-479A-AB63-A98AF8F1BB78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303" name="Isosceles Triangle 1302">
          <a:extLst>
            <a:ext uri="{FF2B5EF4-FFF2-40B4-BE49-F238E27FC236}">
              <a16:creationId xmlns:a16="http://schemas.microsoft.com/office/drawing/2014/main" id="{69F1BE60-3F1B-484B-8697-D2DC6E39EDF2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304" name="Isosceles Triangle 1303">
          <a:extLst>
            <a:ext uri="{FF2B5EF4-FFF2-40B4-BE49-F238E27FC236}">
              <a16:creationId xmlns:a16="http://schemas.microsoft.com/office/drawing/2014/main" id="{B3150CB9-3E2F-447B-AFD4-A76E346604B6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305" name="Isosceles Triangle 1304">
          <a:extLst>
            <a:ext uri="{FF2B5EF4-FFF2-40B4-BE49-F238E27FC236}">
              <a16:creationId xmlns:a16="http://schemas.microsoft.com/office/drawing/2014/main" id="{0CE9DA04-D1FA-4973-844F-36C8C082012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307" name="Isosceles Triangle 1306">
          <a:extLst>
            <a:ext uri="{FF2B5EF4-FFF2-40B4-BE49-F238E27FC236}">
              <a16:creationId xmlns:a16="http://schemas.microsoft.com/office/drawing/2014/main" id="{69BD3141-92BE-4400-916D-D53A7B6735A1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308" name="Isosceles Triangle 1307">
          <a:extLst>
            <a:ext uri="{FF2B5EF4-FFF2-40B4-BE49-F238E27FC236}">
              <a16:creationId xmlns:a16="http://schemas.microsoft.com/office/drawing/2014/main" id="{FBA84AC6-2C22-41BC-87E8-24E7BF3D3BD0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309" name="Isosceles Triangle 1308">
          <a:extLst>
            <a:ext uri="{FF2B5EF4-FFF2-40B4-BE49-F238E27FC236}">
              <a16:creationId xmlns:a16="http://schemas.microsoft.com/office/drawing/2014/main" id="{F554E2F5-86AE-455C-8C05-371D10BD63D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310" name="Arrow: Up 1309">
          <a:extLst>
            <a:ext uri="{FF2B5EF4-FFF2-40B4-BE49-F238E27FC236}">
              <a16:creationId xmlns:a16="http://schemas.microsoft.com/office/drawing/2014/main" id="{C81A7435-D904-40BB-A4BF-2599E17A4A0D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311" name="Isosceles Triangle 1310">
          <a:extLst>
            <a:ext uri="{FF2B5EF4-FFF2-40B4-BE49-F238E27FC236}">
              <a16:creationId xmlns:a16="http://schemas.microsoft.com/office/drawing/2014/main" id="{0F7AF4F2-B916-4D50-B2FD-B59218D75326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312" name="Isosceles Triangle 1311">
          <a:extLst>
            <a:ext uri="{FF2B5EF4-FFF2-40B4-BE49-F238E27FC236}">
              <a16:creationId xmlns:a16="http://schemas.microsoft.com/office/drawing/2014/main" id="{5F97F329-B749-4654-8433-B8B277B82B13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313" name="Isosceles Triangle 1312">
          <a:extLst>
            <a:ext uri="{FF2B5EF4-FFF2-40B4-BE49-F238E27FC236}">
              <a16:creationId xmlns:a16="http://schemas.microsoft.com/office/drawing/2014/main" id="{5A2490A0-18D2-4F90-A62E-73129E4AB7CD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314" name="Isosceles Triangle 1313">
          <a:extLst>
            <a:ext uri="{FF2B5EF4-FFF2-40B4-BE49-F238E27FC236}">
              <a16:creationId xmlns:a16="http://schemas.microsoft.com/office/drawing/2014/main" id="{57F1C5BA-C25A-4084-8E04-88CD0DB372E2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162</xdr:row>
      <xdr:rowOff>0</xdr:rowOff>
    </xdr:from>
    <xdr:to>
      <xdr:col>17</xdr:col>
      <xdr:colOff>256442</xdr:colOff>
      <xdr:row>163</xdr:row>
      <xdr:rowOff>177475</xdr:rowOff>
    </xdr:to>
    <xdr:sp macro="" textlink="">
      <xdr:nvSpPr>
        <xdr:cNvPr id="1315" name="Isosceles Triangle 1314">
          <a:extLst>
            <a:ext uri="{FF2B5EF4-FFF2-40B4-BE49-F238E27FC236}">
              <a16:creationId xmlns:a16="http://schemas.microsoft.com/office/drawing/2014/main" id="{4A350EA4-FDCB-4F08-8DB1-B538315BCA6E}"/>
            </a:ext>
          </a:extLst>
        </xdr:cNvPr>
        <xdr:cNvSpPr/>
      </xdr:nvSpPr>
      <xdr:spPr>
        <a:xfrm>
          <a:off x="5133975" y="309943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316" name="Isosceles Triangle 1315">
          <a:extLst>
            <a:ext uri="{FF2B5EF4-FFF2-40B4-BE49-F238E27FC236}">
              <a16:creationId xmlns:a16="http://schemas.microsoft.com/office/drawing/2014/main" id="{2D4E0B03-CA29-474A-A15C-9B9DC2073DD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317" name="Isosceles Triangle 1316">
          <a:extLst>
            <a:ext uri="{FF2B5EF4-FFF2-40B4-BE49-F238E27FC236}">
              <a16:creationId xmlns:a16="http://schemas.microsoft.com/office/drawing/2014/main" id="{D0838C4C-6FE0-4821-A014-ECCB3FD5B840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318" name="Isosceles Triangle 1317">
          <a:extLst>
            <a:ext uri="{FF2B5EF4-FFF2-40B4-BE49-F238E27FC236}">
              <a16:creationId xmlns:a16="http://schemas.microsoft.com/office/drawing/2014/main" id="{5D0F6FA6-E3CC-4BFB-B017-620218D1A333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319" name="Isosceles Triangle 1318">
          <a:extLst>
            <a:ext uri="{FF2B5EF4-FFF2-40B4-BE49-F238E27FC236}">
              <a16:creationId xmlns:a16="http://schemas.microsoft.com/office/drawing/2014/main" id="{A86C0CE6-EFD3-493D-BA4A-6F6C2336B639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320" name="Isosceles Triangle 1319">
          <a:extLst>
            <a:ext uri="{FF2B5EF4-FFF2-40B4-BE49-F238E27FC236}">
              <a16:creationId xmlns:a16="http://schemas.microsoft.com/office/drawing/2014/main" id="{7E4D2D03-F977-4659-8B4D-27E62762303B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322" name="Isosceles Triangle 1321">
          <a:extLst>
            <a:ext uri="{FF2B5EF4-FFF2-40B4-BE49-F238E27FC236}">
              <a16:creationId xmlns:a16="http://schemas.microsoft.com/office/drawing/2014/main" id="{6A45B066-B31A-4601-A97C-77C2A73998B9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323" name="Isosceles Triangle 1322">
          <a:extLst>
            <a:ext uri="{FF2B5EF4-FFF2-40B4-BE49-F238E27FC236}">
              <a16:creationId xmlns:a16="http://schemas.microsoft.com/office/drawing/2014/main" id="{22F2573B-5C0F-47DC-8AC6-B2D500E8C0A4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324" name="Isosceles Triangle 1323">
          <a:extLst>
            <a:ext uri="{FF2B5EF4-FFF2-40B4-BE49-F238E27FC236}">
              <a16:creationId xmlns:a16="http://schemas.microsoft.com/office/drawing/2014/main" id="{9050A960-9C7F-4424-B29F-5F9CF5D6CF90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325" name="Isosceles Triangle 1324">
          <a:extLst>
            <a:ext uri="{FF2B5EF4-FFF2-40B4-BE49-F238E27FC236}">
              <a16:creationId xmlns:a16="http://schemas.microsoft.com/office/drawing/2014/main" id="{ED1E6FE7-78D9-49F9-B990-7C72A202142C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326" name="Isosceles Triangle 1325">
          <a:extLst>
            <a:ext uri="{FF2B5EF4-FFF2-40B4-BE49-F238E27FC236}">
              <a16:creationId xmlns:a16="http://schemas.microsoft.com/office/drawing/2014/main" id="{EE9F32C1-CC57-41F0-B41E-E5BDD6A18C19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327" name="Isosceles Triangle 1326">
          <a:extLst>
            <a:ext uri="{FF2B5EF4-FFF2-40B4-BE49-F238E27FC236}">
              <a16:creationId xmlns:a16="http://schemas.microsoft.com/office/drawing/2014/main" id="{22636EC1-8B09-4304-964E-25CB5A08D71C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328" name="Isosceles Triangle 1327">
          <a:extLst>
            <a:ext uri="{FF2B5EF4-FFF2-40B4-BE49-F238E27FC236}">
              <a16:creationId xmlns:a16="http://schemas.microsoft.com/office/drawing/2014/main" id="{5FD8E221-8D82-4D68-9DDA-BFF835FF0EDB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329" name="Isosceles Triangle 1328">
          <a:extLst>
            <a:ext uri="{FF2B5EF4-FFF2-40B4-BE49-F238E27FC236}">
              <a16:creationId xmlns:a16="http://schemas.microsoft.com/office/drawing/2014/main" id="{81456637-A636-4FF7-B127-A940FA80CB9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330" name="Isosceles Triangle 1329">
          <a:extLst>
            <a:ext uri="{FF2B5EF4-FFF2-40B4-BE49-F238E27FC236}">
              <a16:creationId xmlns:a16="http://schemas.microsoft.com/office/drawing/2014/main" id="{D8035EBA-D2D8-46D7-89D8-E39A79D771E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331" name="Isosceles Triangle 1330">
          <a:extLst>
            <a:ext uri="{FF2B5EF4-FFF2-40B4-BE49-F238E27FC236}">
              <a16:creationId xmlns:a16="http://schemas.microsoft.com/office/drawing/2014/main" id="{5DF841BF-88DF-4ABC-9A7E-0477EC9D0435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332" name="Isosceles Triangle 1331">
          <a:extLst>
            <a:ext uri="{FF2B5EF4-FFF2-40B4-BE49-F238E27FC236}">
              <a16:creationId xmlns:a16="http://schemas.microsoft.com/office/drawing/2014/main" id="{299C0083-772D-462C-8642-7A1A2C928B5C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333" name="Isosceles Triangle 1332">
          <a:extLst>
            <a:ext uri="{FF2B5EF4-FFF2-40B4-BE49-F238E27FC236}">
              <a16:creationId xmlns:a16="http://schemas.microsoft.com/office/drawing/2014/main" id="{526F94DA-C1AF-4F10-A5FA-85CF79258FBC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335" name="Isosceles Triangle 1334">
          <a:extLst>
            <a:ext uri="{FF2B5EF4-FFF2-40B4-BE49-F238E27FC236}">
              <a16:creationId xmlns:a16="http://schemas.microsoft.com/office/drawing/2014/main" id="{8BDB35DF-C98B-4869-8213-D4686B4C41D3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336" name="Isosceles Triangle 1335">
          <a:extLst>
            <a:ext uri="{FF2B5EF4-FFF2-40B4-BE49-F238E27FC236}">
              <a16:creationId xmlns:a16="http://schemas.microsoft.com/office/drawing/2014/main" id="{46924569-E25A-4860-B2D3-B12CD4A0C795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337" name="Isosceles Triangle 1336">
          <a:extLst>
            <a:ext uri="{FF2B5EF4-FFF2-40B4-BE49-F238E27FC236}">
              <a16:creationId xmlns:a16="http://schemas.microsoft.com/office/drawing/2014/main" id="{9AF38977-3FFF-46D3-BA1A-DECF0B9299C7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338" name="Isosceles Triangle 1337">
          <a:extLst>
            <a:ext uri="{FF2B5EF4-FFF2-40B4-BE49-F238E27FC236}">
              <a16:creationId xmlns:a16="http://schemas.microsoft.com/office/drawing/2014/main" id="{DF8AB3C6-53AB-4153-BCF6-CB9774AA945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339" name="Isosceles Triangle 1338">
          <a:extLst>
            <a:ext uri="{FF2B5EF4-FFF2-40B4-BE49-F238E27FC236}">
              <a16:creationId xmlns:a16="http://schemas.microsoft.com/office/drawing/2014/main" id="{36AAB412-E47B-4D63-BA74-B49695ED55FD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340" name="Isosceles Triangle 1339">
          <a:extLst>
            <a:ext uri="{FF2B5EF4-FFF2-40B4-BE49-F238E27FC236}">
              <a16:creationId xmlns:a16="http://schemas.microsoft.com/office/drawing/2014/main" id="{1D8668CA-E83B-4475-9BFE-1B9923EBDA92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341" name="Isosceles Triangle 1340">
          <a:extLst>
            <a:ext uri="{FF2B5EF4-FFF2-40B4-BE49-F238E27FC236}">
              <a16:creationId xmlns:a16="http://schemas.microsoft.com/office/drawing/2014/main" id="{9689A4EF-0088-4A7B-A4EB-5EA28A11C89D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342" name="Isosceles Triangle 1341">
          <a:extLst>
            <a:ext uri="{FF2B5EF4-FFF2-40B4-BE49-F238E27FC236}">
              <a16:creationId xmlns:a16="http://schemas.microsoft.com/office/drawing/2014/main" id="{5F12378C-00F6-4F8D-9226-83E31F7DE55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343" name="Isosceles Triangle 1342">
          <a:extLst>
            <a:ext uri="{FF2B5EF4-FFF2-40B4-BE49-F238E27FC236}">
              <a16:creationId xmlns:a16="http://schemas.microsoft.com/office/drawing/2014/main" id="{F2ACE002-242C-48FA-B29F-3A0B0425386B}"/>
            </a:ext>
          </a:extLst>
        </xdr:cNvPr>
        <xdr:cNvSpPr/>
      </xdr:nvSpPr>
      <xdr:spPr>
        <a:xfrm>
          <a:off x="1277744" y="33232957"/>
          <a:ext cx="548929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344" name="Isosceles Triangle 1343">
          <a:extLst>
            <a:ext uri="{FF2B5EF4-FFF2-40B4-BE49-F238E27FC236}">
              <a16:creationId xmlns:a16="http://schemas.microsoft.com/office/drawing/2014/main" id="{460202F1-B46C-4AB9-9C03-FBA63DD42021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345" name="Isosceles Triangle 1344">
          <a:extLst>
            <a:ext uri="{FF2B5EF4-FFF2-40B4-BE49-F238E27FC236}">
              <a16:creationId xmlns:a16="http://schemas.microsoft.com/office/drawing/2014/main" id="{D58AA136-C7EC-410A-9504-E4BCA6690856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346" name="Isosceles Triangle 1345">
          <a:extLst>
            <a:ext uri="{FF2B5EF4-FFF2-40B4-BE49-F238E27FC236}">
              <a16:creationId xmlns:a16="http://schemas.microsoft.com/office/drawing/2014/main" id="{58BE998F-B2CF-4F71-8D7A-18A17B6F7638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347" name="Isosceles Triangle 1346">
          <a:extLst>
            <a:ext uri="{FF2B5EF4-FFF2-40B4-BE49-F238E27FC236}">
              <a16:creationId xmlns:a16="http://schemas.microsoft.com/office/drawing/2014/main" id="{22E02770-DBE6-4564-AD72-0DD7DBA96427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348" name="Isosceles Triangle 1347">
          <a:extLst>
            <a:ext uri="{FF2B5EF4-FFF2-40B4-BE49-F238E27FC236}">
              <a16:creationId xmlns:a16="http://schemas.microsoft.com/office/drawing/2014/main" id="{BB7641CF-ACDA-4C57-B7BD-CEC305E470F3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349" name="Isosceles Triangle 1348">
          <a:extLst>
            <a:ext uri="{FF2B5EF4-FFF2-40B4-BE49-F238E27FC236}">
              <a16:creationId xmlns:a16="http://schemas.microsoft.com/office/drawing/2014/main" id="{F21B7666-1F73-4E08-9EBA-4B32A059460A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350" name="Isosceles Triangle 1349">
          <a:extLst>
            <a:ext uri="{FF2B5EF4-FFF2-40B4-BE49-F238E27FC236}">
              <a16:creationId xmlns:a16="http://schemas.microsoft.com/office/drawing/2014/main" id="{BBC3D6E2-2359-4322-AAD9-947C43FCA39B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351" name="Isosceles Triangle 1350">
          <a:extLst>
            <a:ext uri="{FF2B5EF4-FFF2-40B4-BE49-F238E27FC236}">
              <a16:creationId xmlns:a16="http://schemas.microsoft.com/office/drawing/2014/main" id="{DC6152FA-6FB8-4580-A981-19EE152A05DD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352" name="Isosceles Triangle 1351">
          <a:extLst>
            <a:ext uri="{FF2B5EF4-FFF2-40B4-BE49-F238E27FC236}">
              <a16:creationId xmlns:a16="http://schemas.microsoft.com/office/drawing/2014/main" id="{2B5C8942-97E6-4393-9EF0-6A53FE55115C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353" name="Isosceles Triangle 1352">
          <a:extLst>
            <a:ext uri="{FF2B5EF4-FFF2-40B4-BE49-F238E27FC236}">
              <a16:creationId xmlns:a16="http://schemas.microsoft.com/office/drawing/2014/main" id="{71F5A020-EA7E-47C6-A2FD-3713471866E8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354" name="Isosceles Triangle 1353">
          <a:extLst>
            <a:ext uri="{FF2B5EF4-FFF2-40B4-BE49-F238E27FC236}">
              <a16:creationId xmlns:a16="http://schemas.microsoft.com/office/drawing/2014/main" id="{3F9F357C-DB09-4EF3-9A69-881FB0B38A5D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355" name="Isosceles Triangle 1354">
          <a:extLst>
            <a:ext uri="{FF2B5EF4-FFF2-40B4-BE49-F238E27FC236}">
              <a16:creationId xmlns:a16="http://schemas.microsoft.com/office/drawing/2014/main" id="{0EBD2202-153E-432F-A06D-BAB3B2CD756E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356" name="Isosceles Triangle 1355">
          <a:extLst>
            <a:ext uri="{FF2B5EF4-FFF2-40B4-BE49-F238E27FC236}">
              <a16:creationId xmlns:a16="http://schemas.microsoft.com/office/drawing/2014/main" id="{1317378E-8EB1-4EDF-B8B6-C2CA0810F4A4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357" name="Isosceles Triangle 1356">
          <a:extLst>
            <a:ext uri="{FF2B5EF4-FFF2-40B4-BE49-F238E27FC236}">
              <a16:creationId xmlns:a16="http://schemas.microsoft.com/office/drawing/2014/main" id="{BCA01B09-718D-4C15-A6E7-58D1C188A99E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358" name="Isosceles Triangle 1357">
          <a:extLst>
            <a:ext uri="{FF2B5EF4-FFF2-40B4-BE49-F238E27FC236}">
              <a16:creationId xmlns:a16="http://schemas.microsoft.com/office/drawing/2014/main" id="{E86AA192-A699-4F71-8286-73472C058A3D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359" name="Isosceles Triangle 1358">
          <a:extLst>
            <a:ext uri="{FF2B5EF4-FFF2-40B4-BE49-F238E27FC236}">
              <a16:creationId xmlns:a16="http://schemas.microsoft.com/office/drawing/2014/main" id="{678EFB05-2240-4D44-B608-1598E046D91E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360" name="Isosceles Triangle 1359">
          <a:extLst>
            <a:ext uri="{FF2B5EF4-FFF2-40B4-BE49-F238E27FC236}">
              <a16:creationId xmlns:a16="http://schemas.microsoft.com/office/drawing/2014/main" id="{6EA8F975-F7DF-4FBB-A410-2E990E580E95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361" name="Isosceles Triangle 1360">
          <a:extLst>
            <a:ext uri="{FF2B5EF4-FFF2-40B4-BE49-F238E27FC236}">
              <a16:creationId xmlns:a16="http://schemas.microsoft.com/office/drawing/2014/main" id="{B1B73AEA-D4AF-4DE7-A371-0FA949B71090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362" name="Isosceles Triangle 1361">
          <a:extLst>
            <a:ext uri="{FF2B5EF4-FFF2-40B4-BE49-F238E27FC236}">
              <a16:creationId xmlns:a16="http://schemas.microsoft.com/office/drawing/2014/main" id="{3B77B225-E354-4003-86F0-458CD5A3F775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363" name="Isosceles Triangle 1362">
          <a:extLst>
            <a:ext uri="{FF2B5EF4-FFF2-40B4-BE49-F238E27FC236}">
              <a16:creationId xmlns:a16="http://schemas.microsoft.com/office/drawing/2014/main" id="{DC9AE363-BACE-467A-8AF0-58B9A47C78EF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364" name="Isosceles Triangle 1363">
          <a:extLst>
            <a:ext uri="{FF2B5EF4-FFF2-40B4-BE49-F238E27FC236}">
              <a16:creationId xmlns:a16="http://schemas.microsoft.com/office/drawing/2014/main" id="{68A79859-7135-45DE-95EA-AF98FF9B2D01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365" name="Isosceles Triangle 1364">
          <a:extLst>
            <a:ext uri="{FF2B5EF4-FFF2-40B4-BE49-F238E27FC236}">
              <a16:creationId xmlns:a16="http://schemas.microsoft.com/office/drawing/2014/main" id="{1D23784F-5754-4079-83F4-41B014E1CCF2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366" name="Arrow: Up 256">
          <a:extLst>
            <a:ext uri="{FF2B5EF4-FFF2-40B4-BE49-F238E27FC236}">
              <a16:creationId xmlns:a16="http://schemas.microsoft.com/office/drawing/2014/main" id="{E17C1ABF-C7C8-4C8B-9EEB-D4891761B536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367" name="Arrow: Up 256">
          <a:extLst>
            <a:ext uri="{FF2B5EF4-FFF2-40B4-BE49-F238E27FC236}">
              <a16:creationId xmlns:a16="http://schemas.microsoft.com/office/drawing/2014/main" id="{48D7DB93-4ADF-4F76-897C-84E00ACCA563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368" name="Arrow: Up 256">
          <a:extLst>
            <a:ext uri="{FF2B5EF4-FFF2-40B4-BE49-F238E27FC236}">
              <a16:creationId xmlns:a16="http://schemas.microsoft.com/office/drawing/2014/main" id="{1DF04198-1273-4E56-97AF-2AD881C39D3C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369" name="Arrow: Up 256">
          <a:extLst>
            <a:ext uri="{FF2B5EF4-FFF2-40B4-BE49-F238E27FC236}">
              <a16:creationId xmlns:a16="http://schemas.microsoft.com/office/drawing/2014/main" id="{E529D041-D35C-455B-9AFA-AC10CEB823AB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370" name="Arrow: Up 232">
          <a:extLst>
            <a:ext uri="{FF2B5EF4-FFF2-40B4-BE49-F238E27FC236}">
              <a16:creationId xmlns:a16="http://schemas.microsoft.com/office/drawing/2014/main" id="{CB89A8FC-E597-496F-B54B-301264B9F0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371" name="Arrow: Up-Down 285">
          <a:extLst>
            <a:ext uri="{FF2B5EF4-FFF2-40B4-BE49-F238E27FC236}">
              <a16:creationId xmlns:a16="http://schemas.microsoft.com/office/drawing/2014/main" id="{472D176B-1186-43CE-B9C6-B96752DA4644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372" name="Arrow: Up 232">
          <a:extLst>
            <a:ext uri="{FF2B5EF4-FFF2-40B4-BE49-F238E27FC236}">
              <a16:creationId xmlns:a16="http://schemas.microsoft.com/office/drawing/2014/main" id="{AC4D9FB4-DB5C-4D29-A7E9-4D0530154754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373" name="Arrow: Up 256">
          <a:extLst>
            <a:ext uri="{FF2B5EF4-FFF2-40B4-BE49-F238E27FC236}">
              <a16:creationId xmlns:a16="http://schemas.microsoft.com/office/drawing/2014/main" id="{E6224AFA-E363-4029-B703-FAD044DBF7FD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374" name="Arrow: Up 232">
          <a:extLst>
            <a:ext uri="{FF2B5EF4-FFF2-40B4-BE49-F238E27FC236}">
              <a16:creationId xmlns:a16="http://schemas.microsoft.com/office/drawing/2014/main" id="{D8A4C3E0-9AD9-4E0D-8807-EFA166C7C268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375" name="Arrow: Up 256">
          <a:extLst>
            <a:ext uri="{FF2B5EF4-FFF2-40B4-BE49-F238E27FC236}">
              <a16:creationId xmlns:a16="http://schemas.microsoft.com/office/drawing/2014/main" id="{915A3B14-5226-49CD-9459-BA238B14C4A5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376" name="Arrow: Up 233">
          <a:extLst>
            <a:ext uri="{FF2B5EF4-FFF2-40B4-BE49-F238E27FC236}">
              <a16:creationId xmlns:a16="http://schemas.microsoft.com/office/drawing/2014/main" id="{CAB61203-23AE-4ED3-9595-7BACD5D2486D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377" name="Arrow: Up 256">
          <a:extLst>
            <a:ext uri="{FF2B5EF4-FFF2-40B4-BE49-F238E27FC236}">
              <a16:creationId xmlns:a16="http://schemas.microsoft.com/office/drawing/2014/main" id="{095001C4-E75E-4475-9451-EC06BD9908C1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378" name="Arrow: Up 256">
          <a:extLst>
            <a:ext uri="{FF2B5EF4-FFF2-40B4-BE49-F238E27FC236}">
              <a16:creationId xmlns:a16="http://schemas.microsoft.com/office/drawing/2014/main" id="{12C54E79-DBF8-40A0-AC12-BD7500D31887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379" name="Arrow: Up 256">
          <a:extLst>
            <a:ext uri="{FF2B5EF4-FFF2-40B4-BE49-F238E27FC236}">
              <a16:creationId xmlns:a16="http://schemas.microsoft.com/office/drawing/2014/main" id="{BC6ACA2F-C2F2-4215-AAAE-727F10159557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380" name="Arrow: Up 256">
          <a:extLst>
            <a:ext uri="{FF2B5EF4-FFF2-40B4-BE49-F238E27FC236}">
              <a16:creationId xmlns:a16="http://schemas.microsoft.com/office/drawing/2014/main" id="{5F9866F7-4F26-47A3-A6CF-821DEDED4097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381" name="Arrow: Up 228">
          <a:extLst>
            <a:ext uri="{FF2B5EF4-FFF2-40B4-BE49-F238E27FC236}">
              <a16:creationId xmlns:a16="http://schemas.microsoft.com/office/drawing/2014/main" id="{9CED9BC8-427B-4386-9CF5-AE2295102DDE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82" name="Arrow: Up 256">
          <a:extLst>
            <a:ext uri="{FF2B5EF4-FFF2-40B4-BE49-F238E27FC236}">
              <a16:creationId xmlns:a16="http://schemas.microsoft.com/office/drawing/2014/main" id="{F7AD9D0C-F58C-4C2D-9CB7-2D2CCAF52F57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83" name="Arrow: Up 241">
          <a:extLst>
            <a:ext uri="{FF2B5EF4-FFF2-40B4-BE49-F238E27FC236}">
              <a16:creationId xmlns:a16="http://schemas.microsoft.com/office/drawing/2014/main" id="{F4B70634-AED7-4777-BC11-E97DFD097684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84" name="Arrow: Up-Down 285">
          <a:extLst>
            <a:ext uri="{FF2B5EF4-FFF2-40B4-BE49-F238E27FC236}">
              <a16:creationId xmlns:a16="http://schemas.microsoft.com/office/drawing/2014/main" id="{C3807E1F-A013-42DB-986D-B47124A0FCF4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85" name="Arrow: Up 256">
          <a:extLst>
            <a:ext uri="{FF2B5EF4-FFF2-40B4-BE49-F238E27FC236}">
              <a16:creationId xmlns:a16="http://schemas.microsoft.com/office/drawing/2014/main" id="{943D8D1D-307D-44BA-A85A-9467260B2B35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86" name="Arrow: Up 237">
          <a:extLst>
            <a:ext uri="{FF2B5EF4-FFF2-40B4-BE49-F238E27FC236}">
              <a16:creationId xmlns:a16="http://schemas.microsoft.com/office/drawing/2014/main" id="{B10DFA79-A875-42CC-BBCF-B0D3B6C676FF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87" name="Arrow: Up 237">
          <a:extLst>
            <a:ext uri="{FF2B5EF4-FFF2-40B4-BE49-F238E27FC236}">
              <a16:creationId xmlns:a16="http://schemas.microsoft.com/office/drawing/2014/main" id="{FF94024A-5FDD-4AA6-B18F-971E85476B39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88" name="Arrow: Up 256">
          <a:extLst>
            <a:ext uri="{FF2B5EF4-FFF2-40B4-BE49-F238E27FC236}">
              <a16:creationId xmlns:a16="http://schemas.microsoft.com/office/drawing/2014/main" id="{269D0340-4A39-4078-943A-3C21CDC3AD5A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89" name="Arrow: Up 239">
          <a:extLst>
            <a:ext uri="{FF2B5EF4-FFF2-40B4-BE49-F238E27FC236}">
              <a16:creationId xmlns:a16="http://schemas.microsoft.com/office/drawing/2014/main" id="{F6585AAC-0262-4044-8490-DB7034C60DA2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90" name="Arrow: Up 256">
          <a:extLst>
            <a:ext uri="{FF2B5EF4-FFF2-40B4-BE49-F238E27FC236}">
              <a16:creationId xmlns:a16="http://schemas.microsoft.com/office/drawing/2014/main" id="{53E97899-8597-4ADC-B370-0D4208077178}"/>
            </a:ext>
          </a:extLst>
        </xdr:cNvPr>
        <xdr:cNvSpPr/>
      </xdr:nvSpPr>
      <xdr:spPr>
        <a:xfrm>
          <a:off x="2828925" y="54673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91" name="Arrow: Up-Down 285">
          <a:extLst>
            <a:ext uri="{FF2B5EF4-FFF2-40B4-BE49-F238E27FC236}">
              <a16:creationId xmlns:a16="http://schemas.microsoft.com/office/drawing/2014/main" id="{35DA2BB3-D001-4B45-9B2D-3DCDCC021C38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CE56375E-3CF2-4AE0-A780-1CB9FB43CEAE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93" name="Arrow: Up 240">
          <a:extLst>
            <a:ext uri="{FF2B5EF4-FFF2-40B4-BE49-F238E27FC236}">
              <a16:creationId xmlns:a16="http://schemas.microsoft.com/office/drawing/2014/main" id="{0D38D006-4837-4768-BEFF-DCEBA2E6EF42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94" name="Arrow: Up 240">
          <a:extLst>
            <a:ext uri="{FF2B5EF4-FFF2-40B4-BE49-F238E27FC236}">
              <a16:creationId xmlns:a16="http://schemas.microsoft.com/office/drawing/2014/main" id="{F307E25F-BBDF-4AD5-A41D-564278A11ADD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95" name="Arrow: Up 256">
          <a:extLst>
            <a:ext uri="{FF2B5EF4-FFF2-40B4-BE49-F238E27FC236}">
              <a16:creationId xmlns:a16="http://schemas.microsoft.com/office/drawing/2014/main" id="{3CFDB166-EB69-4CC4-AC37-87AF42E7F521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96" name="Arrow: Up 241">
          <a:extLst>
            <a:ext uri="{FF2B5EF4-FFF2-40B4-BE49-F238E27FC236}">
              <a16:creationId xmlns:a16="http://schemas.microsoft.com/office/drawing/2014/main" id="{9BE44CA2-695F-4D15-9008-0983E38C2F88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97" name="Arrow: Up 256">
          <a:extLst>
            <a:ext uri="{FF2B5EF4-FFF2-40B4-BE49-F238E27FC236}">
              <a16:creationId xmlns:a16="http://schemas.microsoft.com/office/drawing/2014/main" id="{056E72AD-B352-450D-B47D-3CC8F4E8CE2C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98" name="Arrow: Up 241">
          <a:extLst>
            <a:ext uri="{FF2B5EF4-FFF2-40B4-BE49-F238E27FC236}">
              <a16:creationId xmlns:a16="http://schemas.microsoft.com/office/drawing/2014/main" id="{2039CF07-5CD1-420C-A134-0BFA9FED0B5F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99" name="Arrow: Up 241">
          <a:extLst>
            <a:ext uri="{FF2B5EF4-FFF2-40B4-BE49-F238E27FC236}">
              <a16:creationId xmlns:a16="http://schemas.microsoft.com/office/drawing/2014/main" id="{7043F12B-6AF1-49CA-BF5B-437A4F03E677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400" name="Arrow: Up 256">
          <a:extLst>
            <a:ext uri="{FF2B5EF4-FFF2-40B4-BE49-F238E27FC236}">
              <a16:creationId xmlns:a16="http://schemas.microsoft.com/office/drawing/2014/main" id="{83B2102C-CF6E-4ADF-8AD2-12AD531DAF71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401" name="Arrow: Up 256">
          <a:extLst>
            <a:ext uri="{FF2B5EF4-FFF2-40B4-BE49-F238E27FC236}">
              <a16:creationId xmlns:a16="http://schemas.microsoft.com/office/drawing/2014/main" id="{3E61EB6F-8792-4C29-8DAA-40F32302D977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402" name="Arrow: Up 256">
          <a:extLst>
            <a:ext uri="{FF2B5EF4-FFF2-40B4-BE49-F238E27FC236}">
              <a16:creationId xmlns:a16="http://schemas.microsoft.com/office/drawing/2014/main" id="{026E59FD-1ABB-4E08-8FCA-55F0407A4212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403" name="Arrow: Up 243">
          <a:extLst>
            <a:ext uri="{FF2B5EF4-FFF2-40B4-BE49-F238E27FC236}">
              <a16:creationId xmlns:a16="http://schemas.microsoft.com/office/drawing/2014/main" id="{55AAE1AC-835D-4E17-A638-1F70BEEE2C9F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404" name="Arrow: Up 256">
          <a:extLst>
            <a:ext uri="{FF2B5EF4-FFF2-40B4-BE49-F238E27FC236}">
              <a16:creationId xmlns:a16="http://schemas.microsoft.com/office/drawing/2014/main" id="{57A517AC-270E-492C-98DF-EBE72BF179C5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405" name="Arrow: Up 243">
          <a:extLst>
            <a:ext uri="{FF2B5EF4-FFF2-40B4-BE49-F238E27FC236}">
              <a16:creationId xmlns:a16="http://schemas.microsoft.com/office/drawing/2014/main" id="{339EA80E-D6AC-4FFA-8032-534150557192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406" name="Arrow: Up-Down 285">
          <a:extLst>
            <a:ext uri="{FF2B5EF4-FFF2-40B4-BE49-F238E27FC236}">
              <a16:creationId xmlns:a16="http://schemas.microsoft.com/office/drawing/2014/main" id="{67A1578F-26BE-4B32-B2C5-CAA3DA34FD7D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407" name="Arrow: Up 256">
          <a:extLst>
            <a:ext uri="{FF2B5EF4-FFF2-40B4-BE49-F238E27FC236}">
              <a16:creationId xmlns:a16="http://schemas.microsoft.com/office/drawing/2014/main" id="{FD31CC2D-4DA7-4050-BED9-A62A7B3F7D4D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408" name="Arrow: Up 244">
          <a:extLst>
            <a:ext uri="{FF2B5EF4-FFF2-40B4-BE49-F238E27FC236}">
              <a16:creationId xmlns:a16="http://schemas.microsoft.com/office/drawing/2014/main" id="{E875C718-1455-4F20-BD1D-70566D08F457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409" name="Arrow: Up 256">
          <a:extLst>
            <a:ext uri="{FF2B5EF4-FFF2-40B4-BE49-F238E27FC236}">
              <a16:creationId xmlns:a16="http://schemas.microsoft.com/office/drawing/2014/main" id="{31ECFD4D-6939-4AD0-8D05-EE8EF7501596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410" name="Arrow: Up 256">
          <a:extLst>
            <a:ext uri="{FF2B5EF4-FFF2-40B4-BE49-F238E27FC236}">
              <a16:creationId xmlns:a16="http://schemas.microsoft.com/office/drawing/2014/main" id="{7982B556-7602-4F51-835D-C87252744BEF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411" name="Arrow: Up 243">
          <a:extLst>
            <a:ext uri="{FF2B5EF4-FFF2-40B4-BE49-F238E27FC236}">
              <a16:creationId xmlns:a16="http://schemas.microsoft.com/office/drawing/2014/main" id="{945DDC01-7BFE-4F88-8191-71C182782D0B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412" name="Arrow: Up 243">
          <a:extLst>
            <a:ext uri="{FF2B5EF4-FFF2-40B4-BE49-F238E27FC236}">
              <a16:creationId xmlns:a16="http://schemas.microsoft.com/office/drawing/2014/main" id="{EB24DB25-1387-4D94-B939-6409CC919490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413" name="Arrow: Up 252">
          <a:extLst>
            <a:ext uri="{FF2B5EF4-FFF2-40B4-BE49-F238E27FC236}">
              <a16:creationId xmlns:a16="http://schemas.microsoft.com/office/drawing/2014/main" id="{CE8F5FC0-295A-4A36-B1C5-AEF4EAC3ACFD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414" name="Arrow: Up 252">
          <a:extLst>
            <a:ext uri="{FF2B5EF4-FFF2-40B4-BE49-F238E27FC236}">
              <a16:creationId xmlns:a16="http://schemas.microsoft.com/office/drawing/2014/main" id="{613F6D88-710D-4FF9-B056-D4070496E86B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415" name="Arrow: Up-Down 285">
          <a:extLst>
            <a:ext uri="{FF2B5EF4-FFF2-40B4-BE49-F238E27FC236}">
              <a16:creationId xmlns:a16="http://schemas.microsoft.com/office/drawing/2014/main" id="{7C3C1BA2-A776-403E-A4E5-BF947DED1FC9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416" name="Arrow: Up-Down 285">
          <a:extLst>
            <a:ext uri="{FF2B5EF4-FFF2-40B4-BE49-F238E27FC236}">
              <a16:creationId xmlns:a16="http://schemas.microsoft.com/office/drawing/2014/main" id="{A931A963-037D-4B8B-BE86-224651D6816F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417" name="Arrow: Up 251">
          <a:extLst>
            <a:ext uri="{FF2B5EF4-FFF2-40B4-BE49-F238E27FC236}">
              <a16:creationId xmlns:a16="http://schemas.microsoft.com/office/drawing/2014/main" id="{C4D21448-9A67-47E0-9554-3333A783C417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418" name="Arrow: Up 247">
          <a:extLst>
            <a:ext uri="{FF2B5EF4-FFF2-40B4-BE49-F238E27FC236}">
              <a16:creationId xmlns:a16="http://schemas.microsoft.com/office/drawing/2014/main" id="{E2B362D9-89EC-4933-B3A7-337DDD4BC5A0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419" name="Arrow: Up 247">
          <a:extLst>
            <a:ext uri="{FF2B5EF4-FFF2-40B4-BE49-F238E27FC236}">
              <a16:creationId xmlns:a16="http://schemas.microsoft.com/office/drawing/2014/main" id="{809447D9-9CB5-4C58-9670-36BD859675C3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420" name="Arrow: Up 251">
          <a:extLst>
            <a:ext uri="{FF2B5EF4-FFF2-40B4-BE49-F238E27FC236}">
              <a16:creationId xmlns:a16="http://schemas.microsoft.com/office/drawing/2014/main" id="{3DA46E7D-5316-41FC-B19F-3943E02A3A52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421" name="Arrow: Up 251">
          <a:extLst>
            <a:ext uri="{FF2B5EF4-FFF2-40B4-BE49-F238E27FC236}">
              <a16:creationId xmlns:a16="http://schemas.microsoft.com/office/drawing/2014/main" id="{D9CDFCFB-6270-4775-99E0-45A712ADC2D2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422" name="Arrow: Up 251">
          <a:extLst>
            <a:ext uri="{FF2B5EF4-FFF2-40B4-BE49-F238E27FC236}">
              <a16:creationId xmlns:a16="http://schemas.microsoft.com/office/drawing/2014/main" id="{0C9A9021-34E8-463B-B97C-D7B0F324E3C8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423" name="Arrow: Up 251">
          <a:extLst>
            <a:ext uri="{FF2B5EF4-FFF2-40B4-BE49-F238E27FC236}">
              <a16:creationId xmlns:a16="http://schemas.microsoft.com/office/drawing/2014/main" id="{7854E7C4-5009-4583-9325-EC56CE1A7488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424" name="Arrow: Up 255">
          <a:extLst>
            <a:ext uri="{FF2B5EF4-FFF2-40B4-BE49-F238E27FC236}">
              <a16:creationId xmlns:a16="http://schemas.microsoft.com/office/drawing/2014/main" id="{D90BF472-CCF1-4573-8245-4A050224BC67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425" name="Arrow: Up 247">
          <a:extLst>
            <a:ext uri="{FF2B5EF4-FFF2-40B4-BE49-F238E27FC236}">
              <a16:creationId xmlns:a16="http://schemas.microsoft.com/office/drawing/2014/main" id="{E1E2036C-CC66-46B2-9623-EFE65039299E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426" name="Arrow: Up-Down 285">
          <a:extLst>
            <a:ext uri="{FF2B5EF4-FFF2-40B4-BE49-F238E27FC236}">
              <a16:creationId xmlns:a16="http://schemas.microsoft.com/office/drawing/2014/main" id="{8885D17B-F26B-4790-80C9-2876003B867B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427" name="Arrow: Up-Down 285">
          <a:extLst>
            <a:ext uri="{FF2B5EF4-FFF2-40B4-BE49-F238E27FC236}">
              <a16:creationId xmlns:a16="http://schemas.microsoft.com/office/drawing/2014/main" id="{396F166F-39B2-4477-BE70-8B10094B2AE9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428" name="Arrow: Up 257">
          <a:extLst>
            <a:ext uri="{FF2B5EF4-FFF2-40B4-BE49-F238E27FC236}">
              <a16:creationId xmlns:a16="http://schemas.microsoft.com/office/drawing/2014/main" id="{F07F70CF-A614-40D0-AD20-2DF58828FB4E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429" name="Arrow: Up-Down 285">
          <a:extLst>
            <a:ext uri="{FF2B5EF4-FFF2-40B4-BE49-F238E27FC236}">
              <a16:creationId xmlns:a16="http://schemas.microsoft.com/office/drawing/2014/main" id="{B4BCC731-E14A-488B-80A2-986BDB4BA404}"/>
            </a:ext>
          </a:extLst>
        </xdr:cNvPr>
        <xdr:cNvSpPr/>
      </xdr:nvSpPr>
      <xdr:spPr>
        <a:xfrm>
          <a:off x="13482057" y="115341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430" name="Arrow: Up-Down 285">
          <a:extLst>
            <a:ext uri="{FF2B5EF4-FFF2-40B4-BE49-F238E27FC236}">
              <a16:creationId xmlns:a16="http://schemas.microsoft.com/office/drawing/2014/main" id="{A44A0421-C665-4C7F-889C-F0DCDF3FB14D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431" name="Arrow: Up-Down 285">
          <a:extLst>
            <a:ext uri="{FF2B5EF4-FFF2-40B4-BE49-F238E27FC236}">
              <a16:creationId xmlns:a16="http://schemas.microsoft.com/office/drawing/2014/main" id="{88FFE7DC-0609-4E9F-A50F-FF8AEAADE4E9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432" name="Arrow: Up 268">
          <a:extLst>
            <a:ext uri="{FF2B5EF4-FFF2-40B4-BE49-F238E27FC236}">
              <a16:creationId xmlns:a16="http://schemas.microsoft.com/office/drawing/2014/main" id="{CEFE1476-A11B-4BEC-9B60-0EFF87ED689A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433" name="Arrow: Up 269">
          <a:extLst>
            <a:ext uri="{FF2B5EF4-FFF2-40B4-BE49-F238E27FC236}">
              <a16:creationId xmlns:a16="http://schemas.microsoft.com/office/drawing/2014/main" id="{64FC6546-09AE-49C8-B71F-9F67B0B8BA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434" name="Arrow: Up 268">
          <a:extLst>
            <a:ext uri="{FF2B5EF4-FFF2-40B4-BE49-F238E27FC236}">
              <a16:creationId xmlns:a16="http://schemas.microsoft.com/office/drawing/2014/main" id="{8ADBBF37-A4BD-4685-B69B-16F13563A0C7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435" name="Arrow: Up 271">
          <a:extLst>
            <a:ext uri="{FF2B5EF4-FFF2-40B4-BE49-F238E27FC236}">
              <a16:creationId xmlns:a16="http://schemas.microsoft.com/office/drawing/2014/main" id="{20D78457-21C5-4C10-9F31-79F7AE69100D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436" name="Arrow: Up 265">
          <a:extLst>
            <a:ext uri="{FF2B5EF4-FFF2-40B4-BE49-F238E27FC236}">
              <a16:creationId xmlns:a16="http://schemas.microsoft.com/office/drawing/2014/main" id="{0E758DC4-D0ED-402D-9CD6-194F7AB5755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437" name="Arrow: Up 265">
          <a:extLst>
            <a:ext uri="{FF2B5EF4-FFF2-40B4-BE49-F238E27FC236}">
              <a16:creationId xmlns:a16="http://schemas.microsoft.com/office/drawing/2014/main" id="{FFC856E0-3C83-4519-9754-787F131EF797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438" name="Arrow: Up 265">
          <a:extLst>
            <a:ext uri="{FF2B5EF4-FFF2-40B4-BE49-F238E27FC236}">
              <a16:creationId xmlns:a16="http://schemas.microsoft.com/office/drawing/2014/main" id="{F5565D55-1A29-4D2D-9F22-24026D6779FB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439" name="Arrow: Up 265">
          <a:extLst>
            <a:ext uri="{FF2B5EF4-FFF2-40B4-BE49-F238E27FC236}">
              <a16:creationId xmlns:a16="http://schemas.microsoft.com/office/drawing/2014/main" id="{F260A98D-CADA-4110-839A-2CE7AEAC366A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440" name="Arrow: Up 265">
          <a:extLst>
            <a:ext uri="{FF2B5EF4-FFF2-40B4-BE49-F238E27FC236}">
              <a16:creationId xmlns:a16="http://schemas.microsoft.com/office/drawing/2014/main" id="{FE7A3922-7A68-4BE0-B915-A6D1A85A06AB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441" name="Arrow: Up 262">
          <a:extLst>
            <a:ext uri="{FF2B5EF4-FFF2-40B4-BE49-F238E27FC236}">
              <a16:creationId xmlns:a16="http://schemas.microsoft.com/office/drawing/2014/main" id="{7A7ED030-E800-4DFD-AC48-548038527261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442" name="Arrow: Up 265">
          <a:extLst>
            <a:ext uri="{FF2B5EF4-FFF2-40B4-BE49-F238E27FC236}">
              <a16:creationId xmlns:a16="http://schemas.microsoft.com/office/drawing/2014/main" id="{79889ED3-1026-4261-A450-D747FFAD131E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443" name="Arrow: Up 275">
          <a:extLst>
            <a:ext uri="{FF2B5EF4-FFF2-40B4-BE49-F238E27FC236}">
              <a16:creationId xmlns:a16="http://schemas.microsoft.com/office/drawing/2014/main" id="{5CC9E8F4-91AB-49DB-B5C0-C59C49270F5A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444" name="Arrow: Up 262">
          <a:extLst>
            <a:ext uri="{FF2B5EF4-FFF2-40B4-BE49-F238E27FC236}">
              <a16:creationId xmlns:a16="http://schemas.microsoft.com/office/drawing/2014/main" id="{F7F0AC4F-9244-40E0-8B4F-A6BEF8ABD3D4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445" name="Arrow: Up 262">
          <a:extLst>
            <a:ext uri="{FF2B5EF4-FFF2-40B4-BE49-F238E27FC236}">
              <a16:creationId xmlns:a16="http://schemas.microsoft.com/office/drawing/2014/main" id="{3A35DCC1-14F8-4A78-8D6F-68BA5D1FA598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446" name="Arrow: Up 275">
          <a:extLst>
            <a:ext uri="{FF2B5EF4-FFF2-40B4-BE49-F238E27FC236}">
              <a16:creationId xmlns:a16="http://schemas.microsoft.com/office/drawing/2014/main" id="{47C89206-4FD5-4F5E-A52C-ED7E95E3F337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447" name="Arrow: Up 275">
          <a:extLst>
            <a:ext uri="{FF2B5EF4-FFF2-40B4-BE49-F238E27FC236}">
              <a16:creationId xmlns:a16="http://schemas.microsoft.com/office/drawing/2014/main" id="{B29E9174-1604-48C7-B9F1-3CB236848C18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448" name="Arrow: Up 275">
          <a:extLst>
            <a:ext uri="{FF2B5EF4-FFF2-40B4-BE49-F238E27FC236}">
              <a16:creationId xmlns:a16="http://schemas.microsoft.com/office/drawing/2014/main" id="{29431AF9-5DF9-4C55-A485-7CA1F462DAD9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449" name="Arrow: Up 275">
          <a:extLst>
            <a:ext uri="{FF2B5EF4-FFF2-40B4-BE49-F238E27FC236}">
              <a16:creationId xmlns:a16="http://schemas.microsoft.com/office/drawing/2014/main" id="{08EB7494-CD51-4305-8F4A-42C1D6CE65C3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450" name="Arrow: Up 275">
          <a:extLst>
            <a:ext uri="{FF2B5EF4-FFF2-40B4-BE49-F238E27FC236}">
              <a16:creationId xmlns:a16="http://schemas.microsoft.com/office/drawing/2014/main" id="{2586E46E-5DF5-4420-AB0C-C7E12294294A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451" name="Arrow: Up 279">
          <a:extLst>
            <a:ext uri="{FF2B5EF4-FFF2-40B4-BE49-F238E27FC236}">
              <a16:creationId xmlns:a16="http://schemas.microsoft.com/office/drawing/2014/main" id="{2E990EC9-D0D6-4B93-B866-D7FA9B11DBEC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452" name="Arrow: Up 275">
          <a:extLst>
            <a:ext uri="{FF2B5EF4-FFF2-40B4-BE49-F238E27FC236}">
              <a16:creationId xmlns:a16="http://schemas.microsoft.com/office/drawing/2014/main" id="{EE4473CE-4E33-4F88-8D4A-8D96F72DE1D9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453" name="Arrow: Up 279">
          <a:extLst>
            <a:ext uri="{FF2B5EF4-FFF2-40B4-BE49-F238E27FC236}">
              <a16:creationId xmlns:a16="http://schemas.microsoft.com/office/drawing/2014/main" id="{6E093B3E-D77D-4602-B15F-D8FD02EE933C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454" name="Arrow: Up 275">
          <a:extLst>
            <a:ext uri="{FF2B5EF4-FFF2-40B4-BE49-F238E27FC236}">
              <a16:creationId xmlns:a16="http://schemas.microsoft.com/office/drawing/2014/main" id="{67A8F96E-75D8-4A30-89FC-586C1C405FA7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455" name="Arrow: Up 281">
          <a:extLst>
            <a:ext uri="{FF2B5EF4-FFF2-40B4-BE49-F238E27FC236}">
              <a16:creationId xmlns:a16="http://schemas.microsoft.com/office/drawing/2014/main" id="{78CD5AA0-1E81-428C-9C4E-5F3CF86D6C5C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456" name="Arrow: Up 284">
          <a:extLst>
            <a:ext uri="{FF2B5EF4-FFF2-40B4-BE49-F238E27FC236}">
              <a16:creationId xmlns:a16="http://schemas.microsoft.com/office/drawing/2014/main" id="{76B46824-55D8-4DAA-9606-DC5255568AD7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457" name="Arrow: Up 281">
          <a:extLst>
            <a:ext uri="{FF2B5EF4-FFF2-40B4-BE49-F238E27FC236}">
              <a16:creationId xmlns:a16="http://schemas.microsoft.com/office/drawing/2014/main" id="{E7145E69-3A69-4548-9B19-369EA91B0964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458" name="Arrow: Up 286">
          <a:extLst>
            <a:ext uri="{FF2B5EF4-FFF2-40B4-BE49-F238E27FC236}">
              <a16:creationId xmlns:a16="http://schemas.microsoft.com/office/drawing/2014/main" id="{58D27CD3-B228-4BBF-B25B-3C950905E206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459" name="Arrow: Up 281">
          <a:extLst>
            <a:ext uri="{FF2B5EF4-FFF2-40B4-BE49-F238E27FC236}">
              <a16:creationId xmlns:a16="http://schemas.microsoft.com/office/drawing/2014/main" id="{C9D8BDC7-93FB-4484-A73F-D4578AE63B37}"/>
            </a:ext>
          </a:extLst>
        </xdr:cNvPr>
        <xdr:cNvSpPr/>
      </xdr:nvSpPr>
      <xdr:spPr>
        <a:xfrm>
          <a:off x="13528522" y="160855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460" name="Arrow: Up 275">
          <a:extLst>
            <a:ext uri="{FF2B5EF4-FFF2-40B4-BE49-F238E27FC236}">
              <a16:creationId xmlns:a16="http://schemas.microsoft.com/office/drawing/2014/main" id="{DE87AFE4-4B5A-43D0-A5E6-5BB13D9213A6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461" name="Arrow: Up 289">
          <a:extLst>
            <a:ext uri="{FF2B5EF4-FFF2-40B4-BE49-F238E27FC236}">
              <a16:creationId xmlns:a16="http://schemas.microsoft.com/office/drawing/2014/main" id="{D8DC4EC8-714E-4517-A954-AC506E550B9E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462" name="Arrow: Up 275">
          <a:extLst>
            <a:ext uri="{FF2B5EF4-FFF2-40B4-BE49-F238E27FC236}">
              <a16:creationId xmlns:a16="http://schemas.microsoft.com/office/drawing/2014/main" id="{C9D01429-A436-43EF-B903-9A8D6085DE30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463" name="Arrow: Up 289">
          <a:extLst>
            <a:ext uri="{FF2B5EF4-FFF2-40B4-BE49-F238E27FC236}">
              <a16:creationId xmlns:a16="http://schemas.microsoft.com/office/drawing/2014/main" id="{9FBE2BF0-BB60-401C-B288-A9449F8A8386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464" name="Arrow: Up 292">
          <a:extLst>
            <a:ext uri="{FF2B5EF4-FFF2-40B4-BE49-F238E27FC236}">
              <a16:creationId xmlns:a16="http://schemas.microsoft.com/office/drawing/2014/main" id="{B33609E9-213D-4482-9287-9B993B2DD787}"/>
            </a:ext>
          </a:extLst>
        </xdr:cNvPr>
        <xdr:cNvSpPr/>
      </xdr:nvSpPr>
      <xdr:spPr>
        <a:xfrm>
          <a:off x="13491297" y="176082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465" name="Arrow: Up 295">
          <a:extLst>
            <a:ext uri="{FF2B5EF4-FFF2-40B4-BE49-F238E27FC236}">
              <a16:creationId xmlns:a16="http://schemas.microsoft.com/office/drawing/2014/main" id="{B9C37426-541E-419D-8943-5EEE26F10ED1}"/>
            </a:ext>
          </a:extLst>
        </xdr:cNvPr>
        <xdr:cNvSpPr/>
      </xdr:nvSpPr>
      <xdr:spPr>
        <a:xfrm>
          <a:off x="13664479" y="176180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466" name="Arrow: Up 296">
          <a:extLst>
            <a:ext uri="{FF2B5EF4-FFF2-40B4-BE49-F238E27FC236}">
              <a16:creationId xmlns:a16="http://schemas.microsoft.com/office/drawing/2014/main" id="{A4CE9BD8-6836-4957-9B0F-12EB62AAF06A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467" name="Arrow: Up 291">
          <a:extLst>
            <a:ext uri="{FF2B5EF4-FFF2-40B4-BE49-F238E27FC236}">
              <a16:creationId xmlns:a16="http://schemas.microsoft.com/office/drawing/2014/main" id="{A00A49AB-500B-40C4-A62D-4B5559E0AF51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468" name="Arrow: Up 310">
          <a:extLst>
            <a:ext uri="{FF2B5EF4-FFF2-40B4-BE49-F238E27FC236}">
              <a16:creationId xmlns:a16="http://schemas.microsoft.com/office/drawing/2014/main" id="{044017A2-82C6-4EE0-ACB8-6BC3FC08FD0A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469" name="Arrow: Up 296">
          <a:extLst>
            <a:ext uri="{FF2B5EF4-FFF2-40B4-BE49-F238E27FC236}">
              <a16:creationId xmlns:a16="http://schemas.microsoft.com/office/drawing/2014/main" id="{68EFAF43-279F-4A46-A093-26F8D5A92203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470" name="Arrow: Up 296">
          <a:extLst>
            <a:ext uri="{FF2B5EF4-FFF2-40B4-BE49-F238E27FC236}">
              <a16:creationId xmlns:a16="http://schemas.microsoft.com/office/drawing/2014/main" id="{D76A9219-C7B3-494E-B216-B446C0D8ECE8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471" name="Arrow: Up 296">
          <a:extLst>
            <a:ext uri="{FF2B5EF4-FFF2-40B4-BE49-F238E27FC236}">
              <a16:creationId xmlns:a16="http://schemas.microsoft.com/office/drawing/2014/main" id="{0E7D5F24-0BDF-45CC-9E1B-92BD0E475844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472" name="Arrow: Up 313">
          <a:extLst>
            <a:ext uri="{FF2B5EF4-FFF2-40B4-BE49-F238E27FC236}">
              <a16:creationId xmlns:a16="http://schemas.microsoft.com/office/drawing/2014/main" id="{2C4E33A4-2632-4ABC-BD31-BAC48324C0B5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473" name="Arrow: Up 313">
          <a:extLst>
            <a:ext uri="{FF2B5EF4-FFF2-40B4-BE49-F238E27FC236}">
              <a16:creationId xmlns:a16="http://schemas.microsoft.com/office/drawing/2014/main" id="{43051F3B-DC2E-4074-AB96-F60BDD1B7C7B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474" name="Arrow: Up-Down 285">
          <a:extLst>
            <a:ext uri="{FF2B5EF4-FFF2-40B4-BE49-F238E27FC236}">
              <a16:creationId xmlns:a16="http://schemas.microsoft.com/office/drawing/2014/main" id="{9AC67AB0-31F5-41CA-81B4-6BC0AF6BFE04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475" name="Arrow: Up 296">
          <a:extLst>
            <a:ext uri="{FF2B5EF4-FFF2-40B4-BE49-F238E27FC236}">
              <a16:creationId xmlns:a16="http://schemas.microsoft.com/office/drawing/2014/main" id="{0BF51265-4D8B-4B4B-B2D7-7B636C83A7B8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476" name="Arrow: Up 296">
          <a:extLst>
            <a:ext uri="{FF2B5EF4-FFF2-40B4-BE49-F238E27FC236}">
              <a16:creationId xmlns:a16="http://schemas.microsoft.com/office/drawing/2014/main" id="{44227726-E1B1-426D-AC74-CD07DED62B8A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477" name="Arrow: Up 296">
          <a:extLst>
            <a:ext uri="{FF2B5EF4-FFF2-40B4-BE49-F238E27FC236}">
              <a16:creationId xmlns:a16="http://schemas.microsoft.com/office/drawing/2014/main" id="{258DD29D-FADE-48CA-8E32-65BD5F1B734D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478" name="Arrow: Up 313">
          <a:extLst>
            <a:ext uri="{FF2B5EF4-FFF2-40B4-BE49-F238E27FC236}">
              <a16:creationId xmlns:a16="http://schemas.microsoft.com/office/drawing/2014/main" id="{1A730B2E-F61D-45CC-BD80-8A2837E9D5BE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479" name="Arrow: Up 296">
          <a:extLst>
            <a:ext uri="{FF2B5EF4-FFF2-40B4-BE49-F238E27FC236}">
              <a16:creationId xmlns:a16="http://schemas.microsoft.com/office/drawing/2014/main" id="{20A3AB54-BAD7-4839-86FA-D6F96D83B1C1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480" name="Arrow: Up 296">
          <a:extLst>
            <a:ext uri="{FF2B5EF4-FFF2-40B4-BE49-F238E27FC236}">
              <a16:creationId xmlns:a16="http://schemas.microsoft.com/office/drawing/2014/main" id="{9FBEEFDE-7E18-450A-85B1-494A3E03B837}"/>
            </a:ext>
          </a:extLst>
        </xdr:cNvPr>
        <xdr:cNvSpPr/>
      </xdr:nvSpPr>
      <xdr:spPr>
        <a:xfrm>
          <a:off x="13567857" y="206792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481" name="Arrow: Up 296">
          <a:extLst>
            <a:ext uri="{FF2B5EF4-FFF2-40B4-BE49-F238E27FC236}">
              <a16:creationId xmlns:a16="http://schemas.microsoft.com/office/drawing/2014/main" id="{9883D41F-8702-4600-9A67-D1D052A6380E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82" name="Arrow: Up 296">
          <a:extLst>
            <a:ext uri="{FF2B5EF4-FFF2-40B4-BE49-F238E27FC236}">
              <a16:creationId xmlns:a16="http://schemas.microsoft.com/office/drawing/2014/main" id="{4E9D1613-EE42-456F-92CD-3FB76FCF6989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83" name="Arrow: Up 296">
          <a:extLst>
            <a:ext uri="{FF2B5EF4-FFF2-40B4-BE49-F238E27FC236}">
              <a16:creationId xmlns:a16="http://schemas.microsoft.com/office/drawing/2014/main" id="{FEB51B84-91CA-4E4B-A389-DC4845D0E00E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84" name="Arrow: Up-Down 285">
          <a:extLst>
            <a:ext uri="{FF2B5EF4-FFF2-40B4-BE49-F238E27FC236}">
              <a16:creationId xmlns:a16="http://schemas.microsoft.com/office/drawing/2014/main" id="{ED57AAE9-0D72-4C35-936A-54902E876770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85" name="Arrow: Up 296">
          <a:extLst>
            <a:ext uri="{FF2B5EF4-FFF2-40B4-BE49-F238E27FC236}">
              <a16:creationId xmlns:a16="http://schemas.microsoft.com/office/drawing/2014/main" id="{C0D7D006-633F-475C-9A88-A06B127A48CB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86" name="Arrow: Up 296">
          <a:extLst>
            <a:ext uri="{FF2B5EF4-FFF2-40B4-BE49-F238E27FC236}">
              <a16:creationId xmlns:a16="http://schemas.microsoft.com/office/drawing/2014/main" id="{7441B168-AF1E-4FE2-AEDB-157F703AF886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87" name="Arrow: Up 296">
          <a:extLst>
            <a:ext uri="{FF2B5EF4-FFF2-40B4-BE49-F238E27FC236}">
              <a16:creationId xmlns:a16="http://schemas.microsoft.com/office/drawing/2014/main" id="{CD164BC7-B4FC-42F1-A896-1B7A6F58D5A4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88" name="Arrow: Up 296">
          <a:extLst>
            <a:ext uri="{FF2B5EF4-FFF2-40B4-BE49-F238E27FC236}">
              <a16:creationId xmlns:a16="http://schemas.microsoft.com/office/drawing/2014/main" id="{7D2F2E2D-72AF-4760-8376-E859174CA5E2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89" name="Arrow: Up 296">
          <a:extLst>
            <a:ext uri="{FF2B5EF4-FFF2-40B4-BE49-F238E27FC236}">
              <a16:creationId xmlns:a16="http://schemas.microsoft.com/office/drawing/2014/main" id="{30F7AD20-0ABD-4993-9DC1-00AB8741F204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90" name="Arrow: Up 296">
          <a:extLst>
            <a:ext uri="{FF2B5EF4-FFF2-40B4-BE49-F238E27FC236}">
              <a16:creationId xmlns:a16="http://schemas.microsoft.com/office/drawing/2014/main" id="{FC813802-9CCF-4B21-AB2D-2E42C67FE342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91" name="Arrow: Up 296">
          <a:extLst>
            <a:ext uri="{FF2B5EF4-FFF2-40B4-BE49-F238E27FC236}">
              <a16:creationId xmlns:a16="http://schemas.microsoft.com/office/drawing/2014/main" id="{51523DAB-2568-4C4D-BB2E-B52B8B3BE022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92" name="Arrow: Up 296">
          <a:extLst>
            <a:ext uri="{FF2B5EF4-FFF2-40B4-BE49-F238E27FC236}">
              <a16:creationId xmlns:a16="http://schemas.microsoft.com/office/drawing/2014/main" id="{F841392A-64F4-4993-9FA2-264A15FE066F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93" name="Arrow: Up 296">
          <a:extLst>
            <a:ext uri="{FF2B5EF4-FFF2-40B4-BE49-F238E27FC236}">
              <a16:creationId xmlns:a16="http://schemas.microsoft.com/office/drawing/2014/main" id="{A93B55C4-BBF9-498F-8202-3A65B47A7D2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94" name="Arrow: Up 296">
          <a:extLst>
            <a:ext uri="{FF2B5EF4-FFF2-40B4-BE49-F238E27FC236}">
              <a16:creationId xmlns:a16="http://schemas.microsoft.com/office/drawing/2014/main" id="{A5741A81-3ED1-49F2-AA12-1D4E8C68F873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95" name="Arrow: Up 296">
          <a:extLst>
            <a:ext uri="{FF2B5EF4-FFF2-40B4-BE49-F238E27FC236}">
              <a16:creationId xmlns:a16="http://schemas.microsoft.com/office/drawing/2014/main" id="{4D11F42B-E56C-45F4-A801-6B79B7962C77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96" name="Arrow: Up 296">
          <a:extLst>
            <a:ext uri="{FF2B5EF4-FFF2-40B4-BE49-F238E27FC236}">
              <a16:creationId xmlns:a16="http://schemas.microsoft.com/office/drawing/2014/main" id="{F32BB538-6DC5-4BE4-8F65-A8B4D3A0D845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97" name="Arrow: Up 296">
          <a:extLst>
            <a:ext uri="{FF2B5EF4-FFF2-40B4-BE49-F238E27FC236}">
              <a16:creationId xmlns:a16="http://schemas.microsoft.com/office/drawing/2014/main" id="{B8F71C9F-0C04-4638-8305-E8442FE0931B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98" name="Arrow: Up 296">
          <a:extLst>
            <a:ext uri="{FF2B5EF4-FFF2-40B4-BE49-F238E27FC236}">
              <a16:creationId xmlns:a16="http://schemas.microsoft.com/office/drawing/2014/main" id="{B18105DE-4279-4556-ADE6-004E8CA29761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99" name="Arrow: Up 805">
          <a:extLst>
            <a:ext uri="{FF2B5EF4-FFF2-40B4-BE49-F238E27FC236}">
              <a16:creationId xmlns:a16="http://schemas.microsoft.com/office/drawing/2014/main" id="{37B8B850-E148-46BD-B551-62AA7B629AE7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500" name="Arrow: Up 805">
          <a:extLst>
            <a:ext uri="{FF2B5EF4-FFF2-40B4-BE49-F238E27FC236}">
              <a16:creationId xmlns:a16="http://schemas.microsoft.com/office/drawing/2014/main" id="{22EA8ECF-4517-4302-90C4-4DE935F82CFF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501" name="Arrow: Up 296">
          <a:extLst>
            <a:ext uri="{FF2B5EF4-FFF2-40B4-BE49-F238E27FC236}">
              <a16:creationId xmlns:a16="http://schemas.microsoft.com/office/drawing/2014/main" id="{C68B882C-FCF8-446B-B9D6-4FF269A61D41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502" name="Arrow: Up 296">
          <a:extLst>
            <a:ext uri="{FF2B5EF4-FFF2-40B4-BE49-F238E27FC236}">
              <a16:creationId xmlns:a16="http://schemas.microsoft.com/office/drawing/2014/main" id="{837273F8-36E1-4D1C-BB43-B4DD31021940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503" name="Arrow: Up 805">
          <a:extLst>
            <a:ext uri="{FF2B5EF4-FFF2-40B4-BE49-F238E27FC236}">
              <a16:creationId xmlns:a16="http://schemas.microsoft.com/office/drawing/2014/main" id="{5AF845F3-DDF5-4B03-A538-9C94A3437BC5}"/>
            </a:ext>
          </a:extLst>
        </xdr:cNvPr>
        <xdr:cNvSpPr/>
      </xdr:nvSpPr>
      <xdr:spPr>
        <a:xfrm>
          <a:off x="13599536" y="252736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504" name="Arrow: Up 805">
          <a:extLst>
            <a:ext uri="{FF2B5EF4-FFF2-40B4-BE49-F238E27FC236}">
              <a16:creationId xmlns:a16="http://schemas.microsoft.com/office/drawing/2014/main" id="{E46DCB04-3B86-48EC-84B1-B9E8BDBA327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505" name="Arrow: Up 296">
          <a:extLst>
            <a:ext uri="{FF2B5EF4-FFF2-40B4-BE49-F238E27FC236}">
              <a16:creationId xmlns:a16="http://schemas.microsoft.com/office/drawing/2014/main" id="{2C3FFDEB-D3BC-4D80-A8CC-9DD0445AD784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506" name="Arrow: Up 805">
          <a:extLst>
            <a:ext uri="{FF2B5EF4-FFF2-40B4-BE49-F238E27FC236}">
              <a16:creationId xmlns:a16="http://schemas.microsoft.com/office/drawing/2014/main" id="{9C0223C4-940E-4115-87A7-362AC95A8F2D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507" name="Arrow: Up 296">
          <a:extLst>
            <a:ext uri="{FF2B5EF4-FFF2-40B4-BE49-F238E27FC236}">
              <a16:creationId xmlns:a16="http://schemas.microsoft.com/office/drawing/2014/main" id="{5CD12043-848E-45C7-8206-50FE4C506EF2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508" name="Arrow: Up 296">
          <a:extLst>
            <a:ext uri="{FF2B5EF4-FFF2-40B4-BE49-F238E27FC236}">
              <a16:creationId xmlns:a16="http://schemas.microsoft.com/office/drawing/2014/main" id="{902B65E7-AEAE-4E5A-8E7E-8D3D598EA983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509" name="Arrow: Up 296">
          <a:extLst>
            <a:ext uri="{FF2B5EF4-FFF2-40B4-BE49-F238E27FC236}">
              <a16:creationId xmlns:a16="http://schemas.microsoft.com/office/drawing/2014/main" id="{01092EEB-86B3-456C-88D4-141FA406F3F2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510" name="Arrow: Up 296">
          <a:extLst>
            <a:ext uri="{FF2B5EF4-FFF2-40B4-BE49-F238E27FC236}">
              <a16:creationId xmlns:a16="http://schemas.microsoft.com/office/drawing/2014/main" id="{E453240F-0DA2-4971-A3E0-10AB53C85341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511" name="Arrow: Up 913">
          <a:extLst>
            <a:ext uri="{FF2B5EF4-FFF2-40B4-BE49-F238E27FC236}">
              <a16:creationId xmlns:a16="http://schemas.microsoft.com/office/drawing/2014/main" id="{4EC17605-AC56-4D74-A037-A91C814E9397}"/>
            </a:ext>
          </a:extLst>
        </xdr:cNvPr>
        <xdr:cNvSpPr/>
      </xdr:nvSpPr>
      <xdr:spPr>
        <a:xfrm>
          <a:off x="13542250" y="267976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512" name="Arrow: Up 296">
          <a:extLst>
            <a:ext uri="{FF2B5EF4-FFF2-40B4-BE49-F238E27FC236}">
              <a16:creationId xmlns:a16="http://schemas.microsoft.com/office/drawing/2014/main" id="{4748B820-A54A-4866-865A-9B9C9F1E3F8B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513" name="Arrow: Up 296">
          <a:extLst>
            <a:ext uri="{FF2B5EF4-FFF2-40B4-BE49-F238E27FC236}">
              <a16:creationId xmlns:a16="http://schemas.microsoft.com/office/drawing/2014/main" id="{D710AC00-12B9-46B9-A100-F61B6FCE87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514" name="Arrow: Up 296">
          <a:extLst>
            <a:ext uri="{FF2B5EF4-FFF2-40B4-BE49-F238E27FC236}">
              <a16:creationId xmlns:a16="http://schemas.microsoft.com/office/drawing/2014/main" id="{F567AD55-8C6B-40FF-98DB-E12CBE08A19C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515" name="Arrow: Up 296">
          <a:extLst>
            <a:ext uri="{FF2B5EF4-FFF2-40B4-BE49-F238E27FC236}">
              <a16:creationId xmlns:a16="http://schemas.microsoft.com/office/drawing/2014/main" id="{E9D6F52E-F724-4514-AF8F-6310CBE6B289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516" name="Arrow: Up-Down 285">
          <a:extLst>
            <a:ext uri="{FF2B5EF4-FFF2-40B4-BE49-F238E27FC236}">
              <a16:creationId xmlns:a16="http://schemas.microsoft.com/office/drawing/2014/main" id="{6FA41794-D0F4-4F65-9AF9-206886874B52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517" name="Arrow: Up 913">
          <a:extLst>
            <a:ext uri="{FF2B5EF4-FFF2-40B4-BE49-F238E27FC236}">
              <a16:creationId xmlns:a16="http://schemas.microsoft.com/office/drawing/2014/main" id="{81030751-8927-4239-A9C1-D2D4B0840F58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518" name="Arrow: Up 296">
          <a:extLst>
            <a:ext uri="{FF2B5EF4-FFF2-40B4-BE49-F238E27FC236}">
              <a16:creationId xmlns:a16="http://schemas.microsoft.com/office/drawing/2014/main" id="{4AB9C3F4-D508-4D7B-A8BA-D495707B60DA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519" name="Arrow: Up-Down 285">
          <a:extLst>
            <a:ext uri="{FF2B5EF4-FFF2-40B4-BE49-F238E27FC236}">
              <a16:creationId xmlns:a16="http://schemas.microsoft.com/office/drawing/2014/main" id="{C14053DC-A234-4EA6-98FC-0AECBBC63C30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520" name="Arrow: Up 913">
          <a:extLst>
            <a:ext uri="{FF2B5EF4-FFF2-40B4-BE49-F238E27FC236}">
              <a16:creationId xmlns:a16="http://schemas.microsoft.com/office/drawing/2014/main" id="{391B2A96-BCE9-4E24-891D-D5A3EC01C79B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521" name="Arrow: Up-Down 285">
          <a:extLst>
            <a:ext uri="{FF2B5EF4-FFF2-40B4-BE49-F238E27FC236}">
              <a16:creationId xmlns:a16="http://schemas.microsoft.com/office/drawing/2014/main" id="{826F0772-ED55-4F72-8BA7-53B461FC308B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522" name="Arrow: Up-Down 285">
          <a:extLst>
            <a:ext uri="{FF2B5EF4-FFF2-40B4-BE49-F238E27FC236}">
              <a16:creationId xmlns:a16="http://schemas.microsoft.com/office/drawing/2014/main" id="{34AB5DBF-24EB-4015-9053-E84EC1E67D6A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523" name="Arrow: Up 296">
          <a:extLst>
            <a:ext uri="{FF2B5EF4-FFF2-40B4-BE49-F238E27FC236}">
              <a16:creationId xmlns:a16="http://schemas.microsoft.com/office/drawing/2014/main" id="{D590A988-C4FC-4678-8FAB-6C38DBB323BA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524" name="Arrow: Up-Down 285">
          <a:extLst>
            <a:ext uri="{FF2B5EF4-FFF2-40B4-BE49-F238E27FC236}">
              <a16:creationId xmlns:a16="http://schemas.microsoft.com/office/drawing/2014/main" id="{78963CB9-5A9D-4B76-9336-D8FE15EFEDDE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525" name="Arrow: Up 296">
          <a:extLst>
            <a:ext uri="{FF2B5EF4-FFF2-40B4-BE49-F238E27FC236}">
              <a16:creationId xmlns:a16="http://schemas.microsoft.com/office/drawing/2014/main" id="{25B55FC6-CBDD-4E64-A9BB-4B6C31BC83A5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526" name="Arrow: Up 913">
          <a:extLst>
            <a:ext uri="{FF2B5EF4-FFF2-40B4-BE49-F238E27FC236}">
              <a16:creationId xmlns:a16="http://schemas.microsoft.com/office/drawing/2014/main" id="{063415C6-1B57-449F-95B8-74790FE56E58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527" name="Arrow: Up 296">
          <a:extLst>
            <a:ext uri="{FF2B5EF4-FFF2-40B4-BE49-F238E27FC236}">
              <a16:creationId xmlns:a16="http://schemas.microsoft.com/office/drawing/2014/main" id="{17D8CC7F-1EFC-4C26-9B96-018BD6491B3C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528" name="Arrow: Up-Down 285">
          <a:extLst>
            <a:ext uri="{FF2B5EF4-FFF2-40B4-BE49-F238E27FC236}">
              <a16:creationId xmlns:a16="http://schemas.microsoft.com/office/drawing/2014/main" id="{4E353475-84FC-47A5-AF5A-C9E4E98DAE3F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529" name="Arrow: Up 296">
          <a:extLst>
            <a:ext uri="{FF2B5EF4-FFF2-40B4-BE49-F238E27FC236}">
              <a16:creationId xmlns:a16="http://schemas.microsoft.com/office/drawing/2014/main" id="{EB38CC3E-4289-41C4-9523-B548C15ABE5E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530" name="Arrow: Up 296">
          <a:extLst>
            <a:ext uri="{FF2B5EF4-FFF2-40B4-BE49-F238E27FC236}">
              <a16:creationId xmlns:a16="http://schemas.microsoft.com/office/drawing/2014/main" id="{DB58D8F0-68BE-427E-9CED-72C82CA8E474}"/>
            </a:ext>
          </a:extLst>
        </xdr:cNvPr>
        <xdr:cNvSpPr/>
      </xdr:nvSpPr>
      <xdr:spPr>
        <a:xfrm>
          <a:off x="13567857" y="298356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531" name="Arrow: Up 296">
          <a:extLst>
            <a:ext uri="{FF2B5EF4-FFF2-40B4-BE49-F238E27FC236}">
              <a16:creationId xmlns:a16="http://schemas.microsoft.com/office/drawing/2014/main" id="{71569958-439B-4DEE-9340-FFB1168585F4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532" name="Arrow: Up 913">
          <a:extLst>
            <a:ext uri="{FF2B5EF4-FFF2-40B4-BE49-F238E27FC236}">
              <a16:creationId xmlns:a16="http://schemas.microsoft.com/office/drawing/2014/main" id="{F62B8DC7-71E0-4F53-90E2-BE9334E7C17E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533" name="Arrow: Up 296">
          <a:extLst>
            <a:ext uri="{FF2B5EF4-FFF2-40B4-BE49-F238E27FC236}">
              <a16:creationId xmlns:a16="http://schemas.microsoft.com/office/drawing/2014/main" id="{9CF6DAE5-EC8A-4F20-BDBF-5E93F892316E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534" name="Arrow: Up 913">
          <a:extLst>
            <a:ext uri="{FF2B5EF4-FFF2-40B4-BE49-F238E27FC236}">
              <a16:creationId xmlns:a16="http://schemas.microsoft.com/office/drawing/2014/main" id="{90C2AEA4-25E5-4625-893C-68E34152137A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535" name="Arrow: Up 296">
          <a:extLst>
            <a:ext uri="{FF2B5EF4-FFF2-40B4-BE49-F238E27FC236}">
              <a16:creationId xmlns:a16="http://schemas.microsoft.com/office/drawing/2014/main" id="{9C0177F5-163D-4874-80F7-0A48C3F09FFD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536" name="Arrow: Up 296">
          <a:extLst>
            <a:ext uri="{FF2B5EF4-FFF2-40B4-BE49-F238E27FC236}">
              <a16:creationId xmlns:a16="http://schemas.microsoft.com/office/drawing/2014/main" id="{C0123C67-C0E1-4BA7-B251-9D9945C0374C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537" name="Arrow: Up 1075">
          <a:extLst>
            <a:ext uri="{FF2B5EF4-FFF2-40B4-BE49-F238E27FC236}">
              <a16:creationId xmlns:a16="http://schemas.microsoft.com/office/drawing/2014/main" id="{5824B298-1835-457E-B66F-6D01FAEEC81E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538" name="Arrow: Up 296">
          <a:extLst>
            <a:ext uri="{FF2B5EF4-FFF2-40B4-BE49-F238E27FC236}">
              <a16:creationId xmlns:a16="http://schemas.microsoft.com/office/drawing/2014/main" id="{6C6DF9DD-8DFC-466C-9D56-477F72EBCCFA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539" name="Arrow: Up 296">
          <a:extLst>
            <a:ext uri="{FF2B5EF4-FFF2-40B4-BE49-F238E27FC236}">
              <a16:creationId xmlns:a16="http://schemas.microsoft.com/office/drawing/2014/main" id="{5EDD1224-D426-43EB-9C9B-9461B8B4ADD6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540" name="Arrow: Up 296">
          <a:extLst>
            <a:ext uri="{FF2B5EF4-FFF2-40B4-BE49-F238E27FC236}">
              <a16:creationId xmlns:a16="http://schemas.microsoft.com/office/drawing/2014/main" id="{7782EADB-CFDD-407D-8A19-4155C88066F8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541" name="Arrow: Up 296">
          <a:extLst>
            <a:ext uri="{FF2B5EF4-FFF2-40B4-BE49-F238E27FC236}">
              <a16:creationId xmlns:a16="http://schemas.microsoft.com/office/drawing/2014/main" id="{2FC0DE11-BA6D-4432-9777-20182CDD2877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542" name="Arrow: Up 296">
          <a:extLst>
            <a:ext uri="{FF2B5EF4-FFF2-40B4-BE49-F238E27FC236}">
              <a16:creationId xmlns:a16="http://schemas.microsoft.com/office/drawing/2014/main" id="{EAE1B20C-3EC6-4556-B818-7EB40DDA176A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543" name="Arrow: Up 296">
          <a:extLst>
            <a:ext uri="{FF2B5EF4-FFF2-40B4-BE49-F238E27FC236}">
              <a16:creationId xmlns:a16="http://schemas.microsoft.com/office/drawing/2014/main" id="{3B164811-ED1B-4C01-8307-E193C3DD3BA3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544" name="Arrow: Up 296">
          <a:extLst>
            <a:ext uri="{FF2B5EF4-FFF2-40B4-BE49-F238E27FC236}">
              <a16:creationId xmlns:a16="http://schemas.microsoft.com/office/drawing/2014/main" id="{E3799681-8D4E-4871-9D76-561146CC36D1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545" name="Arrow: Up 296">
          <a:extLst>
            <a:ext uri="{FF2B5EF4-FFF2-40B4-BE49-F238E27FC236}">
              <a16:creationId xmlns:a16="http://schemas.microsoft.com/office/drawing/2014/main" id="{8205840F-2693-4BC9-8561-37A53A06C3DE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546" name="Arrow: Up 913">
          <a:extLst>
            <a:ext uri="{FF2B5EF4-FFF2-40B4-BE49-F238E27FC236}">
              <a16:creationId xmlns:a16="http://schemas.microsoft.com/office/drawing/2014/main" id="{475A9DCD-E427-4335-A414-824077B28639}"/>
            </a:ext>
          </a:extLst>
        </xdr:cNvPr>
        <xdr:cNvSpPr/>
      </xdr:nvSpPr>
      <xdr:spPr>
        <a:xfrm>
          <a:off x="13544625" y="328836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547" name="Arrow: Up 281">
          <a:extLst>
            <a:ext uri="{FF2B5EF4-FFF2-40B4-BE49-F238E27FC236}">
              <a16:creationId xmlns:a16="http://schemas.microsoft.com/office/drawing/2014/main" id="{65A347C1-8B25-479C-98DB-9E923E93539C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548" name="Lightning Bolt 1547">
          <a:extLst>
            <a:ext uri="{FF2B5EF4-FFF2-40B4-BE49-F238E27FC236}">
              <a16:creationId xmlns:a16="http://schemas.microsoft.com/office/drawing/2014/main" id="{C65B0E18-97A7-4DEB-84B4-7D5438889B16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549" name="Lightning Bolt 1548">
          <a:extLst>
            <a:ext uri="{FF2B5EF4-FFF2-40B4-BE49-F238E27FC236}">
              <a16:creationId xmlns:a16="http://schemas.microsoft.com/office/drawing/2014/main" id="{9BA64000-A25A-4058-B7D2-093FA9984DEB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550" name="Lightning Bolt 1549">
          <a:extLst>
            <a:ext uri="{FF2B5EF4-FFF2-40B4-BE49-F238E27FC236}">
              <a16:creationId xmlns:a16="http://schemas.microsoft.com/office/drawing/2014/main" id="{416E8665-0AF4-4061-90C7-1169F0A45A0B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551" name="Lightning Bolt 1550">
          <a:extLst>
            <a:ext uri="{FF2B5EF4-FFF2-40B4-BE49-F238E27FC236}">
              <a16:creationId xmlns:a16="http://schemas.microsoft.com/office/drawing/2014/main" id="{70B5135B-7CFB-4A1B-B4CA-1BB33F736812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552" name="Lightning Bolt 1551">
          <a:extLst>
            <a:ext uri="{FF2B5EF4-FFF2-40B4-BE49-F238E27FC236}">
              <a16:creationId xmlns:a16="http://schemas.microsoft.com/office/drawing/2014/main" id="{B2A672BF-7193-496A-8884-6857837EF0A6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553" name="Lightning Bolt 1552">
          <a:extLst>
            <a:ext uri="{FF2B5EF4-FFF2-40B4-BE49-F238E27FC236}">
              <a16:creationId xmlns:a16="http://schemas.microsoft.com/office/drawing/2014/main" id="{2C1033C7-367B-48B1-A365-3AF363A95FC9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554" name="Picture 155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3EFC44A-7384-449D-9A72-8EE180AFF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555" name="Picture 15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79DF55A-C0BF-49C6-8D25-312176AEA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556" name="Picture 1555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1FF0040-9B06-4563-9179-D6F3E8AF2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557" name="Picture 95405" descr="LADDER">
          <a:extLst>
            <a:ext uri="{FF2B5EF4-FFF2-40B4-BE49-F238E27FC236}">
              <a16:creationId xmlns:a16="http://schemas.microsoft.com/office/drawing/2014/main" id="{234F7A12-B2F9-44D2-87DF-D0088F29B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78EDF606-5A02-4B3C-A566-A77162FA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D08F7F75-C542-46C7-94E8-E6D58BE8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19857FB2-96BB-4105-8C08-4321D006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2F62E5C-5FE7-48AC-A137-2DB143C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EFACF1F5-4E2A-4969-8B5B-069D01C1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D476591B-CB0C-4E6D-89DB-ACDEE6FA3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E9431436-D970-4D9B-B74B-3F453D09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EC3C3DCB-05EE-4CAB-B7F2-CFA97DD9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E98FF1C0-6599-4795-B112-C798CD2F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E2905C90-7424-4822-A09C-D29BCD21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355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8D93E25-61FB-45AA-A049-87691B74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63CFA526-93FF-48EA-8A66-0DF771A8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53B8B93D-327D-41A9-A114-D2F77018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16C4258-E799-4D5B-B139-B73F6243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4F1172D1-527F-48D6-84E7-F4C0C4AF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87018398-7654-4629-A327-BF59E0F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799F247A-E977-4497-A9C9-52B71DFF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C7C3BA4-8DAE-48E0-A65F-B7CE6152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B74C70ED-BD26-4221-8B88-28AD9E70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96ED9C6D-59C9-4866-9FE1-252B39AA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3D30CA1-E8EE-43F0-9074-5624E781D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A3EAA96-9CD6-4C0C-B8E7-391C7596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B2F1E77-3A32-47B0-A3EE-27BA89CC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52B92BE3-493B-4237-BE47-70A14E05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2ADE528A-517A-4D11-8800-C13BB9AAE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F7D46334-8907-4DD8-A3E2-7F61B689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76423FAC-ED3E-4F3A-A868-193C3A2F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E8490402-9942-4745-A6EC-E02428FB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B424264D-8F17-433D-8308-3E84EFE5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630A1CF9-FEE6-4BCB-BAA9-6E53DF97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C7C43554-05AE-416C-B394-FEFB3F35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5A7762FC-4923-4972-BD28-185A93A0A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9B312FC8-7A82-47FC-871D-79343947B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706F831D-0BF1-4B98-A645-37EC9564A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63C99346-5479-40A7-9251-2423B714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9B7FDBE9-FA73-4F31-A91F-93DB74F10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3F847566-78FB-422C-B090-0B2AA60A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BA47394E-5AD3-443F-AF64-5A430B62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7DE5993-A053-43C8-BE81-153F3B56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3D0A5D0-83CB-4816-843E-9E132A1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30F8EB0F-A0A4-4333-908B-E62AAC5D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A49385C-EE1E-4540-AF5F-535BDF0C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600" name="Picture 1599" descr="A black and white symbol&#10;&#10;Description automatically generated">
          <a:extLst>
            <a:ext uri="{FF2B5EF4-FFF2-40B4-BE49-F238E27FC236}">
              <a16:creationId xmlns:a16="http://schemas.microsoft.com/office/drawing/2014/main" id="{7C594CE0-BF7F-44D0-B286-552CCF5A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E20D6192-7051-42BB-8270-BC3D5BBB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D687AD5-C8BC-4A4B-B13F-D30DD495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942DAEA4-7D8A-41EB-A821-8F8DFF8D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E7D69875-E8D3-4B05-B0D0-574BBD2E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EDD14168-C145-408A-973F-D3DDA35A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67D8349A-5F3C-4CFA-91DD-D3E927AA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DEF8F1B0-5700-4C68-8B44-A9F4009E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AF934074-EA2E-4216-A985-69DA2BA0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FD20CFA4-DBC4-42FC-824D-B320DB642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A7572CF1-75AB-46BD-A8C5-13C54844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6405E8C8-47C0-4537-878C-E7D07E61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CFE9393A-4A29-4C4F-863A-7AD4CEE6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94E40029-2A37-425C-B041-68B54346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50792712-86EA-4C51-BEF6-386DB907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E604F128-77F3-4DCA-852A-2C23C4BE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616" name="Picture 1615" descr="A black and white symbol&#10;&#10;Description automatically generated">
          <a:extLst>
            <a:ext uri="{FF2B5EF4-FFF2-40B4-BE49-F238E27FC236}">
              <a16:creationId xmlns:a16="http://schemas.microsoft.com/office/drawing/2014/main" id="{B1DC3BE2-5E98-47DB-BF32-39F36A2C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8024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A5C35DA5-CA86-4677-9921-B90B1200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618" name="Picture 1617" descr="A black and white symbol&#10;&#10;Description automatically generated">
          <a:extLst>
            <a:ext uri="{FF2B5EF4-FFF2-40B4-BE49-F238E27FC236}">
              <a16:creationId xmlns:a16="http://schemas.microsoft.com/office/drawing/2014/main" id="{DCE9010E-FBA7-4252-9152-BEBAD0B8B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14772A48-C0A1-4C5B-BB84-DE0BE33E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620" name="Picture 1619" descr="A black and white symbol&#10;&#10;Description automatically generated">
          <a:extLst>
            <a:ext uri="{FF2B5EF4-FFF2-40B4-BE49-F238E27FC236}">
              <a16:creationId xmlns:a16="http://schemas.microsoft.com/office/drawing/2014/main" id="{0DF742DC-A257-4581-9750-DD23F528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621" name="Picture 1620" descr="A black and white symbol&#10;&#10;Description automatically generated">
          <a:extLst>
            <a:ext uri="{FF2B5EF4-FFF2-40B4-BE49-F238E27FC236}">
              <a16:creationId xmlns:a16="http://schemas.microsoft.com/office/drawing/2014/main" id="{3B65608E-175A-4930-846B-49CF7AE3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622" name="Picture 1621" descr="A black and white symbol&#10;&#10;Description automatically generated">
          <a:extLst>
            <a:ext uri="{FF2B5EF4-FFF2-40B4-BE49-F238E27FC236}">
              <a16:creationId xmlns:a16="http://schemas.microsoft.com/office/drawing/2014/main" id="{EF4CFFBA-A765-47D9-A74F-E8BCCB4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E9DDCD8-AFAE-4045-AC2A-AF66229A21BB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D9501867-CEAE-4274-9E0E-007878095B88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23D5460D-CA1E-4A63-8CB7-7BC8C0426385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626" name="Lightning Bolt 1625">
          <a:extLst>
            <a:ext uri="{FF2B5EF4-FFF2-40B4-BE49-F238E27FC236}">
              <a16:creationId xmlns:a16="http://schemas.microsoft.com/office/drawing/2014/main" id="{C40C5370-60F9-44EC-93B2-D0C42CDADA0A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627" name="Picture 1626" descr="A black and white symbol&#10;&#10;Description automatically generated">
          <a:extLst>
            <a:ext uri="{FF2B5EF4-FFF2-40B4-BE49-F238E27FC236}">
              <a16:creationId xmlns:a16="http://schemas.microsoft.com/office/drawing/2014/main" id="{DBC390E1-5681-4C6A-958F-4561E5CB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3291" y="1269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628" name="Picture 1627" descr="A black and white symbol&#10;&#10;Description automatically generated">
          <a:extLst>
            <a:ext uri="{FF2B5EF4-FFF2-40B4-BE49-F238E27FC236}">
              <a16:creationId xmlns:a16="http://schemas.microsoft.com/office/drawing/2014/main" id="{9F54D44B-C6EA-4466-B86A-036B3D01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629" name="Picture 1628" descr="A black and white symbol&#10;&#10;Description automatically generated">
          <a:extLst>
            <a:ext uri="{FF2B5EF4-FFF2-40B4-BE49-F238E27FC236}">
              <a16:creationId xmlns:a16="http://schemas.microsoft.com/office/drawing/2014/main" id="{7CED8E59-8DB3-476E-87DA-EF7B1959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630" name="Picture 1629" descr="A black and white symbol&#10;&#10;Description automatically generated">
          <a:extLst>
            <a:ext uri="{FF2B5EF4-FFF2-40B4-BE49-F238E27FC236}">
              <a16:creationId xmlns:a16="http://schemas.microsoft.com/office/drawing/2014/main" id="{730D2BDD-3FDD-4AE9-B492-3C27AF8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631" name="Picture 1630" descr="A black and white symbol&#10;&#10;Description automatically generated">
          <a:extLst>
            <a:ext uri="{FF2B5EF4-FFF2-40B4-BE49-F238E27FC236}">
              <a16:creationId xmlns:a16="http://schemas.microsoft.com/office/drawing/2014/main" id="{5D49E414-F01E-49E8-931C-ECB51FDC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E97C60E4-0E89-4C3B-AB6E-6C9A9ECE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6930C4F6-6673-4B29-AB46-667B8F3D6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145B1D2C-C00B-4B68-8FA8-26A6AE3E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E1D5C34B-A5E6-4707-99BF-BE74DC14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636" name="Picture 1635" descr="A black and white symbol&#10;&#10;Description automatically generated">
          <a:extLst>
            <a:ext uri="{FF2B5EF4-FFF2-40B4-BE49-F238E27FC236}">
              <a16:creationId xmlns:a16="http://schemas.microsoft.com/office/drawing/2014/main" id="{1ABA7176-8449-43A8-BDF9-F9AD0DEC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1361EC05-123D-4A7C-9362-9FBC715A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638" name="Picture 1637" descr="A black and white symbol&#10;&#10;Description automatically generated">
          <a:extLst>
            <a:ext uri="{FF2B5EF4-FFF2-40B4-BE49-F238E27FC236}">
              <a16:creationId xmlns:a16="http://schemas.microsoft.com/office/drawing/2014/main" id="{797740CD-27BA-4CE8-87A0-C796AD91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70A89F42-9DC7-40F8-942E-271CD852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640" name="Picture 1639" descr="A black and white symbol&#10;&#10;Description automatically generated">
          <a:extLst>
            <a:ext uri="{FF2B5EF4-FFF2-40B4-BE49-F238E27FC236}">
              <a16:creationId xmlns:a16="http://schemas.microsoft.com/office/drawing/2014/main" id="{7E7C0C56-D5B1-4A66-AB1D-F70054681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5FC0A32-AFB7-4744-81ED-AB9DFD77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642" name="Picture 1641" descr="A black and white symbol&#10;&#10;Description automatically generated">
          <a:extLst>
            <a:ext uri="{FF2B5EF4-FFF2-40B4-BE49-F238E27FC236}">
              <a16:creationId xmlns:a16="http://schemas.microsoft.com/office/drawing/2014/main" id="{E23751BB-F9A8-4892-AA73-AE49897E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5864D315-9516-431C-9D99-ED31CBC7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B861FD53-8468-446D-ABBE-57CC3183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BB5273B4-ED81-4C91-A8B5-34BDE3B6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7BF4E615-6278-47B1-BEDE-35C986F3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E4475463-9CA7-495F-91A0-44E8DC31B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955CBF4A-FD97-4F2E-A627-95235BA02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4E9FCB5C-2B1D-400B-8F33-50E1F16A2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FF3C7720-288E-4F1A-AD82-4CCE330B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62BF108E-1929-4203-98D6-1D7D5ADE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E4D51A88-64E5-42F8-A6A0-FFECA50C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80811ED5-D065-42F1-ABF4-04D2AE0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CA3002A8-4DE8-41BD-A40C-6EE10571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5266EC46-D045-4B5B-B285-7FD968F3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2CB5A734-9209-444E-A832-DF6F444E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FDDA5149-4FDC-451E-870B-427397F8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2175A5A-877C-46FB-967B-E8887AE4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6588A60-5D20-4CF8-84B8-2A95AB8D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D8AE5ADE-F767-48E2-8D50-91B19C91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99225479-6DFF-45D0-B563-72C95C5A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D25E0CB9-8E7D-4585-B425-DDFDC260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49A62147-351A-4D52-93D7-7CD15ACA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6" y="24120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A4E28567-4426-4C24-829E-F5D3D1448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5AF272C6-BEAF-4C58-82A9-AA23FED1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B836D072-C113-4BE4-9279-D28F3BD5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4ED3FA36-B00A-4713-8F2C-88A845A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EC8716FE-776C-479C-A53B-056CBBD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A605E482-ADEC-4351-9830-14A9F57F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A0E1D185-A62E-4934-A9F7-E97BB0766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ECE2FB4B-6571-413F-AF2F-92CCEF2F9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73A6205D-8F1C-418B-A53D-22091314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411DD43E-BA23-481C-AE80-DFD768A7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BBBE420A-040A-4E61-8826-070B854E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DD6EC5E9-A444-489F-817B-CA683645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9FAF133-35A7-4753-84A6-62C1A6F6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F4B00B19-6A79-403A-B30E-340B7CA3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BAC5AF3B-7AAF-4087-8178-DBEE1248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679" name="Picture 1678" descr="A black and white symbol&#10;&#10;Description automatically generated">
          <a:extLst>
            <a:ext uri="{FF2B5EF4-FFF2-40B4-BE49-F238E27FC236}">
              <a16:creationId xmlns:a16="http://schemas.microsoft.com/office/drawing/2014/main" id="{854747EA-8ABC-4E0F-96BD-A528100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2D509CD2-4335-4126-B207-798EE467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FC3CB6E4-E5D1-4DE2-AA87-F0AA6EC9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82" name="Lightning Bolt 1681">
          <a:extLst>
            <a:ext uri="{FF2B5EF4-FFF2-40B4-BE49-F238E27FC236}">
              <a16:creationId xmlns:a16="http://schemas.microsoft.com/office/drawing/2014/main" id="{4DA8EDB2-59A1-407E-8691-5C543869A335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CA1C2906-6C3F-4F5A-AE0B-B26CA5B2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4CC55145-0374-4C07-876B-5015E73EA4A0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E4E93C7F-F177-4D08-9BB9-F66B2987A17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6E9A4448-9368-4B12-BBFD-B10AB36B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7E6A5A54-E99A-4291-9EBD-A7D7B313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89" name="Picture 1688" descr="A black and white symbol&#10;&#10;Description automatically generated">
          <a:extLst>
            <a:ext uri="{FF2B5EF4-FFF2-40B4-BE49-F238E27FC236}">
              <a16:creationId xmlns:a16="http://schemas.microsoft.com/office/drawing/2014/main" id="{BF04764F-0957-414F-B72C-2509A1A0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90" name="Picture 1689" descr="A black and white symbol&#10;&#10;Description automatically generated">
          <a:extLst>
            <a:ext uri="{FF2B5EF4-FFF2-40B4-BE49-F238E27FC236}">
              <a16:creationId xmlns:a16="http://schemas.microsoft.com/office/drawing/2014/main" id="{2933CAB3-0D7A-423D-92BC-052B83F0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C891F37B-FB88-47BF-942E-05909CE1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DBBD522B-AB3E-4CFE-8C4C-5FFFC249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1" y="30216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A11A9729-7E81-4637-8DE2-FB64DD19C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26A71F53-3017-40CC-B107-1ECF9A02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EF64650-B118-41C8-8F90-03E5DB36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058" y="256719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96" name="Picture 1695" descr="A black and white symbol&#10;&#10;Description automatically generated">
          <a:extLst>
            <a:ext uri="{FF2B5EF4-FFF2-40B4-BE49-F238E27FC236}">
              <a16:creationId xmlns:a16="http://schemas.microsoft.com/office/drawing/2014/main" id="{4C845E7B-EBFA-43B3-8D39-D04A46A2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DB00867D-8492-4076-A209-5610BD75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98" name="Picture 1697" descr="A black and white symbol&#10;&#10;Description automatically generated">
          <a:extLst>
            <a:ext uri="{FF2B5EF4-FFF2-40B4-BE49-F238E27FC236}">
              <a16:creationId xmlns:a16="http://schemas.microsoft.com/office/drawing/2014/main" id="{31E7FFE8-1CDB-4E3E-8B9A-AF6FA9CA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14</xdr:col>
      <xdr:colOff>256442</xdr:colOff>
      <xdr:row>43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7E625599-C8F2-4344-8B39-9C443AB17F75}"/>
            </a:ext>
          </a:extLst>
        </xdr:cNvPr>
        <xdr:cNvSpPr/>
      </xdr:nvSpPr>
      <xdr:spPr>
        <a:xfrm>
          <a:off x="4267200" y="8134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17189989-5991-40F4-B0D8-4B9DF2C2C670}"/>
            </a:ext>
          </a:extLst>
        </xdr:cNvPr>
        <xdr:cNvSpPr/>
      </xdr:nvSpPr>
      <xdr:spPr>
        <a:xfrm>
          <a:off x="3362325" y="9658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DABC4AC9-5B14-43C8-AEDC-2BC46267FA2F}"/>
            </a:ext>
          </a:extLst>
        </xdr:cNvPr>
        <xdr:cNvSpPr/>
      </xdr:nvSpPr>
      <xdr:spPr>
        <a:xfrm>
          <a:off x="7972425" y="35623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4A1D7302-E5F5-467D-A297-8D523CE6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8780DA12-16C7-4B98-9700-CD45DEBB353D}"/>
            </a:ext>
          </a:extLst>
        </xdr:cNvPr>
        <xdr:cNvSpPr/>
      </xdr:nvSpPr>
      <xdr:spPr>
        <a:xfrm>
          <a:off x="6048375" y="111823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704" name="Isosceles Triangle 1703">
          <a:extLst>
            <a:ext uri="{FF2B5EF4-FFF2-40B4-BE49-F238E27FC236}">
              <a16:creationId xmlns:a16="http://schemas.microsoft.com/office/drawing/2014/main" id="{CC3A864F-57EA-4F38-88B9-3030AD58B1A7}"/>
            </a:ext>
          </a:extLst>
        </xdr:cNvPr>
        <xdr:cNvSpPr/>
      </xdr:nvSpPr>
      <xdr:spPr>
        <a:xfrm>
          <a:off x="7983631" y="50863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5" name="Lightning Bolt 1704">
          <a:extLst>
            <a:ext uri="{FF2B5EF4-FFF2-40B4-BE49-F238E27FC236}">
              <a16:creationId xmlns:a16="http://schemas.microsoft.com/office/drawing/2014/main" id="{E452A495-7B7A-44B8-9572-F358B6BB0E47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6" name="Lightning Bolt 1705">
          <a:extLst>
            <a:ext uri="{FF2B5EF4-FFF2-40B4-BE49-F238E27FC236}">
              <a16:creationId xmlns:a16="http://schemas.microsoft.com/office/drawing/2014/main" id="{8F08E348-A49A-4779-B3DD-5C1EA20E16A4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7" name="Lightning Bolt 1706">
          <a:extLst>
            <a:ext uri="{FF2B5EF4-FFF2-40B4-BE49-F238E27FC236}">
              <a16:creationId xmlns:a16="http://schemas.microsoft.com/office/drawing/2014/main" id="{FD996825-44F3-462B-B828-8981E946DAD4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8" name="Lightning Bolt 1707">
          <a:extLst>
            <a:ext uri="{FF2B5EF4-FFF2-40B4-BE49-F238E27FC236}">
              <a16:creationId xmlns:a16="http://schemas.microsoft.com/office/drawing/2014/main" id="{77436F42-EFD0-4274-9252-498D008BF0D6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C78E300F-F5D5-486E-8DB3-1B663A0E2334}"/>
            </a:ext>
          </a:extLst>
        </xdr:cNvPr>
        <xdr:cNvSpPr/>
      </xdr:nvSpPr>
      <xdr:spPr>
        <a:xfrm>
          <a:off x="797242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C0B1A300-663C-4853-B8CF-A4F80B92CA25}"/>
            </a:ext>
          </a:extLst>
        </xdr:cNvPr>
        <xdr:cNvSpPr/>
      </xdr:nvSpPr>
      <xdr:spPr>
        <a:xfrm>
          <a:off x="4267200" y="96583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AC8AB5D7-9875-4CBB-AE37-BF4A1E223B54}"/>
            </a:ext>
          </a:extLst>
        </xdr:cNvPr>
        <xdr:cNvSpPr/>
      </xdr:nvSpPr>
      <xdr:spPr>
        <a:xfrm>
          <a:off x="12868275" y="35623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810D422D-EA1F-4659-8157-D74AEDA25740}"/>
            </a:ext>
          </a:extLst>
        </xdr:cNvPr>
        <xdr:cNvSpPr/>
      </xdr:nvSpPr>
      <xdr:spPr>
        <a:xfrm>
          <a:off x="513397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BC5D89D3-EAD5-4C2B-A909-61C7A5265594}"/>
            </a:ext>
          </a:extLst>
        </xdr:cNvPr>
        <xdr:cNvSpPr/>
      </xdr:nvSpPr>
      <xdr:spPr>
        <a:xfrm>
          <a:off x="12868276" y="96583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92755B6E-FDF3-4938-84D8-BDF6958FE601}"/>
            </a:ext>
          </a:extLst>
        </xdr:cNvPr>
        <xdr:cNvSpPr/>
      </xdr:nvSpPr>
      <xdr:spPr>
        <a:xfrm>
          <a:off x="8942854" y="66215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D6144CC3-DB3B-4CF3-8592-C6F80FAF73B2}"/>
            </a:ext>
          </a:extLst>
        </xdr:cNvPr>
        <xdr:cNvSpPr/>
      </xdr:nvSpPr>
      <xdr:spPr>
        <a:xfrm>
          <a:off x="6048375" y="96583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36370DFA-D72C-4131-BA8D-AB1FE4C2EE6B}"/>
            </a:ext>
          </a:extLst>
        </xdr:cNvPr>
        <xdr:cNvSpPr/>
      </xdr:nvSpPr>
      <xdr:spPr>
        <a:xfrm>
          <a:off x="3362325" y="50863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B4A2B1F0-1B0B-4420-84D4-E3B22146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718" name="Picture 1717" descr="A black and white symbol&#10;&#10;Description automatically generated">
          <a:extLst>
            <a:ext uri="{FF2B5EF4-FFF2-40B4-BE49-F238E27FC236}">
              <a16:creationId xmlns:a16="http://schemas.microsoft.com/office/drawing/2014/main" id="{AAD67180-1785-478D-A07C-B3E5F004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DF6E85A4-8121-412D-807D-B2F66B2791EA}"/>
            </a:ext>
          </a:extLst>
        </xdr:cNvPr>
        <xdr:cNvSpPr/>
      </xdr:nvSpPr>
      <xdr:spPr>
        <a:xfrm>
          <a:off x="8963025" y="50863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4D5632C0-164A-47AB-A3FB-ECAB18B0AA31}"/>
            </a:ext>
          </a:extLst>
        </xdr:cNvPr>
        <xdr:cNvSpPr/>
      </xdr:nvSpPr>
      <xdr:spPr>
        <a:xfrm>
          <a:off x="1276350" y="12706350"/>
          <a:ext cx="56365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500C91E0-C814-417A-BB2C-0FE4FD1E3D7C}"/>
            </a:ext>
          </a:extLst>
        </xdr:cNvPr>
        <xdr:cNvSpPr/>
      </xdr:nvSpPr>
      <xdr:spPr>
        <a:xfrm>
          <a:off x="2295525" y="96583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8A03AABA-FC58-4EE1-9DC8-FAB7AC31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314CCF65-8A17-4002-AE4E-3546BEBCA6FE}"/>
            </a:ext>
          </a:extLst>
        </xdr:cNvPr>
        <xdr:cNvSpPr/>
      </xdr:nvSpPr>
      <xdr:spPr>
        <a:xfrm>
          <a:off x="2281818" y="127063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D9C90D0D-3AFE-4878-BF54-542349A8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DD385BCF-A624-4B8E-BBBD-EFA1DED5AB90}"/>
            </a:ext>
          </a:extLst>
        </xdr:cNvPr>
        <xdr:cNvSpPr/>
      </xdr:nvSpPr>
      <xdr:spPr>
        <a:xfrm>
          <a:off x="2293433" y="66103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3391201B-39CE-4FAC-9445-23A03665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727" name="Isosceles Triangle 1726">
          <a:extLst>
            <a:ext uri="{FF2B5EF4-FFF2-40B4-BE49-F238E27FC236}">
              <a16:creationId xmlns:a16="http://schemas.microsoft.com/office/drawing/2014/main" id="{0B919A4A-7CF8-45A3-B31A-6B3BCB423EB0}"/>
            </a:ext>
          </a:extLst>
        </xdr:cNvPr>
        <xdr:cNvSpPr/>
      </xdr:nvSpPr>
      <xdr:spPr>
        <a:xfrm>
          <a:off x="9877425" y="66103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728" name="Isosceles Triangle 1727">
          <a:extLst>
            <a:ext uri="{FF2B5EF4-FFF2-40B4-BE49-F238E27FC236}">
              <a16:creationId xmlns:a16="http://schemas.microsoft.com/office/drawing/2014/main" id="{90FDF719-127D-4667-89DE-CAD484E2AD24}"/>
            </a:ext>
          </a:extLst>
        </xdr:cNvPr>
        <xdr:cNvSpPr/>
      </xdr:nvSpPr>
      <xdr:spPr>
        <a:xfrm>
          <a:off x="10963275" y="35623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50ED2674-C81F-4479-A798-02B02F46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A68C0BF7-2520-4932-A5E1-903090625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CBCF5284-97EE-42EB-A029-0FE63D4A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462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537880D5-1860-4220-9A8C-1D806FA9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8CBDC708-1300-4242-8F32-27A193B7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A269B975-E0B2-47A3-A2C3-02E0CAD5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336859</xdr:colOff>
      <xdr:row>26</xdr:row>
      <xdr:rowOff>0</xdr:rowOff>
    </xdr:from>
    <xdr:to>
      <xdr:col>2</xdr:col>
      <xdr:colOff>267164</xdr:colOff>
      <xdr:row>27</xdr:row>
      <xdr:rowOff>183175</xdr:rowOff>
    </xdr:to>
    <xdr:sp macro="" textlink="">
      <xdr:nvSpPr>
        <xdr:cNvPr id="1735" name="Isosceles Triangle 1734">
          <a:extLst>
            <a:ext uri="{FF2B5EF4-FFF2-40B4-BE49-F238E27FC236}">
              <a16:creationId xmlns:a16="http://schemas.microsoft.com/office/drawing/2014/main" id="{C3916B1E-3656-4288-885C-DD5B6DC07DD0}"/>
            </a:ext>
          </a:extLst>
        </xdr:cNvPr>
        <xdr:cNvSpPr/>
      </xdr:nvSpPr>
      <xdr:spPr>
        <a:xfrm>
          <a:off x="336859" y="5086350"/>
          <a:ext cx="53038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714CA4D1-9044-4B08-B910-52541645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5743F6FA-4C07-4491-A58E-6B970AB89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1911374A-2BE7-4794-8E32-8B5C0B05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C9164196-27A8-4D89-BA81-00DD17F5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A23D935F-6796-42ED-8D28-AFE8B4AA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7697BAE4-F27D-48C3-9AED-8391E2F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9110838-6C09-4654-BEE5-4ED55FFB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879BFD31-C96D-4C27-9ADB-4ECF0FF4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A041C3D-DCB6-4324-9077-6A5F364B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40BF03D0-EFA6-4172-9810-A4F2E587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42188936-AA5B-4369-B980-77BDA442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4170A56C-849D-4B2B-B736-C16AAA3E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748" name="Isosceles Triangle 1747">
          <a:extLst>
            <a:ext uri="{FF2B5EF4-FFF2-40B4-BE49-F238E27FC236}">
              <a16:creationId xmlns:a16="http://schemas.microsoft.com/office/drawing/2014/main" id="{CCA09EE4-7DD5-41D3-B9F8-E61E46F2E2DB}"/>
            </a:ext>
          </a:extLst>
        </xdr:cNvPr>
        <xdr:cNvSpPr/>
      </xdr:nvSpPr>
      <xdr:spPr>
        <a:xfrm>
          <a:off x="51339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71BDE3C5-7E99-4337-AA4C-600597EE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355C3030-DF0A-4E89-BC43-8E1693E6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3E76CCF4-4D78-4F95-BBFE-FD32346F4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752" name="Isosceles Triangle 1751">
          <a:extLst>
            <a:ext uri="{FF2B5EF4-FFF2-40B4-BE49-F238E27FC236}">
              <a16:creationId xmlns:a16="http://schemas.microsoft.com/office/drawing/2014/main" id="{A2FAFD10-B142-45AE-9800-346A213CF84D}"/>
            </a:ext>
          </a:extLst>
        </xdr:cNvPr>
        <xdr:cNvSpPr/>
      </xdr:nvSpPr>
      <xdr:spPr>
        <a:xfrm>
          <a:off x="4282168" y="50958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176DCF3B-2B76-4197-AB42-89EE3E77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6AC2AD63-E7C1-41C0-AE4C-E0793723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7E3FA4C9-334F-46CE-AC39-9622B16C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2EE40534-A748-444B-BA1D-8DA1FC33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26</xdr:row>
      <xdr:rowOff>0</xdr:rowOff>
    </xdr:from>
    <xdr:to>
      <xdr:col>33</xdr:col>
      <xdr:colOff>9778</xdr:colOff>
      <xdr:row>27</xdr:row>
      <xdr:rowOff>183175</xdr:rowOff>
    </xdr:to>
    <xdr:sp macro="" textlink="">
      <xdr:nvSpPr>
        <xdr:cNvPr id="1757" name="Isosceles Triangle 1756">
          <a:extLst>
            <a:ext uri="{FF2B5EF4-FFF2-40B4-BE49-F238E27FC236}">
              <a16:creationId xmlns:a16="http://schemas.microsoft.com/office/drawing/2014/main" id="{1A006E7D-954A-49CB-915A-CF9FAEC5CE51}"/>
            </a:ext>
          </a:extLst>
        </xdr:cNvPr>
        <xdr:cNvSpPr/>
      </xdr:nvSpPr>
      <xdr:spPr>
        <a:xfrm>
          <a:off x="9877425" y="5086350"/>
          <a:ext cx="52412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78D7455C-BDDC-4557-9F25-4E8C67AA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F80D61D3-C55F-41BD-839C-570095C9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A3703EDC-E6D2-4525-A63B-31CC8E20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1B7329F2-D71F-41D4-9864-53C4F62A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762" name="Isosceles Triangle 1761">
          <a:extLst>
            <a:ext uri="{FF2B5EF4-FFF2-40B4-BE49-F238E27FC236}">
              <a16:creationId xmlns:a16="http://schemas.microsoft.com/office/drawing/2014/main" id="{D5202C55-F4F3-404B-B116-349F7530A087}"/>
            </a:ext>
          </a:extLst>
        </xdr:cNvPr>
        <xdr:cNvSpPr/>
      </xdr:nvSpPr>
      <xdr:spPr>
        <a:xfrm>
          <a:off x="10963275" y="81343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10823</xdr:colOff>
      <xdr:row>43</xdr:row>
      <xdr:rowOff>183173</xdr:rowOff>
    </xdr:to>
    <xdr:sp macro="" textlink="">
      <xdr:nvSpPr>
        <xdr:cNvPr id="1763" name="Isosceles Triangle 1762">
          <a:extLst>
            <a:ext uri="{FF2B5EF4-FFF2-40B4-BE49-F238E27FC236}">
              <a16:creationId xmlns:a16="http://schemas.microsoft.com/office/drawing/2014/main" id="{6E39693C-AC6D-474D-9862-F18AA13DA55A}"/>
            </a:ext>
          </a:extLst>
        </xdr:cNvPr>
        <xdr:cNvSpPr/>
      </xdr:nvSpPr>
      <xdr:spPr>
        <a:xfrm>
          <a:off x="3362325" y="81343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764" name="Isosceles Triangle 1763">
          <a:extLst>
            <a:ext uri="{FF2B5EF4-FFF2-40B4-BE49-F238E27FC236}">
              <a16:creationId xmlns:a16="http://schemas.microsoft.com/office/drawing/2014/main" id="{E7128E50-BFC3-4BAB-A9D3-0A77444C13CB}"/>
            </a:ext>
          </a:extLst>
        </xdr:cNvPr>
        <xdr:cNvSpPr/>
      </xdr:nvSpPr>
      <xdr:spPr>
        <a:xfrm>
          <a:off x="12868275" y="5143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993E133-4CC6-4F76-A06F-308B6339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8F1D4768-EF8D-4417-9E21-42868FE5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767" name="Isosceles Triangle 1766">
          <a:extLst>
            <a:ext uri="{FF2B5EF4-FFF2-40B4-BE49-F238E27FC236}">
              <a16:creationId xmlns:a16="http://schemas.microsoft.com/office/drawing/2014/main" id="{9B6603FE-1B74-4A3B-8D42-6C0A96A84CCC}"/>
            </a:ext>
          </a:extLst>
        </xdr:cNvPr>
        <xdr:cNvSpPr/>
      </xdr:nvSpPr>
      <xdr:spPr>
        <a:xfrm>
          <a:off x="9879156" y="35623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768" name="Isosceles Triangle 1767">
          <a:extLst>
            <a:ext uri="{FF2B5EF4-FFF2-40B4-BE49-F238E27FC236}">
              <a16:creationId xmlns:a16="http://schemas.microsoft.com/office/drawing/2014/main" id="{51654399-90AB-462E-8040-460B47937C83}"/>
            </a:ext>
          </a:extLst>
        </xdr:cNvPr>
        <xdr:cNvSpPr/>
      </xdr:nvSpPr>
      <xdr:spPr>
        <a:xfrm>
          <a:off x="1276350" y="6610350"/>
          <a:ext cx="554034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769" name="Isosceles Triangle 1768">
          <a:extLst>
            <a:ext uri="{FF2B5EF4-FFF2-40B4-BE49-F238E27FC236}">
              <a16:creationId xmlns:a16="http://schemas.microsoft.com/office/drawing/2014/main" id="{3BC22C08-0833-4611-9013-804E84AE2BC7}"/>
            </a:ext>
          </a:extLst>
        </xdr:cNvPr>
        <xdr:cNvSpPr/>
      </xdr:nvSpPr>
      <xdr:spPr>
        <a:xfrm>
          <a:off x="1276350" y="2038350"/>
          <a:ext cx="5524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6737B0F-7756-4D61-A19D-7EBA63D4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12666787-B2CC-4B9F-820B-97F3AF6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772" name="Isosceles Triangle 1771">
          <a:extLst>
            <a:ext uri="{FF2B5EF4-FFF2-40B4-BE49-F238E27FC236}">
              <a16:creationId xmlns:a16="http://schemas.microsoft.com/office/drawing/2014/main" id="{84999C1B-7049-493E-B984-571798F23C2B}"/>
            </a:ext>
          </a:extLst>
        </xdr:cNvPr>
        <xdr:cNvSpPr/>
      </xdr:nvSpPr>
      <xdr:spPr>
        <a:xfrm>
          <a:off x="229552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773" name="Isosceles Triangle 1772">
          <a:extLst>
            <a:ext uri="{FF2B5EF4-FFF2-40B4-BE49-F238E27FC236}">
              <a16:creationId xmlns:a16="http://schemas.microsoft.com/office/drawing/2014/main" id="{14DB182E-6D16-4CF9-9512-3F9718188042}"/>
            </a:ext>
          </a:extLst>
        </xdr:cNvPr>
        <xdr:cNvSpPr/>
      </xdr:nvSpPr>
      <xdr:spPr>
        <a:xfrm>
          <a:off x="3356982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9</xdr:col>
      <xdr:colOff>20197</xdr:colOff>
      <xdr:row>43</xdr:row>
      <xdr:rowOff>180244</xdr:rowOff>
    </xdr:to>
    <xdr:sp macro="" textlink="">
      <xdr:nvSpPr>
        <xdr:cNvPr id="1774" name="Isosceles Triangle 1773">
          <a:extLst>
            <a:ext uri="{FF2B5EF4-FFF2-40B4-BE49-F238E27FC236}">
              <a16:creationId xmlns:a16="http://schemas.microsoft.com/office/drawing/2014/main" id="{EABA00CE-29B0-4109-99B5-F7F263FB8BBB}"/>
            </a:ext>
          </a:extLst>
        </xdr:cNvPr>
        <xdr:cNvSpPr/>
      </xdr:nvSpPr>
      <xdr:spPr>
        <a:xfrm>
          <a:off x="2288323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775" name="Isosceles Triangle 1774">
          <a:extLst>
            <a:ext uri="{FF2B5EF4-FFF2-40B4-BE49-F238E27FC236}">
              <a16:creationId xmlns:a16="http://schemas.microsoft.com/office/drawing/2014/main" id="{3D2764C0-8D5B-4CC8-8BAC-A7E02D1B76E0}"/>
            </a:ext>
          </a:extLst>
        </xdr:cNvPr>
        <xdr:cNvSpPr/>
      </xdr:nvSpPr>
      <xdr:spPr>
        <a:xfrm>
          <a:off x="7980091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8" name="Picture 17" descr="A black and white symbol&#10;&#10;Description automatically generated">
          <a:extLst>
            <a:ext uri="{FF2B5EF4-FFF2-40B4-BE49-F238E27FC236}">
              <a16:creationId xmlns:a16="http://schemas.microsoft.com/office/drawing/2014/main" id="{8B0A7EF6-D55F-4E5C-BCA3-DD28C693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97" y="2839706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44" name="Picture 43" descr="A black and white symbol&#10;&#10;Description automatically generated">
          <a:extLst>
            <a:ext uri="{FF2B5EF4-FFF2-40B4-BE49-F238E27FC236}">
              <a16:creationId xmlns:a16="http://schemas.microsoft.com/office/drawing/2014/main" id="{F7129AEC-CC0E-409B-B576-08B8441D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495" y="3291881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48" name="Picture 47" descr="A black and white symbol&#10;&#10;Description automatically generated">
          <a:extLst>
            <a:ext uri="{FF2B5EF4-FFF2-40B4-BE49-F238E27FC236}">
              <a16:creationId xmlns:a16="http://schemas.microsoft.com/office/drawing/2014/main" id="{D69BA796-AA64-4E36-8A67-1FA90A612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652" y="2059490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35009E4-60D4-4D97-B0EC-77EA1FC6E4ED}"/>
            </a:ext>
          </a:extLst>
        </xdr:cNvPr>
        <xdr:cNvSpPr/>
      </xdr:nvSpPr>
      <xdr:spPr>
        <a:xfrm>
          <a:off x="4263018" y="10930518"/>
          <a:ext cx="523606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18ACBF3F-728F-4BC0-8C40-CBDF1CE4EF55}"/>
            </a:ext>
          </a:extLst>
        </xdr:cNvPr>
        <xdr:cNvSpPr/>
      </xdr:nvSpPr>
      <xdr:spPr>
        <a:xfrm>
          <a:off x="5134207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91403A6E-9A15-4F9F-AC38-2844DE1E3A3C}"/>
            </a:ext>
          </a:extLst>
        </xdr:cNvPr>
        <xdr:cNvSpPr/>
      </xdr:nvSpPr>
      <xdr:spPr>
        <a:xfrm>
          <a:off x="6934665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47" name="Picture 46" descr="A black and white symbol&#10;&#10;Description automatically generated">
          <a:extLst>
            <a:ext uri="{FF2B5EF4-FFF2-40B4-BE49-F238E27FC236}">
              <a16:creationId xmlns:a16="http://schemas.microsoft.com/office/drawing/2014/main" id="{7888B286-3934-4063-94BD-53F62102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689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42</xdr:row>
      <xdr:rowOff>0</xdr:rowOff>
    </xdr:from>
    <xdr:to>
      <xdr:col>3</xdr:col>
      <xdr:colOff>20197</xdr:colOff>
      <xdr:row>43</xdr:row>
      <xdr:rowOff>180244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78D2E909-F49D-45E7-A4DE-4A4091763235}"/>
            </a:ext>
          </a:extLst>
        </xdr:cNvPr>
        <xdr:cNvSpPr/>
      </xdr:nvSpPr>
      <xdr:spPr>
        <a:xfrm>
          <a:off x="336860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1A7D1822-4A6A-4C9C-BE71-530C4EFE137C}"/>
            </a:ext>
          </a:extLst>
        </xdr:cNvPr>
        <xdr:cNvSpPr/>
      </xdr:nvSpPr>
      <xdr:spPr>
        <a:xfrm>
          <a:off x="1277744" y="3496372"/>
          <a:ext cx="557561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9F3EE314-211C-4B46-A062-CC9543712A36}"/>
            </a:ext>
          </a:extLst>
        </xdr:cNvPr>
        <xdr:cNvSpPr/>
      </xdr:nvSpPr>
      <xdr:spPr>
        <a:xfrm>
          <a:off x="12870366" y="2009543"/>
          <a:ext cx="592408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BFAF2DD6-754F-48A3-8629-3B140C7D2C54}"/>
            </a:ext>
          </a:extLst>
        </xdr:cNvPr>
        <xdr:cNvSpPr/>
      </xdr:nvSpPr>
      <xdr:spPr>
        <a:xfrm>
          <a:off x="9873476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288" name="Picture 287" descr="A black and white symbol&#10;&#10;Description automatically generated">
          <a:extLst>
            <a:ext uri="{FF2B5EF4-FFF2-40B4-BE49-F238E27FC236}">
              <a16:creationId xmlns:a16="http://schemas.microsoft.com/office/drawing/2014/main" id="{7946A007-6689-4C47-8888-4A31EE27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10823</xdr:colOff>
      <xdr:row>43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2FE93C0B-56E3-474D-B91F-68FF3C9FA8BA}"/>
            </a:ext>
          </a:extLst>
        </xdr:cNvPr>
        <xdr:cNvSpPr/>
      </xdr:nvSpPr>
      <xdr:spPr>
        <a:xfrm>
          <a:off x="6051860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46" name="Picture 45" descr="A black and white symbol&#10;&#10;Description automatically generated">
          <a:extLst>
            <a:ext uri="{FF2B5EF4-FFF2-40B4-BE49-F238E27FC236}">
              <a16:creationId xmlns:a16="http://schemas.microsoft.com/office/drawing/2014/main" id="{01DD2AC6-63D9-4C75-94C5-E86F333E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11</xdr:row>
      <xdr:rowOff>183174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EB51379-E687-457F-AD40-C43BD086D2A4}"/>
            </a:ext>
          </a:extLst>
        </xdr:cNvPr>
        <xdr:cNvSpPr/>
      </xdr:nvSpPr>
      <xdr:spPr>
        <a:xfrm>
          <a:off x="11859787" y="2009543"/>
          <a:ext cx="522713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58F040C-2353-4B55-9EF9-5D4BB1C3B7F3}"/>
            </a:ext>
          </a:extLst>
        </xdr:cNvPr>
        <xdr:cNvSpPr/>
      </xdr:nvSpPr>
      <xdr:spPr>
        <a:xfrm>
          <a:off x="3356982" y="3496372"/>
          <a:ext cx="523607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E15DCD71-4FE3-42B3-A778-130EFB5B7F62}"/>
            </a:ext>
          </a:extLst>
        </xdr:cNvPr>
        <xdr:cNvSpPr/>
      </xdr:nvSpPr>
      <xdr:spPr>
        <a:xfrm>
          <a:off x="2288323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02" name="Picture 101" descr="A black and white symbol&#10;&#10;Description automatically generated">
          <a:extLst>
            <a:ext uri="{FF2B5EF4-FFF2-40B4-BE49-F238E27FC236}">
              <a16:creationId xmlns:a16="http://schemas.microsoft.com/office/drawing/2014/main" id="{67B1DC65-7001-40FB-82CA-439347BD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77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276" name="Picture 275" descr="A black and white symbol&#10;&#10;Description automatically generated">
          <a:extLst>
            <a:ext uri="{FF2B5EF4-FFF2-40B4-BE49-F238E27FC236}">
              <a16:creationId xmlns:a16="http://schemas.microsoft.com/office/drawing/2014/main" id="{9F16E3B9-99E7-4E7E-846A-B27C6F7E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3776827-EF00-4B0D-A2F2-BCDE8E3CE21B}"/>
            </a:ext>
          </a:extLst>
        </xdr:cNvPr>
        <xdr:cNvSpPr/>
      </xdr:nvSpPr>
      <xdr:spPr>
        <a:xfrm>
          <a:off x="1277744" y="31746128"/>
          <a:ext cx="545945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D1FB78B-F3AE-4103-8BC3-A729A625FEB0}"/>
            </a:ext>
          </a:extLst>
        </xdr:cNvPr>
        <xdr:cNvSpPr/>
      </xdr:nvSpPr>
      <xdr:spPr>
        <a:xfrm>
          <a:off x="8967439" y="7956860"/>
          <a:ext cx="511098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B56CF544-B57C-47B0-BC7B-D089ACEF4305}"/>
            </a:ext>
          </a:extLst>
        </xdr:cNvPr>
        <xdr:cNvSpPr/>
      </xdr:nvSpPr>
      <xdr:spPr>
        <a:xfrm>
          <a:off x="11859787" y="3496372"/>
          <a:ext cx="523606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A6F4FF89-0CE8-42CB-BB96-E4C8BA65CBF4}"/>
            </a:ext>
          </a:extLst>
        </xdr:cNvPr>
        <xdr:cNvSpPr/>
      </xdr:nvSpPr>
      <xdr:spPr>
        <a:xfrm>
          <a:off x="4263018" y="3496372"/>
          <a:ext cx="534330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F1187388-8470-48D0-8180-2C01051916F5}"/>
            </a:ext>
          </a:extLst>
        </xdr:cNvPr>
        <xdr:cNvSpPr/>
      </xdr:nvSpPr>
      <xdr:spPr>
        <a:xfrm>
          <a:off x="3356982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857" name="Picture 856" descr="A black and white symbol&#10;&#10;Description automatically generated">
          <a:extLst>
            <a:ext uri="{FF2B5EF4-FFF2-40B4-BE49-F238E27FC236}">
              <a16:creationId xmlns:a16="http://schemas.microsoft.com/office/drawing/2014/main" id="{F50226DE-DD44-45FF-A05D-4F1C26C9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146475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C7E5B14-608F-4CF1-B029-CFADBF038F94}"/>
            </a:ext>
          </a:extLst>
        </xdr:cNvPr>
        <xdr:cNvSpPr/>
      </xdr:nvSpPr>
      <xdr:spPr>
        <a:xfrm>
          <a:off x="8967440" y="2009543"/>
          <a:ext cx="499482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6116A1F7-83D4-45D5-B28D-14B08591F431}"/>
            </a:ext>
          </a:extLst>
        </xdr:cNvPr>
        <xdr:cNvSpPr/>
      </xdr:nvSpPr>
      <xdr:spPr>
        <a:xfrm>
          <a:off x="8967440" y="9443689"/>
          <a:ext cx="499482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4399F5A1-E074-42A3-BD35-278577BBEE7D}"/>
            </a:ext>
          </a:extLst>
        </xdr:cNvPr>
        <xdr:cNvSpPr/>
      </xdr:nvSpPr>
      <xdr:spPr>
        <a:xfrm>
          <a:off x="5134207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49" name="Picture 48" descr="A black and white symbol&#10;&#10;Description automatically generated">
          <a:extLst>
            <a:ext uri="{FF2B5EF4-FFF2-40B4-BE49-F238E27FC236}">
              <a16:creationId xmlns:a16="http://schemas.microsoft.com/office/drawing/2014/main" id="{7938010A-8E7E-4E62-A3BA-4351E0DB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421" y="25055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152400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685800</xdr:colOff>
      <xdr:row>0</xdr:row>
      <xdr:rowOff>0</xdr:rowOff>
    </xdr:from>
    <xdr:to>
      <xdr:col>22</xdr:col>
      <xdr:colOff>1483537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3225" y="0"/>
          <a:ext cx="2064562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p07\AppData\Local\Microsoft\Windows\INetCache\Content.Outlook\BTLGUXGA\Visual%20chart%20TA%20509%20(18.09.2025).xlsx" TargetMode="External"/><Relationship Id="rId1" Type="http://schemas.openxmlformats.org/officeDocument/2006/relationships/externalLinkPath" Target="file:///C:\Users\sharmap07\AppData\Local\Microsoft\Windows\INetCache\Content.Outlook\BTLGUXGA\Visual%20chart%20TA%20509%20(18.09.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p07\Desktop\220kV%20DPR-%2020-07-2025%20(2).xlsx" TargetMode="External"/><Relationship Id="rId1" Type="http://schemas.openxmlformats.org/officeDocument/2006/relationships/externalLinkPath" Target="file:///C:\Users\sharmap07\Desktop\220kV%20DPR-%2020-07-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220kV"/>
      <sheetName val="VC-220kV"/>
      <sheetName val="Stringing-220kV"/>
      <sheetName val="Supply"/>
      <sheetName val="Mail Body"/>
    </sheetNames>
    <sheetDataSet>
      <sheetData sheetId="0">
        <row r="5">
          <cell r="R5">
            <v>45858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9AB7-FFC4-422D-9295-5C75ACEF53E6}">
  <dimension ref="A1:BI216"/>
  <sheetViews>
    <sheetView tabSelected="1" view="pageBreakPreview" zoomScale="82" zoomScaleNormal="82" zoomScaleSheetLayoutView="82" workbookViewId="0">
      <pane ySplit="2" topLeftCell="A3" activePane="bottomLeft" state="frozen"/>
      <selection activeCell="AH66" sqref="AH66"/>
      <selection pane="bottomLeft" activeCell="S89" sqref="S89"/>
    </sheetView>
  </sheetViews>
  <sheetFormatPr defaultRowHeight="15" x14ac:dyDescent="0.25"/>
  <cols>
    <col min="1" max="1" width="5" customWidth="1"/>
    <col min="2" max="3" width="4" customWidth="1"/>
    <col min="4" max="4" width="6.140625" style="6" customWidth="1"/>
    <col min="5" max="5" width="4.5703125" customWidth="1"/>
    <col min="6" max="6" width="3.7109375" customWidth="1"/>
    <col min="7" max="7" width="7" style="6" customWidth="1"/>
    <col min="8" max="9" width="4" customWidth="1"/>
    <col min="10" max="10" width="8" style="6" customWidth="1"/>
    <col min="11" max="12" width="4" customWidth="1"/>
    <col min="13" max="13" width="5.5703125" style="6" customWidth="1"/>
    <col min="14" max="15" width="4" customWidth="1"/>
    <col min="16" max="16" width="5" style="6" customWidth="1"/>
    <col min="17" max="18" width="4" customWidth="1"/>
    <col min="19" max="19" width="5.7109375" style="6" customWidth="1"/>
    <col min="20" max="21" width="4" customWidth="1"/>
    <col min="22" max="22" width="5.140625" style="6" customWidth="1"/>
    <col min="23" max="24" width="4" customWidth="1"/>
    <col min="25" max="25" width="7.7109375" style="6" customWidth="1"/>
    <col min="26" max="27" width="4" customWidth="1"/>
    <col min="28" max="28" width="6.85546875" style="6" customWidth="1"/>
    <col min="29" max="29" width="3.85546875" customWidth="1"/>
    <col min="30" max="30" width="3.7109375" customWidth="1"/>
    <col min="31" max="31" width="6.140625" style="6" customWidth="1"/>
    <col min="32" max="32" width="4" customWidth="1"/>
    <col min="33" max="33" width="3.7109375" customWidth="1"/>
    <col min="34" max="34" width="8.5703125" style="6" customWidth="1"/>
    <col min="35" max="35" width="4" customWidth="1"/>
    <col min="36" max="36" width="3.85546875" customWidth="1"/>
    <col min="37" max="37" width="5.7109375" style="6" customWidth="1"/>
    <col min="38" max="38" width="4" customWidth="1"/>
    <col min="39" max="39" width="3.5703125" customWidth="1"/>
    <col min="40" max="40" width="7.42578125" style="6" customWidth="1"/>
    <col min="41" max="41" width="5.42578125" customWidth="1"/>
    <col min="42" max="42" width="3.42578125" customWidth="1"/>
    <col min="43" max="43" width="7.85546875" bestFit="1" customWidth="1"/>
    <col min="44" max="44" width="3.42578125" customWidth="1"/>
    <col min="45" max="45" width="3.85546875" style="6" customWidth="1"/>
    <col min="46" max="46" width="4.28515625" style="6" bestFit="1" customWidth="1"/>
    <col min="47" max="47" width="2.5703125" customWidth="1"/>
    <col min="48" max="48" width="6.140625" customWidth="1"/>
    <col min="49" max="49" width="6" customWidth="1"/>
    <col min="50" max="51" width="5.7109375" customWidth="1"/>
    <col min="52" max="52" width="7.140625" customWidth="1"/>
  </cols>
  <sheetData>
    <row r="1" spans="1:54" ht="21.75" customHeight="1" thickBot="1" x14ac:dyDescent="0.3">
      <c r="A1" s="499" t="str">
        <f>[1]TS!A1</f>
        <v>Name of Line:- 765 KV D/C Mandsaur - Kurawar (Part-1)Transmission Line(WZ-4)</v>
      </c>
      <c r="B1" s="500"/>
      <c r="C1" s="500"/>
      <c r="D1" s="500"/>
      <c r="E1" s="500"/>
      <c r="F1" s="500"/>
      <c r="G1" s="501"/>
      <c r="H1" s="501"/>
      <c r="I1" s="501"/>
      <c r="J1" s="501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  <c r="AK1" s="500"/>
      <c r="AL1" s="500"/>
      <c r="AM1" s="500"/>
      <c r="AN1" s="500"/>
      <c r="AO1" s="500"/>
      <c r="AP1" s="500"/>
      <c r="AQ1" s="500"/>
      <c r="AR1" s="500"/>
      <c r="AS1" s="500"/>
      <c r="AT1" s="292"/>
      <c r="AV1" s="487">
        <f>+[2]Summary!R5</f>
        <v>45858</v>
      </c>
      <c r="AW1" s="487"/>
      <c r="AX1" s="487"/>
      <c r="AY1" s="487"/>
      <c r="AZ1" s="487"/>
    </row>
    <row r="2" spans="1:54" ht="18.75" x14ac:dyDescent="0.3">
      <c r="A2" s="5"/>
      <c r="G2" s="437"/>
      <c r="H2" s="437"/>
      <c r="I2" s="437"/>
      <c r="J2" s="437"/>
      <c r="T2" s="488" t="s">
        <v>395</v>
      </c>
      <c r="U2" s="488"/>
      <c r="V2" s="488"/>
      <c r="W2" s="488"/>
      <c r="X2" s="488"/>
      <c r="Y2" s="488"/>
      <c r="Z2" s="488"/>
      <c r="AA2" s="488"/>
      <c r="AB2" s="488"/>
      <c r="AC2" s="488"/>
      <c r="AD2" s="488"/>
      <c r="AK2" s="489" t="s">
        <v>356</v>
      </c>
      <c r="AL2" s="489"/>
      <c r="AM2" s="489"/>
      <c r="AN2" s="490">
        <f ca="1">TODAY()</f>
        <v>46028</v>
      </c>
      <c r="AO2" s="490"/>
      <c r="AP2" s="490"/>
      <c r="AQ2" s="270"/>
      <c r="AR2" s="270"/>
      <c r="AT2" s="293"/>
      <c r="AV2" s="9" t="s">
        <v>357</v>
      </c>
      <c r="AW2" s="9" t="s">
        <v>358</v>
      </c>
      <c r="AX2" s="9" t="s">
        <v>359</v>
      </c>
      <c r="AY2" s="10" t="s">
        <v>360</v>
      </c>
      <c r="AZ2" s="11" t="s">
        <v>361</v>
      </c>
    </row>
    <row r="3" spans="1:54" x14ac:dyDescent="0.25">
      <c r="A3" s="5"/>
      <c r="C3" s="6"/>
      <c r="F3" s="6"/>
      <c r="G3"/>
      <c r="AT3" s="8"/>
      <c r="AV3" s="12">
        <f>SUM(AV6:AV184)</f>
        <v>283</v>
      </c>
      <c r="AW3" s="12"/>
      <c r="AX3" s="12"/>
      <c r="AY3" s="12"/>
      <c r="AZ3" s="12"/>
    </row>
    <row r="4" spans="1:54" x14ac:dyDescent="0.25">
      <c r="A4" s="5"/>
      <c r="B4" s="491"/>
      <c r="C4" s="491"/>
      <c r="E4" s="491"/>
      <c r="F4" s="491"/>
      <c r="H4" s="492"/>
      <c r="I4" s="492"/>
      <c r="K4" s="491"/>
      <c r="L4" s="491"/>
      <c r="N4" s="491"/>
      <c r="O4" s="491"/>
      <c r="Q4" s="492"/>
      <c r="R4" s="492"/>
      <c r="T4" s="492"/>
      <c r="U4" s="492"/>
      <c r="W4" s="498"/>
      <c r="X4" s="498"/>
      <c r="Z4" s="498"/>
      <c r="AA4" s="498"/>
      <c r="AC4" s="492"/>
      <c r="AD4" s="491"/>
      <c r="AF4" s="492"/>
      <c r="AG4" s="491"/>
      <c r="AI4" s="492"/>
      <c r="AJ4" s="491"/>
      <c r="AL4" s="492"/>
      <c r="AM4" s="491"/>
      <c r="AO4" s="492"/>
      <c r="AP4" s="491"/>
      <c r="AQ4" s="13"/>
      <c r="AR4" s="13"/>
      <c r="AT4" s="8"/>
      <c r="AV4" s="13">
        <f>SUM(AV6:AV182)</f>
        <v>283</v>
      </c>
    </row>
    <row r="5" spans="1:54" x14ac:dyDescent="0.25">
      <c r="A5" s="5"/>
      <c r="B5" s="9"/>
      <c r="C5" s="29"/>
      <c r="D5" s="16"/>
      <c r="E5" s="9"/>
      <c r="F5" s="29"/>
      <c r="G5" s="16"/>
      <c r="H5" s="9"/>
      <c r="I5" s="29"/>
      <c r="J5" s="17"/>
      <c r="K5" s="9"/>
      <c r="L5" s="29"/>
      <c r="M5" s="16"/>
      <c r="N5" s="9"/>
      <c r="O5" s="29"/>
      <c r="P5" s="18"/>
      <c r="Q5" s="9"/>
      <c r="R5" s="29"/>
      <c r="S5" s="18"/>
      <c r="T5" s="294"/>
      <c r="U5" s="294"/>
      <c r="V5" s="18"/>
      <c r="W5" s="294"/>
      <c r="X5" s="294"/>
      <c r="Y5" s="18"/>
      <c r="Z5" s="294"/>
      <c r="AA5" s="294"/>
      <c r="AB5" s="18"/>
      <c r="AC5" s="9"/>
      <c r="AD5" s="3"/>
      <c r="AE5" s="18"/>
      <c r="AF5" s="9"/>
      <c r="AG5" s="29"/>
      <c r="AH5" s="18"/>
      <c r="AI5" s="9"/>
      <c r="AJ5" s="29"/>
      <c r="AK5" s="18"/>
      <c r="AL5" s="9"/>
      <c r="AM5" s="29"/>
      <c r="AN5" s="18"/>
      <c r="AO5" s="14"/>
      <c r="AP5" s="280"/>
      <c r="AQ5" s="273"/>
      <c r="AR5" s="12"/>
      <c r="AS5" s="273"/>
      <c r="AT5" s="282"/>
    </row>
    <row r="6" spans="1:54" x14ac:dyDescent="0.25">
      <c r="A6" s="5"/>
      <c r="B6" s="9"/>
      <c r="C6" s="9"/>
      <c r="D6" s="19"/>
      <c r="E6" s="9"/>
      <c r="F6" s="9"/>
      <c r="G6" s="19"/>
      <c r="H6" s="9"/>
      <c r="I6" s="9"/>
      <c r="J6" s="61"/>
      <c r="K6" s="9"/>
      <c r="L6" s="9"/>
      <c r="M6" s="19"/>
      <c r="N6" s="9"/>
      <c r="O6" s="9"/>
      <c r="P6" s="19"/>
      <c r="Q6" s="9"/>
      <c r="R6" s="9"/>
      <c r="S6" s="19"/>
      <c r="T6" s="294"/>
      <c r="U6" s="294"/>
      <c r="V6" s="19"/>
      <c r="W6" s="294"/>
      <c r="X6" s="294"/>
      <c r="Y6" s="19"/>
      <c r="Z6" s="294"/>
      <c r="AA6" s="294"/>
      <c r="AB6" s="19"/>
      <c r="AC6" s="9"/>
      <c r="AD6" s="9"/>
      <c r="AF6" s="9"/>
      <c r="AG6" s="9"/>
      <c r="AH6" s="19"/>
      <c r="AI6" s="9"/>
      <c r="AJ6" s="9"/>
      <c r="AK6" s="19"/>
      <c r="AM6" s="9"/>
      <c r="AN6" s="19"/>
      <c r="AO6" s="14"/>
      <c r="AP6" s="281"/>
      <c r="AQ6" s="12"/>
      <c r="AR6" s="12"/>
      <c r="AS6" s="12"/>
      <c r="AT6" s="283"/>
      <c r="AV6" s="2">
        <v>1</v>
      </c>
      <c r="AW6" s="2">
        <v>1</v>
      </c>
      <c r="AX6" s="2">
        <v>1</v>
      </c>
      <c r="AY6" s="2">
        <v>0</v>
      </c>
      <c r="AZ6" s="2">
        <v>0</v>
      </c>
      <c r="BB6" s="20" t="e">
        <f>+D5+G5+J5+M5+P5+S5+V5+Y5+AB5+AE5+AH5+AK5+AN5+#REF!</f>
        <v>#REF!</v>
      </c>
    </row>
    <row r="7" spans="1:54" x14ac:dyDescent="0.25">
      <c r="A7" s="5">
        <v>116</v>
      </c>
      <c r="B7" s="493" t="s">
        <v>14</v>
      </c>
      <c r="C7" s="493"/>
      <c r="D7" s="19">
        <v>157</v>
      </c>
      <c r="E7" s="493" t="s">
        <v>806</v>
      </c>
      <c r="F7" s="493"/>
      <c r="G7" s="19">
        <v>403</v>
      </c>
      <c r="H7" s="494" t="s">
        <v>810</v>
      </c>
      <c r="I7" s="493"/>
      <c r="J7" s="19">
        <v>380</v>
      </c>
      <c r="K7" s="494" t="s">
        <v>36</v>
      </c>
      <c r="L7" s="493"/>
      <c r="M7" s="19">
        <v>422</v>
      </c>
      <c r="N7" s="495" t="s">
        <v>21</v>
      </c>
      <c r="O7" s="496"/>
      <c r="P7" s="19">
        <v>418</v>
      </c>
      <c r="Q7" s="497" t="s">
        <v>66</v>
      </c>
      <c r="R7" s="493"/>
      <c r="S7" s="19">
        <v>410</v>
      </c>
      <c r="T7" s="497" t="s">
        <v>25</v>
      </c>
      <c r="U7" s="493"/>
      <c r="V7" s="19">
        <v>381</v>
      </c>
      <c r="W7" s="497" t="s">
        <v>25</v>
      </c>
      <c r="X7" s="493"/>
      <c r="Y7" s="19">
        <v>417</v>
      </c>
      <c r="Z7" s="510" t="s">
        <v>28</v>
      </c>
      <c r="AA7" s="493"/>
      <c r="AB7" s="6">
        <v>417</v>
      </c>
      <c r="AC7" s="510" t="s">
        <v>21</v>
      </c>
      <c r="AD7" s="493"/>
      <c r="AE7" s="19">
        <v>417</v>
      </c>
      <c r="AF7" s="493" t="s">
        <v>28</v>
      </c>
      <c r="AG7" s="493"/>
      <c r="AH7" s="19">
        <v>398</v>
      </c>
      <c r="AI7" s="510" t="s">
        <v>21</v>
      </c>
      <c r="AJ7" s="493"/>
      <c r="AK7" s="19">
        <v>442</v>
      </c>
      <c r="AL7" s="510" t="s">
        <v>33</v>
      </c>
      <c r="AM7" s="493"/>
      <c r="AN7" s="21">
        <v>410</v>
      </c>
      <c r="AO7" s="508" t="s">
        <v>28</v>
      </c>
      <c r="AP7" s="508"/>
      <c r="AQ7" s="19">
        <v>330</v>
      </c>
      <c r="AX7" s="13"/>
    </row>
    <row r="8" spans="1:54" x14ac:dyDescent="0.25">
      <c r="A8" s="5"/>
      <c r="B8" s="505" t="s">
        <v>13</v>
      </c>
      <c r="C8" s="505"/>
      <c r="D8" s="7"/>
      <c r="E8" s="505" t="s">
        <v>15</v>
      </c>
      <c r="F8" s="505"/>
      <c r="G8" s="7"/>
      <c r="H8" s="509" t="s">
        <v>16</v>
      </c>
      <c r="I8" s="505"/>
      <c r="J8" s="7"/>
      <c r="K8" s="509" t="s">
        <v>18</v>
      </c>
      <c r="L8" s="505"/>
      <c r="M8" s="7"/>
      <c r="N8" s="502" t="s">
        <v>20</v>
      </c>
      <c r="O8" s="503"/>
      <c r="P8" s="7"/>
      <c r="Q8" s="502" t="s">
        <v>22</v>
      </c>
      <c r="R8" s="503"/>
      <c r="S8" s="7"/>
      <c r="T8" s="502" t="s">
        <v>24</v>
      </c>
      <c r="U8" s="503"/>
      <c r="V8" s="7"/>
      <c r="W8" s="502" t="s">
        <v>26</v>
      </c>
      <c r="X8" s="503"/>
      <c r="Y8" s="7"/>
      <c r="Z8" s="502" t="s">
        <v>27</v>
      </c>
      <c r="AA8" s="503"/>
      <c r="AB8" s="19"/>
      <c r="AC8" s="502" t="s">
        <v>29</v>
      </c>
      <c r="AD8" s="503"/>
      <c r="AE8" s="7"/>
      <c r="AF8" s="502" t="s">
        <v>30</v>
      </c>
      <c r="AG8" s="503"/>
      <c r="AH8" s="7"/>
      <c r="AI8" s="502" t="s">
        <v>31</v>
      </c>
      <c r="AJ8" s="503"/>
      <c r="AK8" s="7"/>
      <c r="AL8" s="504" t="s">
        <v>32</v>
      </c>
      <c r="AM8" s="505"/>
      <c r="AN8" s="21"/>
      <c r="AO8" s="504" t="s">
        <v>34</v>
      </c>
      <c r="AP8" s="505"/>
      <c r="AQ8" s="6"/>
    </row>
    <row r="9" spans="1:54" x14ac:dyDescent="0.25">
      <c r="A9" s="5"/>
      <c r="B9" s="23" t="s">
        <v>367</v>
      </c>
      <c r="C9" s="23"/>
      <c r="D9" s="23"/>
      <c r="E9" s="23" t="s">
        <v>367</v>
      </c>
      <c r="F9" s="23"/>
      <c r="G9" s="24"/>
      <c r="H9" s="23" t="s">
        <v>367</v>
      </c>
      <c r="I9" s="23"/>
      <c r="J9" s="24"/>
      <c r="K9" s="23" t="s">
        <v>367</v>
      </c>
      <c r="L9" s="23"/>
      <c r="M9" s="24"/>
      <c r="N9" s="23" t="s">
        <v>367</v>
      </c>
      <c r="O9" s="23"/>
      <c r="P9" s="24"/>
      <c r="Q9" s="23" t="s">
        <v>367</v>
      </c>
      <c r="R9" s="25"/>
      <c r="S9" s="24"/>
      <c r="T9" s="23" t="s">
        <v>367</v>
      </c>
      <c r="U9" s="25"/>
      <c r="V9" s="24"/>
      <c r="W9" s="23" t="s">
        <v>367</v>
      </c>
      <c r="X9" s="23"/>
      <c r="Y9" s="24"/>
      <c r="Z9" s="23" t="s">
        <v>367</v>
      </c>
      <c r="AA9" s="23"/>
      <c r="AB9" s="24"/>
      <c r="AC9" s="23" t="s">
        <v>367</v>
      </c>
      <c r="AD9" s="23"/>
      <c r="AE9" s="26"/>
      <c r="AF9" s="23" t="s">
        <v>367</v>
      </c>
      <c r="AG9" s="23"/>
      <c r="AH9" s="24"/>
      <c r="AI9" s="23" t="s">
        <v>367</v>
      </c>
      <c r="AJ9" s="23"/>
      <c r="AK9" s="24"/>
      <c r="AL9" s="24" t="s">
        <v>367</v>
      </c>
      <c r="AM9" s="23"/>
      <c r="AN9" s="24"/>
      <c r="AO9" s="24" t="s">
        <v>367</v>
      </c>
      <c r="AP9" s="23"/>
      <c r="AQ9" s="23"/>
      <c r="AR9" s="23"/>
      <c r="AS9" s="279"/>
      <c r="AT9" s="8"/>
    </row>
    <row r="10" spans="1:54" x14ac:dyDescent="0.25">
      <c r="A10" s="5"/>
      <c r="K10" s="6"/>
      <c r="L10" s="6"/>
      <c r="S10" s="506"/>
      <c r="T10" s="506"/>
      <c r="U10" s="506"/>
      <c r="V10" s="506"/>
      <c r="Y10" s="507"/>
      <c r="Z10" s="507"/>
      <c r="AA10" s="507"/>
      <c r="AB10" s="507"/>
      <c r="AT10" s="8"/>
      <c r="AX10" t="s">
        <v>366</v>
      </c>
    </row>
    <row r="11" spans="1:54" x14ac:dyDescent="0.25">
      <c r="A11" s="5"/>
      <c r="Q11" s="6"/>
      <c r="AT11" s="8"/>
    </row>
    <row r="12" spans="1:54" x14ac:dyDescent="0.25">
      <c r="A12" s="5"/>
      <c r="B12" s="498"/>
      <c r="C12" s="498"/>
      <c r="E12" s="492"/>
      <c r="F12" s="491"/>
      <c r="H12" s="492"/>
      <c r="I12" s="491"/>
      <c r="K12" s="491"/>
      <c r="L12" s="491"/>
      <c r="N12" s="492"/>
      <c r="O12" s="491"/>
      <c r="Q12" s="492"/>
      <c r="R12" s="491"/>
      <c r="T12" s="492"/>
      <c r="U12" s="491"/>
      <c r="W12" s="492"/>
      <c r="X12" s="491"/>
      <c r="Z12" s="492"/>
      <c r="AA12" s="491"/>
      <c r="AC12" s="491"/>
      <c r="AD12" s="491"/>
      <c r="AF12" s="492"/>
      <c r="AG12" s="491"/>
      <c r="AI12" s="491"/>
      <c r="AJ12" s="491"/>
      <c r="AL12" s="491"/>
      <c r="AM12" s="491"/>
      <c r="AO12" s="492"/>
      <c r="AP12" s="491"/>
      <c r="AQ12" s="13"/>
      <c r="AR12" s="13"/>
      <c r="AT12" s="8"/>
    </row>
    <row r="13" spans="1:54" x14ac:dyDescent="0.25">
      <c r="A13" s="5"/>
      <c r="B13" s="14"/>
      <c r="C13" s="15"/>
      <c r="D13" s="18"/>
      <c r="E13" s="14"/>
      <c r="F13" s="15"/>
      <c r="G13" s="18"/>
      <c r="H13" s="14"/>
      <c r="I13" s="15"/>
      <c r="J13" s="18"/>
      <c r="K13" s="14"/>
      <c r="L13" s="15"/>
      <c r="M13" s="18"/>
      <c r="N13" s="14"/>
      <c r="O13" s="15"/>
      <c r="P13" s="18"/>
      <c r="Q13" s="14"/>
      <c r="R13" s="15"/>
      <c r="S13" s="18"/>
      <c r="T13" s="14"/>
      <c r="U13" s="15"/>
      <c r="V13" s="18"/>
      <c r="W13" s="14"/>
      <c r="X13" s="15"/>
      <c r="Y13" s="18"/>
      <c r="Z13" s="14"/>
      <c r="AA13" s="15"/>
      <c r="AB13" s="18"/>
      <c r="AC13" s="14"/>
      <c r="AD13" s="15"/>
      <c r="AE13" s="18"/>
      <c r="AF13" s="14"/>
      <c r="AG13" s="15"/>
      <c r="AH13" s="18"/>
      <c r="AI13" s="14"/>
      <c r="AJ13" s="15"/>
      <c r="AK13" s="27"/>
      <c r="AL13" s="14"/>
      <c r="AM13" s="15"/>
      <c r="AN13" s="18"/>
      <c r="AO13" s="14"/>
      <c r="AP13" s="15"/>
      <c r="AQ13" s="273"/>
      <c r="AR13" s="273"/>
      <c r="AS13" s="18"/>
      <c r="AT13" s="285"/>
    </row>
    <row r="14" spans="1:54" x14ac:dyDescent="0.25">
      <c r="A14" s="5"/>
      <c r="B14" s="14"/>
      <c r="C14" s="14"/>
      <c r="D14" s="19"/>
      <c r="E14" s="14"/>
      <c r="F14" s="14"/>
      <c r="G14" s="19"/>
      <c r="H14" s="14"/>
      <c r="I14" s="14"/>
      <c r="J14" s="7"/>
      <c r="K14" s="14"/>
      <c r="L14" s="14"/>
      <c r="M14" s="19"/>
      <c r="N14" s="14"/>
      <c r="O14" s="14"/>
      <c r="P14" s="19"/>
      <c r="Q14" s="14"/>
      <c r="R14" s="14"/>
      <c r="S14" s="19"/>
      <c r="T14" s="14"/>
      <c r="U14" s="14"/>
      <c r="V14" s="19"/>
      <c r="W14" s="14"/>
      <c r="X14" s="14"/>
      <c r="Y14" s="19"/>
      <c r="Z14" s="14"/>
      <c r="AA14" s="14"/>
      <c r="AB14" s="63"/>
      <c r="AC14" s="14"/>
      <c r="AD14" s="14"/>
      <c r="AE14" s="64"/>
      <c r="AF14" s="14"/>
      <c r="AG14" s="14"/>
      <c r="AH14" s="19"/>
      <c r="AI14" s="14"/>
      <c r="AJ14" s="14"/>
      <c r="AK14" s="19"/>
      <c r="AL14" s="14"/>
      <c r="AM14" s="14"/>
      <c r="AN14" s="19"/>
      <c r="AO14" s="14"/>
      <c r="AP14" s="14"/>
      <c r="AQ14" s="12"/>
      <c r="AR14" s="12"/>
      <c r="AS14" s="7"/>
      <c r="AT14" s="286"/>
      <c r="AV14" s="2">
        <v>14</v>
      </c>
      <c r="AW14" s="2">
        <v>2</v>
      </c>
      <c r="AX14" s="2">
        <v>14</v>
      </c>
      <c r="AY14" s="2">
        <v>0</v>
      </c>
      <c r="AZ14" s="2">
        <v>0</v>
      </c>
      <c r="BB14" s="20">
        <f>+D13+G13+J13+M13+P13+S13+V13+Y13+AB13+AE13+AH13+AK13+AN13+AS13</f>
        <v>0</v>
      </c>
    </row>
    <row r="15" spans="1:54" x14ac:dyDescent="0.25">
      <c r="A15" s="5"/>
      <c r="B15" s="505" t="s">
        <v>36</v>
      </c>
      <c r="C15" s="505"/>
      <c r="D15" s="19">
        <v>413</v>
      </c>
      <c r="E15" s="493" t="s">
        <v>38</v>
      </c>
      <c r="F15" s="493"/>
      <c r="G15" s="28">
        <v>422</v>
      </c>
      <c r="H15" s="494" t="s">
        <v>40</v>
      </c>
      <c r="I15" s="493"/>
      <c r="J15" s="7">
        <v>396</v>
      </c>
      <c r="K15" s="510" t="s">
        <v>36</v>
      </c>
      <c r="L15" s="493"/>
      <c r="M15" s="19">
        <v>385</v>
      </c>
      <c r="N15" s="510" t="s">
        <v>36</v>
      </c>
      <c r="O15" s="493"/>
      <c r="P15" s="19">
        <v>338</v>
      </c>
      <c r="Q15" s="495" t="s">
        <v>28</v>
      </c>
      <c r="R15" s="496"/>
      <c r="S15" s="19">
        <v>324</v>
      </c>
      <c r="T15" s="497" t="s">
        <v>45</v>
      </c>
      <c r="U15" s="493"/>
      <c r="V15" s="19">
        <v>380</v>
      </c>
      <c r="W15" s="504" t="s">
        <v>19</v>
      </c>
      <c r="X15" s="505"/>
      <c r="Y15" s="19">
        <v>374</v>
      </c>
      <c r="Z15" s="497" t="s">
        <v>40</v>
      </c>
      <c r="AA15" s="493"/>
      <c r="AB15" s="62">
        <v>415</v>
      </c>
      <c r="AC15" s="493" t="s">
        <v>40</v>
      </c>
      <c r="AD15" s="493"/>
      <c r="AE15" s="34">
        <v>386</v>
      </c>
      <c r="AF15" s="510" t="s">
        <v>45</v>
      </c>
      <c r="AG15" s="493"/>
      <c r="AH15" s="19">
        <v>352</v>
      </c>
      <c r="AI15" s="510" t="s">
        <v>36</v>
      </c>
      <c r="AJ15" s="493"/>
      <c r="AK15" s="19">
        <v>392</v>
      </c>
      <c r="AL15" s="510" t="s">
        <v>36</v>
      </c>
      <c r="AM15" s="493"/>
      <c r="AN15" s="19">
        <v>381</v>
      </c>
      <c r="AO15" s="510" t="s">
        <v>36</v>
      </c>
      <c r="AP15" s="493"/>
      <c r="AQ15" s="21">
        <v>390</v>
      </c>
      <c r="AR15" s="21"/>
      <c r="AS15" s="7"/>
      <c r="AT15" s="286"/>
    </row>
    <row r="16" spans="1:54" x14ac:dyDescent="0.25">
      <c r="A16" s="5"/>
      <c r="B16" s="504" t="s">
        <v>35</v>
      </c>
      <c r="C16" s="505"/>
      <c r="D16" s="7"/>
      <c r="E16" s="504" t="s">
        <v>37</v>
      </c>
      <c r="F16" s="505"/>
      <c r="G16" s="7"/>
      <c r="H16" s="504" t="s">
        <v>39</v>
      </c>
      <c r="I16" s="505"/>
      <c r="J16" s="7"/>
      <c r="K16" s="504" t="s">
        <v>41</v>
      </c>
      <c r="L16" s="505"/>
      <c r="M16" s="7"/>
      <c r="N16" s="504" t="s">
        <v>42</v>
      </c>
      <c r="O16" s="505"/>
      <c r="P16" s="7"/>
      <c r="Q16" s="504" t="s">
        <v>43</v>
      </c>
      <c r="R16" s="505"/>
      <c r="S16" s="7"/>
      <c r="T16" s="502" t="s">
        <v>44</v>
      </c>
      <c r="U16" s="503"/>
      <c r="V16" s="7"/>
      <c r="W16" s="502" t="s">
        <v>46</v>
      </c>
      <c r="X16" s="503"/>
      <c r="Y16" s="7"/>
      <c r="Z16" s="502" t="s">
        <v>47</v>
      </c>
      <c r="AA16" s="503"/>
      <c r="AB16" s="62"/>
      <c r="AC16" s="502" t="s">
        <v>48</v>
      </c>
      <c r="AD16" s="503"/>
      <c r="AE16" s="34"/>
      <c r="AF16" s="502" t="s">
        <v>49</v>
      </c>
      <c r="AG16" s="503"/>
      <c r="AH16" s="7"/>
      <c r="AI16" s="502" t="s">
        <v>50</v>
      </c>
      <c r="AJ16" s="503"/>
      <c r="AK16" s="7"/>
      <c r="AL16" s="502" t="s">
        <v>51</v>
      </c>
      <c r="AM16" s="503"/>
      <c r="AN16" s="7"/>
      <c r="AO16" s="502" t="s">
        <v>52</v>
      </c>
      <c r="AP16" s="503"/>
      <c r="AQ16" s="22"/>
      <c r="AR16" s="22"/>
      <c r="AT16" s="8"/>
    </row>
    <row r="17" spans="1:54" x14ac:dyDescent="0.25">
      <c r="A17" s="5"/>
      <c r="B17" s="24" t="s">
        <v>367</v>
      </c>
      <c r="C17" s="23"/>
      <c r="D17" s="24"/>
      <c r="E17" s="24" t="s">
        <v>367</v>
      </c>
      <c r="F17" s="25"/>
      <c r="G17" s="24"/>
      <c r="H17" s="23"/>
      <c r="I17" s="24" t="s">
        <v>367</v>
      </c>
      <c r="J17" s="24"/>
      <c r="K17" s="23"/>
      <c r="L17" s="24" t="s">
        <v>367</v>
      </c>
      <c r="M17" s="24"/>
      <c r="N17" s="23"/>
      <c r="O17" s="24" t="s">
        <v>367</v>
      </c>
      <c r="P17" s="24"/>
      <c r="Q17" s="23"/>
      <c r="R17" s="24" t="s">
        <v>367</v>
      </c>
      <c r="S17" s="24"/>
      <c r="T17" s="23"/>
      <c r="U17" s="24" t="s">
        <v>367</v>
      </c>
      <c r="V17" s="24"/>
      <c r="W17" s="23"/>
      <c r="X17" s="24" t="s">
        <v>367</v>
      </c>
      <c r="Y17" s="24"/>
      <c r="Z17" s="24" t="s">
        <v>367</v>
      </c>
      <c r="AA17" s="23"/>
      <c r="AB17" s="24"/>
      <c r="AC17" s="24" t="s">
        <v>367</v>
      </c>
      <c r="AD17" s="23"/>
      <c r="AE17" s="24"/>
      <c r="AF17" s="23"/>
      <c r="AG17" s="24" t="s">
        <v>367</v>
      </c>
      <c r="AH17" s="24"/>
      <c r="AI17" s="24" t="s">
        <v>367</v>
      </c>
      <c r="AJ17" s="23"/>
      <c r="AK17" s="24"/>
      <c r="AL17" s="23"/>
      <c r="AM17" s="24" t="s">
        <v>367</v>
      </c>
      <c r="AN17" s="24"/>
      <c r="AO17" s="24" t="s">
        <v>367</v>
      </c>
      <c r="AP17" s="24"/>
      <c r="AQ17" s="7"/>
      <c r="AR17" s="7"/>
      <c r="AT17" s="8"/>
      <c r="AV17" s="213"/>
      <c r="AW17" s="214"/>
    </row>
    <row r="18" spans="1:54" x14ac:dyDescent="0.25">
      <c r="A18" s="5"/>
      <c r="D18" s="507"/>
      <c r="E18" s="507"/>
      <c r="F18" s="507"/>
      <c r="G18" s="507"/>
      <c r="AT18" s="8"/>
    </row>
    <row r="19" spans="1:54" x14ac:dyDescent="0.25">
      <c r="A19" s="5"/>
      <c r="AT19" s="8"/>
    </row>
    <row r="20" spans="1:54" x14ac:dyDescent="0.25">
      <c r="A20" s="5"/>
      <c r="B20" s="511"/>
      <c r="C20" s="498"/>
      <c r="E20" s="491"/>
      <c r="F20" s="491"/>
      <c r="H20" s="492"/>
      <c r="I20" s="491"/>
      <c r="K20" s="491"/>
      <c r="L20" s="491"/>
      <c r="N20" s="491"/>
      <c r="O20" s="491"/>
      <c r="Q20" s="492"/>
      <c r="R20" s="491"/>
      <c r="T20" s="492"/>
      <c r="U20" s="491"/>
      <c r="W20" s="492"/>
      <c r="X20" s="491"/>
      <c r="Z20" s="492"/>
      <c r="AA20" s="491"/>
      <c r="AC20" s="492"/>
      <c r="AD20" s="491"/>
      <c r="AF20" s="492"/>
      <c r="AG20" s="491"/>
      <c r="AI20" s="492"/>
      <c r="AJ20" s="491"/>
      <c r="AL20" s="492"/>
      <c r="AM20" s="491"/>
      <c r="AO20" s="492"/>
      <c r="AP20" s="491"/>
      <c r="AQ20" s="13"/>
      <c r="AR20" s="13"/>
      <c r="AT20" s="8"/>
    </row>
    <row r="21" spans="1:54" x14ac:dyDescent="0.25">
      <c r="A21" s="5"/>
      <c r="B21" s="14"/>
      <c r="C21" s="15"/>
      <c r="D21" s="18"/>
      <c r="E21" s="14"/>
      <c r="F21" s="15"/>
      <c r="G21" s="18"/>
      <c r="H21" s="14"/>
      <c r="I21" s="15"/>
      <c r="J21" s="18"/>
      <c r="K21" s="14"/>
      <c r="L21" s="15"/>
      <c r="M21" s="18"/>
      <c r="N21" s="14"/>
      <c r="O21" s="15"/>
      <c r="P21" s="18"/>
      <c r="Q21" s="14"/>
      <c r="R21" s="15"/>
      <c r="S21" s="18"/>
      <c r="T21" s="14"/>
      <c r="U21" s="15"/>
      <c r="V21" s="18"/>
      <c r="W21" s="14"/>
      <c r="X21" s="15"/>
      <c r="Y21" s="18"/>
      <c r="Z21" s="14"/>
      <c r="AA21" s="15"/>
      <c r="AB21" s="18"/>
      <c r="AC21" s="14"/>
      <c r="AD21" s="15"/>
      <c r="AE21" s="18"/>
      <c r="AF21" s="14"/>
      <c r="AG21" s="15"/>
      <c r="AH21" s="18"/>
      <c r="AI21" s="14"/>
      <c r="AJ21" s="15"/>
      <c r="AK21" s="18"/>
      <c r="AL21" s="269"/>
      <c r="AM21" s="269"/>
      <c r="AN21" s="18"/>
      <c r="AO21" s="14"/>
      <c r="AP21" s="15"/>
      <c r="AQ21" s="273"/>
      <c r="AR21" s="273"/>
      <c r="AS21" s="18"/>
      <c r="AT21" s="285"/>
    </row>
    <row r="22" spans="1:54" x14ac:dyDescent="0.25">
      <c r="A22" s="5"/>
      <c r="B22" s="14"/>
      <c r="C22" s="14"/>
      <c r="D22" s="7"/>
      <c r="E22" s="14"/>
      <c r="F22" s="14"/>
      <c r="G22" s="7"/>
      <c r="H22" s="14"/>
      <c r="I22" s="14"/>
      <c r="J22" s="19"/>
      <c r="K22" s="14"/>
      <c r="L22" s="14"/>
      <c r="M22" s="19"/>
      <c r="N22" s="14"/>
      <c r="O22" s="14"/>
      <c r="P22" s="19"/>
      <c r="Q22" s="14"/>
      <c r="R22" s="14"/>
      <c r="S22" s="19"/>
      <c r="T22" s="14"/>
      <c r="U22" s="14"/>
      <c r="V22" s="19"/>
      <c r="W22" s="14"/>
      <c r="X22" s="14"/>
      <c r="Y22" s="7"/>
      <c r="Z22" s="14"/>
      <c r="AA22" s="14"/>
      <c r="AB22" s="19"/>
      <c r="AC22" s="14"/>
      <c r="AD22" s="14"/>
      <c r="AE22" s="19"/>
      <c r="AF22" s="14"/>
      <c r="AG22" s="14"/>
      <c r="AH22" s="19"/>
      <c r="AI22" s="14"/>
      <c r="AJ22" s="14"/>
      <c r="AK22" s="19"/>
      <c r="AL22" s="269"/>
      <c r="AM22" s="269"/>
      <c r="AN22" s="19"/>
      <c r="AO22" s="14"/>
      <c r="AP22" s="14"/>
      <c r="AQ22" s="12"/>
      <c r="AR22" s="12"/>
      <c r="AS22" s="19"/>
      <c r="AT22" s="284"/>
      <c r="AV22" s="2">
        <v>14</v>
      </c>
      <c r="AW22" s="2">
        <v>14</v>
      </c>
      <c r="AX22" s="2">
        <v>9</v>
      </c>
      <c r="AY22" s="2">
        <v>0</v>
      </c>
      <c r="AZ22" s="2">
        <v>0</v>
      </c>
      <c r="BB22" s="20">
        <f>+D21+G21+J21+M21+P21+S21+V21+Y21+AB21+AE21+AH21+AK21+AN21+AS21</f>
        <v>0</v>
      </c>
    </row>
    <row r="23" spans="1:54" x14ac:dyDescent="0.25">
      <c r="A23" s="5"/>
      <c r="B23" s="502" t="s">
        <v>36</v>
      </c>
      <c r="C23" s="503"/>
      <c r="D23" s="7">
        <v>391</v>
      </c>
      <c r="E23" s="510" t="s">
        <v>33</v>
      </c>
      <c r="F23" s="493"/>
      <c r="G23" s="7">
        <v>331</v>
      </c>
      <c r="H23" s="494" t="s">
        <v>36</v>
      </c>
      <c r="I23" s="493"/>
      <c r="J23" s="19">
        <v>404</v>
      </c>
      <c r="K23" s="510" t="s">
        <v>38</v>
      </c>
      <c r="L23" s="493"/>
      <c r="M23" s="19">
        <v>410</v>
      </c>
      <c r="N23" s="510" t="s">
        <v>38</v>
      </c>
      <c r="O23" s="493"/>
      <c r="P23" s="19">
        <v>398</v>
      </c>
      <c r="Q23" s="495" t="s">
        <v>38</v>
      </c>
      <c r="R23" s="496"/>
      <c r="S23" s="19">
        <v>432</v>
      </c>
      <c r="T23" s="494" t="s">
        <v>36</v>
      </c>
      <c r="U23" s="493"/>
      <c r="V23" s="19">
        <v>356</v>
      </c>
      <c r="W23" s="494" t="s">
        <v>36</v>
      </c>
      <c r="X23" s="493"/>
      <c r="Y23" s="19">
        <v>408</v>
      </c>
      <c r="Z23" s="494" t="s">
        <v>36</v>
      </c>
      <c r="AA23" s="493"/>
      <c r="AB23" s="19">
        <v>415</v>
      </c>
      <c r="AC23" s="495" t="s">
        <v>38</v>
      </c>
      <c r="AD23" s="496"/>
      <c r="AE23" s="19">
        <v>371</v>
      </c>
      <c r="AF23" s="512" t="s">
        <v>28</v>
      </c>
      <c r="AG23" s="512"/>
      <c r="AH23" s="7">
        <v>364</v>
      </c>
      <c r="AI23" s="494" t="s">
        <v>36</v>
      </c>
      <c r="AJ23" s="493"/>
      <c r="AK23" s="35">
        <v>415</v>
      </c>
      <c r="AL23" s="512" t="s">
        <v>66</v>
      </c>
      <c r="AM23" s="512"/>
      <c r="AN23" s="7">
        <v>389</v>
      </c>
      <c r="AO23" s="495" t="s">
        <v>38</v>
      </c>
      <c r="AP23" s="496"/>
      <c r="AQ23" s="277">
        <v>396</v>
      </c>
      <c r="AR23" s="277"/>
      <c r="AT23" s="8"/>
      <c r="AW23" s="13"/>
      <c r="AX23" s="13"/>
      <c r="AY23" s="13"/>
      <c r="AZ23" s="13"/>
    </row>
    <row r="24" spans="1:54" x14ac:dyDescent="0.25">
      <c r="A24" s="5"/>
      <c r="B24" s="502" t="s">
        <v>53</v>
      </c>
      <c r="C24" s="503"/>
      <c r="D24" s="7"/>
      <c r="E24" s="504" t="s">
        <v>54</v>
      </c>
      <c r="F24" s="505"/>
      <c r="G24" s="7"/>
      <c r="H24" s="504" t="s">
        <v>55</v>
      </c>
      <c r="I24" s="505"/>
      <c r="J24" s="7"/>
      <c r="K24" s="504" t="s">
        <v>56</v>
      </c>
      <c r="L24" s="505"/>
      <c r="M24" s="7"/>
      <c r="N24" s="504" t="s">
        <v>57</v>
      </c>
      <c r="O24" s="505"/>
      <c r="P24" s="7"/>
      <c r="Q24" s="504" t="s">
        <v>58</v>
      </c>
      <c r="R24" s="505"/>
      <c r="S24" s="7"/>
      <c r="T24" s="504" t="s">
        <v>59</v>
      </c>
      <c r="U24" s="505"/>
      <c r="V24" s="7"/>
      <c r="W24" s="504" t="s">
        <v>60</v>
      </c>
      <c r="X24" s="505"/>
      <c r="Y24" s="7"/>
      <c r="Z24" s="504" t="s">
        <v>61</v>
      </c>
      <c r="AA24" s="505"/>
      <c r="AB24" s="7"/>
      <c r="AC24" s="504" t="s">
        <v>62</v>
      </c>
      <c r="AD24" s="505"/>
      <c r="AE24" s="30"/>
      <c r="AF24" s="504" t="s">
        <v>63</v>
      </c>
      <c r="AG24" s="505"/>
      <c r="AH24" s="30"/>
      <c r="AI24" s="504" t="s">
        <v>64</v>
      </c>
      <c r="AJ24" s="505"/>
      <c r="AK24" s="30"/>
      <c r="AL24" s="517" t="s">
        <v>65</v>
      </c>
      <c r="AM24" s="517"/>
      <c r="AN24" s="30"/>
      <c r="AO24" s="517" t="s">
        <v>67</v>
      </c>
      <c r="AP24" s="517"/>
      <c r="AQ24" s="35"/>
      <c r="AR24" s="35"/>
      <c r="AT24" s="8"/>
      <c r="AW24" s="13"/>
      <c r="AX24" s="13"/>
      <c r="AY24" s="13"/>
      <c r="AZ24" s="13"/>
    </row>
    <row r="25" spans="1:54" x14ac:dyDescent="0.25">
      <c r="A25" s="5"/>
      <c r="B25" s="24" t="s">
        <v>367</v>
      </c>
      <c r="C25" s="23"/>
      <c r="D25" s="24"/>
      <c r="E25" s="23"/>
      <c r="F25" s="24" t="s">
        <v>367</v>
      </c>
      <c r="G25" s="24"/>
      <c r="H25" s="24" t="s">
        <v>367</v>
      </c>
      <c r="I25" s="25"/>
      <c r="J25" s="24"/>
      <c r="K25" s="24" t="s">
        <v>367</v>
      </c>
      <c r="L25" s="25"/>
      <c r="M25" s="24"/>
      <c r="N25" s="24" t="s">
        <v>367</v>
      </c>
      <c r="O25" s="23"/>
      <c r="P25" s="24"/>
      <c r="Q25" s="23"/>
      <c r="R25" s="24" t="s">
        <v>367</v>
      </c>
      <c r="S25" s="24"/>
      <c r="T25" s="24" t="s">
        <v>367</v>
      </c>
      <c r="U25" s="23"/>
      <c r="V25" s="24"/>
      <c r="W25" s="24" t="s">
        <v>367</v>
      </c>
      <c r="X25" s="23"/>
      <c r="Y25" s="24"/>
      <c r="Z25" s="24" t="s">
        <v>367</v>
      </c>
      <c r="AA25" s="23"/>
      <c r="AB25" s="24"/>
      <c r="AC25" s="23"/>
      <c r="AD25" s="24" t="s">
        <v>367</v>
      </c>
      <c r="AE25" s="24"/>
      <c r="AF25" s="23"/>
      <c r="AG25" s="24" t="s">
        <v>367</v>
      </c>
      <c r="AH25" s="24"/>
      <c r="AI25" s="23"/>
      <c r="AJ25" s="24" t="s">
        <v>367</v>
      </c>
      <c r="AK25" s="24"/>
      <c r="AL25" s="23"/>
      <c r="AM25" s="24" t="s">
        <v>367</v>
      </c>
      <c r="AN25" s="24"/>
      <c r="AO25" s="24" t="s">
        <v>367</v>
      </c>
      <c r="AP25" s="24"/>
      <c r="AQ25" s="24"/>
      <c r="AR25" s="24"/>
      <c r="AT25" s="8"/>
      <c r="AW25" s="13"/>
      <c r="AX25" s="13"/>
      <c r="AY25" s="13"/>
      <c r="AZ25" s="13"/>
    </row>
    <row r="26" spans="1:54" x14ac:dyDescent="0.25">
      <c r="A26" s="5"/>
      <c r="G26" s="518"/>
      <c r="H26" s="518"/>
      <c r="I26" s="518"/>
      <c r="J26" s="518"/>
      <c r="T26" s="519" t="s">
        <v>414</v>
      </c>
      <c r="U26" s="519"/>
      <c r="V26" s="519"/>
      <c r="W26" s="519"/>
      <c r="X26" s="519"/>
      <c r="AT26" s="8"/>
      <c r="AW26" s="13"/>
      <c r="AX26" s="13"/>
      <c r="AY26" s="13"/>
      <c r="AZ26" s="13"/>
    </row>
    <row r="27" spans="1:54" x14ac:dyDescent="0.25">
      <c r="A27" s="5"/>
      <c r="V27" s="6" t="s">
        <v>408</v>
      </c>
      <c r="AT27" s="8"/>
      <c r="AW27" s="13"/>
      <c r="AX27" s="13"/>
      <c r="AY27" s="13"/>
      <c r="AZ27" s="13"/>
    </row>
    <row r="28" spans="1:54" x14ac:dyDescent="0.25">
      <c r="A28" s="5"/>
      <c r="B28" s="511"/>
      <c r="C28" s="498"/>
      <c r="E28" s="491"/>
      <c r="F28" s="491"/>
      <c r="H28" s="491"/>
      <c r="I28" s="491"/>
      <c r="K28" s="491"/>
      <c r="L28" s="491"/>
      <c r="N28" s="491"/>
      <c r="O28" s="491"/>
      <c r="Q28" s="491"/>
      <c r="R28" s="491"/>
      <c r="T28" s="491"/>
      <c r="U28" s="491"/>
      <c r="W28" s="491"/>
      <c r="X28" s="491"/>
      <c r="Z28" s="491"/>
      <c r="AA28" s="491"/>
      <c r="AC28" s="491"/>
      <c r="AD28" s="491"/>
      <c r="AF28" s="491"/>
      <c r="AG28" s="491"/>
      <c r="AI28" s="491"/>
      <c r="AJ28" s="491"/>
      <c r="AL28" s="491"/>
      <c r="AM28" s="491"/>
      <c r="AO28" s="491"/>
      <c r="AP28" s="491"/>
      <c r="AQ28" s="13"/>
      <c r="AR28" s="13"/>
      <c r="AT28" s="8"/>
    </row>
    <row r="29" spans="1:54" ht="15" customHeight="1" x14ac:dyDescent="0.25">
      <c r="A29" s="5"/>
      <c r="B29" s="14"/>
      <c r="C29" s="15"/>
      <c r="D29" s="18"/>
      <c r="E29" s="14"/>
      <c r="F29" s="15"/>
      <c r="G29" s="18"/>
      <c r="H29" s="14"/>
      <c r="I29" s="15"/>
      <c r="J29" s="18"/>
      <c r="K29" s="14"/>
      <c r="L29" s="15"/>
      <c r="M29" s="18"/>
      <c r="N29" s="14"/>
      <c r="O29" s="15"/>
      <c r="P29" s="18"/>
      <c r="Q29" s="14"/>
      <c r="R29" s="15"/>
      <c r="S29" s="18"/>
      <c r="T29" s="14"/>
      <c r="U29" s="15"/>
      <c r="V29" s="18"/>
      <c r="W29" s="513" t="s">
        <v>2018</v>
      </c>
      <c r="X29" s="514"/>
      <c r="Y29" s="18"/>
      <c r="Z29" s="14"/>
      <c r="AA29" s="15"/>
      <c r="AB29" s="18"/>
      <c r="AC29" s="14"/>
      <c r="AD29" s="15"/>
      <c r="AE29" s="18"/>
      <c r="AF29" s="14"/>
      <c r="AG29" s="15"/>
      <c r="AH29" s="18"/>
      <c r="AI29" s="14"/>
      <c r="AJ29" s="15"/>
      <c r="AK29" s="18"/>
      <c r="AL29" s="14"/>
      <c r="AM29" s="15"/>
      <c r="AN29" s="18"/>
      <c r="AO29" s="14"/>
      <c r="AP29" s="15"/>
      <c r="AQ29" s="273"/>
      <c r="AR29" s="273"/>
      <c r="AS29" s="18"/>
      <c r="AT29" s="285"/>
    </row>
    <row r="30" spans="1:54" x14ac:dyDescent="0.25">
      <c r="A30" s="5"/>
      <c r="B30" s="14"/>
      <c r="C30" s="14"/>
      <c r="D30" s="19"/>
      <c r="E30" s="14"/>
      <c r="F30" s="14"/>
      <c r="G30" s="19"/>
      <c r="H30" s="14"/>
      <c r="I30" s="14"/>
      <c r="J30" s="19"/>
      <c r="K30" s="14"/>
      <c r="L30" s="14"/>
      <c r="M30" s="19"/>
      <c r="N30" s="14"/>
      <c r="O30" s="14"/>
      <c r="P30" s="19"/>
      <c r="Q30" s="14"/>
      <c r="R30" s="14"/>
      <c r="S30" s="19"/>
      <c r="T30" s="14"/>
      <c r="U30" s="14"/>
      <c r="V30" s="19"/>
      <c r="W30" s="515"/>
      <c r="X30" s="516"/>
      <c r="Y30" s="7"/>
      <c r="Z30" s="14"/>
      <c r="AA30" s="14"/>
      <c r="AB30" s="19"/>
      <c r="AC30" s="14"/>
      <c r="AD30" s="14"/>
      <c r="AE30" s="19"/>
      <c r="AF30" s="14"/>
      <c r="AG30" s="14"/>
      <c r="AH30" s="7"/>
      <c r="AI30" s="14"/>
      <c r="AJ30" s="14"/>
      <c r="AK30" s="19"/>
      <c r="AL30" s="14"/>
      <c r="AM30" s="14"/>
      <c r="AN30" s="7"/>
      <c r="AO30" s="14"/>
      <c r="AP30" s="14"/>
      <c r="AQ30" s="12"/>
      <c r="AR30" s="12"/>
      <c r="AS30" s="19"/>
      <c r="AT30" s="284"/>
      <c r="AV30" s="2">
        <v>12</v>
      </c>
      <c r="AW30" s="2">
        <v>9</v>
      </c>
      <c r="AX30" s="2">
        <v>7</v>
      </c>
      <c r="AY30" s="2">
        <v>0</v>
      </c>
      <c r="AZ30" s="2">
        <v>0</v>
      </c>
      <c r="BB30" s="20">
        <f>+D29+G29+J29+M29+P29+S29+V29+Y29+AB29+AE29+AH29+AK29+AN29+AS29</f>
        <v>0</v>
      </c>
    </row>
    <row r="31" spans="1:54" x14ac:dyDescent="0.25">
      <c r="A31" s="5"/>
      <c r="B31" s="494" t="s">
        <v>36</v>
      </c>
      <c r="C31" s="493"/>
      <c r="D31" s="19">
        <v>439</v>
      </c>
      <c r="E31" s="494" t="s">
        <v>21</v>
      </c>
      <c r="F31" s="493"/>
      <c r="G31" s="19">
        <v>381</v>
      </c>
      <c r="H31" s="510" t="s">
        <v>33</v>
      </c>
      <c r="I31" s="493"/>
      <c r="J31" s="19">
        <v>386</v>
      </c>
      <c r="K31" s="510" t="s">
        <v>36</v>
      </c>
      <c r="L31" s="493"/>
      <c r="M31" s="19">
        <v>356</v>
      </c>
      <c r="N31" s="510" t="s">
        <v>28</v>
      </c>
      <c r="O31" s="493"/>
      <c r="P31" s="19">
        <v>365</v>
      </c>
      <c r="Q31" s="510" t="s">
        <v>38</v>
      </c>
      <c r="R31" s="493"/>
      <c r="S31" s="19">
        <v>475</v>
      </c>
      <c r="T31" s="510" t="s">
        <v>75</v>
      </c>
      <c r="U31" s="493"/>
      <c r="V31" s="19">
        <v>196</v>
      </c>
      <c r="W31" s="510" t="s">
        <v>75</v>
      </c>
      <c r="X31" s="493"/>
      <c r="Y31" s="7">
        <v>477</v>
      </c>
      <c r="Z31" s="510" t="s">
        <v>38</v>
      </c>
      <c r="AA31" s="493"/>
      <c r="AB31" s="19">
        <v>363</v>
      </c>
      <c r="AC31" s="510" t="s">
        <v>28</v>
      </c>
      <c r="AD31" s="493"/>
      <c r="AE31" s="19">
        <v>328</v>
      </c>
      <c r="AF31" s="510" t="s">
        <v>28</v>
      </c>
      <c r="AG31" s="493"/>
      <c r="AH31" s="7">
        <v>376</v>
      </c>
      <c r="AI31" s="510" t="s">
        <v>36</v>
      </c>
      <c r="AJ31" s="493"/>
      <c r="AK31" s="19">
        <v>393</v>
      </c>
      <c r="AL31" s="510" t="s">
        <v>40</v>
      </c>
      <c r="AM31" s="493"/>
      <c r="AN31" s="7">
        <v>397</v>
      </c>
      <c r="AO31" s="510" t="s">
        <v>36</v>
      </c>
      <c r="AP31" s="493"/>
      <c r="AQ31" s="21">
        <v>394</v>
      </c>
      <c r="AR31" s="21"/>
      <c r="AS31" s="19"/>
      <c r="AT31" s="284"/>
    </row>
    <row r="32" spans="1:54" x14ac:dyDescent="0.25">
      <c r="A32" s="5"/>
      <c r="B32" s="517" t="s">
        <v>68</v>
      </c>
      <c r="C32" s="517"/>
      <c r="D32" s="7"/>
      <c r="E32" s="517" t="s">
        <v>69</v>
      </c>
      <c r="F32" s="517"/>
      <c r="G32" s="7"/>
      <c r="H32" s="517" t="s">
        <v>70</v>
      </c>
      <c r="I32" s="517"/>
      <c r="J32" s="7"/>
      <c r="K32" s="517" t="s">
        <v>71</v>
      </c>
      <c r="L32" s="517"/>
      <c r="M32" s="7"/>
      <c r="N32" s="517" t="s">
        <v>72</v>
      </c>
      <c r="O32" s="517"/>
      <c r="P32" s="7"/>
      <c r="Q32" s="517" t="s">
        <v>73</v>
      </c>
      <c r="R32" s="517"/>
      <c r="S32" s="7"/>
      <c r="T32" s="504" t="s">
        <v>74</v>
      </c>
      <c r="U32" s="505"/>
      <c r="V32" s="7"/>
      <c r="W32" s="504" t="s">
        <v>396</v>
      </c>
      <c r="X32" s="505"/>
      <c r="Y32" s="7"/>
      <c r="Z32" s="504" t="s">
        <v>76</v>
      </c>
      <c r="AA32" s="505"/>
      <c r="AB32" s="7"/>
      <c r="AC32" s="504" t="s">
        <v>77</v>
      </c>
      <c r="AD32" s="505"/>
      <c r="AE32" s="7"/>
      <c r="AF32" s="504" t="s">
        <v>78</v>
      </c>
      <c r="AG32" s="505"/>
      <c r="AH32" s="7"/>
      <c r="AI32" s="504" t="s">
        <v>79</v>
      </c>
      <c r="AJ32" s="505"/>
      <c r="AK32" s="7"/>
      <c r="AL32" s="504" t="s">
        <v>80</v>
      </c>
      <c r="AM32" s="505"/>
      <c r="AN32" s="7"/>
      <c r="AO32" s="504" t="s">
        <v>81</v>
      </c>
      <c r="AP32" s="505"/>
      <c r="AQ32" s="21"/>
      <c r="AR32" s="21"/>
      <c r="AT32" s="8"/>
    </row>
    <row r="33" spans="1:54" x14ac:dyDescent="0.25">
      <c r="A33" s="5"/>
      <c r="B33" s="24" t="s">
        <v>367</v>
      </c>
      <c r="C33" s="23"/>
      <c r="D33" s="24"/>
      <c r="E33" s="23"/>
      <c r="F33" s="24" t="s">
        <v>367</v>
      </c>
      <c r="G33" s="24"/>
      <c r="H33" s="23"/>
      <c r="I33" s="24" t="s">
        <v>367</v>
      </c>
      <c r="J33" s="24"/>
      <c r="L33" s="24" t="s">
        <v>367</v>
      </c>
      <c r="M33" s="24"/>
      <c r="N33" s="23"/>
      <c r="O33" s="24" t="s">
        <v>367</v>
      </c>
      <c r="P33" s="24"/>
      <c r="Q33" s="23"/>
      <c r="R33" s="24" t="s">
        <v>367</v>
      </c>
      <c r="S33" s="24"/>
      <c r="T33" s="23"/>
      <c r="U33" s="24" t="s">
        <v>367</v>
      </c>
      <c r="V33" s="24"/>
      <c r="W33" s="23"/>
      <c r="X33" s="24" t="s">
        <v>367</v>
      </c>
      <c r="Y33" s="24"/>
      <c r="Z33" s="23"/>
      <c r="AA33" s="24" t="s">
        <v>367</v>
      </c>
      <c r="AB33" s="24"/>
      <c r="AC33" s="23"/>
      <c r="AD33" s="24" t="s">
        <v>367</v>
      </c>
      <c r="AE33" s="24"/>
      <c r="AF33" s="23"/>
      <c r="AG33" s="24" t="s">
        <v>367</v>
      </c>
      <c r="AH33" s="24"/>
      <c r="AI33" s="23"/>
      <c r="AJ33" s="24" t="s">
        <v>367</v>
      </c>
      <c r="AK33" s="24"/>
      <c r="AL33" s="23"/>
      <c r="AM33" s="24" t="s">
        <v>367</v>
      </c>
      <c r="AN33" s="24"/>
      <c r="AO33" s="24" t="s">
        <v>367</v>
      </c>
      <c r="AP33" s="24"/>
      <c r="AQ33" s="24"/>
      <c r="AR33" s="24"/>
      <c r="AT33" s="8"/>
    </row>
    <row r="34" spans="1:54" x14ac:dyDescent="0.25">
      <c r="A34" s="5"/>
      <c r="B34" s="498"/>
      <c r="C34" s="498"/>
      <c r="D34" s="498"/>
      <c r="K34" s="23"/>
      <c r="AE34"/>
      <c r="AF34" s="6"/>
      <c r="AI34" s="6"/>
      <c r="AT34" s="8"/>
    </row>
    <row r="35" spans="1:54" x14ac:dyDescent="0.25">
      <c r="A35" s="5"/>
      <c r="AT35" s="8"/>
    </row>
    <row r="36" spans="1:54" x14ac:dyDescent="0.25">
      <c r="A36" s="5"/>
      <c r="B36" s="498"/>
      <c r="C36" s="498"/>
      <c r="E36" s="491"/>
      <c r="F36" s="491"/>
      <c r="H36" s="491"/>
      <c r="I36" s="491"/>
      <c r="K36" s="491"/>
      <c r="L36" s="491"/>
      <c r="N36" s="491"/>
      <c r="O36" s="491"/>
      <c r="Q36" s="491"/>
      <c r="R36" s="491"/>
      <c r="T36" s="491"/>
      <c r="U36" s="491"/>
      <c r="W36" s="491"/>
      <c r="X36" s="491"/>
      <c r="Z36" s="491"/>
      <c r="AA36" s="491"/>
      <c r="AC36" s="491"/>
      <c r="AD36" s="491"/>
      <c r="AF36" s="491"/>
      <c r="AG36" s="491"/>
      <c r="AI36" s="491"/>
      <c r="AJ36" s="491"/>
      <c r="AL36" s="491"/>
      <c r="AM36" s="491"/>
      <c r="AO36" s="491"/>
      <c r="AP36" s="491"/>
      <c r="AQ36" s="13"/>
      <c r="AR36" s="13"/>
      <c r="AT36" s="8"/>
    </row>
    <row r="37" spans="1:54" x14ac:dyDescent="0.25">
      <c r="A37" s="5"/>
      <c r="B37" s="14"/>
      <c r="C37" s="31"/>
      <c r="D37" s="18"/>
      <c r="E37" s="14"/>
      <c r="F37" s="31"/>
      <c r="G37" s="18"/>
      <c r="H37" s="14"/>
      <c r="I37" s="31"/>
      <c r="J37" s="27"/>
      <c r="K37" s="14"/>
      <c r="L37" s="31"/>
      <c r="M37" s="18"/>
      <c r="N37" s="14"/>
      <c r="O37" s="31"/>
      <c r="P37" s="18"/>
      <c r="Q37" s="14"/>
      <c r="R37" s="31"/>
      <c r="S37" s="18"/>
      <c r="T37" s="14"/>
      <c r="U37" s="15"/>
      <c r="V37" s="18"/>
      <c r="W37" s="14"/>
      <c r="X37" s="15"/>
      <c r="Y37" s="18"/>
      <c r="Z37" s="14"/>
      <c r="AA37" s="15"/>
      <c r="AB37" s="18"/>
      <c r="AC37" s="14"/>
      <c r="AD37" s="15"/>
      <c r="AE37" s="18"/>
      <c r="AF37" s="14"/>
      <c r="AG37" s="15"/>
      <c r="AH37" s="18"/>
      <c r="AI37" s="14"/>
      <c r="AJ37" s="15"/>
      <c r="AK37" s="18"/>
      <c r="AL37" s="14"/>
      <c r="AM37" s="15"/>
      <c r="AN37" s="18"/>
      <c r="AO37" s="14"/>
      <c r="AP37" s="15"/>
      <c r="AQ37" s="273"/>
      <c r="AR37" s="273"/>
      <c r="AS37" s="18"/>
      <c r="AT37" s="285"/>
    </row>
    <row r="38" spans="1:54" x14ac:dyDescent="0.25">
      <c r="A38" s="5"/>
      <c r="B38" s="14"/>
      <c r="C38" s="14"/>
      <c r="D38" s="7"/>
      <c r="E38" s="14"/>
      <c r="F38" s="14"/>
      <c r="G38" s="19"/>
      <c r="H38" s="14"/>
      <c r="I38" s="14"/>
      <c r="J38" s="7"/>
      <c r="K38" s="14"/>
      <c r="L38" s="14"/>
      <c r="M38" s="19"/>
      <c r="N38" s="14"/>
      <c r="O38" s="14"/>
      <c r="P38" s="7"/>
      <c r="Q38" s="14"/>
      <c r="R38" s="14"/>
      <c r="S38" s="19"/>
      <c r="T38" s="14"/>
      <c r="U38" s="14"/>
      <c r="V38" s="7"/>
      <c r="W38" s="14"/>
      <c r="X38" s="14"/>
      <c r="Y38" s="7"/>
      <c r="Z38" s="14"/>
      <c r="AA38" s="14"/>
      <c r="AB38" s="7"/>
      <c r="AC38" s="14"/>
      <c r="AD38" s="14"/>
      <c r="AE38" s="7"/>
      <c r="AF38" s="14"/>
      <c r="AG38" s="14"/>
      <c r="AH38" s="7"/>
      <c r="AI38" s="14"/>
      <c r="AJ38" s="14"/>
      <c r="AK38" s="7"/>
      <c r="AL38" s="14"/>
      <c r="AM38" s="14"/>
      <c r="AO38" s="14"/>
      <c r="AP38" s="14"/>
      <c r="AQ38" s="12"/>
      <c r="AR38" s="12"/>
      <c r="AS38" s="7"/>
      <c r="AT38" s="286"/>
      <c r="AV38" s="2">
        <v>14</v>
      </c>
      <c r="AW38" s="2">
        <v>5</v>
      </c>
      <c r="AX38" s="2">
        <v>7</v>
      </c>
      <c r="AY38" s="2">
        <v>0</v>
      </c>
      <c r="AZ38" s="2">
        <v>0</v>
      </c>
      <c r="BB38" s="20">
        <f>+D37+G37+J37+M37+P37+S37+V37+Y37+AB37+AE37+AH37+AK37+AN37+AS37</f>
        <v>0</v>
      </c>
    </row>
    <row r="39" spans="1:54" x14ac:dyDescent="0.25">
      <c r="A39" s="5"/>
      <c r="B39" s="504" t="s">
        <v>36</v>
      </c>
      <c r="C39" s="505"/>
      <c r="D39" s="7">
        <v>373</v>
      </c>
      <c r="E39" s="510" t="s">
        <v>66</v>
      </c>
      <c r="F39" s="493"/>
      <c r="G39" s="7">
        <v>357</v>
      </c>
      <c r="H39" s="510" t="s">
        <v>19</v>
      </c>
      <c r="I39" s="493"/>
      <c r="J39" s="7">
        <v>374</v>
      </c>
      <c r="K39" s="510" t="s">
        <v>36</v>
      </c>
      <c r="L39" s="493"/>
      <c r="M39" s="7">
        <v>380</v>
      </c>
      <c r="N39" s="510" t="s">
        <v>36</v>
      </c>
      <c r="O39" s="493"/>
      <c r="P39" s="7">
        <v>344</v>
      </c>
      <c r="Q39" s="510" t="s">
        <v>28</v>
      </c>
      <c r="R39" s="493"/>
      <c r="S39" s="7">
        <v>330</v>
      </c>
      <c r="T39" s="510" t="s">
        <v>36</v>
      </c>
      <c r="U39" s="493"/>
      <c r="V39" s="7">
        <v>367</v>
      </c>
      <c r="W39" s="510" t="s">
        <v>23</v>
      </c>
      <c r="X39" s="493"/>
      <c r="Y39" s="7">
        <v>385</v>
      </c>
      <c r="Z39" s="510" t="s">
        <v>36</v>
      </c>
      <c r="AA39" s="493"/>
      <c r="AB39" s="7">
        <v>355</v>
      </c>
      <c r="AC39" s="510" t="s">
        <v>36</v>
      </c>
      <c r="AD39" s="493"/>
      <c r="AE39" s="7">
        <v>357</v>
      </c>
      <c r="AF39" s="510" t="s">
        <v>28</v>
      </c>
      <c r="AG39" s="493"/>
      <c r="AH39" s="7">
        <v>393</v>
      </c>
      <c r="AI39" s="510" t="s">
        <v>38</v>
      </c>
      <c r="AJ39" s="493"/>
      <c r="AK39" s="35">
        <v>383</v>
      </c>
      <c r="AL39" s="510" t="s">
        <v>36</v>
      </c>
      <c r="AM39" s="493"/>
      <c r="AN39" s="7">
        <v>388</v>
      </c>
      <c r="AO39" s="510" t="s">
        <v>66</v>
      </c>
      <c r="AP39" s="493"/>
      <c r="AQ39" s="21">
        <v>368</v>
      </c>
      <c r="AR39" s="21"/>
      <c r="AT39" s="8"/>
    </row>
    <row r="40" spans="1:54" x14ac:dyDescent="0.25">
      <c r="A40" s="5"/>
      <c r="B40" s="504" t="s">
        <v>82</v>
      </c>
      <c r="C40" s="505"/>
      <c r="D40" s="7"/>
      <c r="E40" s="504" t="s">
        <v>83</v>
      </c>
      <c r="F40" s="505"/>
      <c r="G40" s="7"/>
      <c r="H40" s="504" t="s">
        <v>84</v>
      </c>
      <c r="I40" s="505"/>
      <c r="J40" s="7"/>
      <c r="K40" s="504" t="s">
        <v>85</v>
      </c>
      <c r="L40" s="505"/>
      <c r="M40" s="7"/>
      <c r="N40" s="504" t="s">
        <v>86</v>
      </c>
      <c r="O40" s="505"/>
      <c r="P40" s="7"/>
      <c r="Q40" s="504" t="s">
        <v>87</v>
      </c>
      <c r="R40" s="505"/>
      <c r="S40" s="7"/>
      <c r="T40" s="504" t="s">
        <v>88</v>
      </c>
      <c r="U40" s="505"/>
      <c r="V40" s="7"/>
      <c r="W40" s="504" t="s">
        <v>89</v>
      </c>
      <c r="X40" s="505"/>
      <c r="Y40" s="7"/>
      <c r="Z40" s="504" t="s">
        <v>90</v>
      </c>
      <c r="AA40" s="505"/>
      <c r="AB40" s="7"/>
      <c r="AC40" s="504" t="s">
        <v>91</v>
      </c>
      <c r="AD40" s="505"/>
      <c r="AE40" s="7"/>
      <c r="AF40" s="504" t="s">
        <v>92</v>
      </c>
      <c r="AG40" s="505"/>
      <c r="AH40" s="7"/>
      <c r="AI40" s="504" t="s">
        <v>93</v>
      </c>
      <c r="AJ40" s="505"/>
      <c r="AK40" s="7"/>
      <c r="AL40" s="504" t="s">
        <v>94</v>
      </c>
      <c r="AM40" s="505"/>
      <c r="AN40" s="7"/>
      <c r="AO40" s="504" t="s">
        <v>95</v>
      </c>
      <c r="AP40" s="505"/>
      <c r="AQ40" s="21"/>
      <c r="AR40" s="21"/>
      <c r="AT40" s="8"/>
    </row>
    <row r="41" spans="1:54" x14ac:dyDescent="0.25">
      <c r="A41" s="5"/>
      <c r="B41" s="23"/>
      <c r="C41" s="24" t="s">
        <v>367</v>
      </c>
      <c r="D41" s="24"/>
      <c r="E41" s="23"/>
      <c r="F41" s="24" t="s">
        <v>367</v>
      </c>
      <c r="G41" s="24"/>
      <c r="H41" s="23"/>
      <c r="I41" s="24" t="s">
        <v>367</v>
      </c>
      <c r="J41" s="24"/>
      <c r="K41" s="23"/>
      <c r="L41" s="24" t="s">
        <v>367</v>
      </c>
      <c r="M41" s="24"/>
      <c r="N41" s="24" t="s">
        <v>367</v>
      </c>
      <c r="O41" s="23"/>
      <c r="P41" s="24"/>
      <c r="Q41" s="69"/>
      <c r="R41" s="24" t="s">
        <v>367</v>
      </c>
      <c r="S41" s="70"/>
      <c r="T41" s="69"/>
      <c r="U41" s="24" t="s">
        <v>367</v>
      </c>
      <c r="V41" s="70"/>
      <c r="W41" s="69"/>
      <c r="X41" s="24" t="s">
        <v>367</v>
      </c>
      <c r="Y41" s="70"/>
      <c r="Z41" s="69"/>
      <c r="AA41" s="24" t="s">
        <v>367</v>
      </c>
      <c r="AB41" s="70"/>
      <c r="AC41" s="69"/>
      <c r="AD41" s="24" t="s">
        <v>367</v>
      </c>
      <c r="AE41" s="70"/>
      <c r="AF41" s="69"/>
      <c r="AG41" s="24" t="s">
        <v>367</v>
      </c>
      <c r="AH41" s="70"/>
      <c r="AI41" s="69"/>
      <c r="AJ41" s="24" t="s">
        <v>367</v>
      </c>
      <c r="AK41" s="70"/>
      <c r="AL41" s="24" t="s">
        <v>367</v>
      </c>
      <c r="AM41" s="69"/>
      <c r="AN41" s="70"/>
      <c r="AO41" s="24" t="s">
        <v>367</v>
      </c>
      <c r="AP41" s="69"/>
      <c r="AQ41" s="69"/>
      <c r="AR41" s="69"/>
      <c r="AT41" s="8"/>
    </row>
    <row r="42" spans="1:54" x14ac:dyDescent="0.25">
      <c r="A42" s="5"/>
      <c r="W42" s="34"/>
      <c r="Z42" s="34"/>
      <c r="AC42" s="34"/>
      <c r="AL42" s="34"/>
      <c r="AT42" s="8"/>
    </row>
    <row r="43" spans="1:54" x14ac:dyDescent="0.25">
      <c r="A43" s="5"/>
      <c r="AK43"/>
      <c r="AT43" s="8"/>
    </row>
    <row r="44" spans="1:54" x14ac:dyDescent="0.25">
      <c r="A44" s="5"/>
      <c r="B44" s="498"/>
      <c r="C44" s="498"/>
      <c r="E44" s="491"/>
      <c r="F44" s="491"/>
      <c r="H44" s="491"/>
      <c r="I44" s="491"/>
      <c r="K44" s="491"/>
      <c r="L44" s="491"/>
      <c r="N44" s="491"/>
      <c r="O44" s="491"/>
      <c r="Q44" s="491"/>
      <c r="R44" s="491"/>
      <c r="T44" s="491"/>
      <c r="U44" s="491"/>
      <c r="W44" s="491"/>
      <c r="X44" s="491"/>
      <c r="Z44" s="491"/>
      <c r="AA44" s="491"/>
      <c r="AC44" s="491"/>
      <c r="AD44" s="491"/>
      <c r="AF44" s="491"/>
      <c r="AG44" s="491"/>
      <c r="AI44" s="491"/>
      <c r="AJ44" s="491"/>
      <c r="AL44" s="491"/>
      <c r="AM44" s="491"/>
      <c r="AO44" s="491"/>
      <c r="AP44" s="491"/>
      <c r="AQ44" s="13"/>
      <c r="AR44" s="13"/>
      <c r="AT44" s="8"/>
    </row>
    <row r="45" spans="1:54" x14ac:dyDescent="0.25">
      <c r="A45" s="5"/>
      <c r="B45" s="14"/>
      <c r="C45" s="31"/>
      <c r="D45" s="18"/>
      <c r="E45" s="14"/>
      <c r="F45" s="31"/>
      <c r="G45" s="18"/>
      <c r="H45" s="14"/>
      <c r="I45" s="31"/>
      <c r="J45" s="18"/>
      <c r="K45" s="14"/>
      <c r="L45" s="31"/>
      <c r="M45" s="18"/>
      <c r="N45" s="14"/>
      <c r="O45" s="31"/>
      <c r="P45" s="18"/>
      <c r="Q45" s="513" t="s">
        <v>406</v>
      </c>
      <c r="R45" s="514"/>
      <c r="S45" s="18"/>
      <c r="T45" s="14"/>
      <c r="U45" s="31"/>
      <c r="V45" s="18"/>
      <c r="W45" s="14"/>
      <c r="X45" s="31"/>
      <c r="Y45" s="18"/>
      <c r="Z45" s="14"/>
      <c r="AA45" s="15"/>
      <c r="AB45" s="18"/>
      <c r="AC45" s="269"/>
      <c r="AD45" s="269"/>
      <c r="AE45" s="18"/>
      <c r="AF45" s="14"/>
      <c r="AG45" s="14"/>
      <c r="AH45" s="18"/>
      <c r="AI45" s="15"/>
      <c r="AJ45" s="15"/>
      <c r="AK45" s="18"/>
      <c r="AL45" s="15"/>
      <c r="AM45" s="15"/>
      <c r="AN45" s="18"/>
      <c r="AO45" s="15"/>
      <c r="AP45" s="15"/>
      <c r="AQ45" s="273"/>
      <c r="AR45" s="273"/>
      <c r="AS45" s="18"/>
      <c r="AT45" s="285"/>
    </row>
    <row r="46" spans="1:54" x14ac:dyDescent="0.25">
      <c r="A46" s="5"/>
      <c r="B46" s="14"/>
      <c r="C46" s="14"/>
      <c r="D46" s="19"/>
      <c r="E46" s="14"/>
      <c r="F46" s="14"/>
      <c r="G46" s="19"/>
      <c r="H46" s="14"/>
      <c r="I46" s="14"/>
      <c r="J46" s="18"/>
      <c r="K46" s="14"/>
      <c r="L46" s="31"/>
      <c r="M46" s="19"/>
      <c r="N46" s="14"/>
      <c r="O46" s="14"/>
      <c r="P46" s="19"/>
      <c r="Q46" s="515"/>
      <c r="R46" s="516"/>
      <c r="S46" s="19"/>
      <c r="T46" s="14"/>
      <c r="U46" s="14"/>
      <c r="V46" s="19"/>
      <c r="W46" s="14"/>
      <c r="X46" s="14"/>
      <c r="Y46" s="19"/>
      <c r="Z46" s="14"/>
      <c r="AA46" s="14"/>
      <c r="AB46" s="19"/>
      <c r="AC46" s="269"/>
      <c r="AD46" s="269"/>
      <c r="AE46" s="19"/>
      <c r="AF46" s="14"/>
      <c r="AG46" s="14"/>
      <c r="AH46" s="19"/>
      <c r="AI46" s="14"/>
      <c r="AJ46" s="14"/>
      <c r="AK46" s="19"/>
      <c r="AL46" s="15"/>
      <c r="AM46" s="15"/>
      <c r="AN46" s="19"/>
      <c r="AO46" s="15"/>
      <c r="AP46" s="15"/>
      <c r="AQ46" s="273"/>
      <c r="AR46" s="273"/>
      <c r="AS46" s="19"/>
      <c r="AT46" s="284"/>
      <c r="AV46" s="2">
        <v>13</v>
      </c>
      <c r="AW46" s="2">
        <v>12</v>
      </c>
      <c r="AX46" s="2">
        <v>8</v>
      </c>
      <c r="AY46" s="2"/>
      <c r="AZ46" s="2"/>
      <c r="BB46" s="20">
        <f>+D45+G45+J45+M45+P45+S45+V45+Y45+AB45+AE45+AH45+AK45+AN45+AS45</f>
        <v>0</v>
      </c>
    </row>
    <row r="47" spans="1:54" x14ac:dyDescent="0.25">
      <c r="A47" s="5"/>
      <c r="B47" s="510" t="s">
        <v>36</v>
      </c>
      <c r="C47" s="493"/>
      <c r="D47" s="7">
        <v>412</v>
      </c>
      <c r="E47" s="510" t="s">
        <v>38</v>
      </c>
      <c r="F47" s="493"/>
      <c r="G47" s="7">
        <v>416</v>
      </c>
      <c r="H47" s="510" t="s">
        <v>36</v>
      </c>
      <c r="I47" s="493"/>
      <c r="J47" s="19">
        <v>407</v>
      </c>
      <c r="K47" s="510" t="s">
        <v>21</v>
      </c>
      <c r="L47" s="493"/>
      <c r="M47" s="40">
        <v>425</v>
      </c>
      <c r="N47" s="510" t="s">
        <v>28</v>
      </c>
      <c r="O47" s="493"/>
      <c r="P47" s="7">
        <v>386</v>
      </c>
      <c r="Q47" s="510" t="s">
        <v>36</v>
      </c>
      <c r="R47" s="493"/>
      <c r="S47" s="7">
        <v>359</v>
      </c>
      <c r="T47" s="510" t="s">
        <v>36</v>
      </c>
      <c r="U47" s="493"/>
      <c r="V47" s="7">
        <v>368</v>
      </c>
      <c r="W47" s="510" t="s">
        <v>36</v>
      </c>
      <c r="X47" s="493"/>
      <c r="Y47" s="7">
        <v>390</v>
      </c>
      <c r="Z47" s="510" t="s">
        <v>38</v>
      </c>
      <c r="AA47" s="493"/>
      <c r="AB47" s="7">
        <v>410</v>
      </c>
      <c r="AC47" s="510" t="s">
        <v>33</v>
      </c>
      <c r="AD47" s="493"/>
      <c r="AE47" s="7">
        <v>380</v>
      </c>
      <c r="AF47" s="510" t="s">
        <v>36</v>
      </c>
      <c r="AG47" s="493"/>
      <c r="AH47" s="35">
        <v>367</v>
      </c>
      <c r="AI47" s="510" t="s">
        <v>36</v>
      </c>
      <c r="AJ47" s="493"/>
      <c r="AK47" s="35">
        <v>433</v>
      </c>
      <c r="AL47" s="510" t="s">
        <v>25</v>
      </c>
      <c r="AM47" s="493"/>
      <c r="AN47" s="7">
        <v>400</v>
      </c>
      <c r="AO47" s="510" t="s">
        <v>36</v>
      </c>
      <c r="AP47" s="493"/>
      <c r="AQ47" s="21">
        <v>396</v>
      </c>
      <c r="AR47" s="21"/>
      <c r="AT47" s="8"/>
    </row>
    <row r="48" spans="1:54" x14ac:dyDescent="0.25">
      <c r="A48" s="5"/>
      <c r="B48" s="504" t="s">
        <v>96</v>
      </c>
      <c r="C48" s="505"/>
      <c r="D48" s="7"/>
      <c r="E48" s="504" t="s">
        <v>97</v>
      </c>
      <c r="F48" s="505"/>
      <c r="G48" s="7"/>
      <c r="H48" s="504" t="s">
        <v>98</v>
      </c>
      <c r="I48" s="504"/>
      <c r="J48" s="7"/>
      <c r="K48" s="504" t="s">
        <v>99</v>
      </c>
      <c r="L48" s="504"/>
      <c r="M48" s="7"/>
      <c r="N48" s="504" t="s">
        <v>100</v>
      </c>
      <c r="O48" s="504"/>
      <c r="P48" s="7"/>
      <c r="Q48" s="504" t="s">
        <v>101</v>
      </c>
      <c r="R48" s="504"/>
      <c r="S48" s="7"/>
      <c r="T48" s="504" t="s">
        <v>102</v>
      </c>
      <c r="U48" s="504"/>
      <c r="V48" s="7"/>
      <c r="W48" s="504" t="s">
        <v>103</v>
      </c>
      <c r="X48" s="505"/>
      <c r="Y48" s="7"/>
      <c r="Z48" s="504" t="s">
        <v>104</v>
      </c>
      <c r="AA48" s="505"/>
      <c r="AB48" s="7"/>
      <c r="AC48" s="504" t="s">
        <v>105</v>
      </c>
      <c r="AD48" s="505"/>
      <c r="AE48" s="7"/>
      <c r="AF48" s="504" t="s">
        <v>106</v>
      </c>
      <c r="AG48" s="505"/>
      <c r="AH48" s="7"/>
      <c r="AI48" s="504" t="s">
        <v>107</v>
      </c>
      <c r="AJ48" s="505"/>
      <c r="AK48" s="7"/>
      <c r="AL48" s="504" t="s">
        <v>108</v>
      </c>
      <c r="AM48" s="505"/>
      <c r="AN48" s="7"/>
      <c r="AO48" s="504" t="s">
        <v>109</v>
      </c>
      <c r="AP48" s="505"/>
      <c r="AQ48" s="21"/>
      <c r="AR48" s="21"/>
      <c r="AT48" s="8"/>
    </row>
    <row r="49" spans="1:54" x14ac:dyDescent="0.25">
      <c r="A49" s="5"/>
      <c r="B49" s="24" t="s">
        <v>367</v>
      </c>
      <c r="C49" s="69"/>
      <c r="D49" s="70"/>
      <c r="E49" s="69"/>
      <c r="F49" s="24" t="s">
        <v>367</v>
      </c>
      <c r="G49" s="70"/>
      <c r="H49" s="69"/>
      <c r="I49" s="24" t="s">
        <v>367</v>
      </c>
      <c r="J49" s="70"/>
      <c r="K49" s="69"/>
      <c r="L49" s="24" t="s">
        <v>367</v>
      </c>
      <c r="M49" s="70"/>
      <c r="N49" s="69"/>
      <c r="O49" s="24" t="s">
        <v>367</v>
      </c>
      <c r="P49" s="70"/>
      <c r="Q49" s="69"/>
      <c r="R49" s="24" t="s">
        <v>367</v>
      </c>
      <c r="S49" s="70"/>
      <c r="T49" s="69"/>
      <c r="U49" s="24" t="s">
        <v>367</v>
      </c>
      <c r="V49" s="70"/>
      <c r="W49" s="69"/>
      <c r="X49" s="24" t="s">
        <v>367</v>
      </c>
      <c r="Y49" s="70"/>
      <c r="Z49" s="69"/>
      <c r="AA49" s="24" t="s">
        <v>367</v>
      </c>
      <c r="AB49" s="70"/>
      <c r="AC49" s="24" t="s">
        <v>367</v>
      </c>
      <c r="AD49" s="69"/>
      <c r="AE49" s="70"/>
      <c r="AF49" s="24" t="s">
        <v>367</v>
      </c>
      <c r="AG49" s="69"/>
      <c r="AH49" s="70"/>
      <c r="AI49" s="24" t="s">
        <v>367</v>
      </c>
      <c r="AJ49" s="69"/>
      <c r="AK49" s="70"/>
      <c r="AL49" s="24" t="s">
        <v>367</v>
      </c>
      <c r="AM49" s="69"/>
      <c r="AN49" s="70"/>
      <c r="AO49" s="69"/>
      <c r="AP49" s="24" t="s">
        <v>367</v>
      </c>
      <c r="AQ49" s="24"/>
      <c r="AR49" s="24"/>
      <c r="AT49" s="8"/>
    </row>
    <row r="50" spans="1:54" x14ac:dyDescent="0.25">
      <c r="A50" s="5"/>
      <c r="V50"/>
      <c r="W50" s="519" t="s">
        <v>416</v>
      </c>
      <c r="X50" s="519"/>
      <c r="Y50" s="519"/>
      <c r="Z50" s="519"/>
      <c r="AA50" s="519"/>
      <c r="AB50" s="519"/>
      <c r="AC50" s="519"/>
      <c r="AD50" s="519"/>
      <c r="AT50" s="8"/>
    </row>
    <row r="51" spans="1:54" x14ac:dyDescent="0.25">
      <c r="A51" s="5"/>
      <c r="AT51" s="8"/>
    </row>
    <row r="52" spans="1:54" x14ac:dyDescent="0.25">
      <c r="A52" s="5"/>
      <c r="B52" s="498"/>
      <c r="C52" s="498"/>
      <c r="E52" s="491"/>
      <c r="F52" s="491"/>
      <c r="H52" s="491"/>
      <c r="I52" s="491"/>
      <c r="K52" s="491"/>
      <c r="L52" s="491"/>
      <c r="N52" s="491"/>
      <c r="O52" s="491"/>
      <c r="Q52" s="491"/>
      <c r="R52" s="491"/>
      <c r="T52" s="491"/>
      <c r="U52" s="491"/>
      <c r="W52" s="491"/>
      <c r="X52" s="491"/>
      <c r="Z52" s="491"/>
      <c r="AA52" s="491"/>
      <c r="AC52" s="491"/>
      <c r="AD52" s="491"/>
      <c r="AF52" s="491"/>
      <c r="AG52" s="491"/>
      <c r="AI52" s="491"/>
      <c r="AJ52" s="491"/>
      <c r="AL52" s="491"/>
      <c r="AM52" s="491"/>
      <c r="AO52" s="491"/>
      <c r="AP52" s="491"/>
      <c r="AQ52" s="13"/>
      <c r="AR52" s="13"/>
      <c r="AT52" s="8"/>
    </row>
    <row r="53" spans="1:54" ht="15" customHeight="1" x14ac:dyDescent="0.25">
      <c r="A53" s="5"/>
      <c r="B53" s="15"/>
      <c r="C53" s="15"/>
      <c r="D53" s="18"/>
      <c r="E53" s="14"/>
      <c r="F53" s="15"/>
      <c r="G53" s="18"/>
      <c r="H53" s="14"/>
      <c r="I53" s="15"/>
      <c r="J53" s="18"/>
      <c r="K53" s="14"/>
      <c r="L53" s="15"/>
      <c r="M53" s="18"/>
      <c r="N53" s="14"/>
      <c r="O53" s="15"/>
      <c r="P53" s="18"/>
      <c r="Q53" s="14"/>
      <c r="R53" s="15"/>
      <c r="S53" s="18"/>
      <c r="T53" s="14"/>
      <c r="U53" s="15"/>
      <c r="V53" s="18"/>
      <c r="W53" s="14"/>
      <c r="X53" s="15"/>
      <c r="Y53" s="18"/>
      <c r="Z53" s="14"/>
      <c r="AA53" s="15"/>
      <c r="AB53" s="18"/>
      <c r="AC53" s="14"/>
      <c r="AD53" s="31"/>
      <c r="AE53" s="18"/>
      <c r="AF53" s="513" t="s">
        <v>406</v>
      </c>
      <c r="AG53" s="514"/>
      <c r="AH53" s="18"/>
      <c r="AI53" s="520" t="s">
        <v>406</v>
      </c>
      <c r="AJ53" s="521"/>
      <c r="AK53" s="18"/>
      <c r="AL53" s="14"/>
      <c r="AM53" s="14"/>
      <c r="AN53" s="18"/>
      <c r="AO53" s="14"/>
      <c r="AP53" s="14"/>
      <c r="AQ53" s="12"/>
      <c r="AR53" s="12"/>
      <c r="AS53" s="18"/>
      <c r="AT53" s="285"/>
    </row>
    <row r="54" spans="1:54" x14ac:dyDescent="0.25">
      <c r="A54" s="5"/>
      <c r="B54" s="14"/>
      <c r="C54" s="14"/>
      <c r="D54" s="19"/>
      <c r="E54" s="14"/>
      <c r="F54" s="14"/>
      <c r="G54" s="19"/>
      <c r="H54" s="14"/>
      <c r="I54" s="14"/>
      <c r="J54" s="19"/>
      <c r="K54" s="14"/>
      <c r="L54" s="14"/>
      <c r="M54" s="19"/>
      <c r="N54" s="14"/>
      <c r="O54" s="14"/>
      <c r="P54" s="19"/>
      <c r="Q54" s="14"/>
      <c r="R54" s="14"/>
      <c r="S54" s="19"/>
      <c r="T54" s="14"/>
      <c r="U54" s="14"/>
      <c r="V54" s="19"/>
      <c r="W54" s="14"/>
      <c r="X54" s="14"/>
      <c r="Y54" s="19"/>
      <c r="Z54" s="14"/>
      <c r="AA54" s="14"/>
      <c r="AB54" s="19"/>
      <c r="AC54" s="14"/>
      <c r="AD54" s="14"/>
      <c r="AE54" s="19"/>
      <c r="AF54" s="515"/>
      <c r="AG54" s="516"/>
      <c r="AH54" s="19"/>
      <c r="AI54" s="522"/>
      <c r="AJ54" s="523"/>
      <c r="AK54" s="7"/>
      <c r="AL54" s="14"/>
      <c r="AM54" s="14"/>
      <c r="AN54" s="19"/>
      <c r="AO54" s="14"/>
      <c r="AP54" s="14"/>
      <c r="AQ54" s="12"/>
      <c r="AR54" s="12"/>
      <c r="AS54" s="19"/>
      <c r="AT54" s="284"/>
      <c r="AV54" s="2">
        <v>12</v>
      </c>
      <c r="AW54" s="2">
        <v>12</v>
      </c>
      <c r="AX54" s="2">
        <v>6</v>
      </c>
      <c r="AY54" s="2"/>
      <c r="AZ54" s="2"/>
      <c r="BB54" s="20">
        <f>+D53+G53+J53+M53+P53+S53+V53+Y53+AB53+AE53+AH53+AK53+AN53+AS53</f>
        <v>0</v>
      </c>
    </row>
    <row r="55" spans="1:54" x14ac:dyDescent="0.25">
      <c r="A55" s="5"/>
      <c r="B55" s="510" t="s">
        <v>21</v>
      </c>
      <c r="C55" s="493"/>
      <c r="D55" s="19">
        <v>420</v>
      </c>
      <c r="E55" s="510" t="s">
        <v>28</v>
      </c>
      <c r="F55" s="493"/>
      <c r="G55" s="19">
        <v>354</v>
      </c>
      <c r="H55" s="510" t="s">
        <v>36</v>
      </c>
      <c r="I55" s="493"/>
      <c r="J55" s="19">
        <v>348</v>
      </c>
      <c r="K55" s="510" t="s">
        <v>28</v>
      </c>
      <c r="L55" s="493"/>
      <c r="M55" s="19">
        <v>319</v>
      </c>
      <c r="N55" s="510" t="s">
        <v>36</v>
      </c>
      <c r="O55" s="493"/>
      <c r="P55" s="19">
        <v>379</v>
      </c>
      <c r="Q55" s="510" t="s">
        <v>21</v>
      </c>
      <c r="R55" s="493"/>
      <c r="S55" s="19">
        <v>428</v>
      </c>
      <c r="T55" s="510" t="s">
        <v>36</v>
      </c>
      <c r="U55" s="493"/>
      <c r="V55" s="19">
        <v>397</v>
      </c>
      <c r="W55" s="493" t="s">
        <v>118</v>
      </c>
      <c r="X55" s="493"/>
      <c r="Y55" s="19">
        <v>247</v>
      </c>
      <c r="Z55" s="510" t="s">
        <v>120</v>
      </c>
      <c r="AA55" s="493"/>
      <c r="AB55" s="19">
        <v>423</v>
      </c>
      <c r="AC55" s="493" t="s">
        <v>21</v>
      </c>
      <c r="AD55" s="493"/>
      <c r="AE55" s="19">
        <v>395</v>
      </c>
      <c r="AF55" s="510" t="s">
        <v>123</v>
      </c>
      <c r="AG55" s="493"/>
      <c r="AH55" s="19">
        <v>499</v>
      </c>
      <c r="AI55" s="497" t="s">
        <v>125</v>
      </c>
      <c r="AJ55" s="493"/>
      <c r="AK55" s="7">
        <v>377</v>
      </c>
      <c r="AL55" s="497" t="s">
        <v>28</v>
      </c>
      <c r="AM55" s="493"/>
      <c r="AN55" s="19">
        <v>443</v>
      </c>
      <c r="AO55" s="497" t="s">
        <v>28</v>
      </c>
      <c r="AP55" s="493"/>
      <c r="AQ55" s="21">
        <v>344</v>
      </c>
      <c r="AR55" s="21"/>
      <c r="AS55" s="19"/>
      <c r="AT55" s="284"/>
    </row>
    <row r="56" spans="1:54" x14ac:dyDescent="0.25">
      <c r="A56" s="5"/>
      <c r="B56" s="504" t="s">
        <v>110</v>
      </c>
      <c r="C56" s="505"/>
      <c r="D56" s="7"/>
      <c r="E56" s="504" t="s">
        <v>111</v>
      </c>
      <c r="F56" s="505"/>
      <c r="G56" s="7"/>
      <c r="H56" s="504" t="s">
        <v>112</v>
      </c>
      <c r="I56" s="505"/>
      <c r="J56" s="7"/>
      <c r="K56" s="504" t="s">
        <v>113</v>
      </c>
      <c r="L56" s="505"/>
      <c r="M56" s="7"/>
      <c r="N56" s="504" t="s">
        <v>114</v>
      </c>
      <c r="O56" s="505"/>
      <c r="P56" s="7"/>
      <c r="Q56" s="504" t="s">
        <v>115</v>
      </c>
      <c r="R56" s="505"/>
      <c r="S56" s="7"/>
      <c r="T56" s="504" t="s">
        <v>116</v>
      </c>
      <c r="U56" s="505"/>
      <c r="V56" s="7"/>
      <c r="W56" s="504" t="s">
        <v>117</v>
      </c>
      <c r="X56" s="505"/>
      <c r="Y56" s="7"/>
      <c r="Z56" s="504" t="s">
        <v>119</v>
      </c>
      <c r="AA56" s="505"/>
      <c r="AB56" s="7"/>
      <c r="AC56" s="504" t="s">
        <v>121</v>
      </c>
      <c r="AD56" s="505"/>
      <c r="AE56" s="7"/>
      <c r="AF56" s="504" t="s">
        <v>122</v>
      </c>
      <c r="AG56" s="505"/>
      <c r="AH56" s="7"/>
      <c r="AI56" s="502" t="s">
        <v>124</v>
      </c>
      <c r="AJ56" s="505"/>
      <c r="AK56" s="7"/>
      <c r="AL56" s="502" t="s">
        <v>126</v>
      </c>
      <c r="AM56" s="505"/>
      <c r="AN56" s="7"/>
      <c r="AO56" s="502" t="s">
        <v>127</v>
      </c>
      <c r="AP56" s="505"/>
      <c r="AQ56" s="21"/>
      <c r="AR56" s="21"/>
      <c r="AT56" s="8"/>
    </row>
    <row r="57" spans="1:54" x14ac:dyDescent="0.25">
      <c r="A57" s="5"/>
      <c r="B57" s="69"/>
      <c r="C57" s="24" t="s">
        <v>367</v>
      </c>
      <c r="D57" s="70"/>
      <c r="E57" s="69"/>
      <c r="F57" s="24" t="s">
        <v>367</v>
      </c>
      <c r="G57" s="70"/>
      <c r="H57" s="69"/>
      <c r="I57" s="24" t="s">
        <v>367</v>
      </c>
      <c r="J57" s="70"/>
      <c r="K57" s="69"/>
      <c r="L57" s="24" t="s">
        <v>367</v>
      </c>
      <c r="M57" s="70"/>
      <c r="N57" s="24" t="s">
        <v>367</v>
      </c>
      <c r="O57" s="69"/>
      <c r="P57" s="70"/>
      <c r="Q57" s="23"/>
      <c r="R57" s="24" t="s">
        <v>367</v>
      </c>
      <c r="S57" s="24"/>
      <c r="T57" s="23"/>
      <c r="U57" s="24" t="s">
        <v>367</v>
      </c>
      <c r="V57" s="24"/>
      <c r="W57" s="23"/>
      <c r="X57" s="24" t="s">
        <v>367</v>
      </c>
      <c r="Y57" s="24"/>
      <c r="Z57" s="23"/>
      <c r="AA57" s="24" t="s">
        <v>367</v>
      </c>
      <c r="AB57" s="24"/>
      <c r="AC57" s="24" t="s">
        <v>367</v>
      </c>
      <c r="AD57" s="23"/>
      <c r="AE57" s="24"/>
      <c r="AF57" s="23"/>
      <c r="AG57" s="24" t="s">
        <v>367</v>
      </c>
      <c r="AH57" s="24"/>
      <c r="AI57" s="23"/>
      <c r="AJ57" s="24" t="s">
        <v>367</v>
      </c>
      <c r="AK57" s="24"/>
      <c r="AL57" s="24" t="s">
        <v>367</v>
      </c>
      <c r="AM57" s="23"/>
      <c r="AN57" s="24"/>
      <c r="AO57" s="24" t="s">
        <v>367</v>
      </c>
      <c r="AP57" s="23"/>
      <c r="AQ57" s="23"/>
      <c r="AR57" s="23"/>
      <c r="AT57" s="8"/>
    </row>
    <row r="58" spans="1:54" x14ac:dyDescent="0.25">
      <c r="A58" s="5"/>
      <c r="AT58" s="8"/>
    </row>
    <row r="59" spans="1:54" x14ac:dyDescent="0.25">
      <c r="A59" s="5"/>
      <c r="AT59" s="8"/>
    </row>
    <row r="60" spans="1:54" x14ac:dyDescent="0.25">
      <c r="A60" s="5"/>
      <c r="B60" s="498"/>
      <c r="C60" s="498"/>
      <c r="E60" s="491"/>
      <c r="F60" s="491"/>
      <c r="H60" s="491"/>
      <c r="I60" s="491"/>
      <c r="K60" s="491"/>
      <c r="L60" s="491"/>
      <c r="N60" s="491"/>
      <c r="O60" s="491"/>
      <c r="Q60" s="491"/>
      <c r="R60" s="491"/>
      <c r="T60" s="491"/>
      <c r="U60" s="491"/>
      <c r="W60" s="491"/>
      <c r="X60" s="491"/>
      <c r="Z60" s="491"/>
      <c r="AA60" s="491"/>
      <c r="AC60" s="491"/>
      <c r="AD60" s="491"/>
      <c r="AF60" s="491"/>
      <c r="AG60" s="491"/>
      <c r="AI60" s="491"/>
      <c r="AJ60" s="491"/>
      <c r="AL60" s="491"/>
      <c r="AM60" s="491"/>
      <c r="AO60" s="491"/>
      <c r="AP60" s="491"/>
      <c r="AQ60" s="13"/>
      <c r="AR60" s="13"/>
      <c r="AT60" s="8"/>
    </row>
    <row r="61" spans="1:54" x14ac:dyDescent="0.25">
      <c r="A61" s="5"/>
      <c r="B61" s="31"/>
      <c r="C61" s="31"/>
      <c r="D61" s="18"/>
      <c r="E61" s="14"/>
      <c r="F61" s="15"/>
      <c r="G61" s="18"/>
      <c r="H61" s="14"/>
      <c r="I61" s="15"/>
      <c r="J61" s="18"/>
      <c r="K61" s="14"/>
      <c r="L61" s="15"/>
      <c r="M61" s="18"/>
      <c r="N61" s="14"/>
      <c r="O61" s="15"/>
      <c r="P61" s="18"/>
      <c r="Q61" s="513" t="s">
        <v>406</v>
      </c>
      <c r="R61" s="514"/>
      <c r="S61" s="18"/>
      <c r="T61" s="14"/>
      <c r="U61" s="31"/>
      <c r="V61" s="18"/>
      <c r="W61" s="269"/>
      <c r="X61" s="269"/>
      <c r="Y61" s="18"/>
      <c r="Z61" s="14"/>
      <c r="AA61" s="15"/>
      <c r="AB61" s="18"/>
      <c r="AC61" s="513" t="s">
        <v>406</v>
      </c>
      <c r="AD61" s="514"/>
      <c r="AE61" s="18"/>
      <c r="AF61" s="14"/>
      <c r="AG61" s="15"/>
      <c r="AH61" s="18"/>
      <c r="AI61" s="14"/>
      <c r="AJ61" s="15"/>
      <c r="AK61" s="18"/>
      <c r="AL61" s="14"/>
      <c r="AM61" s="31"/>
      <c r="AN61" s="18"/>
      <c r="AO61" s="14"/>
      <c r="AP61" s="31"/>
      <c r="AS61" s="18"/>
      <c r="AT61" s="285"/>
    </row>
    <row r="62" spans="1:54" x14ac:dyDescent="0.25">
      <c r="A62" s="5"/>
      <c r="B62" s="14"/>
      <c r="C62" s="14"/>
      <c r="D62" s="19"/>
      <c r="E62" s="14"/>
      <c r="F62" s="14"/>
      <c r="G62" s="19"/>
      <c r="H62" s="14"/>
      <c r="I62" s="14"/>
      <c r="J62" s="19"/>
      <c r="K62" s="14"/>
      <c r="L62" s="14"/>
      <c r="M62" s="19"/>
      <c r="N62" s="14"/>
      <c r="O62" s="14"/>
      <c r="P62" s="19"/>
      <c r="Q62" s="515"/>
      <c r="R62" s="516"/>
      <c r="S62" s="19"/>
      <c r="T62" s="14"/>
      <c r="U62" s="14"/>
      <c r="V62" s="19"/>
      <c r="W62" s="269"/>
      <c r="X62" s="269"/>
      <c r="Y62" s="7"/>
      <c r="Z62" s="14"/>
      <c r="AA62" s="14"/>
      <c r="AB62" s="7"/>
      <c r="AC62" s="515"/>
      <c r="AD62" s="516"/>
      <c r="AE62" s="19"/>
      <c r="AF62" s="14"/>
      <c r="AG62" s="14"/>
      <c r="AH62" s="19"/>
      <c r="AI62" s="14"/>
      <c r="AJ62" s="14"/>
      <c r="AK62" s="19"/>
      <c r="AL62" s="14"/>
      <c r="AM62" s="14"/>
      <c r="AO62" s="14"/>
      <c r="AP62" s="14"/>
      <c r="AQ62" s="12"/>
      <c r="AR62" s="12"/>
      <c r="AT62" s="8"/>
      <c r="AV62" s="2">
        <v>12</v>
      </c>
      <c r="AW62" s="2">
        <v>8</v>
      </c>
      <c r="AX62" s="2">
        <v>1</v>
      </c>
      <c r="AY62" s="2">
        <v>0</v>
      </c>
      <c r="AZ62" s="2">
        <v>0</v>
      </c>
      <c r="BB62" s="20">
        <f>+D61+G61+J61+M61+P61+S61+V61+Y61+AB61+AE61+AH61+AK61+AN61+AS61</f>
        <v>0</v>
      </c>
    </row>
    <row r="63" spans="1:54" x14ac:dyDescent="0.25">
      <c r="A63" s="5"/>
      <c r="B63" s="502" t="s">
        <v>45</v>
      </c>
      <c r="C63" s="505"/>
      <c r="D63" s="19">
        <v>390</v>
      </c>
      <c r="E63" s="502" t="s">
        <v>28</v>
      </c>
      <c r="F63" s="505"/>
      <c r="G63" s="19">
        <v>352</v>
      </c>
      <c r="H63" s="510" t="s">
        <v>36</v>
      </c>
      <c r="I63" s="493"/>
      <c r="J63" s="19">
        <v>426</v>
      </c>
      <c r="K63" s="510" t="s">
        <v>36</v>
      </c>
      <c r="L63" s="493"/>
      <c r="M63" s="19">
        <v>394</v>
      </c>
      <c r="N63" s="510" t="s">
        <v>38</v>
      </c>
      <c r="O63" s="493"/>
      <c r="P63" s="19">
        <v>408</v>
      </c>
      <c r="Q63" s="493" t="s">
        <v>120</v>
      </c>
      <c r="R63" s="493"/>
      <c r="S63" s="19">
        <v>373</v>
      </c>
      <c r="T63" s="510" t="s">
        <v>21</v>
      </c>
      <c r="U63" s="493"/>
      <c r="V63" s="19">
        <v>408</v>
      </c>
      <c r="W63" s="497" t="s">
        <v>17</v>
      </c>
      <c r="X63" s="524"/>
      <c r="Y63" s="7">
        <v>379</v>
      </c>
      <c r="Z63" s="510" t="s">
        <v>38</v>
      </c>
      <c r="AA63" s="493"/>
      <c r="AB63" s="7">
        <v>406</v>
      </c>
      <c r="AC63" s="510" t="s">
        <v>138</v>
      </c>
      <c r="AD63" s="493"/>
      <c r="AE63" s="19">
        <v>385</v>
      </c>
      <c r="AF63" s="510" t="s">
        <v>36</v>
      </c>
      <c r="AG63" s="493"/>
      <c r="AH63" s="19">
        <v>400</v>
      </c>
      <c r="AI63" s="510" t="s">
        <v>36</v>
      </c>
      <c r="AJ63" s="493"/>
      <c r="AK63" s="19">
        <v>439</v>
      </c>
      <c r="AL63" s="510" t="s">
        <v>21</v>
      </c>
      <c r="AM63" s="493"/>
      <c r="AN63" s="6">
        <v>400</v>
      </c>
      <c r="AO63" s="497" t="s">
        <v>28</v>
      </c>
      <c r="AP63" s="493"/>
      <c r="AQ63" s="21">
        <v>291</v>
      </c>
      <c r="AR63" s="21"/>
      <c r="AT63" s="8"/>
    </row>
    <row r="64" spans="1:54" x14ac:dyDescent="0.25">
      <c r="A64" s="5"/>
      <c r="B64" s="502" t="s">
        <v>128</v>
      </c>
      <c r="C64" s="505"/>
      <c r="D64" s="7"/>
      <c r="E64" s="502" t="s">
        <v>129</v>
      </c>
      <c r="F64" s="505"/>
      <c r="G64" s="7"/>
      <c r="H64" s="502" t="s">
        <v>130</v>
      </c>
      <c r="I64" s="505"/>
      <c r="J64" s="7"/>
      <c r="K64" s="502" t="s">
        <v>131</v>
      </c>
      <c r="L64" s="505"/>
      <c r="M64" s="7"/>
      <c r="N64" s="502" t="s">
        <v>132</v>
      </c>
      <c r="O64" s="505"/>
      <c r="P64" s="7"/>
      <c r="Q64" s="504" t="s">
        <v>133</v>
      </c>
      <c r="R64" s="505"/>
      <c r="S64" s="7"/>
      <c r="T64" s="504" t="s">
        <v>134</v>
      </c>
      <c r="U64" s="505"/>
      <c r="V64" s="7"/>
      <c r="W64" s="502" t="s">
        <v>135</v>
      </c>
      <c r="X64" s="503"/>
      <c r="Y64" s="7"/>
      <c r="Z64" s="502" t="s">
        <v>136</v>
      </c>
      <c r="AA64" s="503"/>
      <c r="AB64" s="7"/>
      <c r="AC64" s="504" t="s">
        <v>137</v>
      </c>
      <c r="AD64" s="505"/>
      <c r="AE64" s="19"/>
      <c r="AF64" s="504" t="s">
        <v>139</v>
      </c>
      <c r="AG64" s="505"/>
      <c r="AH64" s="19"/>
      <c r="AI64" s="504" t="s">
        <v>140</v>
      </c>
      <c r="AJ64" s="505"/>
      <c r="AL64" s="504" t="s">
        <v>141</v>
      </c>
      <c r="AM64" s="505"/>
      <c r="AN64" s="7"/>
      <c r="AO64" s="504" t="s">
        <v>142</v>
      </c>
      <c r="AP64" s="505"/>
      <c r="AQ64" s="21"/>
      <c r="AR64" s="21"/>
      <c r="AS64" s="34"/>
      <c r="AT64" s="287"/>
    </row>
    <row r="65" spans="1:54" x14ac:dyDescent="0.25">
      <c r="A65" s="5"/>
      <c r="B65" s="24" t="s">
        <v>367</v>
      </c>
      <c r="C65" s="23"/>
      <c r="D65" s="24"/>
      <c r="E65" s="24" t="s">
        <v>367</v>
      </c>
      <c r="F65" s="25"/>
      <c r="G65" s="24"/>
      <c r="H65" s="24" t="s">
        <v>367</v>
      </c>
      <c r="I65" s="25"/>
      <c r="J65" s="24"/>
      <c r="K65" s="23"/>
      <c r="L65" s="24" t="s">
        <v>367</v>
      </c>
      <c r="M65" s="24"/>
      <c r="N65" s="23"/>
      <c r="O65" s="24" t="s">
        <v>367</v>
      </c>
      <c r="P65" s="24"/>
      <c r="Q65" s="23"/>
      <c r="R65" s="24" t="s">
        <v>367</v>
      </c>
      <c r="S65" s="24"/>
      <c r="T65" s="23"/>
      <c r="U65" s="24" t="s">
        <v>367</v>
      </c>
      <c r="V65" s="24"/>
      <c r="W65" s="24" t="s">
        <v>367</v>
      </c>
      <c r="X65" s="23"/>
      <c r="Y65" s="24"/>
      <c r="Z65" s="24" t="s">
        <v>367</v>
      </c>
      <c r="AA65" s="23"/>
      <c r="AB65" s="24"/>
      <c r="AC65" s="24" t="s">
        <v>367</v>
      </c>
      <c r="AD65" s="23"/>
      <c r="AE65" s="24"/>
      <c r="AF65" s="23"/>
      <c r="AG65" s="24" t="s">
        <v>367</v>
      </c>
      <c r="AH65" s="24"/>
      <c r="AI65" s="24" t="s">
        <v>367</v>
      </c>
      <c r="AJ65" s="23"/>
      <c r="AK65" s="24"/>
      <c r="AL65" s="24" t="s">
        <v>367</v>
      </c>
      <c r="AM65" s="23"/>
      <c r="AN65" s="24"/>
      <c r="AO65" s="23"/>
      <c r="AP65" s="24" t="s">
        <v>367</v>
      </c>
      <c r="AQ65" s="24"/>
      <c r="AR65" s="24"/>
      <c r="AS65" s="34"/>
      <c r="AT65" s="287"/>
    </row>
    <row r="66" spans="1:54" x14ac:dyDescent="0.25">
      <c r="A66" s="5"/>
      <c r="W66" s="519" t="s">
        <v>414</v>
      </c>
      <c r="X66" s="519"/>
      <c r="Y66" s="519"/>
      <c r="Z66" s="519"/>
      <c r="AA66" s="519"/>
      <c r="AO66" s="498"/>
      <c r="AP66" s="498"/>
      <c r="AQ66" s="498"/>
      <c r="AR66" s="498"/>
      <c r="AS66" s="498"/>
      <c r="AT66" s="288"/>
    </row>
    <row r="67" spans="1:54" x14ac:dyDescent="0.25">
      <c r="A67" s="5"/>
      <c r="Y67" s="6" t="s">
        <v>407</v>
      </c>
      <c r="AT67" s="8"/>
    </row>
    <row r="68" spans="1:54" x14ac:dyDescent="0.25">
      <c r="A68" s="5"/>
      <c r="B68" s="498"/>
      <c r="C68" s="498"/>
      <c r="E68" s="491"/>
      <c r="F68" s="491"/>
      <c r="H68" s="491"/>
      <c r="I68" s="491"/>
      <c r="K68" s="491"/>
      <c r="L68" s="491"/>
      <c r="N68" s="491"/>
      <c r="O68" s="491"/>
      <c r="Q68" s="491"/>
      <c r="R68" s="491"/>
      <c r="T68" s="491"/>
      <c r="U68" s="491"/>
      <c r="W68" s="491"/>
      <c r="X68" s="491"/>
      <c r="Z68" s="491"/>
      <c r="AA68" s="491"/>
      <c r="AC68" s="491"/>
      <c r="AD68" s="491"/>
      <c r="AF68" s="491"/>
      <c r="AG68" s="491"/>
      <c r="AI68" s="491"/>
      <c r="AJ68" s="491"/>
      <c r="AL68" s="491"/>
      <c r="AM68" s="491"/>
      <c r="AO68" s="491"/>
      <c r="AP68" s="491"/>
      <c r="AQ68" s="13"/>
      <c r="AR68" s="13"/>
      <c r="AT68" s="8"/>
    </row>
    <row r="69" spans="1:54" x14ac:dyDescent="0.25">
      <c r="A69" s="5"/>
      <c r="B69" s="14"/>
      <c r="C69" s="31"/>
      <c r="D69" s="18"/>
      <c r="E69" s="14"/>
      <c r="F69" s="31"/>
      <c r="G69" s="18"/>
      <c r="H69" s="14"/>
      <c r="I69" s="31"/>
      <c r="J69" s="27"/>
      <c r="K69" s="31"/>
      <c r="L69" s="31"/>
      <c r="M69" s="18"/>
      <c r="N69" s="31"/>
      <c r="O69" s="31"/>
      <c r="P69" s="27"/>
      <c r="Q69" s="31"/>
      <c r="R69" s="31"/>
      <c r="S69" s="18"/>
      <c r="T69" s="31"/>
      <c r="U69" s="31"/>
      <c r="V69" s="18"/>
      <c r="W69" s="31"/>
      <c r="X69" s="31"/>
      <c r="Y69" s="18"/>
      <c r="Z69" s="294"/>
      <c r="AA69" s="294"/>
      <c r="AB69" s="18"/>
      <c r="AC69" s="31"/>
      <c r="AD69" s="31"/>
      <c r="AE69" s="18"/>
      <c r="AF69" s="14"/>
      <c r="AG69" s="31"/>
      <c r="AH69" s="18"/>
      <c r="AI69" s="14"/>
      <c r="AJ69" s="31"/>
      <c r="AK69" s="18"/>
      <c r="AL69" s="14"/>
      <c r="AM69" s="31"/>
      <c r="AN69" s="18"/>
      <c r="AO69" s="14"/>
      <c r="AP69" s="15"/>
      <c r="AQ69" s="273"/>
      <c r="AR69" s="273"/>
      <c r="AS69" s="18"/>
      <c r="AT69" s="285"/>
    </row>
    <row r="70" spans="1:54" x14ac:dyDescent="0.25">
      <c r="A70" s="5"/>
      <c r="B70" s="31"/>
      <c r="C70" s="31"/>
      <c r="D70" s="19"/>
      <c r="E70" s="31"/>
      <c r="F70" s="31"/>
      <c r="G70" s="19"/>
      <c r="H70" s="31"/>
      <c r="I70" s="31"/>
      <c r="J70" s="7"/>
      <c r="K70" s="31"/>
      <c r="L70" s="31"/>
      <c r="M70" s="7"/>
      <c r="N70" s="31"/>
      <c r="O70" s="31"/>
      <c r="P70" s="19"/>
      <c r="Q70" s="31"/>
      <c r="R70" s="31"/>
      <c r="S70" s="19"/>
      <c r="T70" s="14"/>
      <c r="U70" s="14"/>
      <c r="V70" s="19"/>
      <c r="W70" s="14"/>
      <c r="X70" s="14"/>
      <c r="Y70" s="7"/>
      <c r="Z70" s="294"/>
      <c r="AA70" s="294"/>
      <c r="AB70" s="7"/>
      <c r="AC70" s="14"/>
      <c r="AD70" s="31"/>
      <c r="AE70" s="19"/>
      <c r="AF70" s="14"/>
      <c r="AG70" s="14"/>
      <c r="AH70" s="7"/>
      <c r="AI70" s="14"/>
      <c r="AJ70" s="14"/>
      <c r="AK70" s="19"/>
      <c r="AL70" s="14"/>
      <c r="AM70" s="14"/>
      <c r="AN70" s="19"/>
      <c r="AO70" s="14"/>
      <c r="AP70" s="14"/>
      <c r="AQ70" s="12"/>
      <c r="AR70" s="12"/>
      <c r="AS70" s="19"/>
      <c r="AT70" s="284"/>
      <c r="AV70" s="2">
        <v>11</v>
      </c>
      <c r="AW70" s="2">
        <v>10</v>
      </c>
      <c r="AX70" s="2">
        <v>2</v>
      </c>
      <c r="AY70" s="2">
        <v>0</v>
      </c>
      <c r="AZ70" s="2">
        <v>0</v>
      </c>
      <c r="BB70" s="20">
        <f>+D69+G69+J69+M69+P69+S69+V69+Y69+AB69+AE69+AH69+AK69+AN69+AS69</f>
        <v>0</v>
      </c>
    </row>
    <row r="71" spans="1:54" x14ac:dyDescent="0.25">
      <c r="A71" s="5"/>
      <c r="B71" s="497" t="s">
        <v>28</v>
      </c>
      <c r="C71" s="493"/>
      <c r="D71" s="19">
        <v>390</v>
      </c>
      <c r="E71" s="510" t="s">
        <v>38</v>
      </c>
      <c r="F71" s="493"/>
      <c r="G71" s="19">
        <v>403</v>
      </c>
      <c r="H71" s="510" t="s">
        <v>36</v>
      </c>
      <c r="I71" s="493"/>
      <c r="J71" s="7">
        <v>422</v>
      </c>
      <c r="K71" s="510" t="s">
        <v>21</v>
      </c>
      <c r="L71" s="493"/>
      <c r="M71" s="7">
        <v>389</v>
      </c>
      <c r="N71" s="510" t="s">
        <v>19</v>
      </c>
      <c r="O71" s="493"/>
      <c r="P71" s="19">
        <v>436</v>
      </c>
      <c r="Q71" s="493" t="s">
        <v>40</v>
      </c>
      <c r="R71" s="493"/>
      <c r="S71" s="19">
        <v>380</v>
      </c>
      <c r="T71" s="510" t="s">
        <v>36</v>
      </c>
      <c r="U71" s="493"/>
      <c r="V71" s="19">
        <v>445</v>
      </c>
      <c r="W71" s="510" t="s">
        <v>151</v>
      </c>
      <c r="X71" s="493"/>
      <c r="Y71" s="7">
        <v>220</v>
      </c>
      <c r="Z71" s="510" t="s">
        <v>153</v>
      </c>
      <c r="AA71" s="493"/>
      <c r="AB71" s="7">
        <v>435</v>
      </c>
      <c r="AC71" s="493" t="s">
        <v>40</v>
      </c>
      <c r="AD71" s="493"/>
      <c r="AE71" s="19">
        <v>405</v>
      </c>
      <c r="AF71" s="510" t="s">
        <v>21</v>
      </c>
      <c r="AG71" s="493"/>
      <c r="AH71" s="7">
        <v>434</v>
      </c>
      <c r="AI71" s="510" t="s">
        <v>21</v>
      </c>
      <c r="AJ71" s="493"/>
      <c r="AK71" s="19">
        <v>380</v>
      </c>
      <c r="AL71" s="510" t="s">
        <v>28</v>
      </c>
      <c r="AM71" s="493"/>
      <c r="AN71" s="19">
        <v>379</v>
      </c>
      <c r="AO71" s="510" t="s">
        <v>159</v>
      </c>
      <c r="AP71" s="493"/>
      <c r="AQ71" s="21">
        <v>491</v>
      </c>
      <c r="AR71" s="21"/>
      <c r="AS71" s="19"/>
      <c r="AT71" s="284"/>
    </row>
    <row r="72" spans="1:54" x14ac:dyDescent="0.25">
      <c r="A72" s="5"/>
      <c r="B72" s="504" t="s">
        <v>143</v>
      </c>
      <c r="C72" s="505"/>
      <c r="E72" s="504" t="s">
        <v>144</v>
      </c>
      <c r="F72" s="505"/>
      <c r="G72" s="7"/>
      <c r="H72" s="504" t="s">
        <v>145</v>
      </c>
      <c r="I72" s="505"/>
      <c r="J72" s="7"/>
      <c r="K72" s="504" t="s">
        <v>146</v>
      </c>
      <c r="L72" s="505"/>
      <c r="M72" s="7"/>
      <c r="N72" s="504" t="s">
        <v>147</v>
      </c>
      <c r="O72" s="505"/>
      <c r="P72" s="7"/>
      <c r="Q72" s="504" t="s">
        <v>148</v>
      </c>
      <c r="R72" s="505"/>
      <c r="S72" s="7"/>
      <c r="T72" s="504" t="s">
        <v>149</v>
      </c>
      <c r="U72" s="505"/>
      <c r="V72" s="7"/>
      <c r="W72" s="504" t="s">
        <v>150</v>
      </c>
      <c r="X72" s="505"/>
      <c r="Y72" s="7"/>
      <c r="Z72" s="504" t="s">
        <v>152</v>
      </c>
      <c r="AA72" s="505"/>
      <c r="AB72" s="7"/>
      <c r="AC72" s="504" t="s">
        <v>154</v>
      </c>
      <c r="AD72" s="505"/>
      <c r="AE72" s="7"/>
      <c r="AF72" s="504" t="s">
        <v>155</v>
      </c>
      <c r="AG72" s="505"/>
      <c r="AH72" s="7"/>
      <c r="AI72" s="504" t="s">
        <v>156</v>
      </c>
      <c r="AJ72" s="505"/>
      <c r="AK72" s="7"/>
      <c r="AL72" s="504" t="s">
        <v>157</v>
      </c>
      <c r="AM72" s="505"/>
      <c r="AN72" s="7"/>
      <c r="AO72" s="504" t="s">
        <v>158</v>
      </c>
      <c r="AP72" s="505"/>
      <c r="AQ72" s="21"/>
      <c r="AR72" s="21"/>
      <c r="AT72" s="8"/>
    </row>
    <row r="73" spans="1:54" x14ac:dyDescent="0.25">
      <c r="A73" s="5"/>
      <c r="B73" s="24" t="s">
        <v>367</v>
      </c>
      <c r="C73" s="23"/>
      <c r="D73" s="24"/>
      <c r="E73" s="23"/>
      <c r="F73" s="24" t="s">
        <v>367</v>
      </c>
      <c r="G73" s="24"/>
      <c r="H73" s="23"/>
      <c r="I73" s="24" t="s">
        <v>367</v>
      </c>
      <c r="J73" s="24"/>
      <c r="K73" s="23"/>
      <c r="L73" s="24" t="s">
        <v>367</v>
      </c>
      <c r="M73" s="24"/>
      <c r="N73" s="23"/>
      <c r="O73" s="24" t="s">
        <v>367</v>
      </c>
      <c r="P73" s="24"/>
      <c r="Q73" s="23"/>
      <c r="R73" s="24" t="s">
        <v>367</v>
      </c>
      <c r="S73" s="24"/>
      <c r="T73" s="23"/>
      <c r="U73" s="24" t="s">
        <v>367</v>
      </c>
      <c r="V73" s="24"/>
      <c r="W73" s="23"/>
      <c r="X73" s="24" t="s">
        <v>367</v>
      </c>
      <c r="Y73" s="24"/>
      <c r="Z73" s="23"/>
      <c r="AA73" s="24" t="s">
        <v>367</v>
      </c>
      <c r="AB73" s="24"/>
      <c r="AC73" s="23"/>
      <c r="AD73" s="24" t="s">
        <v>367</v>
      </c>
      <c r="AE73" s="24"/>
      <c r="AF73" s="23"/>
      <c r="AG73" s="24" t="s">
        <v>367</v>
      </c>
      <c r="AH73" s="24"/>
      <c r="AI73" s="23"/>
      <c r="AJ73" s="24" t="s">
        <v>367</v>
      </c>
      <c r="AK73" s="24"/>
      <c r="AL73" s="23"/>
      <c r="AM73" s="24" t="s">
        <v>367</v>
      </c>
      <c r="AN73" s="24"/>
      <c r="AO73" s="24" t="s">
        <v>367</v>
      </c>
      <c r="AP73" s="23"/>
      <c r="AQ73" s="23"/>
      <c r="AR73" s="23"/>
      <c r="AT73" s="8"/>
    </row>
    <row r="74" spans="1:54" x14ac:dyDescent="0.25">
      <c r="A74" s="525" t="s">
        <v>413</v>
      </c>
      <c r="B74" s="525"/>
      <c r="C74" s="525"/>
      <c r="Q74" s="519"/>
      <c r="R74" s="519"/>
      <c r="S74" s="519"/>
      <c r="AI74" s="519" t="s">
        <v>415</v>
      </c>
      <c r="AJ74" s="519"/>
      <c r="AK74" s="519"/>
      <c r="AL74" s="519"/>
      <c r="AM74" s="519"/>
      <c r="AN74" s="519"/>
      <c r="AO74" s="519"/>
      <c r="AP74" s="519"/>
      <c r="AQ74" s="13"/>
      <c r="AR74" s="13"/>
      <c r="AT74" s="8"/>
    </row>
    <row r="75" spans="1:54" x14ac:dyDescent="0.25">
      <c r="A75" s="5"/>
      <c r="H75" s="6"/>
      <c r="S75" s="6" t="s">
        <v>409</v>
      </c>
      <c r="AT75" s="8"/>
    </row>
    <row r="76" spans="1:54" x14ac:dyDescent="0.25">
      <c r="A76" s="5"/>
      <c r="B76" s="498"/>
      <c r="C76" s="498"/>
      <c r="E76" s="491"/>
      <c r="F76" s="491"/>
      <c r="H76" s="491"/>
      <c r="I76" s="491"/>
      <c r="K76" s="526"/>
      <c r="L76" s="491"/>
      <c r="N76" s="526"/>
      <c r="O76" s="491"/>
      <c r="Q76" s="526"/>
      <c r="R76" s="491"/>
      <c r="T76" s="526"/>
      <c r="U76" s="491"/>
      <c r="W76" s="491"/>
      <c r="X76" s="491"/>
      <c r="Z76" s="491"/>
      <c r="AA76" s="491"/>
      <c r="AC76" s="491"/>
      <c r="AD76" s="491"/>
      <c r="AF76" s="491"/>
      <c r="AG76" s="491"/>
      <c r="AI76" s="491"/>
      <c r="AJ76" s="491"/>
      <c r="AL76" s="491"/>
      <c r="AM76" s="491"/>
      <c r="AO76" s="491"/>
      <c r="AP76" s="491"/>
      <c r="AQ76" s="13"/>
      <c r="AR76" s="13"/>
      <c r="AT76" s="8"/>
    </row>
    <row r="77" spans="1:54" x14ac:dyDescent="0.25">
      <c r="A77" s="5"/>
      <c r="B77" s="9"/>
      <c r="C77" s="29"/>
      <c r="D77" s="18"/>
      <c r="E77" s="31"/>
      <c r="F77" s="31"/>
      <c r="G77" s="18"/>
      <c r="H77" s="31"/>
      <c r="I77" s="31"/>
      <c r="J77" s="18"/>
      <c r="K77" s="14"/>
      <c r="L77" s="15"/>
      <c r="M77" s="18"/>
      <c r="N77" s="31"/>
      <c r="O77" s="31"/>
      <c r="P77" s="18"/>
      <c r="Q77" s="9"/>
      <c r="R77" s="29"/>
      <c r="S77" s="18"/>
      <c r="T77" s="31"/>
      <c r="U77" s="31"/>
      <c r="V77" s="18"/>
      <c r="W77" s="14"/>
      <c r="X77" s="14"/>
      <c r="Y77" s="18"/>
      <c r="Z77" s="14"/>
      <c r="AA77" s="14"/>
      <c r="AB77" s="18"/>
      <c r="AC77" s="527" t="s">
        <v>404</v>
      </c>
      <c r="AD77" s="528"/>
      <c r="AE77" s="18"/>
      <c r="AF77" s="14"/>
      <c r="AG77" s="15"/>
      <c r="AH77" s="18"/>
      <c r="AI77" s="14"/>
      <c r="AJ77" s="15"/>
      <c r="AK77" s="18"/>
      <c r="AL77" s="9"/>
      <c r="AM77" s="29"/>
      <c r="AN77" s="18"/>
      <c r="AO77" s="294"/>
      <c r="AP77" s="294"/>
      <c r="AQ77" s="278"/>
      <c r="AR77" s="278"/>
      <c r="AS77" s="18"/>
      <c r="AT77" s="285"/>
    </row>
    <row r="78" spans="1:54" x14ac:dyDescent="0.25">
      <c r="A78" s="5"/>
      <c r="B78" s="9"/>
      <c r="C78" s="9"/>
      <c r="D78" s="19"/>
      <c r="E78" s="31"/>
      <c r="F78" s="14"/>
      <c r="G78" s="19"/>
      <c r="H78" s="31"/>
      <c r="I78" s="14"/>
      <c r="J78" s="7"/>
      <c r="K78" s="14"/>
      <c r="L78" s="14"/>
      <c r="M78" s="7"/>
      <c r="N78" s="31"/>
      <c r="O78" s="14"/>
      <c r="P78" s="19"/>
      <c r="Q78" s="9"/>
      <c r="R78" s="9"/>
      <c r="S78" s="7"/>
      <c r="T78" s="31"/>
      <c r="U78" s="14"/>
      <c r="V78" s="19"/>
      <c r="W78" s="14"/>
      <c r="X78" s="14"/>
      <c r="Y78" s="19"/>
      <c r="Z78" s="14"/>
      <c r="AA78" s="14"/>
      <c r="AB78" s="19"/>
      <c r="AC78" s="529"/>
      <c r="AD78" s="530"/>
      <c r="AE78" s="19"/>
      <c r="AF78" s="14"/>
      <c r="AG78" s="14"/>
      <c r="AH78" s="19"/>
      <c r="AI78" s="14"/>
      <c r="AJ78" s="14"/>
      <c r="AK78" s="19"/>
      <c r="AL78" s="9"/>
      <c r="AM78" s="9"/>
      <c r="AN78" s="7"/>
      <c r="AO78" s="294"/>
      <c r="AP78" s="294"/>
      <c r="AQ78" s="278"/>
      <c r="AR78" s="278"/>
      <c r="AS78" s="19"/>
      <c r="AT78" s="284"/>
      <c r="AV78" s="2">
        <v>7</v>
      </c>
      <c r="AW78" s="2">
        <v>6</v>
      </c>
      <c r="AX78" s="2">
        <v>0</v>
      </c>
      <c r="AY78" s="2">
        <v>0</v>
      </c>
      <c r="AZ78" s="2">
        <v>0</v>
      </c>
      <c r="BB78" s="20">
        <f>+D77+G77+J77+M77+P77+S77+V77+Y77+AB77+AE77+AH77+AK77+AN77+AS77</f>
        <v>0</v>
      </c>
    </row>
    <row r="79" spans="1:54" x14ac:dyDescent="0.25">
      <c r="A79" s="5"/>
      <c r="B79" s="504" t="s">
        <v>161</v>
      </c>
      <c r="C79" s="505"/>
      <c r="D79" s="19">
        <v>451</v>
      </c>
      <c r="E79" s="510" t="s">
        <v>36</v>
      </c>
      <c r="F79" s="493"/>
      <c r="G79" s="19">
        <v>376</v>
      </c>
      <c r="H79" s="493" t="s">
        <v>40</v>
      </c>
      <c r="I79" s="493"/>
      <c r="J79" s="7">
        <v>380</v>
      </c>
      <c r="K79" s="510" t="s">
        <v>28</v>
      </c>
      <c r="L79" s="493"/>
      <c r="M79" s="7">
        <v>352</v>
      </c>
      <c r="N79" s="510" t="s">
        <v>19</v>
      </c>
      <c r="O79" s="493"/>
      <c r="P79" s="19">
        <v>361</v>
      </c>
      <c r="Q79" s="510" t="s">
        <v>167</v>
      </c>
      <c r="R79" s="493"/>
      <c r="S79" s="7">
        <v>252</v>
      </c>
      <c r="T79" s="510" t="s">
        <v>169</v>
      </c>
      <c r="U79" s="493"/>
      <c r="V79" s="19">
        <v>394</v>
      </c>
      <c r="W79" s="493" t="s">
        <v>40</v>
      </c>
      <c r="X79" s="493"/>
      <c r="Y79" s="19">
        <v>389</v>
      </c>
      <c r="Z79" s="510" t="s">
        <v>40</v>
      </c>
      <c r="AA79" s="493"/>
      <c r="AB79" s="19">
        <v>399</v>
      </c>
      <c r="AC79" s="510" t="s">
        <v>23</v>
      </c>
      <c r="AD79" s="493"/>
      <c r="AE79" s="19">
        <v>392</v>
      </c>
      <c r="AF79" s="510" t="s">
        <v>40</v>
      </c>
      <c r="AG79" s="493"/>
      <c r="AH79" s="19">
        <v>345</v>
      </c>
      <c r="AI79" s="510" t="s">
        <v>36</v>
      </c>
      <c r="AJ79" s="493"/>
      <c r="AK79" s="19">
        <v>397</v>
      </c>
      <c r="AL79" s="510" t="s">
        <v>14</v>
      </c>
      <c r="AM79" s="493"/>
      <c r="AN79" s="7">
        <v>226</v>
      </c>
      <c r="AO79" s="493" t="s">
        <v>177</v>
      </c>
      <c r="AP79" s="493"/>
      <c r="AQ79" s="21">
        <v>499</v>
      </c>
      <c r="AR79" s="21"/>
      <c r="AS79" s="19"/>
      <c r="AT79" s="284"/>
    </row>
    <row r="80" spans="1:54" x14ac:dyDescent="0.25">
      <c r="A80" s="5"/>
      <c r="B80" s="504" t="s">
        <v>160</v>
      </c>
      <c r="C80" s="505"/>
      <c r="D80" s="7"/>
      <c r="E80" s="504" t="s">
        <v>162</v>
      </c>
      <c r="F80" s="505"/>
      <c r="G80" s="19"/>
      <c r="H80" s="504" t="s">
        <v>163</v>
      </c>
      <c r="I80" s="505"/>
      <c r="J80" s="7"/>
      <c r="K80" s="504" t="s">
        <v>164</v>
      </c>
      <c r="L80" s="505"/>
      <c r="M80" s="7"/>
      <c r="N80" s="504" t="s">
        <v>165</v>
      </c>
      <c r="O80" s="505"/>
      <c r="P80" s="36"/>
      <c r="Q80" s="504" t="s">
        <v>166</v>
      </c>
      <c r="R80" s="505"/>
      <c r="S80" s="7"/>
      <c r="T80" s="504" t="s">
        <v>168</v>
      </c>
      <c r="U80" s="505"/>
      <c r="V80" s="7"/>
      <c r="W80" s="504" t="s">
        <v>170</v>
      </c>
      <c r="X80" s="505"/>
      <c r="Y80" s="7"/>
      <c r="Z80" s="504" t="s">
        <v>171</v>
      </c>
      <c r="AA80" s="505"/>
      <c r="AB80" s="7"/>
      <c r="AC80" s="504" t="s">
        <v>172</v>
      </c>
      <c r="AD80" s="505"/>
      <c r="AE80" s="19"/>
      <c r="AF80" s="504" t="s">
        <v>173</v>
      </c>
      <c r="AG80" s="505"/>
      <c r="AH80" s="7"/>
      <c r="AI80" s="504" t="s">
        <v>174</v>
      </c>
      <c r="AJ80" s="505"/>
      <c r="AK80" s="7"/>
      <c r="AL80" s="504" t="s">
        <v>175</v>
      </c>
      <c r="AM80" s="505"/>
      <c r="AN80" s="7"/>
      <c r="AO80" s="504" t="s">
        <v>176</v>
      </c>
      <c r="AP80" s="505"/>
      <c r="AQ80" s="21"/>
      <c r="AR80" s="21"/>
      <c r="AT80" s="8"/>
    </row>
    <row r="81" spans="1:54" x14ac:dyDescent="0.25">
      <c r="A81" s="5"/>
      <c r="B81" s="24" t="s">
        <v>367</v>
      </c>
      <c r="C81" s="23"/>
      <c r="D81" s="24"/>
      <c r="E81" s="23"/>
      <c r="F81" s="25" t="s">
        <v>367</v>
      </c>
      <c r="G81" s="24"/>
      <c r="H81" s="23"/>
      <c r="I81" s="24" t="s">
        <v>367</v>
      </c>
      <c r="J81" s="24"/>
      <c r="K81" s="23"/>
      <c r="L81" s="24" t="s">
        <v>367</v>
      </c>
      <c r="M81" s="24"/>
      <c r="N81" s="23"/>
      <c r="O81" s="24" t="s">
        <v>367</v>
      </c>
      <c r="P81" s="24"/>
      <c r="Q81" s="23"/>
      <c r="R81" s="24" t="s">
        <v>367</v>
      </c>
      <c r="S81" s="24"/>
      <c r="T81" s="23"/>
      <c r="U81" s="24" t="s">
        <v>367</v>
      </c>
      <c r="V81" s="24"/>
      <c r="W81" s="23"/>
      <c r="X81" s="24" t="s">
        <v>367</v>
      </c>
      <c r="Y81" s="24"/>
      <c r="Z81" s="24" t="s">
        <v>367</v>
      </c>
      <c r="AA81" s="23"/>
      <c r="AB81" s="24"/>
      <c r="AC81" s="23"/>
      <c r="AD81" s="24" t="s">
        <v>367</v>
      </c>
      <c r="AE81" s="24"/>
      <c r="AF81" s="23"/>
      <c r="AG81" s="24" t="s">
        <v>367</v>
      </c>
      <c r="AH81" s="24"/>
      <c r="AI81" s="23"/>
      <c r="AJ81" s="24" t="s">
        <v>367</v>
      </c>
      <c r="AK81" s="24"/>
      <c r="AL81" s="23"/>
      <c r="AM81" s="24" t="s">
        <v>367</v>
      </c>
      <c r="AN81" s="24"/>
      <c r="AO81" s="23"/>
      <c r="AP81" s="24" t="s">
        <v>367</v>
      </c>
      <c r="AQ81" s="24"/>
      <c r="AR81" s="24"/>
      <c r="AT81" s="8"/>
    </row>
    <row r="82" spans="1:54" x14ac:dyDescent="0.25">
      <c r="A82" s="519" t="s">
        <v>415</v>
      </c>
      <c r="B82" s="519"/>
      <c r="C82" s="519"/>
      <c r="D82" s="519"/>
      <c r="W82" s="498"/>
      <c r="X82" s="498"/>
      <c r="Y82" s="498"/>
      <c r="Z82" s="498"/>
      <c r="AA82" s="498"/>
      <c r="AL82" s="519" t="s">
        <v>416</v>
      </c>
      <c r="AM82" s="519"/>
      <c r="AN82" s="519"/>
      <c r="AO82" s="519"/>
      <c r="AP82" s="519"/>
      <c r="AQ82" s="13"/>
      <c r="AR82" s="13"/>
      <c r="AT82" s="8"/>
    </row>
    <row r="83" spans="1:54" x14ac:dyDescent="0.25">
      <c r="A83" s="5"/>
      <c r="M83"/>
      <c r="Y83" t="s">
        <v>410</v>
      </c>
      <c r="AT83" s="8"/>
    </row>
    <row r="84" spans="1:54" x14ac:dyDescent="0.25">
      <c r="A84" s="5"/>
      <c r="B84" s="498"/>
      <c r="C84" s="498"/>
      <c r="E84" s="491"/>
      <c r="F84" s="491"/>
      <c r="H84" s="491"/>
      <c r="I84" s="491"/>
      <c r="K84" s="491"/>
      <c r="L84" s="491"/>
      <c r="N84" s="491"/>
      <c r="O84" s="491"/>
      <c r="Q84" s="531"/>
      <c r="R84" s="491"/>
      <c r="T84" s="491"/>
      <c r="U84" s="491"/>
      <c r="W84" s="491"/>
      <c r="X84" s="491"/>
      <c r="Z84" s="491"/>
      <c r="AA84" s="491"/>
      <c r="AC84" s="491"/>
      <c r="AD84" s="491"/>
      <c r="AF84" s="491"/>
      <c r="AG84" s="491"/>
      <c r="AI84" s="491"/>
      <c r="AJ84" s="491"/>
      <c r="AL84" s="491"/>
      <c r="AM84" s="491"/>
      <c r="AO84" s="491"/>
      <c r="AP84" s="491"/>
      <c r="AQ84" s="13"/>
      <c r="AR84" s="13"/>
      <c r="AT84" s="8"/>
    </row>
    <row r="85" spans="1:54" x14ac:dyDescent="0.25">
      <c r="A85" s="5"/>
      <c r="B85" s="31"/>
      <c r="C85" s="31"/>
      <c r="D85" s="18"/>
      <c r="E85" s="31"/>
      <c r="F85" s="31"/>
      <c r="G85" s="18"/>
      <c r="H85" s="31"/>
      <c r="I85" s="31"/>
      <c r="J85" s="18"/>
      <c r="K85" s="14"/>
      <c r="L85" s="31"/>
      <c r="M85" s="18"/>
      <c r="N85" s="14"/>
      <c r="O85" s="31"/>
      <c r="P85" s="18"/>
      <c r="Q85" s="14"/>
      <c r="R85" s="31"/>
      <c r="S85" s="18"/>
      <c r="T85" s="14"/>
      <c r="U85" s="31"/>
      <c r="V85" s="27"/>
      <c r="W85" s="14"/>
      <c r="X85" s="31"/>
      <c r="Y85" s="18"/>
      <c r="Z85" s="14"/>
      <c r="AA85" s="31"/>
      <c r="AB85" s="18"/>
      <c r="AC85" s="14"/>
      <c r="AD85" s="15"/>
      <c r="AE85" s="18"/>
      <c r="AF85" s="14"/>
      <c r="AG85" s="15"/>
      <c r="AH85" s="18"/>
      <c r="AI85" s="14"/>
      <c r="AJ85" s="15"/>
      <c r="AK85" s="18"/>
      <c r="AL85" s="294"/>
      <c r="AM85" s="294"/>
      <c r="AN85" s="18"/>
      <c r="AO85" s="65"/>
      <c r="AP85" s="10"/>
      <c r="AQ85" s="273"/>
      <c r="AR85" s="273"/>
      <c r="AS85" s="18"/>
      <c r="AT85" s="285"/>
    </row>
    <row r="86" spans="1:54" x14ac:dyDescent="0.25">
      <c r="A86" s="5"/>
      <c r="B86" s="14"/>
      <c r="C86" s="31"/>
      <c r="D86" s="19"/>
      <c r="E86" s="14"/>
      <c r="F86" s="31"/>
      <c r="G86" s="19"/>
      <c r="H86" s="14"/>
      <c r="I86" s="31"/>
      <c r="J86" s="19"/>
      <c r="K86" s="14"/>
      <c r="L86" s="14"/>
      <c r="M86" s="19"/>
      <c r="N86" s="14"/>
      <c r="O86" s="14"/>
      <c r="P86" s="19"/>
      <c r="Q86" s="14"/>
      <c r="R86" s="14"/>
      <c r="S86" s="19"/>
      <c r="T86" s="14"/>
      <c r="U86" s="14"/>
      <c r="V86" s="19"/>
      <c r="W86" s="14"/>
      <c r="X86" s="14"/>
      <c r="Y86" s="19"/>
      <c r="Z86" s="14"/>
      <c r="AA86" s="14"/>
      <c r="AB86" s="19"/>
      <c r="AC86" s="14"/>
      <c r="AD86" s="15"/>
      <c r="AE86" s="19"/>
      <c r="AF86" s="14"/>
      <c r="AG86" s="14"/>
      <c r="AH86" s="19"/>
      <c r="AI86" s="14"/>
      <c r="AJ86" s="14"/>
      <c r="AK86" s="19"/>
      <c r="AL86" s="294"/>
      <c r="AM86" s="294"/>
      <c r="AN86" s="19"/>
      <c r="AO86" s="65"/>
      <c r="AP86" s="65"/>
      <c r="AQ86" s="12"/>
      <c r="AR86" s="12"/>
      <c r="AS86" s="19"/>
      <c r="AT86" s="284"/>
      <c r="AV86" s="2">
        <v>11</v>
      </c>
      <c r="AW86" s="2">
        <v>10</v>
      </c>
      <c r="AX86" s="2">
        <v>0</v>
      </c>
      <c r="AY86" s="2">
        <v>0</v>
      </c>
      <c r="AZ86" s="2"/>
      <c r="BB86" s="20">
        <f>+D85+G85+J85+M85+P85+S85+V85+Y85+AB85+AE85+AH85+AK85+AN85+AS85</f>
        <v>0</v>
      </c>
    </row>
    <row r="87" spans="1:54" x14ac:dyDescent="0.25">
      <c r="A87" s="5"/>
      <c r="B87" s="504" t="s">
        <v>161</v>
      </c>
      <c r="C87" s="505"/>
      <c r="D87" s="19">
        <v>446</v>
      </c>
      <c r="E87" s="510" t="s">
        <v>40</v>
      </c>
      <c r="F87" s="493"/>
      <c r="G87" s="19">
        <v>394</v>
      </c>
      <c r="H87" s="510" t="s">
        <v>40</v>
      </c>
      <c r="I87" s="493"/>
      <c r="J87" s="19">
        <v>391</v>
      </c>
      <c r="K87" s="510" t="s">
        <v>36</v>
      </c>
      <c r="L87" s="493"/>
      <c r="M87" s="19">
        <v>409</v>
      </c>
      <c r="N87" s="510" t="s">
        <v>40</v>
      </c>
      <c r="O87" s="493"/>
      <c r="P87" s="19">
        <v>379</v>
      </c>
      <c r="Q87" s="510" t="s">
        <v>36</v>
      </c>
      <c r="R87" s="493"/>
      <c r="S87" s="19">
        <v>364</v>
      </c>
      <c r="T87" s="510" t="s">
        <v>19</v>
      </c>
      <c r="U87" s="493"/>
      <c r="V87" s="19">
        <v>447</v>
      </c>
      <c r="W87" s="510" t="s">
        <v>123</v>
      </c>
      <c r="X87" s="493"/>
      <c r="Y87" s="19">
        <v>257</v>
      </c>
      <c r="Z87" s="493" t="s">
        <v>187</v>
      </c>
      <c r="AA87" s="493"/>
      <c r="AB87" s="19">
        <v>232</v>
      </c>
      <c r="AC87" s="510" t="s">
        <v>38</v>
      </c>
      <c r="AD87" s="493"/>
      <c r="AE87" s="19">
        <v>365</v>
      </c>
      <c r="AF87" s="510" t="s">
        <v>28</v>
      </c>
      <c r="AG87" s="493"/>
      <c r="AH87" s="19">
        <v>379</v>
      </c>
      <c r="AI87" s="510" t="s">
        <v>21</v>
      </c>
      <c r="AJ87" s="493"/>
      <c r="AK87" s="19">
        <v>440</v>
      </c>
      <c r="AL87" s="510" t="s">
        <v>118</v>
      </c>
      <c r="AM87" s="493"/>
      <c r="AN87" s="19">
        <v>221</v>
      </c>
      <c r="AO87" s="510" t="s">
        <v>45</v>
      </c>
      <c r="AP87" s="493"/>
      <c r="AQ87" s="21">
        <v>395</v>
      </c>
      <c r="AR87" s="21"/>
      <c r="AS87" s="19"/>
      <c r="AT87" s="284"/>
    </row>
    <row r="88" spans="1:54" x14ac:dyDescent="0.25">
      <c r="A88" s="5"/>
      <c r="B88" s="504" t="s">
        <v>178</v>
      </c>
      <c r="C88" s="505"/>
      <c r="D88" s="7"/>
      <c r="E88" s="504" t="s">
        <v>179</v>
      </c>
      <c r="F88" s="505"/>
      <c r="G88" s="7"/>
      <c r="H88" s="504" t="s">
        <v>180</v>
      </c>
      <c r="I88" s="505"/>
      <c r="J88" s="7"/>
      <c r="K88" s="504" t="s">
        <v>181</v>
      </c>
      <c r="L88" s="505"/>
      <c r="M88" s="19"/>
      <c r="N88" s="504" t="s">
        <v>182</v>
      </c>
      <c r="O88" s="505"/>
      <c r="P88" s="7"/>
      <c r="Q88" s="504" t="s">
        <v>183</v>
      </c>
      <c r="R88" s="505"/>
      <c r="S88" s="7"/>
      <c r="T88" s="504" t="s">
        <v>184</v>
      </c>
      <c r="U88" s="505"/>
      <c r="V88" s="7"/>
      <c r="W88" s="504" t="s">
        <v>185</v>
      </c>
      <c r="X88" s="505"/>
      <c r="Y88" s="7"/>
      <c r="Z88" s="504" t="s">
        <v>186</v>
      </c>
      <c r="AA88" s="505"/>
      <c r="AB88" s="7"/>
      <c r="AC88" s="504" t="s">
        <v>188</v>
      </c>
      <c r="AD88" s="505"/>
      <c r="AE88" s="7"/>
      <c r="AF88" s="504" t="s">
        <v>189</v>
      </c>
      <c r="AG88" s="505"/>
      <c r="AH88" s="7"/>
      <c r="AI88" s="504" t="s">
        <v>190</v>
      </c>
      <c r="AJ88" s="505"/>
      <c r="AK88" s="7"/>
      <c r="AL88" s="504" t="s">
        <v>191</v>
      </c>
      <c r="AM88" s="505"/>
      <c r="AN88" s="7"/>
      <c r="AO88" s="504" t="s">
        <v>192</v>
      </c>
      <c r="AP88" s="505"/>
      <c r="AQ88" s="21"/>
      <c r="AR88" s="21"/>
      <c r="AT88" s="8"/>
    </row>
    <row r="89" spans="1:54" x14ac:dyDescent="0.25">
      <c r="A89" s="5"/>
      <c r="B89" s="24" t="s">
        <v>367</v>
      </c>
      <c r="C89" s="23"/>
      <c r="D89" s="24"/>
      <c r="E89" s="24" t="s">
        <v>367</v>
      </c>
      <c r="F89" s="25"/>
      <c r="G89" s="24"/>
      <c r="H89" s="23"/>
      <c r="I89" s="24" t="s">
        <v>367</v>
      </c>
      <c r="J89" s="24"/>
      <c r="K89" s="23"/>
      <c r="L89" s="24" t="s">
        <v>367</v>
      </c>
      <c r="M89" s="24"/>
      <c r="N89" s="23"/>
      <c r="O89" s="24" t="s">
        <v>367</v>
      </c>
      <c r="P89" s="24"/>
      <c r="Q89" s="23"/>
      <c r="R89" s="24" t="s">
        <v>367</v>
      </c>
      <c r="S89" s="24"/>
      <c r="T89" s="23"/>
      <c r="U89" s="24" t="s">
        <v>367</v>
      </c>
      <c r="V89" s="24"/>
      <c r="W89" s="23"/>
      <c r="X89" s="24" t="s">
        <v>367</v>
      </c>
      <c r="Y89" s="24"/>
      <c r="Z89" s="23"/>
      <c r="AA89" s="24" t="s">
        <v>367</v>
      </c>
      <c r="AB89" s="24"/>
      <c r="AC89" s="23"/>
      <c r="AD89" s="24" t="s">
        <v>367</v>
      </c>
      <c r="AE89" s="24"/>
      <c r="AF89" s="23"/>
      <c r="AG89" s="24" t="s">
        <v>367</v>
      </c>
      <c r="AH89" s="24"/>
      <c r="AI89" s="23"/>
      <c r="AJ89" s="24" t="s">
        <v>367</v>
      </c>
      <c r="AK89" s="24"/>
      <c r="AL89" s="23"/>
      <c r="AM89" s="24" t="s">
        <v>367</v>
      </c>
      <c r="AN89" s="24"/>
      <c r="AO89" s="23"/>
      <c r="AP89" s="24" t="s">
        <v>367</v>
      </c>
      <c r="AQ89" s="24"/>
      <c r="AR89" s="24"/>
      <c r="AT89" s="8"/>
    </row>
    <row r="90" spans="1:54" x14ac:dyDescent="0.25">
      <c r="A90" s="5"/>
      <c r="Z90" s="519"/>
      <c r="AA90" s="519"/>
      <c r="AB90" s="519"/>
      <c r="AC90" s="519"/>
      <c r="AD90" s="519"/>
      <c r="AT90" s="8"/>
    </row>
    <row r="91" spans="1:54" x14ac:dyDescent="0.25">
      <c r="A91" s="5"/>
      <c r="AB91" s="6" t="s">
        <v>411</v>
      </c>
      <c r="AT91" s="8"/>
    </row>
    <row r="92" spans="1:54" x14ac:dyDescent="0.25">
      <c r="A92" s="5"/>
      <c r="B92" s="491"/>
      <c r="C92" s="491"/>
      <c r="E92" s="491"/>
      <c r="F92" s="491"/>
      <c r="H92" s="491"/>
      <c r="I92" s="491"/>
      <c r="K92" s="491"/>
      <c r="L92" s="491"/>
      <c r="N92" s="491"/>
      <c r="O92" s="491"/>
      <c r="Q92" s="491"/>
      <c r="R92" s="491"/>
      <c r="T92" s="491"/>
      <c r="U92" s="491"/>
      <c r="W92" s="491"/>
      <c r="X92" s="491"/>
      <c r="Z92" s="491"/>
      <c r="AA92" s="491"/>
      <c r="AC92" s="491"/>
      <c r="AD92" s="491"/>
      <c r="AF92" s="491"/>
      <c r="AG92" s="491"/>
      <c r="AI92" s="491"/>
      <c r="AJ92" s="491"/>
      <c r="AL92" s="491"/>
      <c r="AM92" s="491"/>
      <c r="AN92" s="18"/>
      <c r="AO92" s="491"/>
      <c r="AP92" s="491"/>
      <c r="AQ92" s="13"/>
      <c r="AR92" s="13"/>
      <c r="AT92" s="8"/>
    </row>
    <row r="93" spans="1:54" x14ac:dyDescent="0.25">
      <c r="A93" s="5"/>
      <c r="B93" s="15"/>
      <c r="C93" s="15"/>
      <c r="D93" s="18"/>
      <c r="E93" s="14"/>
      <c r="F93" s="15"/>
      <c r="G93" s="18"/>
      <c r="H93" s="14"/>
      <c r="I93" s="15"/>
      <c r="J93" s="18"/>
      <c r="K93" s="14"/>
      <c r="L93" s="15"/>
      <c r="M93" s="18"/>
      <c r="N93" s="14"/>
      <c r="O93" s="15"/>
      <c r="P93" s="18"/>
      <c r="Q93" s="14"/>
      <c r="R93" s="15"/>
      <c r="S93" s="18"/>
      <c r="T93" s="14"/>
      <c r="U93" s="15"/>
      <c r="V93" s="18"/>
      <c r="W93" s="14"/>
      <c r="X93" s="15"/>
      <c r="Y93" s="18"/>
      <c r="Z93" s="66"/>
      <c r="AA93" s="67"/>
      <c r="AB93" s="18"/>
      <c r="AC93" s="440"/>
      <c r="AD93" s="440"/>
      <c r="AE93" s="18"/>
      <c r="AF93" s="14"/>
      <c r="AG93" s="15"/>
      <c r="AH93" s="18"/>
      <c r="AI93" s="14"/>
      <c r="AJ93" s="15"/>
      <c r="AK93" s="18"/>
      <c r="AL93" s="14"/>
      <c r="AM93" s="15"/>
      <c r="AO93" s="14"/>
      <c r="AP93" s="15"/>
      <c r="AQ93" s="273"/>
      <c r="AR93" s="273"/>
      <c r="AS93" s="18"/>
      <c r="AT93" s="285"/>
    </row>
    <row r="94" spans="1:54" x14ac:dyDescent="0.25">
      <c r="A94" s="5"/>
      <c r="B94" s="37"/>
      <c r="C94" s="37"/>
      <c r="D94" s="19"/>
      <c r="E94" s="37"/>
      <c r="F94" s="37"/>
      <c r="G94" s="7"/>
      <c r="H94" s="37"/>
      <c r="I94" s="37"/>
      <c r="J94" s="19"/>
      <c r="K94" s="37"/>
      <c r="L94" s="37"/>
      <c r="M94" s="19"/>
      <c r="N94" s="37"/>
      <c r="O94" s="37"/>
      <c r="P94" s="19"/>
      <c r="Q94" s="37"/>
      <c r="R94" s="37"/>
      <c r="S94" s="7"/>
      <c r="T94" s="37"/>
      <c r="U94" s="37"/>
      <c r="V94" s="19"/>
      <c r="W94" s="37"/>
      <c r="X94" s="37"/>
      <c r="Y94" s="19"/>
      <c r="Z94" s="68"/>
      <c r="AA94" s="68"/>
      <c r="AB94" s="19"/>
      <c r="AC94" s="440"/>
      <c r="AD94" s="440"/>
      <c r="AE94" s="19"/>
      <c r="AF94" s="37"/>
      <c r="AG94" s="15"/>
      <c r="AH94" s="19"/>
      <c r="AI94" s="37"/>
      <c r="AJ94" s="15"/>
      <c r="AK94" s="19"/>
      <c r="AL94" s="37"/>
      <c r="AM94" s="15"/>
      <c r="AN94" s="19"/>
      <c r="AO94" s="37"/>
      <c r="AP94" s="15"/>
      <c r="AQ94" s="273"/>
      <c r="AR94" s="273"/>
      <c r="AS94" s="19"/>
      <c r="AT94" s="284"/>
      <c r="AV94" s="2">
        <v>12</v>
      </c>
      <c r="AW94" s="2">
        <v>10</v>
      </c>
      <c r="AX94" s="2">
        <v>0</v>
      </c>
      <c r="AY94" s="2">
        <v>0</v>
      </c>
      <c r="AZ94" s="2"/>
      <c r="BB94" s="20">
        <f>+D93+G93+J93+M93+P93+S93+V93+Y93+AB93+AE93+AH93+AK93+AN92+AS93</f>
        <v>0</v>
      </c>
    </row>
    <row r="95" spans="1:54" x14ac:dyDescent="0.25">
      <c r="A95" s="5"/>
      <c r="B95" s="510" t="s">
        <v>36</v>
      </c>
      <c r="C95" s="493"/>
      <c r="D95" s="19">
        <v>356</v>
      </c>
      <c r="E95" s="510" t="s">
        <v>36</v>
      </c>
      <c r="F95" s="493"/>
      <c r="G95" s="7">
        <v>404</v>
      </c>
      <c r="H95" s="510" t="s">
        <v>36</v>
      </c>
      <c r="I95" s="493"/>
      <c r="J95" s="19">
        <v>380</v>
      </c>
      <c r="K95" s="510" t="s">
        <v>38</v>
      </c>
      <c r="L95" s="493"/>
      <c r="M95" s="19">
        <v>460</v>
      </c>
      <c r="N95" s="510" t="s">
        <v>21</v>
      </c>
      <c r="O95" s="493"/>
      <c r="P95" s="19">
        <v>380</v>
      </c>
      <c r="Q95" s="510" t="s">
        <v>19</v>
      </c>
      <c r="R95" s="493"/>
      <c r="S95" s="7">
        <v>413</v>
      </c>
      <c r="T95" s="510" t="s">
        <v>38</v>
      </c>
      <c r="U95" s="493"/>
      <c r="V95" s="19">
        <v>413</v>
      </c>
      <c r="W95" s="510" t="s">
        <v>36</v>
      </c>
      <c r="X95" s="493"/>
      <c r="Y95" s="19">
        <v>427</v>
      </c>
      <c r="Z95" s="493" t="s">
        <v>202</v>
      </c>
      <c r="AA95" s="493"/>
      <c r="AB95" s="19">
        <v>220</v>
      </c>
      <c r="AC95" s="510" t="s">
        <v>123</v>
      </c>
      <c r="AD95" s="493"/>
      <c r="AE95" s="19">
        <v>430</v>
      </c>
      <c r="AF95" s="510" t="s">
        <v>28</v>
      </c>
      <c r="AG95" s="493"/>
      <c r="AH95" s="19">
        <v>344</v>
      </c>
      <c r="AI95" s="510" t="s">
        <v>36</v>
      </c>
      <c r="AJ95" s="493"/>
      <c r="AK95" s="19">
        <v>373</v>
      </c>
      <c r="AL95" s="510" t="s">
        <v>28</v>
      </c>
      <c r="AM95" s="493"/>
      <c r="AN95" s="19">
        <v>389</v>
      </c>
      <c r="AO95" s="510" t="s">
        <v>38</v>
      </c>
      <c r="AP95" s="493"/>
      <c r="AQ95" s="21">
        <v>444</v>
      </c>
      <c r="AR95" s="21"/>
      <c r="AS95" s="19"/>
      <c r="AT95" s="284"/>
    </row>
    <row r="96" spans="1:54" x14ac:dyDescent="0.25">
      <c r="A96" s="5"/>
      <c r="B96" s="504" t="s">
        <v>193</v>
      </c>
      <c r="C96" s="505"/>
      <c r="D96" s="7"/>
      <c r="E96" s="504" t="s">
        <v>194</v>
      </c>
      <c r="F96" s="505"/>
      <c r="G96" s="7"/>
      <c r="H96" s="504" t="s">
        <v>195</v>
      </c>
      <c r="I96" s="505"/>
      <c r="J96" s="7"/>
      <c r="K96" s="504" t="s">
        <v>196</v>
      </c>
      <c r="L96" s="505"/>
      <c r="M96" s="7"/>
      <c r="N96" s="504" t="s">
        <v>197</v>
      </c>
      <c r="O96" s="505"/>
      <c r="P96" s="7"/>
      <c r="Q96" s="504" t="s">
        <v>198</v>
      </c>
      <c r="R96" s="505"/>
      <c r="S96" s="7"/>
      <c r="T96" s="504" t="s">
        <v>199</v>
      </c>
      <c r="U96" s="505"/>
      <c r="V96" s="7"/>
      <c r="W96" s="504" t="s">
        <v>200</v>
      </c>
      <c r="X96" s="505"/>
      <c r="Y96" s="7"/>
      <c r="Z96" s="504" t="s">
        <v>201</v>
      </c>
      <c r="AA96" s="505"/>
      <c r="AB96" s="7"/>
      <c r="AC96" s="504" t="s">
        <v>203</v>
      </c>
      <c r="AD96" s="505"/>
      <c r="AE96" s="7"/>
      <c r="AF96" s="504" t="s">
        <v>204</v>
      </c>
      <c r="AG96" s="505"/>
      <c r="AH96" s="7"/>
      <c r="AI96" s="504" t="s">
        <v>205</v>
      </c>
      <c r="AJ96" s="505"/>
      <c r="AK96" s="7"/>
      <c r="AL96" s="504" t="s">
        <v>206</v>
      </c>
      <c r="AM96" s="505"/>
      <c r="AN96" s="7"/>
      <c r="AO96" s="504" t="s">
        <v>207</v>
      </c>
      <c r="AP96" s="505"/>
      <c r="AQ96" s="21"/>
      <c r="AR96" s="21"/>
      <c r="AS96" s="7"/>
      <c r="AT96" s="286"/>
    </row>
    <row r="97" spans="1:61" x14ac:dyDescent="0.25">
      <c r="A97" s="5"/>
      <c r="B97" s="24" t="s">
        <v>367</v>
      </c>
      <c r="C97" s="23"/>
      <c r="D97" s="24"/>
      <c r="E97" s="23"/>
      <c r="F97" s="24" t="s">
        <v>367</v>
      </c>
      <c r="G97" s="24"/>
      <c r="H97" s="23"/>
      <c r="I97" s="24" t="s">
        <v>367</v>
      </c>
      <c r="J97" s="24"/>
      <c r="K97" s="23"/>
      <c r="L97" s="24" t="s">
        <v>367</v>
      </c>
      <c r="M97" s="24"/>
      <c r="N97" s="23"/>
      <c r="O97" s="24" t="s">
        <v>367</v>
      </c>
      <c r="P97" s="24"/>
      <c r="Q97" s="23"/>
      <c r="R97" s="24" t="s">
        <v>367</v>
      </c>
      <c r="S97" s="24"/>
      <c r="T97" s="23"/>
      <c r="U97" s="24" t="s">
        <v>367</v>
      </c>
      <c r="V97" s="24"/>
      <c r="W97" s="23"/>
      <c r="X97" s="24" t="s">
        <v>367</v>
      </c>
      <c r="Y97" s="24"/>
      <c r="Z97" s="23"/>
      <c r="AA97" s="24" t="s">
        <v>367</v>
      </c>
      <c r="AB97" s="24"/>
      <c r="AC97" s="23"/>
      <c r="AD97" s="24" t="s">
        <v>367</v>
      </c>
      <c r="AE97" s="24"/>
      <c r="AF97" s="23"/>
      <c r="AG97" s="24" t="s">
        <v>367</v>
      </c>
      <c r="AH97" s="24"/>
      <c r="AI97" s="23"/>
      <c r="AJ97" s="24" t="s">
        <v>367</v>
      </c>
      <c r="AK97" s="24"/>
      <c r="AL97" s="23"/>
      <c r="AM97" s="24" t="s">
        <v>367</v>
      </c>
      <c r="AN97" s="24"/>
      <c r="AO97" s="23"/>
      <c r="AP97" s="24" t="s">
        <v>367</v>
      </c>
      <c r="AQ97" s="24"/>
      <c r="AR97" s="24"/>
      <c r="AS97" s="7"/>
      <c r="AT97" s="286"/>
    </row>
    <row r="98" spans="1:61" x14ac:dyDescent="0.25">
      <c r="A98" s="5"/>
      <c r="B98" s="34"/>
      <c r="C98" s="34"/>
      <c r="D98" s="7"/>
      <c r="E98" s="34"/>
      <c r="F98" s="34"/>
      <c r="G98" s="7"/>
      <c r="H98" s="34"/>
      <c r="I98" s="34"/>
      <c r="J98" s="7"/>
      <c r="K98" s="34"/>
      <c r="L98" s="34"/>
      <c r="M98" s="7"/>
      <c r="N98" s="34"/>
      <c r="O98" s="34"/>
      <c r="P98" s="7"/>
      <c r="Q98" s="34"/>
      <c r="R98" s="34"/>
      <c r="S98" s="7"/>
      <c r="T98" s="34"/>
      <c r="U98" s="34"/>
      <c r="V98" s="7"/>
      <c r="W98" s="34"/>
      <c r="X98" s="34"/>
      <c r="Y98" s="7"/>
      <c r="Z98" s="34"/>
      <c r="AA98" s="34"/>
      <c r="AB98" s="7"/>
      <c r="AC98" s="34"/>
      <c r="AD98" s="34"/>
      <c r="AE98" s="7"/>
      <c r="AF98" s="505"/>
      <c r="AG98" s="505"/>
      <c r="AH98" s="505"/>
      <c r="AI98" s="34"/>
      <c r="AJ98" s="34"/>
      <c r="AK98" s="7"/>
      <c r="AL98" s="34"/>
      <c r="AM98" s="34"/>
      <c r="AN98" s="7"/>
      <c r="AO98" s="34"/>
      <c r="AP98" s="34"/>
      <c r="AQ98" s="34"/>
      <c r="AR98" s="34"/>
      <c r="AS98" s="7"/>
      <c r="AT98" s="286"/>
    </row>
    <row r="99" spans="1:61" x14ac:dyDescent="0.25">
      <c r="A99" s="5"/>
      <c r="B99" s="34"/>
      <c r="C99" s="34"/>
      <c r="D99" s="7"/>
      <c r="E99" s="34"/>
      <c r="F99" s="34"/>
      <c r="G99" s="7"/>
      <c r="H99" s="34"/>
      <c r="I99" s="34"/>
      <c r="J99" s="7"/>
      <c r="K99" s="34"/>
      <c r="L99" s="34"/>
      <c r="M99" s="7"/>
      <c r="N99" s="34"/>
      <c r="O99" s="34"/>
      <c r="P99" s="7"/>
      <c r="Q99" s="34"/>
      <c r="R99" s="34"/>
      <c r="S99" s="7"/>
      <c r="T99" s="34"/>
      <c r="U99" s="34"/>
      <c r="V99" s="7"/>
      <c r="W99" s="34"/>
      <c r="X99" s="34"/>
      <c r="Y99" s="7"/>
      <c r="Z99" s="34"/>
      <c r="AA99" s="34"/>
      <c r="AB99" s="7"/>
      <c r="AC99" s="34"/>
      <c r="AD99" s="34"/>
      <c r="AE99" s="7"/>
      <c r="AF99" s="34"/>
      <c r="AG99" s="34"/>
      <c r="AH99" s="7"/>
      <c r="AI99" s="34"/>
      <c r="AJ99" s="34"/>
      <c r="AK99" s="7"/>
      <c r="AL99" s="34"/>
      <c r="AM99" s="34"/>
      <c r="AN99" s="7"/>
      <c r="AO99" s="34"/>
      <c r="AP99" s="34"/>
      <c r="AQ99" s="34"/>
      <c r="AR99" s="34"/>
      <c r="AS99" s="7"/>
      <c r="AT99" s="286"/>
    </row>
    <row r="100" spans="1:61" x14ac:dyDescent="0.25">
      <c r="A100" s="5"/>
      <c r="B100" s="532"/>
      <c r="C100" s="532"/>
      <c r="D100" s="7"/>
      <c r="E100" s="532"/>
      <c r="F100" s="532"/>
      <c r="G100" s="7"/>
      <c r="H100" s="532"/>
      <c r="I100" s="532"/>
      <c r="J100" s="7"/>
      <c r="K100" s="532"/>
      <c r="L100" s="532"/>
      <c r="M100" s="7"/>
      <c r="N100" s="532"/>
      <c r="O100" s="532"/>
      <c r="P100" s="7"/>
      <c r="Q100" s="532"/>
      <c r="R100" s="532"/>
      <c r="S100" s="7"/>
      <c r="T100" s="532"/>
      <c r="U100" s="532"/>
      <c r="V100" s="7"/>
      <c r="W100" s="532"/>
      <c r="X100" s="532"/>
      <c r="Y100" s="7"/>
      <c r="Z100" s="532"/>
      <c r="AA100" s="532"/>
      <c r="AB100" s="7"/>
      <c r="AC100" s="532"/>
      <c r="AD100" s="532"/>
      <c r="AE100" s="7"/>
      <c r="AF100" s="532"/>
      <c r="AG100" s="532"/>
      <c r="AH100" s="7"/>
      <c r="AI100" s="532"/>
      <c r="AJ100" s="532"/>
      <c r="AK100" s="7"/>
      <c r="AL100" s="532"/>
      <c r="AM100" s="532"/>
      <c r="AN100" s="7"/>
      <c r="AO100" s="532"/>
      <c r="AP100" s="532"/>
      <c r="AQ100" s="21"/>
      <c r="AR100" s="21"/>
      <c r="AS100" s="7"/>
      <c r="AT100" s="286"/>
    </row>
    <row r="101" spans="1:61" x14ac:dyDescent="0.25">
      <c r="A101" s="5"/>
      <c r="B101" s="533" t="s">
        <v>406</v>
      </c>
      <c r="C101" s="534"/>
      <c r="D101" s="19"/>
      <c r="E101" s="14"/>
      <c r="F101" s="15"/>
      <c r="G101" s="19"/>
      <c r="H101" s="14"/>
      <c r="I101" s="15"/>
      <c r="J101" s="19"/>
      <c r="K101" s="14"/>
      <c r="L101" s="15"/>
      <c r="M101" s="19"/>
      <c r="N101" s="14"/>
      <c r="O101" s="15"/>
      <c r="P101" s="19"/>
      <c r="Q101" s="14"/>
      <c r="R101" s="15"/>
      <c r="S101" s="19"/>
      <c r="T101" s="37"/>
      <c r="U101" s="39"/>
      <c r="V101" s="19"/>
      <c r="W101" s="37"/>
      <c r="X101" s="39"/>
      <c r="Y101" s="19"/>
      <c r="Z101" s="37"/>
      <c r="AA101" s="39"/>
      <c r="AB101" s="19"/>
      <c r="AC101" s="37"/>
      <c r="AD101" s="39"/>
      <c r="AE101" s="19"/>
      <c r="AF101" s="537" t="s">
        <v>1948</v>
      </c>
      <c r="AG101" s="538"/>
      <c r="AH101" s="19"/>
      <c r="AI101" s="37"/>
      <c r="AJ101" s="38"/>
      <c r="AK101" s="19"/>
      <c r="AL101" s="14"/>
      <c r="AM101" s="15"/>
      <c r="AN101" s="19"/>
      <c r="AO101" s="537" t="s">
        <v>405</v>
      </c>
      <c r="AP101" s="538"/>
      <c r="AQ101" s="278"/>
      <c r="AR101" s="278"/>
      <c r="AS101" s="19"/>
      <c r="AT101" s="284"/>
    </row>
    <row r="102" spans="1:61" x14ac:dyDescent="0.25">
      <c r="A102" s="5"/>
      <c r="B102" s="535"/>
      <c r="C102" s="536"/>
      <c r="D102" s="19"/>
      <c r="E102" s="37"/>
      <c r="F102" s="37"/>
      <c r="G102" s="19"/>
      <c r="H102" s="37"/>
      <c r="I102" s="37"/>
      <c r="J102" s="19"/>
      <c r="K102" s="37"/>
      <c r="L102" s="37"/>
      <c r="M102" s="7"/>
      <c r="N102" s="37"/>
      <c r="O102" s="37"/>
      <c r="P102" s="7"/>
      <c r="Q102" s="37"/>
      <c r="R102" s="37"/>
      <c r="S102" s="7"/>
      <c r="T102" s="37"/>
      <c r="U102" s="37"/>
      <c r="V102" s="7"/>
      <c r="W102" s="37"/>
      <c r="X102" s="37"/>
      <c r="Y102" s="7"/>
      <c r="Z102" s="37"/>
      <c r="AA102" s="37"/>
      <c r="AB102" s="19"/>
      <c r="AC102" s="37"/>
      <c r="AD102" s="37"/>
      <c r="AE102" s="7"/>
      <c r="AF102" s="539"/>
      <c r="AG102" s="540"/>
      <c r="AH102" s="19"/>
      <c r="AI102" s="37"/>
      <c r="AJ102" s="37"/>
      <c r="AK102" s="19"/>
      <c r="AL102" s="37"/>
      <c r="AM102" s="37"/>
      <c r="AN102" s="19"/>
      <c r="AO102" s="539"/>
      <c r="AP102" s="540"/>
      <c r="AQ102" s="278"/>
      <c r="AR102" s="278"/>
      <c r="AS102" s="19"/>
      <c r="AT102" s="284"/>
      <c r="AV102" s="2">
        <v>10</v>
      </c>
      <c r="AW102" s="2">
        <v>10</v>
      </c>
      <c r="AX102" s="2">
        <v>0</v>
      </c>
      <c r="AY102" s="2">
        <v>0</v>
      </c>
      <c r="AZ102" s="2"/>
      <c r="BB102" s="20">
        <f>+D101+G101+J101+M101+P101+S101+V101+Y101+AB101+AE101+AH101+AK101+AN101+AS101</f>
        <v>0</v>
      </c>
    </row>
    <row r="103" spans="1:61" x14ac:dyDescent="0.25">
      <c r="A103" s="5"/>
      <c r="B103" s="510" t="s">
        <v>21</v>
      </c>
      <c r="C103" s="493"/>
      <c r="D103" s="19">
        <v>308</v>
      </c>
      <c r="E103" s="510" t="s">
        <v>28</v>
      </c>
      <c r="F103" s="493"/>
      <c r="G103" s="19">
        <v>345</v>
      </c>
      <c r="H103" s="510" t="s">
        <v>36</v>
      </c>
      <c r="I103" s="493"/>
      <c r="J103" s="19">
        <v>425</v>
      </c>
      <c r="K103" s="510" t="s">
        <v>21</v>
      </c>
      <c r="L103" s="493"/>
      <c r="M103" s="19">
        <v>412</v>
      </c>
      <c r="N103" s="524" t="s">
        <v>23</v>
      </c>
      <c r="O103" s="524"/>
      <c r="P103" s="19">
        <v>399</v>
      </c>
      <c r="Q103" s="510" t="s">
        <v>38</v>
      </c>
      <c r="R103" s="493"/>
      <c r="S103" s="19">
        <v>420</v>
      </c>
      <c r="T103" s="510" t="s">
        <v>36</v>
      </c>
      <c r="U103" s="493"/>
      <c r="V103" s="19">
        <v>367</v>
      </c>
      <c r="W103" s="510" t="s">
        <v>36</v>
      </c>
      <c r="X103" s="493"/>
      <c r="Y103" s="7">
        <v>354</v>
      </c>
      <c r="Z103" s="510" t="s">
        <v>36</v>
      </c>
      <c r="AA103" s="493"/>
      <c r="AB103" s="7">
        <v>399</v>
      </c>
      <c r="AC103" s="510" t="s">
        <v>36</v>
      </c>
      <c r="AD103" s="493"/>
      <c r="AE103" s="19">
        <v>375</v>
      </c>
      <c r="AF103" s="510" t="s">
        <v>45</v>
      </c>
      <c r="AG103" s="493"/>
      <c r="AH103" s="7">
        <v>380</v>
      </c>
      <c r="AI103" s="510" t="s">
        <v>36</v>
      </c>
      <c r="AJ103" s="493"/>
      <c r="AK103" s="7">
        <v>405</v>
      </c>
      <c r="AL103" s="510" t="s">
        <v>38</v>
      </c>
      <c r="AM103" s="493"/>
      <c r="AN103" s="7">
        <v>420</v>
      </c>
      <c r="AO103" s="510" t="s">
        <v>38</v>
      </c>
      <c r="AP103" s="493"/>
      <c r="AQ103" s="21">
        <v>399</v>
      </c>
      <c r="AR103" s="21"/>
      <c r="AS103" s="7"/>
      <c r="AT103" s="286"/>
    </row>
    <row r="104" spans="1:61" x14ac:dyDescent="0.25">
      <c r="A104" s="5"/>
      <c r="B104" s="504" t="s">
        <v>208</v>
      </c>
      <c r="C104" s="505"/>
      <c r="D104" s="7"/>
      <c r="E104" s="504" t="s">
        <v>209</v>
      </c>
      <c r="F104" s="505"/>
      <c r="G104" s="7"/>
      <c r="H104" s="504" t="s">
        <v>210</v>
      </c>
      <c r="I104" s="505"/>
      <c r="J104" s="7"/>
      <c r="K104" s="504" t="s">
        <v>211</v>
      </c>
      <c r="L104" s="505"/>
      <c r="M104" s="7"/>
      <c r="N104" s="502" t="s">
        <v>212</v>
      </c>
      <c r="O104" s="503"/>
      <c r="P104" s="7"/>
      <c r="Q104" s="502" t="s">
        <v>213</v>
      </c>
      <c r="R104" s="503"/>
      <c r="S104" s="7"/>
      <c r="T104" s="502" t="s">
        <v>214</v>
      </c>
      <c r="U104" s="503"/>
      <c r="V104" s="7"/>
      <c r="W104" s="502" t="s">
        <v>215</v>
      </c>
      <c r="X104" s="503"/>
      <c r="Y104" s="7"/>
      <c r="Z104" s="502" t="s">
        <v>216</v>
      </c>
      <c r="AA104" s="503"/>
      <c r="AB104" s="7"/>
      <c r="AC104" s="502" t="s">
        <v>217</v>
      </c>
      <c r="AD104" s="503"/>
      <c r="AE104" s="7"/>
      <c r="AF104" s="502" t="s">
        <v>218</v>
      </c>
      <c r="AG104" s="503"/>
      <c r="AH104" s="7"/>
      <c r="AI104" s="502" t="s">
        <v>219</v>
      </c>
      <c r="AJ104" s="503"/>
      <c r="AK104" s="7"/>
      <c r="AL104" s="502" t="s">
        <v>220</v>
      </c>
      <c r="AM104" s="503"/>
      <c r="AN104" s="7"/>
      <c r="AO104" s="502" t="s">
        <v>221</v>
      </c>
      <c r="AP104" s="503"/>
      <c r="AQ104" s="22"/>
      <c r="AR104" s="22"/>
      <c r="AS104" s="7"/>
      <c r="AT104" s="286"/>
      <c r="BH104" t="s">
        <v>420</v>
      </c>
      <c r="BI104" t="s">
        <v>421</v>
      </c>
    </row>
    <row r="105" spans="1:61" x14ac:dyDescent="0.25">
      <c r="A105" s="5"/>
      <c r="B105" s="24" t="s">
        <v>367</v>
      </c>
      <c r="C105" s="23"/>
      <c r="D105" s="24"/>
      <c r="E105" s="24" t="s">
        <v>367</v>
      </c>
      <c r="F105" s="69"/>
      <c r="G105" s="70"/>
      <c r="H105" s="24" t="s">
        <v>367</v>
      </c>
      <c r="I105" s="69"/>
      <c r="J105" s="70"/>
      <c r="K105" s="24" t="s">
        <v>367</v>
      </c>
      <c r="L105" s="71"/>
      <c r="M105" s="70"/>
      <c r="N105" s="24" t="s">
        <v>367</v>
      </c>
      <c r="O105" s="71"/>
      <c r="P105" s="33"/>
      <c r="Q105" s="32"/>
      <c r="R105" s="32" t="s">
        <v>403</v>
      </c>
      <c r="S105" s="33"/>
      <c r="T105" s="32"/>
      <c r="U105" s="32" t="s">
        <v>403</v>
      </c>
      <c r="V105" s="33"/>
      <c r="W105" s="32"/>
      <c r="X105" s="32" t="s">
        <v>403</v>
      </c>
      <c r="Y105" s="33"/>
      <c r="Z105" s="32"/>
      <c r="AA105" s="32" t="s">
        <v>403</v>
      </c>
      <c r="AB105" s="33"/>
      <c r="AC105" s="32"/>
      <c r="AD105" s="32" t="s">
        <v>403</v>
      </c>
      <c r="AE105" s="33"/>
      <c r="AF105" s="32"/>
      <c r="AG105" s="32" t="s">
        <v>403</v>
      </c>
      <c r="AH105" s="33"/>
      <c r="AI105" s="32"/>
      <c r="AJ105" s="32" t="s">
        <v>403</v>
      </c>
      <c r="AK105" s="33"/>
      <c r="AL105" s="32"/>
      <c r="AM105" s="32" t="s">
        <v>403</v>
      </c>
      <c r="AN105" s="33"/>
      <c r="AO105" s="32"/>
      <c r="AP105" s="32" t="s">
        <v>403</v>
      </c>
      <c r="AQ105" s="32"/>
      <c r="AR105" s="32"/>
      <c r="AS105" s="7"/>
      <c r="AT105" s="286"/>
      <c r="BH105">
        <v>309</v>
      </c>
    </row>
    <row r="106" spans="1:61" x14ac:dyDescent="0.25">
      <c r="A106" s="5"/>
      <c r="B106" s="34"/>
      <c r="C106" s="34"/>
      <c r="D106" s="7"/>
      <c r="E106" s="34"/>
      <c r="F106" s="34"/>
      <c r="G106" s="7"/>
      <c r="H106" s="34"/>
      <c r="I106" s="34"/>
      <c r="J106" s="7"/>
      <c r="K106" s="34"/>
      <c r="L106" s="34"/>
      <c r="M106" s="7"/>
      <c r="N106" s="34"/>
      <c r="O106" s="34"/>
      <c r="P106" s="7"/>
      <c r="Q106" s="34"/>
      <c r="R106" s="34"/>
      <c r="S106" s="7"/>
      <c r="T106" s="34"/>
      <c r="U106" s="34"/>
      <c r="V106" s="7"/>
      <c r="W106" s="34"/>
      <c r="X106" s="34"/>
      <c r="Y106" s="7"/>
      <c r="Z106" s="34"/>
      <c r="AA106" s="34"/>
      <c r="AB106" s="7"/>
      <c r="AC106" s="34"/>
      <c r="AD106" s="34"/>
      <c r="AE106" s="7"/>
      <c r="AF106" s="34"/>
      <c r="AG106" s="34"/>
      <c r="AI106" s="34"/>
      <c r="AT106" s="8"/>
    </row>
    <row r="107" spans="1:61" x14ac:dyDescent="0.25">
      <c r="A107" s="5"/>
      <c r="B107" s="34"/>
      <c r="C107" s="34"/>
      <c r="D107" s="7"/>
      <c r="E107" s="34"/>
      <c r="F107" s="34"/>
      <c r="G107" s="7"/>
      <c r="H107" s="34"/>
      <c r="I107" s="34"/>
      <c r="J107" s="7"/>
      <c r="K107" s="34"/>
      <c r="L107" s="34"/>
      <c r="M107" s="7"/>
      <c r="N107" s="34"/>
      <c r="O107" s="34"/>
      <c r="P107" s="7"/>
      <c r="Q107" s="34"/>
      <c r="R107" s="34"/>
      <c r="S107" s="7"/>
      <c r="T107" s="34"/>
      <c r="U107" s="34"/>
      <c r="V107" s="7"/>
      <c r="W107" s="34"/>
      <c r="X107" s="34"/>
      <c r="Y107" s="7"/>
      <c r="Z107" s="34"/>
      <c r="AA107" s="34"/>
      <c r="AC107" s="34"/>
      <c r="AD107" s="34"/>
      <c r="AE107" s="7"/>
      <c r="AF107" s="34"/>
      <c r="AG107" s="34"/>
      <c r="AT107" s="8"/>
    </row>
    <row r="108" spans="1:61" x14ac:dyDescent="0.25">
      <c r="A108" s="5"/>
      <c r="B108" s="505"/>
      <c r="C108" s="505"/>
      <c r="D108" s="7"/>
      <c r="E108" s="532"/>
      <c r="F108" s="532"/>
      <c r="G108" s="7"/>
      <c r="H108" s="532"/>
      <c r="I108" s="532"/>
      <c r="J108" s="7"/>
      <c r="K108" s="532"/>
      <c r="L108" s="532"/>
      <c r="M108" s="7"/>
      <c r="N108" s="532"/>
      <c r="O108" s="532"/>
      <c r="P108" s="7"/>
      <c r="Q108" s="532"/>
      <c r="R108" s="532"/>
      <c r="S108" s="7"/>
      <c r="T108" s="532"/>
      <c r="U108" s="532"/>
      <c r="V108" s="7"/>
      <c r="W108" s="532"/>
      <c r="X108" s="532"/>
      <c r="Y108" s="7"/>
      <c r="Z108" s="505"/>
      <c r="AA108" s="505"/>
      <c r="AB108" s="7"/>
      <c r="AC108" s="505"/>
      <c r="AD108" s="505"/>
      <c r="AE108" s="489"/>
      <c r="AF108" s="489"/>
      <c r="AG108" s="489"/>
      <c r="AH108" s="489"/>
      <c r="AI108" s="498"/>
      <c r="AJ108" s="498"/>
      <c r="AL108" s="498"/>
      <c r="AM108" s="498"/>
      <c r="AO108" s="498"/>
      <c r="AP108" s="498"/>
      <c r="AQ108" s="13"/>
      <c r="AR108" s="13"/>
      <c r="AT108" s="8"/>
    </row>
    <row r="109" spans="1:61" x14ac:dyDescent="0.25">
      <c r="A109" s="5"/>
      <c r="B109" s="537" t="s">
        <v>405</v>
      </c>
      <c r="C109" s="538"/>
      <c r="D109" s="19"/>
      <c r="E109" s="537" t="s">
        <v>405</v>
      </c>
      <c r="F109" s="538"/>
      <c r="G109" s="19"/>
      <c r="H109" s="14"/>
      <c r="I109" s="15"/>
      <c r="J109" s="19"/>
      <c r="K109" s="14"/>
      <c r="L109" s="15"/>
      <c r="M109" s="19"/>
      <c r="N109" s="14"/>
      <c r="O109" s="15"/>
      <c r="P109" s="19"/>
      <c r="Q109" s="14"/>
      <c r="R109" s="15"/>
      <c r="S109" s="19"/>
      <c r="T109" s="14"/>
      <c r="U109" s="15"/>
      <c r="V109" s="19"/>
      <c r="W109" s="14"/>
      <c r="X109" s="15"/>
      <c r="Y109" s="19"/>
      <c r="Z109" s="14"/>
      <c r="AA109" s="15"/>
      <c r="AB109" s="34"/>
      <c r="AC109" s="537" t="s">
        <v>405</v>
      </c>
      <c r="AD109" s="538"/>
      <c r="AE109" s="19"/>
      <c r="AF109" s="14"/>
      <c r="AG109" s="15"/>
      <c r="AH109" s="18"/>
      <c r="AI109" s="14"/>
      <c r="AJ109" s="15"/>
      <c r="AK109" s="18"/>
      <c r="AL109" s="537" t="s">
        <v>405</v>
      </c>
      <c r="AM109" s="538"/>
      <c r="AN109" s="18"/>
      <c r="AO109" s="537" t="s">
        <v>405</v>
      </c>
      <c r="AP109" s="538"/>
      <c r="AQ109" s="278"/>
      <c r="AR109" s="278"/>
      <c r="AS109" s="18"/>
      <c r="AT109" s="285"/>
    </row>
    <row r="110" spans="1:61" x14ac:dyDescent="0.25">
      <c r="A110" s="5"/>
      <c r="B110" s="539"/>
      <c r="C110" s="540"/>
      <c r="D110" s="19"/>
      <c r="E110" s="539"/>
      <c r="F110" s="540"/>
      <c r="G110" s="19"/>
      <c r="H110" s="37"/>
      <c r="I110" s="37"/>
      <c r="J110" s="19"/>
      <c r="K110" s="37"/>
      <c r="L110" s="37"/>
      <c r="M110" s="19"/>
      <c r="N110" s="37"/>
      <c r="O110" s="37"/>
      <c r="P110" s="19"/>
      <c r="Q110" s="37"/>
      <c r="R110" s="37"/>
      <c r="S110" s="19"/>
      <c r="T110" s="37"/>
      <c r="U110" s="37"/>
      <c r="V110" s="19"/>
      <c r="W110" s="37"/>
      <c r="X110" s="37"/>
      <c r="Y110" s="7"/>
      <c r="Z110" s="37"/>
      <c r="AA110" s="37"/>
      <c r="AB110" s="40"/>
      <c r="AC110" s="539"/>
      <c r="AD110" s="540"/>
      <c r="AE110" s="7"/>
      <c r="AF110" s="37"/>
      <c r="AG110" s="37"/>
      <c r="AH110" s="18"/>
      <c r="AI110" s="37"/>
      <c r="AJ110" s="37"/>
      <c r="AL110" s="539"/>
      <c r="AM110" s="540"/>
      <c r="AO110" s="539"/>
      <c r="AP110" s="540"/>
      <c r="AQ110" s="278"/>
      <c r="AR110" s="278"/>
      <c r="AS110" s="18"/>
      <c r="AT110" s="285"/>
      <c r="AV110" s="2">
        <v>14</v>
      </c>
      <c r="AW110" s="2">
        <v>12</v>
      </c>
      <c r="AX110" s="2">
        <v>12</v>
      </c>
      <c r="AY110" s="2">
        <v>9</v>
      </c>
      <c r="AZ110" s="2"/>
      <c r="BB110" s="20">
        <f>+D109+G109+J109+M109+P109+S109+V109+Y109+AB109+AE109+AH109+AK109+AN109+AS109</f>
        <v>0</v>
      </c>
    </row>
    <row r="111" spans="1:61" x14ac:dyDescent="0.25">
      <c r="A111" s="5"/>
      <c r="B111" s="510" t="s">
        <v>36</v>
      </c>
      <c r="C111" s="493"/>
      <c r="D111" s="19">
        <v>380</v>
      </c>
      <c r="E111" s="510" t="s">
        <v>38</v>
      </c>
      <c r="F111" s="493"/>
      <c r="G111" s="19">
        <v>415</v>
      </c>
      <c r="H111" s="510" t="s">
        <v>23</v>
      </c>
      <c r="I111" s="493"/>
      <c r="J111" s="19">
        <v>400</v>
      </c>
      <c r="K111" s="510" t="s">
        <v>38</v>
      </c>
      <c r="L111" s="493"/>
      <c r="M111" s="19">
        <v>392</v>
      </c>
      <c r="N111" s="510" t="s">
        <v>36</v>
      </c>
      <c r="O111" s="493"/>
      <c r="P111" s="19">
        <v>387</v>
      </c>
      <c r="Q111" s="510" t="s">
        <v>36</v>
      </c>
      <c r="R111" s="493"/>
      <c r="S111" s="19">
        <v>346</v>
      </c>
      <c r="T111" s="497" t="s">
        <v>120</v>
      </c>
      <c r="U111" s="493"/>
      <c r="V111" s="19">
        <v>400</v>
      </c>
      <c r="W111" s="497" t="s">
        <v>21</v>
      </c>
      <c r="X111" s="493"/>
      <c r="Y111" s="7">
        <v>418</v>
      </c>
      <c r="Z111" s="504" t="s">
        <v>19</v>
      </c>
      <c r="AA111" s="505"/>
      <c r="AB111" s="40">
        <v>351</v>
      </c>
      <c r="AC111" s="504" t="s">
        <v>40</v>
      </c>
      <c r="AD111" s="504"/>
      <c r="AE111" s="7">
        <v>429</v>
      </c>
      <c r="AF111" s="504" t="s">
        <v>38</v>
      </c>
      <c r="AG111" s="505"/>
      <c r="AH111" s="19">
        <v>411</v>
      </c>
      <c r="AI111" s="510" t="s">
        <v>36</v>
      </c>
      <c r="AJ111" s="493"/>
      <c r="AK111" s="7">
        <v>381</v>
      </c>
      <c r="AL111" s="510" t="s">
        <v>21</v>
      </c>
      <c r="AM111" s="493"/>
      <c r="AN111" s="7">
        <v>459</v>
      </c>
      <c r="AO111" s="510" t="s">
        <v>21</v>
      </c>
      <c r="AP111" s="493"/>
      <c r="AQ111" s="21">
        <v>370</v>
      </c>
      <c r="AR111" s="21"/>
      <c r="AS111" s="19"/>
      <c r="AT111" s="284"/>
    </row>
    <row r="112" spans="1:61" x14ac:dyDescent="0.25">
      <c r="A112" s="5"/>
      <c r="B112" s="502" t="s">
        <v>222</v>
      </c>
      <c r="C112" s="503"/>
      <c r="D112" s="7"/>
      <c r="E112" s="502" t="s">
        <v>223</v>
      </c>
      <c r="F112" s="503"/>
      <c r="G112" s="7"/>
      <c r="H112" s="502" t="s">
        <v>224</v>
      </c>
      <c r="I112" s="503"/>
      <c r="J112" s="7"/>
      <c r="K112" s="502" t="s">
        <v>225</v>
      </c>
      <c r="L112" s="503"/>
      <c r="M112" s="7"/>
      <c r="N112" s="502" t="s">
        <v>226</v>
      </c>
      <c r="O112" s="503"/>
      <c r="P112" s="7"/>
      <c r="Q112" s="502" t="s">
        <v>227</v>
      </c>
      <c r="R112" s="503"/>
      <c r="S112" s="7"/>
      <c r="T112" s="502" t="s">
        <v>228</v>
      </c>
      <c r="U112" s="503"/>
      <c r="V112" s="7"/>
      <c r="W112" s="502" t="s">
        <v>229</v>
      </c>
      <c r="X112" s="503"/>
      <c r="Y112" s="7"/>
      <c r="Z112" s="502" t="s">
        <v>230</v>
      </c>
      <c r="AA112" s="503"/>
      <c r="AB112" s="7"/>
      <c r="AC112" s="502" t="s">
        <v>231</v>
      </c>
      <c r="AD112" s="503"/>
      <c r="AE112" s="7"/>
      <c r="AF112" s="502" t="s">
        <v>232</v>
      </c>
      <c r="AG112" s="503"/>
      <c r="AI112" s="502" t="s">
        <v>233</v>
      </c>
      <c r="AJ112" s="503"/>
      <c r="AL112" s="502" t="s">
        <v>234</v>
      </c>
      <c r="AM112" s="503"/>
      <c r="AO112" s="502" t="s">
        <v>235</v>
      </c>
      <c r="AP112" s="503"/>
      <c r="AQ112" s="22"/>
      <c r="AR112" s="22"/>
      <c r="AT112" s="8"/>
    </row>
    <row r="113" spans="1:54" x14ac:dyDescent="0.25">
      <c r="B113" s="32" t="s">
        <v>403</v>
      </c>
      <c r="C113" s="32"/>
      <c r="D113" s="33"/>
      <c r="E113" s="32" t="s">
        <v>403</v>
      </c>
      <c r="F113" s="32"/>
      <c r="G113" s="33"/>
      <c r="H113" s="32" t="s">
        <v>403</v>
      </c>
      <c r="I113" s="32"/>
      <c r="J113" s="33"/>
      <c r="K113" s="32" t="s">
        <v>403</v>
      </c>
      <c r="L113" s="32"/>
      <c r="M113" s="33"/>
      <c r="N113" s="32" t="s">
        <v>403</v>
      </c>
      <c r="O113" s="32"/>
      <c r="P113" s="33"/>
      <c r="Q113" s="32" t="s">
        <v>403</v>
      </c>
      <c r="R113" s="32"/>
      <c r="S113" s="33"/>
      <c r="T113" s="32" t="s">
        <v>403</v>
      </c>
      <c r="U113" s="32"/>
      <c r="V113" s="33"/>
      <c r="W113" s="32" t="s">
        <v>403</v>
      </c>
      <c r="X113" s="32"/>
      <c r="Y113" s="33"/>
      <c r="Z113" s="32" t="s">
        <v>403</v>
      </c>
      <c r="AA113" s="32"/>
      <c r="AB113" s="33"/>
      <c r="AC113" s="32" t="s">
        <v>403</v>
      </c>
      <c r="AD113" s="32"/>
      <c r="AE113" s="33"/>
      <c r="AF113" s="32"/>
      <c r="AG113" s="32" t="s">
        <v>403</v>
      </c>
      <c r="AH113" s="42"/>
      <c r="AI113" s="32"/>
      <c r="AJ113" s="32" t="s">
        <v>403</v>
      </c>
      <c r="AK113" s="42"/>
      <c r="AL113" s="32"/>
      <c r="AM113" s="32" t="s">
        <v>403</v>
      </c>
      <c r="AN113" s="42"/>
      <c r="AO113" s="32"/>
      <c r="AP113" s="32" t="s">
        <v>403</v>
      </c>
      <c r="AQ113" s="32"/>
      <c r="AR113" s="32"/>
      <c r="AT113" s="8"/>
    </row>
    <row r="114" spans="1:54" x14ac:dyDescent="0.25">
      <c r="B114" s="34"/>
      <c r="C114" s="34"/>
      <c r="D114" s="7"/>
      <c r="E114" s="541" t="s">
        <v>417</v>
      </c>
      <c r="F114" s="541"/>
      <c r="G114" s="541"/>
      <c r="H114" s="541"/>
      <c r="I114" s="541"/>
      <c r="J114" s="541"/>
      <c r="K114" s="541"/>
      <c r="L114" s="541"/>
      <c r="M114" s="541"/>
      <c r="N114" s="541"/>
      <c r="O114" s="541"/>
      <c r="P114" s="7"/>
      <c r="Q114" s="34"/>
      <c r="R114" s="34"/>
      <c r="S114" s="7"/>
      <c r="T114" s="34"/>
      <c r="U114" s="34"/>
      <c r="V114" s="7"/>
      <c r="W114" s="34"/>
      <c r="X114" s="34"/>
      <c r="Y114" s="7"/>
      <c r="Z114" s="34"/>
      <c r="AA114" s="34"/>
      <c r="AB114" s="7"/>
      <c r="AC114" s="34"/>
      <c r="AD114" s="34"/>
      <c r="AE114" s="7"/>
      <c r="AF114" s="505"/>
      <c r="AG114" s="505"/>
      <c r="AH114" s="505"/>
      <c r="AI114" s="505"/>
      <c r="AJ114" s="505"/>
      <c r="AK114" s="505"/>
      <c r="AL114" s="505"/>
      <c r="AM114" s="505"/>
      <c r="AT114" s="8"/>
    </row>
    <row r="115" spans="1:54" x14ac:dyDescent="0.25">
      <c r="A115" s="5"/>
      <c r="B115" s="34"/>
      <c r="C115" s="34"/>
      <c r="D115" s="7"/>
      <c r="E115" s="34"/>
      <c r="F115" s="34"/>
      <c r="G115" s="7"/>
      <c r="H115" s="34"/>
      <c r="I115" s="34"/>
      <c r="J115" s="7"/>
      <c r="K115" s="34"/>
      <c r="L115" s="34"/>
      <c r="M115" s="7"/>
      <c r="N115" s="34"/>
      <c r="O115" s="34"/>
      <c r="P115" s="7"/>
      <c r="Q115" s="34"/>
      <c r="R115" s="34"/>
      <c r="S115" s="7"/>
      <c r="T115" s="34"/>
      <c r="U115" s="34"/>
      <c r="V115" s="7"/>
      <c r="W115" s="34"/>
      <c r="X115" s="34"/>
      <c r="Y115" s="7"/>
      <c r="Z115" s="34"/>
      <c r="AA115" s="34"/>
      <c r="AC115" s="34"/>
      <c r="AD115" s="34"/>
      <c r="AE115" s="7"/>
      <c r="AF115" s="34"/>
      <c r="AG115" s="34"/>
      <c r="AT115" s="8"/>
    </row>
    <row r="116" spans="1:54" x14ac:dyDescent="0.25">
      <c r="A116" s="5"/>
      <c r="B116" s="505"/>
      <c r="C116" s="505"/>
      <c r="D116" s="7"/>
      <c r="E116" s="532"/>
      <c r="F116" s="532"/>
      <c r="G116" s="7"/>
      <c r="H116" s="532"/>
      <c r="I116" s="532"/>
      <c r="J116" s="7"/>
      <c r="K116" s="532"/>
      <c r="L116" s="532"/>
      <c r="M116" s="7"/>
      <c r="N116" s="532"/>
      <c r="O116" s="532"/>
      <c r="P116" s="7"/>
      <c r="Q116" s="532"/>
      <c r="R116" s="532"/>
      <c r="S116" s="7"/>
      <c r="T116" s="532"/>
      <c r="U116" s="532"/>
      <c r="V116" s="7"/>
      <c r="W116" s="532"/>
      <c r="X116" s="532"/>
      <c r="Y116" s="7"/>
      <c r="Z116" s="505"/>
      <c r="AA116" s="505"/>
      <c r="AB116" s="7"/>
      <c r="AC116" s="505"/>
      <c r="AD116" s="505"/>
      <c r="AE116" s="489"/>
      <c r="AF116" s="489"/>
      <c r="AG116" s="489"/>
      <c r="AH116" s="489"/>
      <c r="AI116" s="498"/>
      <c r="AJ116" s="498"/>
      <c r="AL116" s="498"/>
      <c r="AM116" s="498"/>
      <c r="AO116" s="498"/>
      <c r="AP116" s="498"/>
      <c r="AQ116" s="13"/>
      <c r="AR116" s="13"/>
      <c r="AT116" s="8"/>
    </row>
    <row r="117" spans="1:54" x14ac:dyDescent="0.25">
      <c r="A117" s="5"/>
      <c r="B117" s="14"/>
      <c r="C117" s="15"/>
      <c r="D117" s="19"/>
      <c r="E117" s="537" t="s">
        <v>405</v>
      </c>
      <c r="F117" s="538"/>
      <c r="G117" s="19"/>
      <c r="H117" s="66"/>
      <c r="I117" s="67"/>
      <c r="J117" s="19"/>
      <c r="K117" s="66"/>
      <c r="L117" s="67"/>
      <c r="M117" s="19"/>
      <c r="N117" s="66"/>
      <c r="O117" s="67"/>
      <c r="P117" s="19"/>
      <c r="Q117" s="14"/>
      <c r="R117" s="15"/>
      <c r="S117" s="19"/>
      <c r="T117" s="14"/>
      <c r="U117" s="15"/>
      <c r="V117" s="19"/>
      <c r="W117" s="14"/>
      <c r="X117" s="15"/>
      <c r="Y117" s="19"/>
      <c r="Z117" s="14"/>
      <c r="AA117" s="15"/>
      <c r="AB117" s="34"/>
      <c r="AC117" s="66"/>
      <c r="AD117" s="67"/>
      <c r="AE117" s="19"/>
      <c r="AF117" s="14"/>
      <c r="AG117" s="15"/>
      <c r="AH117" s="18"/>
      <c r="AI117" s="14"/>
      <c r="AJ117" s="15"/>
      <c r="AK117" s="18"/>
      <c r="AL117" s="14"/>
      <c r="AM117" s="15"/>
      <c r="AN117" s="18"/>
      <c r="AO117" s="533" t="s">
        <v>406</v>
      </c>
      <c r="AP117" s="534"/>
      <c r="AQ117" s="274"/>
      <c r="AR117" s="274"/>
      <c r="AS117" s="18"/>
      <c r="AT117" s="285"/>
    </row>
    <row r="118" spans="1:54" x14ac:dyDescent="0.25">
      <c r="A118" s="5"/>
      <c r="B118" s="37"/>
      <c r="C118" s="37"/>
      <c r="D118" s="19"/>
      <c r="E118" s="539"/>
      <c r="F118" s="540"/>
      <c r="G118" s="19"/>
      <c r="H118" s="68"/>
      <c r="I118" s="68"/>
      <c r="J118" s="19"/>
      <c r="K118" s="68"/>
      <c r="L118" s="68"/>
      <c r="M118" s="19"/>
      <c r="N118" s="68"/>
      <c r="O118" s="68"/>
      <c r="P118" s="19"/>
      <c r="Q118" s="37"/>
      <c r="R118" s="37"/>
      <c r="S118" s="19"/>
      <c r="T118" s="37"/>
      <c r="U118" s="37"/>
      <c r="V118" s="19"/>
      <c r="W118" s="37"/>
      <c r="X118" s="37"/>
      <c r="Y118" s="7"/>
      <c r="Z118" s="37"/>
      <c r="AA118" s="37"/>
      <c r="AB118" s="40"/>
      <c r="AC118" s="68"/>
      <c r="AD118" s="68"/>
      <c r="AE118" s="7"/>
      <c r="AF118" s="37"/>
      <c r="AG118" s="37"/>
      <c r="AH118" s="18"/>
      <c r="AI118" s="37"/>
      <c r="AJ118" s="37"/>
      <c r="AL118" s="37"/>
      <c r="AM118" s="37"/>
      <c r="AO118" s="535"/>
      <c r="AP118" s="536"/>
      <c r="AQ118" s="274"/>
      <c r="AR118" s="274"/>
      <c r="AS118" s="18"/>
      <c r="AT118" s="285"/>
      <c r="AV118" s="2">
        <v>14</v>
      </c>
      <c r="AW118" s="2">
        <v>12</v>
      </c>
      <c r="AX118" s="2">
        <v>12</v>
      </c>
      <c r="AY118" s="2">
        <v>9</v>
      </c>
      <c r="AZ118" s="2"/>
      <c r="BB118" s="20">
        <f>+D117+G117+J117+M117+P117+S117+V117+Y117+AB117+AE117+AH117+AK117+AN117+AS117</f>
        <v>0</v>
      </c>
    </row>
    <row r="119" spans="1:54" x14ac:dyDescent="0.25">
      <c r="A119" s="5"/>
      <c r="B119" s="510" t="s">
        <v>38</v>
      </c>
      <c r="C119" s="493"/>
      <c r="D119" s="19">
        <v>425</v>
      </c>
      <c r="E119" s="510" t="s">
        <v>187</v>
      </c>
      <c r="F119" s="493"/>
      <c r="G119" s="19">
        <v>256</v>
      </c>
      <c r="H119" s="510" t="s">
        <v>239</v>
      </c>
      <c r="I119" s="493"/>
      <c r="J119" s="19">
        <v>443</v>
      </c>
      <c r="K119" s="510" t="s">
        <v>241</v>
      </c>
      <c r="L119" s="493"/>
      <c r="M119" s="19">
        <v>451</v>
      </c>
      <c r="N119" s="510" t="s">
        <v>243</v>
      </c>
      <c r="O119" s="493"/>
      <c r="P119" s="19">
        <v>420</v>
      </c>
      <c r="Q119" s="510" t="s">
        <v>38</v>
      </c>
      <c r="R119" s="493"/>
      <c r="S119" s="19">
        <v>418</v>
      </c>
      <c r="T119" s="510" t="s">
        <v>36</v>
      </c>
      <c r="U119" s="493"/>
      <c r="V119" s="19">
        <v>349</v>
      </c>
      <c r="W119" s="497" t="s">
        <v>23</v>
      </c>
      <c r="X119" s="493"/>
      <c r="Y119" s="7">
        <v>407</v>
      </c>
      <c r="Z119" s="504" t="s">
        <v>397</v>
      </c>
      <c r="AA119" s="505"/>
      <c r="AB119" s="40">
        <v>323</v>
      </c>
      <c r="AC119" s="504" t="s">
        <v>36</v>
      </c>
      <c r="AD119" s="504"/>
      <c r="AE119" s="7">
        <v>419</v>
      </c>
      <c r="AF119" s="504" t="s">
        <v>36</v>
      </c>
      <c r="AG119" s="505"/>
      <c r="AH119" s="18">
        <v>374</v>
      </c>
      <c r="AI119" s="544" t="s">
        <v>40</v>
      </c>
      <c r="AJ119" s="498"/>
      <c r="AK119" s="6">
        <v>402.31</v>
      </c>
      <c r="AL119" s="498" t="s">
        <v>45</v>
      </c>
      <c r="AM119" s="498"/>
      <c r="AN119" s="6">
        <v>416</v>
      </c>
      <c r="AO119" s="498" t="s">
        <v>40</v>
      </c>
      <c r="AP119" s="498"/>
      <c r="AQ119" s="13">
        <v>419</v>
      </c>
      <c r="AR119" s="13"/>
      <c r="AS119" s="18"/>
      <c r="AT119" s="285"/>
    </row>
    <row r="120" spans="1:54" x14ac:dyDescent="0.25">
      <c r="A120" s="5"/>
      <c r="B120" s="502" t="s">
        <v>236</v>
      </c>
      <c r="C120" s="503"/>
      <c r="D120" s="7"/>
      <c r="E120" s="502" t="s">
        <v>237</v>
      </c>
      <c r="F120" s="503"/>
      <c r="G120" s="7"/>
      <c r="H120" s="502" t="s">
        <v>238</v>
      </c>
      <c r="I120" s="503"/>
      <c r="J120" s="7"/>
      <c r="K120" s="502" t="s">
        <v>240</v>
      </c>
      <c r="L120" s="503"/>
      <c r="M120" s="7"/>
      <c r="N120" s="502" t="s">
        <v>242</v>
      </c>
      <c r="O120" s="503"/>
      <c r="P120" s="7"/>
      <c r="Q120" s="502" t="s">
        <v>244</v>
      </c>
      <c r="R120" s="503"/>
      <c r="S120" s="7"/>
      <c r="T120" s="502" t="s">
        <v>245</v>
      </c>
      <c r="U120" s="503"/>
      <c r="V120" s="7"/>
      <c r="W120" s="502" t="s">
        <v>246</v>
      </c>
      <c r="X120" s="503"/>
      <c r="Y120" s="7"/>
      <c r="Z120" s="502" t="s">
        <v>247</v>
      </c>
      <c r="AA120" s="503"/>
      <c r="AB120" s="7"/>
      <c r="AC120" s="502" t="s">
        <v>248</v>
      </c>
      <c r="AD120" s="503"/>
      <c r="AE120" s="7"/>
      <c r="AF120" s="502" t="s">
        <v>249</v>
      </c>
      <c r="AG120" s="503"/>
      <c r="AI120" s="502" t="s">
        <v>250</v>
      </c>
      <c r="AJ120" s="503"/>
      <c r="AL120" s="502" t="s">
        <v>251</v>
      </c>
      <c r="AM120" s="503"/>
      <c r="AO120" s="502" t="s">
        <v>252</v>
      </c>
      <c r="AP120" s="503"/>
      <c r="AQ120" s="22"/>
      <c r="AR120" s="22"/>
      <c r="AT120" s="8"/>
    </row>
    <row r="121" spans="1:54" x14ac:dyDescent="0.25">
      <c r="B121" s="32" t="s">
        <v>403</v>
      </c>
      <c r="C121" s="32"/>
      <c r="D121" s="33"/>
      <c r="E121" s="32" t="s">
        <v>403</v>
      </c>
      <c r="F121" s="32"/>
      <c r="G121" s="33"/>
      <c r="H121" s="32" t="s">
        <v>403</v>
      </c>
      <c r="I121" s="32"/>
      <c r="J121" s="33"/>
      <c r="K121" s="32" t="s">
        <v>403</v>
      </c>
      <c r="L121" s="32"/>
      <c r="M121" s="33"/>
      <c r="N121" s="32" t="s">
        <v>403</v>
      </c>
      <c r="O121" s="32"/>
      <c r="P121" s="33"/>
      <c r="Q121" s="32" t="s">
        <v>403</v>
      </c>
      <c r="R121" s="32"/>
      <c r="S121" s="33"/>
      <c r="T121" s="32" t="s">
        <v>403</v>
      </c>
      <c r="U121" s="32"/>
      <c r="V121" s="33"/>
      <c r="W121" s="32" t="s">
        <v>403</v>
      </c>
      <c r="X121" s="32"/>
      <c r="Y121" s="33"/>
      <c r="Z121" s="32" t="s">
        <v>403</v>
      </c>
      <c r="AA121" s="32"/>
      <c r="AB121" s="33"/>
      <c r="AC121" s="32" t="s">
        <v>403</v>
      </c>
      <c r="AD121" s="32"/>
      <c r="AE121" s="33"/>
      <c r="AF121" s="32" t="s">
        <v>403</v>
      </c>
      <c r="AG121" s="32"/>
      <c r="AH121" s="42"/>
      <c r="AI121" s="32"/>
      <c r="AJ121" s="32" t="s">
        <v>403</v>
      </c>
      <c r="AK121" s="42"/>
      <c r="AL121" s="32"/>
      <c r="AM121" s="32" t="s">
        <v>403</v>
      </c>
      <c r="AN121" s="42"/>
      <c r="AO121" s="32"/>
      <c r="AP121" s="32" t="s">
        <v>403</v>
      </c>
      <c r="AQ121" s="32"/>
      <c r="AR121" s="32"/>
      <c r="AT121" s="8"/>
    </row>
    <row r="122" spans="1:54" x14ac:dyDescent="0.25">
      <c r="B122" s="21"/>
      <c r="C122" s="21"/>
      <c r="D122" s="19"/>
      <c r="E122" s="44"/>
      <c r="F122" s="21"/>
      <c r="G122" s="542"/>
      <c r="H122" s="542"/>
      <c r="I122" s="542"/>
      <c r="J122" s="542"/>
      <c r="K122" s="45"/>
      <c r="L122" s="46"/>
      <c r="M122" s="19"/>
      <c r="N122" s="543"/>
      <c r="O122" s="543"/>
      <c r="P122" s="543"/>
      <c r="Q122" s="543"/>
      <c r="R122" s="543"/>
      <c r="S122" s="543"/>
      <c r="T122" s="543"/>
      <c r="U122" s="543"/>
      <c r="V122" s="543"/>
      <c r="W122" s="44"/>
      <c r="X122" s="34"/>
      <c r="Y122" s="7"/>
      <c r="Z122" s="44"/>
      <c r="AA122" s="34"/>
      <c r="AB122" s="34"/>
      <c r="AC122" s="44"/>
      <c r="AD122" s="34"/>
      <c r="AE122" s="7"/>
      <c r="AF122" s="44"/>
      <c r="AG122" s="34"/>
      <c r="AI122" s="44"/>
      <c r="AJ122" s="34"/>
      <c r="AL122" s="44"/>
      <c r="AM122" s="34"/>
      <c r="AO122" s="44"/>
      <c r="AP122" s="34"/>
      <c r="AQ122" s="34"/>
      <c r="AR122" s="34"/>
      <c r="AT122" s="8"/>
      <c r="AV122" s="6"/>
      <c r="AW122" s="6"/>
      <c r="AX122" s="6"/>
      <c r="AY122" s="6"/>
      <c r="AZ122" s="6"/>
    </row>
    <row r="123" spans="1:54" x14ac:dyDescent="0.25">
      <c r="A123" s="5"/>
      <c r="B123" s="34"/>
      <c r="C123" s="34"/>
      <c r="D123" s="7"/>
      <c r="E123" s="34"/>
      <c r="F123" s="34"/>
      <c r="G123" s="7"/>
      <c r="H123" s="34"/>
      <c r="I123" s="34"/>
      <c r="J123" s="7"/>
      <c r="K123" s="34"/>
      <c r="L123" s="34"/>
      <c r="M123" s="7"/>
      <c r="N123" s="34"/>
      <c r="O123" s="34"/>
      <c r="P123" s="7"/>
      <c r="Q123" s="34"/>
      <c r="R123" s="34"/>
      <c r="S123" s="7"/>
      <c r="T123" s="34"/>
      <c r="U123" s="34"/>
      <c r="V123" s="7"/>
      <c r="W123" s="34"/>
      <c r="X123" s="34"/>
      <c r="Y123" s="7"/>
      <c r="Z123" s="34"/>
      <c r="AA123" s="34"/>
      <c r="AC123" s="34"/>
      <c r="AD123" s="34"/>
      <c r="AE123" s="7"/>
      <c r="AF123" s="34"/>
      <c r="AG123" s="34"/>
      <c r="AT123" s="8"/>
    </row>
    <row r="124" spans="1:54" x14ac:dyDescent="0.25">
      <c r="A124" s="5"/>
      <c r="B124" s="505"/>
      <c r="C124" s="505"/>
      <c r="D124" s="7"/>
      <c r="E124" s="532"/>
      <c r="F124" s="532"/>
      <c r="G124" s="7"/>
      <c r="H124" s="532"/>
      <c r="I124" s="532"/>
      <c r="J124" s="7"/>
      <c r="K124" s="532"/>
      <c r="L124" s="532"/>
      <c r="M124" s="7"/>
      <c r="N124" s="532"/>
      <c r="O124" s="532"/>
      <c r="P124" s="7"/>
      <c r="Q124" s="532"/>
      <c r="R124" s="532"/>
      <c r="S124" s="7"/>
      <c r="T124" s="532"/>
      <c r="U124" s="532"/>
      <c r="V124" s="7"/>
      <c r="W124" s="532"/>
      <c r="X124" s="532"/>
      <c r="Y124" s="7"/>
      <c r="Z124" s="505"/>
      <c r="AA124" s="505"/>
      <c r="AB124" s="7"/>
      <c r="AC124" s="505"/>
      <c r="AD124" s="505"/>
      <c r="AE124" s="489"/>
      <c r="AF124" s="489"/>
      <c r="AG124" s="489"/>
      <c r="AH124" s="489"/>
      <c r="AI124" s="498"/>
      <c r="AJ124" s="498"/>
      <c r="AL124" s="498"/>
      <c r="AM124" s="498"/>
      <c r="AO124" s="498"/>
      <c r="AP124" s="498"/>
      <c r="AQ124" s="13"/>
      <c r="AR124" s="13"/>
      <c r="AT124" s="8"/>
    </row>
    <row r="125" spans="1:54" x14ac:dyDescent="0.25">
      <c r="A125" s="5"/>
      <c r="B125" s="14"/>
      <c r="C125" s="15"/>
      <c r="D125" s="19"/>
      <c r="E125" s="533" t="s">
        <v>406</v>
      </c>
      <c r="F125" s="534"/>
      <c r="G125" s="19"/>
      <c r="H125" s="14"/>
      <c r="I125" s="15"/>
      <c r="J125" s="19"/>
      <c r="K125" s="14"/>
      <c r="L125" s="15"/>
      <c r="M125" s="19"/>
      <c r="N125" s="14"/>
      <c r="O125" s="15"/>
      <c r="P125" s="19"/>
      <c r="Q125" s="14"/>
      <c r="R125" s="15"/>
      <c r="S125" s="19"/>
      <c r="T125" s="14"/>
      <c r="U125" s="15"/>
      <c r="V125" s="19"/>
      <c r="W125" s="537" t="s">
        <v>405</v>
      </c>
      <c r="X125" s="538"/>
      <c r="Y125" s="19"/>
      <c r="Z125" s="14"/>
      <c r="AA125" s="15"/>
      <c r="AB125" s="34"/>
      <c r="AC125" s="14"/>
      <c r="AD125" s="15"/>
      <c r="AE125" s="19"/>
      <c r="AF125" s="14"/>
      <c r="AG125" s="15"/>
      <c r="AH125" s="18"/>
      <c r="AI125" s="14"/>
      <c r="AJ125" s="15"/>
      <c r="AK125" s="18"/>
      <c r="AL125" s="537" t="s">
        <v>405</v>
      </c>
      <c r="AM125" s="538"/>
      <c r="AN125" s="18"/>
      <c r="AO125" s="14"/>
      <c r="AP125" s="15"/>
      <c r="AQ125" s="273"/>
      <c r="AR125" s="273"/>
      <c r="AS125" s="18"/>
      <c r="AT125" s="285"/>
    </row>
    <row r="126" spans="1:54" x14ac:dyDescent="0.25">
      <c r="A126" s="5"/>
      <c r="B126" s="37"/>
      <c r="C126" s="37"/>
      <c r="D126" s="19"/>
      <c r="E126" s="535"/>
      <c r="F126" s="536"/>
      <c r="G126" s="19"/>
      <c r="H126" s="37"/>
      <c r="I126" s="37"/>
      <c r="J126" s="19"/>
      <c r="K126" s="37"/>
      <c r="L126" s="37"/>
      <c r="M126" s="19"/>
      <c r="N126" s="37"/>
      <c r="O126" s="37"/>
      <c r="P126" s="19"/>
      <c r="Q126" s="37"/>
      <c r="R126" s="37"/>
      <c r="S126" s="19"/>
      <c r="T126" s="37"/>
      <c r="U126" s="37"/>
      <c r="V126" s="19"/>
      <c r="W126" s="539"/>
      <c r="X126" s="540"/>
      <c r="Y126" s="7"/>
      <c r="Z126" s="37"/>
      <c r="AA126" s="37"/>
      <c r="AB126" s="40"/>
      <c r="AC126" s="37"/>
      <c r="AD126" s="37"/>
      <c r="AE126" s="7"/>
      <c r="AF126" s="37"/>
      <c r="AG126" s="37"/>
      <c r="AH126" s="18"/>
      <c r="AI126" s="37"/>
      <c r="AJ126" s="37"/>
      <c r="AL126" s="539"/>
      <c r="AM126" s="540"/>
      <c r="AO126" s="37"/>
      <c r="AP126" s="37"/>
      <c r="AQ126" s="44"/>
      <c r="AR126" s="44"/>
      <c r="AS126" s="18"/>
      <c r="AT126" s="285"/>
      <c r="AV126" s="2">
        <v>14</v>
      </c>
      <c r="AW126" s="2">
        <v>12</v>
      </c>
      <c r="AX126" s="2">
        <v>12</v>
      </c>
      <c r="AY126" s="2">
        <v>9</v>
      </c>
      <c r="AZ126" s="2"/>
      <c r="BB126" s="20">
        <f>+D125+G125+J125+M125+P125+S125+V125+Y125+AB125+AE125+AH125+AK125+AN125+AS125</f>
        <v>0</v>
      </c>
    </row>
    <row r="127" spans="1:54" x14ac:dyDescent="0.25">
      <c r="A127" s="5"/>
      <c r="B127" s="504" t="s">
        <v>120</v>
      </c>
      <c r="C127" s="505"/>
      <c r="D127" s="19">
        <v>377</v>
      </c>
      <c r="E127" s="510" t="s">
        <v>40</v>
      </c>
      <c r="F127" s="493"/>
      <c r="G127" s="19">
        <v>440</v>
      </c>
      <c r="H127" s="493" t="s">
        <v>38</v>
      </c>
      <c r="I127" s="493"/>
      <c r="J127" s="19">
        <v>400.28</v>
      </c>
      <c r="K127" s="510" t="s">
        <v>23</v>
      </c>
      <c r="L127" s="493"/>
      <c r="M127" s="19">
        <v>386</v>
      </c>
      <c r="N127" s="510" t="s">
        <v>38</v>
      </c>
      <c r="O127" s="493"/>
      <c r="P127" s="19">
        <v>420</v>
      </c>
      <c r="Q127" s="510" t="s">
        <v>28</v>
      </c>
      <c r="R127" s="493"/>
      <c r="S127" s="19">
        <v>337</v>
      </c>
      <c r="T127" s="510" t="s">
        <v>28</v>
      </c>
      <c r="U127" s="493"/>
      <c r="V127" s="19">
        <v>336.51</v>
      </c>
      <c r="W127" s="510" t="s">
        <v>187</v>
      </c>
      <c r="X127" s="493"/>
      <c r="Y127" s="7">
        <v>412</v>
      </c>
      <c r="Z127" s="504" t="s">
        <v>36</v>
      </c>
      <c r="AA127" s="505"/>
      <c r="AB127" s="40">
        <v>408</v>
      </c>
      <c r="AC127" s="504" t="s">
        <v>21</v>
      </c>
      <c r="AD127" s="504"/>
      <c r="AE127" s="7">
        <v>413</v>
      </c>
      <c r="AF127" s="504" t="s">
        <v>36</v>
      </c>
      <c r="AG127" s="505"/>
      <c r="AH127" s="18">
        <v>410</v>
      </c>
      <c r="AI127" s="544" t="s">
        <v>38</v>
      </c>
      <c r="AJ127" s="498"/>
      <c r="AK127" s="6">
        <v>406</v>
      </c>
      <c r="AL127" s="544" t="s">
        <v>38</v>
      </c>
      <c r="AM127" s="498"/>
      <c r="AN127" s="6">
        <v>411</v>
      </c>
      <c r="AO127" s="544" t="s">
        <v>38</v>
      </c>
      <c r="AP127" s="498"/>
      <c r="AQ127" s="13">
        <v>372</v>
      </c>
      <c r="AR127" s="13"/>
      <c r="AS127" s="18"/>
      <c r="AT127" s="285"/>
    </row>
    <row r="128" spans="1:54" x14ac:dyDescent="0.25">
      <c r="A128" s="5"/>
      <c r="B128" s="504" t="s">
        <v>253</v>
      </c>
      <c r="C128" s="505"/>
      <c r="D128" s="7"/>
      <c r="E128" s="504" t="s">
        <v>254</v>
      </c>
      <c r="F128" s="505"/>
      <c r="G128" s="7"/>
      <c r="H128" s="504" t="s">
        <v>255</v>
      </c>
      <c r="I128" s="505"/>
      <c r="J128" s="7"/>
      <c r="K128" s="504" t="s">
        <v>256</v>
      </c>
      <c r="L128" s="505"/>
      <c r="M128" s="7"/>
      <c r="N128" s="504" t="s">
        <v>257</v>
      </c>
      <c r="O128" s="505"/>
      <c r="P128" s="7"/>
      <c r="Q128" s="504" t="s">
        <v>258</v>
      </c>
      <c r="R128" s="505"/>
      <c r="S128" s="7"/>
      <c r="T128" s="504" t="s">
        <v>259</v>
      </c>
      <c r="U128" s="505"/>
      <c r="V128" s="7"/>
      <c r="W128" s="503" t="s">
        <v>260</v>
      </c>
      <c r="X128" s="505"/>
      <c r="Y128" s="7"/>
      <c r="Z128" s="502" t="s">
        <v>261</v>
      </c>
      <c r="AA128" s="505"/>
      <c r="AB128" s="7"/>
      <c r="AC128" s="502" t="s">
        <v>262</v>
      </c>
      <c r="AD128" s="505"/>
      <c r="AE128" s="7"/>
      <c r="AF128" s="502" t="s">
        <v>263</v>
      </c>
      <c r="AG128" s="505"/>
      <c r="AI128" s="502" t="s">
        <v>264</v>
      </c>
      <c r="AJ128" s="505"/>
      <c r="AL128" s="502" t="s">
        <v>265</v>
      </c>
      <c r="AM128" s="505"/>
      <c r="AO128" s="502" t="s">
        <v>266</v>
      </c>
      <c r="AP128" s="505"/>
      <c r="AQ128" s="21"/>
      <c r="AR128" s="21"/>
      <c r="AT128" s="8"/>
    </row>
    <row r="129" spans="1:54" x14ac:dyDescent="0.25">
      <c r="B129" s="32" t="s">
        <v>403</v>
      </c>
      <c r="C129" s="32"/>
      <c r="D129" s="33"/>
      <c r="E129" s="32"/>
      <c r="F129" s="32" t="s">
        <v>403</v>
      </c>
      <c r="G129" s="33"/>
      <c r="H129" s="32"/>
      <c r="I129" s="32" t="s">
        <v>403</v>
      </c>
      <c r="J129" s="33"/>
      <c r="K129" s="32"/>
      <c r="L129" s="32" t="s">
        <v>403</v>
      </c>
      <c r="M129" s="33"/>
      <c r="N129" s="32"/>
      <c r="O129" s="32" t="s">
        <v>403</v>
      </c>
      <c r="P129" s="33"/>
      <c r="Q129" s="32"/>
      <c r="R129" s="32" t="s">
        <v>403</v>
      </c>
      <c r="S129" s="33"/>
      <c r="T129" s="32"/>
      <c r="U129" s="32" t="s">
        <v>403</v>
      </c>
      <c r="V129" s="33"/>
      <c r="W129" s="32"/>
      <c r="X129" s="32" t="s">
        <v>403</v>
      </c>
      <c r="Y129" s="33"/>
      <c r="Z129" s="32"/>
      <c r="AA129" s="32" t="s">
        <v>403</v>
      </c>
      <c r="AB129" s="33"/>
      <c r="AC129" s="32"/>
      <c r="AD129" s="32" t="s">
        <v>403</v>
      </c>
      <c r="AE129" s="33"/>
      <c r="AF129" s="32"/>
      <c r="AG129" s="32" t="s">
        <v>403</v>
      </c>
      <c r="AH129" s="42"/>
      <c r="AI129" s="32"/>
      <c r="AJ129" s="32" t="s">
        <v>403</v>
      </c>
      <c r="AK129" s="42"/>
      <c r="AL129" s="32" t="s">
        <v>403</v>
      </c>
      <c r="AM129" s="43"/>
      <c r="AN129" s="42"/>
      <c r="AO129" s="32" t="s">
        <v>403</v>
      </c>
      <c r="AP129" s="43"/>
      <c r="AQ129" s="43"/>
      <c r="AR129" s="43"/>
      <c r="AT129" s="8"/>
    </row>
    <row r="130" spans="1:54" x14ac:dyDescent="0.25">
      <c r="B130" s="21"/>
      <c r="C130" s="21"/>
      <c r="D130" s="19"/>
      <c r="E130" s="44"/>
      <c r="F130" s="21"/>
      <c r="G130" s="21"/>
      <c r="H130" s="44"/>
      <c r="I130" s="34"/>
      <c r="J130" s="19"/>
      <c r="K130" s="45"/>
      <c r="L130" s="46"/>
      <c r="M130" s="19"/>
      <c r="N130" s="45"/>
      <c r="O130" s="46"/>
      <c r="P130" s="19"/>
      <c r="Q130" s="45"/>
      <c r="R130" s="46"/>
      <c r="S130" s="19"/>
      <c r="T130" s="45"/>
      <c r="U130" s="46"/>
      <c r="V130" s="19"/>
      <c r="W130" s="44"/>
      <c r="X130" s="34"/>
      <c r="Y130" s="7"/>
      <c r="Z130" s="44"/>
      <c r="AA130" s="34"/>
      <c r="AB130" s="34"/>
      <c r="AC130" s="44"/>
      <c r="AD130" s="34"/>
      <c r="AE130" s="7"/>
      <c r="AF130" s="44"/>
      <c r="AG130" s="34"/>
      <c r="AI130" s="44"/>
      <c r="AJ130" s="34"/>
      <c r="AL130" s="44"/>
      <c r="AM130" s="34"/>
      <c r="AO130" s="44"/>
      <c r="AP130" s="34"/>
      <c r="AQ130" s="34"/>
      <c r="AR130" s="34"/>
      <c r="AT130" s="8"/>
      <c r="AV130" s="6"/>
      <c r="AW130" s="6"/>
      <c r="AX130" s="6"/>
      <c r="AY130" s="6"/>
      <c r="AZ130" s="6"/>
    </row>
    <row r="131" spans="1:54" x14ac:dyDescent="0.25">
      <c r="A131" s="5"/>
      <c r="B131" s="34"/>
      <c r="C131" s="34"/>
      <c r="D131" s="7"/>
      <c r="E131" s="34"/>
      <c r="F131" s="34"/>
      <c r="G131" s="7"/>
      <c r="H131" s="34"/>
      <c r="I131" s="34"/>
      <c r="J131" s="7"/>
      <c r="K131" s="34"/>
      <c r="L131" s="34"/>
      <c r="M131" s="7"/>
      <c r="N131" s="34"/>
      <c r="O131" s="34"/>
      <c r="P131" s="7"/>
      <c r="Q131" s="34"/>
      <c r="R131" s="34"/>
      <c r="S131" s="7"/>
      <c r="T131" s="34"/>
      <c r="U131" s="34"/>
      <c r="V131" s="7"/>
      <c r="W131" s="34"/>
      <c r="X131" s="34"/>
      <c r="Y131" s="7"/>
      <c r="Z131" s="34"/>
      <c r="AA131" s="34"/>
      <c r="AC131" s="34"/>
      <c r="AD131" s="34"/>
      <c r="AE131" s="7"/>
      <c r="AF131" s="34"/>
      <c r="AG131" s="34"/>
      <c r="AT131" s="8"/>
    </row>
    <row r="132" spans="1:54" x14ac:dyDescent="0.25">
      <c r="A132" s="5"/>
      <c r="B132" s="505"/>
      <c r="C132" s="505"/>
      <c r="D132" s="7"/>
      <c r="E132" s="532"/>
      <c r="F132" s="532"/>
      <c r="G132" s="7"/>
      <c r="H132" s="532"/>
      <c r="I132" s="532"/>
      <c r="J132" s="7"/>
      <c r="K132" s="532"/>
      <c r="L132" s="532"/>
      <c r="M132" s="7"/>
      <c r="N132" s="532"/>
      <c r="O132" s="532"/>
      <c r="P132" s="7"/>
      <c r="Q132" s="532"/>
      <c r="R132" s="532"/>
      <c r="S132" s="7"/>
      <c r="T132" s="532"/>
      <c r="U132" s="532"/>
      <c r="V132" s="7"/>
      <c r="W132" s="532"/>
      <c r="X132" s="532"/>
      <c r="Y132" s="7"/>
      <c r="Z132" s="505"/>
      <c r="AA132" s="505"/>
      <c r="AB132" s="7"/>
      <c r="AC132" s="505"/>
      <c r="AD132" s="505"/>
      <c r="AE132" s="489"/>
      <c r="AF132" s="489"/>
      <c r="AG132" s="489"/>
      <c r="AH132" s="489"/>
      <c r="AI132" s="498"/>
      <c r="AJ132" s="498"/>
      <c r="AL132" s="498"/>
      <c r="AM132" s="498"/>
      <c r="AO132" s="498"/>
      <c r="AP132" s="498"/>
      <c r="AQ132" s="13"/>
      <c r="AR132" s="13"/>
      <c r="AT132" s="8"/>
    </row>
    <row r="133" spans="1:54" x14ac:dyDescent="0.25">
      <c r="A133" s="5"/>
      <c r="B133" s="14"/>
      <c r="C133" s="15"/>
      <c r="D133" s="19"/>
      <c r="E133" s="14"/>
      <c r="F133" s="15"/>
      <c r="G133" s="19"/>
      <c r="H133" s="537" t="s">
        <v>405</v>
      </c>
      <c r="I133" s="538"/>
      <c r="J133" s="19"/>
      <c r="K133" s="537" t="s">
        <v>405</v>
      </c>
      <c r="L133" s="538"/>
      <c r="M133" s="19"/>
      <c r="N133" s="14"/>
      <c r="O133" s="15"/>
      <c r="P133" s="19"/>
      <c r="Q133" s="537" t="s">
        <v>405</v>
      </c>
      <c r="R133" s="538"/>
      <c r="S133" s="19"/>
      <c r="T133" s="537" t="s">
        <v>405</v>
      </c>
      <c r="U133" s="538"/>
      <c r="V133" s="19"/>
      <c r="W133" s="14"/>
      <c r="X133" s="15"/>
      <c r="Y133" s="19"/>
      <c r="Z133" s="14"/>
      <c r="AA133" s="15"/>
      <c r="AB133" s="34"/>
      <c r="AC133" s="14"/>
      <c r="AD133" s="15"/>
      <c r="AE133" s="19"/>
      <c r="AF133" s="537" t="s">
        <v>405</v>
      </c>
      <c r="AG133" s="538"/>
      <c r="AH133" s="18"/>
      <c r="AI133" s="14"/>
      <c r="AJ133" s="15"/>
      <c r="AK133" s="18"/>
      <c r="AL133" s="533" t="s">
        <v>406</v>
      </c>
      <c r="AM133" s="534"/>
      <c r="AN133" s="18"/>
      <c r="AO133" s="14"/>
      <c r="AP133" s="15"/>
      <c r="AQ133" s="273"/>
      <c r="AR133" s="273"/>
      <c r="AS133" s="18"/>
      <c r="AT133" s="285"/>
    </row>
    <row r="134" spans="1:54" x14ac:dyDescent="0.25">
      <c r="A134" s="5"/>
      <c r="B134" s="37"/>
      <c r="C134" s="37"/>
      <c r="D134" s="19"/>
      <c r="E134" s="37"/>
      <c r="F134" s="37"/>
      <c r="G134" s="19"/>
      <c r="H134" s="539"/>
      <c r="I134" s="540"/>
      <c r="J134" s="19"/>
      <c r="K134" s="539"/>
      <c r="L134" s="540"/>
      <c r="M134" s="19"/>
      <c r="N134" s="37"/>
      <c r="O134" s="37"/>
      <c r="P134" s="19"/>
      <c r="Q134" s="539"/>
      <c r="R134" s="540"/>
      <c r="S134" s="19"/>
      <c r="T134" s="539"/>
      <c r="U134" s="540"/>
      <c r="V134" s="19"/>
      <c r="W134" s="37"/>
      <c r="X134" s="37"/>
      <c r="Y134" s="7"/>
      <c r="Z134" s="37"/>
      <c r="AA134" s="37"/>
      <c r="AB134" s="40"/>
      <c r="AC134" s="37"/>
      <c r="AD134" s="37"/>
      <c r="AE134" s="7"/>
      <c r="AF134" s="539"/>
      <c r="AG134" s="540"/>
      <c r="AH134" s="18"/>
      <c r="AI134" s="37"/>
      <c r="AJ134" s="37"/>
      <c r="AL134" s="535"/>
      <c r="AM134" s="536"/>
      <c r="AO134" s="37"/>
      <c r="AP134" s="37"/>
      <c r="AQ134" s="44"/>
      <c r="AR134" s="44"/>
      <c r="AS134" s="18"/>
      <c r="AT134" s="285"/>
      <c r="AV134" s="2">
        <v>14</v>
      </c>
      <c r="AW134" s="2">
        <v>12</v>
      </c>
      <c r="AX134" s="2">
        <v>12</v>
      </c>
      <c r="AY134" s="2">
        <v>9</v>
      </c>
      <c r="AZ134" s="2"/>
      <c r="BB134" s="20">
        <f>+D133+G133+J133+M133+P133+S133+V133+Y133+AB133+AE133+AH133+AK133+AN133+AS133</f>
        <v>0</v>
      </c>
    </row>
    <row r="135" spans="1:54" x14ac:dyDescent="0.25">
      <c r="A135" s="5"/>
      <c r="B135" s="504" t="s">
        <v>36</v>
      </c>
      <c r="C135" s="505"/>
      <c r="D135" s="19">
        <v>386</v>
      </c>
      <c r="E135" s="504" t="s">
        <v>36</v>
      </c>
      <c r="F135" s="505"/>
      <c r="G135" s="19">
        <v>370</v>
      </c>
      <c r="H135" s="504" t="s">
        <v>36</v>
      </c>
      <c r="I135" s="505"/>
      <c r="J135" s="19">
        <v>382</v>
      </c>
      <c r="K135" s="544" t="s">
        <v>38</v>
      </c>
      <c r="L135" s="498"/>
      <c r="M135" s="19">
        <v>384</v>
      </c>
      <c r="N135" s="510" t="s">
        <v>21</v>
      </c>
      <c r="O135" s="493"/>
      <c r="P135" s="19">
        <v>382</v>
      </c>
      <c r="Q135" s="510" t="s">
        <v>33</v>
      </c>
      <c r="R135" s="493"/>
      <c r="S135" s="19">
        <v>357</v>
      </c>
      <c r="T135" s="504" t="s">
        <v>36</v>
      </c>
      <c r="U135" s="505"/>
      <c r="V135" s="19">
        <v>351</v>
      </c>
      <c r="W135" s="497" t="s">
        <v>19</v>
      </c>
      <c r="X135" s="493"/>
      <c r="Y135" s="7">
        <v>413</v>
      </c>
      <c r="Z135" s="504" t="s">
        <v>38</v>
      </c>
      <c r="AA135" s="505"/>
      <c r="AB135" s="40">
        <v>423</v>
      </c>
      <c r="AC135" s="504" t="s">
        <v>19</v>
      </c>
      <c r="AD135" s="504"/>
      <c r="AE135" s="7">
        <v>390</v>
      </c>
      <c r="AF135" s="504" t="s">
        <v>36</v>
      </c>
      <c r="AG135" s="505"/>
      <c r="AH135" s="19">
        <v>406</v>
      </c>
      <c r="AI135" s="504" t="s">
        <v>38</v>
      </c>
      <c r="AJ135" s="505"/>
      <c r="AK135" s="7">
        <v>390</v>
      </c>
      <c r="AL135" s="505" t="s">
        <v>19</v>
      </c>
      <c r="AM135" s="505"/>
      <c r="AN135" s="7">
        <v>393</v>
      </c>
      <c r="AO135" s="505" t="s">
        <v>36</v>
      </c>
      <c r="AP135" s="505"/>
      <c r="AQ135" s="21">
        <v>426</v>
      </c>
      <c r="AR135" s="21"/>
      <c r="AS135" s="18"/>
      <c r="AT135" s="285"/>
    </row>
    <row r="136" spans="1:54" x14ac:dyDescent="0.25">
      <c r="A136" s="5"/>
      <c r="B136" s="502" t="s">
        <v>267</v>
      </c>
      <c r="C136" s="505"/>
      <c r="D136" s="7"/>
      <c r="E136" s="502" t="s">
        <v>268</v>
      </c>
      <c r="F136" s="505"/>
      <c r="G136" s="7"/>
      <c r="H136" s="502" t="s">
        <v>269</v>
      </c>
      <c r="I136" s="505"/>
      <c r="J136" s="7"/>
      <c r="K136" s="502" t="s">
        <v>270</v>
      </c>
      <c r="L136" s="505"/>
      <c r="M136" s="7"/>
      <c r="N136" s="502" t="s">
        <v>271</v>
      </c>
      <c r="O136" s="505"/>
      <c r="P136" s="7"/>
      <c r="Q136" s="502" t="s">
        <v>272</v>
      </c>
      <c r="R136" s="505"/>
      <c r="S136" s="7"/>
      <c r="T136" s="502" t="s">
        <v>273</v>
      </c>
      <c r="U136" s="505"/>
      <c r="V136" s="7"/>
      <c r="W136" s="502" t="s">
        <v>274</v>
      </c>
      <c r="X136" s="505"/>
      <c r="Y136" s="7"/>
      <c r="Z136" s="502" t="s">
        <v>275</v>
      </c>
      <c r="AA136" s="505"/>
      <c r="AB136" s="7"/>
      <c r="AC136" s="502" t="s">
        <v>276</v>
      </c>
      <c r="AD136" s="505"/>
      <c r="AE136" s="7"/>
      <c r="AF136" s="502" t="s">
        <v>277</v>
      </c>
      <c r="AG136" s="505"/>
      <c r="AI136" s="502" t="s">
        <v>278</v>
      </c>
      <c r="AJ136" s="505"/>
      <c r="AL136" s="502" t="s">
        <v>279</v>
      </c>
      <c r="AM136" s="505"/>
      <c r="AO136" s="502" t="s">
        <v>280</v>
      </c>
      <c r="AP136" s="505"/>
      <c r="AQ136" s="21"/>
      <c r="AR136" s="21"/>
      <c r="AT136" s="8"/>
    </row>
    <row r="137" spans="1:54" x14ac:dyDescent="0.25">
      <c r="B137" s="32" t="s">
        <v>403</v>
      </c>
      <c r="C137" s="32"/>
      <c r="D137" s="33"/>
      <c r="E137" s="32" t="s">
        <v>403</v>
      </c>
      <c r="F137" s="32"/>
      <c r="G137" s="33"/>
      <c r="H137" s="32" t="s">
        <v>403</v>
      </c>
      <c r="I137" s="32"/>
      <c r="J137" s="33"/>
      <c r="K137" s="32" t="s">
        <v>403</v>
      </c>
      <c r="L137" s="32"/>
      <c r="M137" s="33"/>
      <c r="N137" s="69"/>
      <c r="O137" s="24" t="s">
        <v>367</v>
      </c>
      <c r="P137" s="70"/>
      <c r="Q137" s="69"/>
      <c r="R137" s="24" t="s">
        <v>367</v>
      </c>
      <c r="S137" s="70"/>
      <c r="T137" s="69"/>
      <c r="U137" s="24" t="s">
        <v>367</v>
      </c>
      <c r="V137" s="70"/>
      <c r="W137" s="69"/>
      <c r="X137" s="24" t="s">
        <v>367</v>
      </c>
      <c r="Y137" s="70"/>
      <c r="Z137" s="69"/>
      <c r="AA137" s="24" t="s">
        <v>367</v>
      </c>
      <c r="AB137" s="70"/>
      <c r="AC137" s="69"/>
      <c r="AD137" s="24" t="s">
        <v>367</v>
      </c>
      <c r="AE137" s="70"/>
      <c r="AF137" s="69"/>
      <c r="AG137" s="24" t="s">
        <v>367</v>
      </c>
      <c r="AH137" s="72"/>
      <c r="AI137" s="69"/>
      <c r="AJ137" s="24" t="s">
        <v>367</v>
      </c>
      <c r="AK137" s="72"/>
      <c r="AL137" s="69"/>
      <c r="AM137" s="24" t="s">
        <v>367</v>
      </c>
      <c r="AN137" s="72"/>
      <c r="AO137" s="69"/>
      <c r="AP137" s="24" t="s">
        <v>367</v>
      </c>
      <c r="AQ137" s="24"/>
      <c r="AR137" s="24"/>
      <c r="AT137" s="8"/>
    </row>
    <row r="138" spans="1:54" x14ac:dyDescent="0.25">
      <c r="B138" s="21"/>
      <c r="C138" s="21"/>
      <c r="D138" s="19"/>
      <c r="E138" s="44"/>
      <c r="F138" s="21"/>
      <c r="G138" s="21"/>
      <c r="H138" s="44"/>
      <c r="I138" s="34"/>
      <c r="J138" s="19"/>
      <c r="K138" s="45"/>
      <c r="L138" s="46"/>
      <c r="M138" s="19"/>
      <c r="N138" s="45"/>
      <c r="O138" s="46"/>
      <c r="P138" s="19"/>
      <c r="Q138" s="45"/>
      <c r="R138" s="46"/>
      <c r="S138" s="19"/>
      <c r="T138" s="45"/>
      <c r="U138" s="46"/>
      <c r="V138" s="19"/>
      <c r="W138" s="44"/>
      <c r="X138" s="34"/>
      <c r="Y138" s="7"/>
      <c r="Z138" s="541" t="s">
        <v>418</v>
      </c>
      <c r="AA138" s="541"/>
      <c r="AB138" s="541"/>
      <c r="AC138" s="541"/>
      <c r="AD138" s="541"/>
      <c r="AE138" s="7"/>
      <c r="AF138" s="44"/>
      <c r="AG138" s="34"/>
      <c r="AI138" s="44"/>
      <c r="AJ138" s="34"/>
      <c r="AL138" s="44"/>
      <c r="AM138" s="34"/>
      <c r="AO138" s="44"/>
      <c r="AP138" s="34"/>
      <c r="AQ138" s="34"/>
      <c r="AR138" s="34"/>
      <c r="AT138" s="8"/>
      <c r="AV138" s="6"/>
      <c r="AW138" s="6"/>
      <c r="AX138" s="6"/>
      <c r="AY138" s="6"/>
      <c r="AZ138" s="6"/>
    </row>
    <row r="139" spans="1:54" x14ac:dyDescent="0.25">
      <c r="A139" s="5"/>
      <c r="B139" s="34"/>
      <c r="C139" s="34"/>
      <c r="D139" s="7"/>
      <c r="E139" s="34"/>
      <c r="F139" s="34"/>
      <c r="G139" s="7"/>
      <c r="H139" s="34"/>
      <c r="I139" s="34"/>
      <c r="J139" s="7"/>
      <c r="K139" s="34"/>
      <c r="L139" s="34"/>
      <c r="M139" s="7"/>
      <c r="N139" s="34"/>
      <c r="O139" s="34"/>
      <c r="P139" s="7"/>
      <c r="Q139" s="34"/>
      <c r="R139" s="34"/>
      <c r="S139" s="7"/>
      <c r="T139" s="34"/>
      <c r="U139" s="34"/>
      <c r="V139" s="7"/>
      <c r="W139" s="34"/>
      <c r="X139" s="34"/>
      <c r="Y139" s="7"/>
      <c r="Z139" s="34"/>
      <c r="AA139" s="34"/>
      <c r="AC139" s="34"/>
      <c r="AD139" s="34"/>
      <c r="AE139" s="7"/>
      <c r="AF139" s="34"/>
      <c r="AG139" s="34"/>
      <c r="AT139" s="8"/>
    </row>
    <row r="140" spans="1:54" x14ac:dyDescent="0.25">
      <c r="A140" s="5"/>
      <c r="B140" s="505"/>
      <c r="C140" s="505"/>
      <c r="D140" s="7"/>
      <c r="E140" s="532"/>
      <c r="F140" s="532"/>
      <c r="G140" s="7"/>
      <c r="H140" s="532"/>
      <c r="I140" s="532"/>
      <c r="J140" s="7"/>
      <c r="K140" s="532"/>
      <c r="L140" s="532"/>
      <c r="M140" s="7"/>
      <c r="N140" s="532"/>
      <c r="O140" s="532"/>
      <c r="P140" s="7"/>
      <c r="Q140" s="532"/>
      <c r="R140" s="532"/>
      <c r="S140" s="7"/>
      <c r="T140" s="532"/>
      <c r="U140" s="532"/>
      <c r="V140" s="7"/>
      <c r="W140" s="532"/>
      <c r="X140" s="532"/>
      <c r="Y140" s="7"/>
      <c r="Z140" s="505"/>
      <c r="AA140" s="505"/>
      <c r="AB140" s="7"/>
      <c r="AC140" s="505"/>
      <c r="AD140" s="505"/>
      <c r="AE140" s="489"/>
      <c r="AF140" s="489"/>
      <c r="AG140" s="489"/>
      <c r="AH140" s="489"/>
      <c r="AI140" s="498"/>
      <c r="AJ140" s="498"/>
      <c r="AL140" s="498"/>
      <c r="AM140" s="498"/>
      <c r="AO140" s="498"/>
      <c r="AP140" s="498"/>
      <c r="AQ140" s="13"/>
      <c r="AR140" s="13"/>
      <c r="AT140" s="8"/>
    </row>
    <row r="141" spans="1:54" x14ac:dyDescent="0.25">
      <c r="A141" s="5"/>
      <c r="B141" s="14"/>
      <c r="C141" s="15"/>
      <c r="D141" s="19"/>
      <c r="E141" s="14"/>
      <c r="F141" s="15"/>
      <c r="G141" s="19"/>
      <c r="H141" s="14"/>
      <c r="I141" s="15"/>
      <c r="J141" s="19"/>
      <c r="K141" s="14"/>
      <c r="L141" s="15"/>
      <c r="M141" s="19"/>
      <c r="N141" s="14"/>
      <c r="O141" s="15"/>
      <c r="P141" s="19"/>
      <c r="Q141" s="14"/>
      <c r="R141" s="15"/>
      <c r="S141" s="19"/>
      <c r="T141" s="14"/>
      <c r="U141" s="15"/>
      <c r="V141" s="19"/>
      <c r="W141" s="14"/>
      <c r="X141" s="15"/>
      <c r="Y141" s="19"/>
      <c r="Z141" s="294"/>
      <c r="AA141" s="294"/>
      <c r="AB141" s="34"/>
      <c r="AC141" s="66"/>
      <c r="AD141" s="67"/>
      <c r="AE141" s="19"/>
      <c r="AF141" s="14"/>
      <c r="AG141" s="15"/>
      <c r="AH141" s="18"/>
      <c r="AI141" s="14"/>
      <c r="AJ141" s="15"/>
      <c r="AK141" s="18"/>
      <c r="AL141" s="14"/>
      <c r="AM141" s="15"/>
      <c r="AN141" s="18"/>
      <c r="AO141" s="440"/>
      <c r="AP141" s="440"/>
      <c r="AQ141" s="275"/>
      <c r="AR141" s="275"/>
      <c r="AS141" s="18"/>
      <c r="AT141" s="285"/>
    </row>
    <row r="142" spans="1:54" x14ac:dyDescent="0.25">
      <c r="A142" s="5"/>
      <c r="B142" s="37"/>
      <c r="C142" s="37"/>
      <c r="D142" s="19"/>
      <c r="E142" s="37"/>
      <c r="F142" s="37"/>
      <c r="G142" s="19"/>
      <c r="H142" s="37"/>
      <c r="I142" s="37"/>
      <c r="J142" s="19"/>
      <c r="K142" s="37"/>
      <c r="L142" s="37"/>
      <c r="M142" s="19"/>
      <c r="N142" s="37"/>
      <c r="O142" s="37"/>
      <c r="P142" s="19"/>
      <c r="Q142" s="37"/>
      <c r="R142" s="37"/>
      <c r="S142" s="19"/>
      <c r="T142" s="37"/>
      <c r="U142" s="37"/>
      <c r="V142" s="19"/>
      <c r="W142" s="37"/>
      <c r="X142" s="37"/>
      <c r="Y142" s="7"/>
      <c r="Z142" s="294"/>
      <c r="AA142" s="294"/>
      <c r="AB142" s="40"/>
      <c r="AC142" s="68"/>
      <c r="AD142" s="68"/>
      <c r="AE142" s="7"/>
      <c r="AF142" s="37"/>
      <c r="AG142" s="37"/>
      <c r="AH142" s="18"/>
      <c r="AI142" s="37"/>
      <c r="AJ142" s="37"/>
      <c r="AL142" s="37"/>
      <c r="AM142" s="37"/>
      <c r="AO142" s="440"/>
      <c r="AP142" s="440"/>
      <c r="AQ142" s="276"/>
      <c r="AR142" s="276"/>
      <c r="AS142" s="18"/>
      <c r="AT142" s="285"/>
      <c r="AV142" s="2">
        <v>14</v>
      </c>
      <c r="AW142" s="2">
        <v>12</v>
      </c>
      <c r="AX142" s="2">
        <v>12</v>
      </c>
      <c r="AY142" s="2">
        <v>9</v>
      </c>
      <c r="AZ142" s="2"/>
      <c r="BB142" s="20">
        <f>+D141+G141+J141+M141+P141+S141+V141+Y141+AB141+AE141+AH141+AK141+AN141+AS141</f>
        <v>0</v>
      </c>
    </row>
    <row r="143" spans="1:54" x14ac:dyDescent="0.25">
      <c r="A143" s="5"/>
      <c r="B143" s="504" t="s">
        <v>38</v>
      </c>
      <c r="C143" s="505"/>
      <c r="D143" s="19">
        <v>407</v>
      </c>
      <c r="E143" s="510" t="s">
        <v>33</v>
      </c>
      <c r="F143" s="493"/>
      <c r="G143" s="19">
        <v>404</v>
      </c>
      <c r="H143" s="493" t="s">
        <v>21</v>
      </c>
      <c r="I143" s="493"/>
      <c r="J143" s="19">
        <v>418</v>
      </c>
      <c r="K143" s="510" t="s">
        <v>36</v>
      </c>
      <c r="L143" s="493"/>
      <c r="M143" s="19">
        <v>413</v>
      </c>
      <c r="N143" s="510" t="s">
        <v>38</v>
      </c>
      <c r="O143" s="493"/>
      <c r="P143" s="19">
        <v>410</v>
      </c>
      <c r="Q143" s="510" t="s">
        <v>36</v>
      </c>
      <c r="R143" s="493"/>
      <c r="S143" s="19">
        <v>426</v>
      </c>
      <c r="T143" s="497" t="s">
        <v>36</v>
      </c>
      <c r="U143" s="493"/>
      <c r="V143" s="19">
        <v>397</v>
      </c>
      <c r="W143" s="497" t="s">
        <v>21</v>
      </c>
      <c r="X143" s="493"/>
      <c r="Y143" s="7">
        <v>404</v>
      </c>
      <c r="Z143" s="504" t="s">
        <v>151</v>
      </c>
      <c r="AA143" s="505"/>
      <c r="AB143" s="40">
        <v>224</v>
      </c>
      <c r="AC143" s="504" t="s">
        <v>177</v>
      </c>
      <c r="AD143" s="504"/>
      <c r="AE143" s="7">
        <v>422</v>
      </c>
      <c r="AF143" s="504" t="s">
        <v>36</v>
      </c>
      <c r="AG143" s="505"/>
      <c r="AH143" s="19">
        <v>343</v>
      </c>
      <c r="AI143" s="503" t="s">
        <v>28</v>
      </c>
      <c r="AJ143" s="505"/>
      <c r="AK143" s="7">
        <v>350</v>
      </c>
      <c r="AL143" s="503" t="s">
        <v>28</v>
      </c>
      <c r="AM143" s="505"/>
      <c r="AN143" s="6">
        <v>350</v>
      </c>
      <c r="AO143" s="498" t="s">
        <v>45</v>
      </c>
      <c r="AP143" s="498"/>
      <c r="AQ143" s="13">
        <v>409</v>
      </c>
      <c r="AR143" s="13"/>
      <c r="AS143" s="18"/>
      <c r="AT143" s="285"/>
    </row>
    <row r="144" spans="1:54" x14ac:dyDescent="0.25">
      <c r="A144" s="5"/>
      <c r="B144" s="502" t="s">
        <v>281</v>
      </c>
      <c r="C144" s="505"/>
      <c r="D144" s="7"/>
      <c r="E144" s="505" t="s">
        <v>282</v>
      </c>
      <c r="F144" s="505"/>
      <c r="G144" s="7"/>
      <c r="H144" s="505" t="s">
        <v>283</v>
      </c>
      <c r="I144" s="505"/>
      <c r="J144" s="7"/>
      <c r="K144" s="505" t="s">
        <v>284</v>
      </c>
      <c r="L144" s="505"/>
      <c r="M144" s="7"/>
      <c r="N144" s="505" t="s">
        <v>285</v>
      </c>
      <c r="O144" s="505"/>
      <c r="P144" s="7"/>
      <c r="Q144" s="505" t="s">
        <v>286</v>
      </c>
      <c r="R144" s="505"/>
      <c r="S144" s="7"/>
      <c r="T144" s="505" t="s">
        <v>287</v>
      </c>
      <c r="U144" s="505"/>
      <c r="V144" s="7"/>
      <c r="W144" s="505" t="s">
        <v>288</v>
      </c>
      <c r="X144" s="505"/>
      <c r="Y144" s="7"/>
      <c r="Z144" s="505" t="s">
        <v>289</v>
      </c>
      <c r="AA144" s="505"/>
      <c r="AB144" s="7"/>
      <c r="AC144" s="505" t="s">
        <v>290</v>
      </c>
      <c r="AD144" s="505"/>
      <c r="AE144" s="7"/>
      <c r="AF144" s="505" t="s">
        <v>291</v>
      </c>
      <c r="AG144" s="505"/>
      <c r="AI144" s="505" t="s">
        <v>292</v>
      </c>
      <c r="AJ144" s="505"/>
      <c r="AK144" s="7"/>
      <c r="AL144" s="505" t="s">
        <v>293</v>
      </c>
      <c r="AM144" s="505"/>
      <c r="AO144" s="505" t="s">
        <v>294</v>
      </c>
      <c r="AP144" s="505"/>
      <c r="AQ144" s="21"/>
      <c r="AR144" s="21"/>
      <c r="AT144" s="8"/>
    </row>
    <row r="145" spans="1:54" x14ac:dyDescent="0.25">
      <c r="B145" s="24" t="s">
        <v>367</v>
      </c>
      <c r="C145" s="69"/>
      <c r="D145" s="70"/>
      <c r="E145" s="69"/>
      <c r="F145" s="24" t="s">
        <v>367</v>
      </c>
      <c r="G145" s="70"/>
      <c r="H145" s="69"/>
      <c r="I145" s="24" t="s">
        <v>367</v>
      </c>
      <c r="J145" s="70"/>
      <c r="K145" s="69"/>
      <c r="L145" s="24" t="s">
        <v>367</v>
      </c>
      <c r="M145" s="70"/>
      <c r="N145" s="69"/>
      <c r="O145" s="24" t="s">
        <v>367</v>
      </c>
      <c r="P145" s="70"/>
      <c r="Q145" s="69"/>
      <c r="R145" s="24" t="s">
        <v>367</v>
      </c>
      <c r="S145" s="70"/>
      <c r="T145" s="69"/>
      <c r="U145" s="24" t="s">
        <v>367</v>
      </c>
      <c r="V145" s="70"/>
      <c r="W145" s="69"/>
      <c r="X145" s="24" t="s">
        <v>367</v>
      </c>
      <c r="Y145" s="70"/>
      <c r="Z145" s="69"/>
      <c r="AA145" s="24" t="s">
        <v>367</v>
      </c>
      <c r="AB145" s="70"/>
      <c r="AC145" s="69"/>
      <c r="AD145" s="24" t="s">
        <v>367</v>
      </c>
      <c r="AE145" s="70"/>
      <c r="AF145" s="69"/>
      <c r="AG145" s="24" t="s">
        <v>367</v>
      </c>
      <c r="AH145" s="72"/>
      <c r="AI145" s="69"/>
      <c r="AJ145" s="24" t="s">
        <v>367</v>
      </c>
      <c r="AK145" s="72"/>
      <c r="AL145" s="24"/>
      <c r="AM145" s="24" t="s">
        <v>367</v>
      </c>
      <c r="AN145" s="72"/>
      <c r="AO145" s="69"/>
      <c r="AP145" s="24" t="s">
        <v>367</v>
      </c>
      <c r="AQ145" s="24"/>
      <c r="AR145" s="24"/>
      <c r="AT145" s="8"/>
    </row>
    <row r="146" spans="1:54" x14ac:dyDescent="0.25">
      <c r="C146" s="34"/>
      <c r="D146" s="34"/>
      <c r="E146" s="34"/>
      <c r="F146" s="34"/>
      <c r="G146" s="34"/>
      <c r="H146" s="541" t="s">
        <v>1949</v>
      </c>
      <c r="I146" s="541"/>
      <c r="J146" s="541"/>
      <c r="K146" s="541"/>
      <c r="L146" s="541"/>
      <c r="M146" s="34"/>
      <c r="N146" s="34"/>
      <c r="O146" s="34"/>
      <c r="P146" s="34"/>
      <c r="Q146" s="541" t="s">
        <v>418</v>
      </c>
      <c r="R146" s="541"/>
      <c r="S146" s="541"/>
      <c r="T146" s="541"/>
      <c r="U146" s="541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505" t="s">
        <v>1923</v>
      </c>
      <c r="AP146" s="505"/>
      <c r="AQ146" s="505"/>
      <c r="AR146" s="505"/>
      <c r="AS146" s="505"/>
      <c r="AT146" s="545"/>
      <c r="AV146" s="6"/>
      <c r="AW146" s="6"/>
      <c r="AX146" s="6"/>
      <c r="AY146" s="6"/>
      <c r="AZ146" s="6"/>
    </row>
    <row r="147" spans="1:54" x14ac:dyDescent="0.25">
      <c r="A147" s="5"/>
      <c r="B147" s="34"/>
      <c r="C147" s="34"/>
      <c r="D147" s="7"/>
      <c r="E147" s="34"/>
      <c r="F147" s="34"/>
      <c r="G147" s="7"/>
      <c r="H147" s="34"/>
      <c r="I147" s="34"/>
      <c r="J147" s="7"/>
      <c r="K147" s="34"/>
      <c r="L147" s="34"/>
      <c r="M147" s="7"/>
      <c r="N147" s="34"/>
      <c r="O147" s="34"/>
      <c r="P147" s="7"/>
      <c r="Q147" s="34"/>
      <c r="R147" s="34"/>
      <c r="S147" s="7"/>
      <c r="T147" s="34"/>
      <c r="U147" s="34"/>
      <c r="V147" s="7"/>
      <c r="W147" s="34"/>
      <c r="X147" s="34"/>
      <c r="Y147" s="7"/>
      <c r="Z147" s="34"/>
      <c r="AA147" s="34"/>
      <c r="AC147" s="34"/>
      <c r="AD147" s="34"/>
      <c r="AE147" s="7"/>
      <c r="AF147" s="34"/>
      <c r="AG147" s="34"/>
      <c r="AT147" s="8"/>
    </row>
    <row r="148" spans="1:54" x14ac:dyDescent="0.25">
      <c r="A148" s="5"/>
      <c r="B148" s="505"/>
      <c r="C148" s="505"/>
      <c r="D148" s="7"/>
      <c r="E148" s="532"/>
      <c r="F148" s="532"/>
      <c r="G148" s="7"/>
      <c r="H148" s="532"/>
      <c r="I148" s="532"/>
      <c r="J148" s="7"/>
      <c r="K148" s="532"/>
      <c r="L148" s="532"/>
      <c r="M148" s="7"/>
      <c r="N148" s="532"/>
      <c r="O148" s="532"/>
      <c r="P148" s="7"/>
      <c r="Q148" s="532"/>
      <c r="R148" s="532"/>
      <c r="S148" s="7"/>
      <c r="T148" s="532"/>
      <c r="U148" s="532"/>
      <c r="V148" s="7"/>
      <c r="W148" s="532"/>
      <c r="X148" s="532"/>
      <c r="Y148" s="7"/>
      <c r="Z148" s="505"/>
      <c r="AA148" s="505"/>
      <c r="AB148" s="7"/>
      <c r="AC148" s="505"/>
      <c r="AD148" s="505"/>
      <c r="AE148" s="489"/>
      <c r="AF148" s="489"/>
      <c r="AG148" s="489"/>
      <c r="AH148" s="489"/>
      <c r="AI148" s="498"/>
      <c r="AJ148" s="498"/>
      <c r="AL148" s="498"/>
      <c r="AM148" s="498"/>
      <c r="AO148" s="498"/>
      <c r="AP148" s="498"/>
      <c r="AQ148" s="13"/>
      <c r="AR148" s="13"/>
      <c r="AT148" s="8"/>
    </row>
    <row r="149" spans="1:54" x14ac:dyDescent="0.25">
      <c r="A149" s="5"/>
      <c r="B149" s="269"/>
      <c r="C149" s="269"/>
      <c r="D149" s="19"/>
      <c r="E149" s="269"/>
      <c r="F149" s="269"/>
      <c r="G149" s="19"/>
      <c r="H149" s="9"/>
      <c r="I149" s="29"/>
      <c r="J149" s="19"/>
      <c r="K149" s="66"/>
      <c r="L149" s="67"/>
      <c r="M149" s="19"/>
      <c r="N149" s="269"/>
      <c r="O149" s="269"/>
      <c r="P149" s="19"/>
      <c r="Q149" s="66"/>
      <c r="R149" s="67"/>
      <c r="S149" s="19"/>
      <c r="T149" s="66"/>
      <c r="U149" s="67"/>
      <c r="V149" s="19"/>
      <c r="W149" s="14"/>
      <c r="X149" s="15"/>
      <c r="Y149" s="19"/>
      <c r="Z149" s="14"/>
      <c r="AA149" s="15"/>
      <c r="AB149" s="34"/>
      <c r="AC149" s="533" t="s">
        <v>406</v>
      </c>
      <c r="AD149" s="534"/>
      <c r="AE149" s="19"/>
      <c r="AF149" s="533" t="s">
        <v>406</v>
      </c>
      <c r="AG149" s="534"/>
      <c r="AH149" s="18"/>
      <c r="AI149" s="14"/>
      <c r="AJ149" s="15"/>
      <c r="AK149" s="18"/>
      <c r="AL149" s="533" t="s">
        <v>406</v>
      </c>
      <c r="AM149" s="534"/>
      <c r="AN149" s="18"/>
      <c r="AO149" s="533" t="s">
        <v>406</v>
      </c>
      <c r="AP149" s="534"/>
      <c r="AQ149" s="274"/>
      <c r="AR149" s="274"/>
      <c r="AS149" s="18"/>
      <c r="AT149" s="285"/>
    </row>
    <row r="150" spans="1:54" x14ac:dyDescent="0.25">
      <c r="A150" s="5"/>
      <c r="B150" s="269"/>
      <c r="C150" s="269"/>
      <c r="D150" s="19"/>
      <c r="E150" s="269"/>
      <c r="F150" s="269"/>
      <c r="G150" s="19"/>
      <c r="H150" s="463"/>
      <c r="I150" s="463"/>
      <c r="J150" s="19"/>
      <c r="K150" s="68"/>
      <c r="L150" s="68"/>
      <c r="M150" s="19"/>
      <c r="N150" s="269"/>
      <c r="O150" s="269"/>
      <c r="P150" s="19"/>
      <c r="Q150" s="68"/>
      <c r="R150" s="68"/>
      <c r="S150" s="19"/>
      <c r="T150" s="68"/>
      <c r="U150" s="68"/>
      <c r="V150" s="19"/>
      <c r="W150" s="37"/>
      <c r="X150" s="37"/>
      <c r="Y150" s="7"/>
      <c r="Z150" s="37"/>
      <c r="AA150" s="37"/>
      <c r="AB150" s="40"/>
      <c r="AC150" s="535"/>
      <c r="AD150" s="536"/>
      <c r="AE150" s="7"/>
      <c r="AF150" s="535"/>
      <c r="AG150" s="536"/>
      <c r="AH150" s="18"/>
      <c r="AI150" s="37"/>
      <c r="AJ150" s="37"/>
      <c r="AL150" s="535"/>
      <c r="AM150" s="536"/>
      <c r="AO150" s="535"/>
      <c r="AP150" s="536"/>
      <c r="AQ150" s="274"/>
      <c r="AR150" s="274"/>
      <c r="AS150" s="18"/>
      <c r="AT150" s="285"/>
      <c r="AV150" s="2">
        <v>14</v>
      </c>
      <c r="AW150" s="2">
        <v>12</v>
      </c>
      <c r="AX150" s="2">
        <v>12</v>
      </c>
      <c r="AY150" s="2">
        <v>9</v>
      </c>
      <c r="AZ150" s="2"/>
      <c r="BB150" s="20">
        <f>+D149+G149+J149+M149+P149+S149+V149+Y149+AB149+AE149+AH149+AK149+AN149+AS149</f>
        <v>0</v>
      </c>
    </row>
    <row r="151" spans="1:54" x14ac:dyDescent="0.25">
      <c r="A151" s="5"/>
      <c r="B151" s="504" t="s">
        <v>40</v>
      </c>
      <c r="C151" s="505"/>
      <c r="D151" s="19">
        <v>391.06</v>
      </c>
      <c r="E151" s="504" t="s">
        <v>118</v>
      </c>
      <c r="F151" s="505"/>
      <c r="G151" s="19">
        <v>387.08</v>
      </c>
      <c r="H151" s="504" t="s">
        <v>826</v>
      </c>
      <c r="I151" s="505"/>
      <c r="J151" s="19">
        <v>401</v>
      </c>
      <c r="K151" s="504" t="s">
        <v>827</v>
      </c>
      <c r="L151" s="505"/>
      <c r="M151" s="19">
        <v>342</v>
      </c>
      <c r="N151" s="510" t="s">
        <v>38</v>
      </c>
      <c r="O151" s="493"/>
      <c r="P151" s="19">
        <v>297</v>
      </c>
      <c r="Q151" s="510" t="s">
        <v>151</v>
      </c>
      <c r="R151" s="493"/>
      <c r="S151" s="19">
        <v>348</v>
      </c>
      <c r="T151" s="497" t="s">
        <v>177</v>
      </c>
      <c r="U151" s="493"/>
      <c r="V151" s="19">
        <v>219</v>
      </c>
      <c r="W151" s="497" t="s">
        <v>21</v>
      </c>
      <c r="X151" s="493"/>
      <c r="Y151" s="7">
        <v>396</v>
      </c>
      <c r="Z151" s="504" t="s">
        <v>38</v>
      </c>
      <c r="AA151" s="505"/>
      <c r="AB151" s="40">
        <v>396</v>
      </c>
      <c r="AC151" s="504" t="s">
        <v>159</v>
      </c>
      <c r="AD151" s="504"/>
      <c r="AE151" s="7">
        <v>268</v>
      </c>
      <c r="AF151" s="504" t="s">
        <v>304</v>
      </c>
      <c r="AG151" s="505"/>
      <c r="AH151" s="19">
        <v>306</v>
      </c>
      <c r="AI151" s="504" t="s">
        <v>398</v>
      </c>
      <c r="AJ151" s="505"/>
      <c r="AK151" s="7">
        <v>297</v>
      </c>
      <c r="AL151" s="505" t="s">
        <v>28</v>
      </c>
      <c r="AM151" s="505"/>
      <c r="AN151" s="6">
        <v>418</v>
      </c>
      <c r="AO151" s="505" t="s">
        <v>66</v>
      </c>
      <c r="AP151" s="505"/>
      <c r="AQ151" s="21">
        <v>332</v>
      </c>
      <c r="AR151" s="21"/>
      <c r="AS151" s="18"/>
      <c r="AT151" s="285"/>
    </row>
    <row r="152" spans="1:54" x14ac:dyDescent="0.25">
      <c r="A152" s="5"/>
      <c r="B152" s="505" t="s">
        <v>295</v>
      </c>
      <c r="C152" s="505"/>
      <c r="D152" s="7"/>
      <c r="E152" s="505" t="s">
        <v>296</v>
      </c>
      <c r="F152" s="505"/>
      <c r="G152" s="7"/>
      <c r="H152" s="505" t="s">
        <v>297</v>
      </c>
      <c r="I152" s="505"/>
      <c r="J152" s="7"/>
      <c r="K152" s="505" t="s">
        <v>399</v>
      </c>
      <c r="L152" s="505"/>
      <c r="M152" s="7"/>
      <c r="N152" s="505" t="s">
        <v>400</v>
      </c>
      <c r="O152" s="505"/>
      <c r="P152" s="7"/>
      <c r="Q152" s="504" t="s">
        <v>298</v>
      </c>
      <c r="R152" s="505"/>
      <c r="S152" s="7"/>
      <c r="T152" s="505" t="s">
        <v>299</v>
      </c>
      <c r="U152" s="505"/>
      <c r="V152" s="7"/>
      <c r="W152" s="505" t="s">
        <v>300</v>
      </c>
      <c r="X152" s="505"/>
      <c r="Y152" s="7"/>
      <c r="Z152" s="505" t="s">
        <v>301</v>
      </c>
      <c r="AA152" s="505"/>
      <c r="AB152" s="7"/>
      <c r="AC152" s="505" t="s">
        <v>302</v>
      </c>
      <c r="AD152" s="505"/>
      <c r="AE152" s="7"/>
      <c r="AF152" s="505" t="s">
        <v>303</v>
      </c>
      <c r="AG152" s="505"/>
      <c r="AI152" s="505" t="s">
        <v>305</v>
      </c>
      <c r="AJ152" s="505"/>
      <c r="AL152" s="505" t="s">
        <v>306</v>
      </c>
      <c r="AM152" s="505"/>
      <c r="AO152" s="505" t="s">
        <v>307</v>
      </c>
      <c r="AP152" s="505"/>
      <c r="AQ152" s="21"/>
      <c r="AR152" s="21"/>
      <c r="AT152" s="8"/>
    </row>
    <row r="153" spans="1:54" x14ac:dyDescent="0.25">
      <c r="B153" s="24" t="s">
        <v>367</v>
      </c>
      <c r="C153" s="69"/>
      <c r="D153" s="70"/>
      <c r="E153" s="69"/>
      <c r="F153" s="24" t="s">
        <v>367</v>
      </c>
      <c r="G153" s="70"/>
      <c r="H153" s="69"/>
      <c r="I153" s="24" t="s">
        <v>367</v>
      </c>
      <c r="J153" s="70"/>
      <c r="K153" s="69"/>
      <c r="L153" s="24" t="s">
        <v>367</v>
      </c>
      <c r="M153" s="70"/>
      <c r="N153" s="69"/>
      <c r="O153" s="24" t="s">
        <v>367</v>
      </c>
      <c r="P153" s="70"/>
      <c r="Q153" s="69"/>
      <c r="R153" s="24" t="s">
        <v>367</v>
      </c>
      <c r="S153" s="70"/>
      <c r="T153" s="69"/>
      <c r="U153" s="24" t="s">
        <v>367</v>
      </c>
      <c r="V153" s="70"/>
      <c r="W153" s="69"/>
      <c r="X153" s="24" t="s">
        <v>367</v>
      </c>
      <c r="Y153" s="70"/>
      <c r="Z153" s="69"/>
      <c r="AA153" s="24" t="s">
        <v>367</v>
      </c>
      <c r="AB153" s="70"/>
      <c r="AC153" s="69"/>
      <c r="AD153" s="24" t="s">
        <v>367</v>
      </c>
      <c r="AE153" s="70"/>
      <c r="AF153" s="69"/>
      <c r="AG153" s="24" t="s">
        <v>367</v>
      </c>
      <c r="AH153" s="72"/>
      <c r="AI153" s="69"/>
      <c r="AJ153" s="24" t="s">
        <v>367</v>
      </c>
      <c r="AK153" s="72"/>
      <c r="AL153" s="69"/>
      <c r="AM153" s="24" t="s">
        <v>367</v>
      </c>
      <c r="AN153" s="72"/>
      <c r="AO153" s="69"/>
      <c r="AP153" s="24" t="s">
        <v>367</v>
      </c>
      <c r="AQ153" s="24"/>
      <c r="AR153" s="24"/>
      <c r="AT153" s="8"/>
    </row>
    <row r="154" spans="1:54" x14ac:dyDescent="0.25">
      <c r="B154" s="541" t="s">
        <v>1923</v>
      </c>
      <c r="C154" s="541"/>
      <c r="D154" s="541"/>
      <c r="E154" s="541"/>
      <c r="F154" s="541"/>
      <c r="G154" s="541"/>
      <c r="H154" s="541"/>
      <c r="I154" s="541"/>
      <c r="J154" s="541"/>
      <c r="K154" s="541"/>
      <c r="L154" s="541"/>
      <c r="M154" s="541"/>
      <c r="N154" s="541"/>
      <c r="O154" s="541"/>
      <c r="P154" s="34"/>
      <c r="Q154" s="34"/>
      <c r="R154" s="34"/>
      <c r="S154" s="34"/>
      <c r="T154" s="34"/>
      <c r="U154" s="34"/>
      <c r="V154" s="19"/>
      <c r="W154" s="546" t="s">
        <v>419</v>
      </c>
      <c r="X154" s="546"/>
      <c r="Y154" s="546"/>
      <c r="Z154" s="546"/>
      <c r="AA154" s="546"/>
      <c r="AB154" s="34"/>
      <c r="AC154" s="441" t="s">
        <v>1950</v>
      </c>
      <c r="AD154" s="441"/>
      <c r="AE154" s="441"/>
      <c r="AF154" s="547" t="s">
        <v>418</v>
      </c>
      <c r="AG154" s="548"/>
      <c r="AH154" s="548"/>
      <c r="AI154" s="548"/>
      <c r="AJ154" s="549"/>
      <c r="AL154" s="44"/>
      <c r="AM154" s="34"/>
      <c r="AO154" s="44"/>
      <c r="AP154" s="34"/>
      <c r="AQ154" s="34"/>
      <c r="AR154" s="34"/>
      <c r="AT154" s="8"/>
      <c r="AV154" s="6"/>
      <c r="AW154" s="6"/>
      <c r="AX154" s="6"/>
      <c r="AY154" s="6"/>
      <c r="AZ154" s="6"/>
    </row>
    <row r="155" spans="1:54" x14ac:dyDescent="0.25">
      <c r="A155" s="5"/>
      <c r="B155" s="34"/>
      <c r="C155" s="34"/>
      <c r="D155" s="7"/>
      <c r="E155" s="34"/>
      <c r="F155" s="34"/>
      <c r="G155" s="7"/>
      <c r="H155" s="34"/>
      <c r="I155" s="34"/>
      <c r="J155" s="7"/>
      <c r="K155" s="34"/>
      <c r="L155" s="34"/>
      <c r="M155" s="7"/>
      <c r="N155" s="34"/>
      <c r="O155" s="34"/>
      <c r="P155" s="7"/>
      <c r="Q155" s="34"/>
      <c r="R155" s="34"/>
      <c r="S155" s="7"/>
      <c r="T155" s="34"/>
      <c r="U155" s="34"/>
      <c r="V155" s="7"/>
      <c r="W155" s="34"/>
      <c r="X155" s="34"/>
      <c r="Y155" s="7"/>
      <c r="Z155" s="34"/>
      <c r="AA155" s="34"/>
      <c r="AC155" s="34"/>
      <c r="AD155" s="34"/>
      <c r="AE155" s="7"/>
      <c r="AF155" s="34"/>
      <c r="AG155" s="34"/>
      <c r="AT155" s="8"/>
    </row>
    <row r="156" spans="1:54" x14ac:dyDescent="0.25">
      <c r="A156" s="5"/>
      <c r="B156" s="505"/>
      <c r="C156" s="505"/>
      <c r="D156" s="7"/>
      <c r="E156" s="532"/>
      <c r="F156" s="532"/>
      <c r="G156" s="7"/>
      <c r="H156" s="532"/>
      <c r="I156" s="532"/>
      <c r="J156" s="7"/>
      <c r="K156" s="532"/>
      <c r="L156" s="532"/>
      <c r="M156" s="7"/>
      <c r="N156" s="532"/>
      <c r="O156" s="532"/>
      <c r="P156" s="7"/>
      <c r="Q156" s="532"/>
      <c r="R156" s="532"/>
      <c r="S156" s="7"/>
      <c r="T156" s="532"/>
      <c r="U156" s="532"/>
      <c r="V156" s="7"/>
      <c r="W156" s="532"/>
      <c r="X156" s="532"/>
      <c r="Y156" s="7"/>
      <c r="Z156" s="505"/>
      <c r="AA156" s="505"/>
      <c r="AB156" s="7"/>
      <c r="AC156" s="505"/>
      <c r="AD156" s="505"/>
      <c r="AE156" s="489"/>
      <c r="AF156" s="489"/>
      <c r="AG156" s="489"/>
      <c r="AH156" s="489"/>
      <c r="AI156" s="498"/>
      <c r="AJ156" s="498"/>
      <c r="AL156" s="498"/>
      <c r="AM156" s="498"/>
      <c r="AO156" s="498"/>
      <c r="AP156" s="498"/>
      <c r="AQ156" s="13"/>
      <c r="AR156" s="13"/>
      <c r="AT156" s="8"/>
    </row>
    <row r="157" spans="1:54" x14ac:dyDescent="0.25">
      <c r="A157" s="5"/>
      <c r="B157" s="66"/>
      <c r="C157" s="67"/>
      <c r="D157" s="19"/>
      <c r="E157" s="66"/>
      <c r="F157" s="67"/>
      <c r="G157" s="19"/>
      <c r="H157" s="66"/>
      <c r="I157" s="67"/>
      <c r="J157" s="19"/>
      <c r="K157" s="66"/>
      <c r="L157" s="67"/>
      <c r="M157" s="19"/>
      <c r="N157" s="66"/>
      <c r="O157" s="67"/>
      <c r="P157" s="19"/>
      <c r="Q157" s="533" t="s">
        <v>406</v>
      </c>
      <c r="R157" s="534"/>
      <c r="S157" s="19"/>
      <c r="T157" s="66"/>
      <c r="U157" s="67"/>
      <c r="V157" s="19"/>
      <c r="W157" s="294"/>
      <c r="X157" s="294"/>
      <c r="Y157" s="19"/>
      <c r="Z157" s="66"/>
      <c r="AA157" s="67"/>
      <c r="AB157" s="34"/>
      <c r="AC157" s="537" t="s">
        <v>405</v>
      </c>
      <c r="AD157" s="538"/>
      <c r="AE157" s="19"/>
      <c r="AF157" s="66"/>
      <c r="AG157" s="67"/>
      <c r="AH157" s="18"/>
      <c r="AI157" s="66"/>
      <c r="AJ157" s="67"/>
      <c r="AK157" s="18"/>
      <c r="AL157" s="14"/>
      <c r="AM157" s="15"/>
      <c r="AN157" s="18"/>
      <c r="AO157" s="14"/>
      <c r="AP157" s="15"/>
      <c r="AQ157" s="273"/>
      <c r="AR157" s="273"/>
      <c r="AS157" s="18"/>
      <c r="AT157" s="285"/>
    </row>
    <row r="158" spans="1:54" x14ac:dyDescent="0.25">
      <c r="A158" s="5"/>
      <c r="B158" s="68"/>
      <c r="C158" s="68"/>
      <c r="D158" s="19"/>
      <c r="E158" s="68"/>
      <c r="F158" s="68"/>
      <c r="G158" s="19"/>
      <c r="H158" s="68"/>
      <c r="I158" s="68"/>
      <c r="J158" s="19"/>
      <c r="K158" s="68"/>
      <c r="L158" s="68"/>
      <c r="M158" s="19"/>
      <c r="N158" s="68"/>
      <c r="O158" s="68"/>
      <c r="P158" s="19"/>
      <c r="Q158" s="535"/>
      <c r="R158" s="536"/>
      <c r="S158" s="19"/>
      <c r="T158" s="68"/>
      <c r="U158" s="68"/>
      <c r="V158" s="19"/>
      <c r="W158" s="294"/>
      <c r="X158" s="294"/>
      <c r="Y158" s="7"/>
      <c r="Z158" s="68"/>
      <c r="AA158" s="68"/>
      <c r="AB158" s="40"/>
      <c r="AC158" s="539"/>
      <c r="AD158" s="540"/>
      <c r="AE158" s="7"/>
      <c r="AF158" s="68"/>
      <c r="AG158" s="68"/>
      <c r="AH158" s="18"/>
      <c r="AI158" s="68"/>
      <c r="AJ158" s="68"/>
      <c r="AL158" s="37"/>
      <c r="AM158" s="37"/>
      <c r="AO158" s="37"/>
      <c r="AP158" s="37"/>
      <c r="AQ158" s="44"/>
      <c r="AR158" s="44"/>
      <c r="AS158" s="18"/>
      <c r="AT158" s="285"/>
      <c r="AV158" s="2">
        <v>14</v>
      </c>
      <c r="AW158" s="2">
        <v>12</v>
      </c>
      <c r="AX158" s="2">
        <v>12</v>
      </c>
      <c r="AY158" s="2">
        <v>9</v>
      </c>
      <c r="AZ158" s="2"/>
      <c r="BB158" s="20">
        <f>+D157+G157+J157+M157+P157+S157+V157+Y157+AB157+AE157+AH157+AK157+AN157+AS157</f>
        <v>0</v>
      </c>
    </row>
    <row r="159" spans="1:54" x14ac:dyDescent="0.25">
      <c r="A159" s="5"/>
      <c r="B159" s="504" t="s">
        <v>243</v>
      </c>
      <c r="C159" s="505"/>
      <c r="D159" s="19">
        <v>410</v>
      </c>
      <c r="E159" s="510" t="s">
        <v>40</v>
      </c>
      <c r="F159" s="493"/>
      <c r="G159" s="19">
        <v>415</v>
      </c>
      <c r="H159" s="493" t="s">
        <v>38</v>
      </c>
      <c r="I159" s="493"/>
      <c r="J159" s="19">
        <v>405</v>
      </c>
      <c r="K159" s="510" t="s">
        <v>36</v>
      </c>
      <c r="L159" s="493"/>
      <c r="M159" s="19">
        <v>421</v>
      </c>
      <c r="N159" s="510" t="s">
        <v>239</v>
      </c>
      <c r="O159" s="493"/>
      <c r="P159" s="19">
        <v>532</v>
      </c>
      <c r="Q159" s="510" t="s">
        <v>169</v>
      </c>
      <c r="R159" s="493"/>
      <c r="S159" s="19">
        <v>415</v>
      </c>
      <c r="T159" s="497" t="s">
        <v>25</v>
      </c>
      <c r="U159" s="493"/>
      <c r="V159" s="19">
        <v>362</v>
      </c>
      <c r="W159" s="497" t="s">
        <v>45</v>
      </c>
      <c r="X159" s="493"/>
      <c r="Y159" s="7">
        <v>245</v>
      </c>
      <c r="Z159" s="504" t="s">
        <v>33</v>
      </c>
      <c r="AA159" s="505"/>
      <c r="AB159" s="40">
        <v>241</v>
      </c>
      <c r="AC159" s="504" t="s">
        <v>21</v>
      </c>
      <c r="AD159" s="504"/>
      <c r="AE159" s="7">
        <v>438</v>
      </c>
      <c r="AF159" s="504" t="s">
        <v>319</v>
      </c>
      <c r="AG159" s="505"/>
      <c r="AH159" s="18">
        <v>223</v>
      </c>
      <c r="AI159" s="544" t="s">
        <v>153</v>
      </c>
      <c r="AJ159" s="498"/>
      <c r="AK159" s="6">
        <v>405</v>
      </c>
      <c r="AL159" s="498" t="s">
        <v>28</v>
      </c>
      <c r="AM159" s="498"/>
      <c r="AN159" s="6">
        <v>244</v>
      </c>
      <c r="AO159" s="498" t="s">
        <v>28</v>
      </c>
      <c r="AP159" s="498"/>
      <c r="AQ159" s="13">
        <v>340</v>
      </c>
      <c r="AR159" s="13"/>
      <c r="AS159" s="18"/>
      <c r="AT159" s="285"/>
    </row>
    <row r="160" spans="1:54" x14ac:dyDescent="0.25">
      <c r="A160" s="5"/>
      <c r="B160" s="505" t="s">
        <v>308</v>
      </c>
      <c r="C160" s="505"/>
      <c r="D160" s="7"/>
      <c r="E160" s="505" t="s">
        <v>309</v>
      </c>
      <c r="F160" s="505"/>
      <c r="G160" s="7"/>
      <c r="H160" s="505" t="s">
        <v>310</v>
      </c>
      <c r="I160" s="505"/>
      <c r="J160" s="7"/>
      <c r="K160" s="505" t="s">
        <v>311</v>
      </c>
      <c r="L160" s="505"/>
      <c r="M160" s="7"/>
      <c r="N160" s="505" t="s">
        <v>312</v>
      </c>
      <c r="O160" s="505"/>
      <c r="P160" s="7"/>
      <c r="Q160" s="505" t="s">
        <v>313</v>
      </c>
      <c r="R160" s="505"/>
      <c r="S160" s="7"/>
      <c r="T160" s="505" t="s">
        <v>314</v>
      </c>
      <c r="U160" s="505"/>
      <c r="V160" s="7"/>
      <c r="W160" s="505" t="s">
        <v>315</v>
      </c>
      <c r="X160" s="505"/>
      <c r="Y160" s="7"/>
      <c r="Z160" s="505" t="s">
        <v>316</v>
      </c>
      <c r="AA160" s="505"/>
      <c r="AB160" s="7"/>
      <c r="AC160" s="505" t="s">
        <v>317</v>
      </c>
      <c r="AD160" s="505"/>
      <c r="AE160" s="7"/>
      <c r="AF160" s="505" t="s">
        <v>318</v>
      </c>
      <c r="AG160" s="505"/>
      <c r="AI160" s="505" t="s">
        <v>320</v>
      </c>
      <c r="AJ160" s="505"/>
      <c r="AL160" s="505" t="s">
        <v>321</v>
      </c>
      <c r="AM160" s="505"/>
      <c r="AO160" s="505" t="s">
        <v>322</v>
      </c>
      <c r="AP160" s="505"/>
      <c r="AQ160" s="21">
        <v>340</v>
      </c>
      <c r="AR160" s="21"/>
      <c r="AT160" s="8"/>
    </row>
    <row r="161" spans="1:54" x14ac:dyDescent="0.25">
      <c r="B161" s="24" t="s">
        <v>367</v>
      </c>
      <c r="C161" s="69"/>
      <c r="D161" s="70"/>
      <c r="E161" s="69"/>
      <c r="F161" s="24" t="s">
        <v>367</v>
      </c>
      <c r="G161" s="70"/>
      <c r="H161" s="69"/>
      <c r="I161" s="24" t="s">
        <v>367</v>
      </c>
      <c r="J161" s="70"/>
      <c r="K161" s="69"/>
      <c r="L161" s="24" t="s">
        <v>367</v>
      </c>
      <c r="M161" s="70"/>
      <c r="N161" s="69"/>
      <c r="O161" s="24" t="s">
        <v>367</v>
      </c>
      <c r="P161" s="70"/>
      <c r="Q161" s="69"/>
      <c r="R161" s="24" t="s">
        <v>367</v>
      </c>
      <c r="S161" s="70"/>
      <c r="T161" s="69"/>
      <c r="U161" s="24" t="s">
        <v>367</v>
      </c>
      <c r="V161" s="70"/>
      <c r="W161" s="69"/>
      <c r="X161" s="24" t="s">
        <v>367</v>
      </c>
      <c r="Y161" s="70"/>
      <c r="Z161" s="69"/>
      <c r="AA161" s="24" t="s">
        <v>367</v>
      </c>
      <c r="AB161" s="70"/>
      <c r="AC161" s="69"/>
      <c r="AD161" s="24" t="s">
        <v>367</v>
      </c>
      <c r="AE161" s="70"/>
      <c r="AF161" s="69"/>
      <c r="AG161" s="24" t="s">
        <v>367</v>
      </c>
      <c r="AH161" s="72"/>
      <c r="AI161" s="69"/>
      <c r="AJ161" s="24" t="s">
        <v>367</v>
      </c>
      <c r="AK161" s="72"/>
      <c r="AL161" s="69"/>
      <c r="AM161" s="24" t="s">
        <v>367</v>
      </c>
      <c r="AN161" s="72"/>
      <c r="AO161" s="69"/>
      <c r="AP161" s="24" t="s">
        <v>367</v>
      </c>
      <c r="AQ161" s="24"/>
      <c r="AR161" s="24"/>
      <c r="AT161" s="8"/>
    </row>
    <row r="162" spans="1:54" x14ac:dyDescent="0.25">
      <c r="B162" s="21"/>
      <c r="C162" s="21"/>
      <c r="D162" s="19"/>
      <c r="E162" s="44"/>
      <c r="F162" s="21"/>
      <c r="G162" s="21"/>
      <c r="H162" s="44"/>
      <c r="I162" s="34"/>
      <c r="J162" s="19"/>
      <c r="K162" s="45"/>
      <c r="L162" s="46"/>
      <c r="M162" s="19"/>
      <c r="N162" s="45"/>
      <c r="O162" s="46"/>
      <c r="P162" s="19"/>
      <c r="Q162" s="45"/>
      <c r="R162" s="46"/>
      <c r="S162" s="19"/>
      <c r="T162" s="45"/>
      <c r="U162" s="46"/>
      <c r="V162" s="19"/>
      <c r="W162" s="546" t="s">
        <v>413</v>
      </c>
      <c r="X162" s="546"/>
      <c r="Y162" s="546"/>
      <c r="Z162" s="546"/>
      <c r="AA162" s="546"/>
      <c r="AB162" s="546"/>
      <c r="AC162" s="546"/>
      <c r="AD162" s="546"/>
      <c r="AE162" s="7"/>
      <c r="AF162" s="44"/>
      <c r="AG162" s="34"/>
      <c r="AH162" s="550"/>
      <c r="AI162" s="550"/>
      <c r="AJ162" s="550"/>
      <c r="AK162" s="550"/>
      <c r="AL162" s="44"/>
      <c r="AM162" s="34"/>
      <c r="AO162" s="44"/>
      <c r="AP162" s="34"/>
      <c r="AQ162" s="34"/>
      <c r="AR162" s="34"/>
      <c r="AT162" s="8"/>
      <c r="AV162" s="6"/>
      <c r="AW162" s="6"/>
      <c r="AX162" s="6"/>
      <c r="AY162" s="6"/>
      <c r="AZ162" s="6"/>
    </row>
    <row r="163" spans="1:54" x14ac:dyDescent="0.25">
      <c r="A163" s="5"/>
      <c r="B163" s="34"/>
      <c r="C163" s="34"/>
      <c r="D163" s="7"/>
      <c r="E163" s="34"/>
      <c r="F163" s="34"/>
      <c r="G163" s="7"/>
      <c r="H163" s="34"/>
      <c r="I163" s="34"/>
      <c r="J163" s="7"/>
      <c r="K163" s="34"/>
      <c r="L163" s="34"/>
      <c r="M163" s="7"/>
      <c r="N163" s="34"/>
      <c r="O163" s="34"/>
      <c r="P163" s="7"/>
      <c r="Q163" s="34"/>
      <c r="R163" s="34"/>
      <c r="S163" s="7"/>
      <c r="T163" s="34"/>
      <c r="U163" s="34"/>
      <c r="V163" s="7"/>
      <c r="W163" s="34"/>
      <c r="X163" s="34"/>
      <c r="Y163" s="7"/>
      <c r="Z163" s="34"/>
      <c r="AA163" s="34"/>
      <c r="AC163" s="34"/>
      <c r="AD163" s="34"/>
      <c r="AE163" s="7"/>
      <c r="AF163" s="34"/>
      <c r="AG163" s="34"/>
      <c r="AT163" s="8"/>
    </row>
    <row r="164" spans="1:54" x14ac:dyDescent="0.25">
      <c r="A164" s="5"/>
      <c r="B164" s="505"/>
      <c r="C164" s="505"/>
      <c r="D164" s="7"/>
      <c r="E164" s="532"/>
      <c r="F164" s="532"/>
      <c r="G164" s="7"/>
      <c r="H164" s="532"/>
      <c r="I164" s="532"/>
      <c r="J164" s="7"/>
      <c r="K164" s="532"/>
      <c r="L164" s="532"/>
      <c r="M164" s="7"/>
      <c r="N164" s="532"/>
      <c r="O164" s="532"/>
      <c r="P164" s="7"/>
      <c r="Q164" s="532"/>
      <c r="R164" s="532"/>
      <c r="S164" s="7"/>
      <c r="T164" s="532"/>
      <c r="U164" s="532"/>
      <c r="V164" s="7"/>
      <c r="W164" s="532"/>
      <c r="X164" s="532"/>
      <c r="Y164" s="7"/>
      <c r="Z164" s="505"/>
      <c r="AA164" s="505"/>
      <c r="AB164" s="7"/>
      <c r="AC164" s="505"/>
      <c r="AD164" s="505"/>
      <c r="AE164" s="489"/>
      <c r="AF164" s="489"/>
      <c r="AG164" s="489"/>
      <c r="AH164" s="489"/>
      <c r="AI164" s="498"/>
      <c r="AJ164" s="498"/>
      <c r="AL164" s="498"/>
      <c r="AM164" s="498"/>
      <c r="AO164" s="498"/>
      <c r="AP164" s="498"/>
      <c r="AQ164" s="13"/>
      <c r="AR164" s="13"/>
      <c r="AT164" s="8"/>
    </row>
    <row r="165" spans="1:54" x14ac:dyDescent="0.25">
      <c r="A165" s="5"/>
      <c r="B165" s="14"/>
      <c r="C165" s="15"/>
      <c r="D165" s="19"/>
      <c r="E165" s="14"/>
      <c r="F165" s="15"/>
      <c r="G165" s="19"/>
      <c r="H165" s="14"/>
      <c r="I165" s="15"/>
      <c r="J165" s="19"/>
      <c r="K165" s="14"/>
      <c r="L165" s="15"/>
      <c r="M165" s="19"/>
      <c r="N165" s="14"/>
      <c r="O165" s="15"/>
      <c r="P165" s="19"/>
      <c r="Q165" s="14"/>
      <c r="R165" s="15"/>
      <c r="S165" s="19"/>
      <c r="T165" s="14"/>
      <c r="U165" s="15"/>
      <c r="V165" s="19"/>
      <c r="W165" s="537" t="s">
        <v>405</v>
      </c>
      <c r="X165" s="538"/>
      <c r="Y165" s="19"/>
      <c r="Z165" s="14"/>
      <c r="AA165" s="15"/>
      <c r="AB165" s="34"/>
      <c r="AC165" s="537" t="s">
        <v>405</v>
      </c>
      <c r="AD165" s="538"/>
      <c r="AE165" s="19"/>
      <c r="AF165" s="14"/>
      <c r="AG165" s="15"/>
      <c r="AH165" s="18"/>
      <c r="AI165" s="14"/>
      <c r="AJ165" s="15"/>
      <c r="AK165" s="18"/>
      <c r="AL165" s="14"/>
      <c r="AM165" s="15"/>
      <c r="AN165" s="18"/>
      <c r="AO165" s="533" t="s">
        <v>406</v>
      </c>
      <c r="AP165" s="534"/>
      <c r="AQ165" s="274"/>
      <c r="AR165" s="274"/>
      <c r="AS165" s="18"/>
      <c r="AT165" s="285"/>
    </row>
    <row r="166" spans="1:54" x14ac:dyDescent="0.25">
      <c r="A166" s="5"/>
      <c r="B166" s="37"/>
      <c r="C166" s="37"/>
      <c r="D166" s="19"/>
      <c r="E166" s="37"/>
      <c r="F166" s="37"/>
      <c r="G166" s="19"/>
      <c r="H166" s="37"/>
      <c r="I166" s="37"/>
      <c r="J166" s="19"/>
      <c r="K166" s="37"/>
      <c r="L166" s="37"/>
      <c r="M166" s="19"/>
      <c r="N166" s="37"/>
      <c r="O166" s="37"/>
      <c r="P166" s="19"/>
      <c r="Q166" s="37"/>
      <c r="R166" s="37"/>
      <c r="S166" s="19"/>
      <c r="T166" s="37"/>
      <c r="U166" s="37"/>
      <c r="V166" s="19"/>
      <c r="W166" s="539"/>
      <c r="X166" s="540"/>
      <c r="Y166" s="7"/>
      <c r="Z166" s="37"/>
      <c r="AA166" s="37"/>
      <c r="AB166" s="40"/>
      <c r="AC166" s="539"/>
      <c r="AD166" s="540"/>
      <c r="AE166" s="7"/>
      <c r="AF166" s="37"/>
      <c r="AG166" s="37"/>
      <c r="AH166" s="18"/>
      <c r="AI166" s="37"/>
      <c r="AJ166" s="37"/>
      <c r="AL166" s="37"/>
      <c r="AM166" s="37"/>
      <c r="AO166" s="535"/>
      <c r="AP166" s="536"/>
      <c r="AQ166" s="274"/>
      <c r="AR166" s="274"/>
      <c r="AS166" s="18"/>
      <c r="AT166" s="285"/>
      <c r="AV166" s="2">
        <v>14</v>
      </c>
      <c r="AW166" s="2">
        <v>12</v>
      </c>
      <c r="AX166" s="2">
        <v>12</v>
      </c>
      <c r="AY166" s="2">
        <v>9</v>
      </c>
      <c r="AZ166" s="2"/>
      <c r="BB166" s="20">
        <f>+D165+G165+J165+M165+P165+S165+V165+Y165+AB165+AE165+AH165+AK165+AN165+AS165</f>
        <v>0</v>
      </c>
    </row>
    <row r="167" spans="1:54" x14ac:dyDescent="0.25">
      <c r="A167" s="5"/>
      <c r="B167" s="498" t="s">
        <v>28</v>
      </c>
      <c r="C167" s="498"/>
      <c r="D167" s="19">
        <v>433</v>
      </c>
      <c r="E167" s="510" t="s">
        <v>120</v>
      </c>
      <c r="F167" s="493"/>
      <c r="G167" s="19">
        <v>383</v>
      </c>
      <c r="H167" s="493" t="s">
        <v>21</v>
      </c>
      <c r="I167" s="493"/>
      <c r="J167" s="19">
        <v>400</v>
      </c>
      <c r="K167" s="510" t="s">
        <v>45</v>
      </c>
      <c r="L167" s="493"/>
      <c r="M167" s="19">
        <v>386</v>
      </c>
      <c r="N167" s="510" t="s">
        <v>19</v>
      </c>
      <c r="O167" s="493"/>
      <c r="P167" s="19">
        <v>393</v>
      </c>
      <c r="Q167" s="510" t="s">
        <v>36</v>
      </c>
      <c r="R167" s="493"/>
      <c r="S167" s="19">
        <v>422</v>
      </c>
      <c r="T167" s="497" t="s">
        <v>21</v>
      </c>
      <c r="U167" s="493"/>
      <c r="V167" s="19">
        <v>408</v>
      </c>
      <c r="W167" s="497" t="s">
        <v>19</v>
      </c>
      <c r="X167" s="493"/>
      <c r="Y167" s="7">
        <v>370</v>
      </c>
      <c r="Z167" s="504" t="s">
        <v>28</v>
      </c>
      <c r="AA167" s="505"/>
      <c r="AB167" s="40">
        <v>354</v>
      </c>
      <c r="AC167" s="510" t="s">
        <v>36</v>
      </c>
      <c r="AD167" s="493"/>
      <c r="AE167" s="7">
        <v>343</v>
      </c>
      <c r="AF167" s="504" t="s">
        <v>28</v>
      </c>
      <c r="AG167" s="505"/>
      <c r="AH167" s="18">
        <v>440</v>
      </c>
      <c r="AI167" s="503" t="s">
        <v>40</v>
      </c>
      <c r="AJ167" s="505"/>
      <c r="AK167" s="6">
        <v>380</v>
      </c>
      <c r="AL167" s="504" t="s">
        <v>28</v>
      </c>
      <c r="AM167" s="505"/>
      <c r="AN167" s="6">
        <v>416</v>
      </c>
      <c r="AO167" s="498" t="s">
        <v>25</v>
      </c>
      <c r="AP167" s="498"/>
      <c r="AQ167" s="13"/>
      <c r="AR167" s="13"/>
      <c r="AS167" s="18"/>
      <c r="AT167" s="285"/>
    </row>
    <row r="168" spans="1:54" x14ac:dyDescent="0.25">
      <c r="A168" s="5"/>
      <c r="B168" s="505" t="s">
        <v>323</v>
      </c>
      <c r="C168" s="505"/>
      <c r="D168" s="7"/>
      <c r="E168" s="505" t="s">
        <v>324</v>
      </c>
      <c r="F168" s="505"/>
      <c r="G168" s="7"/>
      <c r="H168" s="505" t="s">
        <v>325</v>
      </c>
      <c r="I168" s="505"/>
      <c r="J168" s="7"/>
      <c r="K168" s="505" t="s">
        <v>326</v>
      </c>
      <c r="L168" s="505"/>
      <c r="M168" s="7"/>
      <c r="N168" s="505" t="s">
        <v>327</v>
      </c>
      <c r="O168" s="505"/>
      <c r="P168" s="7"/>
      <c r="Q168" s="505" t="s">
        <v>328</v>
      </c>
      <c r="R168" s="505"/>
      <c r="S168" s="7"/>
      <c r="T168" s="505" t="s">
        <v>329</v>
      </c>
      <c r="U168" s="505"/>
      <c r="V168" s="7"/>
      <c r="W168" s="505" t="s">
        <v>330</v>
      </c>
      <c r="X168" s="505"/>
      <c r="Y168" s="7"/>
      <c r="Z168" s="505" t="s">
        <v>331</v>
      </c>
      <c r="AA168" s="505"/>
      <c r="AB168" s="7"/>
      <c r="AC168" s="505" t="s">
        <v>332</v>
      </c>
      <c r="AD168" s="505"/>
      <c r="AE168" s="7"/>
      <c r="AF168" s="505" t="s">
        <v>333</v>
      </c>
      <c r="AG168" s="505"/>
      <c r="AI168" s="505" t="s">
        <v>334</v>
      </c>
      <c r="AJ168" s="505"/>
      <c r="AL168" s="505" t="s">
        <v>335</v>
      </c>
      <c r="AM168" s="505"/>
      <c r="AO168" s="505" t="s">
        <v>336</v>
      </c>
      <c r="AP168" s="505"/>
      <c r="AQ168" s="21">
        <v>406</v>
      </c>
      <c r="AR168" s="21"/>
      <c r="AT168" s="8"/>
    </row>
    <row r="169" spans="1:54" x14ac:dyDescent="0.25">
      <c r="B169" s="24" t="s">
        <v>367</v>
      </c>
      <c r="C169" s="69"/>
      <c r="D169" s="70"/>
      <c r="E169" s="69"/>
      <c r="F169" s="24" t="s">
        <v>367</v>
      </c>
      <c r="G169" s="70"/>
      <c r="H169" s="69"/>
      <c r="I169" s="24" t="s">
        <v>367</v>
      </c>
      <c r="J169" s="70"/>
      <c r="K169" s="69"/>
      <c r="L169" s="24" t="s">
        <v>367</v>
      </c>
      <c r="M169" s="70"/>
      <c r="N169" s="69"/>
      <c r="O169" s="24" t="s">
        <v>367</v>
      </c>
      <c r="P169" s="70"/>
      <c r="Q169" s="69"/>
      <c r="R169" s="24" t="s">
        <v>367</v>
      </c>
      <c r="S169" s="70"/>
      <c r="T169" s="69"/>
      <c r="U169" s="24" t="s">
        <v>367</v>
      </c>
      <c r="V169" s="70"/>
      <c r="W169" s="69"/>
      <c r="X169" s="24" t="s">
        <v>367</v>
      </c>
      <c r="Y169" s="70"/>
      <c r="Z169" s="69"/>
      <c r="AA169" s="24" t="s">
        <v>367</v>
      </c>
      <c r="AB169" s="70"/>
      <c r="AC169" s="69"/>
      <c r="AD169" s="24" t="s">
        <v>367</v>
      </c>
      <c r="AE169" s="70"/>
      <c r="AF169" s="69"/>
      <c r="AG169" s="24" t="s">
        <v>367</v>
      </c>
      <c r="AH169" s="72"/>
      <c r="AI169" s="69"/>
      <c r="AJ169" s="24" t="s">
        <v>367</v>
      </c>
      <c r="AK169" s="72"/>
      <c r="AL169" s="69"/>
      <c r="AM169" s="24" t="s">
        <v>367</v>
      </c>
      <c r="AN169" s="72"/>
      <c r="AO169" s="69"/>
      <c r="AP169" s="24" t="s">
        <v>367</v>
      </c>
      <c r="AQ169" s="24"/>
      <c r="AR169" s="24"/>
      <c r="AT169" s="8"/>
    </row>
    <row r="170" spans="1:54" x14ac:dyDescent="0.25">
      <c r="B170" s="21"/>
      <c r="C170" s="21"/>
      <c r="D170" s="19"/>
      <c r="E170" s="44"/>
      <c r="F170" s="21"/>
      <c r="G170" s="21"/>
      <c r="H170" s="44"/>
      <c r="I170" s="34"/>
      <c r="J170" s="19"/>
      <c r="K170" s="543"/>
      <c r="L170" s="543"/>
      <c r="M170" s="543"/>
      <c r="N170" s="543"/>
      <c r="O170" s="543"/>
      <c r="P170" s="543"/>
      <c r="Q170" s="543"/>
      <c r="R170" s="543"/>
      <c r="S170" s="19"/>
      <c r="T170" s="45"/>
      <c r="U170" s="46"/>
      <c r="V170" s="551" t="s">
        <v>413</v>
      </c>
      <c r="W170" s="551"/>
      <c r="X170" s="551"/>
      <c r="Y170" s="551"/>
      <c r="Z170" s="44"/>
      <c r="AA170" s="34"/>
      <c r="AB170" s="34"/>
      <c r="AC170" s="44"/>
      <c r="AD170" s="34"/>
      <c r="AE170" s="7"/>
      <c r="AF170" s="44"/>
      <c r="AG170" s="34"/>
      <c r="AI170" s="44"/>
      <c r="AJ170" s="34"/>
      <c r="AL170" s="44"/>
      <c r="AM170" s="34"/>
      <c r="AO170" s="44"/>
      <c r="AP170" s="34"/>
      <c r="AQ170" s="34"/>
      <c r="AR170" s="34"/>
      <c r="AT170" s="8"/>
      <c r="AV170" s="6"/>
      <c r="AW170" s="6"/>
      <c r="AX170" s="6"/>
      <c r="AY170" s="6"/>
      <c r="AZ170" s="6"/>
    </row>
    <row r="171" spans="1:54" x14ac:dyDescent="0.25">
      <c r="A171" s="5"/>
      <c r="B171" s="34"/>
      <c r="C171" s="34"/>
      <c r="D171" s="7"/>
      <c r="E171" s="34"/>
      <c r="F171" s="34"/>
      <c r="G171" s="7"/>
      <c r="H171" s="34"/>
      <c r="I171" s="34"/>
      <c r="J171" s="7"/>
      <c r="K171" s="34"/>
      <c r="L171" s="34"/>
      <c r="M171" s="7"/>
      <c r="N171" s="34"/>
      <c r="O171" s="34"/>
      <c r="P171" s="7"/>
      <c r="Q171" s="34"/>
      <c r="R171" s="34"/>
      <c r="S171" s="7"/>
      <c r="T171" s="34"/>
      <c r="U171" s="34"/>
      <c r="V171" s="7"/>
      <c r="W171" s="34"/>
      <c r="X171" s="34"/>
      <c r="Y171" s="7"/>
      <c r="Z171" s="34"/>
      <c r="AA171" s="34"/>
      <c r="AC171" s="34"/>
      <c r="AD171" s="34"/>
      <c r="AE171" s="7"/>
      <c r="AF171" s="34"/>
      <c r="AG171" s="34"/>
      <c r="AT171" s="8"/>
    </row>
    <row r="172" spans="1:54" x14ac:dyDescent="0.25">
      <c r="A172" s="5"/>
      <c r="B172" s="505"/>
      <c r="C172" s="505"/>
      <c r="D172" s="7"/>
      <c r="E172" s="532"/>
      <c r="F172" s="532"/>
      <c r="G172" s="7"/>
      <c r="H172" s="532"/>
      <c r="I172" s="532"/>
      <c r="J172" s="7"/>
      <c r="K172" s="532"/>
      <c r="L172" s="532"/>
      <c r="M172" s="7"/>
      <c r="N172" s="532"/>
      <c r="O172" s="532"/>
      <c r="P172" s="7"/>
      <c r="Q172" s="532"/>
      <c r="R172" s="532"/>
      <c r="S172" s="7"/>
      <c r="T172" s="532"/>
      <c r="U172" s="532"/>
      <c r="V172" s="7"/>
      <c r="W172" s="532"/>
      <c r="X172" s="532"/>
      <c r="Y172" s="7"/>
      <c r="Z172" s="505"/>
      <c r="AA172" s="505"/>
      <c r="AB172" s="7"/>
      <c r="AC172" s="505"/>
      <c r="AD172" s="505"/>
      <c r="AE172" s="489"/>
      <c r="AF172" s="489"/>
      <c r="AG172" s="489"/>
      <c r="AH172" s="489"/>
      <c r="AI172" s="498"/>
      <c r="AJ172" s="498"/>
      <c r="AL172" s="498"/>
      <c r="AM172" s="498"/>
      <c r="AO172" s="498"/>
      <c r="AP172" s="498"/>
      <c r="AQ172" s="13"/>
      <c r="AR172" s="13"/>
      <c r="AT172" s="8"/>
    </row>
    <row r="173" spans="1:54" x14ac:dyDescent="0.25">
      <c r="A173" s="5"/>
      <c r="B173" s="14"/>
      <c r="C173" s="15"/>
      <c r="D173" s="19"/>
      <c r="E173" s="14"/>
      <c r="F173" s="15"/>
      <c r="G173" s="19"/>
      <c r="H173" s="533" t="s">
        <v>406</v>
      </c>
      <c r="I173" s="534"/>
      <c r="J173" s="19"/>
      <c r="K173" s="14"/>
      <c r="L173" s="15"/>
      <c r="M173" s="19"/>
      <c r="N173" s="14"/>
      <c r="O173" s="15"/>
      <c r="P173" s="19"/>
      <c r="Q173" s="14"/>
      <c r="R173" s="15"/>
      <c r="S173" s="19"/>
      <c r="T173" s="14"/>
      <c r="U173" s="15"/>
      <c r="V173" s="19"/>
      <c r="W173" s="14"/>
      <c r="X173" s="15"/>
      <c r="Y173" s="19"/>
      <c r="Z173" s="14"/>
      <c r="AA173" s="15"/>
      <c r="AB173" s="34"/>
      <c r="AC173" s="14"/>
      <c r="AD173" s="15"/>
      <c r="AE173" s="19"/>
      <c r="AF173" s="14"/>
      <c r="AG173" s="15"/>
      <c r="AH173" s="18"/>
      <c r="AI173" s="14"/>
      <c r="AJ173" s="15"/>
      <c r="AK173" s="18"/>
      <c r="AL173" s="14"/>
      <c r="AM173" s="15"/>
      <c r="AN173" s="18"/>
      <c r="AO173" s="533" t="s">
        <v>406</v>
      </c>
      <c r="AP173" s="534"/>
      <c r="AQ173" s="274"/>
      <c r="AR173" s="274"/>
      <c r="AS173" s="18"/>
      <c r="AT173" s="285"/>
    </row>
    <row r="174" spans="1:54" x14ac:dyDescent="0.25">
      <c r="A174" s="5"/>
      <c r="B174" s="37"/>
      <c r="C174" s="37"/>
      <c r="D174" s="19"/>
      <c r="E174" s="37"/>
      <c r="F174" s="37"/>
      <c r="G174" s="19"/>
      <c r="H174" s="535"/>
      <c r="I174" s="536"/>
      <c r="J174" s="19"/>
      <c r="K174" s="37"/>
      <c r="L174" s="37"/>
      <c r="M174" s="19"/>
      <c r="N174" s="37"/>
      <c r="O174" s="37"/>
      <c r="P174" s="19"/>
      <c r="Q174" s="37"/>
      <c r="R174" s="37"/>
      <c r="S174" s="19"/>
      <c r="T174" s="37"/>
      <c r="U174" s="37"/>
      <c r="V174" s="19"/>
      <c r="W174" s="37"/>
      <c r="X174" s="37"/>
      <c r="Y174" s="7"/>
      <c r="Z174" s="37"/>
      <c r="AA174" s="37"/>
      <c r="AB174" s="40"/>
      <c r="AC174" s="37"/>
      <c r="AD174" s="37"/>
      <c r="AE174" s="7"/>
      <c r="AF174" s="37"/>
      <c r="AG174" s="37"/>
      <c r="AH174" s="18"/>
      <c r="AI174" s="37"/>
      <c r="AJ174" s="37"/>
      <c r="AL174" s="37"/>
      <c r="AM174" s="37"/>
      <c r="AO174" s="535"/>
      <c r="AP174" s="536"/>
      <c r="AQ174" s="274"/>
      <c r="AR174" s="274"/>
      <c r="AS174" s="18"/>
      <c r="AT174" s="285"/>
      <c r="AV174" s="2">
        <v>14</v>
      </c>
      <c r="AW174" s="2">
        <v>12</v>
      </c>
      <c r="AX174" s="2">
        <v>12</v>
      </c>
      <c r="AY174" s="2">
        <v>9</v>
      </c>
      <c r="AZ174" s="2"/>
      <c r="BB174" s="20">
        <f>+D173+G173+J173+M173+P173+S173+V173+Y173+AB173+AE173+AH173+AK173+AN173+AS173</f>
        <v>0</v>
      </c>
    </row>
    <row r="175" spans="1:54" x14ac:dyDescent="0.25">
      <c r="A175" s="5"/>
      <c r="B175" s="493" t="s">
        <v>21</v>
      </c>
      <c r="C175" s="493"/>
      <c r="D175" s="19">
        <v>433</v>
      </c>
      <c r="E175" s="510" t="s">
        <v>33</v>
      </c>
      <c r="F175" s="493"/>
      <c r="G175" s="19">
        <v>352</v>
      </c>
      <c r="H175" s="493" t="s">
        <v>21</v>
      </c>
      <c r="I175" s="493"/>
      <c r="J175" s="19">
        <v>440</v>
      </c>
      <c r="K175" s="510" t="s">
        <v>19</v>
      </c>
      <c r="L175" s="493"/>
      <c r="M175" s="19">
        <v>384</v>
      </c>
      <c r="N175" s="510" t="s">
        <v>21</v>
      </c>
      <c r="O175" s="493"/>
      <c r="P175" s="19">
        <v>373</v>
      </c>
      <c r="Q175" s="510" t="s">
        <v>28</v>
      </c>
      <c r="R175" s="493"/>
      <c r="S175" s="19">
        <v>389</v>
      </c>
      <c r="T175" s="497" t="s">
        <v>38</v>
      </c>
      <c r="U175" s="493"/>
      <c r="V175" s="19">
        <v>399</v>
      </c>
      <c r="W175" s="497" t="s">
        <v>19</v>
      </c>
      <c r="X175" s="493"/>
      <c r="Y175" s="7">
        <v>412</v>
      </c>
      <c r="Z175" s="504" t="s">
        <v>21</v>
      </c>
      <c r="AA175" s="505"/>
      <c r="AB175" s="40">
        <v>418</v>
      </c>
      <c r="AC175" s="504" t="s">
        <v>28</v>
      </c>
      <c r="AD175" s="504"/>
      <c r="AE175" s="7">
        <v>394</v>
      </c>
      <c r="AF175" s="504" t="s">
        <v>241</v>
      </c>
      <c r="AG175" s="505"/>
      <c r="AH175" s="18">
        <v>399</v>
      </c>
      <c r="AI175" s="544" t="s">
        <v>28</v>
      </c>
      <c r="AJ175" s="498"/>
      <c r="AK175" s="6">
        <v>342</v>
      </c>
      <c r="AL175" s="544" t="s">
        <v>28</v>
      </c>
      <c r="AM175" s="498"/>
      <c r="AN175" s="6">
        <v>358</v>
      </c>
      <c r="AO175" s="498" t="s">
        <v>25</v>
      </c>
      <c r="AP175" s="498"/>
      <c r="AQ175" s="13">
        <v>478</v>
      </c>
      <c r="AR175" s="13"/>
      <c r="AS175" s="18"/>
      <c r="AT175" s="285"/>
    </row>
    <row r="176" spans="1:54" x14ac:dyDescent="0.25">
      <c r="A176" s="5"/>
      <c r="B176" s="505" t="s">
        <v>337</v>
      </c>
      <c r="C176" s="505"/>
      <c r="D176" s="7"/>
      <c r="E176" s="505" t="s">
        <v>338</v>
      </c>
      <c r="F176" s="505"/>
      <c r="G176" s="7"/>
      <c r="H176" s="505" t="s">
        <v>339</v>
      </c>
      <c r="I176" s="505"/>
      <c r="J176" s="7"/>
      <c r="K176" s="505" t="s">
        <v>340</v>
      </c>
      <c r="L176" s="505"/>
      <c r="M176" s="7"/>
      <c r="N176" s="505" t="s">
        <v>341</v>
      </c>
      <c r="O176" s="505"/>
      <c r="P176" s="7"/>
      <c r="Q176" s="505" t="s">
        <v>342</v>
      </c>
      <c r="R176" s="505"/>
      <c r="S176" s="7"/>
      <c r="T176" s="505" t="s">
        <v>343</v>
      </c>
      <c r="U176" s="505"/>
      <c r="V176" s="7"/>
      <c r="W176" s="505" t="s">
        <v>344</v>
      </c>
      <c r="X176" s="505"/>
      <c r="Y176" s="7"/>
      <c r="Z176" s="505" t="s">
        <v>345</v>
      </c>
      <c r="AA176" s="505"/>
      <c r="AB176" s="7"/>
      <c r="AC176" s="505" t="s">
        <v>346</v>
      </c>
      <c r="AD176" s="505"/>
      <c r="AE176" s="7"/>
      <c r="AF176" s="505" t="s">
        <v>347</v>
      </c>
      <c r="AG176" s="505"/>
      <c r="AI176" s="505" t="s">
        <v>348</v>
      </c>
      <c r="AJ176" s="505"/>
      <c r="AL176" s="505" t="s">
        <v>349</v>
      </c>
      <c r="AM176" s="505"/>
      <c r="AO176" s="505" t="s">
        <v>350</v>
      </c>
      <c r="AP176" s="505"/>
      <c r="AQ176" s="21"/>
      <c r="AR176" s="21"/>
      <c r="AT176" s="8"/>
    </row>
    <row r="177" spans="1:54" x14ac:dyDescent="0.25">
      <c r="B177" s="24" t="s">
        <v>367</v>
      </c>
      <c r="C177" s="69"/>
      <c r="D177" s="70"/>
      <c r="E177" s="69"/>
      <c r="F177" s="24" t="s">
        <v>367</v>
      </c>
      <c r="G177" s="70"/>
      <c r="H177" s="69"/>
      <c r="I177" s="24" t="s">
        <v>367</v>
      </c>
      <c r="J177" s="70"/>
      <c r="K177" s="69"/>
      <c r="L177" s="24" t="s">
        <v>367</v>
      </c>
      <c r="M177" s="70"/>
      <c r="N177" s="69"/>
      <c r="O177" s="24" t="s">
        <v>367</v>
      </c>
      <c r="P177" s="70"/>
      <c r="Q177" s="69"/>
      <c r="R177" s="24" t="s">
        <v>367</v>
      </c>
      <c r="S177" s="70"/>
      <c r="T177" s="69"/>
      <c r="U177" s="24" t="s">
        <v>367</v>
      </c>
      <c r="V177" s="70"/>
      <c r="W177" s="69"/>
      <c r="X177" s="24" t="s">
        <v>367</v>
      </c>
      <c r="Y177" s="70"/>
      <c r="Z177" s="69"/>
      <c r="AA177" s="24" t="s">
        <v>367</v>
      </c>
      <c r="AB177" s="70"/>
      <c r="AC177" s="69"/>
      <c r="AD177" s="24" t="s">
        <v>367</v>
      </c>
      <c r="AE177" s="70"/>
      <c r="AF177" s="69"/>
      <c r="AG177" s="24" t="s">
        <v>367</v>
      </c>
      <c r="AH177" s="72"/>
      <c r="AI177" s="69"/>
      <c r="AJ177" s="24" t="s">
        <v>367</v>
      </c>
      <c r="AK177" s="72"/>
      <c r="AL177" s="69"/>
      <c r="AM177" s="24" t="s">
        <v>367</v>
      </c>
      <c r="AN177" s="72"/>
      <c r="AO177" s="69"/>
      <c r="AP177" s="24" t="s">
        <v>367</v>
      </c>
      <c r="AQ177" s="24"/>
      <c r="AR177" s="24"/>
      <c r="AT177" s="8"/>
    </row>
    <row r="178" spans="1:54" x14ac:dyDescent="0.25">
      <c r="A178" s="541" t="s">
        <v>413</v>
      </c>
      <c r="B178" s="541"/>
      <c r="C178" s="541"/>
      <c r="D178" s="541"/>
      <c r="E178" s="44"/>
      <c r="F178" s="21"/>
      <c r="G178" s="21"/>
      <c r="H178" s="44"/>
      <c r="I178" s="34"/>
      <c r="J178" s="19"/>
      <c r="K178" s="45"/>
      <c r="L178" s="46"/>
      <c r="M178" s="19"/>
      <c r="N178" s="45"/>
      <c r="O178" s="46"/>
      <c r="P178" s="19"/>
      <c r="Q178" s="45"/>
      <c r="R178" s="46"/>
      <c r="S178" s="19"/>
      <c r="T178" s="45"/>
      <c r="U178" s="46"/>
      <c r="V178" s="19"/>
      <c r="W178" s="44"/>
      <c r="X178" s="34"/>
      <c r="Y178" s="7"/>
      <c r="Z178" s="44"/>
      <c r="AA178" s="34"/>
      <c r="AB178" s="34"/>
      <c r="AC178" s="44"/>
      <c r="AD178" s="34"/>
      <c r="AE178" s="7"/>
      <c r="AF178" s="44"/>
      <c r="AG178" s="34"/>
      <c r="AI178" s="44"/>
      <c r="AJ178" s="34"/>
      <c r="AL178" s="44"/>
      <c r="AM178" s="34"/>
      <c r="AO178" s="44"/>
      <c r="AP178" s="34"/>
      <c r="AQ178" s="34"/>
      <c r="AR178" s="34"/>
      <c r="AT178" s="8"/>
      <c r="AV178" s="6"/>
      <c r="AW178" s="6"/>
      <c r="AX178" s="6"/>
      <c r="AY178" s="6"/>
      <c r="AZ178" s="6"/>
    </row>
    <row r="179" spans="1:54" x14ac:dyDescent="0.25">
      <c r="A179" s="5"/>
      <c r="B179" s="34"/>
      <c r="C179" s="34"/>
      <c r="D179" s="7"/>
      <c r="E179" s="34"/>
      <c r="F179" s="34"/>
      <c r="G179" s="7"/>
      <c r="H179" s="34"/>
      <c r="I179" s="34"/>
      <c r="J179" s="7"/>
      <c r="K179" s="34"/>
      <c r="L179" s="34"/>
      <c r="M179" s="7"/>
      <c r="N179" s="34"/>
      <c r="O179" s="34"/>
      <c r="P179" s="7"/>
      <c r="Q179" s="34"/>
      <c r="R179" s="34"/>
      <c r="S179" s="7"/>
      <c r="T179" s="34"/>
      <c r="U179" s="34"/>
      <c r="V179" s="7"/>
      <c r="W179" s="34"/>
      <c r="X179" s="34"/>
      <c r="Y179" s="7"/>
      <c r="Z179" s="34"/>
      <c r="AA179" s="34"/>
      <c r="AC179" s="34"/>
      <c r="AD179" s="34"/>
      <c r="AE179" s="7"/>
      <c r="AF179" s="34"/>
      <c r="AG179" s="34"/>
      <c r="AT179" s="8"/>
    </row>
    <row r="180" spans="1:54" x14ac:dyDescent="0.25">
      <c r="A180" s="5"/>
      <c r="B180" s="505"/>
      <c r="C180" s="505"/>
      <c r="D180" s="7"/>
      <c r="E180" s="532"/>
      <c r="F180" s="532"/>
      <c r="G180" s="7"/>
      <c r="H180" s="532"/>
      <c r="I180" s="532"/>
      <c r="J180" s="7"/>
      <c r="K180" s="532"/>
      <c r="L180" s="532"/>
      <c r="M180" s="7"/>
      <c r="N180" s="532"/>
      <c r="O180" s="532"/>
      <c r="P180" s="7"/>
      <c r="Q180" s="532"/>
      <c r="R180" s="532"/>
      <c r="S180" s="7"/>
      <c r="T180" s="532"/>
      <c r="U180" s="532"/>
      <c r="V180" s="7"/>
      <c r="W180" s="532"/>
      <c r="X180" s="532"/>
      <c r="Y180" s="7"/>
      <c r="Z180" s="505"/>
      <c r="AA180" s="505"/>
      <c r="AB180" s="7"/>
      <c r="AC180" s="505"/>
      <c r="AD180" s="505"/>
      <c r="AE180" s="489"/>
      <c r="AF180" s="489"/>
      <c r="AG180" s="489"/>
      <c r="AH180" s="489"/>
      <c r="AI180" s="491"/>
      <c r="AJ180" s="491"/>
      <c r="AL180" s="491"/>
      <c r="AM180" s="491"/>
      <c r="AO180" s="491"/>
      <c r="AP180" s="491"/>
      <c r="AQ180" s="13"/>
      <c r="AR180" s="13"/>
      <c r="AT180" s="8"/>
    </row>
    <row r="181" spans="1:54" x14ac:dyDescent="0.25">
      <c r="A181" s="5"/>
      <c r="B181" s="14"/>
      <c r="C181" s="15"/>
      <c r="D181" s="19"/>
      <c r="E181" s="14"/>
      <c r="F181" s="15"/>
      <c r="G181" s="19"/>
      <c r="H181" s="14"/>
      <c r="I181" s="15"/>
      <c r="J181" s="19"/>
      <c r="K181" s="14"/>
      <c r="L181" s="15"/>
      <c r="M181" s="19"/>
      <c r="N181" s="14"/>
      <c r="O181" s="15"/>
      <c r="P181" s="19"/>
      <c r="Q181" s="14"/>
      <c r="R181" s="15"/>
      <c r="S181" s="19"/>
      <c r="T181" s="14"/>
      <c r="U181" s="15"/>
      <c r="V181" s="19"/>
      <c r="W181" s="14"/>
      <c r="X181" s="15"/>
      <c r="Y181" s="19"/>
      <c r="Z181" s="14"/>
      <c r="AA181" s="15"/>
      <c r="AB181" s="34"/>
      <c r="AC181" s="14"/>
      <c r="AD181" s="15"/>
      <c r="AE181" s="19"/>
      <c r="AF181" s="14"/>
      <c r="AG181" s="15"/>
      <c r="AH181" s="18"/>
      <c r="AI181" s="14"/>
      <c r="AJ181" s="15"/>
      <c r="AK181" s="18"/>
      <c r="AL181" s="14"/>
      <c r="AM181" s="15"/>
      <c r="AN181" s="18"/>
      <c r="AO181" s="14"/>
      <c r="AP181" s="15"/>
      <c r="AQ181" s="273"/>
      <c r="AR181" s="273"/>
      <c r="AS181" s="18"/>
      <c r="AT181" s="285"/>
    </row>
    <row r="182" spans="1:54" x14ac:dyDescent="0.25">
      <c r="A182" s="5"/>
      <c r="B182" s="37"/>
      <c r="C182" s="37"/>
      <c r="D182" s="19"/>
      <c r="E182" s="37"/>
      <c r="F182" s="37"/>
      <c r="G182" s="19"/>
      <c r="H182" s="37"/>
      <c r="I182" s="37"/>
      <c r="J182" s="19"/>
      <c r="K182" s="37"/>
      <c r="L182" s="37"/>
      <c r="M182" s="19"/>
      <c r="N182" s="37"/>
      <c r="O182" s="37"/>
      <c r="P182" s="19"/>
      <c r="Q182" s="37"/>
      <c r="R182" s="37"/>
      <c r="S182" s="19"/>
      <c r="T182" s="37"/>
      <c r="U182" s="37"/>
      <c r="V182" s="19"/>
      <c r="W182" s="37"/>
      <c r="X182" s="37"/>
      <c r="Y182" s="7"/>
      <c r="Z182" s="37"/>
      <c r="AA182" s="37"/>
      <c r="AB182" s="40"/>
      <c r="AC182" s="37"/>
      <c r="AD182" s="37"/>
      <c r="AE182" s="7"/>
      <c r="AF182" s="37"/>
      <c r="AG182" s="37"/>
      <c r="AH182" s="18"/>
      <c r="AI182" s="37"/>
      <c r="AJ182" s="37"/>
      <c r="AL182" s="37"/>
      <c r="AM182" s="37"/>
      <c r="AO182" s="37"/>
      <c r="AP182" s="37"/>
      <c r="AQ182" s="44"/>
      <c r="AR182" s="44"/>
      <c r="AS182" s="18"/>
      <c r="AT182" s="285"/>
      <c r="AV182" s="2">
        <v>14</v>
      </c>
      <c r="AW182" s="2">
        <v>12</v>
      </c>
      <c r="AX182" s="2">
        <v>12</v>
      </c>
      <c r="AY182" s="2">
        <v>9</v>
      </c>
      <c r="AZ182" s="2"/>
      <c r="BB182" s="20">
        <f>+D181+G181+J181+M181+P181+S181+V181+Y181+AB181+AE181+AH181+AK181+AN181+AS181</f>
        <v>0</v>
      </c>
    </row>
    <row r="183" spans="1:54" x14ac:dyDescent="0.25">
      <c r="A183" s="5"/>
      <c r="B183" s="504" t="s">
        <v>241</v>
      </c>
      <c r="C183" s="505"/>
      <c r="D183" s="19"/>
      <c r="E183" s="510"/>
      <c r="F183" s="493"/>
      <c r="G183" s="19"/>
      <c r="H183" s="493"/>
      <c r="I183" s="493"/>
      <c r="J183" s="19"/>
      <c r="K183" s="510"/>
      <c r="L183" s="493"/>
      <c r="M183" s="19"/>
      <c r="N183" s="510"/>
      <c r="O183" s="493"/>
      <c r="P183" s="19"/>
      <c r="Q183" s="510"/>
      <c r="R183" s="493"/>
      <c r="S183" s="19"/>
      <c r="T183" s="497"/>
      <c r="U183" s="493"/>
      <c r="V183" s="19"/>
      <c r="W183" s="497"/>
      <c r="X183" s="493"/>
      <c r="Y183" s="7"/>
      <c r="Z183" s="504"/>
      <c r="AA183" s="505"/>
      <c r="AB183" s="40"/>
      <c r="AC183" s="504"/>
      <c r="AD183" s="504"/>
      <c r="AE183" s="7"/>
      <c r="AF183" s="510"/>
      <c r="AG183" s="510"/>
      <c r="AH183" s="18"/>
      <c r="AI183" s="552"/>
      <c r="AJ183" s="552"/>
      <c r="AL183" s="553"/>
      <c r="AM183" s="553"/>
      <c r="AO183" s="498"/>
      <c r="AP183" s="498"/>
      <c r="AQ183" s="13"/>
      <c r="AR183" s="13"/>
      <c r="AS183" s="18"/>
      <c r="AT183" s="285"/>
    </row>
    <row r="184" spans="1:54" x14ac:dyDescent="0.25">
      <c r="A184" s="5"/>
      <c r="B184" s="505" t="s">
        <v>351</v>
      </c>
      <c r="C184" s="505"/>
      <c r="D184" s="7"/>
      <c r="E184" s="505"/>
      <c r="F184" s="505"/>
      <c r="G184" s="7"/>
      <c r="H184" s="505"/>
      <c r="I184" s="505"/>
      <c r="J184" s="7"/>
      <c r="K184" s="505"/>
      <c r="L184" s="505"/>
      <c r="M184" s="7"/>
      <c r="N184" s="505"/>
      <c r="O184" s="505"/>
      <c r="P184" s="7"/>
      <c r="Q184" s="505"/>
      <c r="R184" s="505"/>
      <c r="S184" s="7"/>
      <c r="T184" s="505"/>
      <c r="U184" s="505"/>
      <c r="V184" s="7"/>
      <c r="W184" s="503"/>
      <c r="X184" s="505"/>
      <c r="Y184" s="7"/>
      <c r="Z184" s="505"/>
      <c r="AA184" s="505"/>
      <c r="AB184" s="7"/>
      <c r="AC184" s="505"/>
      <c r="AD184" s="505"/>
      <c r="AE184" s="7"/>
      <c r="AF184" s="505"/>
      <c r="AG184" s="505"/>
      <c r="AI184" s="544"/>
      <c r="AJ184" s="498"/>
      <c r="AL184" s="498"/>
      <c r="AM184" s="498"/>
      <c r="AO184" s="498"/>
      <c r="AP184" s="498"/>
      <c r="AQ184" s="13"/>
      <c r="AR184" s="13"/>
      <c r="AT184" s="8"/>
    </row>
    <row r="185" spans="1:54" x14ac:dyDescent="0.25">
      <c r="B185" s="24" t="s">
        <v>367</v>
      </c>
      <c r="C185" s="69"/>
      <c r="D185" s="33"/>
      <c r="E185" s="32"/>
      <c r="F185" s="32"/>
      <c r="G185" s="33"/>
      <c r="H185" s="32"/>
      <c r="I185" s="32"/>
      <c r="J185" s="33"/>
      <c r="K185" s="32"/>
      <c r="L185" s="32"/>
      <c r="M185" s="33"/>
      <c r="N185" s="32"/>
      <c r="O185" s="32"/>
      <c r="P185" s="33"/>
      <c r="Q185" s="32"/>
      <c r="R185" s="32"/>
      <c r="S185" s="33"/>
      <c r="T185" s="32"/>
      <c r="U185" s="32"/>
      <c r="V185" s="33"/>
      <c r="W185" s="32"/>
      <c r="X185" s="32"/>
      <c r="Y185" s="33"/>
      <c r="Z185" s="32"/>
      <c r="AA185" s="32"/>
      <c r="AB185" s="33"/>
      <c r="AC185" s="32"/>
      <c r="AD185" s="32"/>
      <c r="AE185" s="33"/>
      <c r="AF185" s="32"/>
      <c r="AG185" s="32"/>
      <c r="AH185" s="42"/>
      <c r="AI185" s="32"/>
      <c r="AJ185" s="32"/>
      <c r="AK185" s="42"/>
      <c r="AL185" s="32"/>
      <c r="AM185" s="32"/>
      <c r="AN185" s="42"/>
      <c r="AO185" s="32"/>
      <c r="AP185" s="32"/>
      <c r="AQ185" s="32"/>
      <c r="AR185" s="32"/>
      <c r="AT185" s="8"/>
    </row>
    <row r="186" spans="1:54" x14ac:dyDescent="0.25">
      <c r="B186" s="21"/>
      <c r="C186" s="21"/>
      <c r="D186" s="19"/>
      <c r="E186" s="44"/>
      <c r="F186" s="21"/>
      <c r="G186" s="21"/>
      <c r="H186" s="44"/>
      <c r="I186" s="34"/>
      <c r="J186" s="19"/>
      <c r="K186" s="45"/>
      <c r="L186" s="46"/>
      <c r="M186" s="19"/>
      <c r="N186" s="45"/>
      <c r="O186" s="46"/>
      <c r="P186" s="19"/>
      <c r="Q186" s="45"/>
      <c r="R186" s="46"/>
      <c r="S186" s="19"/>
      <c r="T186" s="45"/>
      <c r="U186" s="46"/>
      <c r="V186" s="19"/>
      <c r="W186" s="44"/>
      <c r="X186" s="34"/>
      <c r="Y186" s="7"/>
      <c r="Z186" s="44"/>
      <c r="AA186" s="34"/>
      <c r="AB186" s="34"/>
      <c r="AC186" s="44"/>
      <c r="AD186" s="34"/>
      <c r="AE186" s="7"/>
      <c r="AF186" s="44"/>
      <c r="AG186" s="34"/>
      <c r="AI186" s="44"/>
      <c r="AJ186" s="34"/>
      <c r="AL186" s="44"/>
      <c r="AM186" s="34"/>
      <c r="AO186" s="44"/>
      <c r="AP186" s="34"/>
      <c r="AQ186" s="34"/>
      <c r="AR186" s="34"/>
      <c r="AT186" s="8"/>
      <c r="AV186" s="6"/>
      <c r="AW186" s="6"/>
      <c r="AX186" s="6"/>
      <c r="AY186" s="6"/>
      <c r="AZ186" s="6"/>
    </row>
    <row r="187" spans="1:54" x14ac:dyDescent="0.25">
      <c r="B187" s="21"/>
      <c r="C187" s="21"/>
      <c r="D187" s="19"/>
      <c r="E187" s="44"/>
      <c r="F187" s="21"/>
      <c r="G187" s="21"/>
      <c r="H187" s="44"/>
      <c r="I187" s="34"/>
      <c r="J187" s="19"/>
      <c r="K187" s="45"/>
      <c r="L187" s="46"/>
      <c r="M187" s="19"/>
      <c r="N187" s="45"/>
      <c r="O187" s="46"/>
      <c r="P187" s="19"/>
      <c r="Q187" s="45"/>
      <c r="R187" s="46"/>
      <c r="S187" s="19"/>
      <c r="T187" s="45"/>
      <c r="U187" s="46"/>
      <c r="V187" s="19"/>
      <c r="W187" s="44"/>
      <c r="X187" s="34"/>
      <c r="Y187" s="7"/>
      <c r="Z187" s="44"/>
      <c r="AA187" s="34"/>
      <c r="AB187" s="34"/>
      <c r="AC187" s="44"/>
      <c r="AD187" s="34"/>
      <c r="AE187" s="7"/>
      <c r="AF187" s="44"/>
      <c r="AG187" s="34"/>
      <c r="AI187" s="44"/>
      <c r="AJ187" s="34"/>
      <c r="AL187" s="44"/>
      <c r="AM187" s="34"/>
      <c r="AO187" s="44"/>
      <c r="AP187" s="34"/>
      <c r="AQ187" s="34"/>
      <c r="AR187" s="34"/>
      <c r="AT187" s="8"/>
      <c r="AV187" s="6"/>
      <c r="AW187" s="6"/>
      <c r="AX187" s="6"/>
      <c r="AY187" s="6"/>
      <c r="AZ187" s="6"/>
    </row>
    <row r="188" spans="1:54" x14ac:dyDescent="0.25">
      <c r="B188" s="21"/>
      <c r="C188" s="21"/>
      <c r="D188" s="19"/>
      <c r="E188" s="44"/>
      <c r="F188" s="21"/>
      <c r="G188" s="21"/>
      <c r="H188" s="44"/>
      <c r="I188" s="34"/>
      <c r="J188" s="19"/>
      <c r="K188" s="45"/>
      <c r="L188" s="46"/>
      <c r="M188" s="19"/>
      <c r="N188" s="45"/>
      <c r="O188" s="46"/>
      <c r="P188" s="19"/>
      <c r="Q188" s="45"/>
      <c r="R188" s="46"/>
      <c r="S188" s="19"/>
      <c r="T188" s="45"/>
      <c r="U188" s="46"/>
      <c r="V188" s="19"/>
      <c r="W188" s="44"/>
      <c r="X188" s="34"/>
      <c r="Y188" s="7"/>
      <c r="Z188" s="44"/>
      <c r="AA188" s="34"/>
      <c r="AB188" s="34"/>
      <c r="AC188" s="44"/>
      <c r="AD188" s="34"/>
      <c r="AE188" s="7"/>
      <c r="AF188" s="44"/>
      <c r="AG188" s="34"/>
      <c r="AI188" s="44"/>
      <c r="AJ188" s="34"/>
      <c r="AL188" s="44"/>
      <c r="AM188" s="34"/>
      <c r="AO188" s="44"/>
      <c r="AP188" s="34"/>
      <c r="AQ188" s="34"/>
      <c r="AR188" s="34"/>
      <c r="AT188" s="8"/>
      <c r="AV188" s="6"/>
      <c r="AW188" s="6"/>
      <c r="AX188" s="6"/>
      <c r="AY188" s="6"/>
      <c r="AZ188" s="6"/>
    </row>
    <row r="189" spans="1:54" x14ac:dyDescent="0.25">
      <c r="B189" s="21"/>
      <c r="C189" s="21"/>
      <c r="D189" s="19"/>
      <c r="E189" s="44"/>
      <c r="F189" s="21"/>
      <c r="G189" s="21"/>
      <c r="H189" s="44"/>
      <c r="I189" s="34"/>
      <c r="J189" s="19"/>
      <c r="K189" s="45"/>
      <c r="L189" s="46"/>
      <c r="M189" s="19"/>
      <c r="N189" s="45"/>
      <c r="O189" s="46"/>
      <c r="P189" s="19"/>
      <c r="Q189" s="45"/>
      <c r="R189" s="46"/>
      <c r="S189" s="19"/>
      <c r="T189" s="45"/>
      <c r="U189" s="46"/>
      <c r="V189" s="19"/>
      <c r="W189" s="44"/>
      <c r="X189" s="34"/>
      <c r="Y189" s="7"/>
      <c r="Z189" s="44"/>
      <c r="AA189" s="34"/>
      <c r="AB189" s="34"/>
      <c r="AC189" s="44"/>
      <c r="AD189" s="34"/>
      <c r="AE189" s="7"/>
      <c r="AF189" s="44"/>
      <c r="AG189" s="34"/>
      <c r="AI189" s="44"/>
      <c r="AJ189" s="34"/>
      <c r="AL189" s="44"/>
      <c r="AM189" s="34"/>
      <c r="AO189" s="44"/>
      <c r="AP189" s="34"/>
      <c r="AQ189" s="34"/>
      <c r="AR189" s="34"/>
      <c r="AT189" s="8"/>
      <c r="AV189" s="6"/>
      <c r="AW189" s="6"/>
      <c r="AX189" s="6"/>
      <c r="AY189" s="6"/>
      <c r="AZ189" s="6"/>
    </row>
    <row r="190" spans="1:54" x14ac:dyDescent="0.25">
      <c r="B190" s="21"/>
      <c r="C190" s="21"/>
      <c r="D190" s="19"/>
      <c r="E190" s="44"/>
      <c r="F190" s="21"/>
      <c r="G190" s="21"/>
      <c r="H190" s="44"/>
      <c r="I190" s="34"/>
      <c r="J190" s="19"/>
      <c r="K190" s="45"/>
      <c r="L190" s="46"/>
      <c r="M190" s="19"/>
      <c r="N190" s="45"/>
      <c r="O190" s="46"/>
      <c r="P190" s="19"/>
      <c r="Q190" s="45"/>
      <c r="R190" s="46"/>
      <c r="S190" s="19"/>
      <c r="T190" s="45"/>
      <c r="U190" s="46"/>
      <c r="V190" s="19"/>
      <c r="W190" s="44"/>
      <c r="X190" s="34"/>
      <c r="Y190" s="7"/>
      <c r="Z190" s="44"/>
      <c r="AA190" s="34"/>
      <c r="AB190" s="34"/>
      <c r="AC190" s="44"/>
      <c r="AD190" s="34"/>
      <c r="AE190" s="7"/>
      <c r="AF190" s="44"/>
      <c r="AG190" s="34"/>
      <c r="AI190" s="44"/>
      <c r="AJ190" s="34"/>
      <c r="AL190" s="44"/>
      <c r="AM190" s="34"/>
      <c r="AO190" s="44"/>
      <c r="AP190" s="34"/>
      <c r="AQ190" s="34"/>
      <c r="AR190" s="34"/>
      <c r="AT190" s="8"/>
      <c r="AV190" s="6"/>
      <c r="AW190" s="6"/>
      <c r="AX190" s="6"/>
      <c r="AY190" s="6"/>
      <c r="AZ190" s="6"/>
    </row>
    <row r="191" spans="1:54" x14ac:dyDescent="0.25">
      <c r="B191" s="21"/>
      <c r="C191" s="21"/>
      <c r="D191" s="19"/>
      <c r="E191" s="44"/>
      <c r="F191" s="21"/>
      <c r="G191" s="21"/>
      <c r="H191" s="44"/>
      <c r="I191" s="34"/>
      <c r="J191" s="19"/>
      <c r="K191" s="45"/>
      <c r="L191" s="46"/>
      <c r="M191" s="19"/>
      <c r="N191" s="45"/>
      <c r="O191" s="46"/>
      <c r="P191" s="19"/>
      <c r="Q191" s="45"/>
      <c r="R191" s="46"/>
      <c r="S191" s="19"/>
      <c r="T191" s="45"/>
      <c r="U191" s="46"/>
      <c r="V191" s="19"/>
      <c r="W191" s="44"/>
      <c r="X191" s="34"/>
      <c r="Y191" s="7"/>
      <c r="Z191" s="44"/>
      <c r="AA191" s="34"/>
      <c r="AB191" s="34"/>
      <c r="AC191" s="44"/>
      <c r="AD191" s="34"/>
      <c r="AE191" s="7"/>
      <c r="AF191" s="44"/>
      <c r="AG191" s="34"/>
      <c r="AI191" s="44"/>
      <c r="AJ191" s="34"/>
      <c r="AL191" s="44"/>
      <c r="AM191" s="34"/>
      <c r="AO191" s="44"/>
      <c r="AP191" s="34"/>
      <c r="AQ191" s="34"/>
      <c r="AR191" s="34"/>
      <c r="AT191" s="8"/>
      <c r="AV191" s="6"/>
      <c r="AW191" s="6"/>
      <c r="AX191" s="6"/>
      <c r="AY191" s="6"/>
      <c r="AZ191" s="6"/>
    </row>
    <row r="192" spans="1:54" x14ac:dyDescent="0.25">
      <c r="B192" s="21"/>
      <c r="C192" s="21"/>
      <c r="D192" s="19"/>
      <c r="E192" s="44"/>
      <c r="F192" s="21"/>
      <c r="G192" s="21"/>
      <c r="H192" s="44"/>
      <c r="I192" s="34"/>
      <c r="J192" s="19"/>
      <c r="K192" s="45"/>
      <c r="L192" s="46"/>
      <c r="M192" s="19"/>
      <c r="N192" s="45"/>
      <c r="O192" s="46"/>
      <c r="P192" s="19"/>
      <c r="Q192" s="45"/>
      <c r="R192" s="46"/>
      <c r="S192" s="19"/>
      <c r="T192" s="45"/>
      <c r="U192" s="46"/>
      <c r="V192" s="19"/>
      <c r="W192" s="44"/>
      <c r="X192" s="34"/>
      <c r="Y192" s="7"/>
      <c r="Z192" s="44"/>
      <c r="AA192" s="34"/>
      <c r="AB192" s="34"/>
      <c r="AC192" s="44"/>
      <c r="AD192" s="34"/>
      <c r="AE192" s="7"/>
      <c r="AF192" s="44"/>
      <c r="AG192" s="34"/>
      <c r="AI192" s="44"/>
      <c r="AJ192" s="34"/>
      <c r="AL192" s="44"/>
      <c r="AM192" s="34"/>
      <c r="AO192" s="44"/>
      <c r="AP192" s="34"/>
      <c r="AQ192" s="34"/>
      <c r="AR192" s="34"/>
      <c r="AT192" s="8"/>
      <c r="AV192" s="6"/>
      <c r="AW192" s="6"/>
      <c r="AX192" s="6"/>
      <c r="AY192" s="6"/>
      <c r="AZ192" s="6"/>
    </row>
    <row r="193" spans="2:52" ht="15.75" thickBot="1" x14ac:dyDescent="0.3">
      <c r="B193" s="47" t="s">
        <v>367</v>
      </c>
      <c r="C193" s="47"/>
      <c r="D193" s="48"/>
      <c r="E193" s="49"/>
      <c r="F193" s="47"/>
      <c r="G193" s="48"/>
      <c r="H193" s="49"/>
      <c r="I193" s="49"/>
      <c r="J193" s="48"/>
      <c r="K193" s="49"/>
      <c r="L193" s="49"/>
      <c r="M193" s="7"/>
      <c r="N193" s="49"/>
      <c r="O193" s="49"/>
      <c r="P193" s="48"/>
      <c r="Q193" s="49"/>
      <c r="R193" s="49"/>
      <c r="S193" s="48"/>
      <c r="T193" s="49"/>
      <c r="U193" s="49"/>
      <c r="V193" s="48"/>
      <c r="W193" s="22"/>
      <c r="X193" s="21"/>
      <c r="Y193" s="7"/>
      <c r="Z193" s="21"/>
      <c r="AA193" s="21"/>
      <c r="AB193" s="7"/>
      <c r="AC193" s="21"/>
      <c r="AD193" s="21"/>
      <c r="AE193" s="7"/>
      <c r="AF193" s="21"/>
      <c r="AG193" s="21"/>
      <c r="AI193" s="41"/>
      <c r="AJ193" s="13"/>
      <c r="AL193" s="13"/>
      <c r="AM193" s="13"/>
      <c r="AO193" s="13"/>
      <c r="AP193" s="13"/>
      <c r="AQ193" s="13"/>
      <c r="AR193" s="13"/>
      <c r="AT193" s="8"/>
    </row>
    <row r="194" spans="2:52" ht="15" customHeight="1" thickBot="1" x14ac:dyDescent="0.3">
      <c r="B194" s="554" t="s">
        <v>368</v>
      </c>
      <c r="C194" s="555"/>
      <c r="D194" s="556"/>
      <c r="E194" s="556"/>
      <c r="F194" s="556"/>
      <c r="G194" s="556"/>
      <c r="H194" s="556"/>
      <c r="I194" s="556"/>
      <c r="J194" s="556"/>
      <c r="K194" s="556"/>
      <c r="L194" s="557"/>
      <c r="M194" s="50"/>
      <c r="N194" s="558" t="s">
        <v>369</v>
      </c>
      <c r="O194" s="556"/>
      <c r="P194" s="556"/>
      <c r="Q194" s="556"/>
      <c r="R194" s="556"/>
      <c r="S194" s="556"/>
      <c r="T194" s="556"/>
      <c r="U194" s="556"/>
      <c r="V194" s="557"/>
      <c r="W194" s="559" t="s">
        <v>401</v>
      </c>
      <c r="X194" s="560"/>
      <c r="Y194" s="560"/>
      <c r="Z194" s="560"/>
      <c r="AA194" s="560"/>
      <c r="AB194" s="560"/>
      <c r="AC194" s="560"/>
      <c r="AD194" s="560"/>
      <c r="AE194" s="560"/>
      <c r="AF194" s="560"/>
      <c r="AG194" s="560"/>
      <c r="AH194" s="560"/>
      <c r="AI194" s="560"/>
      <c r="AJ194" s="560"/>
      <c r="AK194" s="560"/>
      <c r="AL194" s="560"/>
      <c r="AM194" s="561"/>
      <c r="AN194" s="565"/>
      <c r="AO194" s="565"/>
      <c r="AP194" s="565"/>
      <c r="AQ194" s="566"/>
      <c r="AR194" s="566"/>
      <c r="AS194" s="566"/>
      <c r="AT194" s="289"/>
      <c r="AV194" s="2">
        <f>AV6+AV14+AV22+AV30+AV38+AV46+AV54+AV62+AV70+AV78+AV86+AV94+AV102+AV110+AV118</f>
        <v>171</v>
      </c>
      <c r="AW194" s="2">
        <f>AW6+AW14+AW22+AW30+AW38+AW46+AW54+AW62+AW70+AW78+AW86+AW94+AW102+AW110+AW118</f>
        <v>133</v>
      </c>
      <c r="AX194" s="2">
        <f>AX6+AX14+AX22+AX30+AX38+AX46+AX54+AX62+AX70+AX78+AX86+AX94+AX102+AX110+AX118</f>
        <v>79</v>
      </c>
      <c r="AY194" s="2">
        <f>AY6+AY14+AY22+AY30+AY38+AY46+AY54+AY62+AY70+AY78+AY86+AY94+AY102+AY110+AY118</f>
        <v>18</v>
      </c>
      <c r="AZ194" s="2">
        <f>AZ6+AZ14+AZ22+AZ30+AZ38+AZ46+AZ54+AZ62+AZ70+AZ78+AZ86+AZ94+AZ102+AZ110+AZ118</f>
        <v>0</v>
      </c>
    </row>
    <row r="195" spans="2:52" ht="15" customHeight="1" x14ac:dyDescent="0.25">
      <c r="B195" s="5"/>
      <c r="O195" s="12"/>
      <c r="P195" s="51"/>
      <c r="V195" s="52"/>
      <c r="W195" s="562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4"/>
      <c r="AN195" s="567"/>
      <c r="AO195" s="567"/>
      <c r="AP195" s="567"/>
      <c r="AQ195" s="568"/>
      <c r="AR195" s="568"/>
      <c r="AS195" s="568"/>
      <c r="AT195" s="290"/>
    </row>
    <row r="196" spans="2:52" x14ac:dyDescent="0.25">
      <c r="B196" s="573" t="s">
        <v>3</v>
      </c>
      <c r="C196" s="574"/>
      <c r="D196" s="575"/>
      <c r="F196" s="576" t="s">
        <v>370</v>
      </c>
      <c r="G196" s="576"/>
      <c r="I196" s="577" t="s">
        <v>371</v>
      </c>
      <c r="J196" s="577"/>
      <c r="N196" s="578" t="s">
        <v>372</v>
      </c>
      <c r="O196" s="578"/>
      <c r="P196" s="525"/>
      <c r="R196" s="579" t="s">
        <v>373</v>
      </c>
      <c r="S196" s="580"/>
      <c r="T196" s="590"/>
      <c r="U196" s="591"/>
      <c r="V196" s="52"/>
      <c r="W196" s="596" t="s">
        <v>4</v>
      </c>
      <c r="X196" s="597"/>
      <c r="Y196" s="588" t="s">
        <v>374</v>
      </c>
      <c r="Z196" s="588"/>
      <c r="AA196" s="588"/>
      <c r="AB196" s="588"/>
      <c r="AC196" s="588" t="s">
        <v>375</v>
      </c>
      <c r="AD196" s="588"/>
      <c r="AE196" s="588" t="s">
        <v>376</v>
      </c>
      <c r="AF196" s="588"/>
      <c r="AG196" s="588"/>
      <c r="AH196" s="588" t="s">
        <v>377</v>
      </c>
      <c r="AI196" s="588"/>
      <c r="AJ196" s="588"/>
      <c r="AK196" s="588" t="s">
        <v>378</v>
      </c>
      <c r="AL196" s="588"/>
      <c r="AM196" s="588"/>
      <c r="AN196" s="588" t="s">
        <v>379</v>
      </c>
      <c r="AO196" s="588"/>
      <c r="AP196" s="588"/>
      <c r="AQ196" s="589"/>
      <c r="AR196" s="589"/>
      <c r="AS196" s="589"/>
      <c r="AT196" s="286"/>
    </row>
    <row r="197" spans="2:52" x14ac:dyDescent="0.25">
      <c r="B197" s="5"/>
      <c r="N197" s="578"/>
      <c r="O197" s="578"/>
      <c r="P197" s="525"/>
      <c r="R197" s="581"/>
      <c r="S197" s="582"/>
      <c r="T197" s="592"/>
      <c r="U197" s="593"/>
      <c r="V197" s="52"/>
      <c r="W197" s="571">
        <v>1</v>
      </c>
      <c r="X197" s="541"/>
      <c r="Y197" s="572" t="s">
        <v>380</v>
      </c>
      <c r="Z197" s="572"/>
      <c r="AA197" s="572"/>
      <c r="AB197" s="572"/>
      <c r="AC197" s="569" t="s">
        <v>381</v>
      </c>
      <c r="AD197" s="569"/>
      <c r="AE197" s="551">
        <v>118.40600000000001</v>
      </c>
      <c r="AF197" s="569"/>
      <c r="AG197" s="569"/>
      <c r="AH197" s="551">
        <v>113.31699999999999</v>
      </c>
      <c r="AI197" s="569"/>
      <c r="AJ197" s="569"/>
      <c r="AK197" s="551">
        <f t="shared" ref="AK197:AK204" si="0">AE197-AH197</f>
        <v>5.0890000000000128</v>
      </c>
      <c r="AL197" s="551"/>
      <c r="AM197" s="551"/>
      <c r="AN197" s="569"/>
      <c r="AO197" s="569"/>
      <c r="AP197" s="569"/>
      <c r="AQ197" s="570"/>
      <c r="AR197" s="570"/>
      <c r="AS197" s="570"/>
      <c r="AT197" s="286"/>
    </row>
    <row r="198" spans="2:52" x14ac:dyDescent="0.25">
      <c r="B198" s="585" t="s">
        <v>2</v>
      </c>
      <c r="C198" s="586"/>
      <c r="D198" s="587"/>
      <c r="N198" s="578" t="s">
        <v>382</v>
      </c>
      <c r="O198" s="578"/>
      <c r="P198" s="525"/>
      <c r="R198" s="581"/>
      <c r="S198" s="582"/>
      <c r="T198" s="592"/>
      <c r="U198" s="593"/>
      <c r="V198" s="52"/>
      <c r="W198" s="571">
        <v>2</v>
      </c>
      <c r="X198" s="541"/>
      <c r="Y198" s="572" t="s">
        <v>383</v>
      </c>
      <c r="Z198" s="572"/>
      <c r="AA198" s="572"/>
      <c r="AB198" s="572"/>
      <c r="AC198" s="569" t="s">
        <v>381</v>
      </c>
      <c r="AD198" s="569"/>
      <c r="AE198" s="551">
        <v>118.40600000000001</v>
      </c>
      <c r="AF198" s="569"/>
      <c r="AG198" s="569"/>
      <c r="AH198" s="551">
        <v>113</v>
      </c>
      <c r="AI198" s="569"/>
      <c r="AJ198" s="569"/>
      <c r="AK198" s="551">
        <f t="shared" si="0"/>
        <v>5.4060000000000059</v>
      </c>
      <c r="AL198" s="551"/>
      <c r="AM198" s="551"/>
      <c r="AN198" s="569"/>
      <c r="AO198" s="569"/>
      <c r="AP198" s="569"/>
      <c r="AQ198" s="570"/>
      <c r="AR198" s="570"/>
      <c r="AS198" s="570"/>
      <c r="AT198" s="286"/>
    </row>
    <row r="199" spans="2:52" x14ac:dyDescent="0.25">
      <c r="B199" s="5"/>
      <c r="F199" s="6"/>
      <c r="G199"/>
      <c r="N199" s="578"/>
      <c r="O199" s="578"/>
      <c r="P199" s="525"/>
      <c r="R199" s="583"/>
      <c r="S199" s="584"/>
      <c r="T199" s="594"/>
      <c r="U199" s="595"/>
      <c r="V199" s="52"/>
      <c r="W199" s="571">
        <v>3</v>
      </c>
      <c r="X199" s="541"/>
      <c r="Y199" s="572" t="s">
        <v>0</v>
      </c>
      <c r="Z199" s="572"/>
      <c r="AA199" s="572"/>
      <c r="AB199" s="572"/>
      <c r="AC199" s="569" t="s">
        <v>384</v>
      </c>
      <c r="AD199" s="569"/>
      <c r="AE199" s="569">
        <v>309</v>
      </c>
      <c r="AF199" s="569"/>
      <c r="AG199" s="569"/>
      <c r="AH199" s="569">
        <v>229</v>
      </c>
      <c r="AI199" s="569"/>
      <c r="AJ199" s="569"/>
      <c r="AK199" s="569">
        <f t="shared" si="0"/>
        <v>80</v>
      </c>
      <c r="AL199" s="569"/>
      <c r="AM199" s="569"/>
      <c r="AN199" s="569"/>
      <c r="AO199" s="569"/>
      <c r="AP199" s="569"/>
      <c r="AQ199" s="570"/>
      <c r="AR199" s="570"/>
      <c r="AS199" s="570"/>
      <c r="AT199" s="286"/>
    </row>
    <row r="200" spans="2:52" x14ac:dyDescent="0.25">
      <c r="B200" s="5"/>
      <c r="E200" s="491"/>
      <c r="F200" s="491"/>
      <c r="H200" s="492"/>
      <c r="I200" s="492"/>
      <c r="K200" s="491"/>
      <c r="L200" s="491"/>
      <c r="N200" s="578" t="s">
        <v>385</v>
      </c>
      <c r="O200" s="578"/>
      <c r="P200" s="525"/>
      <c r="R200" s="579" t="s">
        <v>386</v>
      </c>
      <c r="S200" s="580"/>
      <c r="T200" s="590"/>
      <c r="U200" s="591"/>
      <c r="V200" s="52"/>
      <c r="W200" s="571">
        <v>4</v>
      </c>
      <c r="X200" s="541"/>
      <c r="Y200" s="572" t="s">
        <v>1</v>
      </c>
      <c r="Z200" s="572"/>
      <c r="AA200" s="572"/>
      <c r="AB200" s="572"/>
      <c r="AC200" s="569" t="s">
        <v>384</v>
      </c>
      <c r="AD200" s="569"/>
      <c r="AE200" s="569">
        <v>309</v>
      </c>
      <c r="AF200" s="569"/>
      <c r="AG200" s="569"/>
      <c r="AH200" s="569">
        <v>189</v>
      </c>
      <c r="AI200" s="569"/>
      <c r="AJ200" s="569"/>
      <c r="AK200" s="569">
        <f t="shared" si="0"/>
        <v>120</v>
      </c>
      <c r="AL200" s="569"/>
      <c r="AM200" s="569"/>
      <c r="AN200" s="569"/>
      <c r="AO200" s="569"/>
      <c r="AP200" s="569"/>
      <c r="AQ200" s="570"/>
      <c r="AR200" s="570"/>
      <c r="AS200" s="570"/>
      <c r="AT200" s="286"/>
    </row>
    <row r="201" spans="2:52" x14ac:dyDescent="0.25">
      <c r="B201" s="53"/>
      <c r="C201" s="54"/>
      <c r="D201" s="55"/>
      <c r="E201" s="14"/>
      <c r="F201" s="15"/>
      <c r="G201" s="16"/>
      <c r="H201" s="3"/>
      <c r="I201" s="3"/>
      <c r="J201" s="17"/>
      <c r="K201" s="9"/>
      <c r="L201" s="3"/>
      <c r="M201" s="16"/>
      <c r="N201" s="578"/>
      <c r="O201" s="578"/>
      <c r="P201" s="525"/>
      <c r="R201" s="581"/>
      <c r="S201" s="582"/>
      <c r="T201" s="592"/>
      <c r="U201" s="593"/>
      <c r="V201" s="52"/>
      <c r="W201" s="571">
        <v>5</v>
      </c>
      <c r="X201" s="541"/>
      <c r="Y201" s="572" t="s">
        <v>2</v>
      </c>
      <c r="Z201" s="572"/>
      <c r="AA201" s="572"/>
      <c r="AB201" s="572"/>
      <c r="AC201" s="569" t="s">
        <v>384</v>
      </c>
      <c r="AD201" s="569"/>
      <c r="AE201" s="569">
        <v>309</v>
      </c>
      <c r="AF201" s="569"/>
      <c r="AG201" s="569"/>
      <c r="AH201" s="569">
        <v>61</v>
      </c>
      <c r="AI201" s="569"/>
      <c r="AJ201" s="569"/>
      <c r="AK201" s="569">
        <f t="shared" si="0"/>
        <v>248</v>
      </c>
      <c r="AL201" s="569"/>
      <c r="AM201" s="569"/>
      <c r="AN201" s="569"/>
      <c r="AO201" s="569"/>
      <c r="AP201" s="569"/>
      <c r="AQ201" s="570"/>
      <c r="AR201" s="570"/>
      <c r="AS201" s="570"/>
      <c r="AT201" s="286"/>
    </row>
    <row r="202" spans="2:52" x14ac:dyDescent="0.25">
      <c r="B202" s="602" t="s">
        <v>0</v>
      </c>
      <c r="C202" s="603"/>
      <c r="D202" s="604"/>
      <c r="E202" s="14"/>
      <c r="F202" s="14"/>
      <c r="G202" s="16"/>
      <c r="H202" s="3"/>
      <c r="I202" s="3"/>
      <c r="K202" s="9"/>
      <c r="L202" s="3"/>
      <c r="M202" s="16"/>
      <c r="N202" s="578" t="s">
        <v>387</v>
      </c>
      <c r="O202" s="578"/>
      <c r="P202" s="525"/>
      <c r="R202" s="581"/>
      <c r="S202" s="582"/>
      <c r="T202" s="592"/>
      <c r="U202" s="593"/>
      <c r="V202" s="52"/>
      <c r="W202" s="571">
        <v>6</v>
      </c>
      <c r="X202" s="541"/>
      <c r="Y202" s="572" t="s">
        <v>388</v>
      </c>
      <c r="Z202" s="572"/>
      <c r="AA202" s="572"/>
      <c r="AB202" s="572"/>
      <c r="AC202" s="569" t="s">
        <v>384</v>
      </c>
      <c r="AD202" s="569"/>
      <c r="AE202" s="569">
        <v>309</v>
      </c>
      <c r="AF202" s="569"/>
      <c r="AG202" s="569"/>
      <c r="AH202" s="569">
        <v>0</v>
      </c>
      <c r="AI202" s="569"/>
      <c r="AJ202" s="569"/>
      <c r="AK202" s="569">
        <f t="shared" si="0"/>
        <v>309</v>
      </c>
      <c r="AL202" s="569"/>
      <c r="AM202" s="569"/>
      <c r="AN202" s="569"/>
      <c r="AO202" s="569"/>
      <c r="AP202" s="569"/>
      <c r="AQ202" s="570"/>
      <c r="AR202" s="570"/>
      <c r="AS202" s="570"/>
      <c r="AT202" s="286"/>
    </row>
    <row r="203" spans="2:52" x14ac:dyDescent="0.25">
      <c r="B203" s="53" t="s">
        <v>389</v>
      </c>
      <c r="C203" s="54"/>
      <c r="E203" s="553" t="s">
        <v>13</v>
      </c>
      <c r="F203" s="553"/>
      <c r="G203" s="27">
        <v>293</v>
      </c>
      <c r="H203" s="599" t="s">
        <v>362</v>
      </c>
      <c r="I203" s="553"/>
      <c r="J203" s="56">
        <v>391</v>
      </c>
      <c r="K203" s="600" t="s">
        <v>363</v>
      </c>
      <c r="L203" s="601"/>
      <c r="M203" s="16"/>
      <c r="N203" s="578"/>
      <c r="O203" s="578"/>
      <c r="P203" s="525"/>
      <c r="R203" s="583"/>
      <c r="S203" s="584"/>
      <c r="T203" s="594"/>
      <c r="U203" s="595"/>
      <c r="V203" s="52"/>
      <c r="W203" s="571">
        <v>7</v>
      </c>
      <c r="X203" s="541"/>
      <c r="Y203" s="572" t="s">
        <v>390</v>
      </c>
      <c r="Z203" s="572"/>
      <c r="AA203" s="572"/>
      <c r="AB203" s="572"/>
      <c r="AC203" s="569" t="s">
        <v>381</v>
      </c>
      <c r="AD203" s="569"/>
      <c r="AE203" s="551">
        <v>118.40600000000001</v>
      </c>
      <c r="AF203" s="569"/>
      <c r="AG203" s="569"/>
      <c r="AH203" s="551">
        <v>0</v>
      </c>
      <c r="AI203" s="551"/>
      <c r="AJ203" s="551"/>
      <c r="AK203" s="551">
        <f t="shared" si="0"/>
        <v>118.40600000000001</v>
      </c>
      <c r="AL203" s="551"/>
      <c r="AM203" s="551"/>
      <c r="AN203" s="572"/>
      <c r="AO203" s="572"/>
      <c r="AP203" s="572"/>
      <c r="AQ203" s="605"/>
      <c r="AR203" s="605"/>
      <c r="AS203" s="605"/>
      <c r="AT203" s="291"/>
    </row>
    <row r="204" spans="2:52" x14ac:dyDescent="0.25">
      <c r="B204" s="53" t="s">
        <v>5</v>
      </c>
      <c r="C204" s="54"/>
      <c r="E204" s="498" t="s">
        <v>364</v>
      </c>
      <c r="F204" s="498"/>
      <c r="H204" s="498" t="s">
        <v>38</v>
      </c>
      <c r="I204" s="498"/>
      <c r="J204" s="56"/>
      <c r="K204" s="625" t="s">
        <v>365</v>
      </c>
      <c r="L204" s="626"/>
      <c r="M204" s="16"/>
      <c r="N204" s="578" t="s">
        <v>391</v>
      </c>
      <c r="O204" s="578"/>
      <c r="P204" s="525"/>
      <c r="R204" s="628"/>
      <c r="S204" s="628"/>
      <c r="T204" s="519"/>
      <c r="U204" s="519"/>
      <c r="V204" s="52"/>
      <c r="W204" s="571">
        <v>8</v>
      </c>
      <c r="X204" s="541"/>
      <c r="Y204" s="572" t="s">
        <v>392</v>
      </c>
      <c r="Z204" s="572"/>
      <c r="AA204" s="572"/>
      <c r="AB204" s="572"/>
      <c r="AC204" s="569" t="s">
        <v>381</v>
      </c>
      <c r="AD204" s="569"/>
      <c r="AE204" s="551">
        <v>118.40600000000001</v>
      </c>
      <c r="AF204" s="569"/>
      <c r="AG204" s="569"/>
      <c r="AH204" s="551">
        <v>0</v>
      </c>
      <c r="AI204" s="569"/>
      <c r="AJ204" s="569"/>
      <c r="AK204" s="569">
        <f t="shared" si="0"/>
        <v>118.40600000000001</v>
      </c>
      <c r="AL204" s="569"/>
      <c r="AM204" s="569"/>
      <c r="AN204" s="569"/>
      <c r="AO204" s="569"/>
      <c r="AP204" s="569"/>
      <c r="AQ204" s="570"/>
      <c r="AR204" s="570"/>
      <c r="AS204" s="570"/>
      <c r="AT204" s="286"/>
    </row>
    <row r="205" spans="2:52" ht="19.5" customHeight="1" thickBot="1" x14ac:dyDescent="0.3">
      <c r="B205" s="57"/>
      <c r="C205" s="58"/>
      <c r="D205" s="59"/>
      <c r="E205" s="58"/>
      <c r="F205" s="620" t="s">
        <v>1</v>
      </c>
      <c r="G205" s="620"/>
      <c r="H205" s="58"/>
      <c r="I205" s="58"/>
      <c r="J205" s="621" t="s">
        <v>393</v>
      </c>
      <c r="K205" s="621"/>
      <c r="L205" s="621"/>
      <c r="M205" s="59"/>
      <c r="N205" s="618"/>
      <c r="O205" s="618"/>
      <c r="P205" s="627"/>
      <c r="Q205" s="59"/>
      <c r="R205" s="629"/>
      <c r="S205" s="629"/>
      <c r="T205" s="598"/>
      <c r="U205" s="598"/>
      <c r="V205" s="60"/>
      <c r="W205" s="622">
        <v>9</v>
      </c>
      <c r="X205" s="623"/>
      <c r="Y205" s="624" t="s">
        <v>394</v>
      </c>
      <c r="Z205" s="624"/>
      <c r="AA205" s="624"/>
      <c r="AB205" s="624"/>
      <c r="AC205" s="616" t="s">
        <v>381</v>
      </c>
      <c r="AD205" s="616"/>
      <c r="AE205" s="615">
        <v>118.40600000000001</v>
      </c>
      <c r="AF205" s="616"/>
      <c r="AG205" s="616"/>
      <c r="AH205" s="615">
        <v>0</v>
      </c>
      <c r="AI205" s="616"/>
      <c r="AJ205" s="616"/>
      <c r="AK205" s="616">
        <v>118</v>
      </c>
      <c r="AL205" s="616"/>
      <c r="AM205" s="616"/>
      <c r="AN205" s="616"/>
      <c r="AO205" s="616"/>
      <c r="AP205" s="616"/>
      <c r="AQ205" s="617"/>
      <c r="AR205" s="617"/>
      <c r="AS205" s="617"/>
      <c r="AT205" s="286"/>
    </row>
    <row r="206" spans="2:52" x14ac:dyDescent="0.25">
      <c r="N206" s="578" t="s">
        <v>402</v>
      </c>
      <c r="O206" s="578"/>
      <c r="P206" s="525"/>
    </row>
    <row r="207" spans="2:52" ht="15.75" thickBot="1" x14ac:dyDescent="0.3">
      <c r="N207" s="618"/>
      <c r="O207" s="618"/>
      <c r="P207" s="525"/>
    </row>
    <row r="208" spans="2:52" x14ac:dyDescent="0.25">
      <c r="AH208" s="619"/>
      <c r="AI208" s="619"/>
    </row>
    <row r="209" spans="34:44" ht="15.75" thickBot="1" x14ac:dyDescent="0.3"/>
    <row r="210" spans="34:44" x14ac:dyDescent="0.25">
      <c r="AH210" s="606" t="s">
        <v>412</v>
      </c>
      <c r="AI210" s="607"/>
      <c r="AJ210" s="607"/>
      <c r="AK210" s="607"/>
      <c r="AL210" s="607"/>
      <c r="AM210" s="607"/>
      <c r="AN210" s="607"/>
      <c r="AO210" s="607"/>
      <c r="AP210" s="608"/>
      <c r="AQ210" s="272"/>
      <c r="AR210" s="272"/>
    </row>
    <row r="211" spans="34:44" x14ac:dyDescent="0.25">
      <c r="AH211" s="609"/>
      <c r="AI211" s="610"/>
      <c r="AJ211" s="610"/>
      <c r="AK211" s="610"/>
      <c r="AL211" s="610"/>
      <c r="AM211" s="610"/>
      <c r="AN211" s="610"/>
      <c r="AO211" s="610"/>
      <c r="AP211" s="611"/>
      <c r="AQ211" s="272"/>
      <c r="AR211" s="272"/>
    </row>
    <row r="212" spans="34:44" x14ac:dyDescent="0.25">
      <c r="AH212" s="609"/>
      <c r="AI212" s="610"/>
      <c r="AJ212" s="610"/>
      <c r="AK212" s="610"/>
      <c r="AL212" s="610"/>
      <c r="AM212" s="610"/>
      <c r="AN212" s="610"/>
      <c r="AO212" s="610"/>
      <c r="AP212" s="611"/>
      <c r="AQ212" s="272"/>
      <c r="AR212" s="272"/>
    </row>
    <row r="213" spans="34:44" x14ac:dyDescent="0.25">
      <c r="AH213" s="609"/>
      <c r="AI213" s="610"/>
      <c r="AJ213" s="610"/>
      <c r="AK213" s="610"/>
      <c r="AL213" s="610"/>
      <c r="AM213" s="610"/>
      <c r="AN213" s="610"/>
      <c r="AO213" s="610"/>
      <c r="AP213" s="611"/>
      <c r="AQ213" s="272"/>
      <c r="AR213" s="272"/>
    </row>
    <row r="214" spans="34:44" x14ac:dyDescent="0.25">
      <c r="AH214" s="609"/>
      <c r="AI214" s="610"/>
      <c r="AJ214" s="610"/>
      <c r="AK214" s="610"/>
      <c r="AL214" s="610"/>
      <c r="AM214" s="610"/>
      <c r="AN214" s="610"/>
      <c r="AO214" s="610"/>
      <c r="AP214" s="611"/>
      <c r="AQ214" s="272"/>
      <c r="AR214" s="272"/>
    </row>
    <row r="215" spans="34:44" x14ac:dyDescent="0.25">
      <c r="AH215" s="609"/>
      <c r="AI215" s="610"/>
      <c r="AJ215" s="610"/>
      <c r="AK215" s="610"/>
      <c r="AL215" s="610"/>
      <c r="AM215" s="610"/>
      <c r="AN215" s="610"/>
      <c r="AO215" s="610"/>
      <c r="AP215" s="611"/>
      <c r="AQ215" s="272"/>
      <c r="AR215" s="272"/>
    </row>
    <row r="216" spans="34:44" ht="15.75" thickBot="1" x14ac:dyDescent="0.3">
      <c r="AH216" s="612"/>
      <c r="AI216" s="613"/>
      <c r="AJ216" s="613"/>
      <c r="AK216" s="613"/>
      <c r="AL216" s="613"/>
      <c r="AM216" s="613"/>
      <c r="AN216" s="613"/>
      <c r="AO216" s="613"/>
      <c r="AP216" s="614"/>
      <c r="AQ216" s="272"/>
      <c r="AR216" s="272"/>
    </row>
  </sheetData>
  <mergeCells count="1154">
    <mergeCell ref="AH210:AP216"/>
    <mergeCell ref="AH205:AJ205"/>
    <mergeCell ref="AK205:AM205"/>
    <mergeCell ref="AN205:AS205"/>
    <mergeCell ref="N206:O207"/>
    <mergeCell ref="P206:P207"/>
    <mergeCell ref="AH208:AI208"/>
    <mergeCell ref="F205:G205"/>
    <mergeCell ref="J205:L205"/>
    <mergeCell ref="W205:X205"/>
    <mergeCell ref="Y205:AB205"/>
    <mergeCell ref="AC205:AD205"/>
    <mergeCell ref="AE205:AG205"/>
    <mergeCell ref="Y204:AB204"/>
    <mergeCell ref="AC204:AD204"/>
    <mergeCell ref="AE204:AG204"/>
    <mergeCell ref="AH204:AJ204"/>
    <mergeCell ref="AK204:AM204"/>
    <mergeCell ref="AN204:AS204"/>
    <mergeCell ref="E204:F204"/>
    <mergeCell ref="H204:I204"/>
    <mergeCell ref="K204:L204"/>
    <mergeCell ref="N204:O205"/>
    <mergeCell ref="P204:P205"/>
    <mergeCell ref="R204:S205"/>
    <mergeCell ref="B202:D202"/>
    <mergeCell ref="N202:O203"/>
    <mergeCell ref="P202:P203"/>
    <mergeCell ref="W202:X202"/>
    <mergeCell ref="Y202:AB202"/>
    <mergeCell ref="AC202:AD202"/>
    <mergeCell ref="AK200:AM200"/>
    <mergeCell ref="AN200:AS200"/>
    <mergeCell ref="W201:X201"/>
    <mergeCell ref="Y201:AB201"/>
    <mergeCell ref="AC201:AD201"/>
    <mergeCell ref="AE201:AG201"/>
    <mergeCell ref="AH201:AJ201"/>
    <mergeCell ref="AK201:AM201"/>
    <mergeCell ref="AN201:AS201"/>
    <mergeCell ref="T200:U203"/>
    <mergeCell ref="W200:X200"/>
    <mergeCell ref="Y200:AB200"/>
    <mergeCell ref="AC200:AD200"/>
    <mergeCell ref="AE200:AG200"/>
    <mergeCell ref="AH200:AJ200"/>
    <mergeCell ref="AE202:AG202"/>
    <mergeCell ref="E200:F200"/>
    <mergeCell ref="K200:L200"/>
    <mergeCell ref="N200:O201"/>
    <mergeCell ref="P200:P201"/>
    <mergeCell ref="R200:S203"/>
    <mergeCell ref="AK203:AM203"/>
    <mergeCell ref="AN203:AS203"/>
    <mergeCell ref="W196:X196"/>
    <mergeCell ref="Y196:AB196"/>
    <mergeCell ref="AC196:AD196"/>
    <mergeCell ref="AE196:AG196"/>
    <mergeCell ref="AH196:AJ196"/>
    <mergeCell ref="W198:X198"/>
    <mergeCell ref="Y198:AB198"/>
    <mergeCell ref="AC198:AD198"/>
    <mergeCell ref="AE198:AG198"/>
    <mergeCell ref="T204:U205"/>
    <mergeCell ref="E203:F203"/>
    <mergeCell ref="H203:I203"/>
    <mergeCell ref="K203:L203"/>
    <mergeCell ref="W203:X203"/>
    <mergeCell ref="Y203:AB203"/>
    <mergeCell ref="AC203:AD203"/>
    <mergeCell ref="AE203:AG203"/>
    <mergeCell ref="AH203:AJ203"/>
    <mergeCell ref="W204:X204"/>
    <mergeCell ref="AH202:AJ202"/>
    <mergeCell ref="AK198:AM198"/>
    <mergeCell ref="AN198:AS198"/>
    <mergeCell ref="W199:X199"/>
    <mergeCell ref="Y199:AB199"/>
    <mergeCell ref="AC199:AD199"/>
    <mergeCell ref="AE199:AG199"/>
    <mergeCell ref="AH199:AJ199"/>
    <mergeCell ref="AK199:AM199"/>
    <mergeCell ref="AN199:AS199"/>
    <mergeCell ref="AK202:AM202"/>
    <mergeCell ref="AN202:AS202"/>
    <mergeCell ref="B196:D196"/>
    <mergeCell ref="F196:G196"/>
    <mergeCell ref="I196:J196"/>
    <mergeCell ref="N196:O197"/>
    <mergeCell ref="P196:P197"/>
    <mergeCell ref="R196:S199"/>
    <mergeCell ref="B198:D198"/>
    <mergeCell ref="N198:O199"/>
    <mergeCell ref="P198:P199"/>
    <mergeCell ref="AH198:AJ198"/>
    <mergeCell ref="AK196:AM196"/>
    <mergeCell ref="AN196:AS196"/>
    <mergeCell ref="W197:X197"/>
    <mergeCell ref="H200:I200"/>
    <mergeCell ref="Y197:AB197"/>
    <mergeCell ref="AC197:AD197"/>
    <mergeCell ref="AE197:AG197"/>
    <mergeCell ref="AH197:AJ197"/>
    <mergeCell ref="AK197:AM197"/>
    <mergeCell ref="AN197:AS197"/>
    <mergeCell ref="T196:U199"/>
    <mergeCell ref="AL184:AM184"/>
    <mergeCell ref="AO184:AP184"/>
    <mergeCell ref="B194:L194"/>
    <mergeCell ref="N194:V194"/>
    <mergeCell ref="W194:AM195"/>
    <mergeCell ref="AN194:AS194"/>
    <mergeCell ref="AN195:AS195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W140:X140"/>
    <mergeCell ref="Z140:AA140"/>
    <mergeCell ref="AC140:AD140"/>
    <mergeCell ref="AE140:AH140"/>
    <mergeCell ref="AI140:AJ140"/>
    <mergeCell ref="AL140:AM140"/>
    <mergeCell ref="AL136:AM136"/>
    <mergeCell ref="AO136:AP136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T136:U136"/>
    <mergeCell ref="W136:X136"/>
    <mergeCell ref="Z136:AA136"/>
    <mergeCell ref="AC136:AD136"/>
    <mergeCell ref="AF136:AG136"/>
    <mergeCell ref="AI136:AJ136"/>
    <mergeCell ref="B136:C136"/>
    <mergeCell ref="E136:F136"/>
    <mergeCell ref="H136:I136"/>
    <mergeCell ref="K136:L136"/>
    <mergeCell ref="N136:O136"/>
    <mergeCell ref="Q136:R136"/>
    <mergeCell ref="Z135:AA135"/>
    <mergeCell ref="AC135:AD135"/>
    <mergeCell ref="AF135:AG135"/>
    <mergeCell ref="AI135:AJ135"/>
    <mergeCell ref="AL135:AM135"/>
    <mergeCell ref="AO135:AP135"/>
    <mergeCell ref="AF133:AG134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W135:X135"/>
    <mergeCell ref="AC132:AD132"/>
    <mergeCell ref="AE132:AH132"/>
    <mergeCell ref="AI132:AJ132"/>
    <mergeCell ref="AL132:AM132"/>
    <mergeCell ref="AO132:AP132"/>
    <mergeCell ref="H133:I134"/>
    <mergeCell ref="K133:L134"/>
    <mergeCell ref="Q133:R134"/>
    <mergeCell ref="T133:U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W125:X126"/>
    <mergeCell ref="AL125:AM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B109:C110"/>
    <mergeCell ref="E109:F110"/>
    <mergeCell ref="AC109:AD110"/>
    <mergeCell ref="AL109:AM110"/>
    <mergeCell ref="AO109:AP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O100:AP100"/>
    <mergeCell ref="B101:C102"/>
    <mergeCell ref="AF101:AG102"/>
    <mergeCell ref="AO101:AP102"/>
    <mergeCell ref="B103:C103"/>
    <mergeCell ref="E103:F103"/>
    <mergeCell ref="H103:I103"/>
    <mergeCell ref="K103:L103"/>
    <mergeCell ref="N103:O103"/>
    <mergeCell ref="W100:X100"/>
    <mergeCell ref="Z100:AA100"/>
    <mergeCell ref="AC100:AD100"/>
    <mergeCell ref="AF100:AG100"/>
    <mergeCell ref="AI100:AJ100"/>
    <mergeCell ref="AL100:AM100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T100:U100"/>
    <mergeCell ref="T96:U96"/>
    <mergeCell ref="W96:X96"/>
    <mergeCell ref="Z96:AA96"/>
    <mergeCell ref="AC96:AD96"/>
    <mergeCell ref="AF96:AG96"/>
    <mergeCell ref="AI96:AJ96"/>
    <mergeCell ref="B96:C96"/>
    <mergeCell ref="E96:F96"/>
    <mergeCell ref="H96:I96"/>
    <mergeCell ref="K96:L96"/>
    <mergeCell ref="N96:O96"/>
    <mergeCell ref="Q96:R96"/>
    <mergeCell ref="Z95:AA95"/>
    <mergeCell ref="AC95:AD95"/>
    <mergeCell ref="AF95:AG95"/>
    <mergeCell ref="AI95:AJ95"/>
    <mergeCell ref="AL95:AM95"/>
    <mergeCell ref="AO95:AP95"/>
    <mergeCell ref="AL92:AM92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T92:U92"/>
    <mergeCell ref="W92:X92"/>
    <mergeCell ref="Z92:AA92"/>
    <mergeCell ref="AC92:AD92"/>
    <mergeCell ref="AF92:AG92"/>
    <mergeCell ref="AI92:AJ92"/>
    <mergeCell ref="B92:C92"/>
    <mergeCell ref="E92:F92"/>
    <mergeCell ref="H92:I92"/>
    <mergeCell ref="K92:L92"/>
    <mergeCell ref="N92:O92"/>
    <mergeCell ref="Q92:R92"/>
    <mergeCell ref="AC88:AD88"/>
    <mergeCell ref="AF88:AG88"/>
    <mergeCell ref="AI88:AJ88"/>
    <mergeCell ref="AL88:AM88"/>
    <mergeCell ref="AO88:AP88"/>
    <mergeCell ref="Z90:AD90"/>
    <mergeCell ref="AO87:AP87"/>
    <mergeCell ref="B88:C88"/>
    <mergeCell ref="E88:F88"/>
    <mergeCell ref="H88:I88"/>
    <mergeCell ref="K88:L88"/>
    <mergeCell ref="N88:O88"/>
    <mergeCell ref="Q88:R88"/>
    <mergeCell ref="T88:U88"/>
    <mergeCell ref="W88:X88"/>
    <mergeCell ref="Z88:AA88"/>
    <mergeCell ref="W87:X87"/>
    <mergeCell ref="Z87:AA87"/>
    <mergeCell ref="AC87:AD87"/>
    <mergeCell ref="AF87:AG87"/>
    <mergeCell ref="AI87:AJ87"/>
    <mergeCell ref="AL87:AM87"/>
    <mergeCell ref="AI84:AJ84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Q84:R84"/>
    <mergeCell ref="T84:U84"/>
    <mergeCell ref="W84:X84"/>
    <mergeCell ref="Z84:AA84"/>
    <mergeCell ref="AC84:AD84"/>
    <mergeCell ref="AF84:AG84"/>
    <mergeCell ref="AL80:AM80"/>
    <mergeCell ref="AO80:AP80"/>
    <mergeCell ref="A82:D82"/>
    <mergeCell ref="W82:AA82"/>
    <mergeCell ref="AL82:AP82"/>
    <mergeCell ref="B84:C84"/>
    <mergeCell ref="E84:F84"/>
    <mergeCell ref="H84:I84"/>
    <mergeCell ref="K84:L84"/>
    <mergeCell ref="N84:O84"/>
    <mergeCell ref="T80:U80"/>
    <mergeCell ref="W80:X80"/>
    <mergeCell ref="Z80:AA80"/>
    <mergeCell ref="AC80:AD80"/>
    <mergeCell ref="AF80:AG80"/>
    <mergeCell ref="AI80:AJ80"/>
    <mergeCell ref="B80:C80"/>
    <mergeCell ref="E80:F80"/>
    <mergeCell ref="H80:I80"/>
    <mergeCell ref="K80:L80"/>
    <mergeCell ref="N80:O80"/>
    <mergeCell ref="Q80:R80"/>
    <mergeCell ref="Z79:AA79"/>
    <mergeCell ref="AC79:AD79"/>
    <mergeCell ref="AF79:AG79"/>
    <mergeCell ref="AI79:AJ79"/>
    <mergeCell ref="AL79:AM79"/>
    <mergeCell ref="AO79:AP79"/>
    <mergeCell ref="AO76:AP76"/>
    <mergeCell ref="AC77:AD78"/>
    <mergeCell ref="B79:C79"/>
    <mergeCell ref="E79:F79"/>
    <mergeCell ref="H79:I79"/>
    <mergeCell ref="K79:L79"/>
    <mergeCell ref="N79:O79"/>
    <mergeCell ref="Q79:R79"/>
    <mergeCell ref="T79:U79"/>
    <mergeCell ref="W79:X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AI44:AJ44"/>
    <mergeCell ref="AL44:AM44"/>
    <mergeCell ref="AO44:AP44"/>
    <mergeCell ref="Q45:R46"/>
    <mergeCell ref="B47:C47"/>
    <mergeCell ref="E47:F47"/>
    <mergeCell ref="H47:I47"/>
    <mergeCell ref="K47:L47"/>
    <mergeCell ref="N47:O47"/>
    <mergeCell ref="Q47:R47"/>
    <mergeCell ref="Q44:R44"/>
    <mergeCell ref="T44:U44"/>
    <mergeCell ref="W44:X44"/>
    <mergeCell ref="Z44:AA44"/>
    <mergeCell ref="AC44:AD44"/>
    <mergeCell ref="AF44:AG44"/>
    <mergeCell ref="AC40:AD40"/>
    <mergeCell ref="AF40:AG40"/>
    <mergeCell ref="AI40:AJ40"/>
    <mergeCell ref="AL40:AM40"/>
    <mergeCell ref="AO40:AP40"/>
    <mergeCell ref="B44:C44"/>
    <mergeCell ref="E44:F44"/>
    <mergeCell ref="H44:I44"/>
    <mergeCell ref="K44:L44"/>
    <mergeCell ref="N44:O44"/>
    <mergeCell ref="AO39:AP39"/>
    <mergeCell ref="B40:C40"/>
    <mergeCell ref="E40:F40"/>
    <mergeCell ref="H40:I40"/>
    <mergeCell ref="K40:L40"/>
    <mergeCell ref="N40:O40"/>
    <mergeCell ref="Q40:R40"/>
    <mergeCell ref="T40:U40"/>
    <mergeCell ref="W40:X40"/>
    <mergeCell ref="Z40:AA40"/>
    <mergeCell ref="W39:X39"/>
    <mergeCell ref="Z39:AA39"/>
    <mergeCell ref="AC39:AD39"/>
    <mergeCell ref="AF39:AG39"/>
    <mergeCell ref="AI39:AJ39"/>
    <mergeCell ref="AL39:AM39"/>
    <mergeCell ref="AI36:AJ36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Q36:R36"/>
    <mergeCell ref="T36:U36"/>
    <mergeCell ref="W36:X36"/>
    <mergeCell ref="Z36:AA36"/>
    <mergeCell ref="AC36:AD36"/>
    <mergeCell ref="AF36:AG36"/>
    <mergeCell ref="B34:D34"/>
    <mergeCell ref="B36:C36"/>
    <mergeCell ref="E36:F36"/>
    <mergeCell ref="H36:I36"/>
    <mergeCell ref="K36:L36"/>
    <mergeCell ref="N36:O36"/>
    <mergeCell ref="Z32:AA32"/>
    <mergeCell ref="AC32:AD32"/>
    <mergeCell ref="AF32:AG32"/>
    <mergeCell ref="AI32:AJ32"/>
    <mergeCell ref="AL32:AM32"/>
    <mergeCell ref="AO32:AP32"/>
    <mergeCell ref="AL31:AM31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T31:U31"/>
    <mergeCell ref="W31:X31"/>
    <mergeCell ref="Z31:AA31"/>
    <mergeCell ref="AC31:AD31"/>
    <mergeCell ref="AF31:AG31"/>
    <mergeCell ref="AI31:AJ31"/>
    <mergeCell ref="AI28:AJ28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Q28:R28"/>
    <mergeCell ref="T28:U28"/>
    <mergeCell ref="W28:X28"/>
    <mergeCell ref="Z28:AA28"/>
    <mergeCell ref="AC28:AD28"/>
    <mergeCell ref="AF28:AG28"/>
    <mergeCell ref="AI24:AJ24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4:R24"/>
    <mergeCell ref="T24:U24"/>
    <mergeCell ref="W24:X24"/>
    <mergeCell ref="Z24:AA24"/>
    <mergeCell ref="AC24:AD24"/>
    <mergeCell ref="AF24:AG24"/>
    <mergeCell ref="AC23:AD23"/>
    <mergeCell ref="AF23:AG23"/>
    <mergeCell ref="AI23:AJ23"/>
    <mergeCell ref="AL23:AM23"/>
    <mergeCell ref="AO23:AP23"/>
    <mergeCell ref="B24:C24"/>
    <mergeCell ref="E24:F24"/>
    <mergeCell ref="H24:I24"/>
    <mergeCell ref="K24:L24"/>
    <mergeCell ref="N24:O24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Z23:AA23"/>
    <mergeCell ref="W20:X20"/>
    <mergeCell ref="Z20:AA20"/>
    <mergeCell ref="AC20:AD20"/>
    <mergeCell ref="AF20:AG20"/>
    <mergeCell ref="AI20:AJ20"/>
    <mergeCell ref="AL20:AM20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T20:U20"/>
    <mergeCell ref="T16:U16"/>
    <mergeCell ref="W16:X16"/>
    <mergeCell ref="Z16:AA16"/>
    <mergeCell ref="AC16:AD16"/>
    <mergeCell ref="AF16:AG16"/>
    <mergeCell ref="AI16:AJ16"/>
    <mergeCell ref="B16:C16"/>
    <mergeCell ref="E16:F16"/>
    <mergeCell ref="H16:I16"/>
    <mergeCell ref="K16:L16"/>
    <mergeCell ref="N16:O16"/>
    <mergeCell ref="Q16:R16"/>
    <mergeCell ref="Z15:AA15"/>
    <mergeCell ref="AC15:AD15"/>
    <mergeCell ref="AF15:AG15"/>
    <mergeCell ref="AI15:AJ15"/>
    <mergeCell ref="AL15:AM15"/>
    <mergeCell ref="AO15:AP15"/>
    <mergeCell ref="AL12:AM12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T12:U12"/>
    <mergeCell ref="W12:X12"/>
    <mergeCell ref="Z12:AA12"/>
    <mergeCell ref="AC12:AD12"/>
    <mergeCell ref="AF12:AG12"/>
    <mergeCell ref="AI12:AJ12"/>
    <mergeCell ref="B12:C12"/>
    <mergeCell ref="E12:F12"/>
    <mergeCell ref="H12:I12"/>
    <mergeCell ref="K12:L12"/>
    <mergeCell ref="N12:O12"/>
    <mergeCell ref="Q12:R12"/>
    <mergeCell ref="AC8:AD8"/>
    <mergeCell ref="AF8:AG8"/>
    <mergeCell ref="AI8:AJ8"/>
    <mergeCell ref="AL8:AM8"/>
    <mergeCell ref="AO8:AP8"/>
    <mergeCell ref="S10:V10"/>
    <mergeCell ref="Y10:AB10"/>
    <mergeCell ref="AO7:AP7"/>
    <mergeCell ref="B8:C8"/>
    <mergeCell ref="E8:F8"/>
    <mergeCell ref="H8:I8"/>
    <mergeCell ref="K8:L8"/>
    <mergeCell ref="N8:O8"/>
    <mergeCell ref="Q8:R8"/>
    <mergeCell ref="T8:U8"/>
    <mergeCell ref="W8:X8"/>
    <mergeCell ref="Z8:AA8"/>
    <mergeCell ref="W7:X7"/>
    <mergeCell ref="Z7:AA7"/>
    <mergeCell ref="AC7:AD7"/>
    <mergeCell ref="AF7:AG7"/>
    <mergeCell ref="AI7:AJ7"/>
    <mergeCell ref="AL7:AM7"/>
    <mergeCell ref="AV1:AZ1"/>
    <mergeCell ref="T2:AD2"/>
    <mergeCell ref="AK2:AM2"/>
    <mergeCell ref="AN2:AP2"/>
    <mergeCell ref="B4:C4"/>
    <mergeCell ref="E4:F4"/>
    <mergeCell ref="H4:I4"/>
    <mergeCell ref="K4:L4"/>
    <mergeCell ref="N4:O4"/>
    <mergeCell ref="AI4:AJ4"/>
    <mergeCell ref="AL4:AM4"/>
    <mergeCell ref="AO4:AP4"/>
    <mergeCell ref="B7:C7"/>
    <mergeCell ref="E7:F7"/>
    <mergeCell ref="H7:I7"/>
    <mergeCell ref="K7:L7"/>
    <mergeCell ref="N7:O7"/>
    <mergeCell ref="Q7:R7"/>
    <mergeCell ref="T7:U7"/>
    <mergeCell ref="Q4:R4"/>
    <mergeCell ref="T4:U4"/>
    <mergeCell ref="W4:X4"/>
    <mergeCell ref="Z4:AA4"/>
    <mergeCell ref="AC4:AD4"/>
    <mergeCell ref="AF4:AG4"/>
    <mergeCell ref="A1:AS1"/>
  </mergeCells>
  <conditionalFormatting sqref="B5:B6 AP6:AQ6 AS6:AT6">
    <cfRule type="containsText" dxfId="2249" priority="1578" operator="containsText" text="fnd">
      <formula>NOT(ISERROR(SEARCH("fnd",B5)))</formula>
    </cfRule>
  </conditionalFormatting>
  <conditionalFormatting sqref="B5:B6 AS6:AT6 AP6:AQ6">
    <cfRule type="containsText" dxfId="2248" priority="1577" operator="containsText" text="Ear">
      <formula>NOT(ISERROR(SEARCH("Ear",B5)))</formula>
    </cfRule>
  </conditionalFormatting>
  <conditionalFormatting sqref="B5:B6 AS6:AT6">
    <cfRule type="containsText" dxfId="2247" priority="1576" operator="containsText" text="Ere">
      <formula>NOT(ISERROR(SEARCH("Ere",B5)))</formula>
    </cfRule>
    <cfRule type="containsText" dxfId="2246" priority="1575" operator="containsText" text="Str">
      <formula>NOT(ISERROR(SEARCH("Str",B5)))</formula>
    </cfRule>
  </conditionalFormatting>
  <conditionalFormatting sqref="B21:B22">
    <cfRule type="containsText" dxfId="2245" priority="1435" operator="containsText" text="Str">
      <formula>NOT(ISERROR(SEARCH("Str",B21)))</formula>
    </cfRule>
    <cfRule type="containsText" dxfId="2244" priority="1436" operator="containsText" text="Ere">
      <formula>NOT(ISERROR(SEARCH("Ere",B21)))</formula>
    </cfRule>
    <cfRule type="containsText" dxfId="2243" priority="1437" operator="containsText" text="Ear">
      <formula>NOT(ISERROR(SEARCH("Ear",B21)))</formula>
    </cfRule>
    <cfRule type="containsText" dxfId="2242" priority="1438" operator="containsText" text="fnd">
      <formula>NOT(ISERROR(SEARCH("fnd",B21)))</formula>
    </cfRule>
  </conditionalFormatting>
  <conditionalFormatting sqref="B29:B30">
    <cfRule type="containsText" dxfId="2241" priority="786" operator="containsText" text="fnd">
      <formula>NOT(ISERROR(SEARCH("fnd",B29)))</formula>
    </cfRule>
    <cfRule type="containsText" dxfId="2240" priority="785" operator="containsText" text="Ear">
      <formula>NOT(ISERROR(SEARCH("Ear",B29)))</formula>
    </cfRule>
    <cfRule type="containsText" dxfId="2239" priority="784" operator="containsText" text="Ere">
      <formula>NOT(ISERROR(SEARCH("Ere",B29)))</formula>
    </cfRule>
    <cfRule type="containsText" dxfId="2238" priority="783" operator="containsText" text="Str">
      <formula>NOT(ISERROR(SEARCH("Str",B29)))</formula>
    </cfRule>
  </conditionalFormatting>
  <conditionalFormatting sqref="B37:B38">
    <cfRule type="containsText" dxfId="2237" priority="479" operator="containsText" text="Str">
      <formula>NOT(ISERROR(SEARCH("Str",B37)))</formula>
    </cfRule>
    <cfRule type="containsText" dxfId="2236" priority="482" operator="containsText" text="fnd">
      <formula>NOT(ISERROR(SEARCH("fnd",B37)))</formula>
    </cfRule>
    <cfRule type="containsText" dxfId="2235" priority="480" operator="containsText" text="Ere">
      <formula>NOT(ISERROR(SEARCH("Ere",B37)))</formula>
    </cfRule>
    <cfRule type="containsText" dxfId="2234" priority="481" operator="containsText" text="Ear">
      <formula>NOT(ISERROR(SEARCH("Ear",B37)))</formula>
    </cfRule>
  </conditionalFormatting>
  <conditionalFormatting sqref="B45:B46">
    <cfRule type="containsText" dxfId="2233" priority="2124" operator="containsText" text="Ere">
      <formula>NOT(ISERROR(SEARCH("Ere",B45)))</formula>
    </cfRule>
    <cfRule type="containsText" dxfId="2232" priority="2123" operator="containsText" text="Str">
      <formula>NOT(ISERROR(SEARCH("Str",B45)))</formula>
    </cfRule>
    <cfRule type="containsText" dxfId="2231" priority="2125" operator="containsText" text="Ear">
      <formula>NOT(ISERROR(SEARCH("Ear",B45)))</formula>
    </cfRule>
    <cfRule type="containsText" dxfId="2230" priority="2126" operator="containsText" text="fnd">
      <formula>NOT(ISERROR(SEARCH("fnd",B45)))</formula>
    </cfRule>
  </conditionalFormatting>
  <conditionalFormatting sqref="B69">
    <cfRule type="containsText" dxfId="2229" priority="1987" operator="containsText" text="Str">
      <formula>NOT(ISERROR(SEARCH("Str",B69)))</formula>
    </cfRule>
    <cfRule type="containsText" dxfId="2228" priority="1988" operator="containsText" text="Ere">
      <formula>NOT(ISERROR(SEARCH("Ere",B69)))</formula>
    </cfRule>
    <cfRule type="containsText" dxfId="2227" priority="1990" operator="containsText" text="fnd">
      <formula>NOT(ISERROR(SEARCH("fnd",B69)))</formula>
    </cfRule>
    <cfRule type="containsText" dxfId="2226" priority="1989" operator="containsText" text="Ear">
      <formula>NOT(ISERROR(SEARCH("Ear",B69)))</formula>
    </cfRule>
  </conditionalFormatting>
  <conditionalFormatting sqref="B77">
    <cfRule type="containsText" dxfId="2225" priority="660" operator="containsText" text="Ere">
      <formula>NOT(ISERROR(SEARCH("Ere",B77)))</formula>
    </cfRule>
    <cfRule type="containsText" dxfId="2224" priority="659" operator="containsText" text="Str">
      <formula>NOT(ISERROR(SEARCH("Str",B77)))</formula>
    </cfRule>
    <cfRule type="containsText" dxfId="2223" priority="662" operator="containsText" text="fnd">
      <formula>NOT(ISERROR(SEARCH("fnd",B77)))</formula>
    </cfRule>
    <cfRule type="containsText" dxfId="2222" priority="661" operator="containsText" text="Ear">
      <formula>NOT(ISERROR(SEARCH("Ear",B77)))</formula>
    </cfRule>
  </conditionalFormatting>
  <conditionalFormatting sqref="B86">
    <cfRule type="containsText" dxfId="2221" priority="100" operator="containsText" text="fnd">
      <formula>NOT(ISERROR(SEARCH("fnd",B86)))</formula>
    </cfRule>
    <cfRule type="containsText" dxfId="2220" priority="99" operator="containsText" text="Ear">
      <formula>NOT(ISERROR(SEARCH("Ear",B86)))</formula>
    </cfRule>
    <cfRule type="containsText" dxfId="2219" priority="98" operator="containsText" text="Ere">
      <formula>NOT(ISERROR(SEARCH("Ere",B86)))</formula>
    </cfRule>
    <cfRule type="containsText" dxfId="2218" priority="97" operator="containsText" text="Str">
      <formula>NOT(ISERROR(SEARCH("Str",B86)))</formula>
    </cfRule>
  </conditionalFormatting>
  <conditionalFormatting sqref="B101">
    <cfRule type="containsText" dxfId="2217" priority="1539" operator="containsText" text="Str">
      <formula>NOT(ISERROR(SEARCH("Str",B101)))</formula>
    </cfRule>
    <cfRule type="containsText" dxfId="2216" priority="1540" operator="containsText" text="Ere">
      <formula>NOT(ISERROR(SEARCH("Ere",B101)))</formula>
    </cfRule>
    <cfRule type="containsText" dxfId="2215" priority="1541" operator="containsText" text="Ear">
      <formula>NOT(ISERROR(SEARCH("Ear",B101)))</formula>
    </cfRule>
    <cfRule type="containsText" dxfId="2214" priority="1542" operator="containsText" text="fnd">
      <formula>NOT(ISERROR(SEARCH("fnd",B101)))</formula>
    </cfRule>
  </conditionalFormatting>
  <conditionalFormatting sqref="B109">
    <cfRule type="containsText" dxfId="2213" priority="568" operator="containsText" text="Ere">
      <formula>NOT(ISERROR(SEARCH("Ere",B109)))</formula>
    </cfRule>
    <cfRule type="containsText" dxfId="2212" priority="569" operator="containsText" text="Ear">
      <formula>NOT(ISERROR(SEARCH("Ear",B109)))</formula>
    </cfRule>
    <cfRule type="containsText" dxfId="2211" priority="567" operator="containsText" text="Str">
      <formula>NOT(ISERROR(SEARCH("Str",B109)))</formula>
    </cfRule>
    <cfRule type="containsText" dxfId="2210" priority="570" operator="containsText" text="fnd">
      <formula>NOT(ISERROR(SEARCH("fnd",B109)))</formula>
    </cfRule>
  </conditionalFormatting>
  <conditionalFormatting sqref="B117">
    <cfRule type="containsText" dxfId="2209" priority="1410" operator="containsText" text="fnd">
      <formula>NOT(ISERROR(SEARCH("fnd",B117)))</formula>
    </cfRule>
    <cfRule type="containsText" dxfId="2208" priority="1409" operator="containsText" text="Ear">
      <formula>NOT(ISERROR(SEARCH("Ear",B117)))</formula>
    </cfRule>
    <cfRule type="containsText" dxfId="2207" priority="1408" operator="containsText" text="Ere">
      <formula>NOT(ISERROR(SEARCH("Ere",B117)))</formula>
    </cfRule>
    <cfRule type="containsText" dxfId="2206" priority="1407" operator="containsText" text="Str">
      <formula>NOT(ISERROR(SEARCH("Str",B117)))</formula>
    </cfRule>
  </conditionalFormatting>
  <conditionalFormatting sqref="B125">
    <cfRule type="containsText" dxfId="2205" priority="1350" operator="containsText" text="fnd">
      <formula>NOT(ISERROR(SEARCH("fnd",B125)))</formula>
    </cfRule>
    <cfRule type="containsText" dxfId="2204" priority="1349" operator="containsText" text="Ear">
      <formula>NOT(ISERROR(SEARCH("Ear",B125)))</formula>
    </cfRule>
    <cfRule type="containsText" dxfId="2203" priority="1348" operator="containsText" text="Ere">
      <formula>NOT(ISERROR(SEARCH("Ere",B125)))</formula>
    </cfRule>
    <cfRule type="containsText" dxfId="2202" priority="1347" operator="containsText" text="Str">
      <formula>NOT(ISERROR(SEARCH("Str",B125)))</formula>
    </cfRule>
  </conditionalFormatting>
  <conditionalFormatting sqref="B133">
    <cfRule type="containsText" dxfId="2201" priority="1320" operator="containsText" text="Ere">
      <formula>NOT(ISERROR(SEARCH("Ere",B133)))</formula>
    </cfRule>
    <cfRule type="containsText" dxfId="2200" priority="1319" operator="containsText" text="Str">
      <formula>NOT(ISERROR(SEARCH("Str",B133)))</formula>
    </cfRule>
    <cfRule type="containsText" dxfId="2199" priority="1321" operator="containsText" text="Ear">
      <formula>NOT(ISERROR(SEARCH("Ear",B133)))</formula>
    </cfRule>
    <cfRule type="containsText" dxfId="2198" priority="1322" operator="containsText" text="fnd">
      <formula>NOT(ISERROR(SEARCH("fnd",B133)))</formula>
    </cfRule>
  </conditionalFormatting>
  <conditionalFormatting sqref="B141">
    <cfRule type="containsText" dxfId="2197" priority="1268" operator="containsText" text="Ere">
      <formula>NOT(ISERROR(SEARCH("Ere",B141)))</formula>
    </cfRule>
    <cfRule type="containsText" dxfId="2196" priority="1269" operator="containsText" text="Ear">
      <formula>NOT(ISERROR(SEARCH("Ear",B141)))</formula>
    </cfRule>
    <cfRule type="containsText" dxfId="2195" priority="1270" operator="containsText" text="fnd">
      <formula>NOT(ISERROR(SEARCH("fnd",B141)))</formula>
    </cfRule>
    <cfRule type="containsText" dxfId="2194" priority="1267" operator="containsText" text="Str">
      <formula>NOT(ISERROR(SEARCH("Str",B141)))</formula>
    </cfRule>
  </conditionalFormatting>
  <conditionalFormatting sqref="B149">
    <cfRule type="containsText" dxfId="2193" priority="168" operator="containsText" text="fnd">
      <formula>NOT(ISERROR(SEARCH("fnd",B149)))</formula>
    </cfRule>
    <cfRule type="containsText" dxfId="2192" priority="165" operator="containsText" text="Str">
      <formula>NOT(ISERROR(SEARCH("Str",B149)))</formula>
    </cfRule>
    <cfRule type="containsText" dxfId="2191" priority="166" operator="containsText" text="Ere">
      <formula>NOT(ISERROR(SEARCH("Ere",B149)))</formula>
    </cfRule>
    <cfRule type="containsText" dxfId="2190" priority="167" operator="containsText" text="Ear">
      <formula>NOT(ISERROR(SEARCH("Ear",B149)))</formula>
    </cfRule>
  </conditionalFormatting>
  <conditionalFormatting sqref="B157">
    <cfRule type="containsText" dxfId="2189" priority="1111" operator="containsText" text="Str">
      <formula>NOT(ISERROR(SEARCH("Str",B157)))</formula>
    </cfRule>
    <cfRule type="containsText" dxfId="2188" priority="1112" operator="containsText" text="Ere">
      <formula>NOT(ISERROR(SEARCH("Ere",B157)))</formula>
    </cfRule>
    <cfRule type="containsText" dxfId="2187" priority="1113" operator="containsText" text="Ear">
      <formula>NOT(ISERROR(SEARCH("Ear",B157)))</formula>
    </cfRule>
    <cfRule type="containsText" dxfId="2186" priority="1114" operator="containsText" text="fnd">
      <formula>NOT(ISERROR(SEARCH("fnd",B157)))</formula>
    </cfRule>
  </conditionalFormatting>
  <conditionalFormatting sqref="B165">
    <cfRule type="containsText" dxfId="2185" priority="330" operator="containsText" text="Ere">
      <formula>NOT(ISERROR(SEARCH("Ere",B165)))</formula>
    </cfRule>
    <cfRule type="containsText" dxfId="2184" priority="329" operator="containsText" text="Str">
      <formula>NOT(ISERROR(SEARCH("Str",B165)))</formula>
    </cfRule>
    <cfRule type="containsText" dxfId="2183" priority="331" operator="containsText" text="Ear">
      <formula>NOT(ISERROR(SEARCH("Ear",B165)))</formula>
    </cfRule>
    <cfRule type="containsText" dxfId="2182" priority="332" operator="containsText" text="fnd">
      <formula>NOT(ISERROR(SEARCH("fnd",B165)))</formula>
    </cfRule>
  </conditionalFormatting>
  <conditionalFormatting sqref="B173">
    <cfRule type="containsText" dxfId="2181" priority="978" operator="containsText" text="fnd">
      <formula>NOT(ISERROR(SEARCH("fnd",B173)))</formula>
    </cfRule>
    <cfRule type="containsText" dxfId="2180" priority="977" operator="containsText" text="Ear">
      <formula>NOT(ISERROR(SEARCH("Ear",B173)))</formula>
    </cfRule>
    <cfRule type="containsText" dxfId="2179" priority="976" operator="containsText" text="Ere">
      <formula>NOT(ISERROR(SEARCH("Ere",B173)))</formula>
    </cfRule>
    <cfRule type="containsText" dxfId="2178" priority="975" operator="containsText" text="Str">
      <formula>NOT(ISERROR(SEARCH("Str",B173)))</formula>
    </cfRule>
  </conditionalFormatting>
  <conditionalFormatting sqref="B181">
    <cfRule type="containsText" dxfId="2177" priority="12" operator="containsText" text="fnd">
      <formula>NOT(ISERROR(SEARCH("fnd",B181)))</formula>
    </cfRule>
    <cfRule type="containsText" dxfId="2176" priority="9" operator="containsText" text="Str">
      <formula>NOT(ISERROR(SEARCH("Str",B181)))</formula>
    </cfRule>
    <cfRule type="containsText" dxfId="2175" priority="10" operator="containsText" text="Ere">
      <formula>NOT(ISERROR(SEARCH("Ere",B181)))</formula>
    </cfRule>
    <cfRule type="containsText" dxfId="2174" priority="11" operator="containsText" text="Ear">
      <formula>NOT(ISERROR(SEARCH("Ear",B181)))</formula>
    </cfRule>
  </conditionalFormatting>
  <conditionalFormatting sqref="B54:C54">
    <cfRule type="containsText" dxfId="2173" priority="2120" operator="containsText" text="Ere">
      <formula>NOT(ISERROR(SEARCH("Ere",B54)))</formula>
    </cfRule>
    <cfRule type="containsText" dxfId="2172" priority="2122" operator="containsText" text="fnd">
      <formula>NOT(ISERROR(SEARCH("fnd",B54)))</formula>
    </cfRule>
    <cfRule type="containsText" dxfId="2171" priority="2121" operator="containsText" text="Ear">
      <formula>NOT(ISERROR(SEARCH("Ear",B54)))</formula>
    </cfRule>
    <cfRule type="containsText" dxfId="2170" priority="2119" operator="containsText" text="Str">
      <formula>NOT(ISERROR(SEARCH("Str",B54)))</formula>
    </cfRule>
  </conditionalFormatting>
  <conditionalFormatting sqref="B62:C62">
    <cfRule type="containsText" dxfId="2169" priority="2115" operator="containsText" text="Str">
      <formula>NOT(ISERROR(SEARCH("Str",B62)))</formula>
    </cfRule>
    <cfRule type="containsText" dxfId="2168" priority="2116" operator="containsText" text="Ere">
      <formula>NOT(ISERROR(SEARCH("Ere",B62)))</formula>
    </cfRule>
    <cfRule type="containsText" dxfId="2167" priority="2117" operator="containsText" text="Ear">
      <formula>NOT(ISERROR(SEARCH("Ear",B62)))</formula>
    </cfRule>
    <cfRule type="containsText" dxfId="2166" priority="2118" operator="containsText" text="fnd">
      <formula>NOT(ISERROR(SEARCH("fnd",B62)))</formula>
    </cfRule>
  </conditionalFormatting>
  <conditionalFormatting sqref="B78:C78">
    <cfRule type="containsText" dxfId="2165" priority="663" operator="containsText" text="Str">
      <formula>NOT(ISERROR(SEARCH("Str",B78)))</formula>
    </cfRule>
    <cfRule type="containsText" dxfId="2164" priority="665" operator="containsText" text="Ear">
      <formula>NOT(ISERROR(SEARCH("Ear",B78)))</formula>
    </cfRule>
    <cfRule type="containsText" dxfId="2163" priority="666" operator="containsText" text="fnd">
      <formula>NOT(ISERROR(SEARCH("fnd",B78)))</formula>
    </cfRule>
    <cfRule type="containsText" dxfId="2162" priority="664" operator="containsText" text="Ere">
      <formula>NOT(ISERROR(SEARCH("Ere",B78)))</formula>
    </cfRule>
  </conditionalFormatting>
  <conditionalFormatting sqref="B94:C94">
    <cfRule type="containsText" dxfId="2161" priority="2112" operator="containsText" text="Ere">
      <formula>NOT(ISERROR(SEARCH("Ere",B94)))</formula>
    </cfRule>
    <cfRule type="containsText" dxfId="2160" priority="2114" operator="containsText" text="fnd">
      <formula>NOT(ISERROR(SEARCH("fnd",B94)))</formula>
    </cfRule>
    <cfRule type="containsText" dxfId="2159" priority="2113" operator="containsText" text="Ear">
      <formula>NOT(ISERROR(SEARCH("Ear",B94)))</formula>
    </cfRule>
    <cfRule type="containsText" dxfId="2158" priority="2111" operator="containsText" text="Str">
      <formula>NOT(ISERROR(SEARCH("Str",B94)))</formula>
    </cfRule>
  </conditionalFormatting>
  <conditionalFormatting sqref="B118:C118">
    <cfRule type="containsText" dxfId="2157" priority="1411" operator="containsText" text="Str">
      <formula>NOT(ISERROR(SEARCH("Str",B118)))</formula>
    </cfRule>
    <cfRule type="containsText" dxfId="2156" priority="1412" operator="containsText" text="Ere">
      <formula>NOT(ISERROR(SEARCH("Ere",B118)))</formula>
    </cfRule>
    <cfRule type="containsText" dxfId="2155" priority="1413" operator="containsText" text="Ear">
      <formula>NOT(ISERROR(SEARCH("Ear",B118)))</formula>
    </cfRule>
    <cfRule type="containsText" dxfId="2154" priority="1414" operator="containsText" text="fnd">
      <formula>NOT(ISERROR(SEARCH("fnd",B118)))</formula>
    </cfRule>
  </conditionalFormatting>
  <conditionalFormatting sqref="B126:C126">
    <cfRule type="containsText" dxfId="2153" priority="1353" operator="containsText" text="Ear">
      <formula>NOT(ISERROR(SEARCH("Ear",B126)))</formula>
    </cfRule>
    <cfRule type="containsText" dxfId="2152" priority="1354" operator="containsText" text="fnd">
      <formula>NOT(ISERROR(SEARCH("fnd",B126)))</formula>
    </cfRule>
    <cfRule type="containsText" dxfId="2151" priority="1352" operator="containsText" text="Ere">
      <formula>NOT(ISERROR(SEARCH("Ere",B126)))</formula>
    </cfRule>
    <cfRule type="containsText" dxfId="2150" priority="1351" operator="containsText" text="Str">
      <formula>NOT(ISERROR(SEARCH("Str",B126)))</formula>
    </cfRule>
  </conditionalFormatting>
  <conditionalFormatting sqref="B134:C134">
    <cfRule type="containsText" dxfId="2149" priority="1324" operator="containsText" text="Ere">
      <formula>NOT(ISERROR(SEARCH("Ere",B134)))</formula>
    </cfRule>
    <cfRule type="containsText" dxfId="2148" priority="1325" operator="containsText" text="Ear">
      <formula>NOT(ISERROR(SEARCH("Ear",B134)))</formula>
    </cfRule>
    <cfRule type="containsText" dxfId="2147" priority="1326" operator="containsText" text="fnd">
      <formula>NOT(ISERROR(SEARCH("fnd",B134)))</formula>
    </cfRule>
    <cfRule type="containsText" dxfId="2146" priority="1323" operator="containsText" text="Str">
      <formula>NOT(ISERROR(SEARCH("Str",B134)))</formula>
    </cfRule>
  </conditionalFormatting>
  <conditionalFormatting sqref="B142:C142">
    <cfRule type="containsText" dxfId="2145" priority="1273" operator="containsText" text="Ear">
      <formula>NOT(ISERROR(SEARCH("Ear",B142)))</formula>
    </cfRule>
    <cfRule type="containsText" dxfId="2144" priority="1274" operator="containsText" text="fnd">
      <formula>NOT(ISERROR(SEARCH("fnd",B142)))</formula>
    </cfRule>
    <cfRule type="containsText" dxfId="2143" priority="1272" operator="containsText" text="Ere">
      <formula>NOT(ISERROR(SEARCH("Ere",B142)))</formula>
    </cfRule>
    <cfRule type="containsText" dxfId="2142" priority="1271" operator="containsText" text="Str">
      <formula>NOT(ISERROR(SEARCH("Str",B142)))</formula>
    </cfRule>
  </conditionalFormatting>
  <conditionalFormatting sqref="B158:C158">
    <cfRule type="containsText" dxfId="2141" priority="1116" operator="containsText" text="Ere">
      <formula>NOT(ISERROR(SEARCH("Ere",B158)))</formula>
    </cfRule>
    <cfRule type="containsText" dxfId="2140" priority="1118" operator="containsText" text="fnd">
      <formula>NOT(ISERROR(SEARCH("fnd",B158)))</formula>
    </cfRule>
    <cfRule type="containsText" dxfId="2139" priority="1115" operator="containsText" text="Str">
      <formula>NOT(ISERROR(SEARCH("Str",B158)))</formula>
    </cfRule>
    <cfRule type="containsText" dxfId="2138" priority="1117" operator="containsText" text="Ear">
      <formula>NOT(ISERROR(SEARCH("Ear",B158)))</formula>
    </cfRule>
  </conditionalFormatting>
  <conditionalFormatting sqref="B166:C166">
    <cfRule type="containsText" dxfId="2137" priority="333" operator="containsText" text="Str">
      <formula>NOT(ISERROR(SEARCH("Str",B166)))</formula>
    </cfRule>
    <cfRule type="containsText" dxfId="2136" priority="334" operator="containsText" text="Ere">
      <formula>NOT(ISERROR(SEARCH("Ere",B166)))</formula>
    </cfRule>
    <cfRule type="containsText" dxfId="2135" priority="336" operator="containsText" text="fnd">
      <formula>NOT(ISERROR(SEARCH("fnd",B166)))</formula>
    </cfRule>
    <cfRule type="containsText" dxfId="2134" priority="335" operator="containsText" text="Ear">
      <formula>NOT(ISERROR(SEARCH("Ear",B166)))</formula>
    </cfRule>
  </conditionalFormatting>
  <conditionalFormatting sqref="B174:C174">
    <cfRule type="containsText" dxfId="2133" priority="980" operator="containsText" text="Ere">
      <formula>NOT(ISERROR(SEARCH("Ere",B174)))</formula>
    </cfRule>
    <cfRule type="containsText" dxfId="2132" priority="979" operator="containsText" text="Str">
      <formula>NOT(ISERROR(SEARCH("Str",B174)))</formula>
    </cfRule>
    <cfRule type="containsText" dxfId="2131" priority="982" operator="containsText" text="fnd">
      <formula>NOT(ISERROR(SEARCH("fnd",B174)))</formula>
    </cfRule>
    <cfRule type="containsText" dxfId="2130" priority="981" operator="containsText" text="Ear">
      <formula>NOT(ISERROR(SEARCH("Ear",B174)))</formula>
    </cfRule>
  </conditionalFormatting>
  <conditionalFormatting sqref="B182:C182">
    <cfRule type="containsText" dxfId="2129" priority="16" operator="containsText" text="fnd">
      <formula>NOT(ISERROR(SEARCH("fnd",B182)))</formula>
    </cfRule>
    <cfRule type="containsText" dxfId="2128" priority="15" operator="containsText" text="Ear">
      <formula>NOT(ISERROR(SEARCH("Ear",B182)))</formula>
    </cfRule>
    <cfRule type="containsText" dxfId="2127" priority="14" operator="containsText" text="Ere">
      <formula>NOT(ISERROR(SEARCH("Ere",B182)))</formula>
    </cfRule>
    <cfRule type="containsText" dxfId="2126" priority="13" operator="containsText" text="Str">
      <formula>NOT(ISERROR(SEARCH("Str",B182)))</formula>
    </cfRule>
  </conditionalFormatting>
  <conditionalFormatting sqref="B193:C193">
    <cfRule type="containsText" dxfId="2125" priority="1749" operator="containsText" text="Ear">
      <formula>NOT(ISERROR(SEARCH("Ear",B193)))</formula>
    </cfRule>
    <cfRule type="containsText" dxfId="2124" priority="1750" operator="containsText" text="fnd">
      <formula>NOT(ISERROR(SEARCH("fnd",B193)))</formula>
    </cfRule>
    <cfRule type="containsText" dxfId="2123" priority="1747" operator="containsText" text="Str">
      <formula>NOT(ISERROR(SEARCH("Str",B193)))</formula>
    </cfRule>
    <cfRule type="containsText" dxfId="2122" priority="1748" operator="containsText" text="Ere">
      <formula>NOT(ISERROR(SEARCH("Ere",B193)))</formula>
    </cfRule>
  </conditionalFormatting>
  <conditionalFormatting sqref="C6">
    <cfRule type="containsText" dxfId="2121" priority="1572" operator="containsText" text="Ere">
      <formula>NOT(ISERROR(SEARCH("Ere",C6)))</formula>
    </cfRule>
    <cfRule type="containsText" dxfId="2120" priority="1573" operator="containsText" text="Ear">
      <formula>NOT(ISERROR(SEARCH("Ear",C6)))</formula>
    </cfRule>
    <cfRule type="containsText" dxfId="2119" priority="1571" operator="containsText" text="Str">
      <formula>NOT(ISERROR(SEARCH("Str",C6)))</formula>
    </cfRule>
    <cfRule type="containsText" dxfId="2118" priority="1574" operator="containsText" text="fnd">
      <formula>NOT(ISERROR(SEARCH("fnd",C6)))</formula>
    </cfRule>
  </conditionalFormatting>
  <conditionalFormatting sqref="C14">
    <cfRule type="containsText" dxfId="2117" priority="1674" operator="containsText" text="fnd">
      <formula>NOT(ISERROR(SEARCH("fnd",C14)))</formula>
    </cfRule>
    <cfRule type="containsText" dxfId="2116" priority="1671" operator="containsText" text="Str">
      <formula>NOT(ISERROR(SEARCH("Str",C14)))</formula>
    </cfRule>
    <cfRule type="containsText" dxfId="2115" priority="1672" operator="containsText" text="Ere">
      <formula>NOT(ISERROR(SEARCH("Ere",C14)))</formula>
    </cfRule>
    <cfRule type="containsText" dxfId="2114" priority="1673" operator="containsText" text="Ear">
      <formula>NOT(ISERROR(SEARCH("Ear",C14)))</formula>
    </cfRule>
  </conditionalFormatting>
  <conditionalFormatting sqref="C22">
    <cfRule type="containsText" dxfId="2113" priority="1434" operator="containsText" text="fnd">
      <formula>NOT(ISERROR(SEARCH("fnd",C22)))</formula>
    </cfRule>
    <cfRule type="containsText" dxfId="2112" priority="1433" operator="containsText" text="Ear">
      <formula>NOT(ISERROR(SEARCH("Ear",C22)))</formula>
    </cfRule>
    <cfRule type="containsText" dxfId="2111" priority="1432" operator="containsText" text="Ere">
      <formula>NOT(ISERROR(SEARCH("Ere",C22)))</formula>
    </cfRule>
    <cfRule type="containsText" dxfId="2110" priority="1431" operator="containsText" text="Str">
      <formula>NOT(ISERROR(SEARCH("Str",C22)))</formula>
    </cfRule>
  </conditionalFormatting>
  <conditionalFormatting sqref="C30">
    <cfRule type="containsText" dxfId="2109" priority="779" operator="containsText" text="Str">
      <formula>NOT(ISERROR(SEARCH("Str",C30)))</formula>
    </cfRule>
    <cfRule type="containsText" dxfId="2108" priority="781" operator="containsText" text="Ear">
      <formula>NOT(ISERROR(SEARCH("Ear",C30)))</formula>
    </cfRule>
    <cfRule type="containsText" dxfId="2107" priority="780" operator="containsText" text="Ere">
      <formula>NOT(ISERROR(SEARCH("Ere",C30)))</formula>
    </cfRule>
    <cfRule type="containsText" dxfId="2106" priority="782" operator="containsText" text="fnd">
      <formula>NOT(ISERROR(SEARCH("fnd",C30)))</formula>
    </cfRule>
  </conditionalFormatting>
  <conditionalFormatting sqref="C38">
    <cfRule type="containsText" dxfId="2105" priority="478" operator="containsText" text="fnd">
      <formula>NOT(ISERROR(SEARCH("fnd",C38)))</formula>
    </cfRule>
    <cfRule type="containsText" dxfId="2104" priority="475" operator="containsText" text="Str">
      <formula>NOT(ISERROR(SEARCH("Str",C38)))</formula>
    </cfRule>
    <cfRule type="containsText" dxfId="2103" priority="476" operator="containsText" text="Ere">
      <formula>NOT(ISERROR(SEARCH("Ere",C38)))</formula>
    </cfRule>
    <cfRule type="containsText" dxfId="2102" priority="477" operator="containsText" text="Ear">
      <formula>NOT(ISERROR(SEARCH("Ear",C38)))</formula>
    </cfRule>
  </conditionalFormatting>
  <conditionalFormatting sqref="C46">
    <cfRule type="containsText" dxfId="2101" priority="2127" operator="containsText" text="Str">
      <formula>NOT(ISERROR(SEARCH("Str",C46)))</formula>
    </cfRule>
    <cfRule type="containsText" dxfId="2100" priority="2128" operator="containsText" text="Ere">
      <formula>NOT(ISERROR(SEARCH("Ere",C46)))</formula>
    </cfRule>
    <cfRule type="containsText" dxfId="2099" priority="2129" operator="containsText" text="Ear">
      <formula>NOT(ISERROR(SEARCH("Ear",C46)))</formula>
    </cfRule>
    <cfRule type="containsText" dxfId="2098" priority="2130" operator="containsText" text="fnd">
      <formula>NOT(ISERROR(SEARCH("fnd",C46)))</formula>
    </cfRule>
  </conditionalFormatting>
  <conditionalFormatting sqref="E5:E6">
    <cfRule type="containsText" dxfId="2097" priority="1637" operator="containsText" text="Ear">
      <formula>NOT(ISERROR(SEARCH("Ear",E5)))</formula>
    </cfRule>
    <cfRule type="containsText" dxfId="2096" priority="1635" operator="containsText" text="Str">
      <formula>NOT(ISERROR(SEARCH("Str",E5)))</formula>
    </cfRule>
    <cfRule type="containsText" dxfId="2095" priority="1636" operator="containsText" text="Ere">
      <formula>NOT(ISERROR(SEARCH("Ere",E5)))</formula>
    </cfRule>
    <cfRule type="containsText" dxfId="2094" priority="1638" operator="containsText" text="fnd">
      <formula>NOT(ISERROR(SEARCH("fnd",E5)))</formula>
    </cfRule>
  </conditionalFormatting>
  <conditionalFormatting sqref="E13:E14">
    <cfRule type="containsText" dxfId="2093" priority="1594" operator="containsText" text="fnd">
      <formula>NOT(ISERROR(SEARCH("fnd",E13)))</formula>
    </cfRule>
    <cfRule type="containsText" dxfId="2092" priority="1592" operator="containsText" text="Ere">
      <formula>NOT(ISERROR(SEARCH("Ere",E13)))</formula>
    </cfRule>
    <cfRule type="containsText" dxfId="2091" priority="1593" operator="containsText" text="Ear">
      <formula>NOT(ISERROR(SEARCH("Ear",E13)))</formula>
    </cfRule>
    <cfRule type="containsText" dxfId="2090" priority="1591" operator="containsText" text="Str">
      <formula>NOT(ISERROR(SEARCH("Str",E13)))</formula>
    </cfRule>
  </conditionalFormatting>
  <conditionalFormatting sqref="E21:E22">
    <cfRule type="containsText" dxfId="2089" priority="440" operator="containsText" text="Ere">
      <formula>NOT(ISERROR(SEARCH("Ere",E21)))</formula>
    </cfRule>
    <cfRule type="containsText" dxfId="2088" priority="439" operator="containsText" text="Str">
      <formula>NOT(ISERROR(SEARCH("Str",E21)))</formula>
    </cfRule>
    <cfRule type="containsText" dxfId="2087" priority="441" operator="containsText" text="Ear">
      <formula>NOT(ISERROR(SEARCH("Ear",E21)))</formula>
    </cfRule>
    <cfRule type="containsText" dxfId="2086" priority="442" operator="containsText" text="fnd">
      <formula>NOT(ISERROR(SEARCH("fnd",E21)))</formula>
    </cfRule>
  </conditionalFormatting>
  <conditionalFormatting sqref="E29">
    <cfRule type="containsText" dxfId="2085" priority="1520" operator="containsText" text="Ere">
      <formula>NOT(ISERROR(SEARCH("Ere",E29)))</formula>
    </cfRule>
    <cfRule type="containsText" dxfId="2084" priority="1519" operator="containsText" text="Str">
      <formula>NOT(ISERROR(SEARCH("Str",E29)))</formula>
    </cfRule>
    <cfRule type="containsText" dxfId="2083" priority="1522" operator="containsText" text="fnd">
      <formula>NOT(ISERROR(SEARCH("fnd",E29)))</formula>
    </cfRule>
    <cfRule type="containsText" dxfId="2082" priority="1521" operator="containsText" text="Ear">
      <formula>NOT(ISERROR(SEARCH("Ear",E29)))</formula>
    </cfRule>
  </conditionalFormatting>
  <conditionalFormatting sqref="E37:E38">
    <cfRule type="containsText" dxfId="2081" priority="735" operator="containsText" text="Str">
      <formula>NOT(ISERROR(SEARCH("Str",E37)))</formula>
    </cfRule>
    <cfRule type="containsText" dxfId="2080" priority="736" operator="containsText" text="Ere">
      <formula>NOT(ISERROR(SEARCH("Ere",E37)))</formula>
    </cfRule>
    <cfRule type="containsText" dxfId="2079" priority="738" operator="containsText" text="fnd">
      <formula>NOT(ISERROR(SEARCH("fnd",E37)))</formula>
    </cfRule>
    <cfRule type="containsText" dxfId="2078" priority="737" operator="containsText" text="Ear">
      <formula>NOT(ISERROR(SEARCH("Ear",E37)))</formula>
    </cfRule>
  </conditionalFormatting>
  <conditionalFormatting sqref="E45">
    <cfRule type="containsText" dxfId="2077" priority="2224" operator="containsText" text="Ere">
      <formula>NOT(ISERROR(SEARCH("Ere",E45)))</formula>
    </cfRule>
    <cfRule type="containsText" dxfId="2076" priority="2225" operator="containsText" text="Ear">
      <formula>NOT(ISERROR(SEARCH("Ear",E45)))</formula>
    </cfRule>
    <cfRule type="containsText" dxfId="2075" priority="2226" operator="containsText" text="fnd">
      <formula>NOT(ISERROR(SEARCH("fnd",E45)))</formula>
    </cfRule>
    <cfRule type="containsText" dxfId="2074" priority="2223" operator="containsText" text="Str">
      <formula>NOT(ISERROR(SEARCH("Str",E45)))</formula>
    </cfRule>
  </conditionalFormatting>
  <conditionalFormatting sqref="E53:E54">
    <cfRule type="containsText" dxfId="2073" priority="1982" operator="containsText" text="fnd">
      <formula>NOT(ISERROR(SEARCH("fnd",E53)))</formula>
    </cfRule>
    <cfRule type="containsText" dxfId="2072" priority="1981" operator="containsText" text="Ear">
      <formula>NOT(ISERROR(SEARCH("Ear",E53)))</formula>
    </cfRule>
    <cfRule type="containsText" dxfId="2071" priority="1980" operator="containsText" text="Ere">
      <formula>NOT(ISERROR(SEARCH("Ere",E53)))</formula>
    </cfRule>
    <cfRule type="containsText" dxfId="2070" priority="1979" operator="containsText" text="Str">
      <formula>NOT(ISERROR(SEARCH("Str",E53)))</formula>
    </cfRule>
  </conditionalFormatting>
  <conditionalFormatting sqref="E61">
    <cfRule type="containsText" dxfId="2069" priority="692" operator="containsText" text="Ere">
      <formula>NOT(ISERROR(SEARCH("Ere",E61)))</formula>
    </cfRule>
    <cfRule type="containsText" dxfId="2068" priority="691" operator="containsText" text="Str">
      <formula>NOT(ISERROR(SEARCH("Str",E61)))</formula>
    </cfRule>
    <cfRule type="containsText" dxfId="2067" priority="693" operator="containsText" text="Ear">
      <formula>NOT(ISERROR(SEARCH("Ear",E61)))</formula>
    </cfRule>
    <cfRule type="containsText" dxfId="2066" priority="694" operator="containsText" text="fnd">
      <formula>NOT(ISERROR(SEARCH("fnd",E61)))</formula>
    </cfRule>
  </conditionalFormatting>
  <conditionalFormatting sqref="E69">
    <cfRule type="containsText" dxfId="2065" priority="2076" operator="containsText" text="Ere">
      <formula>NOT(ISERROR(SEARCH("Ere",E69)))</formula>
    </cfRule>
    <cfRule type="containsText" dxfId="2064" priority="2075" operator="containsText" text="Str">
      <formula>NOT(ISERROR(SEARCH("Str",E69)))</formula>
    </cfRule>
    <cfRule type="containsText" dxfId="2063" priority="2077" operator="containsText" text="Ear">
      <formula>NOT(ISERROR(SEARCH("Ear",E69)))</formula>
    </cfRule>
    <cfRule type="containsText" dxfId="2062" priority="2078" operator="containsText" text="fnd">
      <formula>NOT(ISERROR(SEARCH("fnd",E69)))</formula>
    </cfRule>
  </conditionalFormatting>
  <conditionalFormatting sqref="E86">
    <cfRule type="containsText" dxfId="2061" priority="2007" operator="containsText" text="Str">
      <formula>NOT(ISERROR(SEARCH("Str",E86)))</formula>
    </cfRule>
    <cfRule type="containsText" dxfId="2060" priority="2008" operator="containsText" text="Ere">
      <formula>NOT(ISERROR(SEARCH("Ere",E86)))</formula>
    </cfRule>
    <cfRule type="containsText" dxfId="2059" priority="2010" operator="containsText" text="fnd">
      <formula>NOT(ISERROR(SEARCH("fnd",E86)))</formula>
    </cfRule>
    <cfRule type="containsText" dxfId="2058" priority="2009" operator="containsText" text="Ear">
      <formula>NOT(ISERROR(SEARCH("Ear",E86)))</formula>
    </cfRule>
  </conditionalFormatting>
  <conditionalFormatting sqref="E93">
    <cfRule type="containsText" dxfId="2057" priority="2018" operator="containsText" text="fnd">
      <formula>NOT(ISERROR(SEARCH("fnd",E93)))</formula>
    </cfRule>
    <cfRule type="containsText" dxfId="2056" priority="2015" operator="containsText" text="Str">
      <formula>NOT(ISERROR(SEARCH("Str",E93)))</formula>
    </cfRule>
    <cfRule type="containsText" dxfId="2055" priority="2016" operator="containsText" text="Ere">
      <formula>NOT(ISERROR(SEARCH("Ere",E93)))</formula>
    </cfRule>
    <cfRule type="containsText" dxfId="2054" priority="2017" operator="containsText" text="Ear">
      <formula>NOT(ISERROR(SEARCH("Ear",E93)))</formula>
    </cfRule>
  </conditionalFormatting>
  <conditionalFormatting sqref="E101">
    <cfRule type="containsText" dxfId="2053" priority="1900" operator="containsText" text="Ere">
      <formula>NOT(ISERROR(SEARCH("Ere",E101)))</formula>
    </cfRule>
    <cfRule type="containsText" dxfId="2052" priority="1902" operator="containsText" text="fnd">
      <formula>NOT(ISERROR(SEARCH("fnd",E101)))</formula>
    </cfRule>
    <cfRule type="containsText" dxfId="2051" priority="1899" operator="containsText" text="Str">
      <formula>NOT(ISERROR(SEARCH("Str",E101)))</formula>
    </cfRule>
    <cfRule type="containsText" dxfId="2050" priority="1901" operator="containsText" text="Ear">
      <formula>NOT(ISERROR(SEARCH("Ear",E101)))</formula>
    </cfRule>
  </conditionalFormatting>
  <conditionalFormatting sqref="E109">
    <cfRule type="containsText" dxfId="2049" priority="565" operator="containsText" text="Ear">
      <formula>NOT(ISERROR(SEARCH("Ear",E109)))</formula>
    </cfRule>
    <cfRule type="containsText" dxfId="2048" priority="564" operator="containsText" text="Ere">
      <formula>NOT(ISERROR(SEARCH("Ere",E109)))</formula>
    </cfRule>
    <cfRule type="containsText" dxfId="2047" priority="563" operator="containsText" text="Str">
      <formula>NOT(ISERROR(SEARCH("Str",E109)))</formula>
    </cfRule>
    <cfRule type="containsText" dxfId="2046" priority="566" operator="containsText" text="fnd">
      <formula>NOT(ISERROR(SEARCH("fnd",E109)))</formula>
    </cfRule>
  </conditionalFormatting>
  <conditionalFormatting sqref="E117">
    <cfRule type="containsText" dxfId="2045" priority="269" operator="containsText" text="Str">
      <formula>NOT(ISERROR(SEARCH("Str",E117)))</formula>
    </cfRule>
    <cfRule type="containsText" dxfId="2044" priority="270" operator="containsText" text="Ere">
      <formula>NOT(ISERROR(SEARCH("Ere",E117)))</formula>
    </cfRule>
    <cfRule type="containsText" dxfId="2043" priority="271" operator="containsText" text="Ear">
      <formula>NOT(ISERROR(SEARCH("Ear",E117)))</formula>
    </cfRule>
    <cfRule type="containsText" dxfId="2042" priority="272" operator="containsText" text="fnd">
      <formula>NOT(ISERROR(SEARCH("fnd",E117)))</formula>
    </cfRule>
  </conditionalFormatting>
  <conditionalFormatting sqref="E122 E130 E138 E162 E170 E178 E186:E192">
    <cfRule type="containsText" dxfId="2041" priority="2047" operator="containsText" text="Str">
      <formula>NOT(ISERROR(SEARCH("Str",E122)))</formula>
    </cfRule>
    <cfRule type="containsText" dxfId="2040" priority="2049" operator="containsText" text="Ear">
      <formula>NOT(ISERROR(SEARCH("Ear",E122)))</formula>
    </cfRule>
    <cfRule type="containsText" dxfId="2039" priority="2050" operator="containsText" text="fnd">
      <formula>NOT(ISERROR(SEARCH("fnd",E122)))</formula>
    </cfRule>
    <cfRule type="containsText" dxfId="2038" priority="2048" operator="containsText" text="Ere">
      <formula>NOT(ISERROR(SEARCH("Ere",E122)))</formula>
    </cfRule>
  </conditionalFormatting>
  <conditionalFormatting sqref="E125">
    <cfRule type="containsText" dxfId="2037" priority="1343" operator="containsText" text="Str">
      <formula>NOT(ISERROR(SEARCH("Str",E125)))</formula>
    </cfRule>
    <cfRule type="containsText" dxfId="2036" priority="1345" operator="containsText" text="Ear">
      <formula>NOT(ISERROR(SEARCH("Ear",E125)))</formula>
    </cfRule>
    <cfRule type="containsText" dxfId="2035" priority="1344" operator="containsText" text="Ere">
      <formula>NOT(ISERROR(SEARCH("Ere",E125)))</formula>
    </cfRule>
    <cfRule type="containsText" dxfId="2034" priority="1346" operator="containsText" text="fnd">
      <formula>NOT(ISERROR(SEARCH("fnd",E125)))</formula>
    </cfRule>
  </conditionalFormatting>
  <conditionalFormatting sqref="E133">
    <cfRule type="containsText" dxfId="2033" priority="1298" operator="containsText" text="fnd">
      <formula>NOT(ISERROR(SEARCH("fnd",E133)))</formula>
    </cfRule>
    <cfRule type="containsText" dxfId="2032" priority="1297" operator="containsText" text="Ear">
      <formula>NOT(ISERROR(SEARCH("Ear",E133)))</formula>
    </cfRule>
    <cfRule type="containsText" dxfId="2031" priority="1296" operator="containsText" text="Ere">
      <formula>NOT(ISERROR(SEARCH("Ere",E133)))</formula>
    </cfRule>
    <cfRule type="containsText" dxfId="2030" priority="1295" operator="containsText" text="Str">
      <formula>NOT(ISERROR(SEARCH("Str",E133)))</formula>
    </cfRule>
  </conditionalFormatting>
  <conditionalFormatting sqref="E141">
    <cfRule type="containsText" dxfId="2029" priority="1195" operator="containsText" text="Str">
      <formula>NOT(ISERROR(SEARCH("Str",E141)))</formula>
    </cfRule>
    <cfRule type="containsText" dxfId="2028" priority="1196" operator="containsText" text="Ere">
      <formula>NOT(ISERROR(SEARCH("Ere",E141)))</formula>
    </cfRule>
    <cfRule type="containsText" dxfId="2027" priority="1197" operator="containsText" text="Ear">
      <formula>NOT(ISERROR(SEARCH("Ear",E141)))</formula>
    </cfRule>
    <cfRule type="containsText" dxfId="2026" priority="1198" operator="containsText" text="fnd">
      <formula>NOT(ISERROR(SEARCH("fnd",E141)))</formula>
    </cfRule>
  </conditionalFormatting>
  <conditionalFormatting sqref="E149">
    <cfRule type="containsText" dxfId="2025" priority="61" operator="containsText" text="Str">
      <formula>NOT(ISERROR(SEARCH("Str",E149)))</formula>
    </cfRule>
    <cfRule type="containsText" dxfId="2024" priority="62" operator="containsText" text="Ere">
      <formula>NOT(ISERROR(SEARCH("Ere",E149)))</formula>
    </cfRule>
    <cfRule type="containsText" dxfId="2023" priority="64" operator="containsText" text="fnd">
      <formula>NOT(ISERROR(SEARCH("fnd",E149)))</formula>
    </cfRule>
    <cfRule type="containsText" dxfId="2022" priority="63" operator="containsText" text="Ear">
      <formula>NOT(ISERROR(SEARCH("Ear",E149)))</formula>
    </cfRule>
  </conditionalFormatting>
  <conditionalFormatting sqref="E157">
    <cfRule type="containsText" dxfId="2021" priority="1054" operator="containsText" text="fnd">
      <formula>NOT(ISERROR(SEARCH("fnd",E157)))</formula>
    </cfRule>
    <cfRule type="containsText" dxfId="2020" priority="1053" operator="containsText" text="Ear">
      <formula>NOT(ISERROR(SEARCH("Ear",E157)))</formula>
    </cfRule>
    <cfRule type="containsText" dxfId="2019" priority="1052" operator="containsText" text="Ere">
      <formula>NOT(ISERROR(SEARCH("Ere",E157)))</formula>
    </cfRule>
    <cfRule type="containsText" dxfId="2018" priority="1051" operator="containsText" text="Str">
      <formula>NOT(ISERROR(SEARCH("Str",E157)))</formula>
    </cfRule>
  </conditionalFormatting>
  <conditionalFormatting sqref="E165">
    <cfRule type="containsText" dxfId="2017" priority="423" operator="containsText" text="Str">
      <formula>NOT(ISERROR(SEARCH("Str",E165)))</formula>
    </cfRule>
    <cfRule type="containsText" dxfId="2016" priority="424" operator="containsText" text="Ere">
      <formula>NOT(ISERROR(SEARCH("Ere",E165)))</formula>
    </cfRule>
    <cfRule type="containsText" dxfId="2015" priority="425" operator="containsText" text="Ear">
      <formula>NOT(ISERROR(SEARCH("Ear",E165)))</formula>
    </cfRule>
    <cfRule type="containsText" dxfId="2014" priority="426" operator="containsText" text="fnd">
      <formula>NOT(ISERROR(SEARCH("fnd",E165)))</formula>
    </cfRule>
  </conditionalFormatting>
  <conditionalFormatting sqref="E173">
    <cfRule type="containsText" dxfId="2013" priority="377" operator="containsText" text="Str">
      <formula>NOT(ISERROR(SEARCH("Str",E173)))</formula>
    </cfRule>
    <cfRule type="containsText" dxfId="2012" priority="379" operator="containsText" text="Ear">
      <formula>NOT(ISERROR(SEARCH("Ear",E173)))</formula>
    </cfRule>
    <cfRule type="containsText" dxfId="2011" priority="378" operator="containsText" text="Ere">
      <formula>NOT(ISERROR(SEARCH("Ere",E173)))</formula>
    </cfRule>
    <cfRule type="containsText" dxfId="2010" priority="380" operator="containsText" text="fnd">
      <formula>NOT(ISERROR(SEARCH("fnd",E173)))</formula>
    </cfRule>
  </conditionalFormatting>
  <conditionalFormatting sqref="E181">
    <cfRule type="containsText" dxfId="2009" priority="840" operator="containsText" text="Ere">
      <formula>NOT(ISERROR(SEARCH("Ere",E181)))</formula>
    </cfRule>
    <cfRule type="containsText" dxfId="2008" priority="842" operator="containsText" text="fnd">
      <formula>NOT(ISERROR(SEARCH("fnd",E181)))</formula>
    </cfRule>
    <cfRule type="containsText" dxfId="2007" priority="841" operator="containsText" text="Ear">
      <formula>NOT(ISERROR(SEARCH("Ear",E181)))</formula>
    </cfRule>
    <cfRule type="containsText" dxfId="2006" priority="839" operator="containsText" text="Str">
      <formula>NOT(ISERROR(SEARCH("Str",E181)))</formula>
    </cfRule>
  </conditionalFormatting>
  <conditionalFormatting sqref="E201">
    <cfRule type="containsText" dxfId="2005" priority="2136" operator="containsText" text="Ere">
      <formula>NOT(ISERROR(SEARCH("Ere",E201)))</formula>
    </cfRule>
    <cfRule type="containsText" dxfId="2004" priority="2137" operator="containsText" text="Ear">
      <formula>NOT(ISERROR(SEARCH("Ear",E201)))</formula>
    </cfRule>
    <cfRule type="containsText" dxfId="2003" priority="2138" operator="containsText" text="fnd">
      <formula>NOT(ISERROR(SEARCH("fnd",E201)))</formula>
    </cfRule>
    <cfRule type="containsText" dxfId="2002" priority="2135" operator="containsText" text="Str">
      <formula>NOT(ISERROR(SEARCH("Str",E201)))</formula>
    </cfRule>
  </conditionalFormatting>
  <conditionalFormatting sqref="E30:F30">
    <cfRule type="containsText" dxfId="2001" priority="1526" operator="containsText" text="fnd">
      <formula>NOT(ISERROR(SEARCH("fnd",E30)))</formula>
    </cfRule>
    <cfRule type="containsText" dxfId="2000" priority="1525" operator="containsText" text="Ear">
      <formula>NOT(ISERROR(SEARCH("Ear",E30)))</formula>
    </cfRule>
    <cfRule type="containsText" dxfId="1999" priority="1523" operator="containsText" text="Str">
      <formula>NOT(ISERROR(SEARCH("Str",E30)))</formula>
    </cfRule>
    <cfRule type="containsText" dxfId="1998" priority="1524" operator="containsText" text="Ere">
      <formula>NOT(ISERROR(SEARCH("Ere",E30)))</formula>
    </cfRule>
  </conditionalFormatting>
  <conditionalFormatting sqref="E46:F46">
    <cfRule type="containsText" dxfId="1997" priority="2326" operator="containsText" text="fnd">
      <formula>NOT(ISERROR(SEARCH("fnd",E46)))</formula>
    </cfRule>
    <cfRule type="containsText" dxfId="1996" priority="2323" operator="containsText" text="Str">
      <formula>NOT(ISERROR(SEARCH("Str",E46)))</formula>
    </cfRule>
    <cfRule type="containsText" dxfId="1995" priority="2324" operator="containsText" text="Ere">
      <formula>NOT(ISERROR(SEARCH("Ere",E46)))</formula>
    </cfRule>
    <cfRule type="containsText" dxfId="1994" priority="2325" operator="containsText" text="Ear">
      <formula>NOT(ISERROR(SEARCH("Ear",E46)))</formula>
    </cfRule>
  </conditionalFormatting>
  <conditionalFormatting sqref="E62:F62">
    <cfRule type="containsText" dxfId="1993" priority="698" operator="containsText" text="fnd">
      <formula>NOT(ISERROR(SEARCH("fnd",E62)))</formula>
    </cfRule>
    <cfRule type="containsText" dxfId="1992" priority="697" operator="containsText" text="Ear">
      <formula>NOT(ISERROR(SEARCH("Ear",E62)))</formula>
    </cfRule>
    <cfRule type="containsText" dxfId="1991" priority="695" operator="containsText" text="Str">
      <formula>NOT(ISERROR(SEARCH("Str",E62)))</formula>
    </cfRule>
    <cfRule type="containsText" dxfId="1990" priority="696" operator="containsText" text="Ere">
      <formula>NOT(ISERROR(SEARCH("Ere",E62)))</formula>
    </cfRule>
  </conditionalFormatting>
  <conditionalFormatting sqref="E94:F94">
    <cfRule type="containsText" dxfId="1989" priority="2020" operator="containsText" text="Ere">
      <formula>NOT(ISERROR(SEARCH("Ere",E94)))</formula>
    </cfRule>
    <cfRule type="containsText" dxfId="1988" priority="2019" operator="containsText" text="Str">
      <formula>NOT(ISERROR(SEARCH("Str",E94)))</formula>
    </cfRule>
    <cfRule type="containsText" dxfId="1987" priority="2021" operator="containsText" text="Ear">
      <formula>NOT(ISERROR(SEARCH("Ear",E94)))</formula>
    </cfRule>
    <cfRule type="containsText" dxfId="1986" priority="2022" operator="containsText" text="fnd">
      <formula>NOT(ISERROR(SEARCH("fnd",E94)))</formula>
    </cfRule>
  </conditionalFormatting>
  <conditionalFormatting sqref="E102:F102">
    <cfRule type="containsText" dxfId="1985" priority="1903" operator="containsText" text="Str">
      <formula>NOT(ISERROR(SEARCH("Str",E102)))</formula>
    </cfRule>
    <cfRule type="containsText" dxfId="1984" priority="1904" operator="containsText" text="Ere">
      <formula>NOT(ISERROR(SEARCH("Ere",E102)))</formula>
    </cfRule>
    <cfRule type="containsText" dxfId="1983" priority="1906" operator="containsText" text="fnd">
      <formula>NOT(ISERROR(SEARCH("fnd",E102)))</formula>
    </cfRule>
    <cfRule type="containsText" dxfId="1982" priority="1905" operator="containsText" text="Ear">
      <formula>NOT(ISERROR(SEARCH("Ear",E102)))</formula>
    </cfRule>
  </conditionalFormatting>
  <conditionalFormatting sqref="E134:F134">
    <cfRule type="containsText" dxfId="1981" priority="1302" operator="containsText" text="fnd">
      <formula>NOT(ISERROR(SEARCH("fnd",E134)))</formula>
    </cfRule>
    <cfRule type="containsText" dxfId="1980" priority="1299" operator="containsText" text="Str">
      <formula>NOT(ISERROR(SEARCH("Str",E134)))</formula>
    </cfRule>
    <cfRule type="containsText" dxfId="1979" priority="1300" operator="containsText" text="Ere">
      <formula>NOT(ISERROR(SEARCH("Ere",E134)))</formula>
    </cfRule>
    <cfRule type="containsText" dxfId="1978" priority="1301" operator="containsText" text="Ear">
      <formula>NOT(ISERROR(SEARCH("Ear",E134)))</formula>
    </cfRule>
  </conditionalFormatting>
  <conditionalFormatting sqref="E142:F142">
    <cfRule type="containsText" dxfId="1977" priority="1200" operator="containsText" text="Ere">
      <formula>NOT(ISERROR(SEARCH("Ere",E142)))</formula>
    </cfRule>
    <cfRule type="containsText" dxfId="1976" priority="1201" operator="containsText" text="Ear">
      <formula>NOT(ISERROR(SEARCH("Ear",E142)))</formula>
    </cfRule>
    <cfRule type="containsText" dxfId="1975" priority="1199" operator="containsText" text="Str">
      <formula>NOT(ISERROR(SEARCH("Str",E142)))</formula>
    </cfRule>
    <cfRule type="containsText" dxfId="1974" priority="1202" operator="containsText" text="fnd">
      <formula>NOT(ISERROR(SEARCH("fnd",E142)))</formula>
    </cfRule>
  </conditionalFormatting>
  <conditionalFormatting sqref="E158:F158">
    <cfRule type="containsText" dxfId="1973" priority="1057" operator="containsText" text="Ear">
      <formula>NOT(ISERROR(SEARCH("Ear",E158)))</formula>
    </cfRule>
    <cfRule type="containsText" dxfId="1972" priority="1058" operator="containsText" text="fnd">
      <formula>NOT(ISERROR(SEARCH("fnd",E158)))</formula>
    </cfRule>
    <cfRule type="containsText" dxfId="1971" priority="1056" operator="containsText" text="Ere">
      <formula>NOT(ISERROR(SEARCH("Ere",E158)))</formula>
    </cfRule>
    <cfRule type="containsText" dxfId="1970" priority="1055" operator="containsText" text="Str">
      <formula>NOT(ISERROR(SEARCH("Str",E158)))</formula>
    </cfRule>
  </conditionalFormatting>
  <conditionalFormatting sqref="E166:F166">
    <cfRule type="containsText" dxfId="1969" priority="427" operator="containsText" text="Str">
      <formula>NOT(ISERROR(SEARCH("Str",E166)))</formula>
    </cfRule>
    <cfRule type="containsText" dxfId="1968" priority="428" operator="containsText" text="Ere">
      <formula>NOT(ISERROR(SEARCH("Ere",E166)))</formula>
    </cfRule>
    <cfRule type="containsText" dxfId="1967" priority="430" operator="containsText" text="fnd">
      <formula>NOT(ISERROR(SEARCH("fnd",E166)))</formula>
    </cfRule>
    <cfRule type="containsText" dxfId="1966" priority="429" operator="containsText" text="Ear">
      <formula>NOT(ISERROR(SEARCH("Ear",E166)))</formula>
    </cfRule>
  </conditionalFormatting>
  <conditionalFormatting sqref="E174:F174">
    <cfRule type="containsText" dxfId="1965" priority="384" operator="containsText" text="fnd">
      <formula>NOT(ISERROR(SEARCH("fnd",E174)))</formula>
    </cfRule>
    <cfRule type="containsText" dxfId="1964" priority="383" operator="containsText" text="Ear">
      <formula>NOT(ISERROR(SEARCH("Ear",E174)))</formula>
    </cfRule>
    <cfRule type="containsText" dxfId="1963" priority="382" operator="containsText" text="Ere">
      <formula>NOT(ISERROR(SEARCH("Ere",E174)))</formula>
    </cfRule>
    <cfRule type="containsText" dxfId="1962" priority="381" operator="containsText" text="Str">
      <formula>NOT(ISERROR(SEARCH("Str",E174)))</formula>
    </cfRule>
  </conditionalFormatting>
  <conditionalFormatting sqref="E182:F182">
    <cfRule type="containsText" dxfId="1961" priority="843" operator="containsText" text="Str">
      <formula>NOT(ISERROR(SEARCH("Str",E182)))</formula>
    </cfRule>
    <cfRule type="containsText" dxfId="1960" priority="844" operator="containsText" text="Ere">
      <formula>NOT(ISERROR(SEARCH("Ere",E182)))</formula>
    </cfRule>
    <cfRule type="containsText" dxfId="1959" priority="845" operator="containsText" text="Ear">
      <formula>NOT(ISERROR(SEARCH("Ear",E182)))</formula>
    </cfRule>
    <cfRule type="containsText" dxfId="1958" priority="846" operator="containsText" text="fnd">
      <formula>NOT(ISERROR(SEARCH("fnd",E182)))</formula>
    </cfRule>
  </conditionalFormatting>
  <conditionalFormatting sqref="E202:F202">
    <cfRule type="containsText" dxfId="1957" priority="2141" operator="containsText" text="Ear">
      <formula>NOT(ISERROR(SEARCH("Ear",E202)))</formula>
    </cfRule>
    <cfRule type="containsText" dxfId="1956" priority="2139" operator="containsText" text="Str">
      <formula>NOT(ISERROR(SEARCH("Str",E202)))</formula>
    </cfRule>
    <cfRule type="containsText" dxfId="1955" priority="2140" operator="containsText" text="Ere">
      <formula>NOT(ISERROR(SEARCH("Ere",E202)))</formula>
    </cfRule>
    <cfRule type="containsText" dxfId="1954" priority="2142" operator="containsText" text="fnd">
      <formula>NOT(ISERROR(SEARCH("fnd",E202)))</formula>
    </cfRule>
  </conditionalFormatting>
  <conditionalFormatting sqref="F6">
    <cfRule type="containsText" dxfId="1953" priority="1633" operator="containsText" text="Ear">
      <formula>NOT(ISERROR(SEARCH("Ear",F6)))</formula>
    </cfRule>
    <cfRule type="containsText" dxfId="1952" priority="1634" operator="containsText" text="fnd">
      <formula>NOT(ISERROR(SEARCH("fnd",F6)))</formula>
    </cfRule>
    <cfRule type="containsText" dxfId="1951" priority="1631" operator="containsText" text="Str">
      <formula>NOT(ISERROR(SEARCH("Str",F6)))</formula>
    </cfRule>
    <cfRule type="containsText" dxfId="1950" priority="1632" operator="containsText" text="Ere">
      <formula>NOT(ISERROR(SEARCH("Ere",F6)))</formula>
    </cfRule>
  </conditionalFormatting>
  <conditionalFormatting sqref="F14">
    <cfRule type="containsText" dxfId="1949" priority="1587" operator="containsText" text="Str">
      <formula>NOT(ISERROR(SEARCH("Str",F14)))</formula>
    </cfRule>
    <cfRule type="containsText" dxfId="1948" priority="1590" operator="containsText" text="fnd">
      <formula>NOT(ISERROR(SEARCH("fnd",F14)))</formula>
    </cfRule>
    <cfRule type="containsText" dxfId="1947" priority="1589" operator="containsText" text="Ear">
      <formula>NOT(ISERROR(SEARCH("Ear",F14)))</formula>
    </cfRule>
    <cfRule type="containsText" dxfId="1946" priority="1588" operator="containsText" text="Ere">
      <formula>NOT(ISERROR(SEARCH("Ere",F14)))</formula>
    </cfRule>
  </conditionalFormatting>
  <conditionalFormatting sqref="F22">
    <cfRule type="containsText" dxfId="1945" priority="437" operator="containsText" text="Ear">
      <formula>NOT(ISERROR(SEARCH("Ear",F22)))</formula>
    </cfRule>
    <cfRule type="containsText" dxfId="1944" priority="438" operator="containsText" text="fnd">
      <formula>NOT(ISERROR(SEARCH("fnd",F22)))</formula>
    </cfRule>
    <cfRule type="containsText" dxfId="1943" priority="435" operator="containsText" text="Str">
      <formula>NOT(ISERROR(SEARCH("Str",F22)))</formula>
    </cfRule>
    <cfRule type="containsText" dxfId="1942" priority="436" operator="containsText" text="Ere">
      <formula>NOT(ISERROR(SEARCH("Ere",F22)))</formula>
    </cfRule>
  </conditionalFormatting>
  <conditionalFormatting sqref="F38">
    <cfRule type="containsText" dxfId="1941" priority="733" operator="containsText" text="Ear">
      <formula>NOT(ISERROR(SEARCH("Ear",F38)))</formula>
    </cfRule>
    <cfRule type="containsText" dxfId="1940" priority="734" operator="containsText" text="fnd">
      <formula>NOT(ISERROR(SEARCH("fnd",F38)))</formula>
    </cfRule>
    <cfRule type="containsText" dxfId="1939" priority="731" operator="containsText" text="Str">
      <formula>NOT(ISERROR(SEARCH("Str",F38)))</formula>
    </cfRule>
    <cfRule type="containsText" dxfId="1938" priority="732" operator="containsText" text="Ere">
      <formula>NOT(ISERROR(SEARCH("Ere",F38)))</formula>
    </cfRule>
  </conditionalFormatting>
  <conditionalFormatting sqref="F54">
    <cfRule type="containsText" dxfId="1937" priority="1975" operator="containsText" text="Str">
      <formula>NOT(ISERROR(SEARCH("Str",F54)))</formula>
    </cfRule>
    <cfRule type="containsText" dxfId="1936" priority="1978" operator="containsText" text="fnd">
      <formula>NOT(ISERROR(SEARCH("fnd",F54)))</formula>
    </cfRule>
    <cfRule type="containsText" dxfId="1935" priority="1977" operator="containsText" text="Ear">
      <formula>NOT(ISERROR(SEARCH("Ear",F54)))</formula>
    </cfRule>
    <cfRule type="containsText" dxfId="1934" priority="1976" operator="containsText" text="Ere">
      <formula>NOT(ISERROR(SEARCH("Ere",F54)))</formula>
    </cfRule>
  </conditionalFormatting>
  <conditionalFormatting sqref="F78">
    <cfRule type="containsText" dxfId="1933" priority="1985" operator="containsText" text="Ear">
      <formula>NOT(ISERROR(SEARCH("Ear",F78)))</formula>
    </cfRule>
    <cfRule type="containsText" dxfId="1932" priority="1984" operator="containsText" text="Ere">
      <formula>NOT(ISERROR(SEARCH("Ere",F78)))</formula>
    </cfRule>
    <cfRule type="containsText" dxfId="1931" priority="1983" operator="containsText" text="Str">
      <formula>NOT(ISERROR(SEARCH("Str",F78)))</formula>
    </cfRule>
    <cfRule type="containsText" dxfId="1930" priority="1986" operator="containsText" text="fnd">
      <formula>NOT(ISERROR(SEARCH("fnd",F78)))</formula>
    </cfRule>
  </conditionalFormatting>
  <conditionalFormatting sqref="F193">
    <cfRule type="containsText" dxfId="1929" priority="1569" operator="containsText" text="Ear">
      <formula>NOT(ISERROR(SEARCH("Ear",F193)))</formula>
    </cfRule>
    <cfRule type="containsText" dxfId="1928" priority="1568" operator="containsText" text="Ere">
      <formula>NOT(ISERROR(SEARCH("Ere",F193)))</formula>
    </cfRule>
    <cfRule type="containsText" dxfId="1927" priority="1567" operator="containsText" text="Str">
      <formula>NOT(ISERROR(SEARCH("Str",F193)))</formula>
    </cfRule>
    <cfRule type="containsText" dxfId="1926" priority="1570" operator="containsText" text="fnd">
      <formula>NOT(ISERROR(SEARCH("fnd",F193)))</formula>
    </cfRule>
  </conditionalFormatting>
  <conditionalFormatting sqref="G122 H130 H138 H162 H170 H178 H186:H192">
    <cfRule type="containsText" dxfId="1925" priority="2067" operator="containsText" text="Str">
      <formula>NOT(ISERROR(SEARCH("Str",G122)))</formula>
    </cfRule>
    <cfRule type="containsText" dxfId="1924" priority="2068" operator="containsText" text="Ere">
      <formula>NOT(ISERROR(SEARCH("Ere",G122)))</formula>
    </cfRule>
    <cfRule type="containsText" dxfId="1923" priority="2069" operator="containsText" text="Ear">
      <formula>NOT(ISERROR(SEARCH("Ear",G122)))</formula>
    </cfRule>
    <cfRule type="containsText" dxfId="1922" priority="2070" operator="containsText" text="fnd">
      <formula>NOT(ISERROR(SEARCH("fnd",G122)))</formula>
    </cfRule>
  </conditionalFormatting>
  <conditionalFormatting sqref="H5:H6">
    <cfRule type="containsText" dxfId="1921" priority="1501" operator="containsText" text="Ear">
      <formula>NOT(ISERROR(SEARCH("Ear",H5)))</formula>
    </cfRule>
    <cfRule type="containsText" dxfId="1920" priority="1502" operator="containsText" text="fnd">
      <formula>NOT(ISERROR(SEARCH("fnd",H5)))</formula>
    </cfRule>
    <cfRule type="containsText" dxfId="1919" priority="1499" operator="containsText" text="Str">
      <formula>NOT(ISERROR(SEARCH("Str",H5)))</formula>
    </cfRule>
    <cfRule type="containsText" dxfId="1918" priority="1500" operator="containsText" text="Ere">
      <formula>NOT(ISERROR(SEARCH("Ere",H5)))</formula>
    </cfRule>
  </conditionalFormatting>
  <conditionalFormatting sqref="H13:H14">
    <cfRule type="containsText" dxfId="1917" priority="1655" operator="containsText" text="Str">
      <formula>NOT(ISERROR(SEARCH("Str",H13)))</formula>
    </cfRule>
    <cfRule type="containsText" dxfId="1916" priority="1656" operator="containsText" text="Ere">
      <formula>NOT(ISERROR(SEARCH("Ere",H13)))</formula>
    </cfRule>
    <cfRule type="containsText" dxfId="1915" priority="1658" operator="containsText" text="fnd">
      <formula>NOT(ISERROR(SEARCH("fnd",H13)))</formula>
    </cfRule>
    <cfRule type="containsText" dxfId="1914" priority="1657" operator="containsText" text="Ear">
      <formula>NOT(ISERROR(SEARCH("Ear",H13)))</formula>
    </cfRule>
  </conditionalFormatting>
  <conditionalFormatting sqref="H21:H22">
    <cfRule type="containsText" dxfId="1913" priority="1890" operator="containsText" text="fnd">
      <formula>NOT(ISERROR(SEARCH("fnd",H21)))</formula>
    </cfRule>
    <cfRule type="containsText" dxfId="1912" priority="1888" operator="containsText" text="Ere">
      <formula>NOT(ISERROR(SEARCH("Ere",H21)))</formula>
    </cfRule>
    <cfRule type="containsText" dxfId="1911" priority="1889" operator="containsText" text="Ear">
      <formula>NOT(ISERROR(SEARCH("Ear",H21)))</formula>
    </cfRule>
    <cfRule type="containsText" dxfId="1910" priority="1887" operator="containsText" text="Str">
      <formula>NOT(ISERROR(SEARCH("Str",H21)))</formula>
    </cfRule>
  </conditionalFormatting>
  <conditionalFormatting sqref="H29">
    <cfRule type="containsText" dxfId="1909" priority="452" operator="containsText" text="Ere">
      <formula>NOT(ISERROR(SEARCH("Ere",H29)))</formula>
    </cfRule>
    <cfRule type="containsText" dxfId="1908" priority="451" operator="containsText" text="Str">
      <formula>NOT(ISERROR(SEARCH("Str",H29)))</formula>
    </cfRule>
    <cfRule type="containsText" dxfId="1907" priority="454" operator="containsText" text="fnd">
      <formula>NOT(ISERROR(SEARCH("fnd",H29)))</formula>
    </cfRule>
    <cfRule type="containsText" dxfId="1906" priority="453" operator="containsText" text="Ear">
      <formula>NOT(ISERROR(SEARCH("Ear",H29)))</formula>
    </cfRule>
  </conditionalFormatting>
  <conditionalFormatting sqref="H37:H38">
    <cfRule type="containsText" dxfId="1905" priority="761" operator="containsText" text="Ear">
      <formula>NOT(ISERROR(SEARCH("Ear",H37)))</formula>
    </cfRule>
    <cfRule type="containsText" dxfId="1904" priority="760" operator="containsText" text="Ere">
      <formula>NOT(ISERROR(SEARCH("Ere",H37)))</formula>
    </cfRule>
    <cfRule type="containsText" dxfId="1903" priority="759" operator="containsText" text="Str">
      <formula>NOT(ISERROR(SEARCH("Str",H37)))</formula>
    </cfRule>
    <cfRule type="containsText" dxfId="1902" priority="762" operator="containsText" text="fnd">
      <formula>NOT(ISERROR(SEARCH("fnd",H37)))</formula>
    </cfRule>
  </conditionalFormatting>
  <conditionalFormatting sqref="H45">
    <cfRule type="containsText" dxfId="1901" priority="2242" operator="containsText" text="fnd">
      <formula>NOT(ISERROR(SEARCH("fnd",H45)))</formula>
    </cfRule>
    <cfRule type="containsText" dxfId="1900" priority="2241" operator="containsText" text="Ear">
      <formula>NOT(ISERROR(SEARCH("Ear",H45)))</formula>
    </cfRule>
    <cfRule type="containsText" dxfId="1899" priority="2240" operator="containsText" text="Ere">
      <formula>NOT(ISERROR(SEARCH("Ere",H45)))</formula>
    </cfRule>
    <cfRule type="containsText" dxfId="1898" priority="2239" operator="containsText" text="Str">
      <formula>NOT(ISERROR(SEARCH("Str",H45)))</formula>
    </cfRule>
  </conditionalFormatting>
  <conditionalFormatting sqref="H61">
    <cfRule type="containsText" dxfId="1897" priority="1855" operator="containsText" text="Str">
      <formula>NOT(ISERROR(SEARCH("Str",H61)))</formula>
    </cfRule>
    <cfRule type="containsText" dxfId="1896" priority="1858" operator="containsText" text="fnd">
      <formula>NOT(ISERROR(SEARCH("fnd",H61)))</formula>
    </cfRule>
    <cfRule type="containsText" dxfId="1895" priority="1857" operator="containsText" text="Ear">
      <formula>NOT(ISERROR(SEARCH("Ear",H61)))</formula>
    </cfRule>
    <cfRule type="containsText" dxfId="1894" priority="1856" operator="containsText" text="Ere">
      <formula>NOT(ISERROR(SEARCH("Ere",H61)))</formula>
    </cfRule>
  </conditionalFormatting>
  <conditionalFormatting sqref="H69">
    <cfRule type="containsText" dxfId="1893" priority="2211" operator="containsText" text="Str">
      <formula>NOT(ISERROR(SEARCH("Str",H69)))</formula>
    </cfRule>
    <cfRule type="containsText" dxfId="1892" priority="2214" operator="containsText" text="fnd">
      <formula>NOT(ISERROR(SEARCH("fnd",H69)))</formula>
    </cfRule>
    <cfRule type="containsText" dxfId="1891" priority="2213" operator="containsText" text="Ear">
      <formula>NOT(ISERROR(SEARCH("Ear",H69)))</formula>
    </cfRule>
    <cfRule type="containsText" dxfId="1890" priority="2212" operator="containsText" text="Ere">
      <formula>NOT(ISERROR(SEARCH("Ere",H69)))</formula>
    </cfRule>
  </conditionalFormatting>
  <conditionalFormatting sqref="H86 K86:L86 N86:O86">
    <cfRule type="containsText" dxfId="1889" priority="2296" operator="containsText" text="Ere">
      <formula>NOT(ISERROR(SEARCH("Ere",H86)))</formula>
    </cfRule>
    <cfRule type="containsText" dxfId="1888" priority="2295" operator="containsText" text="Str">
      <formula>NOT(ISERROR(SEARCH("Str",H86)))</formula>
    </cfRule>
    <cfRule type="containsText" dxfId="1887" priority="2298" operator="containsText" text="fnd">
      <formula>NOT(ISERROR(SEARCH("fnd",H86)))</formula>
    </cfRule>
    <cfRule type="containsText" dxfId="1886" priority="2297" operator="containsText" text="Ear">
      <formula>NOT(ISERROR(SEARCH("Ear",H86)))</formula>
    </cfRule>
  </conditionalFormatting>
  <conditionalFormatting sqref="H93">
    <cfRule type="containsText" dxfId="1885" priority="1961" operator="containsText" text="Ear">
      <formula>NOT(ISERROR(SEARCH("Ear",H93)))</formula>
    </cfRule>
    <cfRule type="containsText" dxfId="1884" priority="1962" operator="containsText" text="fnd">
      <formula>NOT(ISERROR(SEARCH("fnd",H93)))</formula>
    </cfRule>
    <cfRule type="containsText" dxfId="1883" priority="1959" operator="containsText" text="Str">
      <formula>NOT(ISERROR(SEARCH("Str",H93)))</formula>
    </cfRule>
    <cfRule type="containsText" dxfId="1882" priority="1960" operator="containsText" text="Ere">
      <formula>NOT(ISERROR(SEARCH("Ere",H93)))</formula>
    </cfRule>
  </conditionalFormatting>
  <conditionalFormatting sqref="H101">
    <cfRule type="containsText" dxfId="1881" priority="1456" operator="containsText" text="Ere">
      <formula>NOT(ISERROR(SEARCH("Ere",H101)))</formula>
    </cfRule>
    <cfRule type="containsText" dxfId="1880" priority="1455" operator="containsText" text="Str">
      <formula>NOT(ISERROR(SEARCH("Str",H101)))</formula>
    </cfRule>
    <cfRule type="containsText" dxfId="1879" priority="1458" operator="containsText" text="fnd">
      <formula>NOT(ISERROR(SEARCH("fnd",H101)))</formula>
    </cfRule>
    <cfRule type="containsText" dxfId="1878" priority="1457" operator="containsText" text="Ear">
      <formula>NOT(ISERROR(SEARCH("Ear",H101)))</formula>
    </cfRule>
  </conditionalFormatting>
  <conditionalFormatting sqref="H109">
    <cfRule type="containsText" dxfId="1877" priority="91" operator="containsText" text="Ear">
      <formula>NOT(ISERROR(SEARCH("Ear",H109)))</formula>
    </cfRule>
    <cfRule type="containsText" dxfId="1876" priority="92" operator="containsText" text="fnd">
      <formula>NOT(ISERROR(SEARCH("fnd",H109)))</formula>
    </cfRule>
    <cfRule type="containsText" dxfId="1875" priority="90" operator="containsText" text="Ere">
      <formula>NOT(ISERROR(SEARCH("Ere",H109)))</formula>
    </cfRule>
    <cfRule type="containsText" dxfId="1874" priority="89" operator="containsText" text="Str">
      <formula>NOT(ISERROR(SEARCH("Str",H109)))</formula>
    </cfRule>
  </conditionalFormatting>
  <conditionalFormatting sqref="H117">
    <cfRule type="containsText" dxfId="1873" priority="1399" operator="containsText" text="Str">
      <formula>NOT(ISERROR(SEARCH("Str",H117)))</formula>
    </cfRule>
    <cfRule type="containsText" dxfId="1872" priority="1400" operator="containsText" text="Ere">
      <formula>NOT(ISERROR(SEARCH("Ere",H117)))</formula>
    </cfRule>
    <cfRule type="containsText" dxfId="1871" priority="1401" operator="containsText" text="Ear">
      <formula>NOT(ISERROR(SEARCH("Ear",H117)))</formula>
    </cfRule>
    <cfRule type="containsText" dxfId="1870" priority="1402" operator="containsText" text="fnd">
      <formula>NOT(ISERROR(SEARCH("fnd",H117)))</formula>
    </cfRule>
  </conditionalFormatting>
  <conditionalFormatting sqref="H125">
    <cfRule type="containsText" dxfId="1869" priority="445" operator="containsText" text="Ear">
      <formula>NOT(ISERROR(SEARCH("Ear",H125)))</formula>
    </cfRule>
    <cfRule type="containsText" dxfId="1868" priority="446" operator="containsText" text="fnd">
      <formula>NOT(ISERROR(SEARCH("fnd",H125)))</formula>
    </cfRule>
    <cfRule type="containsText" dxfId="1867" priority="443" operator="containsText" text="Str">
      <formula>NOT(ISERROR(SEARCH("Str",H125)))</formula>
    </cfRule>
    <cfRule type="containsText" dxfId="1866" priority="444" operator="containsText" text="Ere">
      <formula>NOT(ISERROR(SEARCH("Ere",H125)))</formula>
    </cfRule>
  </conditionalFormatting>
  <conditionalFormatting sqref="H133">
    <cfRule type="containsText" dxfId="1865" priority="280" operator="containsText" text="fnd">
      <formula>NOT(ISERROR(SEARCH("fnd",H133)))</formula>
    </cfRule>
    <cfRule type="containsText" dxfId="1864" priority="279" operator="containsText" text="Ear">
      <formula>NOT(ISERROR(SEARCH("Ear",H133)))</formula>
    </cfRule>
    <cfRule type="containsText" dxfId="1863" priority="278" operator="containsText" text="Ere">
      <formula>NOT(ISERROR(SEARCH("Ere",H133)))</formula>
    </cfRule>
    <cfRule type="containsText" dxfId="1862" priority="277" operator="containsText" text="Str">
      <formula>NOT(ISERROR(SEARCH("Str",H133)))</formula>
    </cfRule>
  </conditionalFormatting>
  <conditionalFormatting sqref="H141">
    <cfRule type="containsText" dxfId="1861" priority="1261" operator="containsText" text="Ear">
      <formula>NOT(ISERROR(SEARCH("Ear",H141)))</formula>
    </cfRule>
    <cfRule type="containsText" dxfId="1860" priority="1262" operator="containsText" text="fnd">
      <formula>NOT(ISERROR(SEARCH("fnd",H141)))</formula>
    </cfRule>
    <cfRule type="containsText" dxfId="1859" priority="1260" operator="containsText" text="Ere">
      <formula>NOT(ISERROR(SEARCH("Ere",H141)))</formula>
    </cfRule>
    <cfRule type="containsText" dxfId="1858" priority="1259" operator="containsText" text="Str">
      <formula>NOT(ISERROR(SEARCH("Str",H141)))</formula>
    </cfRule>
  </conditionalFormatting>
  <conditionalFormatting sqref="H149">
    <cfRule type="containsText" dxfId="1857" priority="1170" operator="containsText" text="fnd">
      <formula>NOT(ISERROR(SEARCH("fnd",H149)))</formula>
    </cfRule>
    <cfRule type="containsText" dxfId="1856" priority="1167" operator="containsText" text="Str">
      <formula>NOT(ISERROR(SEARCH("Str",H149)))</formula>
    </cfRule>
    <cfRule type="containsText" dxfId="1855" priority="1169" operator="containsText" text="Ear">
      <formula>NOT(ISERROR(SEARCH("Ear",H149)))</formula>
    </cfRule>
    <cfRule type="containsText" dxfId="1854" priority="1168" operator="containsText" text="Ere">
      <formula>NOT(ISERROR(SEARCH("Ere",H149)))</formula>
    </cfRule>
  </conditionalFormatting>
  <conditionalFormatting sqref="H157">
    <cfRule type="containsText" dxfId="1853" priority="1103" operator="containsText" text="Str">
      <formula>NOT(ISERROR(SEARCH("Str",H157)))</formula>
    </cfRule>
    <cfRule type="containsText" dxfId="1852" priority="1105" operator="containsText" text="Ear">
      <formula>NOT(ISERROR(SEARCH("Ear",H157)))</formula>
    </cfRule>
    <cfRule type="containsText" dxfId="1851" priority="1106" operator="containsText" text="fnd">
      <formula>NOT(ISERROR(SEARCH("fnd",H157)))</formula>
    </cfRule>
    <cfRule type="containsText" dxfId="1850" priority="1104" operator="containsText" text="Ere">
      <formula>NOT(ISERROR(SEARCH("Ere",H157)))</formula>
    </cfRule>
  </conditionalFormatting>
  <conditionalFormatting sqref="H165">
    <cfRule type="containsText" dxfId="1849" priority="416" operator="containsText" text="Ere">
      <formula>NOT(ISERROR(SEARCH("Ere",H165)))</formula>
    </cfRule>
    <cfRule type="containsText" dxfId="1848" priority="417" operator="containsText" text="Ear">
      <formula>NOT(ISERROR(SEARCH("Ear",H165)))</formula>
    </cfRule>
    <cfRule type="containsText" dxfId="1847" priority="418" operator="containsText" text="fnd">
      <formula>NOT(ISERROR(SEARCH("fnd",H165)))</formula>
    </cfRule>
    <cfRule type="containsText" dxfId="1846" priority="415" operator="containsText" text="Str">
      <formula>NOT(ISERROR(SEARCH("Str",H165)))</formula>
    </cfRule>
  </conditionalFormatting>
  <conditionalFormatting sqref="H173">
    <cfRule type="containsText" dxfId="1845" priority="971" operator="containsText" text="Str">
      <formula>NOT(ISERROR(SEARCH("Str",H173)))</formula>
    </cfRule>
    <cfRule type="containsText" dxfId="1844" priority="973" operator="containsText" text="Ear">
      <formula>NOT(ISERROR(SEARCH("Ear",H173)))</formula>
    </cfRule>
    <cfRule type="containsText" dxfId="1843" priority="972" operator="containsText" text="Ere">
      <formula>NOT(ISERROR(SEARCH("Ere",H173)))</formula>
    </cfRule>
    <cfRule type="containsText" dxfId="1842" priority="974" operator="containsText" text="fnd">
      <formula>NOT(ISERROR(SEARCH("fnd",H173)))</formula>
    </cfRule>
  </conditionalFormatting>
  <conditionalFormatting sqref="H181">
    <cfRule type="containsText" dxfId="1841" priority="913" operator="containsText" text="Ear">
      <formula>NOT(ISERROR(SEARCH("Ear",H181)))</formula>
    </cfRule>
    <cfRule type="containsText" dxfId="1840" priority="914" operator="containsText" text="fnd">
      <formula>NOT(ISERROR(SEARCH("fnd",H181)))</formula>
    </cfRule>
    <cfRule type="containsText" dxfId="1839" priority="912" operator="containsText" text="Ere">
      <formula>NOT(ISERROR(SEARCH("Ere",H181)))</formula>
    </cfRule>
    <cfRule type="containsText" dxfId="1838" priority="911" operator="containsText" text="Str">
      <formula>NOT(ISERROR(SEARCH("Str",H181)))</formula>
    </cfRule>
  </conditionalFormatting>
  <conditionalFormatting sqref="H30:I30">
    <cfRule type="containsText" dxfId="1837" priority="458" operator="containsText" text="fnd">
      <formula>NOT(ISERROR(SEARCH("fnd",H30)))</formula>
    </cfRule>
    <cfRule type="containsText" dxfId="1836" priority="457" operator="containsText" text="Ear">
      <formula>NOT(ISERROR(SEARCH("Ear",H30)))</formula>
    </cfRule>
    <cfRule type="containsText" dxfId="1835" priority="456" operator="containsText" text="Ere">
      <formula>NOT(ISERROR(SEARCH("Ere",H30)))</formula>
    </cfRule>
    <cfRule type="containsText" dxfId="1834" priority="455" operator="containsText" text="Str">
      <formula>NOT(ISERROR(SEARCH("Str",H30)))</formula>
    </cfRule>
  </conditionalFormatting>
  <conditionalFormatting sqref="H46:I46">
    <cfRule type="containsText" dxfId="1833" priority="2327" operator="containsText" text="Str">
      <formula>NOT(ISERROR(SEARCH("Str",H46)))</formula>
    </cfRule>
    <cfRule type="containsText" dxfId="1832" priority="2328" operator="containsText" text="Ere">
      <formula>NOT(ISERROR(SEARCH("Ere",H46)))</formula>
    </cfRule>
    <cfRule type="containsText" dxfId="1831" priority="2330" operator="containsText" text="fnd">
      <formula>NOT(ISERROR(SEARCH("fnd",H46)))</formula>
    </cfRule>
    <cfRule type="containsText" dxfId="1830" priority="2329" operator="containsText" text="Ear">
      <formula>NOT(ISERROR(SEARCH("Ear",H46)))</formula>
    </cfRule>
  </conditionalFormatting>
  <conditionalFormatting sqref="H62:I62">
    <cfRule type="containsText" dxfId="1829" priority="1861" operator="containsText" text="Ear">
      <formula>NOT(ISERROR(SEARCH("Ear",H62)))</formula>
    </cfRule>
    <cfRule type="containsText" dxfId="1828" priority="1860" operator="containsText" text="Ere">
      <formula>NOT(ISERROR(SEARCH("Ere",H62)))</formula>
    </cfRule>
    <cfRule type="containsText" dxfId="1827" priority="1859" operator="containsText" text="Str">
      <formula>NOT(ISERROR(SEARCH("Str",H62)))</formula>
    </cfRule>
    <cfRule type="containsText" dxfId="1826" priority="1862" operator="containsText" text="fnd">
      <formula>NOT(ISERROR(SEARCH("fnd",H62)))</formula>
    </cfRule>
  </conditionalFormatting>
  <conditionalFormatting sqref="H94:I94">
    <cfRule type="containsText" dxfId="1825" priority="1964" operator="containsText" text="Ere">
      <formula>NOT(ISERROR(SEARCH("Ere",H94)))</formula>
    </cfRule>
    <cfRule type="containsText" dxfId="1824" priority="1965" operator="containsText" text="Ear">
      <formula>NOT(ISERROR(SEARCH("Ear",H94)))</formula>
    </cfRule>
    <cfRule type="containsText" dxfId="1823" priority="1966" operator="containsText" text="fnd">
      <formula>NOT(ISERROR(SEARCH("fnd",H94)))</formula>
    </cfRule>
    <cfRule type="containsText" dxfId="1822" priority="1963" operator="containsText" text="Str">
      <formula>NOT(ISERROR(SEARCH("Str",H94)))</formula>
    </cfRule>
  </conditionalFormatting>
  <conditionalFormatting sqref="H102:I102">
    <cfRule type="containsText" dxfId="1821" priority="1462" operator="containsText" text="fnd">
      <formula>NOT(ISERROR(SEARCH("fnd",H102)))</formula>
    </cfRule>
    <cfRule type="containsText" dxfId="1820" priority="1461" operator="containsText" text="Ear">
      <formula>NOT(ISERROR(SEARCH("Ear",H102)))</formula>
    </cfRule>
    <cfRule type="containsText" dxfId="1819" priority="1460" operator="containsText" text="Ere">
      <formula>NOT(ISERROR(SEARCH("Ere",H102)))</formula>
    </cfRule>
    <cfRule type="containsText" dxfId="1818" priority="1459" operator="containsText" text="Str">
      <formula>NOT(ISERROR(SEARCH("Str",H102)))</formula>
    </cfRule>
  </conditionalFormatting>
  <conditionalFormatting sqref="H110:I110">
    <cfRule type="containsText" dxfId="1817" priority="96" operator="containsText" text="fnd">
      <formula>NOT(ISERROR(SEARCH("fnd",H110)))</formula>
    </cfRule>
    <cfRule type="containsText" dxfId="1816" priority="95" operator="containsText" text="Ear">
      <formula>NOT(ISERROR(SEARCH("Ear",H110)))</formula>
    </cfRule>
    <cfRule type="containsText" dxfId="1815" priority="94" operator="containsText" text="Ere">
      <formula>NOT(ISERROR(SEARCH("Ere",H110)))</formula>
    </cfRule>
    <cfRule type="containsText" dxfId="1814" priority="93" operator="containsText" text="Str">
      <formula>NOT(ISERROR(SEARCH("Str",H110)))</formula>
    </cfRule>
  </conditionalFormatting>
  <conditionalFormatting sqref="H118:I118">
    <cfRule type="containsText" dxfId="1813" priority="1406" operator="containsText" text="fnd">
      <formula>NOT(ISERROR(SEARCH("fnd",H118)))</formula>
    </cfRule>
    <cfRule type="containsText" dxfId="1812" priority="1405" operator="containsText" text="Ear">
      <formula>NOT(ISERROR(SEARCH("Ear",H118)))</formula>
    </cfRule>
    <cfRule type="containsText" dxfId="1811" priority="1404" operator="containsText" text="Ere">
      <formula>NOT(ISERROR(SEARCH("Ere",H118)))</formula>
    </cfRule>
    <cfRule type="containsText" dxfId="1810" priority="1403" operator="containsText" text="Str">
      <formula>NOT(ISERROR(SEARCH("Str",H118)))</formula>
    </cfRule>
  </conditionalFormatting>
  <conditionalFormatting sqref="H126:I126">
    <cfRule type="containsText" dxfId="1809" priority="448" operator="containsText" text="Ere">
      <formula>NOT(ISERROR(SEARCH("Ere",H126)))</formula>
    </cfRule>
    <cfRule type="containsText" dxfId="1808" priority="450" operator="containsText" text="fnd">
      <formula>NOT(ISERROR(SEARCH("fnd",H126)))</formula>
    </cfRule>
    <cfRule type="containsText" dxfId="1807" priority="447" operator="containsText" text="Str">
      <formula>NOT(ISERROR(SEARCH("Str",H126)))</formula>
    </cfRule>
    <cfRule type="containsText" dxfId="1806" priority="449" operator="containsText" text="Ear">
      <formula>NOT(ISERROR(SEARCH("Ear",H126)))</formula>
    </cfRule>
  </conditionalFormatting>
  <conditionalFormatting sqref="H142:I142">
    <cfRule type="containsText" dxfId="1805" priority="1263" operator="containsText" text="Str">
      <formula>NOT(ISERROR(SEARCH("Str",H142)))</formula>
    </cfRule>
    <cfRule type="containsText" dxfId="1804" priority="1266" operator="containsText" text="fnd">
      <formula>NOT(ISERROR(SEARCH("fnd",H142)))</formula>
    </cfRule>
    <cfRule type="containsText" dxfId="1803" priority="1265" operator="containsText" text="Ear">
      <formula>NOT(ISERROR(SEARCH("Ear",H142)))</formula>
    </cfRule>
    <cfRule type="containsText" dxfId="1802" priority="1264" operator="containsText" text="Ere">
      <formula>NOT(ISERROR(SEARCH("Ere",H142)))</formula>
    </cfRule>
  </conditionalFormatting>
  <conditionalFormatting sqref="H150:I150">
    <cfRule type="containsText" dxfId="1801" priority="1173" operator="containsText" text="Ear">
      <formula>NOT(ISERROR(SEARCH("Ear",H150)))</formula>
    </cfRule>
    <cfRule type="containsText" dxfId="1800" priority="1172" operator="containsText" text="Ere">
      <formula>NOT(ISERROR(SEARCH("Ere",H150)))</formula>
    </cfRule>
    <cfRule type="containsText" dxfId="1799" priority="1171" operator="containsText" text="Str">
      <formula>NOT(ISERROR(SEARCH("Str",H150)))</formula>
    </cfRule>
    <cfRule type="containsText" dxfId="1798" priority="1174" operator="containsText" text="fnd">
      <formula>NOT(ISERROR(SEARCH("fnd",H150)))</formula>
    </cfRule>
  </conditionalFormatting>
  <conditionalFormatting sqref="H158:I158">
    <cfRule type="containsText" dxfId="1797" priority="1107" operator="containsText" text="Str">
      <formula>NOT(ISERROR(SEARCH("Str",H158)))</formula>
    </cfRule>
    <cfRule type="containsText" dxfId="1796" priority="1108" operator="containsText" text="Ere">
      <formula>NOT(ISERROR(SEARCH("Ere",H158)))</formula>
    </cfRule>
    <cfRule type="containsText" dxfId="1795" priority="1109" operator="containsText" text="Ear">
      <formula>NOT(ISERROR(SEARCH("Ear",H158)))</formula>
    </cfRule>
    <cfRule type="containsText" dxfId="1794" priority="1110" operator="containsText" text="fnd">
      <formula>NOT(ISERROR(SEARCH("fnd",H158)))</formula>
    </cfRule>
  </conditionalFormatting>
  <conditionalFormatting sqref="H166:I166">
    <cfRule type="containsText" dxfId="1793" priority="420" operator="containsText" text="Ere">
      <formula>NOT(ISERROR(SEARCH("Ere",H166)))</formula>
    </cfRule>
    <cfRule type="containsText" dxfId="1792" priority="422" operator="containsText" text="fnd">
      <formula>NOT(ISERROR(SEARCH("fnd",H166)))</formula>
    </cfRule>
    <cfRule type="containsText" dxfId="1791" priority="421" operator="containsText" text="Ear">
      <formula>NOT(ISERROR(SEARCH("Ear",H166)))</formula>
    </cfRule>
    <cfRule type="containsText" dxfId="1790" priority="419" operator="containsText" text="Str">
      <formula>NOT(ISERROR(SEARCH("Str",H166)))</formula>
    </cfRule>
  </conditionalFormatting>
  <conditionalFormatting sqref="H182:I182">
    <cfRule type="containsText" dxfId="1789" priority="918" operator="containsText" text="fnd">
      <formula>NOT(ISERROR(SEARCH("fnd",H182)))</formula>
    </cfRule>
    <cfRule type="containsText" dxfId="1788" priority="917" operator="containsText" text="Ear">
      <formula>NOT(ISERROR(SEARCH("Ear",H182)))</formula>
    </cfRule>
    <cfRule type="containsText" dxfId="1787" priority="916" operator="containsText" text="Ere">
      <formula>NOT(ISERROR(SEARCH("Ere",H182)))</formula>
    </cfRule>
    <cfRule type="containsText" dxfId="1786" priority="915" operator="containsText" text="Str">
      <formula>NOT(ISERROR(SEARCH("Str",H182)))</formula>
    </cfRule>
  </conditionalFormatting>
  <conditionalFormatting sqref="I6">
    <cfRule type="containsText" dxfId="1785" priority="1498" operator="containsText" text="fnd">
      <formula>NOT(ISERROR(SEARCH("fnd",I6)))</formula>
    </cfRule>
    <cfRule type="containsText" dxfId="1784" priority="1497" operator="containsText" text="Ear">
      <formula>NOT(ISERROR(SEARCH("Ear",I6)))</formula>
    </cfRule>
    <cfRule type="containsText" dxfId="1783" priority="1496" operator="containsText" text="Ere">
      <formula>NOT(ISERROR(SEARCH("Ere",I6)))</formula>
    </cfRule>
    <cfRule type="containsText" dxfId="1782" priority="1495" operator="containsText" text="Str">
      <formula>NOT(ISERROR(SEARCH("Str",I6)))</formula>
    </cfRule>
  </conditionalFormatting>
  <conditionalFormatting sqref="I14">
    <cfRule type="containsText" dxfId="1781" priority="1652" operator="containsText" text="Ere">
      <formula>NOT(ISERROR(SEARCH("Ere",I14)))</formula>
    </cfRule>
    <cfRule type="containsText" dxfId="1780" priority="1654" operator="containsText" text="fnd">
      <formula>NOT(ISERROR(SEARCH("fnd",I14)))</formula>
    </cfRule>
    <cfRule type="containsText" dxfId="1779" priority="1653" operator="containsText" text="Ear">
      <formula>NOT(ISERROR(SEARCH("Ear",I14)))</formula>
    </cfRule>
    <cfRule type="containsText" dxfId="1778" priority="1651" operator="containsText" text="Str">
      <formula>NOT(ISERROR(SEARCH("Str",I14)))</formula>
    </cfRule>
  </conditionalFormatting>
  <conditionalFormatting sqref="I22">
    <cfRule type="containsText" dxfId="1777" priority="1884" operator="containsText" text="Ere">
      <formula>NOT(ISERROR(SEARCH("Ere",I22)))</formula>
    </cfRule>
    <cfRule type="containsText" dxfId="1776" priority="1883" operator="containsText" text="Str">
      <formula>NOT(ISERROR(SEARCH("Str",I22)))</formula>
    </cfRule>
    <cfRule type="containsText" dxfId="1775" priority="1885" operator="containsText" text="Ear">
      <formula>NOT(ISERROR(SEARCH("Ear",I22)))</formula>
    </cfRule>
    <cfRule type="containsText" dxfId="1774" priority="1886" operator="containsText" text="fnd">
      <formula>NOT(ISERROR(SEARCH("fnd",I22)))</formula>
    </cfRule>
  </conditionalFormatting>
  <conditionalFormatting sqref="I38">
    <cfRule type="containsText" dxfId="1773" priority="756" operator="containsText" text="Ere">
      <formula>NOT(ISERROR(SEARCH("Ere",I38)))</formula>
    </cfRule>
    <cfRule type="containsText" dxfId="1772" priority="757" operator="containsText" text="Ear">
      <formula>NOT(ISERROR(SEARCH("Ear",I38)))</formula>
    </cfRule>
    <cfRule type="containsText" dxfId="1771" priority="755" operator="containsText" text="Str">
      <formula>NOT(ISERROR(SEARCH("Str",I38)))</formula>
    </cfRule>
    <cfRule type="containsText" dxfId="1770" priority="758" operator="containsText" text="fnd">
      <formula>NOT(ISERROR(SEARCH("fnd",I38)))</formula>
    </cfRule>
  </conditionalFormatting>
  <conditionalFormatting sqref="I54">
    <cfRule type="containsText" dxfId="1769" priority="2091" operator="containsText" text="Str">
      <formula>NOT(ISERROR(SEARCH("Str",I54)))</formula>
    </cfRule>
    <cfRule type="containsText" dxfId="1768" priority="2092" operator="containsText" text="Ere">
      <formula>NOT(ISERROR(SEARCH("Ere",I54)))</formula>
    </cfRule>
    <cfRule type="containsText" dxfId="1767" priority="2093" operator="containsText" text="Ear">
      <formula>NOT(ISERROR(SEARCH("Ear",I54)))</formula>
    </cfRule>
    <cfRule type="containsText" dxfId="1766" priority="2094" operator="containsText" text="fnd">
      <formula>NOT(ISERROR(SEARCH("fnd",I54)))</formula>
    </cfRule>
  </conditionalFormatting>
  <conditionalFormatting sqref="I78">
    <cfRule type="containsText" dxfId="1765" priority="1955" operator="containsText" text="Str">
      <formula>NOT(ISERROR(SEARCH("Str",I78)))</formula>
    </cfRule>
    <cfRule type="containsText" dxfId="1764" priority="1956" operator="containsText" text="Ere">
      <formula>NOT(ISERROR(SEARCH("Ere",I78)))</formula>
    </cfRule>
    <cfRule type="containsText" dxfId="1763" priority="1957" operator="containsText" text="Ear">
      <formula>NOT(ISERROR(SEARCH("Ear",I78)))</formula>
    </cfRule>
    <cfRule type="containsText" dxfId="1762" priority="1958" operator="containsText" text="fnd">
      <formula>NOT(ISERROR(SEARCH("fnd",I78)))</formula>
    </cfRule>
  </conditionalFormatting>
  <conditionalFormatting sqref="K5:K6">
    <cfRule type="containsText" dxfId="1761" priority="1566" operator="containsText" text="fnd">
      <formula>NOT(ISERROR(SEARCH("fnd",K5)))</formula>
    </cfRule>
    <cfRule type="containsText" dxfId="1760" priority="1564" operator="containsText" text="Ere">
      <formula>NOT(ISERROR(SEARCH("Ere",K5)))</formula>
    </cfRule>
    <cfRule type="containsText" dxfId="1759" priority="1563" operator="containsText" text="Str">
      <formula>NOT(ISERROR(SEARCH("Str",K5)))</formula>
    </cfRule>
    <cfRule type="containsText" dxfId="1758" priority="1565" operator="containsText" text="Ear">
      <formula>NOT(ISERROR(SEARCH("Ear",K5)))</formula>
    </cfRule>
  </conditionalFormatting>
  <conditionalFormatting sqref="K13:K14">
    <cfRule type="containsText" dxfId="1757" priority="1714" operator="containsText" text="fnd">
      <formula>NOT(ISERROR(SEARCH("fnd",K13)))</formula>
    </cfRule>
    <cfRule type="containsText" dxfId="1756" priority="1713" operator="containsText" text="Ear">
      <formula>NOT(ISERROR(SEARCH("Ear",K13)))</formula>
    </cfRule>
    <cfRule type="containsText" dxfId="1755" priority="1712" operator="containsText" text="Ere">
      <formula>NOT(ISERROR(SEARCH("Ere",K13)))</formula>
    </cfRule>
    <cfRule type="containsText" dxfId="1754" priority="1711" operator="containsText" text="Str">
      <formula>NOT(ISERROR(SEARCH("Str",K13)))</formula>
    </cfRule>
  </conditionalFormatting>
  <conditionalFormatting sqref="K21:K22">
    <cfRule type="containsText" dxfId="1753" priority="1854" operator="containsText" text="fnd">
      <formula>NOT(ISERROR(SEARCH("fnd",K21)))</formula>
    </cfRule>
    <cfRule type="containsText" dxfId="1752" priority="1851" operator="containsText" text="Str">
      <formula>NOT(ISERROR(SEARCH("Str",K21)))</formula>
    </cfRule>
    <cfRule type="containsText" dxfId="1751" priority="1853" operator="containsText" text="Ear">
      <formula>NOT(ISERROR(SEARCH("Ear",K21)))</formula>
    </cfRule>
    <cfRule type="containsText" dxfId="1750" priority="1852" operator="containsText" text="Ere">
      <formula>NOT(ISERROR(SEARCH("Ere",K21)))</formula>
    </cfRule>
  </conditionalFormatting>
  <conditionalFormatting sqref="K29">
    <cfRule type="containsText" dxfId="1749" priority="1512" operator="containsText" text="Ere">
      <formula>NOT(ISERROR(SEARCH("Ere",K29)))</formula>
    </cfRule>
    <cfRule type="containsText" dxfId="1748" priority="1513" operator="containsText" text="Ear">
      <formula>NOT(ISERROR(SEARCH("Ear",K29)))</formula>
    </cfRule>
    <cfRule type="containsText" dxfId="1747" priority="1514" operator="containsText" text="fnd">
      <formula>NOT(ISERROR(SEARCH("fnd",K29)))</formula>
    </cfRule>
    <cfRule type="containsText" dxfId="1746" priority="1511" operator="containsText" text="Str">
      <formula>NOT(ISERROR(SEARCH("Str",K29)))</formula>
    </cfRule>
  </conditionalFormatting>
  <conditionalFormatting sqref="K37:K38">
    <cfRule type="containsText" dxfId="1745" priority="754" operator="containsText" text="fnd">
      <formula>NOT(ISERROR(SEARCH("fnd",K37)))</formula>
    </cfRule>
    <cfRule type="containsText" dxfId="1744" priority="753" operator="containsText" text="Ear">
      <formula>NOT(ISERROR(SEARCH("Ear",K37)))</formula>
    </cfRule>
    <cfRule type="containsText" dxfId="1743" priority="752" operator="containsText" text="Ere">
      <formula>NOT(ISERROR(SEARCH("Ere",K37)))</formula>
    </cfRule>
    <cfRule type="containsText" dxfId="1742" priority="751" operator="containsText" text="Str">
      <formula>NOT(ISERROR(SEARCH("Str",K37)))</formula>
    </cfRule>
  </conditionalFormatting>
  <conditionalFormatting sqref="K45:K46">
    <cfRule type="containsText" dxfId="1741" priority="2100" operator="containsText" text="Ere">
      <formula>NOT(ISERROR(SEARCH("Ere",K45)))</formula>
    </cfRule>
    <cfRule type="containsText" dxfId="1740" priority="2102" operator="containsText" text="fnd">
      <formula>NOT(ISERROR(SEARCH("fnd",K45)))</formula>
    </cfRule>
    <cfRule type="containsText" dxfId="1739" priority="2101" operator="containsText" text="Ear">
      <formula>NOT(ISERROR(SEARCH("Ear",K45)))</formula>
    </cfRule>
    <cfRule type="containsText" dxfId="1738" priority="2099" operator="containsText" text="Str">
      <formula>NOT(ISERROR(SEARCH("Str",K45)))</formula>
    </cfRule>
  </conditionalFormatting>
  <conditionalFormatting sqref="K61">
    <cfRule type="containsText" dxfId="1737" priority="1810" operator="containsText" text="fnd">
      <formula>NOT(ISERROR(SEARCH("fnd",K61)))</formula>
    </cfRule>
    <cfRule type="containsText" dxfId="1736" priority="1809" operator="containsText" text="Ear">
      <formula>NOT(ISERROR(SEARCH("Ear",K61)))</formula>
    </cfRule>
    <cfRule type="containsText" dxfId="1735" priority="1808" operator="containsText" text="Ere">
      <formula>NOT(ISERROR(SEARCH("Ere",K61)))</formula>
    </cfRule>
    <cfRule type="containsText" dxfId="1734" priority="1807" operator="containsText" text="Str">
      <formula>NOT(ISERROR(SEARCH("Str",K61)))</formula>
    </cfRule>
  </conditionalFormatting>
  <conditionalFormatting sqref="K77 AF77:AF78">
    <cfRule type="containsText" dxfId="1733" priority="2300" operator="containsText" text="Ere">
      <formula>NOT(ISERROR(SEARCH("Ere",K77)))</formula>
    </cfRule>
    <cfRule type="containsText" dxfId="1732" priority="2299" operator="containsText" text="Str">
      <formula>NOT(ISERROR(SEARCH("Str",K77)))</formula>
    </cfRule>
    <cfRule type="containsText" dxfId="1731" priority="2301" operator="containsText" text="Ear">
      <formula>NOT(ISERROR(SEARCH("Ear",K77)))</formula>
    </cfRule>
    <cfRule type="containsText" dxfId="1730" priority="2302" operator="containsText" text="fnd">
      <formula>NOT(ISERROR(SEARCH("fnd",K77)))</formula>
    </cfRule>
  </conditionalFormatting>
  <conditionalFormatting sqref="K85 N85">
    <cfRule type="containsText" dxfId="1729" priority="2293" operator="containsText" text="Ear">
      <formula>NOT(ISERROR(SEARCH("Ear",K85)))</formula>
    </cfRule>
    <cfRule type="containsText" dxfId="1728" priority="2292" operator="containsText" text="Ere">
      <formula>NOT(ISERROR(SEARCH("Ere",K85)))</formula>
    </cfRule>
    <cfRule type="containsText" dxfId="1727" priority="2294" operator="containsText" text="fnd">
      <formula>NOT(ISERROR(SEARCH("fnd",K85)))</formula>
    </cfRule>
    <cfRule type="containsText" dxfId="1726" priority="2291" operator="containsText" text="Str">
      <formula>NOT(ISERROR(SEARCH("Str",K85)))</formula>
    </cfRule>
  </conditionalFormatting>
  <conditionalFormatting sqref="K93">
    <cfRule type="containsText" dxfId="1725" priority="2257" operator="containsText" text="Ear">
      <formula>NOT(ISERROR(SEARCH("Ear",K93)))</formula>
    </cfRule>
    <cfRule type="containsText" dxfId="1724" priority="2258" operator="containsText" text="fnd">
      <formula>NOT(ISERROR(SEARCH("fnd",K93)))</formula>
    </cfRule>
    <cfRule type="containsText" dxfId="1723" priority="2255" operator="containsText" text="Str">
      <formula>NOT(ISERROR(SEARCH("Str",K93)))</formula>
    </cfRule>
    <cfRule type="containsText" dxfId="1722" priority="2256" operator="containsText" text="Ere">
      <formula>NOT(ISERROR(SEARCH("Ere",K93)))</formula>
    </cfRule>
  </conditionalFormatting>
  <conditionalFormatting sqref="K101">
    <cfRule type="containsText" dxfId="1721" priority="1450" operator="containsText" text="fnd">
      <formula>NOT(ISERROR(SEARCH("fnd",K101)))</formula>
    </cfRule>
    <cfRule type="containsText" dxfId="1720" priority="1447" operator="containsText" text="Str">
      <formula>NOT(ISERROR(SEARCH("Str",K101)))</formula>
    </cfRule>
    <cfRule type="containsText" dxfId="1719" priority="1448" operator="containsText" text="Ere">
      <formula>NOT(ISERROR(SEARCH("Ere",K101)))</formula>
    </cfRule>
    <cfRule type="containsText" dxfId="1718" priority="1449" operator="containsText" text="Ear">
      <formula>NOT(ISERROR(SEARCH("Ear",K101)))</formula>
    </cfRule>
  </conditionalFormatting>
  <conditionalFormatting sqref="K109">
    <cfRule type="containsText" dxfId="1717" priority="1834" operator="containsText" text="fnd">
      <formula>NOT(ISERROR(SEARCH("fnd",K109)))</formula>
    </cfRule>
    <cfRule type="containsText" dxfId="1716" priority="1832" operator="containsText" text="Ere">
      <formula>NOT(ISERROR(SEARCH("Ere",K109)))</formula>
    </cfRule>
    <cfRule type="containsText" dxfId="1715" priority="1833" operator="containsText" text="Ear">
      <formula>NOT(ISERROR(SEARCH("Ear",K109)))</formula>
    </cfRule>
    <cfRule type="containsText" dxfId="1714" priority="1831" operator="containsText" text="Str">
      <formula>NOT(ISERROR(SEARCH("Str",K109)))</formula>
    </cfRule>
  </conditionalFormatting>
  <conditionalFormatting sqref="K117">
    <cfRule type="containsText" dxfId="1713" priority="1391" operator="containsText" text="Str">
      <formula>NOT(ISERROR(SEARCH("Str",K117)))</formula>
    </cfRule>
    <cfRule type="containsText" dxfId="1712" priority="1393" operator="containsText" text="Ear">
      <formula>NOT(ISERROR(SEARCH("Ear",K117)))</formula>
    </cfRule>
    <cfRule type="containsText" dxfId="1711" priority="1392" operator="containsText" text="Ere">
      <formula>NOT(ISERROR(SEARCH("Ere",K117)))</formula>
    </cfRule>
    <cfRule type="containsText" dxfId="1710" priority="1394" operator="containsText" text="fnd">
      <formula>NOT(ISERROR(SEARCH("fnd",K117)))</formula>
    </cfRule>
  </conditionalFormatting>
  <conditionalFormatting sqref="K122 K130 K138 K162 K170 K178 K186:K192">
    <cfRule type="containsText" dxfId="1709" priority="2061" operator="containsText" text="Ear">
      <formula>NOT(ISERROR(SEARCH("Ear",K122)))</formula>
    </cfRule>
    <cfRule type="containsText" dxfId="1708" priority="2062" operator="containsText" text="fnd">
      <formula>NOT(ISERROR(SEARCH("fnd",K122)))</formula>
    </cfRule>
    <cfRule type="containsText" dxfId="1707" priority="2059" operator="containsText" text="Str">
      <formula>NOT(ISERROR(SEARCH("Str",K122)))</formula>
    </cfRule>
    <cfRule type="containsText" dxfId="1706" priority="2060" operator="containsText" text="Ere">
      <formula>NOT(ISERROR(SEARCH("Ere",K122)))</formula>
    </cfRule>
  </conditionalFormatting>
  <conditionalFormatting sqref="K125">
    <cfRule type="containsText" dxfId="1705" priority="519" operator="containsText" text="Str">
      <formula>NOT(ISERROR(SEARCH("Str",K125)))</formula>
    </cfRule>
    <cfRule type="containsText" dxfId="1704" priority="522" operator="containsText" text="fnd">
      <formula>NOT(ISERROR(SEARCH("fnd",K125)))</formula>
    </cfRule>
    <cfRule type="containsText" dxfId="1703" priority="520" operator="containsText" text="Ere">
      <formula>NOT(ISERROR(SEARCH("Ere",K125)))</formula>
    </cfRule>
    <cfRule type="containsText" dxfId="1702" priority="521" operator="containsText" text="Ear">
      <formula>NOT(ISERROR(SEARCH("Ear",K125)))</formula>
    </cfRule>
  </conditionalFormatting>
  <conditionalFormatting sqref="K133">
    <cfRule type="containsText" dxfId="1701" priority="144" operator="containsText" text="fnd">
      <formula>NOT(ISERROR(SEARCH("fnd",K133)))</formula>
    </cfRule>
    <cfRule type="containsText" dxfId="1700" priority="143" operator="containsText" text="Ear">
      <formula>NOT(ISERROR(SEARCH("Ear",K133)))</formula>
    </cfRule>
    <cfRule type="containsText" dxfId="1699" priority="141" operator="containsText" text="Str">
      <formula>NOT(ISERROR(SEARCH("Str",K133)))</formula>
    </cfRule>
    <cfRule type="containsText" dxfId="1698" priority="142" operator="containsText" text="Ere">
      <formula>NOT(ISERROR(SEARCH("Ere",K133)))</formula>
    </cfRule>
  </conditionalFormatting>
  <conditionalFormatting sqref="K141">
    <cfRule type="containsText" dxfId="1697" priority="1251" operator="containsText" text="Str">
      <formula>NOT(ISERROR(SEARCH("Str",K141)))</formula>
    </cfRule>
    <cfRule type="containsText" dxfId="1696" priority="1254" operator="containsText" text="fnd">
      <formula>NOT(ISERROR(SEARCH("fnd",K141)))</formula>
    </cfRule>
    <cfRule type="containsText" dxfId="1695" priority="1253" operator="containsText" text="Ear">
      <formula>NOT(ISERROR(SEARCH("Ear",K141)))</formula>
    </cfRule>
    <cfRule type="containsText" dxfId="1694" priority="1252" operator="containsText" text="Ere">
      <formula>NOT(ISERROR(SEARCH("Ere",K141)))</formula>
    </cfRule>
  </conditionalFormatting>
  <conditionalFormatting sqref="K149">
    <cfRule type="containsText" dxfId="1693" priority="1159" operator="containsText" text="Str">
      <formula>NOT(ISERROR(SEARCH("Str",K149)))</formula>
    </cfRule>
    <cfRule type="containsText" dxfId="1692" priority="1160" operator="containsText" text="Ere">
      <formula>NOT(ISERROR(SEARCH("Ere",K149)))</formula>
    </cfRule>
    <cfRule type="containsText" dxfId="1691" priority="1161" operator="containsText" text="Ear">
      <formula>NOT(ISERROR(SEARCH("Ear",K149)))</formula>
    </cfRule>
    <cfRule type="containsText" dxfId="1690" priority="1162" operator="containsText" text="fnd">
      <formula>NOT(ISERROR(SEARCH("fnd",K149)))</formula>
    </cfRule>
  </conditionalFormatting>
  <conditionalFormatting sqref="K157">
    <cfRule type="containsText" dxfId="1689" priority="1096" operator="containsText" text="Ere">
      <formula>NOT(ISERROR(SEARCH("Ere",K157)))</formula>
    </cfRule>
    <cfRule type="containsText" dxfId="1688" priority="1095" operator="containsText" text="Str">
      <formula>NOT(ISERROR(SEARCH("Str",K157)))</formula>
    </cfRule>
    <cfRule type="containsText" dxfId="1687" priority="1098" operator="containsText" text="fnd">
      <formula>NOT(ISERROR(SEARCH("fnd",K157)))</formula>
    </cfRule>
    <cfRule type="containsText" dxfId="1686" priority="1097" operator="containsText" text="Ear">
      <formula>NOT(ISERROR(SEARCH("Ear",K157)))</formula>
    </cfRule>
  </conditionalFormatting>
  <conditionalFormatting sqref="K165">
    <cfRule type="containsText" dxfId="1685" priority="149" operator="containsText" text="Str">
      <formula>NOT(ISERROR(SEARCH("Str",K165)))</formula>
    </cfRule>
    <cfRule type="containsText" dxfId="1684" priority="150" operator="containsText" text="Ere">
      <formula>NOT(ISERROR(SEARCH("Ere",K165)))</formula>
    </cfRule>
    <cfRule type="containsText" dxfId="1683" priority="151" operator="containsText" text="Ear">
      <formula>NOT(ISERROR(SEARCH("Ear",K165)))</formula>
    </cfRule>
    <cfRule type="containsText" dxfId="1682" priority="152" operator="containsText" text="fnd">
      <formula>NOT(ISERROR(SEARCH("fnd",K165)))</formula>
    </cfRule>
  </conditionalFormatting>
  <conditionalFormatting sqref="K173">
    <cfRule type="containsText" dxfId="1681" priority="356" operator="containsText" text="fnd">
      <formula>NOT(ISERROR(SEARCH("fnd",K173)))</formula>
    </cfRule>
    <cfRule type="containsText" dxfId="1680" priority="355" operator="containsText" text="Ear">
      <formula>NOT(ISERROR(SEARCH("Ear",K173)))</formula>
    </cfRule>
    <cfRule type="containsText" dxfId="1679" priority="354" operator="containsText" text="Ere">
      <formula>NOT(ISERROR(SEARCH("Ere",K173)))</formula>
    </cfRule>
    <cfRule type="containsText" dxfId="1678" priority="353" operator="containsText" text="Str">
      <formula>NOT(ISERROR(SEARCH("Str",K173)))</formula>
    </cfRule>
  </conditionalFormatting>
  <conditionalFormatting sqref="K181">
    <cfRule type="containsText" dxfId="1677" priority="903" operator="containsText" text="Str">
      <formula>NOT(ISERROR(SEARCH("Str",K181)))</formula>
    </cfRule>
    <cfRule type="containsText" dxfId="1676" priority="904" operator="containsText" text="Ere">
      <formula>NOT(ISERROR(SEARCH("Ere",K181)))</formula>
    </cfRule>
    <cfRule type="containsText" dxfId="1675" priority="905" operator="containsText" text="Ear">
      <formula>NOT(ISERROR(SEARCH("Ear",K181)))</formula>
    </cfRule>
    <cfRule type="containsText" dxfId="1674" priority="906" operator="containsText" text="fnd">
      <formula>NOT(ISERROR(SEARCH("fnd",K181)))</formula>
    </cfRule>
  </conditionalFormatting>
  <conditionalFormatting sqref="K201:K202">
    <cfRule type="containsText" dxfId="1673" priority="2145" operator="containsText" text="Ear">
      <formula>NOT(ISERROR(SEARCH("Ear",K201)))</formula>
    </cfRule>
    <cfRule type="containsText" dxfId="1672" priority="2146" operator="containsText" text="fnd">
      <formula>NOT(ISERROR(SEARCH("fnd",K201)))</formula>
    </cfRule>
    <cfRule type="containsText" dxfId="1671" priority="2143" operator="containsText" text="Str">
      <formula>NOT(ISERROR(SEARCH("Str",K201)))</formula>
    </cfRule>
    <cfRule type="containsText" dxfId="1670" priority="2144" operator="containsText" text="Ere">
      <formula>NOT(ISERROR(SEARCH("Ere",K201)))</formula>
    </cfRule>
  </conditionalFormatting>
  <conditionalFormatting sqref="K30:L30">
    <cfRule type="containsText" dxfId="1669" priority="1518" operator="containsText" text="fnd">
      <formula>NOT(ISERROR(SEARCH("fnd",K30)))</formula>
    </cfRule>
    <cfRule type="containsText" dxfId="1668" priority="1515" operator="containsText" text="Str">
      <formula>NOT(ISERROR(SEARCH("Str",K30)))</formula>
    </cfRule>
    <cfRule type="containsText" dxfId="1667" priority="1516" operator="containsText" text="Ere">
      <formula>NOT(ISERROR(SEARCH("Ere",K30)))</formula>
    </cfRule>
    <cfRule type="containsText" dxfId="1666" priority="1517" operator="containsText" text="Ear">
      <formula>NOT(ISERROR(SEARCH("Ear",K30)))</formula>
    </cfRule>
  </conditionalFormatting>
  <conditionalFormatting sqref="K54:L54">
    <cfRule type="containsText" dxfId="1665" priority="2347" operator="containsText" text="Str">
      <formula>NOT(ISERROR(SEARCH("Str",K54)))</formula>
    </cfRule>
    <cfRule type="containsText" dxfId="1664" priority="2348" operator="containsText" text="Ere">
      <formula>NOT(ISERROR(SEARCH("Ere",K54)))</formula>
    </cfRule>
    <cfRule type="containsText" dxfId="1663" priority="2350" operator="containsText" text="fnd">
      <formula>NOT(ISERROR(SEARCH("fnd",K54)))</formula>
    </cfRule>
    <cfRule type="containsText" dxfId="1662" priority="2349" operator="containsText" text="Ear">
      <formula>NOT(ISERROR(SEARCH("Ear",K54)))</formula>
    </cfRule>
  </conditionalFormatting>
  <conditionalFormatting sqref="K62:L62">
    <cfRule type="containsText" dxfId="1661" priority="1812" operator="containsText" text="Ere">
      <formula>NOT(ISERROR(SEARCH("Ere",K62)))</formula>
    </cfRule>
    <cfRule type="containsText" dxfId="1660" priority="1811" operator="containsText" text="Str">
      <formula>NOT(ISERROR(SEARCH("Str",K62)))</formula>
    </cfRule>
    <cfRule type="containsText" dxfId="1659" priority="1814" operator="containsText" text="fnd">
      <formula>NOT(ISERROR(SEARCH("fnd",K62)))</formula>
    </cfRule>
    <cfRule type="containsText" dxfId="1658" priority="1813" operator="containsText" text="Ear">
      <formula>NOT(ISERROR(SEARCH("Ear",K62)))</formula>
    </cfRule>
  </conditionalFormatting>
  <conditionalFormatting sqref="K78:L78">
    <cfRule type="containsText" dxfId="1657" priority="2308" operator="containsText" text="Ere">
      <formula>NOT(ISERROR(SEARCH("Ere",K78)))</formula>
    </cfRule>
    <cfRule type="containsText" dxfId="1656" priority="2307" operator="containsText" text="Str">
      <formula>NOT(ISERROR(SEARCH("Str",K78)))</formula>
    </cfRule>
    <cfRule type="containsText" dxfId="1655" priority="2310" operator="containsText" text="fnd">
      <formula>NOT(ISERROR(SEARCH("fnd",K78)))</formula>
    </cfRule>
    <cfRule type="containsText" dxfId="1654" priority="2309" operator="containsText" text="Ear">
      <formula>NOT(ISERROR(SEARCH("Ear",K78)))</formula>
    </cfRule>
  </conditionalFormatting>
  <conditionalFormatting sqref="K94:L94">
    <cfRule type="containsText" dxfId="1653" priority="2271" operator="containsText" text="Str">
      <formula>NOT(ISERROR(SEARCH("Str",K94)))</formula>
    </cfRule>
    <cfRule type="containsText" dxfId="1652" priority="2273" operator="containsText" text="Ear">
      <formula>NOT(ISERROR(SEARCH("Ear",K94)))</formula>
    </cfRule>
    <cfRule type="containsText" dxfId="1651" priority="2272" operator="containsText" text="Ere">
      <formula>NOT(ISERROR(SEARCH("Ere",K94)))</formula>
    </cfRule>
    <cfRule type="containsText" dxfId="1650" priority="2274" operator="containsText" text="fnd">
      <formula>NOT(ISERROR(SEARCH("fnd",K94)))</formula>
    </cfRule>
  </conditionalFormatting>
  <conditionalFormatting sqref="K102:L102">
    <cfRule type="containsText" dxfId="1649" priority="1453" operator="containsText" text="Ear">
      <formula>NOT(ISERROR(SEARCH("Ear",K102)))</formula>
    </cfRule>
    <cfRule type="containsText" dxfId="1648" priority="1454" operator="containsText" text="fnd">
      <formula>NOT(ISERROR(SEARCH("fnd",K102)))</formula>
    </cfRule>
    <cfRule type="containsText" dxfId="1647" priority="1451" operator="containsText" text="Str">
      <formula>NOT(ISERROR(SEARCH("Str",K102)))</formula>
    </cfRule>
    <cfRule type="containsText" dxfId="1646" priority="1452" operator="containsText" text="Ere">
      <formula>NOT(ISERROR(SEARCH("Ere",K102)))</formula>
    </cfRule>
  </conditionalFormatting>
  <conditionalFormatting sqref="K110:L110">
    <cfRule type="containsText" dxfId="1645" priority="1835" operator="containsText" text="Str">
      <formula>NOT(ISERROR(SEARCH("Str",K110)))</formula>
    </cfRule>
    <cfRule type="containsText" dxfId="1644" priority="1837" operator="containsText" text="Ear">
      <formula>NOT(ISERROR(SEARCH("Ear",K110)))</formula>
    </cfRule>
    <cfRule type="containsText" dxfId="1643" priority="1838" operator="containsText" text="fnd">
      <formula>NOT(ISERROR(SEARCH("fnd",K110)))</formula>
    </cfRule>
    <cfRule type="containsText" dxfId="1642" priority="1836" operator="containsText" text="Ere">
      <formula>NOT(ISERROR(SEARCH("Ere",K110)))</formula>
    </cfRule>
  </conditionalFormatting>
  <conditionalFormatting sqref="K118:L118">
    <cfRule type="containsText" dxfId="1641" priority="1397" operator="containsText" text="Ear">
      <formula>NOT(ISERROR(SEARCH("Ear",K118)))</formula>
    </cfRule>
    <cfRule type="containsText" dxfId="1640" priority="1398" operator="containsText" text="fnd">
      <formula>NOT(ISERROR(SEARCH("fnd",K118)))</formula>
    </cfRule>
    <cfRule type="containsText" dxfId="1639" priority="1395" operator="containsText" text="Str">
      <formula>NOT(ISERROR(SEARCH("Str",K118)))</formula>
    </cfRule>
    <cfRule type="containsText" dxfId="1638" priority="1396" operator="containsText" text="Ere">
      <formula>NOT(ISERROR(SEARCH("Ere",K118)))</formula>
    </cfRule>
  </conditionalFormatting>
  <conditionalFormatting sqref="K126:L126">
    <cfRule type="containsText" dxfId="1637" priority="523" operator="containsText" text="Str">
      <formula>NOT(ISERROR(SEARCH("Str",K126)))</formula>
    </cfRule>
    <cfRule type="containsText" dxfId="1636" priority="526" operator="containsText" text="fnd">
      <formula>NOT(ISERROR(SEARCH("fnd",K126)))</formula>
    </cfRule>
    <cfRule type="containsText" dxfId="1635" priority="525" operator="containsText" text="Ear">
      <formula>NOT(ISERROR(SEARCH("Ear",K126)))</formula>
    </cfRule>
    <cfRule type="containsText" dxfId="1634" priority="524" operator="containsText" text="Ere">
      <formula>NOT(ISERROR(SEARCH("Ere",K126)))</formula>
    </cfRule>
  </conditionalFormatting>
  <conditionalFormatting sqref="K142:L142">
    <cfRule type="containsText" dxfId="1633" priority="1258" operator="containsText" text="fnd">
      <formula>NOT(ISERROR(SEARCH("fnd",K142)))</formula>
    </cfRule>
    <cfRule type="containsText" dxfId="1632" priority="1255" operator="containsText" text="Str">
      <formula>NOT(ISERROR(SEARCH("Str",K142)))</formula>
    </cfRule>
    <cfRule type="containsText" dxfId="1631" priority="1257" operator="containsText" text="Ear">
      <formula>NOT(ISERROR(SEARCH("Ear",K142)))</formula>
    </cfRule>
    <cfRule type="containsText" dxfId="1630" priority="1256" operator="containsText" text="Ere">
      <formula>NOT(ISERROR(SEARCH("Ere",K142)))</formula>
    </cfRule>
  </conditionalFormatting>
  <conditionalFormatting sqref="K150:L150">
    <cfRule type="containsText" dxfId="1629" priority="1163" operator="containsText" text="Str">
      <formula>NOT(ISERROR(SEARCH("Str",K150)))</formula>
    </cfRule>
    <cfRule type="containsText" dxfId="1628" priority="1166" operator="containsText" text="fnd">
      <formula>NOT(ISERROR(SEARCH("fnd",K150)))</formula>
    </cfRule>
    <cfRule type="containsText" dxfId="1627" priority="1164" operator="containsText" text="Ere">
      <formula>NOT(ISERROR(SEARCH("Ere",K150)))</formula>
    </cfRule>
    <cfRule type="containsText" dxfId="1626" priority="1165" operator="containsText" text="Ear">
      <formula>NOT(ISERROR(SEARCH("Ear",K150)))</formula>
    </cfRule>
  </conditionalFormatting>
  <conditionalFormatting sqref="K158:L158">
    <cfRule type="containsText" dxfId="1625" priority="1099" operator="containsText" text="Str">
      <formula>NOT(ISERROR(SEARCH("Str",K158)))</formula>
    </cfRule>
    <cfRule type="containsText" dxfId="1624" priority="1101" operator="containsText" text="Ear">
      <formula>NOT(ISERROR(SEARCH("Ear",K158)))</formula>
    </cfRule>
    <cfRule type="containsText" dxfId="1623" priority="1100" operator="containsText" text="Ere">
      <formula>NOT(ISERROR(SEARCH("Ere",K158)))</formula>
    </cfRule>
    <cfRule type="containsText" dxfId="1622" priority="1102" operator="containsText" text="fnd">
      <formula>NOT(ISERROR(SEARCH("fnd",K158)))</formula>
    </cfRule>
  </conditionalFormatting>
  <conditionalFormatting sqref="K166:L166">
    <cfRule type="containsText" dxfId="1621" priority="153" operator="containsText" text="Str">
      <formula>NOT(ISERROR(SEARCH("Str",K166)))</formula>
    </cfRule>
    <cfRule type="containsText" dxfId="1620" priority="154" operator="containsText" text="Ere">
      <formula>NOT(ISERROR(SEARCH("Ere",K166)))</formula>
    </cfRule>
    <cfRule type="containsText" dxfId="1619" priority="155" operator="containsText" text="Ear">
      <formula>NOT(ISERROR(SEARCH("Ear",K166)))</formula>
    </cfRule>
    <cfRule type="containsText" dxfId="1618" priority="156" operator="containsText" text="fnd">
      <formula>NOT(ISERROR(SEARCH("fnd",K166)))</formula>
    </cfRule>
  </conditionalFormatting>
  <conditionalFormatting sqref="K174:L174">
    <cfRule type="containsText" dxfId="1617" priority="359" operator="containsText" text="Ear">
      <formula>NOT(ISERROR(SEARCH("Ear",K174)))</formula>
    </cfRule>
    <cfRule type="containsText" dxfId="1616" priority="358" operator="containsText" text="Ere">
      <formula>NOT(ISERROR(SEARCH("Ere",K174)))</formula>
    </cfRule>
    <cfRule type="containsText" dxfId="1615" priority="357" operator="containsText" text="Str">
      <formula>NOT(ISERROR(SEARCH("Str",K174)))</formula>
    </cfRule>
    <cfRule type="containsText" dxfId="1614" priority="360" operator="containsText" text="fnd">
      <formula>NOT(ISERROR(SEARCH("fnd",K174)))</formula>
    </cfRule>
  </conditionalFormatting>
  <conditionalFormatting sqref="K182:L182">
    <cfRule type="containsText" dxfId="1613" priority="907" operator="containsText" text="Str">
      <formula>NOT(ISERROR(SEARCH("Str",K182)))</formula>
    </cfRule>
    <cfRule type="containsText" dxfId="1612" priority="908" operator="containsText" text="Ere">
      <formula>NOT(ISERROR(SEARCH("Ere",K182)))</formula>
    </cfRule>
    <cfRule type="containsText" dxfId="1611" priority="909" operator="containsText" text="Ear">
      <formula>NOT(ISERROR(SEARCH("Ear",K182)))</formula>
    </cfRule>
    <cfRule type="containsText" dxfId="1610" priority="910" operator="containsText" text="fnd">
      <formula>NOT(ISERROR(SEARCH("fnd",K182)))</formula>
    </cfRule>
  </conditionalFormatting>
  <conditionalFormatting sqref="L6">
    <cfRule type="containsText" dxfId="1609" priority="1561" operator="containsText" text="Ear">
      <formula>NOT(ISERROR(SEARCH("Ear",L6)))</formula>
    </cfRule>
    <cfRule type="containsText" dxfId="1608" priority="1562" operator="containsText" text="fnd">
      <formula>NOT(ISERROR(SEARCH("fnd",L6)))</formula>
    </cfRule>
    <cfRule type="containsText" dxfId="1607" priority="1559" operator="containsText" text="Str">
      <formula>NOT(ISERROR(SEARCH("Str",L6)))</formula>
    </cfRule>
    <cfRule type="containsText" dxfId="1606" priority="1560" operator="containsText" text="Ere">
      <formula>NOT(ISERROR(SEARCH("Ere",L6)))</formula>
    </cfRule>
  </conditionalFormatting>
  <conditionalFormatting sqref="L14">
    <cfRule type="containsText" dxfId="1605" priority="1708" operator="containsText" text="Ere">
      <formula>NOT(ISERROR(SEARCH("Ere",L14)))</formula>
    </cfRule>
    <cfRule type="containsText" dxfId="1604" priority="1709" operator="containsText" text="Ear">
      <formula>NOT(ISERROR(SEARCH("Ear",L14)))</formula>
    </cfRule>
    <cfRule type="containsText" dxfId="1603" priority="1707" operator="containsText" text="Str">
      <formula>NOT(ISERROR(SEARCH("Str",L14)))</formula>
    </cfRule>
    <cfRule type="containsText" dxfId="1602" priority="1710" operator="containsText" text="fnd">
      <formula>NOT(ISERROR(SEARCH("fnd",L14)))</formula>
    </cfRule>
  </conditionalFormatting>
  <conditionalFormatting sqref="L22">
    <cfRule type="containsText" dxfId="1601" priority="1849" operator="containsText" text="Ear">
      <formula>NOT(ISERROR(SEARCH("Ear",L22)))</formula>
    </cfRule>
    <cfRule type="containsText" dxfId="1600" priority="1850" operator="containsText" text="fnd">
      <formula>NOT(ISERROR(SEARCH("fnd",L22)))</formula>
    </cfRule>
    <cfRule type="containsText" dxfId="1599" priority="1847" operator="containsText" text="Str">
      <formula>NOT(ISERROR(SEARCH("Str",L22)))</formula>
    </cfRule>
    <cfRule type="containsText" dxfId="1598" priority="1848" operator="containsText" text="Ere">
      <formula>NOT(ISERROR(SEARCH("Ere",L22)))</formula>
    </cfRule>
  </conditionalFormatting>
  <conditionalFormatting sqref="L38">
    <cfRule type="containsText" dxfId="1597" priority="747" operator="containsText" text="Str">
      <formula>NOT(ISERROR(SEARCH("Str",L38)))</formula>
    </cfRule>
    <cfRule type="containsText" dxfId="1596" priority="748" operator="containsText" text="Ere">
      <formula>NOT(ISERROR(SEARCH("Ere",L38)))</formula>
    </cfRule>
    <cfRule type="containsText" dxfId="1595" priority="749" operator="containsText" text="Ear">
      <formula>NOT(ISERROR(SEARCH("Ear",L38)))</formula>
    </cfRule>
    <cfRule type="containsText" dxfId="1594" priority="750" operator="containsText" text="fnd">
      <formula>NOT(ISERROR(SEARCH("fnd",L38)))</formula>
    </cfRule>
  </conditionalFormatting>
  <conditionalFormatting sqref="N5:N6">
    <cfRule type="containsText" dxfId="1593" priority="1644" operator="containsText" text="Ere">
      <formula>NOT(ISERROR(SEARCH("Ere",N5)))</formula>
    </cfRule>
    <cfRule type="containsText" dxfId="1592" priority="1645" operator="containsText" text="Ear">
      <formula>NOT(ISERROR(SEARCH("Ear",N5)))</formula>
    </cfRule>
    <cfRule type="containsText" dxfId="1591" priority="1643" operator="containsText" text="Str">
      <formula>NOT(ISERROR(SEARCH("Str",N5)))</formula>
    </cfRule>
    <cfRule type="containsText" dxfId="1590" priority="1646" operator="containsText" text="fnd">
      <formula>NOT(ISERROR(SEARCH("fnd",N5)))</formula>
    </cfRule>
  </conditionalFormatting>
  <conditionalFormatting sqref="N13:N14">
    <cfRule type="containsText" dxfId="1589" priority="1720" operator="containsText" text="Ere">
      <formula>NOT(ISERROR(SEARCH("Ere",N13)))</formula>
    </cfRule>
    <cfRule type="containsText" dxfId="1588" priority="1721" operator="containsText" text="Ear">
      <formula>NOT(ISERROR(SEARCH("Ear",N13)))</formula>
    </cfRule>
    <cfRule type="containsText" dxfId="1587" priority="1722" operator="containsText" text="fnd">
      <formula>NOT(ISERROR(SEARCH("fnd",N13)))</formula>
    </cfRule>
    <cfRule type="containsText" dxfId="1586" priority="1719" operator="containsText" text="Str">
      <formula>NOT(ISERROR(SEARCH("Str",N13)))</formula>
    </cfRule>
  </conditionalFormatting>
  <conditionalFormatting sqref="N21:N22">
    <cfRule type="containsText" dxfId="1585" priority="1615" operator="containsText" text="Str">
      <formula>NOT(ISERROR(SEARCH("Str",N21)))</formula>
    </cfRule>
    <cfRule type="containsText" dxfId="1584" priority="1617" operator="containsText" text="Ear">
      <formula>NOT(ISERROR(SEARCH("Ear",N21)))</formula>
    </cfRule>
    <cfRule type="containsText" dxfId="1583" priority="1618" operator="containsText" text="fnd">
      <formula>NOT(ISERROR(SEARCH("fnd",N21)))</formula>
    </cfRule>
    <cfRule type="containsText" dxfId="1582" priority="1616" operator="containsText" text="Ere">
      <formula>NOT(ISERROR(SEARCH("Ere",N21)))</formula>
    </cfRule>
  </conditionalFormatting>
  <conditionalFormatting sqref="N29">
    <cfRule type="containsText" dxfId="1581" priority="1506" operator="containsText" text="fnd">
      <formula>NOT(ISERROR(SEARCH("fnd",N29)))</formula>
    </cfRule>
    <cfRule type="containsText" dxfId="1580" priority="1504" operator="containsText" text="Ere">
      <formula>NOT(ISERROR(SEARCH("Ere",N29)))</formula>
    </cfRule>
    <cfRule type="containsText" dxfId="1579" priority="1503" operator="containsText" text="Str">
      <formula>NOT(ISERROR(SEARCH("Str",N29)))</formula>
    </cfRule>
    <cfRule type="containsText" dxfId="1578" priority="1505" operator="containsText" text="Ear">
      <formula>NOT(ISERROR(SEARCH("Ear",N29)))</formula>
    </cfRule>
  </conditionalFormatting>
  <conditionalFormatting sqref="N37:N38">
    <cfRule type="containsText" dxfId="1577" priority="746" operator="containsText" text="fnd">
      <formula>NOT(ISERROR(SEARCH("fnd",N37)))</formula>
    </cfRule>
    <cfRule type="containsText" dxfId="1576" priority="745" operator="containsText" text="Ear">
      <formula>NOT(ISERROR(SEARCH("Ear",N37)))</formula>
    </cfRule>
    <cfRule type="containsText" dxfId="1575" priority="744" operator="containsText" text="Ere">
      <formula>NOT(ISERROR(SEARCH("Ere",N37)))</formula>
    </cfRule>
    <cfRule type="containsText" dxfId="1574" priority="743" operator="containsText" text="Str">
      <formula>NOT(ISERROR(SEARCH("Str",N37)))</formula>
    </cfRule>
  </conditionalFormatting>
  <conditionalFormatting sqref="N45 T45 W45">
    <cfRule type="containsText" dxfId="1573" priority="2321" operator="containsText" text="Ear">
      <formula>NOT(ISERROR(SEARCH("Ear",N45)))</formula>
    </cfRule>
    <cfRule type="containsText" dxfId="1572" priority="2322" operator="containsText" text="fnd">
      <formula>NOT(ISERROR(SEARCH("fnd",N45)))</formula>
    </cfRule>
    <cfRule type="containsText" dxfId="1571" priority="2319" operator="containsText" text="Str">
      <formula>NOT(ISERROR(SEARCH("Str",N45)))</formula>
    </cfRule>
    <cfRule type="containsText" dxfId="1570" priority="2320" operator="containsText" text="Ere">
      <formula>NOT(ISERROR(SEARCH("Ere",N45)))</formula>
    </cfRule>
  </conditionalFormatting>
  <conditionalFormatting sqref="N53">
    <cfRule type="containsText" dxfId="1569" priority="2243" operator="containsText" text="Str">
      <formula>NOT(ISERROR(SEARCH("Str",N53)))</formula>
    </cfRule>
    <cfRule type="containsText" dxfId="1568" priority="2244" operator="containsText" text="Ere">
      <formula>NOT(ISERROR(SEARCH("Ere",N53)))</formula>
    </cfRule>
    <cfRule type="containsText" dxfId="1567" priority="2246" operator="containsText" text="fnd">
      <formula>NOT(ISERROR(SEARCH("fnd",N53)))</formula>
    </cfRule>
    <cfRule type="containsText" dxfId="1566" priority="2245" operator="containsText" text="Ear">
      <formula>NOT(ISERROR(SEARCH("Ear",N53)))</formula>
    </cfRule>
  </conditionalFormatting>
  <conditionalFormatting sqref="N61">
    <cfRule type="containsText" dxfId="1565" priority="1877" operator="containsText" text="Ear">
      <formula>NOT(ISERROR(SEARCH("Ear",N61)))</formula>
    </cfRule>
    <cfRule type="containsText" dxfId="1564" priority="1878" operator="containsText" text="fnd">
      <formula>NOT(ISERROR(SEARCH("fnd",N61)))</formula>
    </cfRule>
    <cfRule type="containsText" dxfId="1563" priority="1876" operator="containsText" text="Ere">
      <formula>NOT(ISERROR(SEARCH("Ere",N61)))</formula>
    </cfRule>
    <cfRule type="containsText" dxfId="1562" priority="1875" operator="containsText" text="Str">
      <formula>NOT(ISERROR(SEARCH("Str",N61)))</formula>
    </cfRule>
  </conditionalFormatting>
  <conditionalFormatting sqref="N93">
    <cfRule type="containsText" dxfId="1561" priority="1968" operator="containsText" text="Ere">
      <formula>NOT(ISERROR(SEARCH("Ere",N93)))</formula>
    </cfRule>
    <cfRule type="containsText" dxfId="1560" priority="1969" operator="containsText" text="Ear">
      <formula>NOT(ISERROR(SEARCH("Ear",N93)))</formula>
    </cfRule>
    <cfRule type="containsText" dxfId="1559" priority="1970" operator="containsText" text="fnd">
      <formula>NOT(ISERROR(SEARCH("fnd",N93)))</formula>
    </cfRule>
    <cfRule type="containsText" dxfId="1558" priority="1967" operator="containsText" text="Str">
      <formula>NOT(ISERROR(SEARCH("Str",N93)))</formula>
    </cfRule>
  </conditionalFormatting>
  <conditionalFormatting sqref="N101">
    <cfRule type="containsText" dxfId="1557" priority="34" operator="containsText" text="Ere">
      <formula>NOT(ISERROR(SEARCH("Ere",N101)))</formula>
    </cfRule>
    <cfRule type="containsText" dxfId="1556" priority="35" operator="containsText" text="Ear">
      <formula>NOT(ISERROR(SEARCH("Ear",N101)))</formula>
    </cfRule>
    <cfRule type="containsText" dxfId="1555" priority="36" operator="containsText" text="fnd">
      <formula>NOT(ISERROR(SEARCH("fnd",N101)))</formula>
    </cfRule>
    <cfRule type="containsText" dxfId="1554" priority="33" operator="containsText" text="Str">
      <formula>NOT(ISERROR(SEARCH("Str",N101)))</formula>
    </cfRule>
  </conditionalFormatting>
  <conditionalFormatting sqref="N109">
    <cfRule type="containsText" dxfId="1553" priority="1778" operator="containsText" text="fnd">
      <formula>NOT(ISERROR(SEARCH("fnd",N109)))</formula>
    </cfRule>
    <cfRule type="containsText" dxfId="1552" priority="1777" operator="containsText" text="Ear">
      <formula>NOT(ISERROR(SEARCH("Ear",N109)))</formula>
    </cfRule>
    <cfRule type="containsText" dxfId="1551" priority="1776" operator="containsText" text="Ere">
      <formula>NOT(ISERROR(SEARCH("Ere",N109)))</formula>
    </cfRule>
    <cfRule type="containsText" dxfId="1550" priority="1775" operator="containsText" text="Str">
      <formula>NOT(ISERROR(SEARCH("Str",N109)))</formula>
    </cfRule>
  </conditionalFormatting>
  <conditionalFormatting sqref="N117">
    <cfRule type="containsText" dxfId="1549" priority="1369" operator="containsText" text="Ear">
      <formula>NOT(ISERROR(SEARCH("Ear",N117)))</formula>
    </cfRule>
    <cfRule type="containsText" dxfId="1548" priority="1370" operator="containsText" text="fnd">
      <formula>NOT(ISERROR(SEARCH("fnd",N117)))</formula>
    </cfRule>
    <cfRule type="containsText" dxfId="1547" priority="1368" operator="containsText" text="Ere">
      <formula>NOT(ISERROR(SEARCH("Ere",N117)))</formula>
    </cfRule>
    <cfRule type="containsText" dxfId="1546" priority="1367" operator="containsText" text="Str">
      <formula>NOT(ISERROR(SEARCH("Str",N117)))</formula>
    </cfRule>
  </conditionalFormatting>
  <conditionalFormatting sqref="N122 N130 N138 N162 N178 N186:N192">
    <cfRule type="containsText" dxfId="1545" priority="2065" operator="containsText" text="Ear">
      <formula>NOT(ISERROR(SEARCH("Ear",N122)))</formula>
    </cfRule>
    <cfRule type="containsText" dxfId="1544" priority="2064" operator="containsText" text="Ere">
      <formula>NOT(ISERROR(SEARCH("Ere",N122)))</formula>
    </cfRule>
    <cfRule type="containsText" dxfId="1543" priority="2063" operator="containsText" text="Str">
      <formula>NOT(ISERROR(SEARCH("Str",N122)))</formula>
    </cfRule>
    <cfRule type="containsText" dxfId="1542" priority="2066" operator="containsText" text="fnd">
      <formula>NOT(ISERROR(SEARCH("fnd",N122)))</formula>
    </cfRule>
  </conditionalFormatting>
  <conditionalFormatting sqref="N125">
    <cfRule type="containsText" dxfId="1541" priority="459" operator="containsText" text="Str">
      <formula>NOT(ISERROR(SEARCH("Str",N125)))</formula>
    </cfRule>
    <cfRule type="containsText" dxfId="1540" priority="460" operator="containsText" text="Ere">
      <formula>NOT(ISERROR(SEARCH("Ere",N125)))</formula>
    </cfRule>
    <cfRule type="containsText" dxfId="1539" priority="461" operator="containsText" text="Ear">
      <formula>NOT(ISERROR(SEARCH("Ear",N125)))</formula>
    </cfRule>
    <cfRule type="containsText" dxfId="1538" priority="462" operator="containsText" text="fnd">
      <formula>NOT(ISERROR(SEARCH("fnd",N125)))</formula>
    </cfRule>
  </conditionalFormatting>
  <conditionalFormatting sqref="N133">
    <cfRule type="containsText" dxfId="1537" priority="1314" operator="containsText" text="fnd">
      <formula>NOT(ISERROR(SEARCH("fnd",N133)))</formula>
    </cfRule>
    <cfRule type="containsText" dxfId="1536" priority="1311" operator="containsText" text="Str">
      <formula>NOT(ISERROR(SEARCH("Str",N133)))</formula>
    </cfRule>
    <cfRule type="containsText" dxfId="1535" priority="1312" operator="containsText" text="Ere">
      <formula>NOT(ISERROR(SEARCH("Ere",N133)))</formula>
    </cfRule>
    <cfRule type="containsText" dxfId="1534" priority="1313" operator="containsText" text="Ear">
      <formula>NOT(ISERROR(SEARCH("Ear",N133)))</formula>
    </cfRule>
  </conditionalFormatting>
  <conditionalFormatting sqref="N141">
    <cfRule type="containsText" dxfId="1533" priority="1230" operator="containsText" text="fnd">
      <formula>NOT(ISERROR(SEARCH("fnd",N141)))</formula>
    </cfRule>
    <cfRule type="containsText" dxfId="1532" priority="1227" operator="containsText" text="Str">
      <formula>NOT(ISERROR(SEARCH("Str",N141)))</formula>
    </cfRule>
    <cfRule type="containsText" dxfId="1531" priority="1228" operator="containsText" text="Ere">
      <formula>NOT(ISERROR(SEARCH("Ere",N141)))</formula>
    </cfRule>
    <cfRule type="containsText" dxfId="1530" priority="1229" operator="containsText" text="Ear">
      <formula>NOT(ISERROR(SEARCH("Ear",N141)))</formula>
    </cfRule>
  </conditionalFormatting>
  <conditionalFormatting sqref="N149">
    <cfRule type="containsText" dxfId="1529" priority="29" operator="containsText" text="Str">
      <formula>NOT(ISERROR(SEARCH("Str",N149)))</formula>
    </cfRule>
    <cfRule type="containsText" dxfId="1528" priority="30" operator="containsText" text="Ere">
      <formula>NOT(ISERROR(SEARCH("Ere",N149)))</formula>
    </cfRule>
    <cfRule type="containsText" dxfId="1527" priority="31" operator="containsText" text="Ear">
      <formula>NOT(ISERROR(SEARCH("Ear",N149)))</formula>
    </cfRule>
    <cfRule type="containsText" dxfId="1526" priority="32" operator="containsText" text="fnd">
      <formula>NOT(ISERROR(SEARCH("fnd",N149)))</formula>
    </cfRule>
  </conditionalFormatting>
  <conditionalFormatting sqref="N157">
    <cfRule type="containsText" dxfId="1525" priority="1069" operator="containsText" text="Ear">
      <formula>NOT(ISERROR(SEARCH("Ear",N157)))</formula>
    </cfRule>
    <cfRule type="containsText" dxfId="1524" priority="1070" operator="containsText" text="fnd">
      <formula>NOT(ISERROR(SEARCH("fnd",N157)))</formula>
    </cfRule>
    <cfRule type="containsText" dxfId="1523" priority="1067" operator="containsText" text="Str">
      <formula>NOT(ISERROR(SEARCH("Str",N157)))</formula>
    </cfRule>
    <cfRule type="containsText" dxfId="1522" priority="1068" operator="containsText" text="Ere">
      <formula>NOT(ISERROR(SEARCH("Ere",N157)))</formula>
    </cfRule>
  </conditionalFormatting>
  <conditionalFormatting sqref="N165">
    <cfRule type="containsText" dxfId="1521" priority="1004" operator="containsText" text="Ere">
      <formula>NOT(ISERROR(SEARCH("Ere",N165)))</formula>
    </cfRule>
    <cfRule type="containsText" dxfId="1520" priority="1003" operator="containsText" text="Str">
      <formula>NOT(ISERROR(SEARCH("Str",N165)))</formula>
    </cfRule>
    <cfRule type="containsText" dxfId="1519" priority="1005" operator="containsText" text="Ear">
      <formula>NOT(ISERROR(SEARCH("Ear",N165)))</formula>
    </cfRule>
    <cfRule type="containsText" dxfId="1518" priority="1006" operator="containsText" text="fnd">
      <formula>NOT(ISERROR(SEARCH("fnd",N165)))</formula>
    </cfRule>
  </conditionalFormatting>
  <conditionalFormatting sqref="N173">
    <cfRule type="containsText" dxfId="1517" priority="233" operator="containsText" text="Str">
      <formula>NOT(ISERROR(SEARCH("Str",N173)))</formula>
    </cfRule>
    <cfRule type="containsText" dxfId="1516" priority="234" operator="containsText" text="Ere">
      <formula>NOT(ISERROR(SEARCH("Ere",N173)))</formula>
    </cfRule>
    <cfRule type="containsText" dxfId="1515" priority="235" operator="containsText" text="Ear">
      <formula>NOT(ISERROR(SEARCH("Ear",N173)))</formula>
    </cfRule>
    <cfRule type="containsText" dxfId="1514" priority="236" operator="containsText" text="fnd">
      <formula>NOT(ISERROR(SEARCH("fnd",N173)))</formula>
    </cfRule>
  </conditionalFormatting>
  <conditionalFormatting sqref="N181">
    <cfRule type="containsText" dxfId="1513" priority="871" operator="containsText" text="Str">
      <formula>NOT(ISERROR(SEARCH("Str",N181)))</formula>
    </cfRule>
    <cfRule type="containsText" dxfId="1512" priority="874" operator="containsText" text="fnd">
      <formula>NOT(ISERROR(SEARCH("fnd",N181)))</formula>
    </cfRule>
    <cfRule type="containsText" dxfId="1511" priority="873" operator="containsText" text="Ear">
      <formula>NOT(ISERROR(SEARCH("Ear",N181)))</formula>
    </cfRule>
    <cfRule type="containsText" dxfId="1510" priority="872" operator="containsText" text="Ere">
      <formula>NOT(ISERROR(SEARCH("Ere",N181)))</formula>
    </cfRule>
  </conditionalFormatting>
  <conditionalFormatting sqref="N30:O30">
    <cfRule type="containsText" dxfId="1509" priority="1507" operator="containsText" text="Str">
      <formula>NOT(ISERROR(SEARCH("Str",N30)))</formula>
    </cfRule>
    <cfRule type="containsText" dxfId="1508" priority="1508" operator="containsText" text="Ere">
      <formula>NOT(ISERROR(SEARCH("Ere",N30)))</formula>
    </cfRule>
    <cfRule type="containsText" dxfId="1507" priority="1509" operator="containsText" text="Ear">
      <formula>NOT(ISERROR(SEARCH("Ear",N30)))</formula>
    </cfRule>
    <cfRule type="containsText" dxfId="1506" priority="1510" operator="containsText" text="fnd">
      <formula>NOT(ISERROR(SEARCH("fnd",N30)))</formula>
    </cfRule>
  </conditionalFormatting>
  <conditionalFormatting sqref="N46:O46">
    <cfRule type="containsText" dxfId="1505" priority="2333" operator="containsText" text="Ear">
      <formula>NOT(ISERROR(SEARCH("Ear",N46)))</formula>
    </cfRule>
    <cfRule type="containsText" dxfId="1504" priority="2334" operator="containsText" text="fnd">
      <formula>NOT(ISERROR(SEARCH("fnd",N46)))</formula>
    </cfRule>
    <cfRule type="containsText" dxfId="1503" priority="2332" operator="containsText" text="Ere">
      <formula>NOT(ISERROR(SEARCH("Ere",N46)))</formula>
    </cfRule>
    <cfRule type="containsText" dxfId="1502" priority="2331" operator="containsText" text="Str">
      <formula>NOT(ISERROR(SEARCH("Str",N46)))</formula>
    </cfRule>
  </conditionalFormatting>
  <conditionalFormatting sqref="N54:O54">
    <cfRule type="containsText" dxfId="1501" priority="2346" operator="containsText" text="fnd">
      <formula>NOT(ISERROR(SEARCH("fnd",N54)))</formula>
    </cfRule>
    <cfRule type="containsText" dxfId="1500" priority="2345" operator="containsText" text="Ear">
      <formula>NOT(ISERROR(SEARCH("Ear",N54)))</formula>
    </cfRule>
    <cfRule type="containsText" dxfId="1499" priority="2343" operator="containsText" text="Str">
      <formula>NOT(ISERROR(SEARCH("Str",N54)))</formula>
    </cfRule>
    <cfRule type="containsText" dxfId="1498" priority="2344" operator="containsText" text="Ere">
      <formula>NOT(ISERROR(SEARCH("Ere",N54)))</formula>
    </cfRule>
  </conditionalFormatting>
  <conditionalFormatting sqref="N62:O62">
    <cfRule type="containsText" dxfId="1497" priority="1882" operator="containsText" text="fnd">
      <formula>NOT(ISERROR(SEARCH("fnd",N62)))</formula>
    </cfRule>
    <cfRule type="containsText" dxfId="1496" priority="1881" operator="containsText" text="Ear">
      <formula>NOT(ISERROR(SEARCH("Ear",N62)))</formula>
    </cfRule>
    <cfRule type="containsText" dxfId="1495" priority="1880" operator="containsText" text="Ere">
      <formula>NOT(ISERROR(SEARCH("Ere",N62)))</formula>
    </cfRule>
    <cfRule type="containsText" dxfId="1494" priority="1879" operator="containsText" text="Str">
      <formula>NOT(ISERROR(SEARCH("Str",N62)))</formula>
    </cfRule>
  </conditionalFormatting>
  <conditionalFormatting sqref="N94:O94">
    <cfRule type="containsText" dxfId="1493" priority="1973" operator="containsText" text="Ear">
      <formula>NOT(ISERROR(SEARCH("Ear",N94)))</formula>
    </cfRule>
    <cfRule type="containsText" dxfId="1492" priority="1972" operator="containsText" text="Ere">
      <formula>NOT(ISERROR(SEARCH("Ere",N94)))</formula>
    </cfRule>
    <cfRule type="containsText" dxfId="1491" priority="1971" operator="containsText" text="Str">
      <formula>NOT(ISERROR(SEARCH("Str",N94)))</formula>
    </cfRule>
    <cfRule type="containsText" dxfId="1490" priority="1974" operator="containsText" text="fnd">
      <formula>NOT(ISERROR(SEARCH("fnd",N94)))</formula>
    </cfRule>
  </conditionalFormatting>
  <conditionalFormatting sqref="N102:O102">
    <cfRule type="containsText" dxfId="1489" priority="38" operator="containsText" text="Ere">
      <formula>NOT(ISERROR(SEARCH("Ere",N102)))</formula>
    </cfRule>
    <cfRule type="containsText" dxfId="1488" priority="39" operator="containsText" text="Ear">
      <formula>NOT(ISERROR(SEARCH("Ear",N102)))</formula>
    </cfRule>
    <cfRule type="containsText" dxfId="1487" priority="40" operator="containsText" text="fnd">
      <formula>NOT(ISERROR(SEARCH("fnd",N102)))</formula>
    </cfRule>
    <cfRule type="containsText" dxfId="1486" priority="37" operator="containsText" text="Str">
      <formula>NOT(ISERROR(SEARCH("Str",N102)))</formula>
    </cfRule>
  </conditionalFormatting>
  <conditionalFormatting sqref="N110:O110">
    <cfRule type="containsText" dxfId="1485" priority="1782" operator="containsText" text="fnd">
      <formula>NOT(ISERROR(SEARCH("fnd",N110)))</formula>
    </cfRule>
    <cfRule type="containsText" dxfId="1484" priority="1781" operator="containsText" text="Ear">
      <formula>NOT(ISERROR(SEARCH("Ear",N110)))</formula>
    </cfRule>
    <cfRule type="containsText" dxfId="1483" priority="1780" operator="containsText" text="Ere">
      <formula>NOT(ISERROR(SEARCH("Ere",N110)))</formula>
    </cfRule>
    <cfRule type="containsText" dxfId="1482" priority="1779" operator="containsText" text="Str">
      <formula>NOT(ISERROR(SEARCH("Str",N110)))</formula>
    </cfRule>
  </conditionalFormatting>
  <conditionalFormatting sqref="N118:O118">
    <cfRule type="containsText" dxfId="1481" priority="1373" operator="containsText" text="Ear">
      <formula>NOT(ISERROR(SEARCH("Ear",N118)))</formula>
    </cfRule>
    <cfRule type="containsText" dxfId="1480" priority="1372" operator="containsText" text="Ere">
      <formula>NOT(ISERROR(SEARCH("Ere",N118)))</formula>
    </cfRule>
    <cfRule type="containsText" dxfId="1479" priority="1371" operator="containsText" text="Str">
      <formula>NOT(ISERROR(SEARCH("Str",N118)))</formula>
    </cfRule>
    <cfRule type="containsText" dxfId="1478" priority="1374" operator="containsText" text="fnd">
      <formula>NOT(ISERROR(SEARCH("fnd",N118)))</formula>
    </cfRule>
  </conditionalFormatting>
  <conditionalFormatting sqref="N126:O126">
    <cfRule type="containsText" dxfId="1477" priority="463" operator="containsText" text="Str">
      <formula>NOT(ISERROR(SEARCH("Str",N126)))</formula>
    </cfRule>
    <cfRule type="containsText" dxfId="1476" priority="464" operator="containsText" text="Ere">
      <formula>NOT(ISERROR(SEARCH("Ere",N126)))</formula>
    </cfRule>
    <cfRule type="containsText" dxfId="1475" priority="465" operator="containsText" text="Ear">
      <formula>NOT(ISERROR(SEARCH("Ear",N126)))</formula>
    </cfRule>
    <cfRule type="containsText" dxfId="1474" priority="466" operator="containsText" text="fnd">
      <formula>NOT(ISERROR(SEARCH("fnd",N126)))</formula>
    </cfRule>
  </conditionalFormatting>
  <conditionalFormatting sqref="N134:O134">
    <cfRule type="containsText" dxfId="1473" priority="1318" operator="containsText" text="fnd">
      <formula>NOT(ISERROR(SEARCH("fnd",N134)))</formula>
    </cfRule>
    <cfRule type="containsText" dxfId="1472" priority="1317" operator="containsText" text="Ear">
      <formula>NOT(ISERROR(SEARCH("Ear",N134)))</formula>
    </cfRule>
    <cfRule type="containsText" dxfId="1471" priority="1316" operator="containsText" text="Ere">
      <formula>NOT(ISERROR(SEARCH("Ere",N134)))</formula>
    </cfRule>
    <cfRule type="containsText" dxfId="1470" priority="1315" operator="containsText" text="Str">
      <formula>NOT(ISERROR(SEARCH("Str",N134)))</formula>
    </cfRule>
  </conditionalFormatting>
  <conditionalFormatting sqref="N142:O142">
    <cfRule type="containsText" dxfId="1469" priority="1234" operator="containsText" text="fnd">
      <formula>NOT(ISERROR(SEARCH("fnd",N142)))</formula>
    </cfRule>
    <cfRule type="containsText" dxfId="1468" priority="1233" operator="containsText" text="Ear">
      <formula>NOT(ISERROR(SEARCH("Ear",N142)))</formula>
    </cfRule>
    <cfRule type="containsText" dxfId="1467" priority="1232" operator="containsText" text="Ere">
      <formula>NOT(ISERROR(SEARCH("Ere",N142)))</formula>
    </cfRule>
    <cfRule type="containsText" dxfId="1466" priority="1231" operator="containsText" text="Str">
      <formula>NOT(ISERROR(SEARCH("Str",N142)))</formula>
    </cfRule>
  </conditionalFormatting>
  <conditionalFormatting sqref="N158:O158">
    <cfRule type="containsText" dxfId="1465" priority="1074" operator="containsText" text="fnd">
      <formula>NOT(ISERROR(SEARCH("fnd",N158)))</formula>
    </cfRule>
    <cfRule type="containsText" dxfId="1464" priority="1073" operator="containsText" text="Ear">
      <formula>NOT(ISERROR(SEARCH("Ear",N158)))</formula>
    </cfRule>
    <cfRule type="containsText" dxfId="1463" priority="1072" operator="containsText" text="Ere">
      <formula>NOT(ISERROR(SEARCH("Ere",N158)))</formula>
    </cfRule>
    <cfRule type="containsText" dxfId="1462" priority="1071" operator="containsText" text="Str">
      <formula>NOT(ISERROR(SEARCH("Str",N158)))</formula>
    </cfRule>
  </conditionalFormatting>
  <conditionalFormatting sqref="N166:O166">
    <cfRule type="containsText" dxfId="1461" priority="1010" operator="containsText" text="fnd">
      <formula>NOT(ISERROR(SEARCH("fnd",N166)))</formula>
    </cfRule>
    <cfRule type="containsText" dxfId="1460" priority="1007" operator="containsText" text="Str">
      <formula>NOT(ISERROR(SEARCH("Str",N166)))</formula>
    </cfRule>
    <cfRule type="containsText" dxfId="1459" priority="1008" operator="containsText" text="Ere">
      <formula>NOT(ISERROR(SEARCH("Ere",N166)))</formula>
    </cfRule>
    <cfRule type="containsText" dxfId="1458" priority="1009" operator="containsText" text="Ear">
      <formula>NOT(ISERROR(SEARCH("Ear",N166)))</formula>
    </cfRule>
  </conditionalFormatting>
  <conditionalFormatting sqref="N174:O174">
    <cfRule type="containsText" dxfId="1457" priority="240" operator="containsText" text="fnd">
      <formula>NOT(ISERROR(SEARCH("fnd",N174)))</formula>
    </cfRule>
    <cfRule type="containsText" dxfId="1456" priority="238" operator="containsText" text="Ere">
      <formula>NOT(ISERROR(SEARCH("Ere",N174)))</formula>
    </cfRule>
    <cfRule type="containsText" dxfId="1455" priority="237" operator="containsText" text="Str">
      <formula>NOT(ISERROR(SEARCH("Str",N174)))</formula>
    </cfRule>
    <cfRule type="containsText" dxfId="1454" priority="239" operator="containsText" text="Ear">
      <formula>NOT(ISERROR(SEARCH("Ear",N174)))</formula>
    </cfRule>
  </conditionalFormatting>
  <conditionalFormatting sqref="N182:O182">
    <cfRule type="containsText" dxfId="1453" priority="878" operator="containsText" text="fnd">
      <formula>NOT(ISERROR(SEARCH("fnd",N182)))</formula>
    </cfRule>
    <cfRule type="containsText" dxfId="1452" priority="876" operator="containsText" text="Ere">
      <formula>NOT(ISERROR(SEARCH("Ere",N182)))</formula>
    </cfRule>
    <cfRule type="containsText" dxfId="1451" priority="877" operator="containsText" text="Ear">
      <formula>NOT(ISERROR(SEARCH("Ear",N182)))</formula>
    </cfRule>
    <cfRule type="containsText" dxfId="1450" priority="875" operator="containsText" text="Str">
      <formula>NOT(ISERROR(SEARCH("Str",N182)))</formula>
    </cfRule>
  </conditionalFormatting>
  <conditionalFormatting sqref="O6">
    <cfRule type="containsText" dxfId="1449" priority="1639" operator="containsText" text="Str">
      <formula>NOT(ISERROR(SEARCH("Str",O6)))</formula>
    </cfRule>
    <cfRule type="containsText" dxfId="1448" priority="1642" operator="containsText" text="fnd">
      <formula>NOT(ISERROR(SEARCH("fnd",O6)))</formula>
    </cfRule>
    <cfRule type="containsText" dxfId="1447" priority="1640" operator="containsText" text="Ere">
      <formula>NOT(ISERROR(SEARCH("Ere",O6)))</formula>
    </cfRule>
    <cfRule type="containsText" dxfId="1446" priority="1641" operator="containsText" text="Ear">
      <formula>NOT(ISERROR(SEARCH("Ear",O6)))</formula>
    </cfRule>
  </conditionalFormatting>
  <conditionalFormatting sqref="O14">
    <cfRule type="containsText" dxfId="1445" priority="1716" operator="containsText" text="Ere">
      <formula>NOT(ISERROR(SEARCH("Ere",O14)))</formula>
    </cfRule>
    <cfRule type="containsText" dxfId="1444" priority="1715" operator="containsText" text="Str">
      <formula>NOT(ISERROR(SEARCH("Str",O14)))</formula>
    </cfRule>
    <cfRule type="containsText" dxfId="1443" priority="1717" operator="containsText" text="Ear">
      <formula>NOT(ISERROR(SEARCH("Ear",O14)))</formula>
    </cfRule>
    <cfRule type="containsText" dxfId="1442" priority="1718" operator="containsText" text="fnd">
      <formula>NOT(ISERROR(SEARCH("fnd",O14)))</formula>
    </cfRule>
  </conditionalFormatting>
  <conditionalFormatting sqref="O22">
    <cfRule type="containsText" dxfId="1441" priority="1614" operator="containsText" text="fnd">
      <formula>NOT(ISERROR(SEARCH("fnd",O22)))</formula>
    </cfRule>
    <cfRule type="containsText" dxfId="1440" priority="1613" operator="containsText" text="Ear">
      <formula>NOT(ISERROR(SEARCH("Ear",O22)))</formula>
    </cfRule>
    <cfRule type="containsText" dxfId="1439" priority="1611" operator="containsText" text="Str">
      <formula>NOT(ISERROR(SEARCH("Str",O22)))</formula>
    </cfRule>
    <cfRule type="containsText" dxfId="1438" priority="1612" operator="containsText" text="Ere">
      <formula>NOT(ISERROR(SEARCH("Ere",O22)))</formula>
    </cfRule>
  </conditionalFormatting>
  <conditionalFormatting sqref="O38">
    <cfRule type="containsText" dxfId="1437" priority="741" operator="containsText" text="Ear">
      <formula>NOT(ISERROR(SEARCH("Ear",O38)))</formula>
    </cfRule>
    <cfRule type="containsText" dxfId="1436" priority="742" operator="containsText" text="fnd">
      <formula>NOT(ISERROR(SEARCH("fnd",O38)))</formula>
    </cfRule>
    <cfRule type="containsText" dxfId="1435" priority="740" operator="containsText" text="Ere">
      <formula>NOT(ISERROR(SEARCH("Ere",O38)))</formula>
    </cfRule>
    <cfRule type="containsText" dxfId="1434" priority="739" operator="containsText" text="Str">
      <formula>NOT(ISERROR(SEARCH("Str",O38)))</formula>
    </cfRule>
  </conditionalFormatting>
  <conditionalFormatting sqref="O78">
    <cfRule type="containsText" dxfId="1433" priority="1952" operator="containsText" text="Ere">
      <formula>NOT(ISERROR(SEARCH("Ere",O78)))</formula>
    </cfRule>
    <cfRule type="containsText" dxfId="1432" priority="1953" operator="containsText" text="Ear">
      <formula>NOT(ISERROR(SEARCH("Ear",O78)))</formula>
    </cfRule>
    <cfRule type="containsText" dxfId="1431" priority="1954" operator="containsText" text="fnd">
      <formula>NOT(ISERROR(SEARCH("fnd",O78)))</formula>
    </cfRule>
    <cfRule type="containsText" dxfId="1430" priority="1951" operator="containsText" text="Str">
      <formula>NOT(ISERROR(SEARCH("Str",O78)))</formula>
    </cfRule>
  </conditionalFormatting>
  <conditionalFormatting sqref="O195">
    <cfRule type="containsText" dxfId="1429" priority="2131" operator="containsText" text="Str">
      <formula>NOT(ISERROR(SEARCH("Str",O195)))</formula>
    </cfRule>
    <cfRule type="containsText" dxfId="1428" priority="2133" operator="containsText" text="Ear">
      <formula>NOT(ISERROR(SEARCH("Ear",O195)))</formula>
    </cfRule>
    <cfRule type="containsText" dxfId="1427" priority="2132" operator="containsText" text="Ere">
      <formula>NOT(ISERROR(SEARCH("Ere",O195)))</formula>
    </cfRule>
    <cfRule type="containsText" dxfId="1426" priority="2134" operator="containsText" text="fnd">
      <formula>NOT(ISERROR(SEARCH("fnd",O195)))</formula>
    </cfRule>
  </conditionalFormatting>
  <conditionalFormatting sqref="Q5:Q6">
    <cfRule type="containsText" dxfId="1425" priority="1601" operator="containsText" text="Ear">
      <formula>NOT(ISERROR(SEARCH("Ear",Q5)))</formula>
    </cfRule>
    <cfRule type="containsText" dxfId="1424" priority="1600" operator="containsText" text="Ere">
      <formula>NOT(ISERROR(SEARCH("Ere",Q5)))</formula>
    </cfRule>
    <cfRule type="containsText" dxfId="1423" priority="1602" operator="containsText" text="fnd">
      <formula>NOT(ISERROR(SEARCH("fnd",Q5)))</formula>
    </cfRule>
    <cfRule type="containsText" dxfId="1422" priority="1599" operator="containsText" text="Str">
      <formula>NOT(ISERROR(SEARCH("Str",Q5)))</formula>
    </cfRule>
  </conditionalFormatting>
  <conditionalFormatting sqref="Q13:Q14">
    <cfRule type="containsText" dxfId="1421" priority="1755" operator="containsText" text="Str">
      <formula>NOT(ISERROR(SEARCH("Str",Q13)))</formula>
    </cfRule>
    <cfRule type="containsText" dxfId="1420" priority="1757" operator="containsText" text="Ear">
      <formula>NOT(ISERROR(SEARCH("Ear",Q13)))</formula>
    </cfRule>
    <cfRule type="containsText" dxfId="1419" priority="1758" operator="containsText" text="fnd">
      <formula>NOT(ISERROR(SEARCH("fnd",Q13)))</formula>
    </cfRule>
    <cfRule type="containsText" dxfId="1418" priority="1756" operator="containsText" text="Ere">
      <formula>NOT(ISERROR(SEARCH("Ere",Q13)))</formula>
    </cfRule>
  </conditionalFormatting>
  <conditionalFormatting sqref="Q21:Q22">
    <cfRule type="containsText" dxfId="1417" priority="1608" operator="containsText" text="Ere">
      <formula>NOT(ISERROR(SEARCH("Ere",Q21)))</formula>
    </cfRule>
    <cfRule type="containsText" dxfId="1416" priority="1610" operator="containsText" text="fnd">
      <formula>NOT(ISERROR(SEARCH("fnd",Q21)))</formula>
    </cfRule>
    <cfRule type="containsText" dxfId="1415" priority="1609" operator="containsText" text="Ear">
      <formula>NOT(ISERROR(SEARCH("Ear",Q21)))</formula>
    </cfRule>
    <cfRule type="containsText" dxfId="1414" priority="1607" operator="containsText" text="Str">
      <formula>NOT(ISERROR(SEARCH("Str",Q21)))</formula>
    </cfRule>
  </conditionalFormatting>
  <conditionalFormatting sqref="Q29">
    <cfRule type="containsText" dxfId="1413" priority="485" operator="containsText" text="Ear">
      <formula>NOT(ISERROR(SEARCH("Ear",Q29)))</formula>
    </cfRule>
    <cfRule type="containsText" dxfId="1412" priority="483" operator="containsText" text="Str">
      <formula>NOT(ISERROR(SEARCH("Str",Q29)))</formula>
    </cfRule>
    <cfRule type="containsText" dxfId="1411" priority="484" operator="containsText" text="Ere">
      <formula>NOT(ISERROR(SEARCH("Ere",Q29)))</formula>
    </cfRule>
    <cfRule type="containsText" dxfId="1410" priority="486" operator="containsText" text="fnd">
      <formula>NOT(ISERROR(SEARCH("fnd",Q29)))</formula>
    </cfRule>
  </conditionalFormatting>
  <conditionalFormatting sqref="Q37:Q38">
    <cfRule type="containsText" dxfId="1409" priority="2153" operator="containsText" text="Ear">
      <formula>NOT(ISERROR(SEARCH("Ear",Q37)))</formula>
    </cfRule>
    <cfRule type="containsText" dxfId="1408" priority="2151" operator="containsText" text="Str">
      <formula>NOT(ISERROR(SEARCH("Str",Q37)))</formula>
    </cfRule>
    <cfRule type="containsText" dxfId="1407" priority="2152" operator="containsText" text="Ere">
      <formula>NOT(ISERROR(SEARCH("Ere",Q37)))</formula>
    </cfRule>
    <cfRule type="containsText" dxfId="1406" priority="2154" operator="containsText" text="fnd">
      <formula>NOT(ISERROR(SEARCH("fnd",Q37)))</formula>
    </cfRule>
  </conditionalFormatting>
  <conditionalFormatting sqref="Q45">
    <cfRule type="containsText" dxfId="1405" priority="707" operator="containsText" text="Str">
      <formula>NOT(ISERROR(SEARCH("Str",Q45)))</formula>
    </cfRule>
    <cfRule type="containsText" dxfId="1404" priority="709" operator="containsText" text="Ear">
      <formula>NOT(ISERROR(SEARCH("Ear",Q45)))</formula>
    </cfRule>
    <cfRule type="containsText" dxfId="1403" priority="710" operator="containsText" text="fnd">
      <formula>NOT(ISERROR(SEARCH("fnd",Q45)))</formula>
    </cfRule>
    <cfRule type="containsText" dxfId="1402" priority="708" operator="containsText" text="Ere">
      <formula>NOT(ISERROR(SEARCH("Ere",Q45)))</formula>
    </cfRule>
  </conditionalFormatting>
  <conditionalFormatting sqref="Q53">
    <cfRule type="containsText" dxfId="1401" priority="2180" operator="containsText" text="Ere">
      <formula>NOT(ISERROR(SEARCH("Ere",Q53)))</formula>
    </cfRule>
    <cfRule type="containsText" dxfId="1400" priority="2179" operator="containsText" text="Str">
      <formula>NOT(ISERROR(SEARCH("Str",Q53)))</formula>
    </cfRule>
    <cfRule type="containsText" dxfId="1399" priority="2182" operator="containsText" text="fnd">
      <formula>NOT(ISERROR(SEARCH("fnd",Q53)))</formula>
    </cfRule>
    <cfRule type="containsText" dxfId="1398" priority="2181" operator="containsText" text="Ear">
      <formula>NOT(ISERROR(SEARCH("Ear",Q53)))</formula>
    </cfRule>
  </conditionalFormatting>
  <conditionalFormatting sqref="Q61">
    <cfRule type="containsText" dxfId="1397" priority="687" operator="containsText" text="Str">
      <formula>NOT(ISERROR(SEARCH("Str",Q61)))</formula>
    </cfRule>
    <cfRule type="containsText" dxfId="1396" priority="688" operator="containsText" text="Ere">
      <formula>NOT(ISERROR(SEARCH("Ere",Q61)))</formula>
    </cfRule>
    <cfRule type="containsText" dxfId="1395" priority="689" operator="containsText" text="Ear">
      <formula>NOT(ISERROR(SEARCH("Ear",Q61)))</formula>
    </cfRule>
    <cfRule type="containsText" dxfId="1394" priority="690" operator="containsText" text="fnd">
      <formula>NOT(ISERROR(SEARCH("fnd",Q61)))</formula>
    </cfRule>
  </conditionalFormatting>
  <conditionalFormatting sqref="Q77">
    <cfRule type="containsText" dxfId="1393" priority="651" operator="containsText" text="Str">
      <formula>NOT(ISERROR(SEARCH("Str",Q77)))</formula>
    </cfRule>
    <cfRule type="containsText" dxfId="1392" priority="652" operator="containsText" text="Ere">
      <formula>NOT(ISERROR(SEARCH("Ere",Q77)))</formula>
    </cfRule>
    <cfRule type="containsText" dxfId="1391" priority="654" operator="containsText" text="fnd">
      <formula>NOT(ISERROR(SEARCH("fnd",Q77)))</formula>
    </cfRule>
    <cfRule type="containsText" dxfId="1390" priority="653" operator="containsText" text="Ear">
      <formula>NOT(ISERROR(SEARCH("Ear",Q77)))</formula>
    </cfRule>
  </conditionalFormatting>
  <conditionalFormatting sqref="Q85">
    <cfRule type="containsText" dxfId="1389" priority="2159" operator="containsText" text="Str">
      <formula>NOT(ISERROR(SEARCH("Str",Q85)))</formula>
    </cfRule>
    <cfRule type="containsText" dxfId="1388" priority="2160" operator="containsText" text="Ere">
      <formula>NOT(ISERROR(SEARCH("Ere",Q85)))</formula>
    </cfRule>
    <cfRule type="containsText" dxfId="1387" priority="2161" operator="containsText" text="Ear">
      <formula>NOT(ISERROR(SEARCH("Ear",Q85)))</formula>
    </cfRule>
    <cfRule type="containsText" dxfId="1386" priority="2162" operator="containsText" text="fnd">
      <formula>NOT(ISERROR(SEARCH("fnd",Q85)))</formula>
    </cfRule>
  </conditionalFormatting>
  <conditionalFormatting sqref="Q93">
    <cfRule type="containsText" dxfId="1385" priority="1579" operator="containsText" text="Str">
      <formula>NOT(ISERROR(SEARCH("Str",Q93)))</formula>
    </cfRule>
    <cfRule type="containsText" dxfId="1384" priority="1580" operator="containsText" text="Ere">
      <formula>NOT(ISERROR(SEARCH("Ere",Q93)))</formula>
    </cfRule>
    <cfRule type="containsText" dxfId="1383" priority="1581" operator="containsText" text="Ear">
      <formula>NOT(ISERROR(SEARCH("Ear",Q93)))</formula>
    </cfRule>
    <cfRule type="containsText" dxfId="1382" priority="1582" operator="containsText" text="fnd">
      <formula>NOT(ISERROR(SEARCH("fnd",Q93)))</formula>
    </cfRule>
  </conditionalFormatting>
  <conditionalFormatting sqref="Q101">
    <cfRule type="containsText" dxfId="1381" priority="1529" operator="containsText" text="Ear">
      <formula>NOT(ISERROR(SEARCH("Ear",Q101)))</formula>
    </cfRule>
    <cfRule type="containsText" dxfId="1380" priority="1530" operator="containsText" text="fnd">
      <formula>NOT(ISERROR(SEARCH("fnd",Q101)))</formula>
    </cfRule>
    <cfRule type="containsText" dxfId="1379" priority="1527" operator="containsText" text="Str">
      <formula>NOT(ISERROR(SEARCH("Str",Q101)))</formula>
    </cfRule>
    <cfRule type="containsText" dxfId="1378" priority="1528" operator="containsText" text="Ere">
      <formula>NOT(ISERROR(SEARCH("Ere",Q101)))</formula>
    </cfRule>
  </conditionalFormatting>
  <conditionalFormatting sqref="Q109">
    <cfRule type="containsText" dxfId="1377" priority="1799" operator="containsText" text="Str">
      <formula>NOT(ISERROR(SEARCH("Str",Q109)))</formula>
    </cfRule>
    <cfRule type="containsText" dxfId="1376" priority="1800" operator="containsText" text="Ere">
      <formula>NOT(ISERROR(SEARCH("Ere",Q109)))</formula>
    </cfRule>
    <cfRule type="containsText" dxfId="1375" priority="1801" operator="containsText" text="Ear">
      <formula>NOT(ISERROR(SEARCH("Ear",Q109)))</formula>
    </cfRule>
    <cfRule type="containsText" dxfId="1374" priority="1802" operator="containsText" text="fnd">
      <formula>NOT(ISERROR(SEARCH("fnd",Q109)))</formula>
    </cfRule>
  </conditionalFormatting>
  <conditionalFormatting sqref="Q117">
    <cfRule type="containsText" dxfId="1373" priority="1386" operator="containsText" text="fnd">
      <formula>NOT(ISERROR(SEARCH("fnd",Q117)))</formula>
    </cfRule>
    <cfRule type="containsText" dxfId="1372" priority="1385" operator="containsText" text="Ear">
      <formula>NOT(ISERROR(SEARCH("Ear",Q117)))</formula>
    </cfRule>
    <cfRule type="containsText" dxfId="1371" priority="1384" operator="containsText" text="Ere">
      <formula>NOT(ISERROR(SEARCH("Ere",Q117)))</formula>
    </cfRule>
    <cfRule type="containsText" dxfId="1370" priority="1383" operator="containsText" text="Str">
      <formula>NOT(ISERROR(SEARCH("Str",Q117)))</formula>
    </cfRule>
  </conditionalFormatting>
  <conditionalFormatting sqref="Q125">
    <cfRule type="containsText" dxfId="1369" priority="345" operator="containsText" text="Str">
      <formula>NOT(ISERROR(SEARCH("Str",Q125)))</formula>
    </cfRule>
    <cfRule type="containsText" dxfId="1368" priority="346" operator="containsText" text="Ere">
      <formula>NOT(ISERROR(SEARCH("Ere",Q125)))</formula>
    </cfRule>
    <cfRule type="containsText" dxfId="1367" priority="347" operator="containsText" text="Ear">
      <formula>NOT(ISERROR(SEARCH("Ear",Q125)))</formula>
    </cfRule>
    <cfRule type="containsText" dxfId="1366" priority="348" operator="containsText" text="fnd">
      <formula>NOT(ISERROR(SEARCH("fnd",Q125)))</formula>
    </cfRule>
  </conditionalFormatting>
  <conditionalFormatting sqref="Q130 Q138 Q162 Q178 Q186:Q192">
    <cfRule type="containsText" dxfId="1365" priority="2074" operator="containsText" text="fnd">
      <formula>NOT(ISERROR(SEARCH("fnd",Q130)))</formula>
    </cfRule>
    <cfRule type="containsText" dxfId="1364" priority="2073" operator="containsText" text="Ear">
      <formula>NOT(ISERROR(SEARCH("Ear",Q130)))</formula>
    </cfRule>
    <cfRule type="containsText" dxfId="1363" priority="2072" operator="containsText" text="Ere">
      <formula>NOT(ISERROR(SEARCH("Ere",Q130)))</formula>
    </cfRule>
    <cfRule type="containsText" dxfId="1362" priority="2071" operator="containsText" text="Str">
      <formula>NOT(ISERROR(SEARCH("Str",Q130)))</formula>
    </cfRule>
  </conditionalFormatting>
  <conditionalFormatting sqref="Q133">
    <cfRule type="containsText" dxfId="1361" priority="174" operator="containsText" text="Ere">
      <formula>NOT(ISERROR(SEARCH("Ere",Q133)))</formula>
    </cfRule>
    <cfRule type="containsText" dxfId="1360" priority="175" operator="containsText" text="Ear">
      <formula>NOT(ISERROR(SEARCH("Ear",Q133)))</formula>
    </cfRule>
    <cfRule type="containsText" dxfId="1359" priority="176" operator="containsText" text="fnd">
      <formula>NOT(ISERROR(SEARCH("fnd",Q133)))</formula>
    </cfRule>
    <cfRule type="containsText" dxfId="1358" priority="173" operator="containsText" text="Str">
      <formula>NOT(ISERROR(SEARCH("Str",Q133)))</formula>
    </cfRule>
  </conditionalFormatting>
  <conditionalFormatting sqref="Q141">
    <cfRule type="containsText" dxfId="1357" priority="1244" operator="containsText" text="Ere">
      <formula>NOT(ISERROR(SEARCH("Ere",Q141)))</formula>
    </cfRule>
    <cfRule type="containsText" dxfId="1356" priority="1243" operator="containsText" text="Str">
      <formula>NOT(ISERROR(SEARCH("Str",Q141)))</formula>
    </cfRule>
    <cfRule type="containsText" dxfId="1355" priority="1245" operator="containsText" text="Ear">
      <formula>NOT(ISERROR(SEARCH("Ear",Q141)))</formula>
    </cfRule>
    <cfRule type="containsText" dxfId="1354" priority="1246" operator="containsText" text="fnd">
      <formula>NOT(ISERROR(SEARCH("fnd",Q141)))</formula>
    </cfRule>
  </conditionalFormatting>
  <conditionalFormatting sqref="Q149">
    <cfRule type="containsText" dxfId="1353" priority="1153" operator="containsText" text="Ear">
      <formula>NOT(ISERROR(SEARCH("Ear",Q149)))</formula>
    </cfRule>
    <cfRule type="containsText" dxfId="1352" priority="1152" operator="containsText" text="Ere">
      <formula>NOT(ISERROR(SEARCH("Ere",Q149)))</formula>
    </cfRule>
    <cfRule type="containsText" dxfId="1351" priority="1151" operator="containsText" text="Str">
      <formula>NOT(ISERROR(SEARCH("Str",Q149)))</formula>
    </cfRule>
    <cfRule type="containsText" dxfId="1350" priority="1154" operator="containsText" text="fnd">
      <formula>NOT(ISERROR(SEARCH("fnd",Q149)))</formula>
    </cfRule>
  </conditionalFormatting>
  <conditionalFormatting sqref="Q157">
    <cfRule type="containsText" dxfId="1349" priority="1083" operator="containsText" text="Str">
      <formula>NOT(ISERROR(SEARCH("Str",Q157)))</formula>
    </cfRule>
    <cfRule type="containsText" dxfId="1348" priority="1084" operator="containsText" text="Ere">
      <formula>NOT(ISERROR(SEARCH("Ere",Q157)))</formula>
    </cfRule>
    <cfRule type="containsText" dxfId="1347" priority="1085" operator="containsText" text="Ear">
      <formula>NOT(ISERROR(SEARCH("Ear",Q157)))</formula>
    </cfRule>
    <cfRule type="containsText" dxfId="1346" priority="1086" operator="containsText" text="fnd">
      <formula>NOT(ISERROR(SEARCH("fnd",Q157)))</formula>
    </cfRule>
  </conditionalFormatting>
  <conditionalFormatting sqref="Q165">
    <cfRule type="containsText" dxfId="1345" priority="1021" operator="containsText" text="Ear">
      <formula>NOT(ISERROR(SEARCH("Ear",Q165)))</formula>
    </cfRule>
    <cfRule type="containsText" dxfId="1344" priority="1022" operator="containsText" text="fnd">
      <formula>NOT(ISERROR(SEARCH("fnd",Q165)))</formula>
    </cfRule>
    <cfRule type="containsText" dxfId="1343" priority="1019" operator="containsText" text="Str">
      <formula>NOT(ISERROR(SEARCH("Str",Q165)))</formula>
    </cfRule>
    <cfRule type="containsText" dxfId="1342" priority="1020" operator="containsText" text="Ere">
      <formula>NOT(ISERROR(SEARCH("Ere",Q165)))</formula>
    </cfRule>
  </conditionalFormatting>
  <conditionalFormatting sqref="Q173">
    <cfRule type="containsText" dxfId="1341" priority="186" operator="containsText" text="Ere">
      <formula>NOT(ISERROR(SEARCH("Ere",Q173)))</formula>
    </cfRule>
    <cfRule type="containsText" dxfId="1340" priority="185" operator="containsText" text="Str">
      <formula>NOT(ISERROR(SEARCH("Str",Q173)))</formula>
    </cfRule>
    <cfRule type="containsText" dxfId="1339" priority="188" operator="containsText" text="fnd">
      <formula>NOT(ISERROR(SEARCH("fnd",Q173)))</formula>
    </cfRule>
    <cfRule type="containsText" dxfId="1338" priority="187" operator="containsText" text="Ear">
      <formula>NOT(ISERROR(SEARCH("Ear",Q173)))</formula>
    </cfRule>
  </conditionalFormatting>
  <conditionalFormatting sqref="Q181">
    <cfRule type="containsText" dxfId="1337" priority="887" operator="containsText" text="Str">
      <formula>NOT(ISERROR(SEARCH("Str",Q181)))</formula>
    </cfRule>
    <cfRule type="containsText" dxfId="1336" priority="888" operator="containsText" text="Ere">
      <formula>NOT(ISERROR(SEARCH("Ere",Q181)))</formula>
    </cfRule>
    <cfRule type="containsText" dxfId="1335" priority="889" operator="containsText" text="Ear">
      <formula>NOT(ISERROR(SEARCH("Ear",Q181)))</formula>
    </cfRule>
    <cfRule type="containsText" dxfId="1334" priority="890" operator="containsText" text="fnd">
      <formula>NOT(ISERROR(SEARCH("fnd",Q181)))</formula>
    </cfRule>
  </conditionalFormatting>
  <conditionalFormatting sqref="Q30:R30">
    <cfRule type="containsText" dxfId="1333" priority="490" operator="containsText" text="fnd">
      <formula>NOT(ISERROR(SEARCH("fnd",Q30)))</formula>
    </cfRule>
    <cfRule type="containsText" dxfId="1332" priority="487" operator="containsText" text="Str">
      <formula>NOT(ISERROR(SEARCH("Str",Q30)))</formula>
    </cfRule>
    <cfRule type="containsText" dxfId="1331" priority="488" operator="containsText" text="Ere">
      <formula>NOT(ISERROR(SEARCH("Ere",Q30)))</formula>
    </cfRule>
    <cfRule type="containsText" dxfId="1330" priority="489" operator="containsText" text="Ear">
      <formula>NOT(ISERROR(SEARCH("Ear",Q30)))</formula>
    </cfRule>
  </conditionalFormatting>
  <conditionalFormatting sqref="Q54:R54">
    <cfRule type="containsText" dxfId="1329" priority="2342" operator="containsText" text="fnd">
      <formula>NOT(ISERROR(SEARCH("fnd",Q54)))</formula>
    </cfRule>
    <cfRule type="containsText" dxfId="1328" priority="2340" operator="containsText" text="Ere">
      <formula>NOT(ISERROR(SEARCH("Ere",Q54)))</formula>
    </cfRule>
    <cfRule type="containsText" dxfId="1327" priority="2339" operator="containsText" text="Str">
      <formula>NOT(ISERROR(SEARCH("Str",Q54)))</formula>
    </cfRule>
    <cfRule type="containsText" dxfId="1326" priority="2341" operator="containsText" text="Ear">
      <formula>NOT(ISERROR(SEARCH("Ear",Q54)))</formula>
    </cfRule>
  </conditionalFormatting>
  <conditionalFormatting sqref="Q78:R78">
    <cfRule type="containsText" dxfId="1325" priority="655" operator="containsText" text="Str">
      <formula>NOT(ISERROR(SEARCH("Str",Q78)))</formula>
    </cfRule>
    <cfRule type="containsText" dxfId="1324" priority="656" operator="containsText" text="Ere">
      <formula>NOT(ISERROR(SEARCH("Ere",Q78)))</formula>
    </cfRule>
    <cfRule type="containsText" dxfId="1323" priority="657" operator="containsText" text="Ear">
      <formula>NOT(ISERROR(SEARCH("Ear",Q78)))</formula>
    </cfRule>
    <cfRule type="containsText" dxfId="1322" priority="658" operator="containsText" text="fnd">
      <formula>NOT(ISERROR(SEARCH("fnd",Q78)))</formula>
    </cfRule>
  </conditionalFormatting>
  <conditionalFormatting sqref="Q86:R86">
    <cfRule type="containsText" dxfId="1321" priority="2208" operator="containsText" text="Ere">
      <formula>NOT(ISERROR(SEARCH("Ere",Q86)))</formula>
    </cfRule>
    <cfRule type="containsText" dxfId="1320" priority="2209" operator="containsText" text="Ear">
      <formula>NOT(ISERROR(SEARCH("Ear",Q86)))</formula>
    </cfRule>
    <cfRule type="containsText" dxfId="1319" priority="2207" operator="containsText" text="Str">
      <formula>NOT(ISERROR(SEARCH("Str",Q86)))</formula>
    </cfRule>
    <cfRule type="containsText" dxfId="1318" priority="2210" operator="containsText" text="fnd">
      <formula>NOT(ISERROR(SEARCH("fnd",Q86)))</formula>
    </cfRule>
  </conditionalFormatting>
  <conditionalFormatting sqref="Q94:R94">
    <cfRule type="containsText" dxfId="1317" priority="1586" operator="containsText" text="fnd">
      <formula>NOT(ISERROR(SEARCH("fnd",Q94)))</formula>
    </cfRule>
    <cfRule type="containsText" dxfId="1316" priority="1584" operator="containsText" text="Ere">
      <formula>NOT(ISERROR(SEARCH("Ere",Q94)))</formula>
    </cfRule>
    <cfRule type="containsText" dxfId="1315" priority="1585" operator="containsText" text="Ear">
      <formula>NOT(ISERROR(SEARCH("Ear",Q94)))</formula>
    </cfRule>
    <cfRule type="containsText" dxfId="1314" priority="1583" operator="containsText" text="Str">
      <formula>NOT(ISERROR(SEARCH("Str",Q94)))</formula>
    </cfRule>
  </conditionalFormatting>
  <conditionalFormatting sqref="Q102:R102">
    <cfRule type="containsText" dxfId="1313" priority="1531" operator="containsText" text="Str">
      <formula>NOT(ISERROR(SEARCH("Str",Q102)))</formula>
    </cfRule>
    <cfRule type="containsText" dxfId="1312" priority="1532" operator="containsText" text="Ere">
      <formula>NOT(ISERROR(SEARCH("Ere",Q102)))</formula>
    </cfRule>
    <cfRule type="containsText" dxfId="1311" priority="1533" operator="containsText" text="Ear">
      <formula>NOT(ISERROR(SEARCH("Ear",Q102)))</formula>
    </cfRule>
    <cfRule type="containsText" dxfId="1310" priority="1534" operator="containsText" text="fnd">
      <formula>NOT(ISERROR(SEARCH("fnd",Q102)))</formula>
    </cfRule>
  </conditionalFormatting>
  <conditionalFormatting sqref="Q110:R110">
    <cfRule type="containsText" dxfId="1309" priority="1805" operator="containsText" text="Ear">
      <formula>NOT(ISERROR(SEARCH("Ear",Q110)))</formula>
    </cfRule>
    <cfRule type="containsText" dxfId="1308" priority="1806" operator="containsText" text="fnd">
      <formula>NOT(ISERROR(SEARCH("fnd",Q110)))</formula>
    </cfRule>
    <cfRule type="containsText" dxfId="1307" priority="1804" operator="containsText" text="Ere">
      <formula>NOT(ISERROR(SEARCH("Ere",Q110)))</formula>
    </cfRule>
    <cfRule type="containsText" dxfId="1306" priority="1803" operator="containsText" text="Str">
      <formula>NOT(ISERROR(SEARCH("Str",Q110)))</formula>
    </cfRule>
  </conditionalFormatting>
  <conditionalFormatting sqref="Q118:R118">
    <cfRule type="containsText" dxfId="1305" priority="1387" operator="containsText" text="Str">
      <formula>NOT(ISERROR(SEARCH("Str",Q118)))</formula>
    </cfRule>
    <cfRule type="containsText" dxfId="1304" priority="1390" operator="containsText" text="fnd">
      <formula>NOT(ISERROR(SEARCH("fnd",Q118)))</formula>
    </cfRule>
    <cfRule type="containsText" dxfId="1303" priority="1388" operator="containsText" text="Ere">
      <formula>NOT(ISERROR(SEARCH("Ere",Q118)))</formula>
    </cfRule>
    <cfRule type="containsText" dxfId="1302" priority="1389" operator="containsText" text="Ear">
      <formula>NOT(ISERROR(SEARCH("Ear",Q118)))</formula>
    </cfRule>
  </conditionalFormatting>
  <conditionalFormatting sqref="Q126:R126">
    <cfRule type="containsText" dxfId="1301" priority="351" operator="containsText" text="Ear">
      <formula>NOT(ISERROR(SEARCH("Ear",Q126)))</formula>
    </cfRule>
    <cfRule type="containsText" dxfId="1300" priority="352" operator="containsText" text="fnd">
      <formula>NOT(ISERROR(SEARCH("fnd",Q126)))</formula>
    </cfRule>
    <cfRule type="containsText" dxfId="1299" priority="349" operator="containsText" text="Str">
      <formula>NOT(ISERROR(SEARCH("Str",Q126)))</formula>
    </cfRule>
    <cfRule type="containsText" dxfId="1298" priority="350" operator="containsText" text="Ere">
      <formula>NOT(ISERROR(SEARCH("Ere",Q126)))</formula>
    </cfRule>
  </conditionalFormatting>
  <conditionalFormatting sqref="Q142:R142">
    <cfRule type="containsText" dxfId="1297" priority="1250" operator="containsText" text="fnd">
      <formula>NOT(ISERROR(SEARCH("fnd",Q142)))</formula>
    </cfRule>
    <cfRule type="containsText" dxfId="1296" priority="1249" operator="containsText" text="Ear">
      <formula>NOT(ISERROR(SEARCH("Ear",Q142)))</formula>
    </cfRule>
    <cfRule type="containsText" dxfId="1295" priority="1248" operator="containsText" text="Ere">
      <formula>NOT(ISERROR(SEARCH("Ere",Q142)))</formula>
    </cfRule>
    <cfRule type="containsText" dxfId="1294" priority="1247" operator="containsText" text="Str">
      <formula>NOT(ISERROR(SEARCH("Str",Q142)))</formula>
    </cfRule>
  </conditionalFormatting>
  <conditionalFormatting sqref="Q150:R150">
    <cfRule type="containsText" dxfId="1293" priority="1155" operator="containsText" text="Str">
      <formula>NOT(ISERROR(SEARCH("Str",Q150)))</formula>
    </cfRule>
    <cfRule type="containsText" dxfId="1292" priority="1156" operator="containsText" text="Ere">
      <formula>NOT(ISERROR(SEARCH("Ere",Q150)))</formula>
    </cfRule>
    <cfRule type="containsText" dxfId="1291" priority="1158" operator="containsText" text="fnd">
      <formula>NOT(ISERROR(SEARCH("fnd",Q150)))</formula>
    </cfRule>
    <cfRule type="containsText" dxfId="1290" priority="1157" operator="containsText" text="Ear">
      <formula>NOT(ISERROR(SEARCH("Ear",Q150)))</formula>
    </cfRule>
  </conditionalFormatting>
  <conditionalFormatting sqref="Q166:R166">
    <cfRule type="containsText" dxfId="1289" priority="1024" operator="containsText" text="Ere">
      <formula>NOT(ISERROR(SEARCH("Ere",Q166)))</formula>
    </cfRule>
    <cfRule type="containsText" dxfId="1288" priority="1025" operator="containsText" text="Ear">
      <formula>NOT(ISERROR(SEARCH("Ear",Q166)))</formula>
    </cfRule>
    <cfRule type="containsText" dxfId="1287" priority="1026" operator="containsText" text="fnd">
      <formula>NOT(ISERROR(SEARCH("fnd",Q166)))</formula>
    </cfRule>
    <cfRule type="containsText" dxfId="1286" priority="1023" operator="containsText" text="Str">
      <formula>NOT(ISERROR(SEARCH("Str",Q166)))</formula>
    </cfRule>
  </conditionalFormatting>
  <conditionalFormatting sqref="Q174:R174">
    <cfRule type="containsText" dxfId="1285" priority="189" operator="containsText" text="Str">
      <formula>NOT(ISERROR(SEARCH("Str",Q174)))</formula>
    </cfRule>
    <cfRule type="containsText" dxfId="1284" priority="192" operator="containsText" text="fnd">
      <formula>NOT(ISERROR(SEARCH("fnd",Q174)))</formula>
    </cfRule>
    <cfRule type="containsText" dxfId="1283" priority="190" operator="containsText" text="Ere">
      <formula>NOT(ISERROR(SEARCH("Ere",Q174)))</formula>
    </cfRule>
    <cfRule type="containsText" dxfId="1282" priority="191" operator="containsText" text="Ear">
      <formula>NOT(ISERROR(SEARCH("Ear",Q174)))</formula>
    </cfRule>
  </conditionalFormatting>
  <conditionalFormatting sqref="Q182:R182">
    <cfRule type="containsText" dxfId="1281" priority="892" operator="containsText" text="Ere">
      <formula>NOT(ISERROR(SEARCH("Ere",Q182)))</formula>
    </cfRule>
    <cfRule type="containsText" dxfId="1280" priority="891" operator="containsText" text="Str">
      <formula>NOT(ISERROR(SEARCH("Str",Q182)))</formula>
    </cfRule>
    <cfRule type="containsText" dxfId="1279" priority="893" operator="containsText" text="Ear">
      <formula>NOT(ISERROR(SEARCH("Ear",Q182)))</formula>
    </cfRule>
    <cfRule type="containsText" dxfId="1278" priority="894" operator="containsText" text="fnd">
      <formula>NOT(ISERROR(SEARCH("fnd",Q182)))</formula>
    </cfRule>
  </conditionalFormatting>
  <conditionalFormatting sqref="R6">
    <cfRule type="containsText" dxfId="1277" priority="1595" operator="containsText" text="Str">
      <formula>NOT(ISERROR(SEARCH("Str",R6)))</formula>
    </cfRule>
    <cfRule type="containsText" dxfId="1276" priority="1598" operator="containsText" text="fnd">
      <formula>NOT(ISERROR(SEARCH("fnd",R6)))</formula>
    </cfRule>
    <cfRule type="containsText" dxfId="1275" priority="1597" operator="containsText" text="Ear">
      <formula>NOT(ISERROR(SEARCH("Ear",R6)))</formula>
    </cfRule>
    <cfRule type="containsText" dxfId="1274" priority="1596" operator="containsText" text="Ere">
      <formula>NOT(ISERROR(SEARCH("Ere",R6)))</formula>
    </cfRule>
  </conditionalFormatting>
  <conditionalFormatting sqref="R14">
    <cfRule type="containsText" dxfId="1273" priority="1752" operator="containsText" text="Ere">
      <formula>NOT(ISERROR(SEARCH("Ere",R14)))</formula>
    </cfRule>
    <cfRule type="containsText" dxfId="1272" priority="1751" operator="containsText" text="Str">
      <formula>NOT(ISERROR(SEARCH("Str",R14)))</formula>
    </cfRule>
    <cfRule type="containsText" dxfId="1271" priority="1753" operator="containsText" text="Ear">
      <formula>NOT(ISERROR(SEARCH("Ear",R14)))</formula>
    </cfRule>
    <cfRule type="containsText" dxfId="1270" priority="1754" operator="containsText" text="fnd">
      <formula>NOT(ISERROR(SEARCH("fnd",R14)))</formula>
    </cfRule>
  </conditionalFormatting>
  <conditionalFormatting sqref="R22">
    <cfRule type="containsText" dxfId="1269" priority="1605" operator="containsText" text="Ear">
      <formula>NOT(ISERROR(SEARCH("Ear",R22)))</formula>
    </cfRule>
    <cfRule type="containsText" dxfId="1268" priority="1603" operator="containsText" text="Str">
      <formula>NOT(ISERROR(SEARCH("Str",R22)))</formula>
    </cfRule>
    <cfRule type="containsText" dxfId="1267" priority="1606" operator="containsText" text="fnd">
      <formula>NOT(ISERROR(SEARCH("fnd",R22)))</formula>
    </cfRule>
    <cfRule type="containsText" dxfId="1266" priority="1604" operator="containsText" text="Ere">
      <formula>NOT(ISERROR(SEARCH("Ere",R22)))</formula>
    </cfRule>
  </conditionalFormatting>
  <conditionalFormatting sqref="R38">
    <cfRule type="containsText" dxfId="1265" priority="2108" operator="containsText" text="Ere">
      <formula>NOT(ISERROR(SEARCH("Ere",R38)))</formula>
    </cfRule>
    <cfRule type="containsText" dxfId="1264" priority="2109" operator="containsText" text="Ear">
      <formula>NOT(ISERROR(SEARCH("Ear",R38)))</formula>
    </cfRule>
    <cfRule type="containsText" dxfId="1263" priority="2110" operator="containsText" text="fnd">
      <formula>NOT(ISERROR(SEARCH("fnd",R38)))</formula>
    </cfRule>
    <cfRule type="containsText" dxfId="1262" priority="2107" operator="containsText" text="Str">
      <formula>NOT(ISERROR(SEARCH("Str",R38)))</formula>
    </cfRule>
  </conditionalFormatting>
  <conditionalFormatting sqref="S122 T130 T138 T162 T170 T178 T186:T192">
    <cfRule type="containsText" dxfId="1261" priority="2058" operator="containsText" text="fnd">
      <formula>NOT(ISERROR(SEARCH("fnd",S122)))</formula>
    </cfRule>
    <cfRule type="containsText" dxfId="1260" priority="2056" operator="containsText" text="Ere">
      <formula>NOT(ISERROR(SEARCH("Ere",S122)))</formula>
    </cfRule>
    <cfRule type="containsText" dxfId="1259" priority="2057" operator="containsText" text="Ear">
      <formula>NOT(ISERROR(SEARCH("Ear",S122)))</formula>
    </cfRule>
    <cfRule type="containsText" dxfId="1258" priority="2055" operator="containsText" text="Str">
      <formula>NOT(ISERROR(SEARCH("Str",S122)))</formula>
    </cfRule>
  </conditionalFormatting>
  <conditionalFormatting sqref="T5">
    <cfRule type="containsText" dxfId="1257" priority="1659" operator="containsText" text="Str">
      <formula>NOT(ISERROR(SEARCH("Str",T5)))</formula>
    </cfRule>
    <cfRule type="containsText" dxfId="1256" priority="1660" operator="containsText" text="Ere">
      <formula>NOT(ISERROR(SEARCH("Ere",T5)))</formula>
    </cfRule>
    <cfRule type="containsText" dxfId="1255" priority="1661" operator="containsText" text="Ear">
      <formula>NOT(ISERROR(SEARCH("Ear",T5)))</formula>
    </cfRule>
    <cfRule type="containsText" dxfId="1254" priority="1662" operator="containsText" text="fnd">
      <formula>NOT(ISERROR(SEARCH("fnd",T5)))</formula>
    </cfRule>
  </conditionalFormatting>
  <conditionalFormatting sqref="T13:T14">
    <cfRule type="containsText" dxfId="1253" priority="216" operator="containsText" text="fnd">
      <formula>NOT(ISERROR(SEARCH("fnd",T13)))</formula>
    </cfRule>
    <cfRule type="containsText" dxfId="1252" priority="214" operator="containsText" text="Ere">
      <formula>NOT(ISERROR(SEARCH("Ere",T13)))</formula>
    </cfRule>
    <cfRule type="containsText" dxfId="1251" priority="215" operator="containsText" text="Ear">
      <formula>NOT(ISERROR(SEARCH("Ear",T13)))</formula>
    </cfRule>
    <cfRule type="containsText" dxfId="1250" priority="213" operator="containsText" text="Str">
      <formula>NOT(ISERROR(SEARCH("Str",T13)))</formula>
    </cfRule>
  </conditionalFormatting>
  <conditionalFormatting sqref="T21:T22">
    <cfRule type="containsText" dxfId="1249" priority="1491" operator="containsText" text="Str">
      <formula>NOT(ISERROR(SEARCH("Str",T21)))</formula>
    </cfRule>
    <cfRule type="containsText" dxfId="1248" priority="1493" operator="containsText" text="Ear">
      <formula>NOT(ISERROR(SEARCH("Ear",T21)))</formula>
    </cfRule>
    <cfRule type="containsText" dxfId="1247" priority="1494" operator="containsText" text="fnd">
      <formula>NOT(ISERROR(SEARCH("fnd",T21)))</formula>
    </cfRule>
    <cfRule type="containsText" dxfId="1246" priority="1492" operator="containsText" text="Ere">
      <formula>NOT(ISERROR(SEARCH("Ere",T21)))</formula>
    </cfRule>
  </conditionalFormatting>
  <conditionalFormatting sqref="T29">
    <cfRule type="containsText" dxfId="1245" priority="76" operator="containsText" text="fnd">
      <formula>NOT(ISERROR(SEARCH("fnd",T29)))</formula>
    </cfRule>
    <cfRule type="containsText" dxfId="1244" priority="75" operator="containsText" text="Ear">
      <formula>NOT(ISERROR(SEARCH("Ear",T29)))</formula>
    </cfRule>
    <cfRule type="containsText" dxfId="1243" priority="74" operator="containsText" text="Ere">
      <formula>NOT(ISERROR(SEARCH("Ere",T29)))</formula>
    </cfRule>
    <cfRule type="containsText" dxfId="1242" priority="73" operator="containsText" text="Str">
      <formula>NOT(ISERROR(SEARCH("Str",T29)))</formula>
    </cfRule>
  </conditionalFormatting>
  <conditionalFormatting sqref="T37">
    <cfRule type="containsText" dxfId="1241" priority="1699" operator="containsText" text="Str">
      <formula>NOT(ISERROR(SEARCH("Str",T37)))</formula>
    </cfRule>
    <cfRule type="containsText" dxfId="1240" priority="1700" operator="containsText" text="Ere">
      <formula>NOT(ISERROR(SEARCH("Ere",T37)))</formula>
    </cfRule>
    <cfRule type="containsText" dxfId="1239" priority="1701" operator="containsText" text="Ear">
      <formula>NOT(ISERROR(SEARCH("Ear",T37)))</formula>
    </cfRule>
    <cfRule type="containsText" dxfId="1238" priority="1702" operator="containsText" text="fnd">
      <formula>NOT(ISERROR(SEARCH("fnd",T37)))</formula>
    </cfRule>
  </conditionalFormatting>
  <conditionalFormatting sqref="T53">
    <cfRule type="containsText" dxfId="1237" priority="2166" operator="containsText" text="fnd">
      <formula>NOT(ISERROR(SEARCH("fnd",T53)))</formula>
    </cfRule>
    <cfRule type="containsText" dxfId="1236" priority="2163" operator="containsText" text="Str">
      <formula>NOT(ISERROR(SEARCH("Str",T53)))</formula>
    </cfRule>
    <cfRule type="containsText" dxfId="1235" priority="2165" operator="containsText" text="Ear">
      <formula>NOT(ISERROR(SEARCH("Ear",T53)))</formula>
    </cfRule>
    <cfRule type="containsText" dxfId="1234" priority="2164" operator="containsText" text="Ere">
      <formula>NOT(ISERROR(SEARCH("Ere",T53)))</formula>
    </cfRule>
  </conditionalFormatting>
  <conditionalFormatting sqref="T61">
    <cfRule type="containsText" dxfId="1233" priority="2085" operator="containsText" text="Ear">
      <formula>NOT(ISERROR(SEARCH("Ear",T61)))</formula>
    </cfRule>
    <cfRule type="containsText" dxfId="1232" priority="2083" operator="containsText" text="Str">
      <formula>NOT(ISERROR(SEARCH("Str",T61)))</formula>
    </cfRule>
    <cfRule type="containsText" dxfId="1231" priority="2084" operator="containsText" text="Ere">
      <formula>NOT(ISERROR(SEARCH("Ere",T61)))</formula>
    </cfRule>
    <cfRule type="containsText" dxfId="1230" priority="2086" operator="containsText" text="fnd">
      <formula>NOT(ISERROR(SEARCH("fnd",T61)))</formula>
    </cfRule>
  </conditionalFormatting>
  <conditionalFormatting sqref="T85">
    <cfRule type="containsText" dxfId="1229" priority="2158" operator="containsText" text="fnd">
      <formula>NOT(ISERROR(SEARCH("fnd",T85)))</formula>
    </cfRule>
    <cfRule type="containsText" dxfId="1228" priority="2155" operator="containsText" text="Str">
      <formula>NOT(ISERROR(SEARCH("Str",T85)))</formula>
    </cfRule>
    <cfRule type="containsText" dxfId="1227" priority="2156" operator="containsText" text="Ere">
      <formula>NOT(ISERROR(SEARCH("Ere",T85)))</formula>
    </cfRule>
    <cfRule type="containsText" dxfId="1226" priority="2157" operator="containsText" text="Ear">
      <formula>NOT(ISERROR(SEARCH("Ear",T85)))</formula>
    </cfRule>
  </conditionalFormatting>
  <conditionalFormatting sqref="T93">
    <cfRule type="containsText" dxfId="1225" priority="2251" operator="containsText" text="Str">
      <formula>NOT(ISERROR(SEARCH("Str",T93)))</formula>
    </cfRule>
    <cfRule type="containsText" dxfId="1224" priority="2252" operator="containsText" text="Ere">
      <formula>NOT(ISERROR(SEARCH("Ere",T93)))</formula>
    </cfRule>
    <cfRule type="containsText" dxfId="1223" priority="2253" operator="containsText" text="Ear">
      <formula>NOT(ISERROR(SEARCH("Ear",T93)))</formula>
    </cfRule>
    <cfRule type="containsText" dxfId="1222" priority="2254" operator="containsText" text="fnd">
      <formula>NOT(ISERROR(SEARCH("fnd",T93)))</formula>
    </cfRule>
  </conditionalFormatting>
  <conditionalFormatting sqref="T101">
    <cfRule type="containsText" dxfId="1221" priority="2229" operator="containsText" text="Ear">
      <formula>NOT(ISERROR(SEARCH("Ear",T101)))</formula>
    </cfRule>
    <cfRule type="containsText" dxfId="1220" priority="2228" operator="containsText" text="Ere">
      <formula>NOT(ISERROR(SEARCH("Ere",T101)))</formula>
    </cfRule>
    <cfRule type="containsText" dxfId="1219" priority="2230" operator="containsText" text="fnd">
      <formula>NOT(ISERROR(SEARCH("fnd",T101)))</formula>
    </cfRule>
    <cfRule type="containsText" dxfId="1218" priority="2227" operator="containsText" text="Str">
      <formula>NOT(ISERROR(SEARCH("Str",T101)))</formula>
    </cfRule>
  </conditionalFormatting>
  <conditionalFormatting sqref="T109">
    <cfRule type="containsText" dxfId="1217" priority="1785" operator="containsText" text="Ear">
      <formula>NOT(ISERROR(SEARCH("Ear",T109)))</formula>
    </cfRule>
    <cfRule type="containsText" dxfId="1216" priority="1786" operator="containsText" text="fnd">
      <formula>NOT(ISERROR(SEARCH("fnd",T109)))</formula>
    </cfRule>
    <cfRule type="containsText" dxfId="1215" priority="1784" operator="containsText" text="Ere">
      <formula>NOT(ISERROR(SEARCH("Ere",T109)))</formula>
    </cfRule>
    <cfRule type="containsText" dxfId="1214" priority="1783" operator="containsText" text="Str">
      <formula>NOT(ISERROR(SEARCH("Str",T109)))</formula>
    </cfRule>
  </conditionalFormatting>
  <conditionalFormatting sqref="T117">
    <cfRule type="containsText" dxfId="1213" priority="1376" operator="containsText" text="Ere">
      <formula>NOT(ISERROR(SEARCH("Ere",T117)))</formula>
    </cfRule>
    <cfRule type="containsText" dxfId="1212" priority="1378" operator="containsText" text="fnd">
      <formula>NOT(ISERROR(SEARCH("fnd",T117)))</formula>
    </cfRule>
    <cfRule type="containsText" dxfId="1211" priority="1377" operator="containsText" text="Ear">
      <formula>NOT(ISERROR(SEARCH("Ear",T117)))</formula>
    </cfRule>
    <cfRule type="containsText" dxfId="1210" priority="1375" operator="containsText" text="Str">
      <formula>NOT(ISERROR(SEARCH("Str",T117)))</formula>
    </cfRule>
  </conditionalFormatting>
  <conditionalFormatting sqref="T125">
    <cfRule type="containsText" dxfId="1209" priority="400" operator="containsText" text="Ere">
      <formula>NOT(ISERROR(SEARCH("Ere",T125)))</formula>
    </cfRule>
    <cfRule type="containsText" dxfId="1208" priority="402" operator="containsText" text="fnd">
      <formula>NOT(ISERROR(SEARCH("fnd",T125)))</formula>
    </cfRule>
    <cfRule type="containsText" dxfId="1207" priority="399" operator="containsText" text="Str">
      <formula>NOT(ISERROR(SEARCH("Str",T125)))</formula>
    </cfRule>
    <cfRule type="containsText" dxfId="1206" priority="401" operator="containsText" text="Ear">
      <formula>NOT(ISERROR(SEARCH("Ear",T125)))</formula>
    </cfRule>
  </conditionalFormatting>
  <conditionalFormatting sqref="T133">
    <cfRule type="containsText" dxfId="1205" priority="139" operator="containsText" text="Ear">
      <formula>NOT(ISERROR(SEARCH("Ear",T133)))</formula>
    </cfRule>
    <cfRule type="containsText" dxfId="1204" priority="138" operator="containsText" text="Ere">
      <formula>NOT(ISERROR(SEARCH("Ere",T133)))</formula>
    </cfRule>
    <cfRule type="containsText" dxfId="1203" priority="137" operator="containsText" text="Str">
      <formula>NOT(ISERROR(SEARCH("Str",T133)))</formula>
    </cfRule>
    <cfRule type="containsText" dxfId="1202" priority="140" operator="containsText" text="fnd">
      <formula>NOT(ISERROR(SEARCH("fnd",T133)))</formula>
    </cfRule>
  </conditionalFormatting>
  <conditionalFormatting sqref="T141">
    <cfRule type="containsText" dxfId="1201" priority="1237" operator="containsText" text="Ear">
      <formula>NOT(ISERROR(SEARCH("Ear",T141)))</formula>
    </cfRule>
    <cfRule type="containsText" dxfId="1200" priority="1236" operator="containsText" text="Ere">
      <formula>NOT(ISERROR(SEARCH("Ere",T141)))</formula>
    </cfRule>
    <cfRule type="containsText" dxfId="1199" priority="1238" operator="containsText" text="fnd">
      <formula>NOT(ISERROR(SEARCH("fnd",T141)))</formula>
    </cfRule>
    <cfRule type="containsText" dxfId="1198" priority="1235" operator="containsText" text="Str">
      <formula>NOT(ISERROR(SEARCH("Str",T141)))</formula>
    </cfRule>
  </conditionalFormatting>
  <conditionalFormatting sqref="T149">
    <cfRule type="containsText" dxfId="1197" priority="1143" operator="containsText" text="Str">
      <formula>NOT(ISERROR(SEARCH("Str",T149)))</formula>
    </cfRule>
    <cfRule type="containsText" dxfId="1196" priority="1144" operator="containsText" text="Ere">
      <formula>NOT(ISERROR(SEARCH("Ere",T149)))</formula>
    </cfRule>
    <cfRule type="containsText" dxfId="1195" priority="1146" operator="containsText" text="fnd">
      <formula>NOT(ISERROR(SEARCH("fnd",T149)))</formula>
    </cfRule>
    <cfRule type="containsText" dxfId="1194" priority="1145" operator="containsText" text="Ear">
      <formula>NOT(ISERROR(SEARCH("Ear",T149)))</formula>
    </cfRule>
  </conditionalFormatting>
  <conditionalFormatting sqref="T157">
    <cfRule type="containsText" dxfId="1193" priority="1077" operator="containsText" text="Ear">
      <formula>NOT(ISERROR(SEARCH("Ear",T157)))</formula>
    </cfRule>
    <cfRule type="containsText" dxfId="1192" priority="1076" operator="containsText" text="Ere">
      <formula>NOT(ISERROR(SEARCH("Ere",T157)))</formula>
    </cfRule>
    <cfRule type="containsText" dxfId="1191" priority="1078" operator="containsText" text="fnd">
      <formula>NOT(ISERROR(SEARCH("fnd",T157)))</formula>
    </cfRule>
    <cfRule type="containsText" dxfId="1190" priority="1075" operator="containsText" text="Str">
      <formula>NOT(ISERROR(SEARCH("Str",T157)))</formula>
    </cfRule>
  </conditionalFormatting>
  <conditionalFormatting sqref="T165">
    <cfRule type="containsText" dxfId="1189" priority="1014" operator="containsText" text="fnd">
      <formula>NOT(ISERROR(SEARCH("fnd",T165)))</formula>
    </cfRule>
    <cfRule type="containsText" dxfId="1188" priority="1013" operator="containsText" text="Ear">
      <formula>NOT(ISERROR(SEARCH("Ear",T165)))</formula>
    </cfRule>
    <cfRule type="containsText" dxfId="1187" priority="1012" operator="containsText" text="Ere">
      <formula>NOT(ISERROR(SEARCH("Ere",T165)))</formula>
    </cfRule>
    <cfRule type="containsText" dxfId="1186" priority="1011" operator="containsText" text="Str">
      <formula>NOT(ISERROR(SEARCH("Str",T165)))</formula>
    </cfRule>
  </conditionalFormatting>
  <conditionalFormatting sqref="T173">
    <cfRule type="containsText" dxfId="1185" priority="958" operator="containsText" text="fnd">
      <formula>NOT(ISERROR(SEARCH("fnd",T173)))</formula>
    </cfRule>
    <cfRule type="containsText" dxfId="1184" priority="955" operator="containsText" text="Str">
      <formula>NOT(ISERROR(SEARCH("Str",T173)))</formula>
    </cfRule>
    <cfRule type="containsText" dxfId="1183" priority="957" operator="containsText" text="Ear">
      <formula>NOT(ISERROR(SEARCH("Ear",T173)))</formula>
    </cfRule>
    <cfRule type="containsText" dxfId="1182" priority="956" operator="containsText" text="Ere">
      <formula>NOT(ISERROR(SEARCH("Ere",T173)))</formula>
    </cfRule>
  </conditionalFormatting>
  <conditionalFormatting sqref="T181">
    <cfRule type="containsText" dxfId="1181" priority="879" operator="containsText" text="Str">
      <formula>NOT(ISERROR(SEARCH("Str",T181)))</formula>
    </cfRule>
    <cfRule type="containsText" dxfId="1180" priority="881" operator="containsText" text="Ear">
      <formula>NOT(ISERROR(SEARCH("Ear",T181)))</formula>
    </cfRule>
    <cfRule type="containsText" dxfId="1179" priority="882" operator="containsText" text="fnd">
      <formula>NOT(ISERROR(SEARCH("fnd",T181)))</formula>
    </cfRule>
    <cfRule type="containsText" dxfId="1178" priority="880" operator="containsText" text="Ere">
      <formula>NOT(ISERROR(SEARCH("Ere",T181)))</formula>
    </cfRule>
  </conditionalFormatting>
  <conditionalFormatting sqref="T30:U30">
    <cfRule type="containsText" dxfId="1177" priority="79" operator="containsText" text="Ear">
      <formula>NOT(ISERROR(SEARCH("Ear",T30)))</formula>
    </cfRule>
    <cfRule type="containsText" dxfId="1176" priority="80" operator="containsText" text="fnd">
      <formula>NOT(ISERROR(SEARCH("fnd",T30)))</formula>
    </cfRule>
    <cfRule type="containsText" dxfId="1175" priority="78" operator="containsText" text="Ere">
      <formula>NOT(ISERROR(SEARCH("Ere",T30)))</formula>
    </cfRule>
    <cfRule type="containsText" dxfId="1174" priority="77" operator="containsText" text="Str">
      <formula>NOT(ISERROR(SEARCH("Str",T30)))</formula>
    </cfRule>
  </conditionalFormatting>
  <conditionalFormatting sqref="T38:U38">
    <cfRule type="containsText" dxfId="1173" priority="1703" operator="containsText" text="Str">
      <formula>NOT(ISERROR(SEARCH("Str",T38)))</formula>
    </cfRule>
    <cfRule type="containsText" dxfId="1172" priority="1704" operator="containsText" text="Ere">
      <formula>NOT(ISERROR(SEARCH("Ere",T38)))</formula>
    </cfRule>
    <cfRule type="containsText" dxfId="1171" priority="1705" operator="containsText" text="Ear">
      <formula>NOT(ISERROR(SEARCH("Ear",T38)))</formula>
    </cfRule>
    <cfRule type="containsText" dxfId="1170" priority="1706" operator="containsText" text="fnd">
      <formula>NOT(ISERROR(SEARCH("fnd",T38)))</formula>
    </cfRule>
  </conditionalFormatting>
  <conditionalFormatting sqref="T46:U46">
    <cfRule type="containsText" dxfId="1169" priority="1429" operator="containsText" text="Ear">
      <formula>NOT(ISERROR(SEARCH("Ear",T46)))</formula>
    </cfRule>
    <cfRule type="containsText" dxfId="1168" priority="1428" operator="containsText" text="Ere">
      <formula>NOT(ISERROR(SEARCH("Ere",T46)))</formula>
    </cfRule>
    <cfRule type="containsText" dxfId="1167" priority="1430" operator="containsText" text="fnd">
      <formula>NOT(ISERROR(SEARCH("fnd",T46)))</formula>
    </cfRule>
    <cfRule type="containsText" dxfId="1166" priority="1427" operator="containsText" text="Str">
      <formula>NOT(ISERROR(SEARCH("Str",T46)))</formula>
    </cfRule>
  </conditionalFormatting>
  <conditionalFormatting sqref="T54:U54">
    <cfRule type="containsText" dxfId="1165" priority="2338" operator="containsText" text="fnd">
      <formula>NOT(ISERROR(SEARCH("fnd",T54)))</formula>
    </cfRule>
    <cfRule type="containsText" dxfId="1164" priority="2335" operator="containsText" text="Str">
      <formula>NOT(ISERROR(SEARCH("Str",T54)))</formula>
    </cfRule>
    <cfRule type="containsText" dxfId="1163" priority="2336" operator="containsText" text="Ere">
      <formula>NOT(ISERROR(SEARCH("Ere",T54)))</formula>
    </cfRule>
    <cfRule type="containsText" dxfId="1162" priority="2337" operator="containsText" text="Ear">
      <formula>NOT(ISERROR(SEARCH("Ear",T54)))</formula>
    </cfRule>
  </conditionalFormatting>
  <conditionalFormatting sqref="T62:U62">
    <cfRule type="containsText" dxfId="1161" priority="2088" operator="containsText" text="Ere">
      <formula>NOT(ISERROR(SEARCH("Ere",T62)))</formula>
    </cfRule>
    <cfRule type="containsText" dxfId="1160" priority="2087" operator="containsText" text="Str">
      <formula>NOT(ISERROR(SEARCH("Str",T62)))</formula>
    </cfRule>
    <cfRule type="containsText" dxfId="1159" priority="2090" operator="containsText" text="fnd">
      <formula>NOT(ISERROR(SEARCH("fnd",T62)))</formula>
    </cfRule>
    <cfRule type="containsText" dxfId="1158" priority="2089" operator="containsText" text="Ear">
      <formula>NOT(ISERROR(SEARCH("Ear",T62)))</formula>
    </cfRule>
  </conditionalFormatting>
  <conditionalFormatting sqref="T70:U70">
    <cfRule type="containsText" dxfId="1157" priority="2197" operator="containsText" text="Ear">
      <formula>NOT(ISERROR(SEARCH("Ear",T70)))</formula>
    </cfRule>
    <cfRule type="containsText" dxfId="1156" priority="2198" operator="containsText" text="fnd">
      <formula>NOT(ISERROR(SEARCH("fnd",T70)))</formula>
    </cfRule>
    <cfRule type="containsText" dxfId="1155" priority="2196" operator="containsText" text="Ere">
      <formula>NOT(ISERROR(SEARCH("Ere",T70)))</formula>
    </cfRule>
    <cfRule type="containsText" dxfId="1154" priority="2195" operator="containsText" text="Str">
      <formula>NOT(ISERROR(SEARCH("Str",T70)))</formula>
    </cfRule>
  </conditionalFormatting>
  <conditionalFormatting sqref="T86:U86">
    <cfRule type="containsText" dxfId="1153" priority="2204" operator="containsText" text="Ere">
      <formula>NOT(ISERROR(SEARCH("Ere",T86)))</formula>
    </cfRule>
    <cfRule type="containsText" dxfId="1152" priority="2203" operator="containsText" text="Str">
      <formula>NOT(ISERROR(SEARCH("Str",T86)))</formula>
    </cfRule>
    <cfRule type="containsText" dxfId="1151" priority="2206" operator="containsText" text="fnd">
      <formula>NOT(ISERROR(SEARCH("fnd",T86)))</formula>
    </cfRule>
    <cfRule type="containsText" dxfId="1150" priority="2205" operator="containsText" text="Ear">
      <formula>NOT(ISERROR(SEARCH("Ear",T86)))</formula>
    </cfRule>
  </conditionalFormatting>
  <conditionalFormatting sqref="T94:U94">
    <cfRule type="containsText" dxfId="1149" priority="2269" operator="containsText" text="Ear">
      <formula>NOT(ISERROR(SEARCH("Ear",T94)))</formula>
    </cfRule>
    <cfRule type="containsText" dxfId="1148" priority="2268" operator="containsText" text="Ere">
      <formula>NOT(ISERROR(SEARCH("Ere",T94)))</formula>
    </cfRule>
    <cfRule type="containsText" dxfId="1147" priority="2270" operator="containsText" text="fnd">
      <formula>NOT(ISERROR(SEARCH("fnd",T94)))</formula>
    </cfRule>
    <cfRule type="containsText" dxfId="1146" priority="2267" operator="containsText" text="Str">
      <formula>NOT(ISERROR(SEARCH("Str",T94)))</formula>
    </cfRule>
  </conditionalFormatting>
  <conditionalFormatting sqref="T102:U102 W102:X102">
    <cfRule type="containsText" dxfId="1145" priority="2277" operator="containsText" text="Ear">
      <formula>NOT(ISERROR(SEARCH("Ear",T102)))</formula>
    </cfRule>
    <cfRule type="containsText" dxfId="1144" priority="2276" operator="containsText" text="Ere">
      <formula>NOT(ISERROR(SEARCH("Ere",T102)))</formula>
    </cfRule>
    <cfRule type="containsText" dxfId="1143" priority="2275" operator="containsText" text="Str">
      <formula>NOT(ISERROR(SEARCH("Str",T102)))</formula>
    </cfRule>
    <cfRule type="containsText" dxfId="1142" priority="2278" operator="containsText" text="fnd">
      <formula>NOT(ISERROR(SEARCH("fnd",T102)))</formula>
    </cfRule>
  </conditionalFormatting>
  <conditionalFormatting sqref="T110:U110">
    <cfRule type="containsText" dxfId="1141" priority="1790" operator="containsText" text="fnd">
      <formula>NOT(ISERROR(SEARCH("fnd",T110)))</formula>
    </cfRule>
    <cfRule type="containsText" dxfId="1140" priority="1787" operator="containsText" text="Str">
      <formula>NOT(ISERROR(SEARCH("Str",T110)))</formula>
    </cfRule>
    <cfRule type="containsText" dxfId="1139" priority="1788" operator="containsText" text="Ere">
      <formula>NOT(ISERROR(SEARCH("Ere",T110)))</formula>
    </cfRule>
    <cfRule type="containsText" dxfId="1138" priority="1789" operator="containsText" text="Ear">
      <formula>NOT(ISERROR(SEARCH("Ear",T110)))</formula>
    </cfRule>
  </conditionalFormatting>
  <conditionalFormatting sqref="T118:U118">
    <cfRule type="containsText" dxfId="1137" priority="1379" operator="containsText" text="Str">
      <formula>NOT(ISERROR(SEARCH("Str",T118)))</formula>
    </cfRule>
    <cfRule type="containsText" dxfId="1136" priority="1380" operator="containsText" text="Ere">
      <formula>NOT(ISERROR(SEARCH("Ere",T118)))</formula>
    </cfRule>
    <cfRule type="containsText" dxfId="1135" priority="1382" operator="containsText" text="fnd">
      <formula>NOT(ISERROR(SEARCH("fnd",T118)))</formula>
    </cfRule>
    <cfRule type="containsText" dxfId="1134" priority="1381" operator="containsText" text="Ear">
      <formula>NOT(ISERROR(SEARCH("Ear",T118)))</formula>
    </cfRule>
  </conditionalFormatting>
  <conditionalFormatting sqref="T126:U126">
    <cfRule type="containsText" dxfId="1133" priority="403" operator="containsText" text="Str">
      <formula>NOT(ISERROR(SEARCH("Str",T126)))</formula>
    </cfRule>
    <cfRule type="containsText" dxfId="1132" priority="404" operator="containsText" text="Ere">
      <formula>NOT(ISERROR(SEARCH("Ere",T126)))</formula>
    </cfRule>
    <cfRule type="containsText" dxfId="1131" priority="405" operator="containsText" text="Ear">
      <formula>NOT(ISERROR(SEARCH("Ear",T126)))</formula>
    </cfRule>
    <cfRule type="containsText" dxfId="1130" priority="406" operator="containsText" text="fnd">
      <formula>NOT(ISERROR(SEARCH("fnd",T126)))</formula>
    </cfRule>
  </conditionalFormatting>
  <conditionalFormatting sqref="T142:U142">
    <cfRule type="containsText" dxfId="1129" priority="1241" operator="containsText" text="Ear">
      <formula>NOT(ISERROR(SEARCH("Ear",T142)))</formula>
    </cfRule>
    <cfRule type="containsText" dxfId="1128" priority="1242" operator="containsText" text="fnd">
      <formula>NOT(ISERROR(SEARCH("fnd",T142)))</formula>
    </cfRule>
    <cfRule type="containsText" dxfId="1127" priority="1239" operator="containsText" text="Str">
      <formula>NOT(ISERROR(SEARCH("Str",T142)))</formula>
    </cfRule>
    <cfRule type="containsText" dxfId="1126" priority="1240" operator="containsText" text="Ere">
      <formula>NOT(ISERROR(SEARCH("Ere",T142)))</formula>
    </cfRule>
  </conditionalFormatting>
  <conditionalFormatting sqref="T150:U150">
    <cfRule type="containsText" dxfId="1125" priority="1150" operator="containsText" text="fnd">
      <formula>NOT(ISERROR(SEARCH("fnd",T150)))</formula>
    </cfRule>
    <cfRule type="containsText" dxfId="1124" priority="1149" operator="containsText" text="Ear">
      <formula>NOT(ISERROR(SEARCH("Ear",T150)))</formula>
    </cfRule>
    <cfRule type="containsText" dxfId="1123" priority="1148" operator="containsText" text="Ere">
      <formula>NOT(ISERROR(SEARCH("Ere",T150)))</formula>
    </cfRule>
    <cfRule type="containsText" dxfId="1122" priority="1147" operator="containsText" text="Str">
      <formula>NOT(ISERROR(SEARCH("Str",T150)))</formula>
    </cfRule>
  </conditionalFormatting>
  <conditionalFormatting sqref="T158:U158">
    <cfRule type="containsText" dxfId="1121" priority="1079" operator="containsText" text="Str">
      <formula>NOT(ISERROR(SEARCH("Str",T158)))</formula>
    </cfRule>
    <cfRule type="containsText" dxfId="1120" priority="1080" operator="containsText" text="Ere">
      <formula>NOT(ISERROR(SEARCH("Ere",T158)))</formula>
    </cfRule>
    <cfRule type="containsText" dxfId="1119" priority="1081" operator="containsText" text="Ear">
      <formula>NOT(ISERROR(SEARCH("Ear",T158)))</formula>
    </cfRule>
    <cfRule type="containsText" dxfId="1118" priority="1082" operator="containsText" text="fnd">
      <formula>NOT(ISERROR(SEARCH("fnd",T158)))</formula>
    </cfRule>
  </conditionalFormatting>
  <conditionalFormatting sqref="T166:U166">
    <cfRule type="containsText" dxfId="1117" priority="1018" operator="containsText" text="fnd">
      <formula>NOT(ISERROR(SEARCH("fnd",T166)))</formula>
    </cfRule>
    <cfRule type="containsText" dxfId="1116" priority="1015" operator="containsText" text="Str">
      <formula>NOT(ISERROR(SEARCH("Str",T166)))</formula>
    </cfRule>
    <cfRule type="containsText" dxfId="1115" priority="1016" operator="containsText" text="Ere">
      <formula>NOT(ISERROR(SEARCH("Ere",T166)))</formula>
    </cfRule>
    <cfRule type="containsText" dxfId="1114" priority="1017" operator="containsText" text="Ear">
      <formula>NOT(ISERROR(SEARCH("Ear",T166)))</formula>
    </cfRule>
  </conditionalFormatting>
  <conditionalFormatting sqref="T174:U174">
    <cfRule type="containsText" dxfId="1113" priority="960" operator="containsText" text="Ere">
      <formula>NOT(ISERROR(SEARCH("Ere",T174)))</formula>
    </cfRule>
    <cfRule type="containsText" dxfId="1112" priority="959" operator="containsText" text="Str">
      <formula>NOT(ISERROR(SEARCH("Str",T174)))</formula>
    </cfRule>
    <cfRule type="containsText" dxfId="1111" priority="962" operator="containsText" text="fnd">
      <formula>NOT(ISERROR(SEARCH("fnd",T174)))</formula>
    </cfRule>
    <cfRule type="containsText" dxfId="1110" priority="961" operator="containsText" text="Ear">
      <formula>NOT(ISERROR(SEARCH("Ear",T174)))</formula>
    </cfRule>
  </conditionalFormatting>
  <conditionalFormatting sqref="T182:U182">
    <cfRule type="containsText" dxfId="1109" priority="884" operator="containsText" text="Ere">
      <formula>NOT(ISERROR(SEARCH("Ere",T182)))</formula>
    </cfRule>
    <cfRule type="containsText" dxfId="1108" priority="885" operator="containsText" text="Ear">
      <formula>NOT(ISERROR(SEARCH("Ear",T182)))</formula>
    </cfRule>
    <cfRule type="containsText" dxfId="1107" priority="883" operator="containsText" text="Str">
      <formula>NOT(ISERROR(SEARCH("Str",T182)))</formula>
    </cfRule>
    <cfRule type="containsText" dxfId="1106" priority="886" operator="containsText" text="fnd">
      <formula>NOT(ISERROR(SEARCH("fnd",T182)))</formula>
    </cfRule>
  </conditionalFormatting>
  <conditionalFormatting sqref="U14">
    <cfRule type="containsText" dxfId="1105" priority="209" operator="containsText" text="Str">
      <formula>NOT(ISERROR(SEARCH("Str",U14)))</formula>
    </cfRule>
    <cfRule type="containsText" dxfId="1104" priority="212" operator="containsText" text="fnd">
      <formula>NOT(ISERROR(SEARCH("fnd",U14)))</formula>
    </cfRule>
    <cfRule type="containsText" dxfId="1103" priority="211" operator="containsText" text="Ear">
      <formula>NOT(ISERROR(SEARCH("Ear",U14)))</formula>
    </cfRule>
    <cfRule type="containsText" dxfId="1102" priority="210" operator="containsText" text="Ere">
      <formula>NOT(ISERROR(SEARCH("Ere",U14)))</formula>
    </cfRule>
  </conditionalFormatting>
  <conditionalFormatting sqref="U22">
    <cfRule type="containsText" dxfId="1101" priority="1488" operator="containsText" text="Ere">
      <formula>NOT(ISERROR(SEARCH("Ere",U22)))</formula>
    </cfRule>
    <cfRule type="containsText" dxfId="1100" priority="1489" operator="containsText" text="Ear">
      <formula>NOT(ISERROR(SEARCH("Ear",U22)))</formula>
    </cfRule>
    <cfRule type="containsText" dxfId="1099" priority="1490" operator="containsText" text="fnd">
      <formula>NOT(ISERROR(SEARCH("fnd",U22)))</formula>
    </cfRule>
    <cfRule type="containsText" dxfId="1098" priority="1487" operator="containsText" text="Str">
      <formula>NOT(ISERROR(SEARCH("Str",U22)))</formula>
    </cfRule>
  </conditionalFormatting>
  <conditionalFormatting sqref="U78">
    <cfRule type="containsText" dxfId="1097" priority="57" operator="containsText" text="Str">
      <formula>NOT(ISERROR(SEARCH("Str",U78)))</formula>
    </cfRule>
    <cfRule type="containsText" dxfId="1096" priority="58" operator="containsText" text="Ere">
      <formula>NOT(ISERROR(SEARCH("Ere",U78)))</formula>
    </cfRule>
    <cfRule type="containsText" dxfId="1095" priority="59" operator="containsText" text="Ear">
      <formula>NOT(ISERROR(SEARCH("Ear",U78)))</formula>
    </cfRule>
    <cfRule type="containsText" dxfId="1094" priority="60" operator="containsText" text="fnd">
      <formula>NOT(ISERROR(SEARCH("fnd",U78)))</formula>
    </cfRule>
  </conditionalFormatting>
  <conditionalFormatting sqref="W5">
    <cfRule type="containsText" dxfId="1093" priority="1687" operator="containsText" text="Str">
      <formula>NOT(ISERROR(SEARCH("Str",W5)))</formula>
    </cfRule>
    <cfRule type="containsText" dxfId="1092" priority="1688" operator="containsText" text="Ere">
      <formula>NOT(ISERROR(SEARCH("Ere",W5)))</formula>
    </cfRule>
    <cfRule type="containsText" dxfId="1091" priority="1689" operator="containsText" text="Ear">
      <formula>NOT(ISERROR(SEARCH("Ear",W5)))</formula>
    </cfRule>
    <cfRule type="containsText" dxfId="1090" priority="1690" operator="containsText" text="fnd">
      <formula>NOT(ISERROR(SEARCH("fnd",W5)))</formula>
    </cfRule>
  </conditionalFormatting>
  <conditionalFormatting sqref="W13:W14">
    <cfRule type="containsText" dxfId="1089" priority="1729" operator="containsText" text="Ear">
      <formula>NOT(ISERROR(SEARCH("Ear",W13)))</formula>
    </cfRule>
    <cfRule type="containsText" dxfId="1088" priority="1730" operator="containsText" text="fnd">
      <formula>NOT(ISERROR(SEARCH("fnd",W13)))</formula>
    </cfRule>
    <cfRule type="containsText" dxfId="1087" priority="1728" operator="containsText" text="Ere">
      <formula>NOT(ISERROR(SEARCH("Ere",W13)))</formula>
    </cfRule>
    <cfRule type="containsText" dxfId="1086" priority="1727" operator="containsText" text="Str">
      <formula>NOT(ISERROR(SEARCH("Str",W13)))</formula>
    </cfRule>
  </conditionalFormatting>
  <conditionalFormatting sqref="W21:W22">
    <cfRule type="containsText" dxfId="1085" priority="1795" operator="containsText" text="Str">
      <formula>NOT(ISERROR(SEARCH("Str",W21)))</formula>
    </cfRule>
    <cfRule type="containsText" dxfId="1084" priority="1798" operator="containsText" text="fnd">
      <formula>NOT(ISERROR(SEARCH("fnd",W21)))</formula>
    </cfRule>
    <cfRule type="containsText" dxfId="1083" priority="1797" operator="containsText" text="Ear">
      <formula>NOT(ISERROR(SEARCH("Ear",W21)))</formula>
    </cfRule>
    <cfRule type="containsText" dxfId="1082" priority="1796" operator="containsText" text="Ere">
      <formula>NOT(ISERROR(SEARCH("Ere",W21)))</formula>
    </cfRule>
  </conditionalFormatting>
  <conditionalFormatting sqref="W29">
    <cfRule type="containsText" dxfId="1081" priority="719" operator="containsText" text="Str">
      <formula>NOT(ISERROR(SEARCH("Str",W29)))</formula>
    </cfRule>
    <cfRule type="containsText" dxfId="1080" priority="722" operator="containsText" text="fnd">
      <formula>NOT(ISERROR(SEARCH("fnd",W29)))</formula>
    </cfRule>
    <cfRule type="containsText" dxfId="1079" priority="720" operator="containsText" text="Ere">
      <formula>NOT(ISERROR(SEARCH("Ere",W29)))</formula>
    </cfRule>
    <cfRule type="containsText" dxfId="1078" priority="721" operator="containsText" text="Ear">
      <formula>NOT(ISERROR(SEARCH("Ear",W29)))</formula>
    </cfRule>
  </conditionalFormatting>
  <conditionalFormatting sqref="W37">
    <cfRule type="containsText" dxfId="1077" priority="160" operator="containsText" text="fnd">
      <formula>NOT(ISERROR(SEARCH("fnd",W37)))</formula>
    </cfRule>
    <cfRule type="containsText" dxfId="1076" priority="159" operator="containsText" text="Ear">
      <formula>NOT(ISERROR(SEARCH("Ear",W37)))</formula>
    </cfRule>
    <cfRule type="containsText" dxfId="1075" priority="158" operator="containsText" text="Ere">
      <formula>NOT(ISERROR(SEARCH("Ere",W37)))</formula>
    </cfRule>
    <cfRule type="containsText" dxfId="1074" priority="157" operator="containsText" text="Str">
      <formula>NOT(ISERROR(SEARCH("Str",W37)))</formula>
    </cfRule>
  </conditionalFormatting>
  <conditionalFormatting sqref="W53">
    <cfRule type="containsText" dxfId="1073" priority="387" operator="containsText" text="Ear">
      <formula>NOT(ISERROR(SEARCH("Ear",W53)))</formula>
    </cfRule>
    <cfRule type="containsText" dxfId="1072" priority="386" operator="containsText" text="Ere">
      <formula>NOT(ISERROR(SEARCH("Ere",W53)))</formula>
    </cfRule>
    <cfRule type="containsText" dxfId="1071" priority="385" operator="containsText" text="Str">
      <formula>NOT(ISERROR(SEARCH("Str",W53)))</formula>
    </cfRule>
    <cfRule type="containsText" dxfId="1070" priority="388" operator="containsText" text="fnd">
      <formula>NOT(ISERROR(SEARCH("fnd",W53)))</formula>
    </cfRule>
  </conditionalFormatting>
  <conditionalFormatting sqref="W61">
    <cfRule type="containsText" dxfId="1069" priority="617" operator="containsText" text="Ear">
      <formula>NOT(ISERROR(SEARCH("Ear",W61)))</formula>
    </cfRule>
    <cfRule type="containsText" dxfId="1068" priority="618" operator="containsText" text="fnd">
      <formula>NOT(ISERROR(SEARCH("fnd",W61)))</formula>
    </cfRule>
    <cfRule type="containsText" dxfId="1067" priority="615" operator="containsText" text="Str">
      <formula>NOT(ISERROR(SEARCH("Str",W61)))</formula>
    </cfRule>
    <cfRule type="containsText" dxfId="1066" priority="616" operator="containsText" text="Ere">
      <formula>NOT(ISERROR(SEARCH("Ere",W61)))</formula>
    </cfRule>
  </conditionalFormatting>
  <conditionalFormatting sqref="W85">
    <cfRule type="containsText" dxfId="1065" priority="496" operator="containsText" text="Ere">
      <formula>NOT(ISERROR(SEARCH("Ere",W85)))</formula>
    </cfRule>
    <cfRule type="containsText" dxfId="1064" priority="495" operator="containsText" text="Str">
      <formula>NOT(ISERROR(SEARCH("Str",W85)))</formula>
    </cfRule>
    <cfRule type="containsText" dxfId="1063" priority="498" operator="containsText" text="fnd">
      <formula>NOT(ISERROR(SEARCH("fnd",W85)))</formula>
    </cfRule>
    <cfRule type="containsText" dxfId="1062" priority="497" operator="containsText" text="Ear">
      <formula>NOT(ISERROR(SEARCH("Ear",W85)))</formula>
    </cfRule>
  </conditionalFormatting>
  <conditionalFormatting sqref="W93">
    <cfRule type="containsText" dxfId="1061" priority="1481" operator="containsText" text="Ear">
      <formula>NOT(ISERROR(SEARCH("Ear",W93)))</formula>
    </cfRule>
    <cfRule type="containsText" dxfId="1060" priority="1482" operator="containsText" text="fnd">
      <formula>NOT(ISERROR(SEARCH("fnd",W93)))</formula>
    </cfRule>
    <cfRule type="containsText" dxfId="1059" priority="1480" operator="containsText" text="Ere">
      <formula>NOT(ISERROR(SEARCH("Ere",W93)))</formula>
    </cfRule>
    <cfRule type="containsText" dxfId="1058" priority="1479" operator="containsText" text="Str">
      <formula>NOT(ISERROR(SEARCH("Str",W93)))</formula>
    </cfRule>
  </conditionalFormatting>
  <conditionalFormatting sqref="W101">
    <cfRule type="containsText" dxfId="1057" priority="2232" operator="containsText" text="Ere">
      <formula>NOT(ISERROR(SEARCH("Ere",W101)))</formula>
    </cfRule>
    <cfRule type="containsText" dxfId="1056" priority="2234" operator="containsText" text="fnd">
      <formula>NOT(ISERROR(SEARCH("fnd",W101)))</formula>
    </cfRule>
    <cfRule type="containsText" dxfId="1055" priority="2233" operator="containsText" text="Ear">
      <formula>NOT(ISERROR(SEARCH("Ear",W101)))</formula>
    </cfRule>
    <cfRule type="containsText" dxfId="1054" priority="2231" operator="containsText" text="Str">
      <formula>NOT(ISERROR(SEARCH("Str",W101)))</formula>
    </cfRule>
  </conditionalFormatting>
  <conditionalFormatting sqref="W109">
    <cfRule type="containsText" dxfId="1053" priority="1760" operator="containsText" text="Ere">
      <formula>NOT(ISERROR(SEARCH("Ere",W109)))</formula>
    </cfRule>
    <cfRule type="containsText" dxfId="1052" priority="1759" operator="containsText" text="Str">
      <formula>NOT(ISERROR(SEARCH("Str",W109)))</formula>
    </cfRule>
    <cfRule type="containsText" dxfId="1051" priority="1762" operator="containsText" text="fnd">
      <formula>NOT(ISERROR(SEARCH("fnd",W109)))</formula>
    </cfRule>
    <cfRule type="containsText" dxfId="1050" priority="1761" operator="containsText" text="Ear">
      <formula>NOT(ISERROR(SEARCH("Ear",W109)))</formula>
    </cfRule>
  </conditionalFormatting>
  <conditionalFormatting sqref="W117">
    <cfRule type="containsText" dxfId="1049" priority="204" operator="containsText" text="fnd">
      <formula>NOT(ISERROR(SEARCH("fnd",W117)))</formula>
    </cfRule>
    <cfRule type="containsText" dxfId="1048" priority="203" operator="containsText" text="Ear">
      <formula>NOT(ISERROR(SEARCH("Ear",W117)))</formula>
    </cfRule>
    <cfRule type="containsText" dxfId="1047" priority="202" operator="containsText" text="Ere">
      <formula>NOT(ISERROR(SEARCH("Ere",W117)))</formula>
    </cfRule>
    <cfRule type="containsText" dxfId="1046" priority="201" operator="containsText" text="Str">
      <formula>NOT(ISERROR(SEARCH("Str",W117)))</formula>
    </cfRule>
  </conditionalFormatting>
  <conditionalFormatting sqref="W122 W130 W138 W154 W162 W178 W186:W192">
    <cfRule type="containsText" dxfId="1045" priority="2051" operator="containsText" text="Str">
      <formula>NOT(ISERROR(SEARCH("Str",W122)))</formula>
    </cfRule>
    <cfRule type="containsText" dxfId="1044" priority="2052" operator="containsText" text="Ere">
      <formula>NOT(ISERROR(SEARCH("Ere",W122)))</formula>
    </cfRule>
    <cfRule type="containsText" dxfId="1043" priority="2053" operator="containsText" text="Ear">
      <formula>NOT(ISERROR(SEARCH("Ear",W122)))</formula>
    </cfRule>
    <cfRule type="containsText" dxfId="1042" priority="2054" operator="containsText" text="fnd">
      <formula>NOT(ISERROR(SEARCH("fnd",W122)))</formula>
    </cfRule>
  </conditionalFormatting>
  <conditionalFormatting sqref="W125">
    <cfRule type="containsText" dxfId="1041" priority="266" operator="containsText" text="Ere">
      <formula>NOT(ISERROR(SEARCH("Ere",W125)))</formula>
    </cfRule>
    <cfRule type="containsText" dxfId="1040" priority="265" operator="containsText" text="Str">
      <formula>NOT(ISERROR(SEARCH("Str",W125)))</formula>
    </cfRule>
    <cfRule type="containsText" dxfId="1039" priority="267" operator="containsText" text="Ear">
      <formula>NOT(ISERROR(SEARCH("Ear",W125)))</formula>
    </cfRule>
    <cfRule type="containsText" dxfId="1038" priority="268" operator="containsText" text="fnd">
      <formula>NOT(ISERROR(SEARCH("fnd",W125)))</formula>
    </cfRule>
  </conditionalFormatting>
  <conditionalFormatting sqref="W133">
    <cfRule type="containsText" dxfId="1037" priority="1303" operator="containsText" text="Str">
      <formula>NOT(ISERROR(SEARCH("Str",W133)))</formula>
    </cfRule>
    <cfRule type="containsText" dxfId="1036" priority="1304" operator="containsText" text="Ere">
      <formula>NOT(ISERROR(SEARCH("Ere",W133)))</formula>
    </cfRule>
    <cfRule type="containsText" dxfId="1035" priority="1305" operator="containsText" text="Ear">
      <formula>NOT(ISERROR(SEARCH("Ear",W133)))</formula>
    </cfRule>
    <cfRule type="containsText" dxfId="1034" priority="1306" operator="containsText" text="fnd">
      <formula>NOT(ISERROR(SEARCH("fnd",W133)))</formula>
    </cfRule>
  </conditionalFormatting>
  <conditionalFormatting sqref="W141">
    <cfRule type="containsText" dxfId="1033" priority="1212" operator="containsText" text="Ere">
      <formula>NOT(ISERROR(SEARCH("Ere",W141)))</formula>
    </cfRule>
    <cfRule type="containsText" dxfId="1032" priority="1213" operator="containsText" text="Ear">
      <formula>NOT(ISERROR(SEARCH("Ear",W141)))</formula>
    </cfRule>
    <cfRule type="containsText" dxfId="1031" priority="1211" operator="containsText" text="Str">
      <formula>NOT(ISERROR(SEARCH("Str",W141)))</formula>
    </cfRule>
    <cfRule type="containsText" dxfId="1030" priority="1214" operator="containsText" text="fnd">
      <formula>NOT(ISERROR(SEARCH("fnd",W141)))</formula>
    </cfRule>
  </conditionalFormatting>
  <conditionalFormatting sqref="W149">
    <cfRule type="containsText" dxfId="1029" priority="49" operator="containsText" text="Str">
      <formula>NOT(ISERROR(SEARCH("Str",W149)))</formula>
    </cfRule>
    <cfRule type="containsText" dxfId="1028" priority="51" operator="containsText" text="Ear">
      <formula>NOT(ISERROR(SEARCH("Ear",W149)))</formula>
    </cfRule>
    <cfRule type="containsText" dxfId="1027" priority="50" operator="containsText" text="Ere">
      <formula>NOT(ISERROR(SEARCH("Ere",W149)))</formula>
    </cfRule>
    <cfRule type="containsText" dxfId="1026" priority="52" operator="containsText" text="fnd">
      <formula>NOT(ISERROR(SEARCH("fnd",W149)))</formula>
    </cfRule>
  </conditionalFormatting>
  <conditionalFormatting sqref="W157">
    <cfRule type="containsText" dxfId="1025" priority="580" operator="containsText" text="Ere">
      <formula>NOT(ISERROR(SEARCH("Ere",W157)))</formula>
    </cfRule>
    <cfRule type="containsText" dxfId="1024" priority="579" operator="containsText" text="Str">
      <formula>NOT(ISERROR(SEARCH("Str",W157)))</formula>
    </cfRule>
    <cfRule type="containsText" dxfId="1023" priority="581" operator="containsText" text="Ear">
      <formula>NOT(ISERROR(SEARCH("Ear",W157)))</formula>
    </cfRule>
    <cfRule type="containsText" dxfId="1022" priority="582" operator="containsText" text="fnd">
      <formula>NOT(ISERROR(SEARCH("fnd",W157)))</formula>
    </cfRule>
  </conditionalFormatting>
  <conditionalFormatting sqref="W165">
    <cfRule type="containsText" dxfId="1021" priority="245" operator="containsText" text="Str">
      <formula>NOT(ISERROR(SEARCH("Str",W165)))</formula>
    </cfRule>
    <cfRule type="containsText" dxfId="1020" priority="246" operator="containsText" text="Ere">
      <formula>NOT(ISERROR(SEARCH("Ere",W165)))</formula>
    </cfRule>
    <cfRule type="containsText" dxfId="1019" priority="247" operator="containsText" text="Ear">
      <formula>NOT(ISERROR(SEARCH("Ear",W165)))</formula>
    </cfRule>
    <cfRule type="containsText" dxfId="1018" priority="248" operator="containsText" text="fnd">
      <formula>NOT(ISERROR(SEARCH("fnd",W165)))</formula>
    </cfRule>
  </conditionalFormatting>
  <conditionalFormatting sqref="W173">
    <cfRule type="containsText" dxfId="1017" priority="217" operator="containsText" text="Str">
      <formula>NOT(ISERROR(SEARCH("Str",W173)))</formula>
    </cfRule>
    <cfRule type="containsText" dxfId="1016" priority="218" operator="containsText" text="Ere">
      <formula>NOT(ISERROR(SEARCH("Ere",W173)))</formula>
    </cfRule>
    <cfRule type="containsText" dxfId="1015" priority="219" operator="containsText" text="Ear">
      <formula>NOT(ISERROR(SEARCH("Ear",W173)))</formula>
    </cfRule>
    <cfRule type="containsText" dxfId="1014" priority="220" operator="containsText" text="fnd">
      <formula>NOT(ISERROR(SEARCH("fnd",W173)))</formula>
    </cfRule>
  </conditionalFormatting>
  <conditionalFormatting sqref="W181">
    <cfRule type="containsText" dxfId="1013" priority="855" operator="containsText" text="Str">
      <formula>NOT(ISERROR(SEARCH("Str",W181)))</formula>
    </cfRule>
    <cfRule type="containsText" dxfId="1012" priority="856" operator="containsText" text="Ere">
      <formula>NOT(ISERROR(SEARCH("Ere",W181)))</formula>
    </cfRule>
    <cfRule type="containsText" dxfId="1011" priority="857" operator="containsText" text="Ear">
      <formula>NOT(ISERROR(SEARCH("Ear",W181)))</formula>
    </cfRule>
    <cfRule type="containsText" dxfId="1010" priority="858" operator="containsText" text="fnd">
      <formula>NOT(ISERROR(SEARCH("fnd",W181)))</formula>
    </cfRule>
  </conditionalFormatting>
  <conditionalFormatting sqref="W38:X38">
    <cfRule type="containsText" dxfId="1009" priority="161" operator="containsText" text="Str">
      <formula>NOT(ISERROR(SEARCH("Str",W38)))</formula>
    </cfRule>
    <cfRule type="containsText" dxfId="1008" priority="162" operator="containsText" text="Ere">
      <formula>NOT(ISERROR(SEARCH("Ere",W38)))</formula>
    </cfRule>
    <cfRule type="containsText" dxfId="1007" priority="163" operator="containsText" text="Ear">
      <formula>NOT(ISERROR(SEARCH("Ear",W38)))</formula>
    </cfRule>
    <cfRule type="containsText" dxfId="1006" priority="164" operator="containsText" text="fnd">
      <formula>NOT(ISERROR(SEARCH("fnd",W38)))</formula>
    </cfRule>
  </conditionalFormatting>
  <conditionalFormatting sqref="W46:X46">
    <cfRule type="containsText" dxfId="1005" priority="1423" operator="containsText" text="Str">
      <formula>NOT(ISERROR(SEARCH("Str",W46)))</formula>
    </cfRule>
    <cfRule type="containsText" dxfId="1004" priority="1426" operator="containsText" text="fnd">
      <formula>NOT(ISERROR(SEARCH("fnd",W46)))</formula>
    </cfRule>
    <cfRule type="containsText" dxfId="1003" priority="1425" operator="containsText" text="Ear">
      <formula>NOT(ISERROR(SEARCH("Ear",W46)))</formula>
    </cfRule>
    <cfRule type="containsText" dxfId="1002" priority="1424" operator="containsText" text="Ere">
      <formula>NOT(ISERROR(SEARCH("Ere",W46)))</formula>
    </cfRule>
  </conditionalFormatting>
  <conditionalFormatting sqref="W54:X54">
    <cfRule type="containsText" dxfId="1001" priority="392" operator="containsText" text="fnd">
      <formula>NOT(ISERROR(SEARCH("fnd",W54)))</formula>
    </cfRule>
    <cfRule type="containsText" dxfId="1000" priority="391" operator="containsText" text="Ear">
      <formula>NOT(ISERROR(SEARCH("Ear",W54)))</formula>
    </cfRule>
    <cfRule type="containsText" dxfId="999" priority="390" operator="containsText" text="Ere">
      <formula>NOT(ISERROR(SEARCH("Ere",W54)))</formula>
    </cfRule>
    <cfRule type="containsText" dxfId="998" priority="389" operator="containsText" text="Str">
      <formula>NOT(ISERROR(SEARCH("Str",W54)))</formula>
    </cfRule>
  </conditionalFormatting>
  <conditionalFormatting sqref="W70:X70">
    <cfRule type="containsText" dxfId="997" priority="28" operator="containsText" text="fnd">
      <formula>NOT(ISERROR(SEARCH("fnd",W70)))</formula>
    </cfRule>
    <cfRule type="containsText" dxfId="996" priority="27" operator="containsText" text="Ear">
      <formula>NOT(ISERROR(SEARCH("Ear",W70)))</formula>
    </cfRule>
    <cfRule type="containsText" dxfId="995" priority="26" operator="containsText" text="Ere">
      <formula>NOT(ISERROR(SEARCH("Ere",W70)))</formula>
    </cfRule>
    <cfRule type="containsText" dxfId="994" priority="25" operator="containsText" text="Str">
      <formula>NOT(ISERROR(SEARCH("Str",W70)))</formula>
    </cfRule>
  </conditionalFormatting>
  <conditionalFormatting sqref="W77:X78">
    <cfRule type="containsText" dxfId="993" priority="2172" operator="containsText" text="Ere">
      <formula>NOT(ISERROR(SEARCH("Ere",W77)))</formula>
    </cfRule>
    <cfRule type="containsText" dxfId="992" priority="2171" operator="containsText" text="Str">
      <formula>NOT(ISERROR(SEARCH("Str",W77)))</formula>
    </cfRule>
    <cfRule type="containsText" dxfId="991" priority="2173" operator="containsText" text="Ear">
      <formula>NOT(ISERROR(SEARCH("Ear",W77)))</formula>
    </cfRule>
    <cfRule type="containsText" dxfId="990" priority="2174" operator="containsText" text="fnd">
      <formula>NOT(ISERROR(SEARCH("fnd",W77)))</formula>
    </cfRule>
  </conditionalFormatting>
  <conditionalFormatting sqref="W86:X86">
    <cfRule type="containsText" dxfId="989" priority="501" operator="containsText" text="Ear">
      <formula>NOT(ISERROR(SEARCH("Ear",W86)))</formula>
    </cfRule>
    <cfRule type="containsText" dxfId="988" priority="502" operator="containsText" text="fnd">
      <formula>NOT(ISERROR(SEARCH("fnd",W86)))</formula>
    </cfRule>
    <cfRule type="containsText" dxfId="987" priority="499" operator="containsText" text="Str">
      <formula>NOT(ISERROR(SEARCH("Str",W86)))</formula>
    </cfRule>
    <cfRule type="containsText" dxfId="986" priority="500" operator="containsText" text="Ere">
      <formula>NOT(ISERROR(SEARCH("Ere",W86)))</formula>
    </cfRule>
  </conditionalFormatting>
  <conditionalFormatting sqref="W94:X94">
    <cfRule type="containsText" dxfId="985" priority="1485" operator="containsText" text="Ear">
      <formula>NOT(ISERROR(SEARCH("Ear",W94)))</formula>
    </cfRule>
    <cfRule type="containsText" dxfId="984" priority="1483" operator="containsText" text="Str">
      <formula>NOT(ISERROR(SEARCH("Str",W94)))</formula>
    </cfRule>
    <cfRule type="containsText" dxfId="983" priority="1486" operator="containsText" text="fnd">
      <formula>NOT(ISERROR(SEARCH("fnd",W94)))</formula>
    </cfRule>
    <cfRule type="containsText" dxfId="982" priority="1484" operator="containsText" text="Ere">
      <formula>NOT(ISERROR(SEARCH("Ere",W94)))</formula>
    </cfRule>
  </conditionalFormatting>
  <conditionalFormatting sqref="W110:X110">
    <cfRule type="containsText" dxfId="981" priority="1764" operator="containsText" text="Ere">
      <formula>NOT(ISERROR(SEARCH("Ere",W110)))</formula>
    </cfRule>
    <cfRule type="containsText" dxfId="980" priority="1763" operator="containsText" text="Str">
      <formula>NOT(ISERROR(SEARCH("Str",W110)))</formula>
    </cfRule>
    <cfRule type="containsText" dxfId="979" priority="1765" operator="containsText" text="Ear">
      <formula>NOT(ISERROR(SEARCH("Ear",W110)))</formula>
    </cfRule>
    <cfRule type="containsText" dxfId="978" priority="1766" operator="containsText" text="fnd">
      <formula>NOT(ISERROR(SEARCH("fnd",W110)))</formula>
    </cfRule>
  </conditionalFormatting>
  <conditionalFormatting sqref="W118:X118">
    <cfRule type="containsText" dxfId="977" priority="205" operator="containsText" text="Str">
      <formula>NOT(ISERROR(SEARCH("Str",W118)))</formula>
    </cfRule>
    <cfRule type="containsText" dxfId="976" priority="206" operator="containsText" text="Ere">
      <formula>NOT(ISERROR(SEARCH("Ere",W118)))</formula>
    </cfRule>
    <cfRule type="containsText" dxfId="975" priority="207" operator="containsText" text="Ear">
      <formula>NOT(ISERROR(SEARCH("Ear",W118)))</formula>
    </cfRule>
    <cfRule type="containsText" dxfId="974" priority="208" operator="containsText" text="fnd">
      <formula>NOT(ISERROR(SEARCH("fnd",W118)))</formula>
    </cfRule>
  </conditionalFormatting>
  <conditionalFormatting sqref="W134:X134">
    <cfRule type="containsText" dxfId="973" priority="1307" operator="containsText" text="Str">
      <formula>NOT(ISERROR(SEARCH("Str",W134)))</formula>
    </cfRule>
    <cfRule type="containsText" dxfId="972" priority="1310" operator="containsText" text="fnd">
      <formula>NOT(ISERROR(SEARCH("fnd",W134)))</formula>
    </cfRule>
    <cfRule type="containsText" dxfId="971" priority="1309" operator="containsText" text="Ear">
      <formula>NOT(ISERROR(SEARCH("Ear",W134)))</formula>
    </cfRule>
    <cfRule type="containsText" dxfId="970" priority="1308" operator="containsText" text="Ere">
      <formula>NOT(ISERROR(SEARCH("Ere",W134)))</formula>
    </cfRule>
  </conditionalFormatting>
  <conditionalFormatting sqref="W142:X142">
    <cfRule type="containsText" dxfId="969" priority="1218" operator="containsText" text="fnd">
      <formula>NOT(ISERROR(SEARCH("fnd",W142)))</formula>
    </cfRule>
    <cfRule type="containsText" dxfId="968" priority="1217" operator="containsText" text="Ear">
      <formula>NOT(ISERROR(SEARCH("Ear",W142)))</formula>
    </cfRule>
    <cfRule type="containsText" dxfId="967" priority="1216" operator="containsText" text="Ere">
      <formula>NOT(ISERROR(SEARCH("Ere",W142)))</formula>
    </cfRule>
    <cfRule type="containsText" dxfId="966" priority="1215" operator="containsText" text="Str">
      <formula>NOT(ISERROR(SEARCH("Str",W142)))</formula>
    </cfRule>
  </conditionalFormatting>
  <conditionalFormatting sqref="W150:X150">
    <cfRule type="containsText" dxfId="965" priority="53" operator="containsText" text="Str">
      <formula>NOT(ISERROR(SEARCH("Str",W150)))</formula>
    </cfRule>
    <cfRule type="containsText" dxfId="964" priority="56" operator="containsText" text="fnd">
      <formula>NOT(ISERROR(SEARCH("fnd",W150)))</formula>
    </cfRule>
    <cfRule type="containsText" dxfId="963" priority="55" operator="containsText" text="Ear">
      <formula>NOT(ISERROR(SEARCH("Ear",W150)))</formula>
    </cfRule>
    <cfRule type="containsText" dxfId="962" priority="54" operator="containsText" text="Ere">
      <formula>NOT(ISERROR(SEARCH("Ere",W150)))</formula>
    </cfRule>
  </conditionalFormatting>
  <conditionalFormatting sqref="W174:X174">
    <cfRule type="containsText" dxfId="961" priority="223" operator="containsText" text="Ear">
      <formula>NOT(ISERROR(SEARCH("Ear",W174)))</formula>
    </cfRule>
    <cfRule type="containsText" dxfId="960" priority="224" operator="containsText" text="fnd">
      <formula>NOT(ISERROR(SEARCH("fnd",W174)))</formula>
    </cfRule>
    <cfRule type="containsText" dxfId="959" priority="221" operator="containsText" text="Str">
      <formula>NOT(ISERROR(SEARCH("Str",W174)))</formula>
    </cfRule>
    <cfRule type="containsText" dxfId="958" priority="222" operator="containsText" text="Ere">
      <formula>NOT(ISERROR(SEARCH("Ere",W174)))</formula>
    </cfRule>
  </conditionalFormatting>
  <conditionalFormatting sqref="W182:X182">
    <cfRule type="containsText" dxfId="957" priority="859" operator="containsText" text="Str">
      <formula>NOT(ISERROR(SEARCH("Str",W182)))</formula>
    </cfRule>
    <cfRule type="containsText" dxfId="956" priority="860" operator="containsText" text="Ere">
      <formula>NOT(ISERROR(SEARCH("Ere",W182)))</formula>
    </cfRule>
    <cfRule type="containsText" dxfId="955" priority="862" operator="containsText" text="fnd">
      <formula>NOT(ISERROR(SEARCH("fnd",W182)))</formula>
    </cfRule>
    <cfRule type="containsText" dxfId="954" priority="861" operator="containsText" text="Ear">
      <formula>NOT(ISERROR(SEARCH("Ear",W182)))</formula>
    </cfRule>
  </conditionalFormatting>
  <conditionalFormatting sqref="X14">
    <cfRule type="containsText" dxfId="953" priority="1726" operator="containsText" text="fnd">
      <formula>NOT(ISERROR(SEARCH("fnd",X14)))</formula>
    </cfRule>
    <cfRule type="containsText" dxfId="952" priority="1723" operator="containsText" text="Str">
      <formula>NOT(ISERROR(SEARCH("Str",X14)))</formula>
    </cfRule>
    <cfRule type="containsText" dxfId="951" priority="1725" operator="containsText" text="Ear">
      <formula>NOT(ISERROR(SEARCH("Ear",X14)))</formula>
    </cfRule>
    <cfRule type="containsText" dxfId="950" priority="1724" operator="containsText" text="Ere">
      <formula>NOT(ISERROR(SEARCH("Ere",X14)))</formula>
    </cfRule>
  </conditionalFormatting>
  <conditionalFormatting sqref="X22">
    <cfRule type="containsText" dxfId="949" priority="1792" operator="containsText" text="Ere">
      <formula>NOT(ISERROR(SEARCH("Ere",X22)))</formula>
    </cfRule>
    <cfRule type="containsText" dxfId="948" priority="1793" operator="containsText" text="Ear">
      <formula>NOT(ISERROR(SEARCH("Ear",X22)))</formula>
    </cfRule>
    <cfRule type="containsText" dxfId="947" priority="1794" operator="containsText" text="fnd">
      <formula>NOT(ISERROR(SEARCH("fnd",X22)))</formula>
    </cfRule>
    <cfRule type="containsText" dxfId="946" priority="1791" operator="containsText" text="Str">
      <formula>NOT(ISERROR(SEARCH("Str",X22)))</formula>
    </cfRule>
  </conditionalFormatting>
  <conditionalFormatting sqref="Z5">
    <cfRule type="containsText" dxfId="945" priority="1535" operator="containsText" text="Str">
      <formula>NOT(ISERROR(SEARCH("Str",Z5)))</formula>
    </cfRule>
    <cfRule type="containsText" dxfId="944" priority="1536" operator="containsText" text="Ere">
      <formula>NOT(ISERROR(SEARCH("Ere",Z5)))</formula>
    </cfRule>
    <cfRule type="containsText" dxfId="943" priority="1537" operator="containsText" text="Ear">
      <formula>NOT(ISERROR(SEARCH("Ear",Z5)))</formula>
    </cfRule>
    <cfRule type="containsText" dxfId="942" priority="1538" operator="containsText" text="fnd">
      <formula>NOT(ISERROR(SEARCH("fnd",Z5)))</formula>
    </cfRule>
  </conditionalFormatting>
  <conditionalFormatting sqref="Z13:Z14">
    <cfRule type="containsText" dxfId="941" priority="181" operator="containsText" text="Str">
      <formula>NOT(ISERROR(SEARCH("Str",Z13)))</formula>
    </cfRule>
    <cfRule type="containsText" dxfId="940" priority="184" operator="containsText" text="fnd">
      <formula>NOT(ISERROR(SEARCH("fnd",Z13)))</formula>
    </cfRule>
    <cfRule type="containsText" dxfId="939" priority="183" operator="containsText" text="Ear">
      <formula>NOT(ISERROR(SEARCH("Ear",Z13)))</formula>
    </cfRule>
    <cfRule type="containsText" dxfId="938" priority="182" operator="containsText" text="Ere">
      <formula>NOT(ISERROR(SEARCH("Ere",Z13)))</formula>
    </cfRule>
  </conditionalFormatting>
  <conditionalFormatting sqref="Z21:Z22">
    <cfRule type="containsText" dxfId="937" priority="1943" operator="containsText" text="Str">
      <formula>NOT(ISERROR(SEARCH("Str",Z21)))</formula>
    </cfRule>
    <cfRule type="containsText" dxfId="936" priority="1944" operator="containsText" text="Ere">
      <formula>NOT(ISERROR(SEARCH("Ere",Z21)))</formula>
    </cfRule>
    <cfRule type="containsText" dxfId="935" priority="1945" operator="containsText" text="Ear">
      <formula>NOT(ISERROR(SEARCH("Ear",Z21)))</formula>
    </cfRule>
    <cfRule type="containsText" dxfId="934" priority="1946" operator="containsText" text="fnd">
      <formula>NOT(ISERROR(SEARCH("fnd",Z21)))</formula>
    </cfRule>
  </conditionalFormatting>
  <conditionalFormatting sqref="Z29">
    <cfRule type="containsText" dxfId="933" priority="1893" operator="containsText" text="Ear">
      <formula>NOT(ISERROR(SEARCH("Ear",Z29)))</formula>
    </cfRule>
    <cfRule type="containsText" dxfId="932" priority="1894" operator="containsText" text="fnd">
      <formula>NOT(ISERROR(SEARCH("fnd",Z29)))</formula>
    </cfRule>
    <cfRule type="containsText" dxfId="931" priority="1892" operator="containsText" text="Ere">
      <formula>NOT(ISERROR(SEARCH("Ere",Z29)))</formula>
    </cfRule>
    <cfRule type="containsText" dxfId="930" priority="1891" operator="containsText" text="Str">
      <formula>NOT(ISERROR(SEARCH("Str",Z29)))</formula>
    </cfRule>
  </conditionalFormatting>
  <conditionalFormatting sqref="Z37">
    <cfRule type="containsText" dxfId="929" priority="1471" operator="containsText" text="Str">
      <formula>NOT(ISERROR(SEARCH("Str",Z37)))</formula>
    </cfRule>
    <cfRule type="containsText" dxfId="928" priority="1472" operator="containsText" text="Ere">
      <formula>NOT(ISERROR(SEARCH("Ere",Z37)))</formula>
    </cfRule>
    <cfRule type="containsText" dxfId="927" priority="1473" operator="containsText" text="Ear">
      <formula>NOT(ISERROR(SEARCH("Ear",Z37)))</formula>
    </cfRule>
    <cfRule type="containsText" dxfId="926" priority="1474" operator="containsText" text="fnd">
      <formula>NOT(ISERROR(SEARCH("fnd",Z37)))</formula>
    </cfRule>
  </conditionalFormatting>
  <conditionalFormatting sqref="Z45">
    <cfRule type="containsText" dxfId="925" priority="2105" operator="containsText" text="Ear">
      <formula>NOT(ISERROR(SEARCH("Ear",Z45)))</formula>
    </cfRule>
    <cfRule type="containsText" dxfId="924" priority="2103" operator="containsText" text="Str">
      <formula>NOT(ISERROR(SEARCH("Str",Z45)))</formula>
    </cfRule>
    <cfRule type="containsText" dxfId="923" priority="2104" operator="containsText" text="Ere">
      <formula>NOT(ISERROR(SEARCH("Ere",Z45)))</formula>
    </cfRule>
    <cfRule type="containsText" dxfId="922" priority="2106" operator="containsText" text="fnd">
      <formula>NOT(ISERROR(SEARCH("fnd",Z45)))</formula>
    </cfRule>
  </conditionalFormatting>
  <conditionalFormatting sqref="Z53">
    <cfRule type="containsText" dxfId="921" priority="287" operator="containsText" text="Ear">
      <formula>NOT(ISERROR(SEARCH("Ear",Z53)))</formula>
    </cfRule>
    <cfRule type="containsText" dxfId="920" priority="286" operator="containsText" text="Ere">
      <formula>NOT(ISERROR(SEARCH("Ere",Z53)))</formula>
    </cfRule>
    <cfRule type="containsText" dxfId="919" priority="285" operator="containsText" text="Str">
      <formula>NOT(ISERROR(SEARCH("Str",Z53)))</formula>
    </cfRule>
    <cfRule type="containsText" dxfId="918" priority="288" operator="containsText" text="fnd">
      <formula>NOT(ISERROR(SEARCH("fnd",Z53)))</formula>
    </cfRule>
  </conditionalFormatting>
  <conditionalFormatting sqref="Z61">
    <cfRule type="containsText" dxfId="917" priority="2079" operator="containsText" text="Str">
      <formula>NOT(ISERROR(SEARCH("Str",Z61)))</formula>
    </cfRule>
    <cfRule type="containsText" dxfId="916" priority="2080" operator="containsText" text="Ere">
      <formula>NOT(ISERROR(SEARCH("Ere",Z61)))</formula>
    </cfRule>
    <cfRule type="containsText" dxfId="915" priority="2081" operator="containsText" text="Ear">
      <formula>NOT(ISERROR(SEARCH("Ear",Z61)))</formula>
    </cfRule>
    <cfRule type="containsText" dxfId="914" priority="2082" operator="containsText" text="fnd">
      <formula>NOT(ISERROR(SEARCH("fnd",Z61)))</formula>
    </cfRule>
  </conditionalFormatting>
  <conditionalFormatting sqref="Z69">
    <cfRule type="containsText" dxfId="913" priority="613" operator="containsText" text="Ear">
      <formula>NOT(ISERROR(SEARCH("Ear",Z69)))</formula>
    </cfRule>
    <cfRule type="containsText" dxfId="912" priority="612" operator="containsText" text="Ere">
      <formula>NOT(ISERROR(SEARCH("Ere",Z69)))</formula>
    </cfRule>
    <cfRule type="containsText" dxfId="911" priority="611" operator="containsText" text="Str">
      <formula>NOT(ISERROR(SEARCH("Str",Z69)))</formula>
    </cfRule>
    <cfRule type="containsText" dxfId="910" priority="614" operator="containsText" text="fnd">
      <formula>NOT(ISERROR(SEARCH("fnd",Z69)))</formula>
    </cfRule>
  </conditionalFormatting>
  <conditionalFormatting sqref="Z85">
    <cfRule type="containsText" dxfId="909" priority="512" operator="containsText" text="Ere">
      <formula>NOT(ISERROR(SEARCH("Ere",Z85)))</formula>
    </cfRule>
    <cfRule type="containsText" dxfId="908" priority="511" operator="containsText" text="Str">
      <formula>NOT(ISERROR(SEARCH("Str",Z85)))</formula>
    </cfRule>
    <cfRule type="containsText" dxfId="907" priority="514" operator="containsText" text="fnd">
      <formula>NOT(ISERROR(SEARCH("fnd",Z85)))</formula>
    </cfRule>
    <cfRule type="containsText" dxfId="906" priority="513" operator="containsText" text="Ear">
      <formula>NOT(ISERROR(SEARCH("Ear",Z85)))</formula>
    </cfRule>
  </conditionalFormatting>
  <conditionalFormatting sqref="Z93">
    <cfRule type="containsText" dxfId="905" priority="1909" operator="containsText" text="Ear">
      <formula>NOT(ISERROR(SEARCH("Ear",Z93)))</formula>
    </cfRule>
    <cfRule type="containsText" dxfId="904" priority="1910" operator="containsText" text="fnd">
      <formula>NOT(ISERROR(SEARCH("fnd",Z93)))</formula>
    </cfRule>
    <cfRule type="containsText" dxfId="903" priority="1908" operator="containsText" text="Ere">
      <formula>NOT(ISERROR(SEARCH("Ere",Z93)))</formula>
    </cfRule>
    <cfRule type="containsText" dxfId="902" priority="1907" operator="containsText" text="Str">
      <formula>NOT(ISERROR(SEARCH("Str",Z93)))</formula>
    </cfRule>
  </conditionalFormatting>
  <conditionalFormatting sqref="Z101">
    <cfRule type="containsText" dxfId="901" priority="2219" operator="containsText" text="Str">
      <formula>NOT(ISERROR(SEARCH("Str",Z101)))</formula>
    </cfRule>
    <cfRule type="containsText" dxfId="900" priority="2222" operator="containsText" text="fnd">
      <formula>NOT(ISERROR(SEARCH("fnd",Z101)))</formula>
    </cfRule>
    <cfRule type="containsText" dxfId="899" priority="2221" operator="containsText" text="Ear">
      <formula>NOT(ISERROR(SEARCH("Ear",Z101)))</formula>
    </cfRule>
    <cfRule type="containsText" dxfId="898" priority="2220" operator="containsText" text="Ere">
      <formula>NOT(ISERROR(SEARCH("Ere",Z101)))</formula>
    </cfRule>
  </conditionalFormatting>
  <conditionalFormatting sqref="Z109">
    <cfRule type="containsText" dxfId="897" priority="1815" operator="containsText" text="Str">
      <formula>NOT(ISERROR(SEARCH("Str",Z109)))</formula>
    </cfRule>
    <cfRule type="containsText" dxfId="896" priority="1816" operator="containsText" text="Ere">
      <formula>NOT(ISERROR(SEARCH("Ere",Z109)))</formula>
    </cfRule>
    <cfRule type="containsText" dxfId="895" priority="1817" operator="containsText" text="Ear">
      <formula>NOT(ISERROR(SEARCH("Ear",Z109)))</formula>
    </cfRule>
    <cfRule type="containsText" dxfId="894" priority="1818" operator="containsText" text="fnd">
      <formula>NOT(ISERROR(SEARCH("fnd",Z109)))</formula>
    </cfRule>
  </conditionalFormatting>
  <conditionalFormatting sqref="Z117">
    <cfRule type="containsText" dxfId="893" priority="541" operator="containsText" text="Ear">
      <formula>NOT(ISERROR(SEARCH("Ear",Z117)))</formula>
    </cfRule>
    <cfRule type="containsText" dxfId="892" priority="540" operator="containsText" text="Ere">
      <formula>NOT(ISERROR(SEARCH("Ere",Z117)))</formula>
    </cfRule>
    <cfRule type="containsText" dxfId="891" priority="539" operator="containsText" text="Str">
      <formula>NOT(ISERROR(SEARCH("Str",Z117)))</formula>
    </cfRule>
    <cfRule type="containsText" dxfId="890" priority="542" operator="containsText" text="fnd">
      <formula>NOT(ISERROR(SEARCH("fnd",Z117)))</formula>
    </cfRule>
  </conditionalFormatting>
  <conditionalFormatting sqref="Z122 Z130 Z170 Z178 Z186:Z192">
    <cfRule type="containsText" dxfId="889" priority="2045" operator="containsText" text="Ear">
      <formula>NOT(ISERROR(SEARCH("Ear",Z122)))</formula>
    </cfRule>
    <cfRule type="containsText" dxfId="888" priority="2043" operator="containsText" text="Str">
      <formula>NOT(ISERROR(SEARCH("Str",Z122)))</formula>
    </cfRule>
    <cfRule type="containsText" dxfId="887" priority="2046" operator="containsText" text="fnd">
      <formula>NOT(ISERROR(SEARCH("fnd",Z122)))</formula>
    </cfRule>
    <cfRule type="containsText" dxfId="886" priority="2044" operator="containsText" text="Ere">
      <formula>NOT(ISERROR(SEARCH("Ere",Z122)))</formula>
    </cfRule>
  </conditionalFormatting>
  <conditionalFormatting sqref="Z125">
    <cfRule type="containsText" dxfId="885" priority="324" operator="containsText" text="fnd">
      <formula>NOT(ISERROR(SEARCH("fnd",Z125)))</formula>
    </cfRule>
    <cfRule type="containsText" dxfId="884" priority="322" operator="containsText" text="Ere">
      <formula>NOT(ISERROR(SEARCH("Ere",Z125)))</formula>
    </cfRule>
    <cfRule type="containsText" dxfId="883" priority="321" operator="containsText" text="Str">
      <formula>NOT(ISERROR(SEARCH("Str",Z125)))</formula>
    </cfRule>
    <cfRule type="containsText" dxfId="882" priority="323" operator="containsText" text="Ear">
      <formula>NOT(ISERROR(SEARCH("Ear",Z125)))</formula>
    </cfRule>
  </conditionalFormatting>
  <conditionalFormatting sqref="Z133">
    <cfRule type="containsText" dxfId="881" priority="20" operator="containsText" text="fnd">
      <formula>NOT(ISERROR(SEARCH("fnd",Z133)))</formula>
    </cfRule>
    <cfRule type="containsText" dxfId="880" priority="19" operator="containsText" text="Ear">
      <formula>NOT(ISERROR(SEARCH("Ear",Z133)))</formula>
    </cfRule>
    <cfRule type="containsText" dxfId="879" priority="18" operator="containsText" text="Ere">
      <formula>NOT(ISERROR(SEARCH("Ere",Z133)))</formula>
    </cfRule>
    <cfRule type="containsText" dxfId="878" priority="17" operator="containsText" text="Str">
      <formula>NOT(ISERROR(SEARCH("Str",Z133)))</formula>
    </cfRule>
  </conditionalFormatting>
  <conditionalFormatting sqref="Z141">
    <cfRule type="containsText" dxfId="877" priority="583" operator="containsText" text="Str">
      <formula>NOT(ISERROR(SEARCH("Str",Z141)))</formula>
    </cfRule>
    <cfRule type="containsText" dxfId="876" priority="585" operator="containsText" text="Ear">
      <formula>NOT(ISERROR(SEARCH("Ear",Z141)))</formula>
    </cfRule>
    <cfRule type="containsText" dxfId="875" priority="584" operator="containsText" text="Ere">
      <formula>NOT(ISERROR(SEARCH("Ere",Z141)))</formula>
    </cfRule>
    <cfRule type="containsText" dxfId="874" priority="586" operator="containsText" text="fnd">
      <formula>NOT(ISERROR(SEARCH("fnd",Z141)))</formula>
    </cfRule>
  </conditionalFormatting>
  <conditionalFormatting sqref="Z149">
    <cfRule type="containsText" dxfId="873" priority="195" operator="containsText" text="Ear">
      <formula>NOT(ISERROR(SEARCH("Ear",Z149)))</formula>
    </cfRule>
    <cfRule type="containsText" dxfId="872" priority="196" operator="containsText" text="fnd">
      <formula>NOT(ISERROR(SEARCH("fnd",Z149)))</formula>
    </cfRule>
    <cfRule type="containsText" dxfId="871" priority="193" operator="containsText" text="Str">
      <formula>NOT(ISERROR(SEARCH("Str",Z149)))</formula>
    </cfRule>
    <cfRule type="containsText" dxfId="870" priority="194" operator="containsText" text="Ere">
      <formula>NOT(ISERROR(SEARCH("Ere",Z149)))</formula>
    </cfRule>
  </conditionalFormatting>
  <conditionalFormatting sqref="Z157">
    <cfRule type="containsText" dxfId="869" priority="1087" operator="containsText" text="Str">
      <formula>NOT(ISERROR(SEARCH("Str",Z157)))</formula>
    </cfRule>
    <cfRule type="containsText" dxfId="868" priority="1088" operator="containsText" text="Ere">
      <formula>NOT(ISERROR(SEARCH("Ere",Z157)))</formula>
    </cfRule>
    <cfRule type="containsText" dxfId="867" priority="1089" operator="containsText" text="Ear">
      <formula>NOT(ISERROR(SEARCH("Ear",Z157)))</formula>
    </cfRule>
    <cfRule type="containsText" dxfId="866" priority="1090" operator="containsText" text="fnd">
      <formula>NOT(ISERROR(SEARCH("fnd",Z157)))</formula>
    </cfRule>
  </conditionalFormatting>
  <conditionalFormatting sqref="Z165">
    <cfRule type="containsText" dxfId="865" priority="228" operator="containsText" text="fnd">
      <formula>NOT(ISERROR(SEARCH("fnd",Z165)))</formula>
    </cfRule>
    <cfRule type="containsText" dxfId="864" priority="227" operator="containsText" text="Ear">
      <formula>NOT(ISERROR(SEARCH("Ear",Z165)))</formula>
    </cfRule>
    <cfRule type="containsText" dxfId="863" priority="226" operator="containsText" text="Ere">
      <formula>NOT(ISERROR(SEARCH("Ere",Z165)))</formula>
    </cfRule>
    <cfRule type="containsText" dxfId="862" priority="225" operator="containsText" text="Str">
      <formula>NOT(ISERROR(SEARCH("Str",Z165)))</formula>
    </cfRule>
  </conditionalFormatting>
  <conditionalFormatting sqref="Z173">
    <cfRule type="containsText" dxfId="861" priority="965" operator="containsText" text="Ear">
      <formula>NOT(ISERROR(SEARCH("Ear",Z173)))</formula>
    </cfRule>
    <cfRule type="containsText" dxfId="860" priority="966" operator="containsText" text="fnd">
      <formula>NOT(ISERROR(SEARCH("fnd",Z173)))</formula>
    </cfRule>
    <cfRule type="containsText" dxfId="859" priority="964" operator="containsText" text="Ere">
      <formula>NOT(ISERROR(SEARCH("Ere",Z173)))</formula>
    </cfRule>
    <cfRule type="containsText" dxfId="858" priority="963" operator="containsText" text="Str">
      <formula>NOT(ISERROR(SEARCH("Str",Z173)))</formula>
    </cfRule>
  </conditionalFormatting>
  <conditionalFormatting sqref="Z181">
    <cfRule type="containsText" dxfId="857" priority="895" operator="containsText" text="Str">
      <formula>NOT(ISERROR(SEARCH("Str",Z181)))</formula>
    </cfRule>
    <cfRule type="containsText" dxfId="856" priority="898" operator="containsText" text="fnd">
      <formula>NOT(ISERROR(SEARCH("fnd",Z181)))</formula>
    </cfRule>
    <cfRule type="containsText" dxfId="855" priority="897" operator="containsText" text="Ear">
      <formula>NOT(ISERROR(SEARCH("Ear",Z181)))</formula>
    </cfRule>
    <cfRule type="containsText" dxfId="854" priority="896" operator="containsText" text="Ere">
      <formula>NOT(ISERROR(SEARCH("Ere",Z181)))</formula>
    </cfRule>
  </conditionalFormatting>
  <conditionalFormatting sqref="Z30:AA30">
    <cfRule type="containsText" dxfId="853" priority="1895" operator="containsText" text="Str">
      <formula>NOT(ISERROR(SEARCH("Str",Z30)))</formula>
    </cfRule>
    <cfRule type="containsText" dxfId="852" priority="1898" operator="containsText" text="fnd">
      <formula>NOT(ISERROR(SEARCH("fnd",Z30)))</formula>
    </cfRule>
    <cfRule type="containsText" dxfId="851" priority="1897" operator="containsText" text="Ear">
      <formula>NOT(ISERROR(SEARCH("Ear",Z30)))</formula>
    </cfRule>
    <cfRule type="containsText" dxfId="850" priority="1896" operator="containsText" text="Ere">
      <formula>NOT(ISERROR(SEARCH("Ere",Z30)))</formula>
    </cfRule>
  </conditionalFormatting>
  <conditionalFormatting sqref="Z38:AA38">
    <cfRule type="containsText" dxfId="849" priority="1478" operator="containsText" text="fnd">
      <formula>NOT(ISERROR(SEARCH("fnd",Z38)))</formula>
    </cfRule>
    <cfRule type="containsText" dxfId="848" priority="1475" operator="containsText" text="Str">
      <formula>NOT(ISERROR(SEARCH("Str",Z38)))</formula>
    </cfRule>
    <cfRule type="containsText" dxfId="847" priority="1476" operator="containsText" text="Ere">
      <formula>NOT(ISERROR(SEARCH("Ere",Z38)))</formula>
    </cfRule>
    <cfRule type="containsText" dxfId="846" priority="1477" operator="containsText" text="Ear">
      <formula>NOT(ISERROR(SEARCH("Ear",Z38)))</formula>
    </cfRule>
  </conditionalFormatting>
  <conditionalFormatting sqref="Z46:AA46">
    <cfRule type="containsText" dxfId="845" priority="2358" operator="containsText" text="fnd">
      <formula>NOT(ISERROR(SEARCH("fnd",Z46)))</formula>
    </cfRule>
    <cfRule type="containsText" dxfId="844" priority="2355" operator="containsText" text="Str">
      <formula>NOT(ISERROR(SEARCH("Str",Z46)))</formula>
    </cfRule>
    <cfRule type="containsText" dxfId="843" priority="2356" operator="containsText" text="Ere">
      <formula>NOT(ISERROR(SEARCH("Ere",Z46)))</formula>
    </cfRule>
    <cfRule type="containsText" dxfId="842" priority="2357" operator="containsText" text="Ear">
      <formula>NOT(ISERROR(SEARCH("Ear",Z46)))</formula>
    </cfRule>
  </conditionalFormatting>
  <conditionalFormatting sqref="Z54:AA54">
    <cfRule type="containsText" dxfId="841" priority="291" operator="containsText" text="Ear">
      <formula>NOT(ISERROR(SEARCH("Ear",Z54)))</formula>
    </cfRule>
    <cfRule type="containsText" dxfId="840" priority="290" operator="containsText" text="Ere">
      <formula>NOT(ISERROR(SEARCH("Ere",Z54)))</formula>
    </cfRule>
    <cfRule type="containsText" dxfId="839" priority="289" operator="containsText" text="Str">
      <formula>NOT(ISERROR(SEARCH("Str",Z54)))</formula>
    </cfRule>
    <cfRule type="containsText" dxfId="838" priority="292" operator="containsText" text="fnd">
      <formula>NOT(ISERROR(SEARCH("fnd",Z54)))</formula>
    </cfRule>
  </conditionalFormatting>
  <conditionalFormatting sqref="Z62:AA62 AM62">
    <cfRule type="containsText" dxfId="837" priority="2313" operator="containsText" text="Ear">
      <formula>NOT(ISERROR(SEARCH("Ear",Z62)))</formula>
    </cfRule>
    <cfRule type="containsText" dxfId="836" priority="2314" operator="containsText" text="fnd">
      <formula>NOT(ISERROR(SEARCH("fnd",Z62)))</formula>
    </cfRule>
    <cfRule type="containsText" dxfId="835" priority="2311" operator="containsText" text="Str">
      <formula>NOT(ISERROR(SEARCH("Str",Z62)))</formula>
    </cfRule>
    <cfRule type="containsText" dxfId="834" priority="2312" operator="containsText" text="Ere">
      <formula>NOT(ISERROR(SEARCH("Ere",Z62)))</formula>
    </cfRule>
  </conditionalFormatting>
  <conditionalFormatting sqref="Z77:AA78">
    <cfRule type="containsText" dxfId="833" priority="1950" operator="containsText" text="fnd">
      <formula>NOT(ISERROR(SEARCH("fnd",Z77)))</formula>
    </cfRule>
    <cfRule type="containsText" dxfId="832" priority="1947" operator="containsText" text="Str">
      <formula>NOT(ISERROR(SEARCH("Str",Z77)))</formula>
    </cfRule>
    <cfRule type="containsText" dxfId="831" priority="1948" operator="containsText" text="Ere">
      <formula>NOT(ISERROR(SEARCH("Ere",Z77)))</formula>
    </cfRule>
    <cfRule type="containsText" dxfId="830" priority="1949" operator="containsText" text="Ear">
      <formula>NOT(ISERROR(SEARCH("Ear",Z77)))</formula>
    </cfRule>
  </conditionalFormatting>
  <conditionalFormatting sqref="Z86:AA86">
    <cfRule type="containsText" dxfId="829" priority="516" operator="containsText" text="Ere">
      <formula>NOT(ISERROR(SEARCH("Ere",Z86)))</formula>
    </cfRule>
    <cfRule type="containsText" dxfId="828" priority="515" operator="containsText" text="Str">
      <formula>NOT(ISERROR(SEARCH("Str",Z86)))</formula>
    </cfRule>
    <cfRule type="containsText" dxfId="827" priority="518" operator="containsText" text="fnd">
      <formula>NOT(ISERROR(SEARCH("fnd",Z86)))</formula>
    </cfRule>
    <cfRule type="containsText" dxfId="826" priority="517" operator="containsText" text="Ear">
      <formula>NOT(ISERROR(SEARCH("Ear",Z86)))</formula>
    </cfRule>
  </conditionalFormatting>
  <conditionalFormatting sqref="Z94:AA94">
    <cfRule type="containsText" dxfId="825" priority="1914" operator="containsText" text="fnd">
      <formula>NOT(ISERROR(SEARCH("fnd",Z94)))</formula>
    </cfRule>
    <cfRule type="containsText" dxfId="824" priority="1913" operator="containsText" text="Ear">
      <formula>NOT(ISERROR(SEARCH("Ear",Z94)))</formula>
    </cfRule>
    <cfRule type="containsText" dxfId="823" priority="1912" operator="containsText" text="Ere">
      <formula>NOT(ISERROR(SEARCH("Ere",Z94)))</formula>
    </cfRule>
    <cfRule type="containsText" dxfId="822" priority="1911" operator="containsText" text="Str">
      <formula>NOT(ISERROR(SEARCH("Str",Z94)))</formula>
    </cfRule>
  </conditionalFormatting>
  <conditionalFormatting sqref="Z102:AA102">
    <cfRule type="containsText" dxfId="821" priority="2264" operator="containsText" text="Ere">
      <formula>NOT(ISERROR(SEARCH("Ere",Z102)))</formula>
    </cfRule>
    <cfRule type="containsText" dxfId="820" priority="2265" operator="containsText" text="Ear">
      <formula>NOT(ISERROR(SEARCH("Ear",Z102)))</formula>
    </cfRule>
    <cfRule type="containsText" dxfId="819" priority="2266" operator="containsText" text="fnd">
      <formula>NOT(ISERROR(SEARCH("fnd",Z102)))</formula>
    </cfRule>
    <cfRule type="containsText" dxfId="818" priority="2263" operator="containsText" text="Str">
      <formula>NOT(ISERROR(SEARCH("Str",Z102)))</formula>
    </cfRule>
  </conditionalFormatting>
  <conditionalFormatting sqref="Z110:AA110">
    <cfRule type="containsText" dxfId="817" priority="1821" operator="containsText" text="Ear">
      <formula>NOT(ISERROR(SEARCH("Ear",Z110)))</formula>
    </cfRule>
    <cfRule type="containsText" dxfId="816" priority="1820" operator="containsText" text="Ere">
      <formula>NOT(ISERROR(SEARCH("Ere",Z110)))</formula>
    </cfRule>
    <cfRule type="containsText" dxfId="815" priority="1819" operator="containsText" text="Str">
      <formula>NOT(ISERROR(SEARCH("Str",Z110)))</formula>
    </cfRule>
    <cfRule type="containsText" dxfId="814" priority="1822" operator="containsText" text="fnd">
      <formula>NOT(ISERROR(SEARCH("fnd",Z110)))</formula>
    </cfRule>
  </conditionalFormatting>
  <conditionalFormatting sqref="Z118:AA118">
    <cfRule type="containsText" dxfId="813" priority="545" operator="containsText" text="Ear">
      <formula>NOT(ISERROR(SEARCH("Ear",Z118)))</formula>
    </cfRule>
    <cfRule type="containsText" dxfId="812" priority="544" operator="containsText" text="Ere">
      <formula>NOT(ISERROR(SEARCH("Ere",Z118)))</formula>
    </cfRule>
    <cfRule type="containsText" dxfId="811" priority="543" operator="containsText" text="Str">
      <formula>NOT(ISERROR(SEARCH("Str",Z118)))</formula>
    </cfRule>
    <cfRule type="containsText" dxfId="810" priority="546" operator="containsText" text="fnd">
      <formula>NOT(ISERROR(SEARCH("fnd",Z118)))</formula>
    </cfRule>
  </conditionalFormatting>
  <conditionalFormatting sqref="Z126:AA126">
    <cfRule type="containsText" dxfId="809" priority="328" operator="containsText" text="fnd">
      <formula>NOT(ISERROR(SEARCH("fnd",Z126)))</formula>
    </cfRule>
    <cfRule type="containsText" dxfId="808" priority="325" operator="containsText" text="Str">
      <formula>NOT(ISERROR(SEARCH("Str",Z126)))</formula>
    </cfRule>
    <cfRule type="containsText" dxfId="807" priority="326" operator="containsText" text="Ere">
      <formula>NOT(ISERROR(SEARCH("Ere",Z126)))</formula>
    </cfRule>
    <cfRule type="containsText" dxfId="806" priority="327" operator="containsText" text="Ear">
      <formula>NOT(ISERROR(SEARCH("Ear",Z126)))</formula>
    </cfRule>
  </conditionalFormatting>
  <conditionalFormatting sqref="Z134:AA134">
    <cfRule type="containsText" dxfId="805" priority="21" operator="containsText" text="Str">
      <formula>NOT(ISERROR(SEARCH("Str",Z134)))</formula>
    </cfRule>
    <cfRule type="containsText" dxfId="804" priority="22" operator="containsText" text="Ere">
      <formula>NOT(ISERROR(SEARCH("Ere",Z134)))</formula>
    </cfRule>
    <cfRule type="containsText" dxfId="803" priority="23" operator="containsText" text="Ear">
      <formula>NOT(ISERROR(SEARCH("Ear",Z134)))</formula>
    </cfRule>
    <cfRule type="containsText" dxfId="802" priority="24" operator="containsText" text="fnd">
      <formula>NOT(ISERROR(SEARCH("fnd",Z134)))</formula>
    </cfRule>
  </conditionalFormatting>
  <conditionalFormatting sqref="Z150:AA150">
    <cfRule type="containsText" dxfId="801" priority="200" operator="containsText" text="fnd">
      <formula>NOT(ISERROR(SEARCH("fnd",Z150)))</formula>
    </cfRule>
    <cfRule type="containsText" dxfId="800" priority="197" operator="containsText" text="Str">
      <formula>NOT(ISERROR(SEARCH("Str",Z150)))</formula>
    </cfRule>
    <cfRule type="containsText" dxfId="799" priority="199" operator="containsText" text="Ear">
      <formula>NOT(ISERROR(SEARCH("Ear",Z150)))</formula>
    </cfRule>
    <cfRule type="containsText" dxfId="798" priority="198" operator="containsText" text="Ere">
      <formula>NOT(ISERROR(SEARCH("Ere",Z150)))</formula>
    </cfRule>
  </conditionalFormatting>
  <conditionalFormatting sqref="Z158:AA158">
    <cfRule type="containsText" dxfId="797" priority="1094" operator="containsText" text="fnd">
      <formula>NOT(ISERROR(SEARCH("fnd",Z158)))</formula>
    </cfRule>
    <cfRule type="containsText" dxfId="796" priority="1093" operator="containsText" text="Ear">
      <formula>NOT(ISERROR(SEARCH("Ear",Z158)))</formula>
    </cfRule>
    <cfRule type="containsText" dxfId="795" priority="1092" operator="containsText" text="Ere">
      <formula>NOT(ISERROR(SEARCH("Ere",Z158)))</formula>
    </cfRule>
    <cfRule type="containsText" dxfId="794" priority="1091" operator="containsText" text="Str">
      <formula>NOT(ISERROR(SEARCH("Str",Z158)))</formula>
    </cfRule>
  </conditionalFormatting>
  <conditionalFormatting sqref="Z166:AA166">
    <cfRule type="containsText" dxfId="793" priority="230" operator="containsText" text="Ere">
      <formula>NOT(ISERROR(SEARCH("Ere",Z166)))</formula>
    </cfRule>
    <cfRule type="containsText" dxfId="792" priority="232" operator="containsText" text="fnd">
      <formula>NOT(ISERROR(SEARCH("fnd",Z166)))</formula>
    </cfRule>
    <cfRule type="containsText" dxfId="791" priority="231" operator="containsText" text="Ear">
      <formula>NOT(ISERROR(SEARCH("Ear",Z166)))</formula>
    </cfRule>
    <cfRule type="containsText" dxfId="790" priority="229" operator="containsText" text="Str">
      <formula>NOT(ISERROR(SEARCH("Str",Z166)))</formula>
    </cfRule>
  </conditionalFormatting>
  <conditionalFormatting sqref="Z174:AA174">
    <cfRule type="containsText" dxfId="789" priority="970" operator="containsText" text="fnd">
      <formula>NOT(ISERROR(SEARCH("fnd",Z174)))</formula>
    </cfRule>
    <cfRule type="containsText" dxfId="788" priority="969" operator="containsText" text="Ear">
      <formula>NOT(ISERROR(SEARCH("Ear",Z174)))</formula>
    </cfRule>
    <cfRule type="containsText" dxfId="787" priority="967" operator="containsText" text="Str">
      <formula>NOT(ISERROR(SEARCH("Str",Z174)))</formula>
    </cfRule>
    <cfRule type="containsText" dxfId="786" priority="968" operator="containsText" text="Ere">
      <formula>NOT(ISERROR(SEARCH("Ere",Z174)))</formula>
    </cfRule>
  </conditionalFormatting>
  <conditionalFormatting sqref="Z182:AA182">
    <cfRule type="containsText" dxfId="785" priority="901" operator="containsText" text="Ear">
      <formula>NOT(ISERROR(SEARCH("Ear",Z182)))</formula>
    </cfRule>
    <cfRule type="containsText" dxfId="784" priority="900" operator="containsText" text="Ere">
      <formula>NOT(ISERROR(SEARCH("Ere",Z182)))</formula>
    </cfRule>
    <cfRule type="containsText" dxfId="783" priority="902" operator="containsText" text="fnd">
      <formula>NOT(ISERROR(SEARCH("fnd",Z182)))</formula>
    </cfRule>
    <cfRule type="containsText" dxfId="782" priority="899" operator="containsText" text="Str">
      <formula>NOT(ISERROR(SEARCH("Str",Z182)))</formula>
    </cfRule>
  </conditionalFormatting>
  <conditionalFormatting sqref="AA14">
    <cfRule type="containsText" dxfId="781" priority="180" operator="containsText" text="fnd">
      <formula>NOT(ISERROR(SEARCH("fnd",AA14)))</formula>
    </cfRule>
    <cfRule type="containsText" dxfId="780" priority="178" operator="containsText" text="Ere">
      <formula>NOT(ISERROR(SEARCH("Ere",AA14)))</formula>
    </cfRule>
    <cfRule type="containsText" dxfId="779" priority="177" operator="containsText" text="Str">
      <formula>NOT(ISERROR(SEARCH("Str",AA14)))</formula>
    </cfRule>
    <cfRule type="containsText" dxfId="778" priority="179" operator="containsText" text="Ear">
      <formula>NOT(ISERROR(SEARCH("Ear",AA14)))</formula>
    </cfRule>
  </conditionalFormatting>
  <conditionalFormatting sqref="AA22">
    <cfRule type="containsText" dxfId="777" priority="1935" operator="containsText" text="Str">
      <formula>NOT(ISERROR(SEARCH("Str",AA22)))</formula>
    </cfRule>
    <cfRule type="containsText" dxfId="776" priority="1936" operator="containsText" text="Ere">
      <formula>NOT(ISERROR(SEARCH("Ere",AA22)))</formula>
    </cfRule>
    <cfRule type="containsText" dxfId="775" priority="1937" operator="containsText" text="Ear">
      <formula>NOT(ISERROR(SEARCH("Ear",AA22)))</formula>
    </cfRule>
    <cfRule type="containsText" dxfId="774" priority="1938" operator="containsText" text="fnd">
      <formula>NOT(ISERROR(SEARCH("fnd",AA22)))</formula>
    </cfRule>
  </conditionalFormatting>
  <conditionalFormatting sqref="AC5:AC6">
    <cfRule type="containsText" dxfId="773" priority="2147" operator="containsText" text="Str">
      <formula>NOT(ISERROR(SEARCH("Str",AC5)))</formula>
    </cfRule>
    <cfRule type="containsText" dxfId="772" priority="2148" operator="containsText" text="Ere">
      <formula>NOT(ISERROR(SEARCH("Ere",AC5)))</formula>
    </cfRule>
    <cfRule type="containsText" dxfId="771" priority="2150" operator="containsText" text="fnd">
      <formula>NOT(ISERROR(SEARCH("fnd",AC5)))</formula>
    </cfRule>
    <cfRule type="containsText" dxfId="770" priority="2149" operator="containsText" text="Ear">
      <formula>NOT(ISERROR(SEARCH("Ear",AC5)))</formula>
    </cfRule>
  </conditionalFormatting>
  <conditionalFormatting sqref="AC13:AC14">
    <cfRule type="containsText" dxfId="769" priority="808" operator="containsText" text="Ere">
      <formula>NOT(ISERROR(SEARCH("Ere",AC13)))</formula>
    </cfRule>
    <cfRule type="containsText" dxfId="768" priority="807" operator="containsText" text="Str">
      <formula>NOT(ISERROR(SEARCH("Str",AC13)))</formula>
    </cfRule>
    <cfRule type="containsText" dxfId="767" priority="810" operator="containsText" text="fnd">
      <formula>NOT(ISERROR(SEARCH("fnd",AC13)))</formula>
    </cfRule>
    <cfRule type="containsText" dxfId="766" priority="809" operator="containsText" text="Ear">
      <formula>NOT(ISERROR(SEARCH("Ear",AC13)))</formula>
    </cfRule>
  </conditionalFormatting>
  <conditionalFormatting sqref="AC21:AC22">
    <cfRule type="containsText" dxfId="765" priority="1939" operator="containsText" text="Str">
      <formula>NOT(ISERROR(SEARCH("Str",AC21)))</formula>
    </cfRule>
    <cfRule type="containsText" dxfId="764" priority="1940" operator="containsText" text="Ere">
      <formula>NOT(ISERROR(SEARCH("Ere",AC21)))</formula>
    </cfRule>
    <cfRule type="containsText" dxfId="763" priority="1941" operator="containsText" text="Ear">
      <formula>NOT(ISERROR(SEARCH("Ear",AC21)))</formula>
    </cfRule>
    <cfRule type="containsText" dxfId="762" priority="1942" operator="containsText" text="fnd">
      <formula>NOT(ISERROR(SEARCH("fnd",AC21)))</formula>
    </cfRule>
  </conditionalFormatting>
  <conditionalFormatting sqref="AC29">
    <cfRule type="containsText" dxfId="761" priority="1842" operator="containsText" text="fnd">
      <formula>NOT(ISERROR(SEARCH("fnd",AC29)))</formula>
    </cfRule>
    <cfRule type="containsText" dxfId="760" priority="1841" operator="containsText" text="Ear">
      <formula>NOT(ISERROR(SEARCH("Ear",AC29)))</formula>
    </cfRule>
    <cfRule type="containsText" dxfId="759" priority="1840" operator="containsText" text="Ere">
      <formula>NOT(ISERROR(SEARCH("Ere",AC29)))</formula>
    </cfRule>
    <cfRule type="containsText" dxfId="758" priority="1839" operator="containsText" text="Str">
      <formula>NOT(ISERROR(SEARCH("Str",AC29)))</formula>
    </cfRule>
  </conditionalFormatting>
  <conditionalFormatting sqref="AC37">
    <cfRule type="containsText" dxfId="757" priority="1465" operator="containsText" text="Ear">
      <formula>NOT(ISERROR(SEARCH("Ear",AC37)))</formula>
    </cfRule>
    <cfRule type="containsText" dxfId="756" priority="1464" operator="containsText" text="Ere">
      <formula>NOT(ISERROR(SEARCH("Ere",AC37)))</formula>
    </cfRule>
    <cfRule type="containsText" dxfId="755" priority="1466" operator="containsText" text="fnd">
      <formula>NOT(ISERROR(SEARCH("fnd",AC37)))</formula>
    </cfRule>
    <cfRule type="containsText" dxfId="754" priority="1463" operator="containsText" text="Str">
      <formula>NOT(ISERROR(SEARCH("Str",AC37)))</formula>
    </cfRule>
  </conditionalFormatting>
  <conditionalFormatting sqref="AC45">
    <cfRule type="containsText" dxfId="753" priority="433" operator="containsText" text="Ear">
      <formula>NOT(ISERROR(SEARCH("Ear",AC45)))</formula>
    </cfRule>
    <cfRule type="containsText" dxfId="752" priority="434" operator="containsText" text="fnd">
      <formula>NOT(ISERROR(SEARCH("fnd",AC45)))</formula>
    </cfRule>
    <cfRule type="containsText" dxfId="751" priority="432" operator="containsText" text="Ere">
      <formula>NOT(ISERROR(SEARCH("Ere",AC45)))</formula>
    </cfRule>
    <cfRule type="containsText" dxfId="750" priority="431" operator="containsText" text="Str">
      <formula>NOT(ISERROR(SEARCH("Str",AC45)))</formula>
    </cfRule>
  </conditionalFormatting>
  <conditionalFormatting sqref="AC53">
    <cfRule type="containsText" dxfId="749" priority="365" operator="containsText" text="Str">
      <formula>NOT(ISERROR(SEARCH("Str",AC53)))</formula>
    </cfRule>
    <cfRule type="containsText" dxfId="748" priority="368" operator="containsText" text="fnd">
      <formula>NOT(ISERROR(SEARCH("fnd",AC53)))</formula>
    </cfRule>
    <cfRule type="containsText" dxfId="747" priority="367" operator="containsText" text="Ear">
      <formula>NOT(ISERROR(SEARCH("Ear",AC53)))</formula>
    </cfRule>
    <cfRule type="containsText" dxfId="746" priority="366" operator="containsText" text="Ere">
      <formula>NOT(ISERROR(SEARCH("Ere",AC53)))</formula>
    </cfRule>
  </conditionalFormatting>
  <conditionalFormatting sqref="AC61">
    <cfRule type="containsText" dxfId="745" priority="683" operator="containsText" text="Str">
      <formula>NOT(ISERROR(SEARCH("Str",AC61)))</formula>
    </cfRule>
    <cfRule type="containsText" dxfId="744" priority="685" operator="containsText" text="Ear">
      <formula>NOT(ISERROR(SEARCH("Ear",AC61)))</formula>
    </cfRule>
    <cfRule type="containsText" dxfId="743" priority="684" operator="containsText" text="Ere">
      <formula>NOT(ISERROR(SEARCH("Ere",AC61)))</formula>
    </cfRule>
    <cfRule type="containsText" dxfId="742" priority="686" operator="containsText" text="fnd">
      <formula>NOT(ISERROR(SEARCH("fnd",AC61)))</formula>
    </cfRule>
  </conditionalFormatting>
  <conditionalFormatting sqref="AC70">
    <cfRule type="containsText" dxfId="741" priority="2184" operator="containsText" text="Ere">
      <formula>NOT(ISERROR(SEARCH("Ere",AC70)))</formula>
    </cfRule>
    <cfRule type="containsText" dxfId="740" priority="2183" operator="containsText" text="Str">
      <formula>NOT(ISERROR(SEARCH("Str",AC70)))</formula>
    </cfRule>
    <cfRule type="containsText" dxfId="739" priority="2185" operator="containsText" text="Ear">
      <formula>NOT(ISERROR(SEARCH("Ear",AC70)))</formula>
    </cfRule>
    <cfRule type="containsText" dxfId="738" priority="2186" operator="containsText" text="fnd">
      <formula>NOT(ISERROR(SEARCH("fnd",AC70)))</formula>
    </cfRule>
  </conditionalFormatting>
  <conditionalFormatting sqref="AC77">
    <cfRule type="containsText" dxfId="737" priority="595" operator="containsText" text="Str">
      <formula>NOT(ISERROR(SEARCH("Str",AC77)))</formula>
    </cfRule>
    <cfRule type="containsText" dxfId="736" priority="596" operator="containsText" text="Ere">
      <formula>NOT(ISERROR(SEARCH("Ere",AC77)))</formula>
    </cfRule>
    <cfRule type="containsText" dxfId="735" priority="598" operator="containsText" text="fnd">
      <formula>NOT(ISERROR(SEARCH("fnd",AC77)))</formula>
    </cfRule>
    <cfRule type="containsText" dxfId="734" priority="597" operator="containsText" text="Ear">
      <formula>NOT(ISERROR(SEARCH("Ear",AC77)))</formula>
    </cfRule>
  </conditionalFormatting>
  <conditionalFormatting sqref="AC85:AC86">
    <cfRule type="containsText" dxfId="733" priority="2177" operator="containsText" text="Ear">
      <formula>NOT(ISERROR(SEARCH("Ear",AC85)))</formula>
    </cfRule>
    <cfRule type="containsText" dxfId="732" priority="2178" operator="containsText" text="fnd">
      <formula>NOT(ISERROR(SEARCH("fnd",AC85)))</formula>
    </cfRule>
    <cfRule type="containsText" dxfId="731" priority="2176" operator="containsText" text="Ere">
      <formula>NOT(ISERROR(SEARCH("Ere",AC85)))</formula>
    </cfRule>
    <cfRule type="containsText" dxfId="730" priority="2175" operator="containsText" text="Str">
      <formula>NOT(ISERROR(SEARCH("Str",AC85)))</formula>
    </cfRule>
  </conditionalFormatting>
  <conditionalFormatting sqref="AC93">
    <cfRule type="containsText" dxfId="729" priority="590" operator="containsText" text="fnd">
      <formula>NOT(ISERROR(SEARCH("fnd",AC93)))</formula>
    </cfRule>
    <cfRule type="containsText" dxfId="728" priority="587" operator="containsText" text="Str">
      <formula>NOT(ISERROR(SEARCH("Str",AC93)))</formula>
    </cfRule>
    <cfRule type="containsText" dxfId="727" priority="588" operator="containsText" text="Ere">
      <formula>NOT(ISERROR(SEARCH("Ere",AC93)))</formula>
    </cfRule>
    <cfRule type="containsText" dxfId="726" priority="589" operator="containsText" text="Ear">
      <formula>NOT(ISERROR(SEARCH("Ear",AC93)))</formula>
    </cfRule>
  </conditionalFormatting>
  <conditionalFormatting sqref="AC101">
    <cfRule type="containsText" dxfId="725" priority="1415" operator="containsText" text="Str">
      <formula>NOT(ISERROR(SEARCH("Str",AC101)))</formula>
    </cfRule>
    <cfRule type="containsText" dxfId="724" priority="1416" operator="containsText" text="Ere">
      <formula>NOT(ISERROR(SEARCH("Ere",AC101)))</formula>
    </cfRule>
    <cfRule type="containsText" dxfId="723" priority="1417" operator="containsText" text="Ear">
      <formula>NOT(ISERROR(SEARCH("Ear",AC101)))</formula>
    </cfRule>
    <cfRule type="containsText" dxfId="722" priority="1418" operator="containsText" text="fnd">
      <formula>NOT(ISERROR(SEARCH("fnd",AC101)))</formula>
    </cfRule>
  </conditionalFormatting>
  <conditionalFormatting sqref="AC109">
    <cfRule type="containsText" dxfId="721" priority="558" operator="containsText" text="fnd">
      <formula>NOT(ISERROR(SEARCH("fnd",AC109)))</formula>
    </cfRule>
    <cfRule type="containsText" dxfId="720" priority="556" operator="containsText" text="Ere">
      <formula>NOT(ISERROR(SEARCH("Ere",AC109)))</formula>
    </cfRule>
    <cfRule type="containsText" dxfId="719" priority="555" operator="containsText" text="Str">
      <formula>NOT(ISERROR(SEARCH("Str",AC109)))</formula>
    </cfRule>
    <cfRule type="containsText" dxfId="718" priority="557" operator="containsText" text="Ear">
      <formula>NOT(ISERROR(SEARCH("Ear",AC109)))</formula>
    </cfRule>
  </conditionalFormatting>
  <conditionalFormatting sqref="AC117">
    <cfRule type="containsText" dxfId="717" priority="1362" operator="containsText" text="fnd">
      <formula>NOT(ISERROR(SEARCH("fnd",AC117)))</formula>
    </cfRule>
    <cfRule type="containsText" dxfId="716" priority="1361" operator="containsText" text="Ear">
      <formula>NOT(ISERROR(SEARCH("Ear",AC117)))</formula>
    </cfRule>
    <cfRule type="containsText" dxfId="715" priority="1360" operator="containsText" text="Ere">
      <formula>NOT(ISERROR(SEARCH("Ere",AC117)))</formula>
    </cfRule>
    <cfRule type="containsText" dxfId="714" priority="1359" operator="containsText" text="Str">
      <formula>NOT(ISERROR(SEARCH("Str",AC117)))</formula>
    </cfRule>
  </conditionalFormatting>
  <conditionalFormatting sqref="AC122 AC130 AC154 AC170 AC178 AC186:AC192">
    <cfRule type="containsText" dxfId="713" priority="2042" operator="containsText" text="fnd">
      <formula>NOT(ISERROR(SEARCH("fnd",AC122)))</formula>
    </cfRule>
    <cfRule type="containsText" dxfId="712" priority="2041" operator="containsText" text="Ear">
      <formula>NOT(ISERROR(SEARCH("Ear",AC122)))</formula>
    </cfRule>
    <cfRule type="containsText" dxfId="711" priority="2040" operator="containsText" text="Ere">
      <formula>NOT(ISERROR(SEARCH("Ere",AC122)))</formula>
    </cfRule>
    <cfRule type="containsText" dxfId="710" priority="2039" operator="containsText" text="Str">
      <formula>NOT(ISERROR(SEARCH("Str",AC122)))</formula>
    </cfRule>
  </conditionalFormatting>
  <conditionalFormatting sqref="AC125">
    <cfRule type="containsText" dxfId="709" priority="371" operator="containsText" text="Ear">
      <formula>NOT(ISERROR(SEARCH("Ear",AC125)))</formula>
    </cfRule>
    <cfRule type="containsText" dxfId="708" priority="370" operator="containsText" text="Ere">
      <formula>NOT(ISERROR(SEARCH("Ere",AC125)))</formula>
    </cfRule>
    <cfRule type="containsText" dxfId="707" priority="372" operator="containsText" text="fnd">
      <formula>NOT(ISERROR(SEARCH("fnd",AC125)))</formula>
    </cfRule>
    <cfRule type="containsText" dxfId="706" priority="369" operator="containsText" text="Str">
      <formula>NOT(ISERROR(SEARCH("Str",AC125)))</formula>
    </cfRule>
  </conditionalFormatting>
  <conditionalFormatting sqref="AC133">
    <cfRule type="containsText" dxfId="705" priority="82" operator="containsText" text="Ere">
      <formula>NOT(ISERROR(SEARCH("Ere",AC133)))</formula>
    </cfRule>
    <cfRule type="containsText" dxfId="704" priority="81" operator="containsText" text="Str">
      <formula>NOT(ISERROR(SEARCH("Str",AC133)))</formula>
    </cfRule>
    <cfRule type="containsText" dxfId="703" priority="83" operator="containsText" text="Ear">
      <formula>NOT(ISERROR(SEARCH("Ear",AC133)))</formula>
    </cfRule>
    <cfRule type="containsText" dxfId="702" priority="84" operator="containsText" text="fnd">
      <formula>NOT(ISERROR(SEARCH("fnd",AC133)))</formula>
    </cfRule>
  </conditionalFormatting>
  <conditionalFormatting sqref="AC141">
    <cfRule type="containsText" dxfId="701" priority="1222" operator="containsText" text="fnd">
      <formula>NOT(ISERROR(SEARCH("fnd",AC141)))</formula>
    </cfRule>
    <cfRule type="containsText" dxfId="700" priority="1219" operator="containsText" text="Str">
      <formula>NOT(ISERROR(SEARCH("Str",AC141)))</formula>
    </cfRule>
    <cfRule type="containsText" dxfId="699" priority="1221" operator="containsText" text="Ear">
      <formula>NOT(ISERROR(SEARCH("Ear",AC141)))</formula>
    </cfRule>
    <cfRule type="containsText" dxfId="698" priority="1220" operator="containsText" text="Ere">
      <formula>NOT(ISERROR(SEARCH("Ere",AC141)))</formula>
    </cfRule>
  </conditionalFormatting>
  <conditionalFormatting sqref="AC149">
    <cfRule type="containsText" dxfId="697" priority="1140" operator="containsText" text="Ere">
      <formula>NOT(ISERROR(SEARCH("Ere",AC149)))</formula>
    </cfRule>
    <cfRule type="containsText" dxfId="696" priority="1142" operator="containsText" text="fnd">
      <formula>NOT(ISERROR(SEARCH("fnd",AC149)))</formula>
    </cfRule>
    <cfRule type="containsText" dxfId="695" priority="1139" operator="containsText" text="Str">
      <formula>NOT(ISERROR(SEARCH("Str",AC149)))</formula>
    </cfRule>
    <cfRule type="containsText" dxfId="694" priority="1141" operator="containsText" text="Ear">
      <formula>NOT(ISERROR(SEARCH("Ear",AC149)))</formula>
    </cfRule>
  </conditionalFormatting>
  <conditionalFormatting sqref="AC157">
    <cfRule type="containsText" dxfId="693" priority="250" operator="containsText" text="Ere">
      <formula>NOT(ISERROR(SEARCH("Ere",AC157)))</formula>
    </cfRule>
    <cfRule type="containsText" dxfId="692" priority="249" operator="containsText" text="Str">
      <formula>NOT(ISERROR(SEARCH("Str",AC157)))</formula>
    </cfRule>
    <cfRule type="containsText" dxfId="691" priority="252" operator="containsText" text="fnd">
      <formula>NOT(ISERROR(SEARCH("fnd",AC157)))</formula>
    </cfRule>
    <cfRule type="containsText" dxfId="690" priority="251" operator="containsText" text="Ear">
      <formula>NOT(ISERROR(SEARCH("Ear",AC157)))</formula>
    </cfRule>
  </conditionalFormatting>
  <conditionalFormatting sqref="AC165">
    <cfRule type="containsText" dxfId="689" priority="244" operator="containsText" text="fnd">
      <formula>NOT(ISERROR(SEARCH("fnd",AC165)))</formula>
    </cfRule>
    <cfRule type="containsText" dxfId="688" priority="243" operator="containsText" text="Ear">
      <formula>NOT(ISERROR(SEARCH("Ear",AC165)))</formula>
    </cfRule>
    <cfRule type="containsText" dxfId="687" priority="242" operator="containsText" text="Ere">
      <formula>NOT(ISERROR(SEARCH("Ere",AC165)))</formula>
    </cfRule>
    <cfRule type="containsText" dxfId="686" priority="241" operator="containsText" text="Str">
      <formula>NOT(ISERROR(SEARCH("Str",AC165)))</formula>
    </cfRule>
  </conditionalFormatting>
  <conditionalFormatting sqref="AC173">
    <cfRule type="containsText" dxfId="685" priority="948" operator="containsText" text="Ere">
      <formula>NOT(ISERROR(SEARCH("Ere",AC173)))</formula>
    </cfRule>
    <cfRule type="containsText" dxfId="684" priority="950" operator="containsText" text="fnd">
      <formula>NOT(ISERROR(SEARCH("fnd",AC173)))</formula>
    </cfRule>
    <cfRule type="containsText" dxfId="683" priority="949" operator="containsText" text="Ear">
      <formula>NOT(ISERROR(SEARCH("Ear",AC173)))</formula>
    </cfRule>
    <cfRule type="containsText" dxfId="682" priority="947" operator="containsText" text="Str">
      <formula>NOT(ISERROR(SEARCH("Str",AC173)))</formula>
    </cfRule>
  </conditionalFormatting>
  <conditionalFormatting sqref="AC181">
    <cfRule type="containsText" dxfId="681" priority="863" operator="containsText" text="Str">
      <formula>NOT(ISERROR(SEARCH("Str",AC181)))</formula>
    </cfRule>
    <cfRule type="containsText" dxfId="680" priority="864" operator="containsText" text="Ere">
      <formula>NOT(ISERROR(SEARCH("Ere",AC181)))</formula>
    </cfRule>
    <cfRule type="containsText" dxfId="679" priority="865" operator="containsText" text="Ear">
      <formula>NOT(ISERROR(SEARCH("Ear",AC181)))</formula>
    </cfRule>
    <cfRule type="containsText" dxfId="678" priority="866" operator="containsText" text="fnd">
      <formula>NOT(ISERROR(SEARCH("fnd",AC181)))</formula>
    </cfRule>
  </conditionalFormatting>
  <conditionalFormatting sqref="AC30:AD30">
    <cfRule type="containsText" dxfId="677" priority="1843" operator="containsText" text="Str">
      <formula>NOT(ISERROR(SEARCH("Str",AC30)))</formula>
    </cfRule>
    <cfRule type="containsText" dxfId="676" priority="1845" operator="containsText" text="Ear">
      <formula>NOT(ISERROR(SEARCH("Ear",AC30)))</formula>
    </cfRule>
    <cfRule type="containsText" dxfId="675" priority="1844" operator="containsText" text="Ere">
      <formula>NOT(ISERROR(SEARCH("Ere",AC30)))</formula>
    </cfRule>
    <cfRule type="containsText" dxfId="674" priority="1846" operator="containsText" text="fnd">
      <formula>NOT(ISERROR(SEARCH("fnd",AC30)))</formula>
    </cfRule>
  </conditionalFormatting>
  <conditionalFormatting sqref="AC38:AD38">
    <cfRule type="containsText" dxfId="673" priority="1470" operator="containsText" text="fnd">
      <formula>NOT(ISERROR(SEARCH("fnd",AC38)))</formula>
    </cfRule>
    <cfRule type="containsText" dxfId="672" priority="1469" operator="containsText" text="Ear">
      <formula>NOT(ISERROR(SEARCH("Ear",AC38)))</formula>
    </cfRule>
    <cfRule type="containsText" dxfId="671" priority="1468" operator="containsText" text="Ere">
      <formula>NOT(ISERROR(SEARCH("Ere",AC38)))</formula>
    </cfRule>
    <cfRule type="containsText" dxfId="670" priority="1467" operator="containsText" text="Str">
      <formula>NOT(ISERROR(SEARCH("Str",AC38)))</formula>
    </cfRule>
  </conditionalFormatting>
  <conditionalFormatting sqref="AC54:AD54">
    <cfRule type="containsText" dxfId="669" priority="364" operator="containsText" text="fnd">
      <formula>NOT(ISERROR(SEARCH("fnd",AC54)))</formula>
    </cfRule>
    <cfRule type="containsText" dxfId="668" priority="363" operator="containsText" text="Ear">
      <formula>NOT(ISERROR(SEARCH("Ear",AC54)))</formula>
    </cfRule>
    <cfRule type="containsText" dxfId="667" priority="362" operator="containsText" text="Ere">
      <formula>NOT(ISERROR(SEARCH("Ere",AC54)))</formula>
    </cfRule>
    <cfRule type="containsText" dxfId="666" priority="361" operator="containsText" text="Str">
      <formula>NOT(ISERROR(SEARCH("Str",AC54)))</formula>
    </cfRule>
  </conditionalFormatting>
  <conditionalFormatting sqref="AC102:AD102">
    <cfRule type="containsText" dxfId="665" priority="1420" operator="containsText" text="Ere">
      <formula>NOT(ISERROR(SEARCH("Ere",AC102)))</formula>
    </cfRule>
    <cfRule type="containsText" dxfId="664" priority="1419" operator="containsText" text="Str">
      <formula>NOT(ISERROR(SEARCH("Str",AC102)))</formula>
    </cfRule>
    <cfRule type="containsText" dxfId="663" priority="1422" operator="containsText" text="fnd">
      <formula>NOT(ISERROR(SEARCH("fnd",AC102)))</formula>
    </cfRule>
    <cfRule type="containsText" dxfId="662" priority="1421" operator="containsText" text="Ear">
      <formula>NOT(ISERROR(SEARCH("Ear",AC102)))</formula>
    </cfRule>
  </conditionalFormatting>
  <conditionalFormatting sqref="AC118:AD118">
    <cfRule type="containsText" dxfId="661" priority="1366" operator="containsText" text="fnd">
      <formula>NOT(ISERROR(SEARCH("fnd",AC118)))</formula>
    </cfRule>
    <cfRule type="containsText" dxfId="660" priority="1363" operator="containsText" text="Str">
      <formula>NOT(ISERROR(SEARCH("Str",AC118)))</formula>
    </cfRule>
    <cfRule type="containsText" dxfId="659" priority="1364" operator="containsText" text="Ere">
      <formula>NOT(ISERROR(SEARCH("Ere",AC118)))</formula>
    </cfRule>
    <cfRule type="containsText" dxfId="658" priority="1365" operator="containsText" text="Ear">
      <formula>NOT(ISERROR(SEARCH("Ear",AC118)))</formula>
    </cfRule>
  </conditionalFormatting>
  <conditionalFormatting sqref="AC126:AD126">
    <cfRule type="containsText" dxfId="657" priority="374" operator="containsText" text="Ere">
      <formula>NOT(ISERROR(SEARCH("Ere",AC126)))</formula>
    </cfRule>
    <cfRule type="containsText" dxfId="656" priority="373" operator="containsText" text="Str">
      <formula>NOT(ISERROR(SEARCH("Str",AC126)))</formula>
    </cfRule>
    <cfRule type="containsText" dxfId="655" priority="375" operator="containsText" text="Ear">
      <formula>NOT(ISERROR(SEARCH("Ear",AC126)))</formula>
    </cfRule>
    <cfRule type="containsText" dxfId="654" priority="376" operator="containsText" text="fnd">
      <formula>NOT(ISERROR(SEARCH("fnd",AC126)))</formula>
    </cfRule>
  </conditionalFormatting>
  <conditionalFormatting sqref="AC134:AD134">
    <cfRule type="containsText" dxfId="653" priority="88" operator="containsText" text="fnd">
      <formula>NOT(ISERROR(SEARCH("fnd",AC134)))</formula>
    </cfRule>
    <cfRule type="containsText" dxfId="652" priority="87" operator="containsText" text="Ear">
      <formula>NOT(ISERROR(SEARCH("Ear",AC134)))</formula>
    </cfRule>
    <cfRule type="containsText" dxfId="651" priority="86" operator="containsText" text="Ere">
      <formula>NOT(ISERROR(SEARCH("Ere",AC134)))</formula>
    </cfRule>
    <cfRule type="containsText" dxfId="650" priority="85" operator="containsText" text="Str">
      <formula>NOT(ISERROR(SEARCH("Str",AC134)))</formula>
    </cfRule>
  </conditionalFormatting>
  <conditionalFormatting sqref="AC142:AD142">
    <cfRule type="containsText" dxfId="649" priority="1223" operator="containsText" text="Str">
      <formula>NOT(ISERROR(SEARCH("Str",AC142)))</formula>
    </cfRule>
    <cfRule type="containsText" dxfId="648" priority="1224" operator="containsText" text="Ere">
      <formula>NOT(ISERROR(SEARCH("Ere",AC142)))</formula>
    </cfRule>
    <cfRule type="containsText" dxfId="647" priority="1225" operator="containsText" text="Ear">
      <formula>NOT(ISERROR(SEARCH("Ear",AC142)))</formula>
    </cfRule>
    <cfRule type="containsText" dxfId="646" priority="1226" operator="containsText" text="fnd">
      <formula>NOT(ISERROR(SEARCH("fnd",AC142)))</formula>
    </cfRule>
  </conditionalFormatting>
  <conditionalFormatting sqref="AC174:AD174">
    <cfRule type="containsText" dxfId="645" priority="954" operator="containsText" text="fnd">
      <formula>NOT(ISERROR(SEARCH("fnd",AC174)))</formula>
    </cfRule>
    <cfRule type="containsText" dxfId="644" priority="951" operator="containsText" text="Str">
      <formula>NOT(ISERROR(SEARCH("Str",AC174)))</formula>
    </cfRule>
    <cfRule type="containsText" dxfId="643" priority="953" operator="containsText" text="Ear">
      <formula>NOT(ISERROR(SEARCH("Ear",AC174)))</formula>
    </cfRule>
    <cfRule type="containsText" dxfId="642" priority="952" operator="containsText" text="Ere">
      <formula>NOT(ISERROR(SEARCH("Ere",AC174)))</formula>
    </cfRule>
  </conditionalFormatting>
  <conditionalFormatting sqref="AC182:AD182">
    <cfRule type="containsText" dxfId="641" priority="869" operator="containsText" text="Ear">
      <formula>NOT(ISERROR(SEARCH("Ear",AC182)))</formula>
    </cfRule>
    <cfRule type="containsText" dxfId="640" priority="870" operator="containsText" text="fnd">
      <formula>NOT(ISERROR(SEARCH("fnd",AC182)))</formula>
    </cfRule>
    <cfRule type="containsText" dxfId="639" priority="868" operator="containsText" text="Ere">
      <formula>NOT(ISERROR(SEARCH("Ere",AC182)))</formula>
    </cfRule>
    <cfRule type="containsText" dxfId="638" priority="867" operator="containsText" text="Str">
      <formula>NOT(ISERROR(SEARCH("Str",AC182)))</formula>
    </cfRule>
  </conditionalFormatting>
  <conditionalFormatting sqref="AD6">
    <cfRule type="containsText" dxfId="637" priority="2097" operator="containsText" text="Ear">
      <formula>NOT(ISERROR(SEARCH("Ear",AD6)))</formula>
    </cfRule>
    <cfRule type="containsText" dxfId="636" priority="2096" operator="containsText" text="Ere">
      <formula>NOT(ISERROR(SEARCH("Ere",AD6)))</formula>
    </cfRule>
    <cfRule type="containsText" dxfId="635" priority="2095" operator="containsText" text="Str">
      <formula>NOT(ISERROR(SEARCH("Str",AD6)))</formula>
    </cfRule>
    <cfRule type="containsText" dxfId="634" priority="2098" operator="containsText" text="fnd">
      <formula>NOT(ISERROR(SEARCH("fnd",AD6)))</formula>
    </cfRule>
  </conditionalFormatting>
  <conditionalFormatting sqref="AD14">
    <cfRule type="containsText" dxfId="633" priority="804" operator="containsText" text="Ere">
      <formula>NOT(ISERROR(SEARCH("Ere",AD14)))</formula>
    </cfRule>
    <cfRule type="containsText" dxfId="632" priority="805" operator="containsText" text="Ear">
      <formula>NOT(ISERROR(SEARCH("Ear",AD14)))</formula>
    </cfRule>
    <cfRule type="containsText" dxfId="631" priority="806" operator="containsText" text="fnd">
      <formula>NOT(ISERROR(SEARCH("fnd",AD14)))</formula>
    </cfRule>
    <cfRule type="containsText" dxfId="630" priority="803" operator="containsText" text="Str">
      <formula>NOT(ISERROR(SEARCH("Str",AD14)))</formula>
    </cfRule>
  </conditionalFormatting>
  <conditionalFormatting sqref="AD22">
    <cfRule type="containsText" dxfId="629" priority="1934" operator="containsText" text="fnd">
      <formula>NOT(ISERROR(SEARCH("fnd",AD22)))</formula>
    </cfRule>
    <cfRule type="containsText" dxfId="628" priority="1932" operator="containsText" text="Ere">
      <formula>NOT(ISERROR(SEARCH("Ere",AD22)))</formula>
    </cfRule>
    <cfRule type="containsText" dxfId="627" priority="1933" operator="containsText" text="Ear">
      <formula>NOT(ISERROR(SEARCH("Ear",AD22)))</formula>
    </cfRule>
    <cfRule type="containsText" dxfId="626" priority="1931" operator="containsText" text="Str">
      <formula>NOT(ISERROR(SEARCH("Str",AD22)))</formula>
    </cfRule>
  </conditionalFormatting>
  <conditionalFormatting sqref="AF5:AF6">
    <cfRule type="containsText" dxfId="625" priority="1547" operator="containsText" text="Str">
      <formula>NOT(ISERROR(SEARCH("Str",AF5)))</formula>
    </cfRule>
    <cfRule type="containsText" dxfId="624" priority="1548" operator="containsText" text="Ere">
      <formula>NOT(ISERROR(SEARCH("Ere",AF5)))</formula>
    </cfRule>
    <cfRule type="containsText" dxfId="623" priority="1549" operator="containsText" text="Ear">
      <formula>NOT(ISERROR(SEARCH("Ear",AF5)))</formula>
    </cfRule>
    <cfRule type="containsText" dxfId="622" priority="1550" operator="containsText" text="fnd">
      <formula>NOT(ISERROR(SEARCH("fnd",AF5)))</formula>
    </cfRule>
  </conditionalFormatting>
  <conditionalFormatting sqref="AF13:AF14">
    <cfRule type="containsText" dxfId="621" priority="575" operator="containsText" text="Str">
      <formula>NOT(ISERROR(SEARCH("Str",AF13)))</formula>
    </cfRule>
    <cfRule type="containsText" dxfId="620" priority="576" operator="containsText" text="Ere">
      <formula>NOT(ISERROR(SEARCH("Ere",AF13)))</formula>
    </cfRule>
    <cfRule type="containsText" dxfId="619" priority="577" operator="containsText" text="Ear">
      <formula>NOT(ISERROR(SEARCH("Ear",AF13)))</formula>
    </cfRule>
    <cfRule type="containsText" dxfId="618" priority="578" operator="containsText" text="fnd">
      <formula>NOT(ISERROR(SEARCH("fnd",AF13)))</formula>
    </cfRule>
  </conditionalFormatting>
  <conditionalFormatting sqref="AF21:AF22">
    <cfRule type="containsText" dxfId="617" priority="1830" operator="containsText" text="fnd">
      <formula>NOT(ISERROR(SEARCH("fnd",AF21)))</formula>
    </cfRule>
    <cfRule type="containsText" dxfId="616" priority="1827" operator="containsText" text="Str">
      <formula>NOT(ISERROR(SEARCH("Str",AF21)))</formula>
    </cfRule>
    <cfRule type="containsText" dxfId="615" priority="1828" operator="containsText" text="Ere">
      <formula>NOT(ISERROR(SEARCH("Ere",AF21)))</formula>
    </cfRule>
    <cfRule type="containsText" dxfId="614" priority="1829" operator="containsText" text="Ear">
      <formula>NOT(ISERROR(SEARCH("Ear",AF21)))</formula>
    </cfRule>
  </conditionalFormatting>
  <conditionalFormatting sqref="AF29">
    <cfRule type="containsText" dxfId="613" priority="1442" operator="containsText" text="fnd">
      <formula>NOT(ISERROR(SEARCH("fnd",AF29)))</formula>
    </cfRule>
    <cfRule type="containsText" dxfId="612" priority="1441" operator="containsText" text="Ear">
      <formula>NOT(ISERROR(SEARCH("Ear",AF29)))</formula>
    </cfRule>
    <cfRule type="containsText" dxfId="611" priority="1440" operator="containsText" text="Ere">
      <formula>NOT(ISERROR(SEARCH("Ere",AF29)))</formula>
    </cfRule>
    <cfRule type="containsText" dxfId="610" priority="1439" operator="containsText" text="Str">
      <formula>NOT(ISERROR(SEARCH("Str",AF29)))</formula>
    </cfRule>
  </conditionalFormatting>
  <conditionalFormatting sqref="AF37">
    <cfRule type="containsText" dxfId="609" priority="2250" operator="containsText" text="fnd">
      <formula>NOT(ISERROR(SEARCH("fnd",AF37)))</formula>
    </cfRule>
    <cfRule type="containsText" dxfId="608" priority="2248" operator="containsText" text="Ere">
      <formula>NOT(ISERROR(SEARCH("Ere",AF37)))</formula>
    </cfRule>
    <cfRule type="containsText" dxfId="607" priority="2247" operator="containsText" text="Str">
      <formula>NOT(ISERROR(SEARCH("Str",AF37)))</formula>
    </cfRule>
    <cfRule type="containsText" dxfId="606" priority="2249" operator="containsText" text="Ear">
      <formula>NOT(ISERROR(SEARCH("Ear",AF37)))</formula>
    </cfRule>
  </conditionalFormatting>
  <conditionalFormatting sqref="AF53">
    <cfRule type="containsText" dxfId="605" priority="603" operator="containsText" text="Str">
      <formula>NOT(ISERROR(SEARCH("Str",AF53)))</formula>
    </cfRule>
    <cfRule type="containsText" dxfId="604" priority="606" operator="containsText" text="fnd">
      <formula>NOT(ISERROR(SEARCH("fnd",AF53)))</formula>
    </cfRule>
    <cfRule type="containsText" dxfId="603" priority="605" operator="containsText" text="Ear">
      <formula>NOT(ISERROR(SEARCH("Ear",AF53)))</formula>
    </cfRule>
    <cfRule type="containsText" dxfId="602" priority="604" operator="containsText" text="Ere">
      <formula>NOT(ISERROR(SEARCH("Ere",AF53)))</formula>
    </cfRule>
  </conditionalFormatting>
  <conditionalFormatting sqref="AF61">
    <cfRule type="containsText" dxfId="601" priority="1916" operator="containsText" text="Ere">
      <formula>NOT(ISERROR(SEARCH("Ere",AF61)))</formula>
    </cfRule>
    <cfRule type="containsText" dxfId="600" priority="1917" operator="containsText" text="Ear">
      <formula>NOT(ISERROR(SEARCH("Ear",AF61)))</formula>
    </cfRule>
    <cfRule type="containsText" dxfId="599" priority="1918" operator="containsText" text="fnd">
      <formula>NOT(ISERROR(SEARCH("fnd",AF61)))</formula>
    </cfRule>
    <cfRule type="containsText" dxfId="598" priority="1915" operator="containsText" text="Str">
      <formula>NOT(ISERROR(SEARCH("Str",AF61)))</formula>
    </cfRule>
  </conditionalFormatting>
  <conditionalFormatting sqref="AF69">
    <cfRule type="containsText" dxfId="597" priority="2167" operator="containsText" text="Str">
      <formula>NOT(ISERROR(SEARCH("Str",AF69)))</formula>
    </cfRule>
    <cfRule type="containsText" dxfId="596" priority="2168" operator="containsText" text="Ere">
      <formula>NOT(ISERROR(SEARCH("Ere",AF69)))</formula>
    </cfRule>
    <cfRule type="containsText" dxfId="595" priority="2169" operator="containsText" text="Ear">
      <formula>NOT(ISERROR(SEARCH("Ear",AF69)))</formula>
    </cfRule>
    <cfRule type="containsText" dxfId="594" priority="2170" operator="containsText" text="fnd">
      <formula>NOT(ISERROR(SEARCH("fnd",AF69)))</formula>
    </cfRule>
  </conditionalFormatting>
  <conditionalFormatting sqref="AF85 AI85">
    <cfRule type="containsText" dxfId="593" priority="2262" operator="containsText" text="fnd">
      <formula>NOT(ISERROR(SEARCH("fnd",AF85)))</formula>
    </cfRule>
    <cfRule type="containsText" dxfId="592" priority="2261" operator="containsText" text="Ear">
      <formula>NOT(ISERROR(SEARCH("Ear",AF85)))</formula>
    </cfRule>
    <cfRule type="containsText" dxfId="591" priority="2260" operator="containsText" text="Ere">
      <formula>NOT(ISERROR(SEARCH("Ere",AF85)))</formula>
    </cfRule>
    <cfRule type="containsText" dxfId="590" priority="2259" operator="containsText" text="Str">
      <formula>NOT(ISERROR(SEARCH("Str",AF85)))</formula>
    </cfRule>
  </conditionalFormatting>
  <conditionalFormatting sqref="AF93:AF94">
    <cfRule type="containsText" dxfId="589" priority="2236" operator="containsText" text="Ere">
      <formula>NOT(ISERROR(SEARCH("Ere",AF93)))</formula>
    </cfRule>
    <cfRule type="containsText" dxfId="588" priority="2237" operator="containsText" text="Ear">
      <formula>NOT(ISERROR(SEARCH("Ear",AF93)))</formula>
    </cfRule>
    <cfRule type="containsText" dxfId="587" priority="2235" operator="containsText" text="Str">
      <formula>NOT(ISERROR(SEARCH("Str",AF93)))</formula>
    </cfRule>
    <cfRule type="containsText" dxfId="586" priority="2238" operator="containsText" text="fnd">
      <formula>NOT(ISERROR(SEARCH("fnd",AF93)))</formula>
    </cfRule>
  </conditionalFormatting>
  <conditionalFormatting sqref="AF101">
    <cfRule type="containsText" dxfId="585" priority="273" operator="containsText" text="Str">
      <formula>NOT(ISERROR(SEARCH("Str",AF101)))</formula>
    </cfRule>
    <cfRule type="containsText" dxfId="584" priority="274" operator="containsText" text="Ere">
      <formula>NOT(ISERROR(SEARCH("Ere",AF101)))</formula>
    </cfRule>
    <cfRule type="containsText" dxfId="583" priority="275" operator="containsText" text="Ear">
      <formula>NOT(ISERROR(SEARCH("Ear",AF101)))</formula>
    </cfRule>
    <cfRule type="containsText" dxfId="582" priority="276" operator="containsText" text="fnd">
      <formula>NOT(ISERROR(SEARCH("fnd",AF101)))</formula>
    </cfRule>
  </conditionalFormatting>
  <conditionalFormatting sqref="AF109">
    <cfRule type="containsText" dxfId="581" priority="1734" operator="containsText" text="fnd">
      <formula>NOT(ISERROR(SEARCH("fnd",AF109)))</formula>
    </cfRule>
    <cfRule type="containsText" dxfId="580" priority="1731" operator="containsText" text="Str">
      <formula>NOT(ISERROR(SEARCH("Str",AF109)))</formula>
    </cfRule>
    <cfRule type="containsText" dxfId="579" priority="1733" operator="containsText" text="Ear">
      <formula>NOT(ISERROR(SEARCH("Ear",AF109)))</formula>
    </cfRule>
    <cfRule type="containsText" dxfId="578" priority="1732" operator="containsText" text="Ere">
      <formula>NOT(ISERROR(SEARCH("Ere",AF109)))</formula>
    </cfRule>
  </conditionalFormatting>
  <conditionalFormatting sqref="AF117">
    <cfRule type="containsText" dxfId="577" priority="503" operator="containsText" text="Str">
      <formula>NOT(ISERROR(SEARCH("Str",AF117)))</formula>
    </cfRule>
    <cfRule type="containsText" dxfId="576" priority="505" operator="containsText" text="Ear">
      <formula>NOT(ISERROR(SEARCH("Ear",AF117)))</formula>
    </cfRule>
    <cfRule type="containsText" dxfId="575" priority="506" operator="containsText" text="fnd">
      <formula>NOT(ISERROR(SEARCH("fnd",AF117)))</formula>
    </cfRule>
    <cfRule type="containsText" dxfId="574" priority="504" operator="containsText" text="Ere">
      <formula>NOT(ISERROR(SEARCH("Ere",AF117)))</formula>
    </cfRule>
  </conditionalFormatting>
  <conditionalFormatting sqref="AF122 AF130 AF138 AF162 AF170 AF178 AF186:AF192">
    <cfRule type="containsText" dxfId="573" priority="2035" operator="containsText" text="Str">
      <formula>NOT(ISERROR(SEARCH("Str",AF122)))</formula>
    </cfRule>
    <cfRule type="containsText" dxfId="572" priority="2036" operator="containsText" text="Ere">
      <formula>NOT(ISERROR(SEARCH("Ere",AF122)))</formula>
    </cfRule>
    <cfRule type="containsText" dxfId="571" priority="2037" operator="containsText" text="Ear">
      <formula>NOT(ISERROR(SEARCH("Ear",AF122)))</formula>
    </cfRule>
    <cfRule type="containsText" dxfId="570" priority="2038" operator="containsText" text="fnd">
      <formula>NOT(ISERROR(SEARCH("fnd",AF122)))</formula>
    </cfRule>
  </conditionalFormatting>
  <conditionalFormatting sqref="AF125">
    <cfRule type="containsText" dxfId="569" priority="308" operator="containsText" text="fnd">
      <formula>NOT(ISERROR(SEARCH("fnd",AF125)))</formula>
    </cfRule>
    <cfRule type="containsText" dxfId="568" priority="306" operator="containsText" text="Ere">
      <formula>NOT(ISERROR(SEARCH("Ere",AF125)))</formula>
    </cfRule>
    <cfRule type="containsText" dxfId="567" priority="305" operator="containsText" text="Str">
      <formula>NOT(ISERROR(SEARCH("Str",AF125)))</formula>
    </cfRule>
    <cfRule type="containsText" dxfId="566" priority="307" operator="containsText" text="Ear">
      <formula>NOT(ISERROR(SEARCH("Ear",AF125)))</formula>
    </cfRule>
  </conditionalFormatting>
  <conditionalFormatting sqref="AF133">
    <cfRule type="containsText" dxfId="565" priority="284" operator="containsText" text="fnd">
      <formula>NOT(ISERROR(SEARCH("fnd",AF133)))</formula>
    </cfRule>
    <cfRule type="containsText" dxfId="564" priority="283" operator="containsText" text="Ear">
      <formula>NOT(ISERROR(SEARCH("Ear",AF133)))</formula>
    </cfRule>
    <cfRule type="containsText" dxfId="563" priority="281" operator="containsText" text="Str">
      <formula>NOT(ISERROR(SEARCH("Str",AF133)))</formula>
    </cfRule>
    <cfRule type="containsText" dxfId="562" priority="282" operator="containsText" text="Ere">
      <formula>NOT(ISERROR(SEARCH("Ere",AF133)))</formula>
    </cfRule>
  </conditionalFormatting>
  <conditionalFormatting sqref="AF141">
    <cfRule type="containsText" dxfId="561" priority="1206" operator="containsText" text="fnd">
      <formula>NOT(ISERROR(SEARCH("fnd",AF141)))</formula>
    </cfRule>
    <cfRule type="containsText" dxfId="560" priority="1204" operator="containsText" text="Ere">
      <formula>NOT(ISERROR(SEARCH("Ere",AF141)))</formula>
    </cfRule>
    <cfRule type="containsText" dxfId="559" priority="1205" operator="containsText" text="Ear">
      <formula>NOT(ISERROR(SEARCH("Ear",AF141)))</formula>
    </cfRule>
    <cfRule type="containsText" dxfId="558" priority="1203" operator="containsText" text="Str">
      <formula>NOT(ISERROR(SEARCH("Str",AF141)))</formula>
    </cfRule>
  </conditionalFormatting>
  <conditionalFormatting sqref="AF149">
    <cfRule type="containsText" dxfId="557" priority="1130" operator="containsText" text="fnd">
      <formula>NOT(ISERROR(SEARCH("fnd",AF149)))</formula>
    </cfRule>
    <cfRule type="containsText" dxfId="556" priority="1127" operator="containsText" text="Str">
      <formula>NOT(ISERROR(SEARCH("Str",AF149)))</formula>
    </cfRule>
    <cfRule type="containsText" dxfId="555" priority="1129" operator="containsText" text="Ear">
      <formula>NOT(ISERROR(SEARCH("Ear",AF149)))</formula>
    </cfRule>
    <cfRule type="containsText" dxfId="554" priority="1128" operator="containsText" text="Ere">
      <formula>NOT(ISERROR(SEARCH("Ere",AF149)))</formula>
    </cfRule>
  </conditionalFormatting>
  <conditionalFormatting sqref="AF157">
    <cfRule type="containsText" dxfId="553" priority="1061" operator="containsText" text="Ear">
      <formula>NOT(ISERROR(SEARCH("Ear",AF157)))</formula>
    </cfRule>
    <cfRule type="containsText" dxfId="552" priority="1060" operator="containsText" text="Ere">
      <formula>NOT(ISERROR(SEARCH("Ere",AF157)))</formula>
    </cfRule>
    <cfRule type="containsText" dxfId="551" priority="1059" operator="containsText" text="Str">
      <formula>NOT(ISERROR(SEARCH("Str",AF157)))</formula>
    </cfRule>
    <cfRule type="containsText" dxfId="550" priority="1062" operator="containsText" text="fnd">
      <formula>NOT(ISERROR(SEARCH("fnd",AF157)))</formula>
    </cfRule>
  </conditionalFormatting>
  <conditionalFormatting sqref="AF165">
    <cfRule type="containsText" dxfId="549" priority="995" operator="containsText" text="Str">
      <formula>NOT(ISERROR(SEARCH("Str",AF165)))</formula>
    </cfRule>
    <cfRule type="containsText" dxfId="548" priority="996" operator="containsText" text="Ere">
      <formula>NOT(ISERROR(SEARCH("Ere",AF165)))</formula>
    </cfRule>
    <cfRule type="containsText" dxfId="547" priority="997" operator="containsText" text="Ear">
      <formula>NOT(ISERROR(SEARCH("Ear",AF165)))</formula>
    </cfRule>
    <cfRule type="containsText" dxfId="546" priority="998" operator="containsText" text="fnd">
      <formula>NOT(ISERROR(SEARCH("fnd",AF165)))</formula>
    </cfRule>
  </conditionalFormatting>
  <conditionalFormatting sqref="AF173">
    <cfRule type="containsText" dxfId="545" priority="115" operator="containsText" text="Ear">
      <formula>NOT(ISERROR(SEARCH("Ear",AF173)))</formula>
    </cfRule>
    <cfRule type="containsText" dxfId="544" priority="116" operator="containsText" text="fnd">
      <formula>NOT(ISERROR(SEARCH("fnd",AF173)))</formula>
    </cfRule>
    <cfRule type="containsText" dxfId="543" priority="113" operator="containsText" text="Str">
      <formula>NOT(ISERROR(SEARCH("Str",AF173)))</formula>
    </cfRule>
    <cfRule type="containsText" dxfId="542" priority="114" operator="containsText" text="Ere">
      <formula>NOT(ISERROR(SEARCH("Ere",AF173)))</formula>
    </cfRule>
  </conditionalFormatting>
  <conditionalFormatting sqref="AF181">
    <cfRule type="containsText" dxfId="541" priority="847" operator="containsText" text="Str">
      <formula>NOT(ISERROR(SEARCH("Str",AF181)))</formula>
    </cfRule>
    <cfRule type="containsText" dxfId="540" priority="850" operator="containsText" text="fnd">
      <formula>NOT(ISERROR(SEARCH("fnd",AF181)))</formula>
    </cfRule>
    <cfRule type="containsText" dxfId="539" priority="848" operator="containsText" text="Ere">
      <formula>NOT(ISERROR(SEARCH("Ere",AF181)))</formula>
    </cfRule>
    <cfRule type="containsText" dxfId="538" priority="849" operator="containsText" text="Ear">
      <formula>NOT(ISERROR(SEARCH("Ear",AF181)))</formula>
    </cfRule>
  </conditionalFormatting>
  <conditionalFormatting sqref="AF30:AG30">
    <cfRule type="containsText" dxfId="537" priority="1446" operator="containsText" text="fnd">
      <formula>NOT(ISERROR(SEARCH("fnd",AF30)))</formula>
    </cfRule>
    <cfRule type="containsText" dxfId="536" priority="1445" operator="containsText" text="Ear">
      <formula>NOT(ISERROR(SEARCH("Ear",AF30)))</formula>
    </cfRule>
    <cfRule type="containsText" dxfId="535" priority="1443" operator="containsText" text="Str">
      <formula>NOT(ISERROR(SEARCH("Str",AF30)))</formula>
    </cfRule>
    <cfRule type="containsText" dxfId="534" priority="1444" operator="containsText" text="Ere">
      <formula>NOT(ISERROR(SEARCH("Ere",AF30)))</formula>
    </cfRule>
  </conditionalFormatting>
  <conditionalFormatting sqref="AF38:AG38">
    <cfRule type="containsText" dxfId="533" priority="2362" operator="containsText" text="fnd">
      <formula>NOT(ISERROR(SEARCH("fnd",AF38)))</formula>
    </cfRule>
    <cfRule type="containsText" dxfId="532" priority="2361" operator="containsText" text="Ear">
      <formula>NOT(ISERROR(SEARCH("Ear",AF38)))</formula>
    </cfRule>
    <cfRule type="containsText" dxfId="531" priority="2359" operator="containsText" text="Str">
      <formula>NOT(ISERROR(SEARCH("Str",AF38)))</formula>
    </cfRule>
    <cfRule type="containsText" dxfId="530" priority="2360" operator="containsText" text="Ere">
      <formula>NOT(ISERROR(SEARCH("Ere",AF38)))</formula>
    </cfRule>
  </conditionalFormatting>
  <conditionalFormatting sqref="AF45:AG46 K53 H53:H54">
    <cfRule type="containsText" dxfId="529" priority="2316" operator="containsText" text="Ere">
      <formula>NOT(ISERROR(SEARCH("Ere",H45)))</formula>
    </cfRule>
    <cfRule type="containsText" dxfId="528" priority="2317" operator="containsText" text="Ear">
      <formula>NOT(ISERROR(SEARCH("Ear",H45)))</formula>
    </cfRule>
    <cfRule type="containsText" dxfId="527" priority="2315" operator="containsText" text="Str">
      <formula>NOT(ISERROR(SEARCH("Str",H45)))</formula>
    </cfRule>
    <cfRule type="containsText" dxfId="526" priority="2318" operator="containsText" text="fnd">
      <formula>NOT(ISERROR(SEARCH("fnd",H45)))</formula>
    </cfRule>
  </conditionalFormatting>
  <conditionalFormatting sqref="AF62:AG62">
    <cfRule type="containsText" dxfId="525" priority="1919" operator="containsText" text="Str">
      <formula>NOT(ISERROR(SEARCH("Str",AF62)))</formula>
    </cfRule>
    <cfRule type="containsText" dxfId="524" priority="1921" operator="containsText" text="Ear">
      <formula>NOT(ISERROR(SEARCH("Ear",AF62)))</formula>
    </cfRule>
    <cfRule type="containsText" dxfId="523" priority="1920" operator="containsText" text="Ere">
      <formula>NOT(ISERROR(SEARCH("Ere",AF62)))</formula>
    </cfRule>
    <cfRule type="containsText" dxfId="522" priority="1922" operator="containsText" text="fnd">
      <formula>NOT(ISERROR(SEARCH("fnd",AF62)))</formula>
    </cfRule>
  </conditionalFormatting>
  <conditionalFormatting sqref="AF70:AG70">
    <cfRule type="containsText" dxfId="521" priority="2192" operator="containsText" text="Ere">
      <formula>NOT(ISERROR(SEARCH("Ere",AF70)))</formula>
    </cfRule>
    <cfRule type="containsText" dxfId="520" priority="2194" operator="containsText" text="fnd">
      <formula>NOT(ISERROR(SEARCH("fnd",AF70)))</formula>
    </cfRule>
    <cfRule type="containsText" dxfId="519" priority="2193" operator="containsText" text="Ear">
      <formula>NOT(ISERROR(SEARCH("Ear",AF70)))</formula>
    </cfRule>
    <cfRule type="containsText" dxfId="518" priority="2191" operator="containsText" text="Str">
      <formula>NOT(ISERROR(SEARCH("Str",AF70)))</formula>
    </cfRule>
  </conditionalFormatting>
  <conditionalFormatting sqref="AF86:AG86">
    <cfRule type="containsText" dxfId="517" priority="2290" operator="containsText" text="fnd">
      <formula>NOT(ISERROR(SEARCH("fnd",AF86)))</formula>
    </cfRule>
    <cfRule type="containsText" dxfId="516" priority="2289" operator="containsText" text="Ear">
      <formula>NOT(ISERROR(SEARCH("Ear",AF86)))</formula>
    </cfRule>
    <cfRule type="containsText" dxfId="515" priority="2288" operator="containsText" text="Ere">
      <formula>NOT(ISERROR(SEARCH("Ere",AF86)))</formula>
    </cfRule>
    <cfRule type="containsText" dxfId="514" priority="2287" operator="containsText" text="Str">
      <formula>NOT(ISERROR(SEARCH("Str",AF86)))</formula>
    </cfRule>
  </conditionalFormatting>
  <conditionalFormatting sqref="AF110:AG110">
    <cfRule type="containsText" dxfId="513" priority="1738" operator="containsText" text="fnd">
      <formula>NOT(ISERROR(SEARCH("fnd",AF110)))</formula>
    </cfRule>
    <cfRule type="containsText" dxfId="512" priority="1735" operator="containsText" text="Str">
      <formula>NOT(ISERROR(SEARCH("Str",AF110)))</formula>
    </cfRule>
    <cfRule type="containsText" dxfId="511" priority="1736" operator="containsText" text="Ere">
      <formula>NOT(ISERROR(SEARCH("Ere",AF110)))</formula>
    </cfRule>
    <cfRule type="containsText" dxfId="510" priority="1737" operator="containsText" text="Ear">
      <formula>NOT(ISERROR(SEARCH("Ear",AF110)))</formula>
    </cfRule>
  </conditionalFormatting>
  <conditionalFormatting sqref="AF118:AG118">
    <cfRule type="containsText" dxfId="509" priority="509" operator="containsText" text="Ear">
      <formula>NOT(ISERROR(SEARCH("Ear",AF118)))</formula>
    </cfRule>
    <cfRule type="containsText" dxfId="508" priority="510" operator="containsText" text="fnd">
      <formula>NOT(ISERROR(SEARCH("fnd",AF118)))</formula>
    </cfRule>
    <cfRule type="containsText" dxfId="507" priority="508" operator="containsText" text="Ere">
      <formula>NOT(ISERROR(SEARCH("Ere",AF118)))</formula>
    </cfRule>
    <cfRule type="containsText" dxfId="506" priority="507" operator="containsText" text="Str">
      <formula>NOT(ISERROR(SEARCH("Str",AF118)))</formula>
    </cfRule>
  </conditionalFormatting>
  <conditionalFormatting sqref="AF126:AG126">
    <cfRule type="containsText" dxfId="505" priority="312" operator="containsText" text="fnd">
      <formula>NOT(ISERROR(SEARCH("fnd",AF126)))</formula>
    </cfRule>
    <cfRule type="containsText" dxfId="504" priority="309" operator="containsText" text="Str">
      <formula>NOT(ISERROR(SEARCH("Str",AF126)))</formula>
    </cfRule>
    <cfRule type="containsText" dxfId="503" priority="311" operator="containsText" text="Ear">
      <formula>NOT(ISERROR(SEARCH("Ear",AF126)))</formula>
    </cfRule>
    <cfRule type="containsText" dxfId="502" priority="310" operator="containsText" text="Ere">
      <formula>NOT(ISERROR(SEARCH("Ere",AF126)))</formula>
    </cfRule>
  </conditionalFormatting>
  <conditionalFormatting sqref="AF142:AG142">
    <cfRule type="containsText" dxfId="501" priority="1210" operator="containsText" text="fnd">
      <formula>NOT(ISERROR(SEARCH("fnd",AF142)))</formula>
    </cfRule>
    <cfRule type="containsText" dxfId="500" priority="1209" operator="containsText" text="Ear">
      <formula>NOT(ISERROR(SEARCH("Ear",AF142)))</formula>
    </cfRule>
    <cfRule type="containsText" dxfId="499" priority="1207" operator="containsText" text="Str">
      <formula>NOT(ISERROR(SEARCH("Str",AF142)))</formula>
    </cfRule>
    <cfRule type="containsText" dxfId="498" priority="1208" operator="containsText" text="Ere">
      <formula>NOT(ISERROR(SEARCH("Ere",AF142)))</formula>
    </cfRule>
  </conditionalFormatting>
  <conditionalFormatting sqref="AF158:AG158">
    <cfRule type="containsText" dxfId="497" priority="1066" operator="containsText" text="fnd">
      <formula>NOT(ISERROR(SEARCH("fnd",AF158)))</formula>
    </cfRule>
    <cfRule type="containsText" dxfId="496" priority="1063" operator="containsText" text="Str">
      <formula>NOT(ISERROR(SEARCH("Str",AF158)))</formula>
    </cfRule>
    <cfRule type="containsText" dxfId="495" priority="1064" operator="containsText" text="Ere">
      <formula>NOT(ISERROR(SEARCH("Ere",AF158)))</formula>
    </cfRule>
    <cfRule type="containsText" dxfId="494" priority="1065" operator="containsText" text="Ear">
      <formula>NOT(ISERROR(SEARCH("Ear",AF158)))</formula>
    </cfRule>
  </conditionalFormatting>
  <conditionalFormatting sqref="AF166:AG166">
    <cfRule type="containsText" dxfId="493" priority="999" operator="containsText" text="Str">
      <formula>NOT(ISERROR(SEARCH("Str",AF166)))</formula>
    </cfRule>
    <cfRule type="containsText" dxfId="492" priority="1000" operator="containsText" text="Ere">
      <formula>NOT(ISERROR(SEARCH("Ere",AF166)))</formula>
    </cfRule>
    <cfRule type="containsText" dxfId="491" priority="1001" operator="containsText" text="Ear">
      <formula>NOT(ISERROR(SEARCH("Ear",AF166)))</formula>
    </cfRule>
    <cfRule type="containsText" dxfId="490" priority="1002" operator="containsText" text="fnd">
      <formula>NOT(ISERROR(SEARCH("fnd",AF166)))</formula>
    </cfRule>
  </conditionalFormatting>
  <conditionalFormatting sqref="AF174:AG174">
    <cfRule type="containsText" dxfId="489" priority="120" operator="containsText" text="fnd">
      <formula>NOT(ISERROR(SEARCH("fnd",AF174)))</formula>
    </cfRule>
    <cfRule type="containsText" dxfId="488" priority="119" operator="containsText" text="Ear">
      <formula>NOT(ISERROR(SEARCH("Ear",AF174)))</formula>
    </cfRule>
    <cfRule type="containsText" dxfId="487" priority="118" operator="containsText" text="Ere">
      <formula>NOT(ISERROR(SEARCH("Ere",AF174)))</formula>
    </cfRule>
    <cfRule type="containsText" dxfId="486" priority="117" operator="containsText" text="Str">
      <formula>NOT(ISERROR(SEARCH("Str",AF174)))</formula>
    </cfRule>
  </conditionalFormatting>
  <conditionalFormatting sqref="AF182:AG182">
    <cfRule type="containsText" dxfId="485" priority="852" operator="containsText" text="Ere">
      <formula>NOT(ISERROR(SEARCH("Ere",AF182)))</formula>
    </cfRule>
    <cfRule type="containsText" dxfId="484" priority="853" operator="containsText" text="Ear">
      <formula>NOT(ISERROR(SEARCH("Ear",AF182)))</formula>
    </cfRule>
    <cfRule type="containsText" dxfId="483" priority="854" operator="containsText" text="fnd">
      <formula>NOT(ISERROR(SEARCH("fnd",AF182)))</formula>
    </cfRule>
    <cfRule type="containsText" dxfId="482" priority="851" operator="containsText" text="Str">
      <formula>NOT(ISERROR(SEARCH("Str",AF182)))</formula>
    </cfRule>
  </conditionalFormatting>
  <conditionalFormatting sqref="AG6">
    <cfRule type="containsText" dxfId="481" priority="1546" operator="containsText" text="fnd">
      <formula>NOT(ISERROR(SEARCH("fnd",AG6)))</formula>
    </cfRule>
    <cfRule type="containsText" dxfId="480" priority="1543" operator="containsText" text="Str">
      <formula>NOT(ISERROR(SEARCH("Str",AG6)))</formula>
    </cfRule>
    <cfRule type="containsText" dxfId="479" priority="1544" operator="containsText" text="Ere">
      <formula>NOT(ISERROR(SEARCH("Ere",AG6)))</formula>
    </cfRule>
    <cfRule type="containsText" dxfId="478" priority="1545" operator="containsText" text="Ear">
      <formula>NOT(ISERROR(SEARCH("Ear",AG6)))</formula>
    </cfRule>
  </conditionalFormatting>
  <conditionalFormatting sqref="AG14">
    <cfRule type="containsText" dxfId="477" priority="571" operator="containsText" text="Str">
      <formula>NOT(ISERROR(SEARCH("Str",AG14)))</formula>
    </cfRule>
    <cfRule type="containsText" dxfId="476" priority="574" operator="containsText" text="fnd">
      <formula>NOT(ISERROR(SEARCH("fnd",AG14)))</formula>
    </cfRule>
    <cfRule type="containsText" dxfId="475" priority="573" operator="containsText" text="Ear">
      <formula>NOT(ISERROR(SEARCH("Ear",AG14)))</formula>
    </cfRule>
    <cfRule type="containsText" dxfId="474" priority="572" operator="containsText" text="Ere">
      <formula>NOT(ISERROR(SEARCH("Ere",AG14)))</formula>
    </cfRule>
  </conditionalFormatting>
  <conditionalFormatting sqref="AG22">
    <cfRule type="containsText" dxfId="473" priority="1823" operator="containsText" text="Str">
      <formula>NOT(ISERROR(SEARCH("Str",AG22)))</formula>
    </cfRule>
    <cfRule type="containsText" dxfId="472" priority="1826" operator="containsText" text="fnd">
      <formula>NOT(ISERROR(SEARCH("fnd",AG22)))</formula>
    </cfRule>
    <cfRule type="containsText" dxfId="471" priority="1825" operator="containsText" text="Ear">
      <formula>NOT(ISERROR(SEARCH("Ear",AG22)))</formula>
    </cfRule>
    <cfRule type="containsText" dxfId="470" priority="1824" operator="containsText" text="Ere">
      <formula>NOT(ISERROR(SEARCH("Ere",AG22)))</formula>
    </cfRule>
  </conditionalFormatting>
  <conditionalFormatting sqref="AG78">
    <cfRule type="containsText" dxfId="469" priority="2306" operator="containsText" text="fnd">
      <formula>NOT(ISERROR(SEARCH("fnd",AG78)))</formula>
    </cfRule>
    <cfRule type="containsText" dxfId="468" priority="2305" operator="containsText" text="Ear">
      <formula>NOT(ISERROR(SEARCH("Ear",AG78)))</formula>
    </cfRule>
    <cfRule type="containsText" dxfId="467" priority="2304" operator="containsText" text="Ere">
      <formula>NOT(ISERROR(SEARCH("Ere",AG78)))</formula>
    </cfRule>
    <cfRule type="containsText" dxfId="466" priority="2303" operator="containsText" text="Str">
      <formula>NOT(ISERROR(SEARCH("Str",AG78)))</formula>
    </cfRule>
  </conditionalFormatting>
  <conditionalFormatting sqref="AI5:AI6">
    <cfRule type="containsText" dxfId="465" priority="1686" operator="containsText" text="fnd">
      <formula>NOT(ISERROR(SEARCH("fnd",AI5)))</formula>
    </cfRule>
    <cfRule type="containsText" dxfId="464" priority="1685" operator="containsText" text="Ear">
      <formula>NOT(ISERROR(SEARCH("Ear",AI5)))</formula>
    </cfRule>
    <cfRule type="containsText" dxfId="463" priority="1684" operator="containsText" text="Ere">
      <formula>NOT(ISERROR(SEARCH("Ere",AI5)))</formula>
    </cfRule>
    <cfRule type="containsText" dxfId="462" priority="1683" operator="containsText" text="Str">
      <formula>NOT(ISERROR(SEARCH("Str",AI5)))</formula>
    </cfRule>
  </conditionalFormatting>
  <conditionalFormatting sqref="AI13:AI14">
    <cfRule type="containsText" dxfId="461" priority="1669" operator="containsText" text="Ear">
      <formula>NOT(ISERROR(SEARCH("Ear",AI13)))</formula>
    </cfRule>
    <cfRule type="containsText" dxfId="460" priority="1670" operator="containsText" text="fnd">
      <formula>NOT(ISERROR(SEARCH("fnd",AI13)))</formula>
    </cfRule>
    <cfRule type="containsText" dxfId="459" priority="1667" operator="containsText" text="Str">
      <formula>NOT(ISERROR(SEARCH("Str",AI13)))</formula>
    </cfRule>
    <cfRule type="containsText" dxfId="458" priority="1668" operator="containsText" text="Ere">
      <formula>NOT(ISERROR(SEARCH("Ere",AI13)))</formula>
    </cfRule>
  </conditionalFormatting>
  <conditionalFormatting sqref="AI21:AI22">
    <cfRule type="containsText" dxfId="457" priority="799" operator="containsText" text="Str">
      <formula>NOT(ISERROR(SEARCH("Str",AI21)))</formula>
    </cfRule>
    <cfRule type="containsText" dxfId="456" priority="800" operator="containsText" text="Ere">
      <formula>NOT(ISERROR(SEARCH("Ere",AI21)))</formula>
    </cfRule>
    <cfRule type="containsText" dxfId="455" priority="801" operator="containsText" text="Ear">
      <formula>NOT(ISERROR(SEARCH("Ear",AI21)))</formula>
    </cfRule>
    <cfRule type="containsText" dxfId="454" priority="802" operator="containsText" text="fnd">
      <formula>NOT(ISERROR(SEARCH("fnd",AI21)))</formula>
    </cfRule>
  </conditionalFormatting>
  <conditionalFormatting sqref="AI29">
    <cfRule type="containsText" dxfId="453" priority="1739" operator="containsText" text="Str">
      <formula>NOT(ISERROR(SEARCH("Str",AI29)))</formula>
    </cfRule>
    <cfRule type="containsText" dxfId="452" priority="1740" operator="containsText" text="Ere">
      <formula>NOT(ISERROR(SEARCH("Ere",AI29)))</formula>
    </cfRule>
    <cfRule type="containsText" dxfId="451" priority="1742" operator="containsText" text="fnd">
      <formula>NOT(ISERROR(SEARCH("fnd",AI29)))</formula>
    </cfRule>
    <cfRule type="containsText" dxfId="450" priority="1741" operator="containsText" text="Ear">
      <formula>NOT(ISERROR(SEARCH("Ear",AI29)))</formula>
    </cfRule>
  </conditionalFormatting>
  <conditionalFormatting sqref="AI37">
    <cfRule type="containsText" dxfId="449" priority="713" operator="containsText" text="Ear">
      <formula>NOT(ISERROR(SEARCH("Ear",AI37)))</formula>
    </cfRule>
    <cfRule type="containsText" dxfId="448" priority="712" operator="containsText" text="Ere">
      <formula>NOT(ISERROR(SEARCH("Ere",AI37)))</formula>
    </cfRule>
    <cfRule type="containsText" dxfId="447" priority="711" operator="containsText" text="Str">
      <formula>NOT(ISERROR(SEARCH("Str",AI37)))</formula>
    </cfRule>
    <cfRule type="containsText" dxfId="446" priority="714" operator="containsText" text="fnd">
      <formula>NOT(ISERROR(SEARCH("fnd",AI37)))</formula>
    </cfRule>
  </conditionalFormatting>
  <conditionalFormatting sqref="AI53">
    <cfRule type="containsText" dxfId="445" priority="610" operator="containsText" text="fnd">
      <formula>NOT(ISERROR(SEARCH("fnd",AI53)))</formula>
    </cfRule>
    <cfRule type="containsText" dxfId="444" priority="609" operator="containsText" text="Ear">
      <formula>NOT(ISERROR(SEARCH("Ear",AI53)))</formula>
    </cfRule>
    <cfRule type="containsText" dxfId="443" priority="608" operator="containsText" text="Ere">
      <formula>NOT(ISERROR(SEARCH("Ere",AI53)))</formula>
    </cfRule>
    <cfRule type="containsText" dxfId="442" priority="607" operator="containsText" text="Str">
      <formula>NOT(ISERROR(SEARCH("Str",AI53)))</formula>
    </cfRule>
  </conditionalFormatting>
  <conditionalFormatting sqref="AI61">
    <cfRule type="containsText" dxfId="441" priority="2000" operator="containsText" text="Ere">
      <formula>NOT(ISERROR(SEARCH("Ere",AI61)))</formula>
    </cfRule>
    <cfRule type="containsText" dxfId="440" priority="2001" operator="containsText" text="Ear">
      <formula>NOT(ISERROR(SEARCH("Ear",AI61)))</formula>
    </cfRule>
    <cfRule type="containsText" dxfId="439" priority="2002" operator="containsText" text="fnd">
      <formula>NOT(ISERROR(SEARCH("fnd",AI61)))</formula>
    </cfRule>
    <cfRule type="containsText" dxfId="438" priority="1999" operator="containsText" text="Str">
      <formula>NOT(ISERROR(SEARCH("Str",AI61)))</formula>
    </cfRule>
  </conditionalFormatting>
  <conditionalFormatting sqref="AI69">
    <cfRule type="containsText" dxfId="437" priority="1925" operator="containsText" text="Ear">
      <formula>NOT(ISERROR(SEARCH("Ear",AI69)))</formula>
    </cfRule>
    <cfRule type="containsText" dxfId="436" priority="1926" operator="containsText" text="fnd">
      <formula>NOT(ISERROR(SEARCH("fnd",AI69)))</formula>
    </cfRule>
    <cfRule type="containsText" dxfId="435" priority="1923" operator="containsText" text="Str">
      <formula>NOT(ISERROR(SEARCH("Str",AI69)))</formula>
    </cfRule>
    <cfRule type="containsText" dxfId="434" priority="1924" operator="containsText" text="Ere">
      <formula>NOT(ISERROR(SEARCH("Ere",AI69)))</formula>
    </cfRule>
  </conditionalFormatting>
  <conditionalFormatting sqref="AI77:AI78">
    <cfRule type="containsText" dxfId="433" priority="4" operator="containsText" text="fnd">
      <formula>NOT(ISERROR(SEARCH("fnd",AI77)))</formula>
    </cfRule>
    <cfRule type="containsText" dxfId="432" priority="2" operator="containsText" text="Ere">
      <formula>NOT(ISERROR(SEARCH("Ere",AI77)))</formula>
    </cfRule>
    <cfRule type="containsText" dxfId="431" priority="3" operator="containsText" text="Ear">
      <formula>NOT(ISERROR(SEARCH("Ear",AI77)))</formula>
    </cfRule>
    <cfRule type="containsText" dxfId="430" priority="1" operator="containsText" text="Str">
      <formula>NOT(ISERROR(SEARCH("Str",AI77)))</formula>
    </cfRule>
  </conditionalFormatting>
  <conditionalFormatting sqref="AI93:AI94">
    <cfRule type="containsText" dxfId="429" priority="1647" operator="containsText" text="Str">
      <formula>NOT(ISERROR(SEARCH("Str",AI93)))</formula>
    </cfRule>
    <cfRule type="containsText" dxfId="428" priority="1650" operator="containsText" text="fnd">
      <formula>NOT(ISERROR(SEARCH("fnd",AI93)))</formula>
    </cfRule>
    <cfRule type="containsText" dxfId="427" priority="1649" operator="containsText" text="Ear">
      <formula>NOT(ISERROR(SEARCH("Ear",AI93)))</formula>
    </cfRule>
    <cfRule type="containsText" dxfId="426" priority="1648" operator="containsText" text="Ere">
      <formula>NOT(ISERROR(SEARCH("Ere",AI93)))</formula>
    </cfRule>
  </conditionalFormatting>
  <conditionalFormatting sqref="AI101">
    <cfRule type="containsText" dxfId="425" priority="2218" operator="containsText" text="fnd">
      <formula>NOT(ISERROR(SEARCH("fnd",AI101)))</formula>
    </cfRule>
    <cfRule type="containsText" dxfId="424" priority="2217" operator="containsText" text="Ear">
      <formula>NOT(ISERROR(SEARCH("Ear",AI101)))</formula>
    </cfRule>
    <cfRule type="containsText" dxfId="423" priority="2216" operator="containsText" text="Ere">
      <formula>NOT(ISERROR(SEARCH("Ere",AI101)))</formula>
    </cfRule>
    <cfRule type="containsText" dxfId="422" priority="2215" operator="containsText" text="Str">
      <formula>NOT(ISERROR(SEARCH("Str",AI101)))</formula>
    </cfRule>
  </conditionalFormatting>
  <conditionalFormatting sqref="AI109">
    <cfRule type="containsText" dxfId="421" priority="1694" operator="containsText" text="fnd">
      <formula>NOT(ISERROR(SEARCH("fnd",AI109)))</formula>
    </cfRule>
    <cfRule type="containsText" dxfId="420" priority="1691" operator="containsText" text="Str">
      <formula>NOT(ISERROR(SEARCH("Str",AI109)))</formula>
    </cfRule>
    <cfRule type="containsText" dxfId="419" priority="1692" operator="containsText" text="Ere">
      <formula>NOT(ISERROR(SEARCH("Ere",AI109)))</formula>
    </cfRule>
    <cfRule type="containsText" dxfId="418" priority="1693" operator="containsText" text="Ear">
      <formula>NOT(ISERROR(SEARCH("Ear",AI109)))</formula>
    </cfRule>
  </conditionalFormatting>
  <conditionalFormatting sqref="AI117">
    <cfRule type="containsText" dxfId="417" priority="407" operator="containsText" text="Str">
      <formula>NOT(ISERROR(SEARCH("Str",AI117)))</formula>
    </cfRule>
    <cfRule type="containsText" dxfId="416" priority="410" operator="containsText" text="fnd">
      <formula>NOT(ISERROR(SEARCH("fnd",AI117)))</formula>
    </cfRule>
    <cfRule type="containsText" dxfId="415" priority="408" operator="containsText" text="Ere">
      <formula>NOT(ISERROR(SEARCH("Ere",AI117)))</formula>
    </cfRule>
    <cfRule type="containsText" dxfId="414" priority="409" operator="containsText" text="Ear">
      <formula>NOT(ISERROR(SEARCH("Ear",AI117)))</formula>
    </cfRule>
  </conditionalFormatting>
  <conditionalFormatting sqref="AI122 AI130 AI138 AI170 AI178 AI186:AI192">
    <cfRule type="containsText" dxfId="413" priority="2033" operator="containsText" text="Ear">
      <formula>NOT(ISERROR(SEARCH("Ear",AI122)))</formula>
    </cfRule>
    <cfRule type="containsText" dxfId="412" priority="2031" operator="containsText" text="Str">
      <formula>NOT(ISERROR(SEARCH("Str",AI122)))</formula>
    </cfRule>
    <cfRule type="containsText" dxfId="411" priority="2034" operator="containsText" text="fnd">
      <formula>NOT(ISERROR(SEARCH("fnd",AI122)))</formula>
    </cfRule>
    <cfRule type="containsText" dxfId="410" priority="2032" operator="containsText" text="Ere">
      <formula>NOT(ISERROR(SEARCH("Ere",AI122)))</formula>
    </cfRule>
  </conditionalFormatting>
  <conditionalFormatting sqref="AI125">
    <cfRule type="containsText" dxfId="409" priority="1338" operator="containsText" text="fnd">
      <formula>NOT(ISERROR(SEARCH("fnd",AI125)))</formula>
    </cfRule>
    <cfRule type="containsText" dxfId="408" priority="1335" operator="containsText" text="Str">
      <formula>NOT(ISERROR(SEARCH("Str",AI125)))</formula>
    </cfRule>
    <cfRule type="containsText" dxfId="407" priority="1336" operator="containsText" text="Ere">
      <formula>NOT(ISERROR(SEARCH("Ere",AI125)))</formula>
    </cfRule>
    <cfRule type="containsText" dxfId="406" priority="1337" operator="containsText" text="Ear">
      <formula>NOT(ISERROR(SEARCH("Ear",AI125)))</formula>
    </cfRule>
  </conditionalFormatting>
  <conditionalFormatting sqref="AI133">
    <cfRule type="containsText" dxfId="405" priority="1284" operator="containsText" text="Ere">
      <formula>NOT(ISERROR(SEARCH("Ere",AI133)))</formula>
    </cfRule>
    <cfRule type="containsText" dxfId="404" priority="1286" operator="containsText" text="fnd">
      <formula>NOT(ISERROR(SEARCH("fnd",AI133)))</formula>
    </cfRule>
    <cfRule type="containsText" dxfId="403" priority="1285" operator="containsText" text="Ear">
      <formula>NOT(ISERROR(SEARCH("Ear",AI133)))</formula>
    </cfRule>
    <cfRule type="containsText" dxfId="402" priority="1283" operator="containsText" text="Str">
      <formula>NOT(ISERROR(SEARCH("Str",AI133)))</formula>
    </cfRule>
  </conditionalFormatting>
  <conditionalFormatting sqref="AI141">
    <cfRule type="containsText" dxfId="401" priority="1179" operator="containsText" text="Str">
      <formula>NOT(ISERROR(SEARCH("Str",AI141)))</formula>
    </cfRule>
    <cfRule type="containsText" dxfId="400" priority="1180" operator="containsText" text="Ere">
      <formula>NOT(ISERROR(SEARCH("Ere",AI141)))</formula>
    </cfRule>
    <cfRule type="containsText" dxfId="399" priority="1181" operator="containsText" text="Ear">
      <formula>NOT(ISERROR(SEARCH("Ear",AI141)))</formula>
    </cfRule>
    <cfRule type="containsText" dxfId="398" priority="1182" operator="containsText" text="fnd">
      <formula>NOT(ISERROR(SEARCH("fnd",AI141)))</formula>
    </cfRule>
  </conditionalFormatting>
  <conditionalFormatting sqref="AI149">
    <cfRule type="containsText" dxfId="397" priority="44" operator="containsText" text="fnd">
      <formula>NOT(ISERROR(SEARCH("fnd",AI149)))</formula>
    </cfRule>
    <cfRule type="containsText" dxfId="396" priority="42" operator="containsText" text="Ere">
      <formula>NOT(ISERROR(SEARCH("Ere",AI149)))</formula>
    </cfRule>
    <cfRule type="containsText" dxfId="395" priority="41" operator="containsText" text="Str">
      <formula>NOT(ISERROR(SEARCH("Str",AI149)))</formula>
    </cfRule>
    <cfRule type="containsText" dxfId="394" priority="43" operator="containsText" text="Ear">
      <formula>NOT(ISERROR(SEARCH("Ear",AI149)))</formula>
    </cfRule>
  </conditionalFormatting>
  <conditionalFormatting sqref="AI157">
    <cfRule type="containsText" dxfId="393" priority="1038" operator="containsText" text="fnd">
      <formula>NOT(ISERROR(SEARCH("fnd",AI157)))</formula>
    </cfRule>
    <cfRule type="containsText" dxfId="392" priority="1037" operator="containsText" text="Ear">
      <formula>NOT(ISERROR(SEARCH("Ear",AI157)))</formula>
    </cfRule>
    <cfRule type="containsText" dxfId="391" priority="1035" operator="containsText" text="Str">
      <formula>NOT(ISERROR(SEARCH("Str",AI157)))</formula>
    </cfRule>
    <cfRule type="containsText" dxfId="390" priority="1036" operator="containsText" text="Ere">
      <formula>NOT(ISERROR(SEARCH("Ere",AI157)))</formula>
    </cfRule>
  </conditionalFormatting>
  <conditionalFormatting sqref="AI165">
    <cfRule type="containsText" dxfId="389" priority="313" operator="containsText" text="Str">
      <formula>NOT(ISERROR(SEARCH("Str",AI165)))</formula>
    </cfRule>
    <cfRule type="containsText" dxfId="388" priority="314" operator="containsText" text="Ere">
      <formula>NOT(ISERROR(SEARCH("Ere",AI165)))</formula>
    </cfRule>
    <cfRule type="containsText" dxfId="387" priority="316" operator="containsText" text="fnd">
      <formula>NOT(ISERROR(SEARCH("fnd",AI165)))</formula>
    </cfRule>
    <cfRule type="containsText" dxfId="386" priority="315" operator="containsText" text="Ear">
      <formula>NOT(ISERROR(SEARCH("Ear",AI165)))</formula>
    </cfRule>
  </conditionalFormatting>
  <conditionalFormatting sqref="AI173">
    <cfRule type="containsText" dxfId="385" priority="934" operator="containsText" text="fnd">
      <formula>NOT(ISERROR(SEARCH("fnd",AI173)))</formula>
    </cfRule>
    <cfRule type="containsText" dxfId="384" priority="933" operator="containsText" text="Ear">
      <formula>NOT(ISERROR(SEARCH("Ear",AI173)))</formula>
    </cfRule>
    <cfRule type="containsText" dxfId="383" priority="931" operator="containsText" text="Str">
      <formula>NOT(ISERROR(SEARCH("Str",AI173)))</formula>
    </cfRule>
    <cfRule type="containsText" dxfId="382" priority="932" operator="containsText" text="Ere">
      <formula>NOT(ISERROR(SEARCH("Ere",AI173)))</formula>
    </cfRule>
  </conditionalFormatting>
  <conditionalFormatting sqref="AI181">
    <cfRule type="containsText" dxfId="381" priority="824" operator="containsText" text="Ere">
      <formula>NOT(ISERROR(SEARCH("Ere",AI181)))</formula>
    </cfRule>
    <cfRule type="containsText" dxfId="380" priority="823" operator="containsText" text="Str">
      <formula>NOT(ISERROR(SEARCH("Str",AI181)))</formula>
    </cfRule>
    <cfRule type="containsText" dxfId="379" priority="826" operator="containsText" text="fnd">
      <formula>NOT(ISERROR(SEARCH("fnd",AI181)))</formula>
    </cfRule>
    <cfRule type="containsText" dxfId="378" priority="825" operator="containsText" text="Ear">
      <formula>NOT(ISERROR(SEARCH("Ear",AI181)))</formula>
    </cfRule>
  </conditionalFormatting>
  <conditionalFormatting sqref="AI30:AJ30">
    <cfRule type="containsText" dxfId="377" priority="1743" operator="containsText" text="Str">
      <formula>NOT(ISERROR(SEARCH("Str",AI30)))</formula>
    </cfRule>
    <cfRule type="containsText" dxfId="376" priority="1745" operator="containsText" text="Ear">
      <formula>NOT(ISERROR(SEARCH("Ear",AI30)))</formula>
    </cfRule>
    <cfRule type="containsText" dxfId="375" priority="1746" operator="containsText" text="fnd">
      <formula>NOT(ISERROR(SEARCH("fnd",AI30)))</formula>
    </cfRule>
    <cfRule type="containsText" dxfId="374" priority="1744" operator="containsText" text="Ere">
      <formula>NOT(ISERROR(SEARCH("Ere",AI30)))</formula>
    </cfRule>
  </conditionalFormatting>
  <conditionalFormatting sqref="AI38:AJ38">
    <cfRule type="containsText" dxfId="373" priority="716" operator="containsText" text="Ere">
      <formula>NOT(ISERROR(SEARCH("Ere",AI38)))</formula>
    </cfRule>
    <cfRule type="containsText" dxfId="372" priority="717" operator="containsText" text="Ear">
      <formula>NOT(ISERROR(SEARCH("Ear",AI38)))</formula>
    </cfRule>
    <cfRule type="containsText" dxfId="371" priority="718" operator="containsText" text="fnd">
      <formula>NOT(ISERROR(SEARCH("fnd",AI38)))</formula>
    </cfRule>
    <cfRule type="containsText" dxfId="370" priority="715" operator="containsText" text="Str">
      <formula>NOT(ISERROR(SEARCH("Str",AI38)))</formula>
    </cfRule>
  </conditionalFormatting>
  <conditionalFormatting sqref="AI46:AJ46">
    <cfRule type="containsText" dxfId="369" priority="2351" operator="containsText" text="Str">
      <formula>NOT(ISERROR(SEARCH("Str",AI46)))</formula>
    </cfRule>
    <cfRule type="containsText" dxfId="368" priority="2352" operator="containsText" text="Ere">
      <formula>NOT(ISERROR(SEARCH("Ere",AI46)))</formula>
    </cfRule>
    <cfRule type="containsText" dxfId="367" priority="2353" operator="containsText" text="Ear">
      <formula>NOT(ISERROR(SEARCH("Ear",AI46)))</formula>
    </cfRule>
    <cfRule type="containsText" dxfId="366" priority="2354" operator="containsText" text="fnd">
      <formula>NOT(ISERROR(SEARCH("fnd",AI46)))</formula>
    </cfRule>
  </conditionalFormatting>
  <conditionalFormatting sqref="AI62:AJ62">
    <cfRule type="containsText" dxfId="365" priority="2003" operator="containsText" text="Str">
      <formula>NOT(ISERROR(SEARCH("Str",AI62)))</formula>
    </cfRule>
    <cfRule type="containsText" dxfId="364" priority="2004" operator="containsText" text="Ere">
      <formula>NOT(ISERROR(SEARCH("Ere",AI62)))</formula>
    </cfRule>
    <cfRule type="containsText" dxfId="363" priority="2005" operator="containsText" text="Ear">
      <formula>NOT(ISERROR(SEARCH("Ear",AI62)))</formula>
    </cfRule>
    <cfRule type="containsText" dxfId="362" priority="2006" operator="containsText" text="fnd">
      <formula>NOT(ISERROR(SEARCH("fnd",AI62)))</formula>
    </cfRule>
  </conditionalFormatting>
  <conditionalFormatting sqref="AI70:AJ70">
    <cfRule type="containsText" dxfId="361" priority="1927" operator="containsText" text="Str">
      <formula>NOT(ISERROR(SEARCH("Str",AI70)))</formula>
    </cfRule>
    <cfRule type="containsText" dxfId="360" priority="1928" operator="containsText" text="Ere">
      <formula>NOT(ISERROR(SEARCH("Ere",AI70)))</formula>
    </cfRule>
    <cfRule type="containsText" dxfId="359" priority="1929" operator="containsText" text="Ear">
      <formula>NOT(ISERROR(SEARCH("Ear",AI70)))</formula>
    </cfRule>
    <cfRule type="containsText" dxfId="358" priority="1930" operator="containsText" text="fnd">
      <formula>NOT(ISERROR(SEARCH("fnd",AI70)))</formula>
    </cfRule>
  </conditionalFormatting>
  <conditionalFormatting sqref="AI86:AJ86">
    <cfRule type="containsText" dxfId="357" priority="2286" operator="containsText" text="fnd">
      <formula>NOT(ISERROR(SEARCH("fnd",AI86)))</formula>
    </cfRule>
    <cfRule type="containsText" dxfId="356" priority="2285" operator="containsText" text="Ear">
      <formula>NOT(ISERROR(SEARCH("Ear",AI86)))</formula>
    </cfRule>
    <cfRule type="containsText" dxfId="355" priority="2284" operator="containsText" text="Ere">
      <formula>NOT(ISERROR(SEARCH("Ere",AI86)))</formula>
    </cfRule>
    <cfRule type="containsText" dxfId="354" priority="2283" operator="containsText" text="Str">
      <formula>NOT(ISERROR(SEARCH("Str",AI86)))</formula>
    </cfRule>
  </conditionalFormatting>
  <conditionalFormatting sqref="AI102:AJ102">
    <cfRule type="containsText" dxfId="353" priority="2282" operator="containsText" text="fnd">
      <formula>NOT(ISERROR(SEARCH("fnd",AI102)))</formula>
    </cfRule>
    <cfRule type="containsText" dxfId="352" priority="2279" operator="containsText" text="Str">
      <formula>NOT(ISERROR(SEARCH("Str",AI102)))</formula>
    </cfRule>
    <cfRule type="containsText" dxfId="351" priority="2280" operator="containsText" text="Ere">
      <formula>NOT(ISERROR(SEARCH("Ere",AI102)))</formula>
    </cfRule>
    <cfRule type="containsText" dxfId="350" priority="2281" operator="containsText" text="Ear">
      <formula>NOT(ISERROR(SEARCH("Ear",AI102)))</formula>
    </cfRule>
  </conditionalFormatting>
  <conditionalFormatting sqref="AI110:AJ110">
    <cfRule type="containsText" dxfId="349" priority="1695" operator="containsText" text="Str">
      <formula>NOT(ISERROR(SEARCH("Str",AI110)))</formula>
    </cfRule>
    <cfRule type="containsText" dxfId="348" priority="1697" operator="containsText" text="Ear">
      <formula>NOT(ISERROR(SEARCH("Ear",AI110)))</formula>
    </cfRule>
    <cfRule type="containsText" dxfId="347" priority="1698" operator="containsText" text="fnd">
      <formula>NOT(ISERROR(SEARCH("fnd",AI110)))</formula>
    </cfRule>
    <cfRule type="containsText" dxfId="346" priority="1696" operator="containsText" text="Ere">
      <formula>NOT(ISERROR(SEARCH("Ere",AI110)))</formula>
    </cfRule>
  </conditionalFormatting>
  <conditionalFormatting sqref="AI118:AJ118">
    <cfRule type="containsText" dxfId="345" priority="412" operator="containsText" text="Ere">
      <formula>NOT(ISERROR(SEARCH("Ere",AI118)))</formula>
    </cfRule>
    <cfRule type="containsText" dxfId="344" priority="413" operator="containsText" text="Ear">
      <formula>NOT(ISERROR(SEARCH("Ear",AI118)))</formula>
    </cfRule>
    <cfRule type="containsText" dxfId="343" priority="411" operator="containsText" text="Str">
      <formula>NOT(ISERROR(SEARCH("Str",AI118)))</formula>
    </cfRule>
    <cfRule type="containsText" dxfId="342" priority="414" operator="containsText" text="fnd">
      <formula>NOT(ISERROR(SEARCH("fnd",AI118)))</formula>
    </cfRule>
  </conditionalFormatting>
  <conditionalFormatting sqref="AI126:AJ126">
    <cfRule type="containsText" dxfId="341" priority="1339" operator="containsText" text="Str">
      <formula>NOT(ISERROR(SEARCH("Str",AI126)))</formula>
    </cfRule>
    <cfRule type="containsText" dxfId="340" priority="1340" operator="containsText" text="Ere">
      <formula>NOT(ISERROR(SEARCH("Ere",AI126)))</formula>
    </cfRule>
    <cfRule type="containsText" dxfId="339" priority="1341" operator="containsText" text="Ear">
      <formula>NOT(ISERROR(SEARCH("Ear",AI126)))</formula>
    </cfRule>
    <cfRule type="containsText" dxfId="338" priority="1342" operator="containsText" text="fnd">
      <formula>NOT(ISERROR(SEARCH("fnd",AI126)))</formula>
    </cfRule>
  </conditionalFormatting>
  <conditionalFormatting sqref="AI134:AJ134">
    <cfRule type="containsText" dxfId="337" priority="1290" operator="containsText" text="fnd">
      <formula>NOT(ISERROR(SEARCH("fnd",AI134)))</formula>
    </cfRule>
    <cfRule type="containsText" dxfId="336" priority="1287" operator="containsText" text="Str">
      <formula>NOT(ISERROR(SEARCH("Str",AI134)))</formula>
    </cfRule>
    <cfRule type="containsText" dxfId="335" priority="1288" operator="containsText" text="Ere">
      <formula>NOT(ISERROR(SEARCH("Ere",AI134)))</formula>
    </cfRule>
    <cfRule type="containsText" dxfId="334" priority="1289" operator="containsText" text="Ear">
      <formula>NOT(ISERROR(SEARCH("Ear",AI134)))</formula>
    </cfRule>
  </conditionalFormatting>
  <conditionalFormatting sqref="AI142:AJ142">
    <cfRule type="containsText" dxfId="333" priority="1185" operator="containsText" text="Ear">
      <formula>NOT(ISERROR(SEARCH("Ear",AI142)))</formula>
    </cfRule>
    <cfRule type="containsText" dxfId="332" priority="1186" operator="containsText" text="fnd">
      <formula>NOT(ISERROR(SEARCH("fnd",AI142)))</formula>
    </cfRule>
    <cfRule type="containsText" dxfId="331" priority="1183" operator="containsText" text="Str">
      <formula>NOT(ISERROR(SEARCH("Str",AI142)))</formula>
    </cfRule>
    <cfRule type="containsText" dxfId="330" priority="1184" operator="containsText" text="Ere">
      <formula>NOT(ISERROR(SEARCH("Ere",AI142)))</formula>
    </cfRule>
  </conditionalFormatting>
  <conditionalFormatting sqref="AI150:AJ150">
    <cfRule type="containsText" dxfId="329" priority="46" operator="containsText" text="Ere">
      <formula>NOT(ISERROR(SEARCH("Ere",AI150)))</formula>
    </cfRule>
    <cfRule type="containsText" dxfId="328" priority="47" operator="containsText" text="Ear">
      <formula>NOT(ISERROR(SEARCH("Ear",AI150)))</formula>
    </cfRule>
    <cfRule type="containsText" dxfId="327" priority="45" operator="containsText" text="Str">
      <formula>NOT(ISERROR(SEARCH("Str",AI150)))</formula>
    </cfRule>
    <cfRule type="containsText" dxfId="326" priority="48" operator="containsText" text="fnd">
      <formula>NOT(ISERROR(SEARCH("fnd",AI150)))</formula>
    </cfRule>
  </conditionalFormatting>
  <conditionalFormatting sqref="AI158:AJ158">
    <cfRule type="containsText" dxfId="325" priority="1039" operator="containsText" text="Str">
      <formula>NOT(ISERROR(SEARCH("Str",AI158)))</formula>
    </cfRule>
    <cfRule type="containsText" dxfId="324" priority="1040" operator="containsText" text="Ere">
      <formula>NOT(ISERROR(SEARCH("Ere",AI158)))</formula>
    </cfRule>
    <cfRule type="containsText" dxfId="323" priority="1041" operator="containsText" text="Ear">
      <formula>NOT(ISERROR(SEARCH("Ear",AI158)))</formula>
    </cfRule>
    <cfRule type="containsText" dxfId="322" priority="1042" operator="containsText" text="fnd">
      <formula>NOT(ISERROR(SEARCH("fnd",AI158)))</formula>
    </cfRule>
  </conditionalFormatting>
  <conditionalFormatting sqref="AI166:AJ166">
    <cfRule type="containsText" dxfId="321" priority="320" operator="containsText" text="fnd">
      <formula>NOT(ISERROR(SEARCH("fnd",AI166)))</formula>
    </cfRule>
    <cfRule type="containsText" dxfId="320" priority="319" operator="containsText" text="Ear">
      <formula>NOT(ISERROR(SEARCH("Ear",AI166)))</formula>
    </cfRule>
    <cfRule type="containsText" dxfId="319" priority="318" operator="containsText" text="Ere">
      <formula>NOT(ISERROR(SEARCH("Ere",AI166)))</formula>
    </cfRule>
    <cfRule type="containsText" dxfId="318" priority="317" operator="containsText" text="Str">
      <formula>NOT(ISERROR(SEARCH("Str",AI166)))</formula>
    </cfRule>
  </conditionalFormatting>
  <conditionalFormatting sqref="AI174:AJ174">
    <cfRule type="containsText" dxfId="317" priority="935" operator="containsText" text="Str">
      <formula>NOT(ISERROR(SEARCH("Str",AI174)))</formula>
    </cfRule>
    <cfRule type="containsText" dxfId="316" priority="937" operator="containsText" text="Ear">
      <formula>NOT(ISERROR(SEARCH("Ear",AI174)))</formula>
    </cfRule>
    <cfRule type="containsText" dxfId="315" priority="936" operator="containsText" text="Ere">
      <formula>NOT(ISERROR(SEARCH("Ere",AI174)))</formula>
    </cfRule>
    <cfRule type="containsText" dxfId="314" priority="938" operator="containsText" text="fnd">
      <formula>NOT(ISERROR(SEARCH("fnd",AI174)))</formula>
    </cfRule>
  </conditionalFormatting>
  <conditionalFormatting sqref="AI182:AJ182">
    <cfRule type="containsText" dxfId="313" priority="829" operator="containsText" text="Ear">
      <formula>NOT(ISERROR(SEARCH("Ear",AI182)))</formula>
    </cfRule>
    <cfRule type="containsText" dxfId="312" priority="828" operator="containsText" text="Ere">
      <formula>NOT(ISERROR(SEARCH("Ere",AI182)))</formula>
    </cfRule>
    <cfRule type="containsText" dxfId="311" priority="827" operator="containsText" text="Str">
      <formula>NOT(ISERROR(SEARCH("Str",AI182)))</formula>
    </cfRule>
    <cfRule type="containsText" dxfId="310" priority="830" operator="containsText" text="fnd">
      <formula>NOT(ISERROR(SEARCH("fnd",AI182)))</formula>
    </cfRule>
  </conditionalFormatting>
  <conditionalFormatting sqref="AJ6">
    <cfRule type="containsText" dxfId="309" priority="1679" operator="containsText" text="Str">
      <formula>NOT(ISERROR(SEARCH("Str",AJ6)))</formula>
    </cfRule>
    <cfRule type="containsText" dxfId="308" priority="1682" operator="containsText" text="fnd">
      <formula>NOT(ISERROR(SEARCH("fnd",AJ6)))</formula>
    </cfRule>
    <cfRule type="containsText" dxfId="307" priority="1681" operator="containsText" text="Ear">
      <formula>NOT(ISERROR(SEARCH("Ear",AJ6)))</formula>
    </cfRule>
    <cfRule type="containsText" dxfId="306" priority="1680" operator="containsText" text="Ere">
      <formula>NOT(ISERROR(SEARCH("Ere",AJ6)))</formula>
    </cfRule>
  </conditionalFormatting>
  <conditionalFormatting sqref="AJ14">
    <cfRule type="containsText" dxfId="305" priority="1666" operator="containsText" text="fnd">
      <formula>NOT(ISERROR(SEARCH("fnd",AJ14)))</formula>
    </cfRule>
    <cfRule type="containsText" dxfId="304" priority="1663" operator="containsText" text="Str">
      <formula>NOT(ISERROR(SEARCH("Str",AJ14)))</formula>
    </cfRule>
    <cfRule type="containsText" dxfId="303" priority="1664" operator="containsText" text="Ere">
      <formula>NOT(ISERROR(SEARCH("Ere",AJ14)))</formula>
    </cfRule>
    <cfRule type="containsText" dxfId="302" priority="1665" operator="containsText" text="Ear">
      <formula>NOT(ISERROR(SEARCH("Ear",AJ14)))</formula>
    </cfRule>
  </conditionalFormatting>
  <conditionalFormatting sqref="AJ22">
    <cfRule type="containsText" dxfId="301" priority="798" operator="containsText" text="fnd">
      <formula>NOT(ISERROR(SEARCH("fnd",AJ22)))</formula>
    </cfRule>
    <cfRule type="containsText" dxfId="300" priority="795" operator="containsText" text="Str">
      <formula>NOT(ISERROR(SEARCH("Str",AJ22)))</formula>
    </cfRule>
    <cfRule type="containsText" dxfId="299" priority="797" operator="containsText" text="Ear">
      <formula>NOT(ISERROR(SEARCH("Ear",AJ22)))</formula>
    </cfRule>
    <cfRule type="containsText" dxfId="298" priority="796" operator="containsText" text="Ere">
      <formula>NOT(ISERROR(SEARCH("Ere",AJ22)))</formula>
    </cfRule>
  </conditionalFormatting>
  <conditionalFormatting sqref="AJ78">
    <cfRule type="containsText" dxfId="297" priority="8" operator="containsText" text="fnd">
      <formula>NOT(ISERROR(SEARCH("fnd",AJ78)))</formula>
    </cfRule>
    <cfRule type="containsText" dxfId="296" priority="7" operator="containsText" text="Ear">
      <formula>NOT(ISERROR(SEARCH("Ear",AJ78)))</formula>
    </cfRule>
    <cfRule type="containsText" dxfId="295" priority="6" operator="containsText" text="Ere">
      <formula>NOT(ISERROR(SEARCH("Ere",AJ78)))</formula>
    </cfRule>
    <cfRule type="containsText" dxfId="294" priority="5" operator="containsText" text="Str">
      <formula>NOT(ISERROR(SEARCH("Str",AJ78)))</formula>
    </cfRule>
  </conditionalFormatting>
  <conditionalFormatting sqref="AL5 AM6 B13:B14">
    <cfRule type="containsText" dxfId="293" priority="1675" operator="containsText" text="Str">
      <formula>NOT(ISERROR(SEARCH("Str",B5)))</formula>
    </cfRule>
    <cfRule type="containsText" dxfId="292" priority="1678" operator="containsText" text="fnd">
      <formula>NOT(ISERROR(SEARCH("fnd",B5)))</formula>
    </cfRule>
    <cfRule type="containsText" dxfId="291" priority="1677" operator="containsText" text="Ear">
      <formula>NOT(ISERROR(SEARCH("Ear",B5)))</formula>
    </cfRule>
    <cfRule type="containsText" dxfId="290" priority="1676" operator="containsText" text="Ere">
      <formula>NOT(ISERROR(SEARCH("Ere",B5)))</formula>
    </cfRule>
  </conditionalFormatting>
  <conditionalFormatting sqref="AL13:AL14">
    <cfRule type="containsText" dxfId="289" priority="1629" operator="containsText" text="Ear">
      <formula>NOT(ISERROR(SEARCH("Ear",AL13)))</formula>
    </cfRule>
    <cfRule type="containsText" dxfId="288" priority="1630" operator="containsText" text="fnd">
      <formula>NOT(ISERROR(SEARCH("fnd",AL13)))</formula>
    </cfRule>
    <cfRule type="containsText" dxfId="287" priority="1627" operator="containsText" text="Str">
      <formula>NOT(ISERROR(SEARCH("Str",AL13)))</formula>
    </cfRule>
    <cfRule type="containsText" dxfId="286" priority="1628" operator="containsText" text="Ere">
      <formula>NOT(ISERROR(SEARCH("Ere",AL13)))</formula>
    </cfRule>
  </conditionalFormatting>
  <conditionalFormatting sqref="AL21">
    <cfRule type="containsText" dxfId="285" priority="2365" operator="containsText" text="Ear">
      <formula>NOT(ISERROR(SEARCH("Ear",AL21)))</formula>
    </cfRule>
    <cfRule type="containsText" dxfId="284" priority="2364" operator="containsText" text="Ere">
      <formula>NOT(ISERROR(SEARCH("Ere",AL21)))</formula>
    </cfRule>
    <cfRule type="containsText" dxfId="283" priority="2363" operator="containsText" text="Str">
      <formula>NOT(ISERROR(SEARCH("Str",AL21)))</formula>
    </cfRule>
    <cfRule type="containsText" dxfId="282" priority="2366" operator="containsText" text="fnd">
      <formula>NOT(ISERROR(SEARCH("fnd",AL21)))</formula>
    </cfRule>
  </conditionalFormatting>
  <conditionalFormatting sqref="AL29">
    <cfRule type="containsText" dxfId="281" priority="774" operator="containsText" text="fnd">
      <formula>NOT(ISERROR(SEARCH("fnd",AL29)))</formula>
    </cfRule>
    <cfRule type="containsText" dxfId="280" priority="773" operator="containsText" text="Ear">
      <formula>NOT(ISERROR(SEARCH("Ear",AL29)))</formula>
    </cfRule>
    <cfRule type="containsText" dxfId="279" priority="771" operator="containsText" text="Str">
      <formula>NOT(ISERROR(SEARCH("Str",AL29)))</formula>
    </cfRule>
    <cfRule type="containsText" dxfId="278" priority="772" operator="containsText" text="Ere">
      <formula>NOT(ISERROR(SEARCH("Ere",AL29)))</formula>
    </cfRule>
  </conditionalFormatting>
  <conditionalFormatting sqref="AL37">
    <cfRule type="containsText" dxfId="277" priority="467" operator="containsText" text="Str">
      <formula>NOT(ISERROR(SEARCH("Str",AL37)))</formula>
    </cfRule>
    <cfRule type="containsText" dxfId="276" priority="469" operator="containsText" text="Ear">
      <formula>NOT(ISERROR(SEARCH("Ear",AL37)))</formula>
    </cfRule>
    <cfRule type="containsText" dxfId="275" priority="468" operator="containsText" text="Ere">
      <formula>NOT(ISERROR(SEARCH("Ere",AL37)))</formula>
    </cfRule>
    <cfRule type="containsText" dxfId="274" priority="470" operator="containsText" text="fnd">
      <formula>NOT(ISERROR(SEARCH("fnd",AL37)))</formula>
    </cfRule>
  </conditionalFormatting>
  <conditionalFormatting sqref="AL61:AL62">
    <cfRule type="containsText" dxfId="273" priority="2012" operator="containsText" text="Ere">
      <formula>NOT(ISERROR(SEARCH("Ere",AL61)))</formula>
    </cfRule>
    <cfRule type="containsText" dxfId="272" priority="2011" operator="containsText" text="Str">
      <formula>NOT(ISERROR(SEARCH("Str",AL61)))</formula>
    </cfRule>
    <cfRule type="containsText" dxfId="271" priority="2014" operator="containsText" text="fnd">
      <formula>NOT(ISERROR(SEARCH("fnd",AL61)))</formula>
    </cfRule>
    <cfRule type="containsText" dxfId="270" priority="2013" operator="containsText" text="Ear">
      <formula>NOT(ISERROR(SEARCH("Ear",AL61)))</formula>
    </cfRule>
  </conditionalFormatting>
  <conditionalFormatting sqref="AL69">
    <cfRule type="containsText" dxfId="269" priority="2189" operator="containsText" text="Ear">
      <formula>NOT(ISERROR(SEARCH("Ear",AL69)))</formula>
    </cfRule>
    <cfRule type="containsText" dxfId="268" priority="2190" operator="containsText" text="fnd">
      <formula>NOT(ISERROR(SEARCH("fnd",AL69)))</formula>
    </cfRule>
    <cfRule type="containsText" dxfId="267" priority="2188" operator="containsText" text="Ere">
      <formula>NOT(ISERROR(SEARCH("Ere",AL69)))</formula>
    </cfRule>
    <cfRule type="containsText" dxfId="266" priority="2187" operator="containsText" text="Str">
      <formula>NOT(ISERROR(SEARCH("Str",AL69)))</formula>
    </cfRule>
  </conditionalFormatting>
  <conditionalFormatting sqref="AL77">
    <cfRule type="containsText" dxfId="265" priority="637" operator="containsText" text="Ear">
      <formula>NOT(ISERROR(SEARCH("Ear",AL77)))</formula>
    </cfRule>
    <cfRule type="containsText" dxfId="264" priority="636" operator="containsText" text="Ere">
      <formula>NOT(ISERROR(SEARCH("Ere",AL77)))</formula>
    </cfRule>
    <cfRule type="containsText" dxfId="263" priority="635" operator="containsText" text="Str">
      <formula>NOT(ISERROR(SEARCH("Str",AL77)))</formula>
    </cfRule>
    <cfRule type="containsText" dxfId="262" priority="638" operator="containsText" text="fnd">
      <formula>NOT(ISERROR(SEARCH("fnd",AL77)))</formula>
    </cfRule>
  </conditionalFormatting>
  <conditionalFormatting sqref="AL85">
    <cfRule type="containsText" dxfId="261" priority="593" operator="containsText" text="Ear">
      <formula>NOT(ISERROR(SEARCH("Ear",AL85)))</formula>
    </cfRule>
    <cfRule type="containsText" dxfId="260" priority="591" operator="containsText" text="Str">
      <formula>NOT(ISERROR(SEARCH("Str",AL85)))</formula>
    </cfRule>
    <cfRule type="containsText" dxfId="259" priority="592" operator="containsText" text="Ere">
      <formula>NOT(ISERROR(SEARCH("Ere",AL85)))</formula>
    </cfRule>
    <cfRule type="containsText" dxfId="258" priority="594" operator="containsText" text="fnd">
      <formula>NOT(ISERROR(SEARCH("fnd",AL85)))</formula>
    </cfRule>
  </conditionalFormatting>
  <conditionalFormatting sqref="AL93:AL94">
    <cfRule type="containsText" dxfId="257" priority="1622" operator="containsText" text="fnd">
      <formula>NOT(ISERROR(SEARCH("fnd",AL93)))</formula>
    </cfRule>
    <cfRule type="containsText" dxfId="256" priority="1620" operator="containsText" text="Ere">
      <formula>NOT(ISERROR(SEARCH("Ere",AL93)))</formula>
    </cfRule>
    <cfRule type="containsText" dxfId="255" priority="1621" operator="containsText" text="Ear">
      <formula>NOT(ISERROR(SEARCH("Ear",AL93)))</formula>
    </cfRule>
    <cfRule type="containsText" dxfId="254" priority="1619" operator="containsText" text="Str">
      <formula>NOT(ISERROR(SEARCH("Str",AL93)))</formula>
    </cfRule>
  </conditionalFormatting>
  <conditionalFormatting sqref="AL101">
    <cfRule type="containsText" dxfId="253" priority="1866" operator="containsText" text="fnd">
      <formula>NOT(ISERROR(SEARCH("fnd",AL101)))</formula>
    </cfRule>
    <cfRule type="containsText" dxfId="252" priority="1865" operator="containsText" text="Ear">
      <formula>NOT(ISERROR(SEARCH("Ear",AL101)))</formula>
    </cfRule>
    <cfRule type="containsText" dxfId="251" priority="1863" operator="containsText" text="Str">
      <formula>NOT(ISERROR(SEARCH("Str",AL101)))</formula>
    </cfRule>
    <cfRule type="containsText" dxfId="250" priority="1864" operator="containsText" text="Ere">
      <formula>NOT(ISERROR(SEARCH("Ere",AL101)))</formula>
    </cfRule>
  </conditionalFormatting>
  <conditionalFormatting sqref="AL109">
    <cfRule type="containsText" dxfId="249" priority="552" operator="containsText" text="Ere">
      <formula>NOT(ISERROR(SEARCH("Ere",AL109)))</formula>
    </cfRule>
    <cfRule type="containsText" dxfId="248" priority="554" operator="containsText" text="fnd">
      <formula>NOT(ISERROR(SEARCH("fnd",AL109)))</formula>
    </cfRule>
    <cfRule type="containsText" dxfId="247" priority="553" operator="containsText" text="Ear">
      <formula>NOT(ISERROR(SEARCH("Ear",AL109)))</formula>
    </cfRule>
    <cfRule type="containsText" dxfId="246" priority="551" operator="containsText" text="Str">
      <formula>NOT(ISERROR(SEARCH("Str",AL109)))</formula>
    </cfRule>
  </conditionalFormatting>
  <conditionalFormatting sqref="AL117">
    <cfRule type="containsText" dxfId="245" priority="337" operator="containsText" text="Str">
      <formula>NOT(ISERROR(SEARCH("Str",AL117)))</formula>
    </cfRule>
    <cfRule type="containsText" dxfId="244" priority="338" operator="containsText" text="Ere">
      <formula>NOT(ISERROR(SEARCH("Ere",AL117)))</formula>
    </cfRule>
    <cfRule type="containsText" dxfId="243" priority="339" operator="containsText" text="Ear">
      <formula>NOT(ISERROR(SEARCH("Ear",AL117)))</formula>
    </cfRule>
    <cfRule type="containsText" dxfId="242" priority="340" operator="containsText" text="fnd">
      <formula>NOT(ISERROR(SEARCH("fnd",AL117)))</formula>
    </cfRule>
  </conditionalFormatting>
  <conditionalFormatting sqref="AL122 AL130 AL138 AL154 AL162 AL170 AL178 AL186:AL192">
    <cfRule type="containsText" dxfId="241" priority="2029" operator="containsText" text="Ear">
      <formula>NOT(ISERROR(SEARCH("Ear",AL122)))</formula>
    </cfRule>
    <cfRule type="containsText" dxfId="240" priority="2030" operator="containsText" text="fnd">
      <formula>NOT(ISERROR(SEARCH("fnd",AL122)))</formula>
    </cfRule>
    <cfRule type="containsText" dxfId="239" priority="2028" operator="containsText" text="Ere">
      <formula>NOT(ISERROR(SEARCH("Ere",AL122)))</formula>
    </cfRule>
    <cfRule type="containsText" dxfId="238" priority="2027" operator="containsText" text="Str">
      <formula>NOT(ISERROR(SEARCH("Str",AL122)))</formula>
    </cfRule>
  </conditionalFormatting>
  <conditionalFormatting sqref="AL125">
    <cfRule type="containsText" dxfId="237" priority="538" operator="containsText" text="fnd">
      <formula>NOT(ISERROR(SEARCH("fnd",AL125)))</formula>
    </cfRule>
    <cfRule type="containsText" dxfId="236" priority="537" operator="containsText" text="Ear">
      <formula>NOT(ISERROR(SEARCH("Ear",AL125)))</formula>
    </cfRule>
    <cfRule type="containsText" dxfId="235" priority="536" operator="containsText" text="Ere">
      <formula>NOT(ISERROR(SEARCH("Ere",AL125)))</formula>
    </cfRule>
    <cfRule type="containsText" dxfId="234" priority="535" operator="containsText" text="Str">
      <formula>NOT(ISERROR(SEARCH("Str",AL125)))</formula>
    </cfRule>
  </conditionalFormatting>
  <conditionalFormatting sqref="AL133">
    <cfRule type="containsText" dxfId="233" priority="1291" operator="containsText" text="Str">
      <formula>NOT(ISERROR(SEARCH("Str",AL133)))</formula>
    </cfRule>
    <cfRule type="containsText" dxfId="232" priority="1292" operator="containsText" text="Ere">
      <formula>NOT(ISERROR(SEARCH("Ere",AL133)))</formula>
    </cfRule>
    <cfRule type="containsText" dxfId="231" priority="1293" operator="containsText" text="Ear">
      <formula>NOT(ISERROR(SEARCH("Ear",AL133)))</formula>
    </cfRule>
    <cfRule type="containsText" dxfId="230" priority="1294" operator="containsText" text="fnd">
      <formula>NOT(ISERROR(SEARCH("fnd",AL133)))</formula>
    </cfRule>
  </conditionalFormatting>
  <conditionalFormatting sqref="AL141">
    <cfRule type="containsText" dxfId="229" priority="1188" operator="containsText" text="Ere">
      <formula>NOT(ISERROR(SEARCH("Ere",AL141)))</formula>
    </cfRule>
    <cfRule type="containsText" dxfId="228" priority="1190" operator="containsText" text="fnd">
      <formula>NOT(ISERROR(SEARCH("fnd",AL141)))</formula>
    </cfRule>
    <cfRule type="containsText" dxfId="227" priority="1187" operator="containsText" text="Str">
      <formula>NOT(ISERROR(SEARCH("Str",AL141)))</formula>
    </cfRule>
    <cfRule type="containsText" dxfId="226" priority="1189" operator="containsText" text="Ear">
      <formula>NOT(ISERROR(SEARCH("Ear",AL141)))</formula>
    </cfRule>
  </conditionalFormatting>
  <conditionalFormatting sqref="AL149">
    <cfRule type="containsText" dxfId="225" priority="1126" operator="containsText" text="fnd">
      <formula>NOT(ISERROR(SEARCH("fnd",AL149)))</formula>
    </cfRule>
    <cfRule type="containsText" dxfId="224" priority="1125" operator="containsText" text="Ear">
      <formula>NOT(ISERROR(SEARCH("Ear",AL149)))</formula>
    </cfRule>
    <cfRule type="containsText" dxfId="223" priority="1123" operator="containsText" text="Str">
      <formula>NOT(ISERROR(SEARCH("Str",AL149)))</formula>
    </cfRule>
    <cfRule type="containsText" dxfId="222" priority="1124" operator="containsText" text="Ere">
      <formula>NOT(ISERROR(SEARCH("Ere",AL149)))</formula>
    </cfRule>
  </conditionalFormatting>
  <conditionalFormatting sqref="AL157">
    <cfRule type="containsText" dxfId="221" priority="1044" operator="containsText" text="Ere">
      <formula>NOT(ISERROR(SEARCH("Ere",AL157)))</formula>
    </cfRule>
    <cfRule type="containsText" dxfId="220" priority="1043" operator="containsText" text="Str">
      <formula>NOT(ISERROR(SEARCH("Str",AL157)))</formula>
    </cfRule>
    <cfRule type="containsText" dxfId="219" priority="1046" operator="containsText" text="fnd">
      <formula>NOT(ISERROR(SEARCH("fnd",AL157)))</formula>
    </cfRule>
    <cfRule type="containsText" dxfId="218" priority="1045" operator="containsText" text="Ear">
      <formula>NOT(ISERROR(SEARCH("Ear",AL157)))</formula>
    </cfRule>
  </conditionalFormatting>
  <conditionalFormatting sqref="AL165">
    <cfRule type="containsText" dxfId="217" priority="990" operator="containsText" text="fnd">
      <formula>NOT(ISERROR(SEARCH("fnd",AL165)))</formula>
    </cfRule>
    <cfRule type="containsText" dxfId="216" priority="989" operator="containsText" text="Ear">
      <formula>NOT(ISERROR(SEARCH("Ear",AL165)))</formula>
    </cfRule>
    <cfRule type="containsText" dxfId="215" priority="988" operator="containsText" text="Ere">
      <formula>NOT(ISERROR(SEARCH("Ere",AL165)))</formula>
    </cfRule>
    <cfRule type="containsText" dxfId="214" priority="987" operator="containsText" text="Str">
      <formula>NOT(ISERROR(SEARCH("Str",AL165)))</formula>
    </cfRule>
  </conditionalFormatting>
  <conditionalFormatting sqref="AL173">
    <cfRule type="containsText" dxfId="213" priority="942" operator="containsText" text="fnd">
      <formula>NOT(ISERROR(SEARCH("fnd",AL173)))</formula>
    </cfRule>
    <cfRule type="containsText" dxfId="212" priority="941" operator="containsText" text="Ear">
      <formula>NOT(ISERROR(SEARCH("Ear",AL173)))</formula>
    </cfRule>
    <cfRule type="containsText" dxfId="211" priority="940" operator="containsText" text="Ere">
      <formula>NOT(ISERROR(SEARCH("Ere",AL173)))</formula>
    </cfRule>
    <cfRule type="containsText" dxfId="210" priority="939" operator="containsText" text="Str">
      <formula>NOT(ISERROR(SEARCH("Str",AL173)))</formula>
    </cfRule>
  </conditionalFormatting>
  <conditionalFormatting sqref="AL181">
    <cfRule type="containsText" dxfId="209" priority="831" operator="containsText" text="Str">
      <formula>NOT(ISERROR(SEARCH("Str",AL181)))</formula>
    </cfRule>
    <cfRule type="containsText" dxfId="208" priority="832" operator="containsText" text="Ere">
      <formula>NOT(ISERROR(SEARCH("Ere",AL181)))</formula>
    </cfRule>
    <cfRule type="containsText" dxfId="207" priority="833" operator="containsText" text="Ear">
      <formula>NOT(ISERROR(SEARCH("Ear",AL181)))</formula>
    </cfRule>
    <cfRule type="containsText" dxfId="206" priority="834" operator="containsText" text="fnd">
      <formula>NOT(ISERROR(SEARCH("fnd",AL181)))</formula>
    </cfRule>
  </conditionalFormatting>
  <conditionalFormatting sqref="AL30:AM30">
    <cfRule type="containsText" dxfId="205" priority="775" operator="containsText" text="Str">
      <formula>NOT(ISERROR(SEARCH("Str",AL30)))</formula>
    </cfRule>
    <cfRule type="containsText" dxfId="204" priority="778" operator="containsText" text="fnd">
      <formula>NOT(ISERROR(SEARCH("fnd",AL30)))</formula>
    </cfRule>
    <cfRule type="containsText" dxfId="203" priority="776" operator="containsText" text="Ere">
      <formula>NOT(ISERROR(SEARCH("Ere",AL30)))</formula>
    </cfRule>
    <cfRule type="containsText" dxfId="202" priority="777" operator="containsText" text="Ear">
      <formula>NOT(ISERROR(SEARCH("Ear",AL30)))</formula>
    </cfRule>
  </conditionalFormatting>
  <conditionalFormatting sqref="AL38:AM38">
    <cfRule type="containsText" dxfId="201" priority="472" operator="containsText" text="Ere">
      <formula>NOT(ISERROR(SEARCH("Ere",AL38)))</formula>
    </cfRule>
    <cfRule type="containsText" dxfId="200" priority="471" operator="containsText" text="Str">
      <formula>NOT(ISERROR(SEARCH("Str",AL38)))</formula>
    </cfRule>
    <cfRule type="containsText" dxfId="199" priority="473" operator="containsText" text="Ear">
      <formula>NOT(ISERROR(SEARCH("Ear",AL38)))</formula>
    </cfRule>
    <cfRule type="containsText" dxfId="198" priority="474" operator="containsText" text="fnd">
      <formula>NOT(ISERROR(SEARCH("fnd",AL38)))</formula>
    </cfRule>
  </conditionalFormatting>
  <conditionalFormatting sqref="AL53:AM54">
    <cfRule type="containsText" dxfId="197" priority="703" operator="containsText" text="Str">
      <formula>NOT(ISERROR(SEARCH("Str",AL53)))</formula>
    </cfRule>
    <cfRule type="containsText" dxfId="196" priority="704" operator="containsText" text="Ere">
      <formula>NOT(ISERROR(SEARCH("Ere",AL53)))</formula>
    </cfRule>
    <cfRule type="containsText" dxfId="195" priority="705" operator="containsText" text="Ear">
      <formula>NOT(ISERROR(SEARCH("Ear",AL53)))</formula>
    </cfRule>
    <cfRule type="containsText" dxfId="194" priority="706" operator="containsText" text="fnd">
      <formula>NOT(ISERROR(SEARCH("fnd",AL53)))</formula>
    </cfRule>
  </conditionalFormatting>
  <conditionalFormatting sqref="AL70:AM70">
    <cfRule type="containsText" dxfId="193" priority="2199" operator="containsText" text="Str">
      <formula>NOT(ISERROR(SEARCH("Str",AL70)))</formula>
    </cfRule>
    <cfRule type="containsText" dxfId="192" priority="2202" operator="containsText" text="fnd">
      <formula>NOT(ISERROR(SEARCH("fnd",AL70)))</formula>
    </cfRule>
    <cfRule type="containsText" dxfId="191" priority="2201" operator="containsText" text="Ear">
      <formula>NOT(ISERROR(SEARCH("Ear",AL70)))</formula>
    </cfRule>
    <cfRule type="containsText" dxfId="190" priority="2200" operator="containsText" text="Ere">
      <formula>NOT(ISERROR(SEARCH("Ere",AL70)))</formula>
    </cfRule>
  </conditionalFormatting>
  <conditionalFormatting sqref="AL78:AM78">
    <cfRule type="containsText" dxfId="189" priority="642" operator="containsText" text="fnd">
      <formula>NOT(ISERROR(SEARCH("fnd",AL78)))</formula>
    </cfRule>
    <cfRule type="containsText" dxfId="188" priority="641" operator="containsText" text="Ear">
      <formula>NOT(ISERROR(SEARCH("Ear",AL78)))</formula>
    </cfRule>
    <cfRule type="containsText" dxfId="187" priority="640" operator="containsText" text="Ere">
      <formula>NOT(ISERROR(SEARCH("Ere",AL78)))</formula>
    </cfRule>
    <cfRule type="containsText" dxfId="186" priority="639" operator="containsText" text="Str">
      <formula>NOT(ISERROR(SEARCH("Str",AL78)))</formula>
    </cfRule>
  </conditionalFormatting>
  <conditionalFormatting sqref="AL102:AM102">
    <cfRule type="containsText" dxfId="185" priority="1867" operator="containsText" text="Str">
      <formula>NOT(ISERROR(SEARCH("Str",AL102)))</formula>
    </cfRule>
    <cfRule type="containsText" dxfId="184" priority="1868" operator="containsText" text="Ere">
      <formula>NOT(ISERROR(SEARCH("Ere",AL102)))</formula>
    </cfRule>
    <cfRule type="containsText" dxfId="183" priority="1869" operator="containsText" text="Ear">
      <formula>NOT(ISERROR(SEARCH("Ear",AL102)))</formula>
    </cfRule>
    <cfRule type="containsText" dxfId="182" priority="1870" operator="containsText" text="fnd">
      <formula>NOT(ISERROR(SEARCH("fnd",AL102)))</formula>
    </cfRule>
  </conditionalFormatting>
  <conditionalFormatting sqref="AL118:AM118">
    <cfRule type="containsText" dxfId="181" priority="344" operator="containsText" text="fnd">
      <formula>NOT(ISERROR(SEARCH("fnd",AL118)))</formula>
    </cfRule>
    <cfRule type="containsText" dxfId="180" priority="343" operator="containsText" text="Ear">
      <formula>NOT(ISERROR(SEARCH("Ear",AL118)))</formula>
    </cfRule>
    <cfRule type="containsText" dxfId="179" priority="342" operator="containsText" text="Ere">
      <formula>NOT(ISERROR(SEARCH("Ere",AL118)))</formula>
    </cfRule>
    <cfRule type="containsText" dxfId="178" priority="341" operator="containsText" text="Str">
      <formula>NOT(ISERROR(SEARCH("Str",AL118)))</formula>
    </cfRule>
  </conditionalFormatting>
  <conditionalFormatting sqref="AL142:AM142">
    <cfRule type="containsText" dxfId="177" priority="1194" operator="containsText" text="fnd">
      <formula>NOT(ISERROR(SEARCH("fnd",AL142)))</formula>
    </cfRule>
    <cfRule type="containsText" dxfId="176" priority="1193" operator="containsText" text="Ear">
      <formula>NOT(ISERROR(SEARCH("Ear",AL142)))</formula>
    </cfRule>
    <cfRule type="containsText" dxfId="175" priority="1192" operator="containsText" text="Ere">
      <formula>NOT(ISERROR(SEARCH("Ere",AL142)))</formula>
    </cfRule>
    <cfRule type="containsText" dxfId="174" priority="1191" operator="containsText" text="Str">
      <formula>NOT(ISERROR(SEARCH("Str",AL142)))</formula>
    </cfRule>
  </conditionalFormatting>
  <conditionalFormatting sqref="AL158:AM158">
    <cfRule type="containsText" dxfId="173" priority="1049" operator="containsText" text="Ear">
      <formula>NOT(ISERROR(SEARCH("Ear",AL158)))</formula>
    </cfRule>
    <cfRule type="containsText" dxfId="172" priority="1047" operator="containsText" text="Str">
      <formula>NOT(ISERROR(SEARCH("Str",AL158)))</formula>
    </cfRule>
    <cfRule type="containsText" dxfId="171" priority="1050" operator="containsText" text="fnd">
      <formula>NOT(ISERROR(SEARCH("fnd",AL158)))</formula>
    </cfRule>
    <cfRule type="containsText" dxfId="170" priority="1048" operator="containsText" text="Ere">
      <formula>NOT(ISERROR(SEARCH("Ere",AL158)))</formula>
    </cfRule>
  </conditionalFormatting>
  <conditionalFormatting sqref="AL166:AM166">
    <cfRule type="containsText" dxfId="169" priority="994" operator="containsText" text="fnd">
      <formula>NOT(ISERROR(SEARCH("fnd",AL166)))</formula>
    </cfRule>
    <cfRule type="containsText" dxfId="168" priority="993" operator="containsText" text="Ear">
      <formula>NOT(ISERROR(SEARCH("Ear",AL166)))</formula>
    </cfRule>
    <cfRule type="containsText" dxfId="167" priority="991" operator="containsText" text="Str">
      <formula>NOT(ISERROR(SEARCH("Str",AL166)))</formula>
    </cfRule>
    <cfRule type="containsText" dxfId="166" priority="992" operator="containsText" text="Ere">
      <formula>NOT(ISERROR(SEARCH("Ere",AL166)))</formula>
    </cfRule>
  </conditionalFormatting>
  <conditionalFormatting sqref="AL174:AM174">
    <cfRule type="containsText" dxfId="165" priority="946" operator="containsText" text="fnd">
      <formula>NOT(ISERROR(SEARCH("fnd",AL174)))</formula>
    </cfRule>
    <cfRule type="containsText" dxfId="164" priority="945" operator="containsText" text="Ear">
      <formula>NOT(ISERROR(SEARCH("Ear",AL174)))</formula>
    </cfRule>
    <cfRule type="containsText" dxfId="163" priority="944" operator="containsText" text="Ere">
      <formula>NOT(ISERROR(SEARCH("Ere",AL174)))</formula>
    </cfRule>
    <cfRule type="containsText" dxfId="162" priority="943" operator="containsText" text="Str">
      <formula>NOT(ISERROR(SEARCH("Str",AL174)))</formula>
    </cfRule>
  </conditionalFormatting>
  <conditionalFormatting sqref="AL182:AM182">
    <cfRule type="containsText" dxfId="161" priority="836" operator="containsText" text="Ere">
      <formula>NOT(ISERROR(SEARCH("Ere",AL182)))</formula>
    </cfRule>
    <cfRule type="containsText" dxfId="160" priority="835" operator="containsText" text="Str">
      <formula>NOT(ISERROR(SEARCH("Str",AL182)))</formula>
    </cfRule>
    <cfRule type="containsText" dxfId="159" priority="837" operator="containsText" text="Ear">
      <formula>NOT(ISERROR(SEARCH("Ear",AL182)))</formula>
    </cfRule>
    <cfRule type="containsText" dxfId="158" priority="838" operator="containsText" text="fnd">
      <formula>NOT(ISERROR(SEARCH("fnd",AL182)))</formula>
    </cfRule>
  </conditionalFormatting>
  <conditionalFormatting sqref="AM14">
    <cfRule type="containsText" dxfId="157" priority="1623" operator="containsText" text="Str">
      <formula>NOT(ISERROR(SEARCH("Str",AM14)))</formula>
    </cfRule>
    <cfRule type="containsText" dxfId="156" priority="1625" operator="containsText" text="Ear">
      <formula>NOT(ISERROR(SEARCH("Ear",AM14)))</formula>
    </cfRule>
    <cfRule type="containsText" dxfId="155" priority="1626" operator="containsText" text="fnd">
      <formula>NOT(ISERROR(SEARCH("fnd",AM14)))</formula>
    </cfRule>
    <cfRule type="containsText" dxfId="154" priority="1624" operator="containsText" text="Ere">
      <formula>NOT(ISERROR(SEARCH("Ere",AM14)))</formula>
    </cfRule>
  </conditionalFormatting>
  <conditionalFormatting sqref="AO5:AO6">
    <cfRule type="containsText" dxfId="153" priority="393" operator="containsText" text="Str">
      <formula>NOT(ISERROR(SEARCH("Str",AO5)))</formula>
    </cfRule>
    <cfRule type="containsText" dxfId="152" priority="394" operator="containsText" text="Ere">
      <formula>NOT(ISERROR(SEARCH("Ere",AO5)))</formula>
    </cfRule>
    <cfRule type="containsText" dxfId="151" priority="395" operator="containsText" text="Ear">
      <formula>NOT(ISERROR(SEARCH("Ear",AO5)))</formula>
    </cfRule>
    <cfRule type="containsText" dxfId="150" priority="396" operator="containsText" text="fnd">
      <formula>NOT(ISERROR(SEARCH("fnd",AO5)))</formula>
    </cfRule>
  </conditionalFormatting>
  <conditionalFormatting sqref="AO13:AO14">
    <cfRule type="containsText" dxfId="149" priority="1772" operator="containsText" text="Ere">
      <formula>NOT(ISERROR(SEARCH("Ere",AO13)))</formula>
    </cfRule>
    <cfRule type="containsText" dxfId="148" priority="1774" operator="containsText" text="fnd">
      <formula>NOT(ISERROR(SEARCH("fnd",AO13)))</formula>
    </cfRule>
    <cfRule type="containsText" dxfId="147" priority="1773" operator="containsText" text="Ear">
      <formula>NOT(ISERROR(SEARCH("Ear",AO13)))</formula>
    </cfRule>
    <cfRule type="containsText" dxfId="146" priority="1771" operator="containsText" text="Str">
      <formula>NOT(ISERROR(SEARCH("Str",AO13)))</formula>
    </cfRule>
  </conditionalFormatting>
  <conditionalFormatting sqref="AO21:AO22">
    <cfRule type="containsText" dxfId="145" priority="793" operator="containsText" text="Ear">
      <formula>NOT(ISERROR(SEARCH("Ear",AO21)))</formula>
    </cfRule>
    <cfRule type="containsText" dxfId="144" priority="794" operator="containsText" text="fnd">
      <formula>NOT(ISERROR(SEARCH("fnd",AO21)))</formula>
    </cfRule>
    <cfRule type="containsText" dxfId="143" priority="791" operator="containsText" text="Str">
      <formula>NOT(ISERROR(SEARCH("Str",AO21)))</formula>
    </cfRule>
    <cfRule type="containsText" dxfId="142" priority="792" operator="containsText" text="Ere">
      <formula>NOT(ISERROR(SEARCH("Ere",AO21)))</formula>
    </cfRule>
  </conditionalFormatting>
  <conditionalFormatting sqref="AO29">
    <cfRule type="containsText" dxfId="141" priority="763" operator="containsText" text="Str">
      <formula>NOT(ISERROR(SEARCH("Str",AO29)))</formula>
    </cfRule>
    <cfRule type="containsText" dxfId="140" priority="764" operator="containsText" text="Ere">
      <formula>NOT(ISERROR(SEARCH("Ere",AO29)))</formula>
    </cfRule>
    <cfRule type="containsText" dxfId="139" priority="765" operator="containsText" text="Ear">
      <formula>NOT(ISERROR(SEARCH("Ear",AO29)))</formula>
    </cfRule>
    <cfRule type="containsText" dxfId="138" priority="766" operator="containsText" text="fnd">
      <formula>NOT(ISERROR(SEARCH("fnd",AO29)))</formula>
    </cfRule>
  </conditionalFormatting>
  <conditionalFormatting sqref="AO37">
    <cfRule type="containsText" dxfId="137" priority="528" operator="containsText" text="Ere">
      <formula>NOT(ISERROR(SEARCH("Ere",AO37)))</formula>
    </cfRule>
    <cfRule type="containsText" dxfId="136" priority="530" operator="containsText" text="fnd">
      <formula>NOT(ISERROR(SEARCH("fnd",AO37)))</formula>
    </cfRule>
    <cfRule type="containsText" dxfId="135" priority="529" operator="containsText" text="Ear">
      <formula>NOT(ISERROR(SEARCH("Ear",AO37)))</formula>
    </cfRule>
    <cfRule type="containsText" dxfId="134" priority="527" operator="containsText" text="Str">
      <formula>NOT(ISERROR(SEARCH("Str",AO37)))</formula>
    </cfRule>
  </conditionalFormatting>
  <conditionalFormatting sqref="AO61:AO62">
    <cfRule type="containsText" dxfId="133" priority="1991" operator="containsText" text="Str">
      <formula>NOT(ISERROR(SEARCH("Str",AO61)))</formula>
    </cfRule>
    <cfRule type="containsText" dxfId="132" priority="1992" operator="containsText" text="Ere">
      <formula>NOT(ISERROR(SEARCH("Ere",AO61)))</formula>
    </cfRule>
    <cfRule type="containsText" dxfId="131" priority="1993" operator="containsText" text="Ear">
      <formula>NOT(ISERROR(SEARCH("Ear",AO61)))</formula>
    </cfRule>
    <cfRule type="containsText" dxfId="130" priority="1994" operator="containsText" text="fnd">
      <formula>NOT(ISERROR(SEARCH("fnd",AO61)))</formula>
    </cfRule>
  </conditionalFormatting>
  <conditionalFormatting sqref="AO69">
    <cfRule type="containsText" dxfId="129" priority="669" operator="containsText" text="Ear">
      <formula>NOT(ISERROR(SEARCH("Ear",AO69)))</formula>
    </cfRule>
    <cfRule type="containsText" dxfId="128" priority="668" operator="containsText" text="Ere">
      <formula>NOT(ISERROR(SEARCH("Ere",AO69)))</formula>
    </cfRule>
    <cfRule type="containsText" dxfId="127" priority="667" operator="containsText" text="Str">
      <formula>NOT(ISERROR(SEARCH("Str",AO69)))</formula>
    </cfRule>
    <cfRule type="containsText" dxfId="126" priority="670" operator="containsText" text="fnd">
      <formula>NOT(ISERROR(SEARCH("fnd",AO69)))</formula>
    </cfRule>
  </conditionalFormatting>
  <conditionalFormatting sqref="AO77">
    <cfRule type="containsText" dxfId="125" priority="494" operator="containsText" text="fnd">
      <formula>NOT(ISERROR(SEARCH("fnd",AO77)))</formula>
    </cfRule>
    <cfRule type="containsText" dxfId="124" priority="493" operator="containsText" text="Ear">
      <formula>NOT(ISERROR(SEARCH("Ear",AO77)))</formula>
    </cfRule>
    <cfRule type="containsText" dxfId="123" priority="492" operator="containsText" text="Ere">
      <formula>NOT(ISERROR(SEARCH("Ere",AO77)))</formula>
    </cfRule>
    <cfRule type="containsText" dxfId="122" priority="491" operator="containsText" text="Str">
      <formula>NOT(ISERROR(SEARCH("Str",AO77)))</formula>
    </cfRule>
  </conditionalFormatting>
  <conditionalFormatting sqref="AO85">
    <cfRule type="containsText" dxfId="121" priority="620" operator="containsText" text="Ere">
      <formula>NOT(ISERROR(SEARCH("Ere",AO85)))</formula>
    </cfRule>
    <cfRule type="containsText" dxfId="120" priority="621" operator="containsText" text="Ear">
      <formula>NOT(ISERROR(SEARCH("Ear",AO85)))</formula>
    </cfRule>
    <cfRule type="containsText" dxfId="119" priority="622" operator="containsText" text="fnd">
      <formula>NOT(ISERROR(SEARCH("fnd",AO85)))</formula>
    </cfRule>
    <cfRule type="containsText" dxfId="118" priority="619" operator="containsText" text="Str">
      <formula>NOT(ISERROR(SEARCH("Str",AO85)))</formula>
    </cfRule>
  </conditionalFormatting>
  <conditionalFormatting sqref="AO93:AO94">
    <cfRule type="containsText" dxfId="117" priority="1874" operator="containsText" text="fnd">
      <formula>NOT(ISERROR(SEARCH("fnd",AO93)))</formula>
    </cfRule>
    <cfRule type="containsText" dxfId="116" priority="1873" operator="containsText" text="Ear">
      <formula>NOT(ISERROR(SEARCH("Ear",AO93)))</formula>
    </cfRule>
    <cfRule type="containsText" dxfId="115" priority="1872" operator="containsText" text="Ere">
      <formula>NOT(ISERROR(SEARCH("Ere",AO93)))</formula>
    </cfRule>
    <cfRule type="containsText" dxfId="114" priority="1871" operator="containsText" text="Str">
      <formula>NOT(ISERROR(SEARCH("Str",AO93)))</formula>
    </cfRule>
  </conditionalFormatting>
  <conditionalFormatting sqref="AO101">
    <cfRule type="containsText" dxfId="113" priority="562" operator="containsText" text="fnd">
      <formula>NOT(ISERROR(SEARCH("fnd",AO101)))</formula>
    </cfRule>
    <cfRule type="containsText" dxfId="112" priority="559" operator="containsText" text="Str">
      <formula>NOT(ISERROR(SEARCH("Str",AO101)))</formula>
    </cfRule>
    <cfRule type="containsText" dxfId="111" priority="561" operator="containsText" text="Ear">
      <formula>NOT(ISERROR(SEARCH("Ear",AO101)))</formula>
    </cfRule>
    <cfRule type="containsText" dxfId="110" priority="560" operator="containsText" text="Ere">
      <formula>NOT(ISERROR(SEARCH("Ere",AO101)))</formula>
    </cfRule>
  </conditionalFormatting>
  <conditionalFormatting sqref="AO109">
    <cfRule type="containsText" dxfId="109" priority="549" operator="containsText" text="Ear">
      <formula>NOT(ISERROR(SEARCH("Ear",AO109)))</formula>
    </cfRule>
    <cfRule type="containsText" dxfId="108" priority="547" operator="containsText" text="Str">
      <formula>NOT(ISERROR(SEARCH("Str",AO109)))</formula>
    </cfRule>
    <cfRule type="containsText" dxfId="107" priority="548" operator="containsText" text="Ere">
      <formula>NOT(ISERROR(SEARCH("Ere",AO109)))</formula>
    </cfRule>
    <cfRule type="containsText" dxfId="106" priority="550" operator="containsText" text="fnd">
      <formula>NOT(ISERROR(SEARCH("fnd",AO109)))</formula>
    </cfRule>
  </conditionalFormatting>
  <conditionalFormatting sqref="AO117">
    <cfRule type="containsText" dxfId="105" priority="1356" operator="containsText" text="Ere">
      <formula>NOT(ISERROR(SEARCH("Ere",AO117)))</formula>
    </cfRule>
    <cfRule type="containsText" dxfId="104" priority="1355" operator="containsText" text="Str">
      <formula>NOT(ISERROR(SEARCH("Str",AO117)))</formula>
    </cfRule>
    <cfRule type="containsText" dxfId="103" priority="1357" operator="containsText" text="Ear">
      <formula>NOT(ISERROR(SEARCH("Ear",AO117)))</formula>
    </cfRule>
    <cfRule type="containsText" dxfId="102" priority="1358" operator="containsText" text="fnd">
      <formula>NOT(ISERROR(SEARCH("fnd",AO117)))</formula>
    </cfRule>
  </conditionalFormatting>
  <conditionalFormatting sqref="AO122 AO130 AO138 AO154 AO162 AO170 AO178 AO186:AO192">
    <cfRule type="containsText" dxfId="101" priority="2025" operator="containsText" text="Ear">
      <formula>NOT(ISERROR(SEARCH("Ear",AO122)))</formula>
    </cfRule>
    <cfRule type="containsText" dxfId="100" priority="2023" operator="containsText" text="Str">
      <formula>NOT(ISERROR(SEARCH("Str",AO122)))</formula>
    </cfRule>
    <cfRule type="containsText" dxfId="99" priority="2024" operator="containsText" text="Ere">
      <formula>NOT(ISERROR(SEARCH("Ere",AO122)))</formula>
    </cfRule>
    <cfRule type="containsText" dxfId="98" priority="2026" operator="containsText" text="fnd">
      <formula>NOT(ISERROR(SEARCH("fnd",AO122)))</formula>
    </cfRule>
  </conditionalFormatting>
  <conditionalFormatting sqref="AO125">
    <cfRule type="containsText" dxfId="97" priority="1327" operator="containsText" text="Str">
      <formula>NOT(ISERROR(SEARCH("Str",AO125)))</formula>
    </cfRule>
    <cfRule type="containsText" dxfId="96" priority="1328" operator="containsText" text="Ere">
      <formula>NOT(ISERROR(SEARCH("Ere",AO125)))</formula>
    </cfRule>
    <cfRule type="containsText" dxfId="95" priority="1329" operator="containsText" text="Ear">
      <formula>NOT(ISERROR(SEARCH("Ear",AO125)))</formula>
    </cfRule>
    <cfRule type="containsText" dxfId="94" priority="1330" operator="containsText" text="fnd">
      <formula>NOT(ISERROR(SEARCH("fnd",AO125)))</formula>
    </cfRule>
  </conditionalFormatting>
  <conditionalFormatting sqref="AO133">
    <cfRule type="containsText" dxfId="93" priority="1276" operator="containsText" text="Ere">
      <formula>NOT(ISERROR(SEARCH("Ere",AO133)))</formula>
    </cfRule>
    <cfRule type="containsText" dxfId="92" priority="1275" operator="containsText" text="Str">
      <formula>NOT(ISERROR(SEARCH("Str",AO133)))</formula>
    </cfRule>
    <cfRule type="containsText" dxfId="91" priority="1278" operator="containsText" text="fnd">
      <formula>NOT(ISERROR(SEARCH("fnd",AO133)))</formula>
    </cfRule>
    <cfRule type="containsText" dxfId="90" priority="1277" operator="containsText" text="Ear">
      <formula>NOT(ISERROR(SEARCH("Ear",AO133)))</formula>
    </cfRule>
  </conditionalFormatting>
  <conditionalFormatting sqref="AO141">
    <cfRule type="containsText" dxfId="89" priority="262" operator="containsText" text="Ere">
      <formula>NOT(ISERROR(SEARCH("Ere",AO141)))</formula>
    </cfRule>
    <cfRule type="containsText" dxfId="88" priority="263" operator="containsText" text="Ear">
      <formula>NOT(ISERROR(SEARCH("Ear",AO141)))</formula>
    </cfRule>
    <cfRule type="containsText" dxfId="87" priority="264" operator="containsText" text="fnd">
      <formula>NOT(ISERROR(SEARCH("fnd",AO141)))</formula>
    </cfRule>
    <cfRule type="containsText" dxfId="86" priority="261" operator="containsText" text="Str">
      <formula>NOT(ISERROR(SEARCH("Str",AO141)))</formula>
    </cfRule>
  </conditionalFormatting>
  <conditionalFormatting sqref="AO149">
    <cfRule type="containsText" dxfId="85" priority="1121" operator="containsText" text="Ear">
      <formula>NOT(ISERROR(SEARCH("Ear",AO149)))</formula>
    </cfRule>
    <cfRule type="containsText" dxfId="84" priority="1119" operator="containsText" text="Str">
      <formula>NOT(ISERROR(SEARCH("Str",AO149)))</formula>
    </cfRule>
    <cfRule type="containsText" dxfId="83" priority="1122" operator="containsText" text="fnd">
      <formula>NOT(ISERROR(SEARCH("fnd",AO149)))</formula>
    </cfRule>
    <cfRule type="containsText" dxfId="82" priority="1120" operator="containsText" text="Ere">
      <formula>NOT(ISERROR(SEARCH("Ere",AO149)))</formula>
    </cfRule>
  </conditionalFormatting>
  <conditionalFormatting sqref="AO157">
    <cfRule type="containsText" dxfId="81" priority="1030" operator="containsText" text="fnd">
      <formula>NOT(ISERROR(SEARCH("fnd",AO157)))</formula>
    </cfRule>
    <cfRule type="containsText" dxfId="80" priority="1029" operator="containsText" text="Ear">
      <formula>NOT(ISERROR(SEARCH("Ear",AO157)))</formula>
    </cfRule>
    <cfRule type="containsText" dxfId="79" priority="1028" operator="containsText" text="Ere">
      <formula>NOT(ISERROR(SEARCH("Ere",AO157)))</formula>
    </cfRule>
    <cfRule type="containsText" dxfId="78" priority="1027" operator="containsText" text="Str">
      <formula>NOT(ISERROR(SEARCH("Str",AO157)))</formula>
    </cfRule>
  </conditionalFormatting>
  <conditionalFormatting sqref="AO165">
    <cfRule type="containsText" dxfId="77" priority="985" operator="containsText" text="Ear">
      <formula>NOT(ISERROR(SEARCH("Ear",AO165)))</formula>
    </cfRule>
    <cfRule type="containsText" dxfId="76" priority="986" operator="containsText" text="fnd">
      <formula>NOT(ISERROR(SEARCH("fnd",AO165)))</formula>
    </cfRule>
    <cfRule type="containsText" dxfId="75" priority="984" operator="containsText" text="Ere">
      <formula>NOT(ISERROR(SEARCH("Ere",AO165)))</formula>
    </cfRule>
    <cfRule type="containsText" dxfId="74" priority="983" operator="containsText" text="Str">
      <formula>NOT(ISERROR(SEARCH("Str",AO165)))</formula>
    </cfRule>
  </conditionalFormatting>
  <conditionalFormatting sqref="AO173">
    <cfRule type="containsText" dxfId="73" priority="930" operator="containsText" text="fnd">
      <formula>NOT(ISERROR(SEARCH("fnd",AO173)))</formula>
    </cfRule>
    <cfRule type="containsText" dxfId="72" priority="929" operator="containsText" text="Ear">
      <formula>NOT(ISERROR(SEARCH("Ear",AO173)))</formula>
    </cfRule>
    <cfRule type="containsText" dxfId="71" priority="928" operator="containsText" text="Ere">
      <formula>NOT(ISERROR(SEARCH("Ere",AO173)))</formula>
    </cfRule>
    <cfRule type="containsText" dxfId="70" priority="927" operator="containsText" text="Str">
      <formula>NOT(ISERROR(SEARCH("Str",AO173)))</formula>
    </cfRule>
  </conditionalFormatting>
  <conditionalFormatting sqref="AO181">
    <cfRule type="containsText" dxfId="69" priority="818" operator="containsText" text="fnd">
      <formula>NOT(ISERROR(SEARCH("fnd",AO181)))</formula>
    </cfRule>
    <cfRule type="containsText" dxfId="68" priority="815" operator="containsText" text="Str">
      <formula>NOT(ISERROR(SEARCH("Str",AO181)))</formula>
    </cfRule>
    <cfRule type="containsText" dxfId="67" priority="817" operator="containsText" text="Ear">
      <formula>NOT(ISERROR(SEARCH("Ear",AO181)))</formula>
    </cfRule>
    <cfRule type="containsText" dxfId="66" priority="816" operator="containsText" text="Ere">
      <formula>NOT(ISERROR(SEARCH("Ere",AO181)))</formula>
    </cfRule>
  </conditionalFormatting>
  <conditionalFormatting sqref="AO30:AR30">
    <cfRule type="containsText" dxfId="65" priority="770" operator="containsText" text="fnd">
      <formula>NOT(ISERROR(SEARCH("fnd",AO30)))</formula>
    </cfRule>
    <cfRule type="containsText" dxfId="64" priority="767" operator="containsText" text="Str">
      <formula>NOT(ISERROR(SEARCH("Str",AO30)))</formula>
    </cfRule>
    <cfRule type="containsText" dxfId="63" priority="768" operator="containsText" text="Ere">
      <formula>NOT(ISERROR(SEARCH("Ere",AO30)))</formula>
    </cfRule>
    <cfRule type="containsText" dxfId="62" priority="769" operator="containsText" text="Ear">
      <formula>NOT(ISERROR(SEARCH("Ear",AO30)))</formula>
    </cfRule>
  </conditionalFormatting>
  <conditionalFormatting sqref="AO38:AR38">
    <cfRule type="containsText" dxfId="61" priority="533" operator="containsText" text="Ear">
      <formula>NOT(ISERROR(SEARCH("Ear",AO38)))</formula>
    </cfRule>
    <cfRule type="containsText" dxfId="60" priority="534" operator="containsText" text="fnd">
      <formula>NOT(ISERROR(SEARCH("fnd",AO38)))</formula>
    </cfRule>
    <cfRule type="containsText" dxfId="59" priority="532" operator="containsText" text="Ere">
      <formula>NOT(ISERROR(SEARCH("Ere",AO38)))</formula>
    </cfRule>
    <cfRule type="containsText" dxfId="58" priority="531" operator="containsText" text="Str">
      <formula>NOT(ISERROR(SEARCH("Str",AO38)))</formula>
    </cfRule>
  </conditionalFormatting>
  <conditionalFormatting sqref="AO53:AR54">
    <cfRule type="containsText" dxfId="57" priority="701" operator="containsText" text="Ear">
      <formula>NOT(ISERROR(SEARCH("Ear",AO53)))</formula>
    </cfRule>
    <cfRule type="containsText" dxfId="56" priority="702" operator="containsText" text="fnd">
      <formula>NOT(ISERROR(SEARCH("fnd",AO53)))</formula>
    </cfRule>
    <cfRule type="containsText" dxfId="55" priority="699" operator="containsText" text="Str">
      <formula>NOT(ISERROR(SEARCH("Str",AO53)))</formula>
    </cfRule>
    <cfRule type="containsText" dxfId="54" priority="700" operator="containsText" text="Ere">
      <formula>NOT(ISERROR(SEARCH("Ere",AO53)))</formula>
    </cfRule>
  </conditionalFormatting>
  <conditionalFormatting sqref="AO70:AR70">
    <cfRule type="containsText" dxfId="53" priority="674" operator="containsText" text="fnd">
      <formula>NOT(ISERROR(SEARCH("fnd",AO70)))</formula>
    </cfRule>
    <cfRule type="containsText" dxfId="52" priority="673" operator="containsText" text="Ear">
      <formula>NOT(ISERROR(SEARCH("Ear",AO70)))</formula>
    </cfRule>
    <cfRule type="containsText" dxfId="51" priority="671" operator="containsText" text="Str">
      <formula>NOT(ISERROR(SEARCH("Str",AO70)))</formula>
    </cfRule>
    <cfRule type="containsText" dxfId="50" priority="672" operator="containsText" text="Ere">
      <formula>NOT(ISERROR(SEARCH("Ere",AO70)))</formula>
    </cfRule>
  </conditionalFormatting>
  <conditionalFormatting sqref="AO86:AR86">
    <cfRule type="containsText" dxfId="49" priority="623" operator="containsText" text="Str">
      <formula>NOT(ISERROR(SEARCH("Str",AO86)))</formula>
    </cfRule>
    <cfRule type="containsText" dxfId="48" priority="626" operator="containsText" text="fnd">
      <formula>NOT(ISERROR(SEARCH("fnd",AO86)))</formula>
    </cfRule>
    <cfRule type="containsText" dxfId="47" priority="625" operator="containsText" text="Ear">
      <formula>NOT(ISERROR(SEARCH("Ear",AO86)))</formula>
    </cfRule>
    <cfRule type="containsText" dxfId="46" priority="624" operator="containsText" text="Ere">
      <formula>NOT(ISERROR(SEARCH("Ere",AO86)))</formula>
    </cfRule>
  </conditionalFormatting>
  <conditionalFormatting sqref="AO126:AR126">
    <cfRule type="containsText" dxfId="45" priority="1334" operator="containsText" text="fnd">
      <formula>NOT(ISERROR(SEARCH("fnd",AO126)))</formula>
    </cfRule>
    <cfRule type="containsText" dxfId="44" priority="1333" operator="containsText" text="Ear">
      <formula>NOT(ISERROR(SEARCH("Ear",AO126)))</formula>
    </cfRule>
    <cfRule type="containsText" dxfId="43" priority="1332" operator="containsText" text="Ere">
      <formula>NOT(ISERROR(SEARCH("Ere",AO126)))</formula>
    </cfRule>
    <cfRule type="containsText" dxfId="42" priority="1331" operator="containsText" text="Str">
      <formula>NOT(ISERROR(SEARCH("Str",AO126)))</formula>
    </cfRule>
  </conditionalFormatting>
  <conditionalFormatting sqref="AO134:AR134">
    <cfRule type="containsText" dxfId="41" priority="1279" operator="containsText" text="Str">
      <formula>NOT(ISERROR(SEARCH("Str",AO134)))</formula>
    </cfRule>
    <cfRule type="containsText" dxfId="40" priority="1280" operator="containsText" text="Ere">
      <formula>NOT(ISERROR(SEARCH("Ere",AO134)))</formula>
    </cfRule>
    <cfRule type="containsText" dxfId="39" priority="1281" operator="containsText" text="Ear">
      <formula>NOT(ISERROR(SEARCH("Ear",AO134)))</formula>
    </cfRule>
    <cfRule type="containsText" dxfId="38" priority="1282" operator="containsText" text="fnd">
      <formula>NOT(ISERROR(SEARCH("fnd",AO134)))</formula>
    </cfRule>
  </conditionalFormatting>
  <conditionalFormatting sqref="AO158:AR158">
    <cfRule type="containsText" dxfId="37" priority="1033" operator="containsText" text="Ear">
      <formula>NOT(ISERROR(SEARCH("Ear",AO158)))</formula>
    </cfRule>
    <cfRule type="containsText" dxfId="36" priority="1034" operator="containsText" text="fnd">
      <formula>NOT(ISERROR(SEARCH("fnd",AO158)))</formula>
    </cfRule>
    <cfRule type="containsText" dxfId="35" priority="1032" operator="containsText" text="Ere">
      <formula>NOT(ISERROR(SEARCH("Ere",AO158)))</formula>
    </cfRule>
    <cfRule type="containsText" dxfId="34" priority="1031" operator="containsText" text="Str">
      <formula>NOT(ISERROR(SEARCH("Str",AO158)))</formula>
    </cfRule>
  </conditionalFormatting>
  <conditionalFormatting sqref="AO182:AR182">
    <cfRule type="containsText" dxfId="33" priority="822" operator="containsText" text="fnd">
      <formula>NOT(ISERROR(SEARCH("fnd",AO182)))</formula>
    </cfRule>
    <cfRule type="containsText" dxfId="32" priority="821" operator="containsText" text="Ear">
      <formula>NOT(ISERROR(SEARCH("Ear",AO182)))</formula>
    </cfRule>
    <cfRule type="containsText" dxfId="31" priority="820" operator="containsText" text="Ere">
      <formula>NOT(ISERROR(SEARCH("Ere",AO182)))</formula>
    </cfRule>
    <cfRule type="containsText" dxfId="30" priority="819" operator="containsText" text="Str">
      <formula>NOT(ISERROR(SEARCH("Str",AO182)))</formula>
    </cfRule>
  </conditionalFormatting>
  <conditionalFormatting sqref="AP6:AQ6">
    <cfRule type="containsText" dxfId="29" priority="397" operator="containsText" text="Str">
      <formula>NOT(ISERROR(SEARCH("Str",AP6)))</formula>
    </cfRule>
    <cfRule type="containsText" dxfId="28" priority="398" operator="containsText" text="Ere">
      <formula>NOT(ISERROR(SEARCH("Ere",AP6)))</formula>
    </cfRule>
  </conditionalFormatting>
  <conditionalFormatting sqref="AP14:AR14">
    <cfRule type="containsText" dxfId="27" priority="1768" operator="containsText" text="Ere">
      <formula>NOT(ISERROR(SEARCH("Ere",AP14)))</formula>
    </cfRule>
    <cfRule type="containsText" dxfId="26" priority="1769" operator="containsText" text="Ear">
      <formula>NOT(ISERROR(SEARCH("Ear",AP14)))</formula>
    </cfRule>
    <cfRule type="containsText" dxfId="25" priority="1770" operator="containsText" text="fnd">
      <formula>NOT(ISERROR(SEARCH("fnd",AP14)))</formula>
    </cfRule>
    <cfRule type="containsText" dxfId="24" priority="1767" operator="containsText" text="Str">
      <formula>NOT(ISERROR(SEARCH("Str",AP14)))</formula>
    </cfRule>
  </conditionalFormatting>
  <conditionalFormatting sqref="AP22:AR22">
    <cfRule type="containsText" dxfId="23" priority="790" operator="containsText" text="fnd">
      <formula>NOT(ISERROR(SEARCH("fnd",AP22)))</formula>
    </cfRule>
    <cfRule type="containsText" dxfId="22" priority="789" operator="containsText" text="Ear">
      <formula>NOT(ISERROR(SEARCH("Ear",AP22)))</formula>
    </cfRule>
    <cfRule type="containsText" dxfId="21" priority="787" operator="containsText" text="Str">
      <formula>NOT(ISERROR(SEARCH("Str",AP22)))</formula>
    </cfRule>
    <cfRule type="containsText" dxfId="20" priority="788" operator="containsText" text="Ere">
      <formula>NOT(ISERROR(SEARCH("Ere",AP22)))</formula>
    </cfRule>
  </conditionalFormatting>
  <conditionalFormatting sqref="AP62:AR62">
    <cfRule type="containsText" dxfId="19" priority="1998" operator="containsText" text="fnd">
      <formula>NOT(ISERROR(SEARCH("fnd",AP62)))</formula>
    </cfRule>
    <cfRule type="containsText" dxfId="18" priority="1995" operator="containsText" text="Str">
      <formula>NOT(ISERROR(SEARCH("Str",AP62)))</formula>
    </cfRule>
    <cfRule type="containsText" dxfId="17" priority="1997" operator="containsText" text="Ear">
      <formula>NOT(ISERROR(SEARCH("Ear",AP62)))</formula>
    </cfRule>
    <cfRule type="containsText" dxfId="16" priority="1996" operator="containsText" text="Ere">
      <formula>NOT(ISERROR(SEARCH("Ere",AP62)))</formula>
    </cfRule>
  </conditionalFormatting>
  <conditionalFormatting sqref="AQ142:AR142">
    <cfRule type="containsText" dxfId="15" priority="1178" operator="containsText" text="fnd">
      <formula>NOT(ISERROR(SEARCH("fnd",AQ142)))</formula>
    </cfRule>
    <cfRule type="containsText" dxfId="14" priority="1175" operator="containsText" text="Str">
      <formula>NOT(ISERROR(SEARCH("Str",AQ142)))</formula>
    </cfRule>
    <cfRule type="containsText" dxfId="13" priority="1176" operator="containsText" text="Ere">
      <formula>NOT(ISERROR(SEARCH("Ere",AQ142)))</formula>
    </cfRule>
    <cfRule type="containsText" dxfId="12" priority="1177" operator="containsText" text="Ear">
      <formula>NOT(ISERROR(SEARCH("Ear",AQ142)))</formula>
    </cfRule>
  </conditionalFormatting>
  <conditionalFormatting sqref="AR5:AR6">
    <cfRule type="containsText" dxfId="11" priority="814" operator="containsText" text="fnd">
      <formula>NOT(ISERROR(SEARCH("fnd",AR5)))</formula>
    </cfRule>
    <cfRule type="containsText" dxfId="10" priority="812" operator="containsText" text="Ere">
      <formula>NOT(ISERROR(SEARCH("Ere",AR5)))</formula>
    </cfRule>
    <cfRule type="containsText" dxfId="9" priority="811" operator="containsText" text="Str">
      <formula>NOT(ISERROR(SEARCH("Str",AR5)))</formula>
    </cfRule>
    <cfRule type="containsText" dxfId="8" priority="813" operator="containsText" text="Ear">
      <formula>NOT(ISERROR(SEARCH("Ear",AR5)))</formula>
    </cfRule>
  </conditionalFormatting>
  <conditionalFormatting sqref="AZ2 AV2:AX3 AY3:AZ3 AW27:AZ27">
    <cfRule type="containsText" dxfId="7" priority="2367" operator="containsText" text="Str">
      <formula>NOT(ISERROR(SEARCH("Str",AV2)))</formula>
    </cfRule>
    <cfRule type="containsText" dxfId="6" priority="2368" operator="containsText" text="Ere">
      <formula>NOT(ISERROR(SEARCH("Ere",AV2)))</formula>
    </cfRule>
    <cfRule type="containsText" dxfId="5" priority="2369" operator="containsText" text="Ear">
      <formula>NOT(ISERROR(SEARCH("Ear",AV2)))</formula>
    </cfRule>
    <cfRule type="containsText" dxfId="4" priority="2370" operator="containsText" text="fnd">
      <formula>NOT(ISERROR(SEARCH("fnd",AV2)))</formula>
    </cfRule>
  </conditionalFormatting>
  <printOptions horizontalCentered="1"/>
  <pageMargins left="0" right="0" top="0" bottom="0" header="0.31496062992125984" footer="0.31496062992125984"/>
  <pageSetup scale="61" orientation="landscape" r:id="rId1"/>
  <rowBreaks count="3" manualBreakCount="3">
    <brk id="65" max="45" man="1"/>
    <brk id="121" max="45" man="1"/>
    <brk id="186" max="4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="112" zoomScaleNormal="106" workbookViewId="0">
      <selection sqref="A1:R15"/>
    </sheetView>
  </sheetViews>
  <sheetFormatPr defaultRowHeight="22.5" customHeight="1" x14ac:dyDescent="0.25"/>
  <cols>
    <col min="3" max="3" width="11.7109375" customWidth="1"/>
    <col min="10" max="10" width="10.85546875" customWidth="1"/>
    <col min="12" max="12" width="12.140625" customWidth="1"/>
    <col min="13" max="13" width="11.7109375" customWidth="1"/>
    <col min="15" max="15" width="20" customWidth="1"/>
    <col min="17" max="17" width="20.85546875" hidden="1" customWidth="1"/>
    <col min="18" max="19" width="16.5703125" customWidth="1"/>
  </cols>
  <sheetData>
    <row r="1" spans="1:19" ht="22.5" customHeight="1" thickBot="1" x14ac:dyDescent="0.3">
      <c r="A1" s="630" t="s">
        <v>651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2"/>
    </row>
    <row r="2" spans="1:19" ht="22.5" customHeight="1" thickBot="1" x14ac:dyDescent="0.3">
      <c r="A2" s="633" t="s">
        <v>544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5"/>
    </row>
    <row r="3" spans="1:19" ht="22.5" customHeight="1" thickBot="1" x14ac:dyDescent="0.3">
      <c r="A3" s="636" t="s">
        <v>545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8"/>
    </row>
    <row r="4" spans="1:19" ht="22.5" customHeight="1" thickBot="1" x14ac:dyDescent="0.3">
      <c r="A4" s="498"/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91" t="s">
        <v>546</v>
      </c>
      <c r="O4" s="639">
        <f ca="1">TODAY()</f>
        <v>46028</v>
      </c>
      <c r="P4" s="640"/>
      <c r="Q4" s="640"/>
      <c r="R4" s="641"/>
    </row>
    <row r="5" spans="1:19" ht="22.5" customHeight="1" x14ac:dyDescent="0.25">
      <c r="A5" s="652" t="s">
        <v>374</v>
      </c>
      <c r="B5" s="653"/>
      <c r="C5" s="654"/>
      <c r="D5" s="658" t="s">
        <v>547</v>
      </c>
      <c r="E5" s="660" t="s">
        <v>548</v>
      </c>
      <c r="F5" s="658" t="s">
        <v>549</v>
      </c>
      <c r="G5" s="644" t="s">
        <v>550</v>
      </c>
      <c r="H5" s="642" t="s">
        <v>551</v>
      </c>
      <c r="I5" s="644" t="s">
        <v>552</v>
      </c>
      <c r="J5" s="648" t="s">
        <v>553</v>
      </c>
      <c r="K5" s="650" t="s">
        <v>554</v>
      </c>
      <c r="L5" s="648" t="s">
        <v>555</v>
      </c>
      <c r="M5" s="650" t="s">
        <v>556</v>
      </c>
      <c r="N5" s="642" t="s">
        <v>557</v>
      </c>
      <c r="O5" s="644" t="s">
        <v>558</v>
      </c>
      <c r="P5" s="642" t="s">
        <v>559</v>
      </c>
      <c r="Q5" s="644" t="s">
        <v>560</v>
      </c>
      <c r="R5" s="642" t="s">
        <v>379</v>
      </c>
    </row>
    <row r="6" spans="1:19" ht="25.5" customHeight="1" thickBot="1" x14ac:dyDescent="0.3">
      <c r="A6" s="655"/>
      <c r="B6" s="656"/>
      <c r="C6" s="657"/>
      <c r="D6" s="659"/>
      <c r="E6" s="661"/>
      <c r="F6" s="659"/>
      <c r="G6" s="645"/>
      <c r="H6" s="643"/>
      <c r="I6" s="645"/>
      <c r="J6" s="649"/>
      <c r="K6" s="651"/>
      <c r="L6" s="649"/>
      <c r="M6" s="651"/>
      <c r="N6" s="643"/>
      <c r="O6" s="645"/>
      <c r="P6" s="643"/>
      <c r="Q6" s="645"/>
      <c r="R6" s="643"/>
    </row>
    <row r="7" spans="1:19" ht="88.5" customHeight="1" thickBot="1" x14ac:dyDescent="0.3">
      <c r="A7" s="646" t="s">
        <v>561</v>
      </c>
      <c r="B7" s="646"/>
      <c r="C7" s="647"/>
      <c r="D7" s="100">
        <v>309</v>
      </c>
      <c r="E7" s="436">
        <v>309</v>
      </c>
      <c r="F7" s="92">
        <v>202</v>
      </c>
      <c r="G7" s="94">
        <v>228</v>
      </c>
      <c r="H7" s="92">
        <v>30</v>
      </c>
      <c r="I7" s="93">
        <v>30</v>
      </c>
      <c r="J7" s="95"/>
      <c r="K7" s="96">
        <v>1</v>
      </c>
      <c r="L7" s="97">
        <f>F7+H7</f>
        <v>232</v>
      </c>
      <c r="M7" s="104">
        <f>G7+K7</f>
        <v>229</v>
      </c>
      <c r="N7" s="98">
        <f>E7-M7</f>
        <v>80</v>
      </c>
      <c r="O7" s="99" t="s">
        <v>2065</v>
      </c>
      <c r="P7" s="264">
        <v>4</v>
      </c>
      <c r="Q7" s="99"/>
      <c r="R7" s="178"/>
      <c r="S7" s="6"/>
    </row>
    <row r="8" spans="1:19" ht="35.25" customHeight="1" thickBot="1" x14ac:dyDescent="0.3">
      <c r="A8" s="662" t="s">
        <v>562</v>
      </c>
      <c r="B8" s="663"/>
      <c r="C8" s="664"/>
      <c r="D8" s="100">
        <v>309</v>
      </c>
      <c r="E8" s="436">
        <v>309</v>
      </c>
      <c r="F8" s="100">
        <v>202</v>
      </c>
      <c r="G8" s="102">
        <v>189</v>
      </c>
      <c r="H8" s="100">
        <v>30</v>
      </c>
      <c r="I8" s="101">
        <v>40</v>
      </c>
      <c r="J8" s="103"/>
      <c r="K8" s="104">
        <v>1</v>
      </c>
      <c r="L8" s="105">
        <f>L7</f>
        <v>232</v>
      </c>
      <c r="M8" s="104">
        <f>G8+K8</f>
        <v>190</v>
      </c>
      <c r="N8" s="106">
        <f>D8-M8</f>
        <v>119</v>
      </c>
      <c r="O8" s="107"/>
      <c r="P8" s="264">
        <v>4</v>
      </c>
      <c r="Q8" s="108"/>
      <c r="R8" s="109"/>
      <c r="S8" s="136"/>
    </row>
    <row r="9" spans="1:19" ht="51" customHeight="1" thickBot="1" x14ac:dyDescent="0.3">
      <c r="A9" s="646" t="s">
        <v>563</v>
      </c>
      <c r="B9" s="646"/>
      <c r="C9" s="647"/>
      <c r="D9" s="92">
        <v>309</v>
      </c>
      <c r="E9" s="93">
        <v>309</v>
      </c>
      <c r="F9" s="92">
        <v>150</v>
      </c>
      <c r="G9" s="94">
        <v>59</v>
      </c>
      <c r="H9" s="92">
        <v>30</v>
      </c>
      <c r="I9" s="93">
        <v>34</v>
      </c>
      <c r="J9" s="95"/>
      <c r="K9" s="96">
        <v>4</v>
      </c>
      <c r="L9" s="97">
        <f>F9+H9</f>
        <v>180</v>
      </c>
      <c r="M9" s="96">
        <f>G9+K9</f>
        <v>63</v>
      </c>
      <c r="N9" s="98">
        <f>E9-M9</f>
        <v>246</v>
      </c>
      <c r="O9" s="271" t="s">
        <v>2066</v>
      </c>
      <c r="P9" s="95">
        <v>7</v>
      </c>
      <c r="Q9" s="136"/>
      <c r="R9" s="110"/>
      <c r="S9" s="136"/>
    </row>
    <row r="10" spans="1:19" ht="32.25" customHeight="1" thickBot="1" x14ac:dyDescent="0.3">
      <c r="A10" s="665" t="s">
        <v>564</v>
      </c>
      <c r="B10" s="666"/>
      <c r="C10" s="102" t="s">
        <v>565</v>
      </c>
      <c r="D10" s="111">
        <v>118.39700000000001</v>
      </c>
      <c r="E10" s="112">
        <v>118.39700000000001</v>
      </c>
      <c r="F10" s="113"/>
      <c r="G10" s="112"/>
      <c r="H10" s="100">
        <v>0</v>
      </c>
      <c r="I10" s="114"/>
      <c r="J10" s="115"/>
      <c r="K10" s="116"/>
      <c r="L10" s="105">
        <f>F10+H10</f>
        <v>0</v>
      </c>
      <c r="M10" s="117">
        <f>K10+G10</f>
        <v>0</v>
      </c>
      <c r="N10" s="118">
        <f>E10-M10</f>
        <v>118.39700000000001</v>
      </c>
      <c r="O10" s="119"/>
      <c r="P10" s="120">
        <v>0</v>
      </c>
      <c r="Q10" s="121"/>
      <c r="R10" s="109"/>
      <c r="S10" s="136"/>
    </row>
    <row r="11" spans="1:19" ht="33" customHeight="1" thickBot="1" x14ac:dyDescent="0.3">
      <c r="A11" s="667"/>
      <c r="B11" s="668"/>
      <c r="C11" s="122" t="s">
        <v>566</v>
      </c>
      <c r="D11" s="123">
        <f>D10</f>
        <v>118.39700000000001</v>
      </c>
      <c r="E11" s="124">
        <f>E10</f>
        <v>118.39700000000001</v>
      </c>
      <c r="F11" s="125"/>
      <c r="G11" s="124"/>
      <c r="H11" s="126">
        <v>0</v>
      </c>
      <c r="I11" s="127"/>
      <c r="J11" s="128"/>
      <c r="K11" s="129"/>
      <c r="L11" s="130">
        <f>L10</f>
        <v>0</v>
      </c>
      <c r="M11" s="131">
        <f>K11+G11</f>
        <v>0</v>
      </c>
      <c r="N11" s="132">
        <f>E11-M11</f>
        <v>118.39700000000001</v>
      </c>
      <c r="O11" s="133"/>
      <c r="P11" s="134">
        <v>0</v>
      </c>
      <c r="Q11" s="58"/>
      <c r="R11" s="135"/>
      <c r="S11" s="136"/>
    </row>
    <row r="12" spans="1:19" ht="22.5" customHeight="1" thickBot="1" x14ac:dyDescent="0.3">
      <c r="S12" s="136"/>
    </row>
    <row r="13" spans="1:19" ht="60.75" customHeight="1" x14ac:dyDescent="0.25">
      <c r="B13" s="227" t="s">
        <v>674</v>
      </c>
      <c r="C13" s="228" t="s">
        <v>695</v>
      </c>
      <c r="D13" s="228" t="s">
        <v>677</v>
      </c>
      <c r="E13" s="228" t="s">
        <v>1933</v>
      </c>
      <c r="F13" s="228" t="s">
        <v>377</v>
      </c>
      <c r="G13" s="229" t="s">
        <v>378</v>
      </c>
      <c r="M13" s="136"/>
      <c r="S13" s="136"/>
    </row>
    <row r="14" spans="1:19" ht="36.75" customHeight="1" x14ac:dyDescent="0.25">
      <c r="B14" s="230">
        <v>1</v>
      </c>
      <c r="C14" s="222" t="s">
        <v>380</v>
      </c>
      <c r="D14" s="223">
        <v>118.39700000000001</v>
      </c>
      <c r="E14" s="223">
        <v>118.39700000000001</v>
      </c>
      <c r="F14" s="223">
        <v>113.31699999999999</v>
      </c>
      <c r="G14" s="231">
        <f>D14-F14</f>
        <v>5.0800000000000125</v>
      </c>
      <c r="M14" s="6"/>
      <c r="S14" s="6"/>
    </row>
    <row r="15" spans="1:19" ht="45" customHeight="1" thickBot="1" x14ac:dyDescent="0.3">
      <c r="B15" s="232">
        <v>2</v>
      </c>
      <c r="C15" s="233" t="s">
        <v>383</v>
      </c>
      <c r="D15" s="234">
        <v>118.39700000000001</v>
      </c>
      <c r="E15" s="234">
        <v>118.39700000000001</v>
      </c>
      <c r="F15" s="234">
        <v>113.31699999999999</v>
      </c>
      <c r="G15" s="235">
        <f>D15-F15</f>
        <v>5.0800000000000125</v>
      </c>
      <c r="M15" s="136"/>
    </row>
    <row r="16" spans="1:19" ht="22.5" customHeight="1" x14ac:dyDescent="0.25">
      <c r="M16" s="6"/>
      <c r="O16" s="136"/>
    </row>
    <row r="17" spans="13:15" ht="22.5" customHeight="1" x14ac:dyDescent="0.25">
      <c r="M17" s="136"/>
      <c r="O17" s="136"/>
    </row>
    <row r="18" spans="13:15" ht="22.5" customHeight="1" x14ac:dyDescent="0.25">
      <c r="M18" s="136"/>
      <c r="O18" s="137"/>
    </row>
    <row r="19" spans="13:15" ht="22.5" customHeight="1" x14ac:dyDescent="0.25">
      <c r="M19" s="136"/>
      <c r="O19" s="137"/>
    </row>
    <row r="20" spans="13:15" ht="22.5" customHeight="1" x14ac:dyDescent="0.25">
      <c r="M20" s="136"/>
      <c r="O20" s="137"/>
    </row>
    <row r="21" spans="13:15" ht="22.5" customHeight="1" x14ac:dyDescent="0.25">
      <c r="M21" s="136"/>
      <c r="O21" s="137"/>
    </row>
    <row r="22" spans="13:15" ht="22.5" customHeight="1" x14ac:dyDescent="0.25">
      <c r="M22" s="136"/>
    </row>
    <row r="23" spans="13:15" ht="22.5" customHeight="1" x14ac:dyDescent="0.25">
      <c r="M23" s="136"/>
    </row>
    <row r="24" spans="13:15" ht="22.5" customHeight="1" x14ac:dyDescent="0.25">
      <c r="M24" s="136"/>
    </row>
    <row r="25" spans="13:15" ht="22.5" customHeight="1" x14ac:dyDescent="0.25">
      <c r="M25" s="136"/>
    </row>
    <row r="26" spans="13:15" ht="22.5" customHeight="1" x14ac:dyDescent="0.25">
      <c r="M26" s="136"/>
    </row>
    <row r="27" spans="13:15" ht="22.5" customHeight="1" x14ac:dyDescent="0.25">
      <c r="M27" s="136"/>
    </row>
  </sheetData>
  <mergeCells count="25">
    <mergeCell ref="A8:C8"/>
    <mergeCell ref="A9:C9"/>
    <mergeCell ref="A10:B11"/>
    <mergeCell ref="N5:N6"/>
    <mergeCell ref="O5:O6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5"/>
  <sheetViews>
    <sheetView topLeftCell="A200" workbookViewId="0">
      <selection activeCell="B231" sqref="B231"/>
    </sheetView>
  </sheetViews>
  <sheetFormatPr defaultColWidth="9.140625" defaultRowHeight="15" x14ac:dyDescent="0.25"/>
  <cols>
    <col min="1" max="2" width="9.140625" style="6"/>
    <col min="3" max="3" width="17.42578125" style="6" customWidth="1"/>
    <col min="4" max="4" width="20.140625" style="6" customWidth="1"/>
    <col min="5" max="5" width="59.28515625" style="6" customWidth="1"/>
    <col min="6" max="6" width="19.5703125" style="6" customWidth="1"/>
    <col min="7" max="7" width="21" style="6" customWidth="1"/>
    <col min="8" max="8" width="35.28515625" style="6" customWidth="1"/>
    <col min="9" max="9" width="18.5703125" style="6" customWidth="1"/>
    <col min="10" max="10" width="18.85546875" style="6" customWidth="1"/>
    <col min="11" max="11" width="17.5703125" style="6" customWidth="1"/>
    <col min="12" max="16384" width="9.140625" style="6"/>
  </cols>
  <sheetData>
    <row r="1" spans="1:11" x14ac:dyDescent="0.25">
      <c r="A1" s="669" t="s">
        <v>422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</row>
    <row r="2" spans="1:11" x14ac:dyDescent="0.25">
      <c r="A2" s="73" t="s">
        <v>423</v>
      </c>
      <c r="B2" s="73" t="s">
        <v>424</v>
      </c>
      <c r="C2" s="73" t="s">
        <v>425</v>
      </c>
      <c r="D2" s="73" t="s">
        <v>426</v>
      </c>
      <c r="E2" s="73" t="s">
        <v>427</v>
      </c>
      <c r="F2" s="73" t="s">
        <v>428</v>
      </c>
      <c r="G2" s="73" t="s">
        <v>429</v>
      </c>
      <c r="H2" s="73" t="s">
        <v>430</v>
      </c>
      <c r="I2" s="73" t="s">
        <v>431</v>
      </c>
      <c r="J2" s="73" t="s">
        <v>432</v>
      </c>
      <c r="K2" s="73" t="s">
        <v>433</v>
      </c>
    </row>
    <row r="3" spans="1:11" ht="14.45" customHeight="1" x14ac:dyDescent="0.25">
      <c r="A3" s="74">
        <v>1</v>
      </c>
      <c r="B3" s="74" t="s">
        <v>55</v>
      </c>
      <c r="C3" s="74" t="s">
        <v>36</v>
      </c>
      <c r="D3" s="74" t="s">
        <v>352</v>
      </c>
      <c r="E3" s="75" t="s">
        <v>434</v>
      </c>
      <c r="F3" s="2"/>
      <c r="G3" s="76">
        <v>45658</v>
      </c>
      <c r="H3" s="74" t="s">
        <v>435</v>
      </c>
      <c r="I3" s="2" t="s">
        <v>436</v>
      </c>
      <c r="J3" s="75" t="s">
        <v>437</v>
      </c>
      <c r="K3" s="2"/>
    </row>
    <row r="4" spans="1:11" ht="14.45" customHeight="1" x14ac:dyDescent="0.25">
      <c r="A4" s="74">
        <v>2</v>
      </c>
      <c r="B4" s="74" t="s">
        <v>57</v>
      </c>
      <c r="C4" s="74" t="s">
        <v>38</v>
      </c>
      <c r="D4" s="74" t="s">
        <v>352</v>
      </c>
      <c r="E4" s="75" t="s">
        <v>434</v>
      </c>
      <c r="F4" s="2"/>
      <c r="G4" s="76">
        <v>45658</v>
      </c>
      <c r="H4" s="74" t="s">
        <v>435</v>
      </c>
      <c r="I4" s="2" t="s">
        <v>436</v>
      </c>
      <c r="J4" s="75" t="s">
        <v>437</v>
      </c>
      <c r="K4" s="2"/>
    </row>
    <row r="5" spans="1:11" ht="14.45" customHeight="1" x14ac:dyDescent="0.25">
      <c r="A5" s="74">
        <v>3</v>
      </c>
      <c r="B5" s="74" t="s">
        <v>58</v>
      </c>
      <c r="C5" s="74" t="s">
        <v>38</v>
      </c>
      <c r="D5" s="74" t="s">
        <v>352</v>
      </c>
      <c r="E5" s="75" t="s">
        <v>434</v>
      </c>
      <c r="F5" s="2"/>
      <c r="G5" s="76">
        <v>45658</v>
      </c>
      <c r="H5" s="74" t="s">
        <v>435</v>
      </c>
      <c r="I5" s="2" t="s">
        <v>436</v>
      </c>
      <c r="J5" s="75" t="s">
        <v>437</v>
      </c>
      <c r="K5" s="2"/>
    </row>
    <row r="6" spans="1:11" ht="14.45" customHeight="1" x14ac:dyDescent="0.25">
      <c r="A6" s="74">
        <v>4</v>
      </c>
      <c r="B6" s="74" t="s">
        <v>60</v>
      </c>
      <c r="C6" s="74" t="s">
        <v>36</v>
      </c>
      <c r="D6" s="74" t="s">
        <v>352</v>
      </c>
      <c r="E6" s="75" t="s">
        <v>434</v>
      </c>
      <c r="F6" s="2"/>
      <c r="G6" s="76">
        <v>45658</v>
      </c>
      <c r="H6" s="74" t="s">
        <v>438</v>
      </c>
      <c r="I6" s="2" t="s">
        <v>436</v>
      </c>
      <c r="J6" s="75" t="s">
        <v>437</v>
      </c>
      <c r="K6" s="2"/>
    </row>
    <row r="7" spans="1:11" ht="14.45" customHeight="1" x14ac:dyDescent="0.25">
      <c r="A7" s="74">
        <v>5</v>
      </c>
      <c r="B7" s="74" t="s">
        <v>109</v>
      </c>
      <c r="C7" s="74" t="s">
        <v>36</v>
      </c>
      <c r="D7" s="74" t="s">
        <v>352</v>
      </c>
      <c r="E7" s="75" t="s">
        <v>434</v>
      </c>
      <c r="F7" s="2"/>
      <c r="G7" s="76">
        <v>45658</v>
      </c>
      <c r="H7" s="74" t="s">
        <v>435</v>
      </c>
      <c r="I7" s="2" t="s">
        <v>436</v>
      </c>
      <c r="J7" s="77"/>
      <c r="K7" s="2"/>
    </row>
    <row r="8" spans="1:11" ht="14.45" customHeight="1" x14ac:dyDescent="0.25">
      <c r="A8" s="74">
        <v>6</v>
      </c>
      <c r="B8" s="483" t="s">
        <v>59</v>
      </c>
      <c r="C8" s="74" t="s">
        <v>36</v>
      </c>
      <c r="D8" s="74" t="s">
        <v>352</v>
      </c>
      <c r="E8" s="75" t="s">
        <v>434</v>
      </c>
      <c r="F8" s="2"/>
      <c r="G8" s="76">
        <v>45689</v>
      </c>
      <c r="H8" s="74" t="s">
        <v>435</v>
      </c>
      <c r="I8" s="2" t="s">
        <v>436</v>
      </c>
      <c r="J8" s="75" t="s">
        <v>437</v>
      </c>
      <c r="K8" s="2"/>
    </row>
    <row r="9" spans="1:11" ht="14.45" customHeight="1" x14ac:dyDescent="0.25">
      <c r="A9" s="74">
        <v>7</v>
      </c>
      <c r="B9" s="483" t="s">
        <v>61</v>
      </c>
      <c r="C9" s="74" t="s">
        <v>36</v>
      </c>
      <c r="D9" s="74" t="s">
        <v>353</v>
      </c>
      <c r="E9" s="75" t="s">
        <v>434</v>
      </c>
      <c r="F9" s="2"/>
      <c r="G9" s="76">
        <v>45689</v>
      </c>
      <c r="H9" s="74" t="s">
        <v>438</v>
      </c>
      <c r="I9" s="2" t="s">
        <v>436</v>
      </c>
      <c r="J9" s="75" t="s">
        <v>437</v>
      </c>
      <c r="K9" s="2"/>
    </row>
    <row r="10" spans="1:11" ht="14.45" customHeight="1" x14ac:dyDescent="0.25">
      <c r="A10" s="74">
        <v>8</v>
      </c>
      <c r="B10" s="483" t="s">
        <v>62</v>
      </c>
      <c r="C10" s="74" t="s">
        <v>38</v>
      </c>
      <c r="D10" s="74" t="s">
        <v>353</v>
      </c>
      <c r="E10" s="75" t="s">
        <v>434</v>
      </c>
      <c r="F10" s="2"/>
      <c r="G10" s="76">
        <v>45689</v>
      </c>
      <c r="H10" s="74" t="s">
        <v>438</v>
      </c>
      <c r="I10" s="2" t="s">
        <v>436</v>
      </c>
      <c r="J10" s="75" t="s">
        <v>437</v>
      </c>
      <c r="K10" s="2"/>
    </row>
    <row r="11" spans="1:11" ht="14.45" customHeight="1" x14ac:dyDescent="0.25">
      <c r="A11" s="74">
        <v>9</v>
      </c>
      <c r="B11" s="74" t="s">
        <v>56</v>
      </c>
      <c r="C11" s="74" t="s">
        <v>38</v>
      </c>
      <c r="D11" s="74" t="s">
        <v>352</v>
      </c>
      <c r="E11" s="75" t="s">
        <v>434</v>
      </c>
      <c r="F11" s="2"/>
      <c r="G11" s="76">
        <v>45689</v>
      </c>
      <c r="H11" s="74" t="s">
        <v>435</v>
      </c>
      <c r="I11" s="2" t="s">
        <v>436</v>
      </c>
      <c r="J11" s="75" t="s">
        <v>437</v>
      </c>
      <c r="K11" s="2"/>
    </row>
    <row r="12" spans="1:11" ht="14.45" customHeight="1" x14ac:dyDescent="0.25">
      <c r="A12" s="74">
        <v>10</v>
      </c>
      <c r="B12" s="484" t="s">
        <v>106</v>
      </c>
      <c r="C12" s="78" t="s">
        <v>36</v>
      </c>
      <c r="D12" s="74" t="s">
        <v>352</v>
      </c>
      <c r="E12" s="75" t="s">
        <v>434</v>
      </c>
      <c r="F12" s="2"/>
      <c r="G12" s="79">
        <v>45689</v>
      </c>
      <c r="H12" s="74" t="s">
        <v>439</v>
      </c>
      <c r="I12" s="2" t="s">
        <v>436</v>
      </c>
      <c r="J12" s="75" t="s">
        <v>437</v>
      </c>
      <c r="K12" s="2"/>
    </row>
    <row r="13" spans="1:11" ht="14.45" customHeight="1" x14ac:dyDescent="0.25">
      <c r="A13" s="74">
        <v>11</v>
      </c>
      <c r="B13" s="484" t="s">
        <v>102</v>
      </c>
      <c r="C13" s="78" t="s">
        <v>36</v>
      </c>
      <c r="D13" s="74" t="s">
        <v>352</v>
      </c>
      <c r="E13" s="75" t="s">
        <v>434</v>
      </c>
      <c r="F13" s="2"/>
      <c r="G13" s="79">
        <v>45689</v>
      </c>
      <c r="H13" s="74" t="s">
        <v>439</v>
      </c>
      <c r="I13" s="2" t="s">
        <v>436</v>
      </c>
      <c r="J13" s="75" t="s">
        <v>437</v>
      </c>
      <c r="K13" s="2"/>
    </row>
    <row r="14" spans="1:11" ht="14.45" customHeight="1" x14ac:dyDescent="0.25">
      <c r="A14" s="74">
        <v>12</v>
      </c>
      <c r="B14" s="484" t="s">
        <v>52</v>
      </c>
      <c r="C14" s="78" t="s">
        <v>36</v>
      </c>
      <c r="D14" s="74" t="s">
        <v>352</v>
      </c>
      <c r="E14" s="75" t="s">
        <v>434</v>
      </c>
      <c r="F14" s="2"/>
      <c r="G14" s="79">
        <v>45689</v>
      </c>
      <c r="H14" s="74" t="s">
        <v>438</v>
      </c>
      <c r="I14" s="2" t="s">
        <v>436</v>
      </c>
      <c r="J14" s="75" t="s">
        <v>437</v>
      </c>
      <c r="K14" s="2"/>
    </row>
    <row r="15" spans="1:11" ht="14.45" customHeight="1" x14ac:dyDescent="0.25">
      <c r="A15" s="74">
        <v>13</v>
      </c>
      <c r="B15" s="484" t="s">
        <v>69</v>
      </c>
      <c r="C15" s="78" t="s">
        <v>21</v>
      </c>
      <c r="D15" s="78" t="s">
        <v>352</v>
      </c>
      <c r="E15" s="75" t="s">
        <v>434</v>
      </c>
      <c r="F15" s="2"/>
      <c r="G15" s="79">
        <v>45689</v>
      </c>
      <c r="H15" s="74" t="s">
        <v>435</v>
      </c>
      <c r="I15" s="2" t="s">
        <v>436</v>
      </c>
      <c r="J15" s="77"/>
      <c r="K15" s="2"/>
    </row>
    <row r="16" spans="1:11" ht="14.45" customHeight="1" x14ac:dyDescent="0.25">
      <c r="A16" s="74">
        <v>14</v>
      </c>
      <c r="B16" s="484" t="s">
        <v>103</v>
      </c>
      <c r="C16" s="78" t="s">
        <v>36</v>
      </c>
      <c r="D16" s="74" t="s">
        <v>352</v>
      </c>
      <c r="E16" s="75" t="s">
        <v>434</v>
      </c>
      <c r="F16" s="2"/>
      <c r="G16" s="79">
        <v>45689</v>
      </c>
      <c r="H16" s="74" t="s">
        <v>439</v>
      </c>
      <c r="I16" s="2" t="s">
        <v>436</v>
      </c>
      <c r="J16" s="75" t="s">
        <v>437</v>
      </c>
      <c r="K16" s="2"/>
    </row>
    <row r="17" spans="1:11" ht="14.45" customHeight="1" x14ac:dyDescent="0.25">
      <c r="A17" s="74">
        <v>15</v>
      </c>
      <c r="B17" s="484" t="s">
        <v>84</v>
      </c>
      <c r="C17" s="78" t="s">
        <v>440</v>
      </c>
      <c r="D17" s="78" t="s">
        <v>352</v>
      </c>
      <c r="E17" s="75" t="s">
        <v>434</v>
      </c>
      <c r="F17" s="2"/>
      <c r="G17" s="79">
        <v>45689</v>
      </c>
      <c r="H17" s="74" t="s">
        <v>441</v>
      </c>
      <c r="I17" s="2" t="s">
        <v>436</v>
      </c>
      <c r="J17" s="75" t="s">
        <v>437</v>
      </c>
      <c r="K17" s="2"/>
    </row>
    <row r="18" spans="1:11" ht="14.45" customHeight="1" x14ac:dyDescent="0.25">
      <c r="A18" s="74">
        <v>16</v>
      </c>
      <c r="B18" s="74" t="s">
        <v>97</v>
      </c>
      <c r="C18" s="78" t="s">
        <v>38</v>
      </c>
      <c r="D18" s="78" t="s">
        <v>352</v>
      </c>
      <c r="E18" s="75" t="s">
        <v>434</v>
      </c>
      <c r="F18" s="2"/>
      <c r="G18" s="79">
        <v>45689</v>
      </c>
      <c r="H18" s="74" t="s">
        <v>442</v>
      </c>
      <c r="I18" s="2" t="s">
        <v>436</v>
      </c>
      <c r="J18" s="75" t="s">
        <v>437</v>
      </c>
      <c r="K18" s="2"/>
    </row>
    <row r="19" spans="1:11" ht="14.45" customHeight="1" x14ac:dyDescent="0.25">
      <c r="A19" s="74">
        <v>17</v>
      </c>
      <c r="B19" s="74" t="s">
        <v>104</v>
      </c>
      <c r="C19" s="74" t="s">
        <v>38</v>
      </c>
      <c r="D19" s="78" t="s">
        <v>352</v>
      </c>
      <c r="E19" s="75" t="s">
        <v>434</v>
      </c>
      <c r="F19" s="2"/>
      <c r="G19" s="79">
        <v>45689</v>
      </c>
      <c r="H19" s="74" t="s">
        <v>439</v>
      </c>
      <c r="I19" s="2" t="s">
        <v>436</v>
      </c>
      <c r="J19" s="75" t="s">
        <v>437</v>
      </c>
      <c r="K19" s="2"/>
    </row>
    <row r="20" spans="1:11" ht="14.45" customHeight="1" x14ac:dyDescent="0.25">
      <c r="A20" s="74">
        <v>18</v>
      </c>
      <c r="B20" s="74" t="s">
        <v>68</v>
      </c>
      <c r="C20" s="74" t="s">
        <v>36</v>
      </c>
      <c r="D20" s="74" t="s">
        <v>352</v>
      </c>
      <c r="E20" s="75" t="s">
        <v>434</v>
      </c>
      <c r="F20" s="2"/>
      <c r="G20" s="79">
        <v>45689</v>
      </c>
      <c r="H20" s="74" t="s">
        <v>435</v>
      </c>
      <c r="I20" s="2" t="s">
        <v>436</v>
      </c>
      <c r="J20" s="75" t="s">
        <v>437</v>
      </c>
      <c r="K20" s="2"/>
    </row>
    <row r="21" spans="1:11" ht="14.45" customHeight="1" x14ac:dyDescent="0.25">
      <c r="A21" s="74">
        <v>19</v>
      </c>
      <c r="B21" s="74" t="s">
        <v>85</v>
      </c>
      <c r="C21" s="74" t="s">
        <v>36</v>
      </c>
      <c r="D21" s="74" t="s">
        <v>352</v>
      </c>
      <c r="E21" s="75" t="s">
        <v>434</v>
      </c>
      <c r="F21" s="2"/>
      <c r="G21" s="79">
        <v>45689</v>
      </c>
      <c r="H21" s="74" t="s">
        <v>441</v>
      </c>
      <c r="I21" s="2" t="s">
        <v>436</v>
      </c>
      <c r="J21" s="75" t="s">
        <v>437</v>
      </c>
      <c r="K21" s="2"/>
    </row>
    <row r="22" spans="1:11" ht="14.45" customHeight="1" x14ac:dyDescent="0.25">
      <c r="A22" s="74">
        <v>20</v>
      </c>
      <c r="B22" s="74" t="s">
        <v>53</v>
      </c>
      <c r="C22" s="74" t="s">
        <v>36</v>
      </c>
      <c r="D22" s="74" t="s">
        <v>352</v>
      </c>
      <c r="E22" s="75" t="s">
        <v>434</v>
      </c>
      <c r="F22" s="2"/>
      <c r="G22" s="79">
        <v>45717</v>
      </c>
      <c r="H22" s="74" t="s">
        <v>438</v>
      </c>
      <c r="I22" s="2" t="s">
        <v>436</v>
      </c>
      <c r="J22" s="75" t="s">
        <v>437</v>
      </c>
      <c r="K22" s="2"/>
    </row>
    <row r="23" spans="1:11" ht="14.45" customHeight="1" x14ac:dyDescent="0.25">
      <c r="A23" s="74">
        <v>21</v>
      </c>
      <c r="B23" s="74" t="s">
        <v>99</v>
      </c>
      <c r="C23" s="74" t="s">
        <v>21</v>
      </c>
      <c r="D23" s="78" t="s">
        <v>352</v>
      </c>
      <c r="E23" s="75" t="s">
        <v>434</v>
      </c>
      <c r="F23" s="2"/>
      <c r="G23" s="79">
        <v>45717</v>
      </c>
      <c r="H23" s="74" t="s">
        <v>442</v>
      </c>
      <c r="I23" s="2" t="s">
        <v>436</v>
      </c>
      <c r="J23" s="75" t="s">
        <v>437</v>
      </c>
      <c r="K23" s="2"/>
    </row>
    <row r="24" spans="1:11" ht="14.45" customHeight="1" x14ac:dyDescent="0.25">
      <c r="A24" s="74">
        <v>22</v>
      </c>
      <c r="B24" s="74" t="s">
        <v>107</v>
      </c>
      <c r="C24" s="74" t="s">
        <v>397</v>
      </c>
      <c r="D24" s="78" t="s">
        <v>354</v>
      </c>
      <c r="E24" s="75" t="s">
        <v>434</v>
      </c>
      <c r="F24" s="2"/>
      <c r="G24" s="79">
        <v>45717</v>
      </c>
      <c r="H24" s="74" t="s">
        <v>439</v>
      </c>
      <c r="I24" s="2" t="s">
        <v>436</v>
      </c>
      <c r="J24" s="75" t="s">
        <v>437</v>
      </c>
      <c r="K24" s="2"/>
    </row>
    <row r="25" spans="1:11" ht="14.45" customHeight="1" x14ac:dyDescent="0.25">
      <c r="A25" s="74">
        <v>23</v>
      </c>
      <c r="B25" s="74" t="s">
        <v>87</v>
      </c>
      <c r="C25" s="74" t="s">
        <v>397</v>
      </c>
      <c r="D25" s="78" t="s">
        <v>352</v>
      </c>
      <c r="E25" s="75" t="s">
        <v>434</v>
      </c>
      <c r="F25" s="2"/>
      <c r="G25" s="79">
        <v>45717</v>
      </c>
      <c r="H25" s="74" t="s">
        <v>441</v>
      </c>
      <c r="I25" s="2" t="s">
        <v>436</v>
      </c>
      <c r="J25" s="77"/>
      <c r="K25" s="2"/>
    </row>
    <row r="26" spans="1:11" ht="14.45" customHeight="1" x14ac:dyDescent="0.25">
      <c r="A26" s="74">
        <v>24</v>
      </c>
      <c r="B26" s="74" t="s">
        <v>113</v>
      </c>
      <c r="C26" s="74" t="s">
        <v>397</v>
      </c>
      <c r="D26" s="78" t="s">
        <v>352</v>
      </c>
      <c r="E26" s="75" t="s">
        <v>434</v>
      </c>
      <c r="F26" s="2"/>
      <c r="G26" s="79">
        <v>45717</v>
      </c>
      <c r="H26" s="74" t="s">
        <v>439</v>
      </c>
      <c r="I26" s="2" t="s">
        <v>436</v>
      </c>
      <c r="J26" s="75" t="s">
        <v>437</v>
      </c>
      <c r="K26" s="2"/>
    </row>
    <row r="27" spans="1:11" ht="14.45" customHeight="1" x14ac:dyDescent="0.25">
      <c r="A27" s="74">
        <v>25</v>
      </c>
      <c r="B27" s="74" t="s">
        <v>51</v>
      </c>
      <c r="C27" s="74" t="s">
        <v>36</v>
      </c>
      <c r="D27" s="74" t="s">
        <v>352</v>
      </c>
      <c r="E27" s="75" t="s">
        <v>434</v>
      </c>
      <c r="F27" s="2"/>
      <c r="G27" s="79">
        <v>45717</v>
      </c>
      <c r="H27" s="74" t="s">
        <v>438</v>
      </c>
      <c r="I27" s="2" t="s">
        <v>436</v>
      </c>
      <c r="J27" s="75" t="s">
        <v>437</v>
      </c>
      <c r="K27" s="2"/>
    </row>
    <row r="28" spans="1:11" ht="14.45" customHeight="1" x14ac:dyDescent="0.25">
      <c r="A28" s="74">
        <v>26</v>
      </c>
      <c r="B28" s="74" t="s">
        <v>86</v>
      </c>
      <c r="C28" s="74" t="s">
        <v>36</v>
      </c>
      <c r="D28" s="74" t="s">
        <v>352</v>
      </c>
      <c r="E28" s="75" t="s">
        <v>434</v>
      </c>
      <c r="F28" s="2"/>
      <c r="G28" s="79">
        <v>45717</v>
      </c>
      <c r="H28" s="74" t="s">
        <v>441</v>
      </c>
      <c r="I28" s="2" t="s">
        <v>436</v>
      </c>
      <c r="J28" s="77"/>
      <c r="K28" s="2"/>
    </row>
    <row r="29" spans="1:11" ht="14.45" customHeight="1" x14ac:dyDescent="0.25">
      <c r="A29" s="74">
        <v>27</v>
      </c>
      <c r="B29" s="74" t="s">
        <v>72</v>
      </c>
      <c r="C29" s="74" t="s">
        <v>28</v>
      </c>
      <c r="D29" s="74" t="s">
        <v>352</v>
      </c>
      <c r="E29" s="75" t="s">
        <v>434</v>
      </c>
      <c r="F29" s="2"/>
      <c r="G29" s="79">
        <v>45717</v>
      </c>
      <c r="H29" s="74" t="s">
        <v>435</v>
      </c>
      <c r="I29" s="2" t="s">
        <v>436</v>
      </c>
      <c r="J29" s="77"/>
      <c r="K29" s="2"/>
    </row>
    <row r="30" spans="1:11" ht="14.45" customHeight="1" x14ac:dyDescent="0.25">
      <c r="A30" s="74">
        <v>28</v>
      </c>
      <c r="B30" s="74" t="s">
        <v>96</v>
      </c>
      <c r="C30" s="74" t="s">
        <v>36</v>
      </c>
      <c r="D30" s="78" t="s">
        <v>354</v>
      </c>
      <c r="E30" s="75" t="s">
        <v>434</v>
      </c>
      <c r="F30" s="2"/>
      <c r="G30" s="79">
        <v>45717</v>
      </c>
      <c r="H30" s="74" t="s">
        <v>442</v>
      </c>
      <c r="I30" s="2" t="s">
        <v>436</v>
      </c>
      <c r="J30" s="77"/>
      <c r="K30" s="2"/>
    </row>
    <row r="31" spans="1:11" ht="14.45" customHeight="1" x14ac:dyDescent="0.25">
      <c r="A31" s="74">
        <v>29</v>
      </c>
      <c r="B31" s="74" t="s">
        <v>100</v>
      </c>
      <c r="C31" s="74" t="s">
        <v>28</v>
      </c>
      <c r="D31" s="78" t="s">
        <v>354</v>
      </c>
      <c r="E31" s="75" t="s">
        <v>434</v>
      </c>
      <c r="F31" s="2"/>
      <c r="G31" s="79">
        <v>45717</v>
      </c>
      <c r="H31" s="74" t="s">
        <v>439</v>
      </c>
      <c r="I31" s="2" t="s">
        <v>436</v>
      </c>
      <c r="J31" s="75" t="s">
        <v>437</v>
      </c>
      <c r="K31" s="2"/>
    </row>
    <row r="32" spans="1:11" ht="14.45" customHeight="1" x14ac:dyDescent="0.25">
      <c r="A32" s="74">
        <v>30</v>
      </c>
      <c r="B32" s="74" t="s">
        <v>88</v>
      </c>
      <c r="C32" s="74" t="s">
        <v>36</v>
      </c>
      <c r="D32" s="74" t="s">
        <v>352</v>
      </c>
      <c r="E32" s="75" t="s">
        <v>434</v>
      </c>
      <c r="F32" s="2"/>
      <c r="G32" s="79">
        <v>45717</v>
      </c>
      <c r="H32" s="74" t="s">
        <v>441</v>
      </c>
      <c r="I32" s="2" t="s">
        <v>436</v>
      </c>
      <c r="J32" s="77"/>
      <c r="K32" s="2"/>
    </row>
    <row r="33" spans="1:11" ht="14.45" customHeight="1" x14ac:dyDescent="0.25">
      <c r="A33" s="74">
        <v>31</v>
      </c>
      <c r="B33" s="74" t="s">
        <v>71</v>
      </c>
      <c r="C33" s="74" t="s">
        <v>36</v>
      </c>
      <c r="D33" s="74" t="s">
        <v>352</v>
      </c>
      <c r="E33" s="75" t="s">
        <v>434</v>
      </c>
      <c r="F33" s="2"/>
      <c r="G33" s="79">
        <v>45717</v>
      </c>
      <c r="H33" s="74" t="s">
        <v>435</v>
      </c>
      <c r="I33" s="2" t="s">
        <v>436</v>
      </c>
      <c r="J33" s="77"/>
      <c r="K33" s="2"/>
    </row>
    <row r="34" spans="1:11" ht="14.45" customHeight="1" x14ac:dyDescent="0.25">
      <c r="A34" s="74">
        <v>32</v>
      </c>
      <c r="B34" s="74" t="s">
        <v>108</v>
      </c>
      <c r="C34" s="74" t="s">
        <v>25</v>
      </c>
      <c r="D34" s="74" t="s">
        <v>354</v>
      </c>
      <c r="E34" s="75" t="s">
        <v>434</v>
      </c>
      <c r="F34" s="2"/>
      <c r="G34" s="79">
        <v>45717</v>
      </c>
      <c r="H34" s="74" t="s">
        <v>439</v>
      </c>
      <c r="I34" s="2" t="s">
        <v>436</v>
      </c>
      <c r="J34" s="75" t="s">
        <v>437</v>
      </c>
      <c r="K34" s="2"/>
    </row>
    <row r="35" spans="1:11" ht="14.45" customHeight="1" x14ac:dyDescent="0.25">
      <c r="A35" s="74">
        <v>33</v>
      </c>
      <c r="B35" s="74" t="s">
        <v>98</v>
      </c>
      <c r="C35" s="74" t="s">
        <v>36</v>
      </c>
      <c r="D35" s="74" t="s">
        <v>352</v>
      </c>
      <c r="E35" s="75" t="s">
        <v>434</v>
      </c>
      <c r="F35" s="2"/>
      <c r="G35" s="79">
        <v>45717</v>
      </c>
      <c r="H35" s="74" t="s">
        <v>442</v>
      </c>
      <c r="I35" s="2" t="s">
        <v>436</v>
      </c>
      <c r="J35" s="75" t="s">
        <v>437</v>
      </c>
      <c r="K35" s="2"/>
    </row>
    <row r="36" spans="1:11" ht="14.45" customHeight="1" x14ac:dyDescent="0.25">
      <c r="A36" s="74">
        <v>34</v>
      </c>
      <c r="B36" s="74" t="s">
        <v>90</v>
      </c>
      <c r="C36" s="74" t="s">
        <v>36</v>
      </c>
      <c r="D36" s="74" t="s">
        <v>352</v>
      </c>
      <c r="E36" s="75" t="s">
        <v>434</v>
      </c>
      <c r="F36" s="2"/>
      <c r="G36" s="79">
        <v>45717</v>
      </c>
      <c r="H36" s="74" t="s">
        <v>441</v>
      </c>
      <c r="I36" s="2" t="s">
        <v>436</v>
      </c>
      <c r="J36" s="77"/>
      <c r="K36" s="2"/>
    </row>
    <row r="37" spans="1:11" ht="14.45" customHeight="1" x14ac:dyDescent="0.25">
      <c r="A37" s="74">
        <v>35</v>
      </c>
      <c r="B37" s="74" t="s">
        <v>112</v>
      </c>
      <c r="C37" s="74" t="s">
        <v>36</v>
      </c>
      <c r="D37" s="74" t="s">
        <v>352</v>
      </c>
      <c r="E37" s="75" t="s">
        <v>434</v>
      </c>
      <c r="F37" s="2"/>
      <c r="G37" s="79">
        <v>45717</v>
      </c>
      <c r="H37" s="74" t="s">
        <v>439</v>
      </c>
      <c r="I37" s="2" t="s">
        <v>436</v>
      </c>
      <c r="J37" s="75" t="s">
        <v>437</v>
      </c>
      <c r="K37" s="2"/>
    </row>
    <row r="38" spans="1:11" ht="14.45" customHeight="1" x14ac:dyDescent="0.25">
      <c r="A38" s="74">
        <v>36</v>
      </c>
      <c r="B38" s="74" t="s">
        <v>77</v>
      </c>
      <c r="C38" s="74" t="s">
        <v>397</v>
      </c>
      <c r="D38" s="78" t="s">
        <v>352</v>
      </c>
      <c r="E38" s="75" t="s">
        <v>434</v>
      </c>
      <c r="F38" s="2"/>
      <c r="G38" s="79">
        <v>45717</v>
      </c>
      <c r="H38" s="74" t="s">
        <v>438</v>
      </c>
      <c r="I38" s="2" t="s">
        <v>436</v>
      </c>
      <c r="J38" s="75" t="s">
        <v>437</v>
      </c>
      <c r="K38" s="2"/>
    </row>
    <row r="39" spans="1:11" ht="14.45" customHeight="1" x14ac:dyDescent="0.25">
      <c r="A39" s="74">
        <v>37</v>
      </c>
      <c r="B39" s="74" t="s">
        <v>92</v>
      </c>
      <c r="C39" s="74" t="s">
        <v>28</v>
      </c>
      <c r="D39" s="74" t="s">
        <v>352</v>
      </c>
      <c r="E39" s="75" t="s">
        <v>434</v>
      </c>
      <c r="F39" s="2"/>
      <c r="G39" s="79">
        <v>45717</v>
      </c>
      <c r="H39" s="74" t="s">
        <v>441</v>
      </c>
      <c r="I39" s="2" t="s">
        <v>436</v>
      </c>
      <c r="J39" s="77"/>
      <c r="K39" s="2"/>
    </row>
    <row r="40" spans="1:11" ht="14.45" customHeight="1" x14ac:dyDescent="0.25">
      <c r="A40" s="74">
        <v>38</v>
      </c>
      <c r="B40" s="74" t="s">
        <v>80</v>
      </c>
      <c r="C40" s="74" t="s">
        <v>40</v>
      </c>
      <c r="D40" s="78" t="s">
        <v>352</v>
      </c>
      <c r="E40" s="75" t="s">
        <v>434</v>
      </c>
      <c r="F40" s="2"/>
      <c r="G40" s="79">
        <v>45717</v>
      </c>
      <c r="H40" s="74" t="s">
        <v>442</v>
      </c>
      <c r="I40" s="2" t="s">
        <v>436</v>
      </c>
      <c r="J40" s="77"/>
      <c r="K40" s="2"/>
    </row>
    <row r="41" spans="1:11" ht="14.45" customHeight="1" x14ac:dyDescent="0.25">
      <c r="A41" s="74">
        <v>39</v>
      </c>
      <c r="B41" s="74" t="s">
        <v>93</v>
      </c>
      <c r="C41" s="74" t="s">
        <v>38</v>
      </c>
      <c r="D41" s="78" t="s">
        <v>352</v>
      </c>
      <c r="E41" s="75" t="s">
        <v>434</v>
      </c>
      <c r="F41" s="2"/>
      <c r="G41" s="79">
        <v>45717</v>
      </c>
      <c r="H41" s="74" t="s">
        <v>441</v>
      </c>
      <c r="I41" s="2" t="s">
        <v>436</v>
      </c>
      <c r="J41" s="77"/>
      <c r="K41" s="2"/>
    </row>
    <row r="42" spans="1:11" ht="14.45" customHeight="1" x14ac:dyDescent="0.25">
      <c r="A42" s="74">
        <v>40</v>
      </c>
      <c r="B42" s="74" t="s">
        <v>111</v>
      </c>
      <c r="C42" s="74" t="s">
        <v>397</v>
      </c>
      <c r="D42" s="78" t="s">
        <v>352</v>
      </c>
      <c r="E42" s="75" t="s">
        <v>434</v>
      </c>
      <c r="F42" s="2"/>
      <c r="G42" s="79">
        <v>45717</v>
      </c>
      <c r="H42" s="74" t="s">
        <v>439</v>
      </c>
      <c r="I42" s="2" t="s">
        <v>436</v>
      </c>
      <c r="J42" s="75" t="s">
        <v>437</v>
      </c>
      <c r="K42" s="2"/>
    </row>
    <row r="43" spans="1:11" ht="14.45" customHeight="1" x14ac:dyDescent="0.25">
      <c r="A43" s="74">
        <v>41</v>
      </c>
      <c r="B43" s="74" t="s">
        <v>76</v>
      </c>
      <c r="C43" s="74" t="s">
        <v>38</v>
      </c>
      <c r="D43" s="78" t="s">
        <v>352</v>
      </c>
      <c r="E43" s="75" t="s">
        <v>434</v>
      </c>
      <c r="F43" s="2"/>
      <c r="G43" s="79">
        <v>45717</v>
      </c>
      <c r="H43" s="74" t="s">
        <v>438</v>
      </c>
      <c r="I43" s="2" t="s">
        <v>436</v>
      </c>
      <c r="J43" s="75" t="s">
        <v>437</v>
      </c>
      <c r="K43" s="2"/>
    </row>
    <row r="44" spans="1:11" ht="14.45" customHeight="1" x14ac:dyDescent="0.25">
      <c r="A44" s="74">
        <v>42</v>
      </c>
      <c r="B44" s="74" t="s">
        <v>81</v>
      </c>
      <c r="C44" s="74" t="s">
        <v>36</v>
      </c>
      <c r="D44" s="74" t="s">
        <v>352</v>
      </c>
      <c r="E44" s="75" t="s">
        <v>434</v>
      </c>
      <c r="F44" s="2"/>
      <c r="G44" s="79">
        <v>45717</v>
      </c>
      <c r="H44" s="74" t="s">
        <v>442</v>
      </c>
      <c r="I44" s="2" t="s">
        <v>436</v>
      </c>
      <c r="J44" s="77"/>
      <c r="K44" s="2"/>
    </row>
    <row r="45" spans="1:11" ht="14.45" customHeight="1" x14ac:dyDescent="0.25">
      <c r="A45" s="74">
        <v>43</v>
      </c>
      <c r="B45" s="74" t="s">
        <v>91</v>
      </c>
      <c r="C45" s="74" t="s">
        <v>36</v>
      </c>
      <c r="D45" s="74" t="s">
        <v>352</v>
      </c>
      <c r="E45" s="75" t="s">
        <v>434</v>
      </c>
      <c r="F45" s="2"/>
      <c r="G45" s="79">
        <v>45717</v>
      </c>
      <c r="H45" s="74" t="s">
        <v>441</v>
      </c>
      <c r="I45" s="2" t="s">
        <v>436</v>
      </c>
      <c r="J45" s="77"/>
      <c r="K45" s="2"/>
    </row>
    <row r="46" spans="1:11" ht="14.45" customHeight="1" x14ac:dyDescent="0.25">
      <c r="A46" s="74">
        <v>44</v>
      </c>
      <c r="B46" s="74" t="s">
        <v>114</v>
      </c>
      <c r="C46" s="74" t="s">
        <v>36</v>
      </c>
      <c r="D46" s="74" t="s">
        <v>352</v>
      </c>
      <c r="E46" s="75" t="s">
        <v>434</v>
      </c>
      <c r="F46" s="2"/>
      <c r="G46" s="79">
        <v>45717</v>
      </c>
      <c r="H46" s="74" t="s">
        <v>439</v>
      </c>
      <c r="I46" s="2" t="s">
        <v>436</v>
      </c>
      <c r="J46" s="75" t="s">
        <v>437</v>
      </c>
      <c r="K46" s="2"/>
    </row>
    <row r="47" spans="1:11" ht="14.45" customHeight="1" x14ac:dyDescent="0.25">
      <c r="A47" s="74">
        <v>45</v>
      </c>
      <c r="B47" s="74" t="s">
        <v>110</v>
      </c>
      <c r="C47" s="74" t="s">
        <v>21</v>
      </c>
      <c r="D47" s="78" t="s">
        <v>352</v>
      </c>
      <c r="E47" s="75" t="s">
        <v>434</v>
      </c>
      <c r="F47" s="2"/>
      <c r="G47" s="79">
        <v>45717</v>
      </c>
      <c r="H47" s="74" t="s">
        <v>439</v>
      </c>
      <c r="I47" s="2" t="s">
        <v>436</v>
      </c>
      <c r="J47" s="75" t="s">
        <v>437</v>
      </c>
      <c r="K47" s="2"/>
    </row>
    <row r="48" spans="1:11" ht="14.45" customHeight="1" x14ac:dyDescent="0.25">
      <c r="A48" s="74">
        <v>46</v>
      </c>
      <c r="B48" s="74" t="s">
        <v>78</v>
      </c>
      <c r="C48" s="74" t="s">
        <v>28</v>
      </c>
      <c r="D48" s="74" t="s">
        <v>352</v>
      </c>
      <c r="E48" s="75" t="s">
        <v>434</v>
      </c>
      <c r="F48" s="2"/>
      <c r="G48" s="79">
        <v>45717</v>
      </c>
      <c r="H48" s="74" t="s">
        <v>438</v>
      </c>
      <c r="I48" s="2" t="s">
        <v>436</v>
      </c>
      <c r="J48" s="75" t="s">
        <v>437</v>
      </c>
      <c r="K48" s="2"/>
    </row>
    <row r="49" spans="1:11" ht="14.45" customHeight="1" x14ac:dyDescent="0.25">
      <c r="A49" s="74">
        <v>47</v>
      </c>
      <c r="B49" s="74" t="s">
        <v>79</v>
      </c>
      <c r="C49" s="74" t="s">
        <v>36</v>
      </c>
      <c r="D49" s="74" t="s">
        <v>352</v>
      </c>
      <c r="E49" s="75" t="s">
        <v>434</v>
      </c>
      <c r="F49" s="2"/>
      <c r="G49" s="79">
        <v>45717</v>
      </c>
      <c r="H49" s="74" t="s">
        <v>442</v>
      </c>
      <c r="I49" s="2" t="s">
        <v>436</v>
      </c>
      <c r="J49" s="77"/>
      <c r="K49" s="2"/>
    </row>
    <row r="50" spans="1:11" ht="14.45" customHeight="1" x14ac:dyDescent="0.25">
      <c r="A50" s="74">
        <v>48</v>
      </c>
      <c r="B50" s="74" t="s">
        <v>116</v>
      </c>
      <c r="C50" s="74" t="s">
        <v>36</v>
      </c>
      <c r="D50" s="74" t="s">
        <v>352</v>
      </c>
      <c r="E50" s="75" t="s">
        <v>434</v>
      </c>
      <c r="F50" s="2"/>
      <c r="G50" s="79">
        <v>45717</v>
      </c>
      <c r="H50" s="74" t="s">
        <v>439</v>
      </c>
      <c r="I50" s="2" t="s">
        <v>436</v>
      </c>
      <c r="J50" s="75" t="s">
        <v>437</v>
      </c>
      <c r="K50" s="2"/>
    </row>
    <row r="51" spans="1:11" ht="14.45" customHeight="1" x14ac:dyDescent="0.25">
      <c r="A51" s="74">
        <v>49</v>
      </c>
      <c r="B51" s="74" t="s">
        <v>115</v>
      </c>
      <c r="C51" s="74" t="s">
        <v>21</v>
      </c>
      <c r="D51" s="74" t="s">
        <v>354</v>
      </c>
      <c r="E51" s="75" t="s">
        <v>434</v>
      </c>
      <c r="F51" s="2"/>
      <c r="G51" s="79">
        <v>45717</v>
      </c>
      <c r="H51" s="74" t="s">
        <v>439</v>
      </c>
      <c r="I51" s="2" t="s">
        <v>436</v>
      </c>
      <c r="J51" s="75" t="s">
        <v>437</v>
      </c>
      <c r="K51" s="2"/>
    </row>
    <row r="52" spans="1:11" ht="14.45" customHeight="1" x14ac:dyDescent="0.25">
      <c r="A52" s="74">
        <v>50</v>
      </c>
      <c r="B52" s="74" t="s">
        <v>141</v>
      </c>
      <c r="C52" s="74" t="s">
        <v>21</v>
      </c>
      <c r="D52" s="78" t="s">
        <v>352</v>
      </c>
      <c r="E52" s="75" t="s">
        <v>434</v>
      </c>
      <c r="F52" s="2"/>
      <c r="G52" s="79">
        <v>45717</v>
      </c>
      <c r="H52" s="74" t="s">
        <v>439</v>
      </c>
      <c r="I52" s="2" t="s">
        <v>436</v>
      </c>
      <c r="J52" s="75" t="s">
        <v>437</v>
      </c>
      <c r="K52" s="2"/>
    </row>
    <row r="53" spans="1:11" ht="14.45" customHeight="1" x14ac:dyDescent="0.25">
      <c r="A53" s="74">
        <v>51</v>
      </c>
      <c r="B53" s="74" t="s">
        <v>139</v>
      </c>
      <c r="C53" s="74" t="s">
        <v>36</v>
      </c>
      <c r="D53" s="74" t="s">
        <v>352</v>
      </c>
      <c r="E53" s="75" t="s">
        <v>434</v>
      </c>
      <c r="F53" s="2"/>
      <c r="G53" s="79">
        <v>45717</v>
      </c>
      <c r="H53" s="74" t="s">
        <v>439</v>
      </c>
      <c r="I53" s="2" t="s">
        <v>436</v>
      </c>
      <c r="J53" s="75" t="s">
        <v>437</v>
      </c>
      <c r="K53" s="2"/>
    </row>
    <row r="54" spans="1:11" ht="14.45" customHeight="1" x14ac:dyDescent="0.25">
      <c r="A54" s="74">
        <v>52</v>
      </c>
      <c r="B54" s="74" t="s">
        <v>216</v>
      </c>
      <c r="C54" s="74" t="s">
        <v>36</v>
      </c>
      <c r="D54" s="74" t="s">
        <v>352</v>
      </c>
      <c r="E54" s="75" t="s">
        <v>434</v>
      </c>
      <c r="F54" s="2"/>
      <c r="G54" s="79">
        <v>45717</v>
      </c>
      <c r="H54" s="74" t="s">
        <v>442</v>
      </c>
      <c r="I54" s="2" t="s">
        <v>436</v>
      </c>
      <c r="J54" s="75" t="s">
        <v>437</v>
      </c>
      <c r="K54" s="2"/>
    </row>
    <row r="55" spans="1:11" ht="14.45" customHeight="1" x14ac:dyDescent="0.25">
      <c r="A55" s="74">
        <v>53</v>
      </c>
      <c r="B55" s="74" t="s">
        <v>219</v>
      </c>
      <c r="C55" s="74" t="s">
        <v>36</v>
      </c>
      <c r="D55" s="74" t="s">
        <v>352</v>
      </c>
      <c r="E55" s="75" t="s">
        <v>434</v>
      </c>
      <c r="F55" s="2"/>
      <c r="G55" s="79">
        <v>45748</v>
      </c>
      <c r="H55" s="74" t="s">
        <v>438</v>
      </c>
      <c r="I55" s="2" t="s">
        <v>436</v>
      </c>
      <c r="J55" s="75" t="s">
        <v>437</v>
      </c>
      <c r="K55" s="2"/>
    </row>
    <row r="56" spans="1:11" ht="14.45" customHeight="1" x14ac:dyDescent="0.25">
      <c r="A56" s="74">
        <v>54</v>
      </c>
      <c r="B56" s="74" t="s">
        <v>144</v>
      </c>
      <c r="C56" s="74" t="s">
        <v>38</v>
      </c>
      <c r="D56" s="78" t="s">
        <v>352</v>
      </c>
      <c r="E56" s="75" t="s">
        <v>434</v>
      </c>
      <c r="F56" s="2"/>
      <c r="G56" s="79">
        <v>45748</v>
      </c>
      <c r="H56" s="74" t="s">
        <v>439</v>
      </c>
      <c r="I56" s="2" t="s">
        <v>436</v>
      </c>
      <c r="J56" s="75" t="s">
        <v>437</v>
      </c>
      <c r="K56" s="2"/>
    </row>
    <row r="57" spans="1:11" ht="14.45" customHeight="1" x14ac:dyDescent="0.25">
      <c r="A57" s="74">
        <v>55</v>
      </c>
      <c r="B57" s="74" t="s">
        <v>140</v>
      </c>
      <c r="C57" s="74" t="s">
        <v>36</v>
      </c>
      <c r="D57" s="74" t="s">
        <v>352</v>
      </c>
      <c r="E57" s="75" t="s">
        <v>434</v>
      </c>
      <c r="F57" s="2"/>
      <c r="G57" s="79">
        <v>45748</v>
      </c>
      <c r="H57" s="74" t="s">
        <v>439</v>
      </c>
      <c r="I57" s="2" t="s">
        <v>436</v>
      </c>
      <c r="J57" s="75" t="s">
        <v>437</v>
      </c>
      <c r="K57" s="2"/>
    </row>
    <row r="58" spans="1:11" ht="14.45" customHeight="1" x14ac:dyDescent="0.25">
      <c r="A58" s="74">
        <v>56</v>
      </c>
      <c r="B58" s="74" t="s">
        <v>214</v>
      </c>
      <c r="C58" s="74" t="s">
        <v>36</v>
      </c>
      <c r="D58" s="74" t="s">
        <v>352</v>
      </c>
      <c r="E58" s="75" t="s">
        <v>434</v>
      </c>
      <c r="F58" s="2"/>
      <c r="G58" s="79">
        <v>45748</v>
      </c>
      <c r="H58" s="74" t="s">
        <v>442</v>
      </c>
      <c r="I58" s="2" t="s">
        <v>436</v>
      </c>
      <c r="J58" s="75" t="s">
        <v>437</v>
      </c>
      <c r="K58" s="2"/>
    </row>
    <row r="59" spans="1:11" ht="14.45" customHeight="1" x14ac:dyDescent="0.25">
      <c r="A59" s="74">
        <v>57</v>
      </c>
      <c r="B59" s="74" t="s">
        <v>215</v>
      </c>
      <c r="C59" s="74" t="s">
        <v>36</v>
      </c>
      <c r="D59" s="74" t="s">
        <v>352</v>
      </c>
      <c r="E59" s="75" t="s">
        <v>434</v>
      </c>
      <c r="F59" s="2"/>
      <c r="G59" s="79">
        <v>45748</v>
      </c>
      <c r="H59" s="74" t="s">
        <v>442</v>
      </c>
      <c r="I59" s="2" t="s">
        <v>436</v>
      </c>
      <c r="J59" s="75" t="s">
        <v>437</v>
      </c>
      <c r="K59" s="2"/>
    </row>
    <row r="60" spans="1:11" ht="14.45" customHeight="1" x14ac:dyDescent="0.25">
      <c r="A60" s="74">
        <v>58</v>
      </c>
      <c r="B60" s="74" t="s">
        <v>217</v>
      </c>
      <c r="C60" s="74" t="s">
        <v>36</v>
      </c>
      <c r="D60" s="74" t="s">
        <v>352</v>
      </c>
      <c r="E60" s="75" t="s">
        <v>434</v>
      </c>
      <c r="F60" s="2"/>
      <c r="G60" s="79">
        <v>45748</v>
      </c>
      <c r="H60" s="74" t="s">
        <v>438</v>
      </c>
      <c r="I60" s="2" t="s">
        <v>436</v>
      </c>
      <c r="J60" s="75" t="s">
        <v>437</v>
      </c>
      <c r="K60" s="2"/>
    </row>
    <row r="61" spans="1:11" ht="14.45" customHeight="1" x14ac:dyDescent="0.25">
      <c r="A61" s="74">
        <v>59</v>
      </c>
      <c r="B61" s="74" t="s">
        <v>147</v>
      </c>
      <c r="C61" s="74" t="s">
        <v>19</v>
      </c>
      <c r="D61" s="74" t="s">
        <v>352</v>
      </c>
      <c r="E61" s="75" t="s">
        <v>434</v>
      </c>
      <c r="F61" s="2"/>
      <c r="G61" s="79">
        <v>45748</v>
      </c>
      <c r="H61" s="74" t="s">
        <v>439</v>
      </c>
      <c r="I61" s="2" t="s">
        <v>436</v>
      </c>
      <c r="J61" s="75" t="s">
        <v>437</v>
      </c>
      <c r="K61" s="2"/>
    </row>
    <row r="62" spans="1:11" ht="14.45" customHeight="1" x14ac:dyDescent="0.25">
      <c r="A62" s="74">
        <v>60</v>
      </c>
      <c r="B62" s="483" t="s">
        <v>145</v>
      </c>
      <c r="C62" s="74" t="s">
        <v>36</v>
      </c>
      <c r="D62" s="74" t="s">
        <v>352</v>
      </c>
      <c r="E62" s="75" t="s">
        <v>434</v>
      </c>
      <c r="F62" s="2"/>
      <c r="G62" s="79">
        <v>45748</v>
      </c>
      <c r="H62" s="74" t="s">
        <v>439</v>
      </c>
      <c r="I62" s="2" t="s">
        <v>436</v>
      </c>
      <c r="J62" s="77"/>
      <c r="K62" s="2"/>
    </row>
    <row r="63" spans="1:11" ht="14.45" customHeight="1" x14ac:dyDescent="0.25">
      <c r="A63" s="74">
        <v>61</v>
      </c>
      <c r="B63" s="484" t="s">
        <v>129</v>
      </c>
      <c r="C63" s="74" t="s">
        <v>28</v>
      </c>
      <c r="D63" s="74" t="s">
        <v>353</v>
      </c>
      <c r="E63" s="75" t="s">
        <v>434</v>
      </c>
      <c r="F63" s="2"/>
      <c r="G63" s="79">
        <v>45748</v>
      </c>
      <c r="H63" s="74" t="s">
        <v>443</v>
      </c>
      <c r="I63" s="2" t="s">
        <v>436</v>
      </c>
      <c r="J63" s="77"/>
      <c r="K63" s="2"/>
    </row>
    <row r="64" spans="1:11" ht="14.45" customHeight="1" x14ac:dyDescent="0.25">
      <c r="A64" s="74">
        <v>62</v>
      </c>
      <c r="B64" s="483" t="s">
        <v>146</v>
      </c>
      <c r="C64" s="74" t="s">
        <v>21</v>
      </c>
      <c r="D64" s="74" t="s">
        <v>352</v>
      </c>
      <c r="E64" s="75" t="s">
        <v>434</v>
      </c>
      <c r="F64" s="2"/>
      <c r="G64" s="79">
        <v>45748</v>
      </c>
      <c r="H64" s="74" t="s">
        <v>439</v>
      </c>
      <c r="I64" s="2" t="s">
        <v>436</v>
      </c>
      <c r="J64" s="75" t="s">
        <v>437</v>
      </c>
      <c r="K64" s="2"/>
    </row>
    <row r="65" spans="1:11" ht="14.45" customHeight="1" x14ac:dyDescent="0.25">
      <c r="A65" s="74">
        <v>63</v>
      </c>
      <c r="B65" s="74" t="s">
        <v>213</v>
      </c>
      <c r="C65" s="74" t="s">
        <v>38</v>
      </c>
      <c r="D65" s="74" t="s">
        <v>353</v>
      </c>
      <c r="E65" s="75" t="s">
        <v>434</v>
      </c>
      <c r="F65" s="2"/>
      <c r="G65" s="79">
        <v>45748</v>
      </c>
      <c r="H65" s="74" t="s">
        <v>442</v>
      </c>
      <c r="I65" s="2" t="s">
        <v>436</v>
      </c>
      <c r="J65" s="75" t="s">
        <v>437</v>
      </c>
      <c r="K65" s="2"/>
    </row>
    <row r="66" spans="1:11" ht="14.45" customHeight="1" x14ac:dyDescent="0.25">
      <c r="A66" s="74">
        <v>64</v>
      </c>
      <c r="B66" s="483" t="s">
        <v>148</v>
      </c>
      <c r="C66" s="74" t="s">
        <v>40</v>
      </c>
      <c r="D66" s="74" t="s">
        <v>352</v>
      </c>
      <c r="E66" s="75" t="s">
        <v>434</v>
      </c>
      <c r="F66" s="2"/>
      <c r="G66" s="79">
        <v>45748</v>
      </c>
      <c r="H66" s="74" t="s">
        <v>439</v>
      </c>
      <c r="I66" s="2" t="s">
        <v>436</v>
      </c>
      <c r="J66" s="75" t="s">
        <v>437</v>
      </c>
      <c r="K66" s="2"/>
    </row>
    <row r="67" spans="1:11" ht="14.45" customHeight="1" x14ac:dyDescent="0.25">
      <c r="A67" s="74">
        <v>65</v>
      </c>
      <c r="B67" s="74" t="s">
        <v>225</v>
      </c>
      <c r="C67" s="74" t="s">
        <v>38</v>
      </c>
      <c r="D67" s="74" t="s">
        <v>352</v>
      </c>
      <c r="E67" s="75" t="s">
        <v>434</v>
      </c>
      <c r="F67" s="2"/>
      <c r="G67" s="79">
        <v>45748</v>
      </c>
      <c r="H67" s="74" t="s">
        <v>438</v>
      </c>
      <c r="I67" s="2" t="s">
        <v>436</v>
      </c>
      <c r="J67" s="75" t="s">
        <v>437</v>
      </c>
      <c r="K67" s="2"/>
    </row>
    <row r="68" spans="1:11" ht="14.45" customHeight="1" x14ac:dyDescent="0.25">
      <c r="A68" s="74">
        <v>66</v>
      </c>
      <c r="B68" s="483" t="s">
        <v>149</v>
      </c>
      <c r="C68" s="74" t="s">
        <v>36</v>
      </c>
      <c r="D68" s="74" t="s">
        <v>352</v>
      </c>
      <c r="E68" s="75" t="s">
        <v>434</v>
      </c>
      <c r="F68" s="2"/>
      <c r="G68" s="79">
        <v>45748</v>
      </c>
      <c r="H68" s="74" t="s">
        <v>439</v>
      </c>
      <c r="I68" s="2" t="s">
        <v>436</v>
      </c>
      <c r="J68" s="75" t="s">
        <v>437</v>
      </c>
      <c r="K68" s="2"/>
    </row>
    <row r="69" spans="1:11" ht="14.45" customHeight="1" x14ac:dyDescent="0.25">
      <c r="A69" s="74">
        <v>67</v>
      </c>
      <c r="B69" s="485" t="s">
        <v>143</v>
      </c>
      <c r="C69" s="74" t="s">
        <v>28</v>
      </c>
      <c r="D69" s="74" t="s">
        <v>352</v>
      </c>
      <c r="E69" s="75" t="s">
        <v>434</v>
      </c>
      <c r="F69" s="2"/>
      <c r="G69" s="79">
        <v>45748</v>
      </c>
      <c r="H69" s="74" t="s">
        <v>439</v>
      </c>
      <c r="I69" s="2" t="s">
        <v>436</v>
      </c>
      <c r="J69" s="75" t="s">
        <v>437</v>
      </c>
      <c r="K69" s="2"/>
    </row>
    <row r="70" spans="1:11" ht="14.45" customHeight="1" x14ac:dyDescent="0.25">
      <c r="A70" s="74">
        <v>68</v>
      </c>
      <c r="B70" s="483" t="s">
        <v>130</v>
      </c>
      <c r="C70" s="74" t="s">
        <v>36</v>
      </c>
      <c r="D70" s="74" t="s">
        <v>353</v>
      </c>
      <c r="E70" s="75" t="s">
        <v>434</v>
      </c>
      <c r="F70" s="2"/>
      <c r="G70" s="79">
        <v>45748</v>
      </c>
      <c r="H70" s="74" t="s">
        <v>443</v>
      </c>
      <c r="I70" s="2" t="s">
        <v>436</v>
      </c>
      <c r="J70" s="77"/>
      <c r="K70" s="2"/>
    </row>
    <row r="71" spans="1:11" ht="14.45" customHeight="1" x14ac:dyDescent="0.25">
      <c r="A71" s="74">
        <v>69</v>
      </c>
      <c r="B71" s="484" t="s">
        <v>229</v>
      </c>
      <c r="C71" s="74" t="s">
        <v>21</v>
      </c>
      <c r="D71" s="74" t="s">
        <v>352</v>
      </c>
      <c r="E71" s="75" t="s">
        <v>434</v>
      </c>
      <c r="F71" s="2"/>
      <c r="G71" s="79">
        <v>45748</v>
      </c>
      <c r="H71" s="74" t="s">
        <v>442</v>
      </c>
      <c r="I71" s="2" t="s">
        <v>436</v>
      </c>
      <c r="J71" s="75" t="s">
        <v>437</v>
      </c>
      <c r="K71" s="2"/>
    </row>
    <row r="72" spans="1:11" ht="14.45" customHeight="1" x14ac:dyDescent="0.25">
      <c r="A72" s="74">
        <v>70</v>
      </c>
      <c r="B72" s="74" t="s">
        <v>142</v>
      </c>
      <c r="C72" s="74" t="s">
        <v>28</v>
      </c>
      <c r="D72" s="74" t="s">
        <v>352</v>
      </c>
      <c r="E72" s="75" t="s">
        <v>434</v>
      </c>
      <c r="F72" s="2"/>
      <c r="G72" s="79">
        <v>45748</v>
      </c>
      <c r="H72" s="74" t="s">
        <v>439</v>
      </c>
      <c r="I72" s="2" t="s">
        <v>436</v>
      </c>
      <c r="J72" s="75" t="s">
        <v>437</v>
      </c>
      <c r="K72" s="2"/>
    </row>
    <row r="73" spans="1:11" ht="14.45" customHeight="1" x14ac:dyDescent="0.25">
      <c r="A73" s="74">
        <v>71</v>
      </c>
      <c r="B73" s="74" t="s">
        <v>244</v>
      </c>
      <c r="C73" s="74" t="s">
        <v>38</v>
      </c>
      <c r="D73" s="74" t="s">
        <v>352</v>
      </c>
      <c r="E73" s="75" t="s">
        <v>434</v>
      </c>
      <c r="F73" s="2"/>
      <c r="G73" s="79">
        <v>45748</v>
      </c>
      <c r="H73" s="74" t="s">
        <v>441</v>
      </c>
      <c r="I73" s="2" t="s">
        <v>436</v>
      </c>
      <c r="J73" s="75" t="s">
        <v>437</v>
      </c>
      <c r="K73" s="2"/>
    </row>
    <row r="74" spans="1:11" ht="14.45" customHeight="1" x14ac:dyDescent="0.25">
      <c r="A74" s="74">
        <v>72</v>
      </c>
      <c r="B74" s="74" t="s">
        <v>226</v>
      </c>
      <c r="C74" s="74" t="s">
        <v>36</v>
      </c>
      <c r="D74" s="74" t="s">
        <v>352</v>
      </c>
      <c r="E74" s="75" t="s">
        <v>434</v>
      </c>
      <c r="F74" s="2"/>
      <c r="G74" s="79">
        <v>45748</v>
      </c>
      <c r="H74" s="74" t="s">
        <v>438</v>
      </c>
      <c r="I74" s="2" t="s">
        <v>436</v>
      </c>
      <c r="J74" s="75" t="s">
        <v>437</v>
      </c>
      <c r="K74" s="2"/>
    </row>
    <row r="75" spans="1:11" ht="14.45" customHeight="1" x14ac:dyDescent="0.25">
      <c r="A75" s="74">
        <v>73</v>
      </c>
      <c r="B75" s="483" t="s">
        <v>154</v>
      </c>
      <c r="C75" s="74" t="s">
        <v>40</v>
      </c>
      <c r="D75" s="74" t="s">
        <v>352</v>
      </c>
      <c r="E75" s="75" t="s">
        <v>434</v>
      </c>
      <c r="F75" s="2"/>
      <c r="G75" s="79">
        <v>45748</v>
      </c>
      <c r="H75" s="74" t="s">
        <v>439</v>
      </c>
      <c r="I75" s="2" t="s">
        <v>436</v>
      </c>
      <c r="J75" s="75" t="s">
        <v>437</v>
      </c>
      <c r="K75" s="2"/>
    </row>
    <row r="76" spans="1:11" ht="14.45" customHeight="1" x14ac:dyDescent="0.25">
      <c r="A76" s="74">
        <v>74</v>
      </c>
      <c r="B76" s="484" t="s">
        <v>63</v>
      </c>
      <c r="C76" s="74" t="s">
        <v>397</v>
      </c>
      <c r="D76" s="74" t="s">
        <v>353</v>
      </c>
      <c r="E76" s="75" t="s">
        <v>434</v>
      </c>
      <c r="F76" s="2"/>
      <c r="G76" s="79">
        <v>45748</v>
      </c>
      <c r="H76" s="74" t="s">
        <v>435</v>
      </c>
      <c r="I76" s="2" t="s">
        <v>436</v>
      </c>
      <c r="J76" s="77"/>
      <c r="K76" s="2"/>
    </row>
    <row r="77" spans="1:11" ht="14.45" customHeight="1" x14ac:dyDescent="0.25">
      <c r="A77" s="74">
        <v>75</v>
      </c>
      <c r="B77" s="483" t="s">
        <v>155</v>
      </c>
      <c r="C77" s="74" t="s">
        <v>21</v>
      </c>
      <c r="D77" s="74" t="s">
        <v>352</v>
      </c>
      <c r="E77" s="75" t="s">
        <v>434</v>
      </c>
      <c r="F77" s="2"/>
      <c r="G77" s="79">
        <v>45748</v>
      </c>
      <c r="H77" s="74" t="s">
        <v>439</v>
      </c>
      <c r="I77" s="2" t="s">
        <v>436</v>
      </c>
      <c r="J77" s="75" t="s">
        <v>437</v>
      </c>
      <c r="K77" s="2"/>
    </row>
    <row r="78" spans="1:11" ht="14.45" customHeight="1" x14ac:dyDescent="0.25">
      <c r="A78" s="74">
        <v>76</v>
      </c>
      <c r="B78" s="484" t="s">
        <v>245</v>
      </c>
      <c r="C78" s="74" t="s">
        <v>36</v>
      </c>
      <c r="D78" s="74" t="s">
        <v>352</v>
      </c>
      <c r="E78" s="75" t="s">
        <v>434</v>
      </c>
      <c r="F78" s="2"/>
      <c r="G78" s="79">
        <v>45748</v>
      </c>
      <c r="H78" s="74" t="s">
        <v>441</v>
      </c>
      <c r="I78" s="2" t="s">
        <v>436</v>
      </c>
      <c r="J78" s="75" t="s">
        <v>437</v>
      </c>
      <c r="K78" s="2"/>
    </row>
    <row r="79" spans="1:11" ht="14.45" customHeight="1" x14ac:dyDescent="0.25">
      <c r="A79" s="74">
        <v>77</v>
      </c>
      <c r="B79" s="484" t="s">
        <v>230</v>
      </c>
      <c r="C79" s="74" t="s">
        <v>19</v>
      </c>
      <c r="D79" s="74" t="s">
        <v>352</v>
      </c>
      <c r="E79" s="75" t="s">
        <v>434</v>
      </c>
      <c r="F79" s="2"/>
      <c r="G79" s="79">
        <v>45748</v>
      </c>
      <c r="H79" s="74" t="s">
        <v>442</v>
      </c>
      <c r="I79" s="2" t="s">
        <v>436</v>
      </c>
      <c r="J79" s="75" t="s">
        <v>437</v>
      </c>
      <c r="K79" s="2"/>
    </row>
    <row r="80" spans="1:11" ht="14.45" customHeight="1" x14ac:dyDescent="0.25">
      <c r="A80" s="74">
        <v>78</v>
      </c>
      <c r="B80" s="484" t="s">
        <v>227</v>
      </c>
      <c r="C80" s="74" t="s">
        <v>36</v>
      </c>
      <c r="D80" s="74" t="s">
        <v>352</v>
      </c>
      <c r="E80" s="75" t="s">
        <v>434</v>
      </c>
      <c r="F80" s="2"/>
      <c r="G80" s="79">
        <v>45748</v>
      </c>
      <c r="H80" s="74" t="s">
        <v>438</v>
      </c>
      <c r="I80" s="2" t="s">
        <v>436</v>
      </c>
      <c r="J80" s="75" t="s">
        <v>437</v>
      </c>
      <c r="K80" s="2"/>
    </row>
    <row r="81" spans="1:11" ht="14.45" customHeight="1" x14ac:dyDescent="0.25">
      <c r="A81" s="74">
        <v>79</v>
      </c>
      <c r="B81" s="484" t="s">
        <v>131</v>
      </c>
      <c r="C81" s="74" t="s">
        <v>36</v>
      </c>
      <c r="D81" s="74" t="s">
        <v>352</v>
      </c>
      <c r="E81" s="75" t="s">
        <v>434</v>
      </c>
      <c r="F81" s="2"/>
      <c r="G81" s="79">
        <v>45748</v>
      </c>
      <c r="H81" s="74" t="s">
        <v>443</v>
      </c>
      <c r="I81" s="2" t="s">
        <v>436</v>
      </c>
      <c r="J81" s="77"/>
      <c r="K81" s="2"/>
    </row>
    <row r="82" spans="1:11" ht="14.45" customHeight="1" x14ac:dyDescent="0.25">
      <c r="A82" s="74">
        <v>80</v>
      </c>
      <c r="B82" s="483" t="s">
        <v>67</v>
      </c>
      <c r="C82" s="74" t="s">
        <v>38</v>
      </c>
      <c r="D82" s="74" t="s">
        <v>352</v>
      </c>
      <c r="E82" s="75" t="s">
        <v>434</v>
      </c>
      <c r="F82" s="2"/>
      <c r="G82" s="79">
        <v>45748</v>
      </c>
      <c r="H82" s="74" t="s">
        <v>444</v>
      </c>
      <c r="I82" s="2" t="s">
        <v>436</v>
      </c>
      <c r="J82" s="77"/>
      <c r="K82" s="2"/>
    </row>
    <row r="83" spans="1:11" ht="14.45" customHeight="1" x14ac:dyDescent="0.25">
      <c r="A83" s="74">
        <v>81</v>
      </c>
      <c r="B83" s="483" t="s">
        <v>156</v>
      </c>
      <c r="C83" s="74" t="s">
        <v>21</v>
      </c>
      <c r="D83" s="74" t="s">
        <v>354</v>
      </c>
      <c r="E83" s="75" t="s">
        <v>434</v>
      </c>
      <c r="F83" s="2"/>
      <c r="G83" s="79">
        <v>45748</v>
      </c>
      <c r="H83" s="74" t="s">
        <v>439</v>
      </c>
      <c r="I83" s="2" t="s">
        <v>436</v>
      </c>
      <c r="J83" s="75" t="s">
        <v>437</v>
      </c>
      <c r="K83" s="2"/>
    </row>
    <row r="84" spans="1:11" ht="14.45" customHeight="1" x14ac:dyDescent="0.25">
      <c r="A84" s="74">
        <v>82</v>
      </c>
      <c r="B84" s="484" t="s">
        <v>157</v>
      </c>
      <c r="C84" s="74" t="s">
        <v>28</v>
      </c>
      <c r="D84" s="74" t="s">
        <v>352</v>
      </c>
      <c r="E84" s="75" t="s">
        <v>434</v>
      </c>
      <c r="F84" s="2"/>
      <c r="G84" s="79">
        <v>45748</v>
      </c>
      <c r="H84" s="74" t="s">
        <v>439</v>
      </c>
      <c r="I84" s="2" t="s">
        <v>436</v>
      </c>
      <c r="J84" s="75" t="s">
        <v>437</v>
      </c>
      <c r="K84" s="2"/>
    </row>
    <row r="85" spans="1:11" ht="14.45" customHeight="1" x14ac:dyDescent="0.25">
      <c r="A85" s="74">
        <v>83</v>
      </c>
      <c r="B85" s="483" t="s">
        <v>162</v>
      </c>
      <c r="C85" s="74" t="s">
        <v>36</v>
      </c>
      <c r="D85" s="74" t="s">
        <v>354</v>
      </c>
      <c r="E85" s="75" t="s">
        <v>434</v>
      </c>
      <c r="F85" s="2"/>
      <c r="G85" s="79">
        <v>45748</v>
      </c>
      <c r="H85" s="74" t="s">
        <v>439</v>
      </c>
      <c r="I85" s="2" t="s">
        <v>436</v>
      </c>
      <c r="J85" s="75" t="s">
        <v>437</v>
      </c>
      <c r="K85" s="2"/>
    </row>
    <row r="86" spans="1:11" ht="14.45" customHeight="1" x14ac:dyDescent="0.25">
      <c r="A86" s="74">
        <v>84</v>
      </c>
      <c r="B86" s="484" t="s">
        <v>165</v>
      </c>
      <c r="C86" s="74" t="s">
        <v>19</v>
      </c>
      <c r="D86" s="74" t="s">
        <v>352</v>
      </c>
      <c r="E86" s="75" t="s">
        <v>434</v>
      </c>
      <c r="F86" s="2"/>
      <c r="G86" s="79">
        <v>45748</v>
      </c>
      <c r="H86" s="74" t="s">
        <v>439</v>
      </c>
      <c r="I86" s="2" t="s">
        <v>436</v>
      </c>
      <c r="J86" s="75" t="s">
        <v>437</v>
      </c>
      <c r="K86" s="2"/>
    </row>
    <row r="87" spans="1:11" ht="14.45" customHeight="1" x14ac:dyDescent="0.25">
      <c r="A87" s="74">
        <v>85</v>
      </c>
      <c r="B87" s="484" t="s">
        <v>64</v>
      </c>
      <c r="C87" s="74" t="s">
        <v>36</v>
      </c>
      <c r="D87" s="74" t="s">
        <v>353</v>
      </c>
      <c r="E87" s="75" t="s">
        <v>434</v>
      </c>
      <c r="F87" s="2"/>
      <c r="G87" s="79">
        <v>45748</v>
      </c>
      <c r="H87" s="74" t="s">
        <v>435</v>
      </c>
      <c r="I87" s="2" t="s">
        <v>436</v>
      </c>
      <c r="J87" s="77"/>
      <c r="K87" s="2"/>
    </row>
    <row r="88" spans="1:11" ht="14.45" customHeight="1" x14ac:dyDescent="0.25">
      <c r="A88" s="74">
        <v>86</v>
      </c>
      <c r="B88" s="484" t="s">
        <v>233</v>
      </c>
      <c r="C88" s="74" t="s">
        <v>36</v>
      </c>
      <c r="D88" s="74" t="s">
        <v>352</v>
      </c>
      <c r="E88" s="75" t="s">
        <v>434</v>
      </c>
      <c r="F88" s="2"/>
      <c r="G88" s="79">
        <v>45748</v>
      </c>
      <c r="H88" s="74" t="s">
        <v>442</v>
      </c>
      <c r="I88" s="2" t="s">
        <v>436</v>
      </c>
      <c r="J88" s="75" t="s">
        <v>437</v>
      </c>
      <c r="K88" s="2"/>
    </row>
    <row r="89" spans="1:11" ht="14.45" customHeight="1" x14ac:dyDescent="0.25">
      <c r="A89" s="74">
        <v>87</v>
      </c>
      <c r="B89" s="484" t="s">
        <v>220</v>
      </c>
      <c r="C89" s="74" t="s">
        <v>38</v>
      </c>
      <c r="D89" s="74" t="s">
        <v>352</v>
      </c>
      <c r="E89" s="75" t="s">
        <v>434</v>
      </c>
      <c r="F89" s="2"/>
      <c r="G89" s="79">
        <v>45748</v>
      </c>
      <c r="H89" s="74" t="s">
        <v>438</v>
      </c>
      <c r="I89" s="2" t="s">
        <v>436</v>
      </c>
      <c r="J89" s="75" t="s">
        <v>437</v>
      </c>
      <c r="K89" s="2"/>
    </row>
    <row r="90" spans="1:11" ht="14.45" customHeight="1" x14ac:dyDescent="0.25">
      <c r="A90" s="74">
        <v>88</v>
      </c>
      <c r="B90" s="484" t="s">
        <v>200</v>
      </c>
      <c r="C90" s="74" t="s">
        <v>36</v>
      </c>
      <c r="D90" s="74" t="s">
        <v>354</v>
      </c>
      <c r="E90" s="75" t="s">
        <v>434</v>
      </c>
      <c r="F90" s="2"/>
      <c r="G90" s="79">
        <v>45748</v>
      </c>
      <c r="H90" s="74" t="s">
        <v>441</v>
      </c>
      <c r="I90" s="2" t="s">
        <v>436</v>
      </c>
      <c r="J90" s="75" t="s">
        <v>437</v>
      </c>
      <c r="K90" s="2"/>
    </row>
    <row r="91" spans="1:11" ht="14.45" customHeight="1" x14ac:dyDescent="0.25">
      <c r="A91" s="74">
        <v>89</v>
      </c>
      <c r="B91" s="484" t="s">
        <v>164</v>
      </c>
      <c r="C91" s="74" t="s">
        <v>28</v>
      </c>
      <c r="D91" s="74" t="s">
        <v>352</v>
      </c>
      <c r="E91" s="75" t="s">
        <v>434</v>
      </c>
      <c r="F91" s="2"/>
      <c r="G91" s="79">
        <v>45748</v>
      </c>
      <c r="H91" s="74" t="s">
        <v>439</v>
      </c>
      <c r="I91" s="2" t="s">
        <v>436</v>
      </c>
      <c r="J91" s="75" t="s">
        <v>437</v>
      </c>
      <c r="K91" s="2"/>
    </row>
    <row r="92" spans="1:11" ht="14.45" customHeight="1" x14ac:dyDescent="0.25">
      <c r="A92" s="74">
        <v>90</v>
      </c>
      <c r="B92" s="484" t="s">
        <v>132</v>
      </c>
      <c r="C92" s="74" t="s">
        <v>38</v>
      </c>
      <c r="D92" s="74" t="s">
        <v>352</v>
      </c>
      <c r="E92" s="75" t="s">
        <v>434</v>
      </c>
      <c r="F92" s="2"/>
      <c r="G92" s="79">
        <v>45748</v>
      </c>
      <c r="H92" s="74" t="s">
        <v>443</v>
      </c>
      <c r="I92" s="2" t="s">
        <v>436</v>
      </c>
      <c r="J92" s="77"/>
      <c r="K92" s="2"/>
    </row>
    <row r="93" spans="1:11" ht="14.45" customHeight="1" x14ac:dyDescent="0.25">
      <c r="A93" s="74">
        <v>91</v>
      </c>
      <c r="B93" s="484" t="s">
        <v>199</v>
      </c>
      <c r="C93" s="74" t="s">
        <v>38</v>
      </c>
      <c r="D93" s="74" t="s">
        <v>352</v>
      </c>
      <c r="E93" s="75" t="s">
        <v>434</v>
      </c>
      <c r="F93" s="2"/>
      <c r="G93" s="79">
        <v>45748</v>
      </c>
      <c r="H93" s="74" t="s">
        <v>441</v>
      </c>
      <c r="I93" s="2" t="s">
        <v>436</v>
      </c>
      <c r="J93" s="75" t="s">
        <v>437</v>
      </c>
      <c r="K93" s="2"/>
    </row>
    <row r="94" spans="1:11" ht="14.45" customHeight="1" x14ac:dyDescent="0.25">
      <c r="A94" s="74">
        <v>92</v>
      </c>
      <c r="B94" s="484" t="s">
        <v>236</v>
      </c>
      <c r="C94" s="74" t="s">
        <v>38</v>
      </c>
      <c r="D94" s="74" t="s">
        <v>352</v>
      </c>
      <c r="E94" s="75" t="s">
        <v>434</v>
      </c>
      <c r="F94" s="2"/>
      <c r="G94" s="79">
        <v>45748</v>
      </c>
      <c r="H94" s="74" t="s">
        <v>445</v>
      </c>
      <c r="I94" s="2" t="s">
        <v>436</v>
      </c>
      <c r="J94" s="75" t="s">
        <v>437</v>
      </c>
      <c r="K94" s="2"/>
    </row>
    <row r="95" spans="1:11" ht="14.45" customHeight="1" x14ac:dyDescent="0.25">
      <c r="A95" s="74">
        <v>93</v>
      </c>
      <c r="B95" s="484" t="s">
        <v>35</v>
      </c>
      <c r="C95" s="74" t="s">
        <v>36</v>
      </c>
      <c r="D95" s="74" t="s">
        <v>353</v>
      </c>
      <c r="E95" s="75" t="s">
        <v>434</v>
      </c>
      <c r="F95" s="2"/>
      <c r="G95" s="79">
        <v>45748</v>
      </c>
      <c r="H95" s="74" t="s">
        <v>444</v>
      </c>
      <c r="I95" s="2" t="s">
        <v>436</v>
      </c>
      <c r="J95" s="75" t="s">
        <v>437</v>
      </c>
      <c r="K95" s="2"/>
    </row>
    <row r="96" spans="1:11" ht="14.45" customHeight="1" x14ac:dyDescent="0.25">
      <c r="A96" s="74">
        <v>94</v>
      </c>
      <c r="B96" s="484" t="s">
        <v>170</v>
      </c>
      <c r="C96" s="74" t="s">
        <v>40</v>
      </c>
      <c r="D96" s="74" t="s">
        <v>352</v>
      </c>
      <c r="E96" s="75" t="s">
        <v>434</v>
      </c>
      <c r="F96" s="2"/>
      <c r="G96" s="79">
        <v>45748</v>
      </c>
      <c r="H96" s="74" t="s">
        <v>439</v>
      </c>
      <c r="I96" s="2" t="s">
        <v>436</v>
      </c>
      <c r="J96" s="77"/>
      <c r="K96" s="2"/>
    </row>
    <row r="97" spans="1:11" ht="14.45" customHeight="1" x14ac:dyDescent="0.25">
      <c r="A97" s="74">
        <v>95</v>
      </c>
      <c r="B97" s="483" t="s">
        <v>134</v>
      </c>
      <c r="C97" s="74" t="s">
        <v>21</v>
      </c>
      <c r="D97" s="74" t="s">
        <v>352</v>
      </c>
      <c r="E97" s="75" t="s">
        <v>434</v>
      </c>
      <c r="F97" s="2"/>
      <c r="G97" s="79">
        <v>45748</v>
      </c>
      <c r="H97" s="74" t="s">
        <v>443</v>
      </c>
      <c r="I97" s="2" t="s">
        <v>436</v>
      </c>
      <c r="J97" s="77"/>
      <c r="K97" s="2"/>
    </row>
    <row r="98" spans="1:11" x14ac:dyDescent="0.25">
      <c r="A98" s="74">
        <v>96</v>
      </c>
      <c r="B98" s="484" t="s">
        <v>50</v>
      </c>
      <c r="C98" s="74" t="s">
        <v>36</v>
      </c>
      <c r="D98" s="74" t="s">
        <v>352</v>
      </c>
      <c r="E98" s="75" t="s">
        <v>434</v>
      </c>
      <c r="F98" s="2"/>
      <c r="G98" s="79">
        <v>45748</v>
      </c>
      <c r="H98" s="74" t="s">
        <v>435</v>
      </c>
      <c r="I98" s="2" t="s">
        <v>436</v>
      </c>
      <c r="J98" s="75" t="s">
        <v>437</v>
      </c>
      <c r="K98" s="2"/>
    </row>
    <row r="99" spans="1:11" x14ac:dyDescent="0.25">
      <c r="A99" s="74">
        <v>97</v>
      </c>
      <c r="B99" s="484" t="s">
        <v>194</v>
      </c>
      <c r="C99" s="74" t="s">
        <v>36</v>
      </c>
      <c r="D99" s="74" t="s">
        <v>352</v>
      </c>
      <c r="E99" s="75" t="s">
        <v>434</v>
      </c>
      <c r="F99" s="2"/>
      <c r="G99" s="79">
        <v>45748</v>
      </c>
      <c r="H99" s="74" t="s">
        <v>438</v>
      </c>
      <c r="I99" s="2" t="s">
        <v>436</v>
      </c>
      <c r="J99" s="75" t="s">
        <v>437</v>
      </c>
      <c r="K99" s="2"/>
    </row>
    <row r="100" spans="1:11" x14ac:dyDescent="0.25">
      <c r="A100" s="74">
        <v>98</v>
      </c>
      <c r="B100" s="484" t="s">
        <v>198</v>
      </c>
      <c r="C100" s="74" t="s">
        <v>19</v>
      </c>
      <c r="D100" s="74" t="s">
        <v>352</v>
      </c>
      <c r="E100" s="75" t="s">
        <v>434</v>
      </c>
      <c r="F100" s="2"/>
      <c r="G100" s="79">
        <v>45748</v>
      </c>
      <c r="H100" s="74" t="s">
        <v>441</v>
      </c>
      <c r="I100" s="2" t="s">
        <v>436</v>
      </c>
      <c r="J100" s="75" t="s">
        <v>437</v>
      </c>
      <c r="K100" s="2"/>
    </row>
    <row r="101" spans="1:11" x14ac:dyDescent="0.25">
      <c r="A101" s="74">
        <v>99</v>
      </c>
      <c r="B101" s="484" t="s">
        <v>189</v>
      </c>
      <c r="C101" s="74" t="s">
        <v>28</v>
      </c>
      <c r="D101" s="74" t="s">
        <v>353</v>
      </c>
      <c r="E101" s="75" t="s">
        <v>434</v>
      </c>
      <c r="F101" s="2"/>
      <c r="G101" s="79">
        <v>45748</v>
      </c>
      <c r="H101" s="74" t="s">
        <v>445</v>
      </c>
      <c r="I101" s="2" t="s">
        <v>436</v>
      </c>
      <c r="J101" s="77"/>
      <c r="K101" s="2"/>
    </row>
    <row r="102" spans="1:11" x14ac:dyDescent="0.25">
      <c r="A102" s="74">
        <v>100</v>
      </c>
      <c r="B102" s="484" t="s">
        <v>171</v>
      </c>
      <c r="C102" s="74" t="s">
        <v>40</v>
      </c>
      <c r="D102" s="74" t="s">
        <v>352</v>
      </c>
      <c r="E102" s="75" t="s">
        <v>434</v>
      </c>
      <c r="F102" s="2"/>
      <c r="G102" s="79">
        <v>45748</v>
      </c>
      <c r="H102" s="74" t="s">
        <v>439</v>
      </c>
      <c r="I102" s="2" t="s">
        <v>436</v>
      </c>
      <c r="J102" s="77"/>
      <c r="K102" s="2"/>
    </row>
    <row r="103" spans="1:11" x14ac:dyDescent="0.25">
      <c r="A103" s="74">
        <v>101</v>
      </c>
      <c r="B103" s="2" t="s">
        <v>195</v>
      </c>
      <c r="C103" s="2" t="s">
        <v>36</v>
      </c>
      <c r="D103" s="2" t="s">
        <v>352</v>
      </c>
      <c r="E103" s="75" t="s">
        <v>434</v>
      </c>
      <c r="F103" s="2" t="s">
        <v>446</v>
      </c>
      <c r="G103" s="80" t="s">
        <v>447</v>
      </c>
      <c r="H103" s="2" t="s">
        <v>448</v>
      </c>
      <c r="I103" s="2" t="s">
        <v>436</v>
      </c>
      <c r="J103" s="77"/>
      <c r="K103" s="2"/>
    </row>
    <row r="104" spans="1:11" x14ac:dyDescent="0.25">
      <c r="A104" s="74">
        <v>102</v>
      </c>
      <c r="B104" s="81" t="s">
        <v>34</v>
      </c>
      <c r="C104" s="2" t="s">
        <v>28</v>
      </c>
      <c r="D104" s="2" t="s">
        <v>352</v>
      </c>
      <c r="E104" s="75" t="s">
        <v>434</v>
      </c>
      <c r="F104" s="2" t="s">
        <v>449</v>
      </c>
      <c r="G104" s="82">
        <v>45721</v>
      </c>
      <c r="H104" s="2" t="s">
        <v>450</v>
      </c>
      <c r="I104" s="2" t="s">
        <v>436</v>
      </c>
      <c r="J104" s="75" t="s">
        <v>437</v>
      </c>
      <c r="K104" s="2"/>
    </row>
    <row r="105" spans="1:11" x14ac:dyDescent="0.25">
      <c r="A105" s="74">
        <v>103</v>
      </c>
      <c r="B105" s="81" t="s">
        <v>163</v>
      </c>
      <c r="C105" s="2" t="s">
        <v>40</v>
      </c>
      <c r="D105" s="2" t="s">
        <v>352</v>
      </c>
      <c r="E105" s="75" t="s">
        <v>434</v>
      </c>
      <c r="F105" s="2" t="s">
        <v>449</v>
      </c>
      <c r="G105" s="82">
        <v>45721</v>
      </c>
      <c r="H105" s="2" t="s">
        <v>451</v>
      </c>
      <c r="I105" s="2" t="s">
        <v>436</v>
      </c>
      <c r="J105" s="75" t="s">
        <v>437</v>
      </c>
      <c r="K105" s="2"/>
    </row>
    <row r="106" spans="1:11" x14ac:dyDescent="0.25">
      <c r="A106" s="74">
        <v>104</v>
      </c>
      <c r="B106" s="81" t="s">
        <v>136</v>
      </c>
      <c r="C106" s="2" t="s">
        <v>38</v>
      </c>
      <c r="D106" s="2" t="s">
        <v>352</v>
      </c>
      <c r="E106" s="75" t="s">
        <v>434</v>
      </c>
      <c r="F106" s="83" t="s">
        <v>452</v>
      </c>
      <c r="G106" s="82">
        <v>45752</v>
      </c>
      <c r="H106" s="74" t="s">
        <v>443</v>
      </c>
      <c r="I106" s="2" t="s">
        <v>436</v>
      </c>
      <c r="J106" s="77"/>
      <c r="K106" s="2"/>
    </row>
    <row r="107" spans="1:11" x14ac:dyDescent="0.25">
      <c r="A107" s="74">
        <v>105</v>
      </c>
      <c r="B107" s="81" t="s">
        <v>173</v>
      </c>
      <c r="C107" s="2" t="s">
        <v>40</v>
      </c>
      <c r="D107" s="2" t="s">
        <v>352</v>
      </c>
      <c r="E107" s="75" t="s">
        <v>434</v>
      </c>
      <c r="F107" s="83" t="s">
        <v>453</v>
      </c>
      <c r="G107" s="82">
        <v>45782</v>
      </c>
      <c r="H107" s="2" t="s">
        <v>451</v>
      </c>
      <c r="I107" s="2" t="s">
        <v>436</v>
      </c>
      <c r="J107" s="75" t="s">
        <v>437</v>
      </c>
      <c r="K107" s="2"/>
    </row>
    <row r="108" spans="1:11" x14ac:dyDescent="0.25">
      <c r="A108" s="74">
        <v>106</v>
      </c>
      <c r="B108" s="2" t="s">
        <v>188</v>
      </c>
      <c r="C108" s="2" t="s">
        <v>38</v>
      </c>
      <c r="D108" s="2" t="s">
        <v>354</v>
      </c>
      <c r="E108" s="75" t="s">
        <v>434</v>
      </c>
      <c r="F108" s="82" t="s">
        <v>454</v>
      </c>
      <c r="G108" s="82">
        <v>45782</v>
      </c>
      <c r="H108" s="2" t="s">
        <v>455</v>
      </c>
      <c r="I108" s="2" t="s">
        <v>436</v>
      </c>
      <c r="J108" s="75" t="s">
        <v>437</v>
      </c>
      <c r="K108" s="2"/>
    </row>
    <row r="109" spans="1:11" x14ac:dyDescent="0.25">
      <c r="A109" s="74">
        <v>107</v>
      </c>
      <c r="B109" s="2" t="s">
        <v>196</v>
      </c>
      <c r="C109" s="2" t="s">
        <v>38</v>
      </c>
      <c r="D109" s="2" t="s">
        <v>352</v>
      </c>
      <c r="E109" s="75" t="s">
        <v>434</v>
      </c>
      <c r="F109" s="2" t="s">
        <v>446</v>
      </c>
      <c r="G109" s="82">
        <v>45782</v>
      </c>
      <c r="H109" s="2" t="s">
        <v>448</v>
      </c>
      <c r="I109" s="2" t="s">
        <v>436</v>
      </c>
      <c r="J109" s="77"/>
      <c r="K109" s="2"/>
    </row>
    <row r="110" spans="1:11" x14ac:dyDescent="0.25">
      <c r="A110" s="74">
        <v>108</v>
      </c>
      <c r="B110" s="2" t="s">
        <v>197</v>
      </c>
      <c r="C110" s="2" t="s">
        <v>21</v>
      </c>
      <c r="D110" s="2" t="s">
        <v>353</v>
      </c>
      <c r="E110" s="75" t="s">
        <v>434</v>
      </c>
      <c r="F110" s="2" t="s">
        <v>456</v>
      </c>
      <c r="G110" s="82">
        <v>45782</v>
      </c>
      <c r="H110" s="2" t="s">
        <v>457</v>
      </c>
      <c r="I110" s="2" t="s">
        <v>436</v>
      </c>
      <c r="J110" s="75" t="s">
        <v>437</v>
      </c>
      <c r="K110" s="2"/>
    </row>
    <row r="111" spans="1:11" x14ac:dyDescent="0.25">
      <c r="A111" s="74">
        <v>109</v>
      </c>
      <c r="B111" s="81" t="s">
        <v>41</v>
      </c>
      <c r="C111" s="2" t="s">
        <v>36</v>
      </c>
      <c r="D111" s="2" t="s">
        <v>353</v>
      </c>
      <c r="E111" s="75" t="s">
        <v>434</v>
      </c>
      <c r="F111" s="2"/>
      <c r="G111" s="82">
        <v>45783</v>
      </c>
      <c r="H111" s="2" t="s">
        <v>450</v>
      </c>
      <c r="I111" s="2" t="s">
        <v>436</v>
      </c>
      <c r="J111" s="77"/>
      <c r="K111" s="2"/>
    </row>
    <row r="112" spans="1:11" x14ac:dyDescent="0.25">
      <c r="A112" s="74">
        <v>110</v>
      </c>
      <c r="B112" s="81" t="s">
        <v>48</v>
      </c>
      <c r="C112" s="2" t="s">
        <v>40</v>
      </c>
      <c r="D112" s="2" t="s">
        <v>352</v>
      </c>
      <c r="E112" s="75" t="s">
        <v>434</v>
      </c>
      <c r="F112" s="2"/>
      <c r="G112" s="82">
        <v>45784</v>
      </c>
      <c r="H112" s="74" t="s">
        <v>435</v>
      </c>
      <c r="I112" s="2" t="s">
        <v>436</v>
      </c>
      <c r="J112" s="77"/>
      <c r="K112" s="2"/>
    </row>
    <row r="113" spans="1:11" x14ac:dyDescent="0.25">
      <c r="A113" s="74">
        <v>111</v>
      </c>
      <c r="B113" s="81" t="s">
        <v>126</v>
      </c>
      <c r="C113" s="2" t="s">
        <v>28</v>
      </c>
      <c r="D113" s="2" t="s">
        <v>352</v>
      </c>
      <c r="E113" s="75" t="s">
        <v>434</v>
      </c>
      <c r="F113" s="2"/>
      <c r="G113" s="82">
        <v>45785</v>
      </c>
      <c r="H113" s="74" t="s">
        <v>443</v>
      </c>
      <c r="I113" s="2" t="s">
        <v>436</v>
      </c>
      <c r="J113" s="75" t="s">
        <v>437</v>
      </c>
      <c r="K113" s="2"/>
    </row>
    <row r="114" spans="1:11" x14ac:dyDescent="0.25">
      <c r="A114" s="74">
        <v>112</v>
      </c>
      <c r="B114" s="2" t="s">
        <v>190</v>
      </c>
      <c r="C114" s="2" t="s">
        <v>21</v>
      </c>
      <c r="D114" s="2" t="s">
        <v>354</v>
      </c>
      <c r="E114" s="75" t="s">
        <v>434</v>
      </c>
      <c r="F114" s="2"/>
      <c r="G114" s="82">
        <v>45785</v>
      </c>
      <c r="H114" s="74" t="s">
        <v>445</v>
      </c>
      <c r="I114" s="2" t="s">
        <v>436</v>
      </c>
      <c r="J114" s="75" t="s">
        <v>437</v>
      </c>
      <c r="K114" s="2"/>
    </row>
    <row r="115" spans="1:11" x14ac:dyDescent="0.25">
      <c r="A115" s="74">
        <v>113</v>
      </c>
      <c r="B115" s="81" t="s">
        <v>180</v>
      </c>
      <c r="C115" s="2" t="s">
        <v>40</v>
      </c>
      <c r="D115" s="2" t="s">
        <v>352</v>
      </c>
      <c r="E115" s="75" t="s">
        <v>434</v>
      </c>
      <c r="F115" s="2"/>
      <c r="G115" s="82">
        <v>45785</v>
      </c>
      <c r="H115" s="2" t="s">
        <v>451</v>
      </c>
      <c r="I115" s="2" t="s">
        <v>436</v>
      </c>
      <c r="J115" s="75" t="s">
        <v>437</v>
      </c>
      <c r="K115" s="2"/>
    </row>
    <row r="116" spans="1:11" x14ac:dyDescent="0.25">
      <c r="A116" s="74">
        <v>114</v>
      </c>
      <c r="B116" s="2" t="s">
        <v>193</v>
      </c>
      <c r="C116" s="2" t="s">
        <v>36</v>
      </c>
      <c r="D116" s="2" t="s">
        <v>352</v>
      </c>
      <c r="E116" s="75" t="s">
        <v>434</v>
      </c>
      <c r="F116" s="2"/>
      <c r="G116" s="82">
        <v>45786</v>
      </c>
      <c r="H116" s="2" t="s">
        <v>457</v>
      </c>
      <c r="I116" s="2" t="s">
        <v>436</v>
      </c>
      <c r="J116" s="75" t="s">
        <v>437</v>
      </c>
      <c r="K116" s="2"/>
    </row>
    <row r="117" spans="1:11" x14ac:dyDescent="0.25">
      <c r="A117" s="74">
        <v>115</v>
      </c>
      <c r="B117" s="81" t="s">
        <v>37</v>
      </c>
      <c r="C117" s="2" t="s">
        <v>38</v>
      </c>
      <c r="D117" s="2" t="s">
        <v>353</v>
      </c>
      <c r="E117" s="75" t="s">
        <v>434</v>
      </c>
      <c r="F117" s="2"/>
      <c r="G117" s="82">
        <v>45786</v>
      </c>
      <c r="H117" s="2" t="s">
        <v>450</v>
      </c>
      <c r="I117" s="2" t="s">
        <v>436</v>
      </c>
      <c r="J117" s="75" t="s">
        <v>437</v>
      </c>
      <c r="K117" s="2"/>
    </row>
    <row r="118" spans="1:11" x14ac:dyDescent="0.25">
      <c r="A118" s="74">
        <v>116</v>
      </c>
      <c r="B118" s="2" t="s">
        <v>181</v>
      </c>
      <c r="C118" s="2" t="s">
        <v>36</v>
      </c>
      <c r="D118" s="2" t="s">
        <v>352</v>
      </c>
      <c r="E118" s="75" t="s">
        <v>434</v>
      </c>
      <c r="F118" s="2"/>
      <c r="G118" s="82">
        <v>45787</v>
      </c>
      <c r="H118" s="2" t="s">
        <v>451</v>
      </c>
      <c r="I118" s="2" t="s">
        <v>436</v>
      </c>
      <c r="J118" s="75" t="s">
        <v>437</v>
      </c>
      <c r="K118" s="2"/>
    </row>
    <row r="119" spans="1:11" x14ac:dyDescent="0.25">
      <c r="A119" s="74">
        <v>117</v>
      </c>
      <c r="B119" s="2" t="s">
        <v>207</v>
      </c>
      <c r="C119" s="2" t="s">
        <v>38</v>
      </c>
      <c r="D119" s="2" t="s">
        <v>352</v>
      </c>
      <c r="E119" s="75" t="s">
        <v>434</v>
      </c>
      <c r="F119" s="2"/>
      <c r="G119" s="82">
        <v>45788</v>
      </c>
      <c r="H119" s="2" t="s">
        <v>448</v>
      </c>
      <c r="I119" s="2" t="s">
        <v>436</v>
      </c>
      <c r="J119" s="75" t="s">
        <v>437</v>
      </c>
      <c r="K119" s="2"/>
    </row>
    <row r="120" spans="1:11" x14ac:dyDescent="0.25">
      <c r="A120" s="74">
        <v>118</v>
      </c>
      <c r="B120" s="81" t="s">
        <v>127</v>
      </c>
      <c r="C120" s="2" t="s">
        <v>28</v>
      </c>
      <c r="D120" s="2" t="s">
        <v>352</v>
      </c>
      <c r="E120" s="75" t="s">
        <v>434</v>
      </c>
      <c r="F120" s="2"/>
      <c r="G120" s="82">
        <v>45789</v>
      </c>
      <c r="H120" s="2" t="s">
        <v>458</v>
      </c>
      <c r="I120" s="2" t="s">
        <v>436</v>
      </c>
      <c r="J120" s="75" t="s">
        <v>437</v>
      </c>
      <c r="K120" s="2"/>
    </row>
    <row r="121" spans="1:11" x14ac:dyDescent="0.25">
      <c r="A121" s="74">
        <v>119</v>
      </c>
      <c r="B121" s="81" t="s">
        <v>39</v>
      </c>
      <c r="C121" s="2" t="s">
        <v>40</v>
      </c>
      <c r="D121" s="2" t="s">
        <v>353</v>
      </c>
      <c r="E121" s="75" t="s">
        <v>434</v>
      </c>
      <c r="F121" s="2"/>
      <c r="G121" s="82">
        <v>45790</v>
      </c>
      <c r="H121" s="2" t="s">
        <v>450</v>
      </c>
      <c r="I121" s="2" t="s">
        <v>436</v>
      </c>
      <c r="J121" s="75" t="s">
        <v>437</v>
      </c>
      <c r="K121" s="2"/>
    </row>
    <row r="122" spans="1:11" x14ac:dyDescent="0.25">
      <c r="A122" s="74">
        <v>120</v>
      </c>
      <c r="B122" s="2" t="s">
        <v>206</v>
      </c>
      <c r="C122" s="2" t="s">
        <v>28</v>
      </c>
      <c r="D122" s="2" t="s">
        <v>352</v>
      </c>
      <c r="E122" s="75" t="s">
        <v>434</v>
      </c>
      <c r="F122" s="2"/>
      <c r="G122" s="82">
        <v>45790</v>
      </c>
      <c r="H122" s="2" t="s">
        <v>448</v>
      </c>
      <c r="I122" s="2" t="s">
        <v>436</v>
      </c>
      <c r="J122" s="75" t="s">
        <v>437</v>
      </c>
      <c r="K122" s="2"/>
    </row>
    <row r="123" spans="1:11" x14ac:dyDescent="0.25">
      <c r="A123" s="74">
        <v>121</v>
      </c>
      <c r="B123" s="2" t="s">
        <v>182</v>
      </c>
      <c r="C123" s="2" t="s">
        <v>40</v>
      </c>
      <c r="D123" s="2" t="s">
        <v>352</v>
      </c>
      <c r="E123" s="75" t="s">
        <v>434</v>
      </c>
      <c r="F123" s="2"/>
      <c r="G123" s="82">
        <v>45792</v>
      </c>
      <c r="H123" s="2" t="s">
        <v>451</v>
      </c>
      <c r="I123" s="2" t="s">
        <v>436</v>
      </c>
      <c r="J123" s="75" t="s">
        <v>437</v>
      </c>
      <c r="K123" s="2"/>
    </row>
    <row r="124" spans="1:11" x14ac:dyDescent="0.25">
      <c r="A124" s="74">
        <v>122</v>
      </c>
      <c r="B124" s="81" t="s">
        <v>46</v>
      </c>
      <c r="C124" s="2" t="s">
        <v>19</v>
      </c>
      <c r="D124" s="2" t="s">
        <v>352</v>
      </c>
      <c r="E124" s="75" t="s">
        <v>434</v>
      </c>
      <c r="F124" s="82">
        <v>45792</v>
      </c>
      <c r="G124" s="82">
        <v>45793</v>
      </c>
      <c r="H124" s="74" t="s">
        <v>435</v>
      </c>
      <c r="I124" s="2" t="s">
        <v>436</v>
      </c>
      <c r="J124" s="75" t="s">
        <v>437</v>
      </c>
      <c r="K124" s="2"/>
    </row>
    <row r="125" spans="1:11" x14ac:dyDescent="0.25">
      <c r="A125" s="74">
        <v>123</v>
      </c>
      <c r="B125" s="2" t="s">
        <v>204</v>
      </c>
      <c r="C125" s="2" t="s">
        <v>28</v>
      </c>
      <c r="D125" s="2" t="s">
        <v>352</v>
      </c>
      <c r="E125" s="75" t="s">
        <v>434</v>
      </c>
      <c r="F125" s="2"/>
      <c r="G125" s="82">
        <v>45794</v>
      </c>
      <c r="H125" s="2" t="s">
        <v>448</v>
      </c>
      <c r="I125" s="2" t="s">
        <v>436</v>
      </c>
      <c r="J125" s="75" t="s">
        <v>437</v>
      </c>
      <c r="K125" s="2"/>
    </row>
    <row r="126" spans="1:11" x14ac:dyDescent="0.25">
      <c r="A126" s="74">
        <v>124</v>
      </c>
      <c r="B126" s="2" t="s">
        <v>210</v>
      </c>
      <c r="C126" s="2" t="s">
        <v>36</v>
      </c>
      <c r="D126" s="2" t="s">
        <v>353</v>
      </c>
      <c r="E126" s="75" t="s">
        <v>434</v>
      </c>
      <c r="F126" s="82">
        <v>45791</v>
      </c>
      <c r="G126" s="82">
        <v>45796</v>
      </c>
      <c r="H126" s="2" t="s">
        <v>457</v>
      </c>
      <c r="I126" s="2" t="s">
        <v>436</v>
      </c>
      <c r="J126" s="75" t="s">
        <v>437</v>
      </c>
      <c r="K126" s="2"/>
    </row>
    <row r="127" spans="1:11" x14ac:dyDescent="0.25">
      <c r="A127" s="74">
        <v>125</v>
      </c>
      <c r="B127" s="81" t="s">
        <v>268</v>
      </c>
      <c r="C127" s="2" t="s">
        <v>36</v>
      </c>
      <c r="D127" s="2" t="s">
        <v>352</v>
      </c>
      <c r="E127" s="75" t="s">
        <v>434</v>
      </c>
      <c r="F127" s="2" t="s">
        <v>459</v>
      </c>
      <c r="G127" s="2" t="s">
        <v>460</v>
      </c>
      <c r="H127" s="74" t="s">
        <v>445</v>
      </c>
      <c r="I127" s="2" t="s">
        <v>436</v>
      </c>
      <c r="J127" s="75" t="s">
        <v>437</v>
      </c>
      <c r="K127" s="2"/>
    </row>
    <row r="128" spans="1:11" x14ac:dyDescent="0.25">
      <c r="A128" s="74">
        <v>126</v>
      </c>
      <c r="B128" s="81" t="s">
        <v>283</v>
      </c>
      <c r="C128" s="2" t="s">
        <v>21</v>
      </c>
      <c r="D128" s="2" t="s">
        <v>352</v>
      </c>
      <c r="E128" s="75" t="s">
        <v>434</v>
      </c>
      <c r="F128" s="82" t="s">
        <v>461</v>
      </c>
      <c r="G128" s="2" t="s">
        <v>460</v>
      </c>
      <c r="H128" s="2" t="s">
        <v>450</v>
      </c>
      <c r="I128" s="2" t="s">
        <v>436</v>
      </c>
      <c r="J128" s="75" t="s">
        <v>437</v>
      </c>
      <c r="K128" s="2"/>
    </row>
    <row r="129" spans="1:11" x14ac:dyDescent="0.25">
      <c r="A129" s="74">
        <v>127</v>
      </c>
      <c r="B129" s="81" t="s">
        <v>184</v>
      </c>
      <c r="C129" s="2" t="s">
        <v>462</v>
      </c>
      <c r="D129" s="2" t="s">
        <v>352</v>
      </c>
      <c r="E129" s="75" t="s">
        <v>434</v>
      </c>
      <c r="F129" s="439" t="s">
        <v>463</v>
      </c>
      <c r="G129" s="82" t="s">
        <v>464</v>
      </c>
      <c r="H129" s="2" t="s">
        <v>451</v>
      </c>
      <c r="I129" s="2" t="s">
        <v>436</v>
      </c>
      <c r="J129" s="75" t="s">
        <v>437</v>
      </c>
      <c r="K129" s="2"/>
    </row>
    <row r="130" spans="1:11" x14ac:dyDescent="0.25">
      <c r="A130" s="74">
        <v>128</v>
      </c>
      <c r="B130" s="2" t="s">
        <v>183</v>
      </c>
      <c r="C130" s="2" t="s">
        <v>36</v>
      </c>
      <c r="D130" s="2" t="s">
        <v>352</v>
      </c>
      <c r="E130" s="75" t="s">
        <v>434</v>
      </c>
      <c r="F130" s="2" t="s">
        <v>465</v>
      </c>
      <c r="G130" s="2" t="s">
        <v>466</v>
      </c>
      <c r="H130" s="2" t="s">
        <v>451</v>
      </c>
      <c r="I130" s="2" t="s">
        <v>436</v>
      </c>
      <c r="J130" s="75" t="s">
        <v>437</v>
      </c>
      <c r="K130" s="2"/>
    </row>
    <row r="131" spans="1:11" x14ac:dyDescent="0.25">
      <c r="A131" s="74">
        <v>129</v>
      </c>
      <c r="B131" s="2" t="s">
        <v>292</v>
      </c>
      <c r="C131" s="2" t="s">
        <v>28</v>
      </c>
      <c r="D131" s="2" t="s">
        <v>352</v>
      </c>
      <c r="E131" s="75" t="s">
        <v>434</v>
      </c>
      <c r="F131" s="2" t="s">
        <v>459</v>
      </c>
      <c r="G131" s="2" t="s">
        <v>467</v>
      </c>
      <c r="H131" s="2" t="s">
        <v>458</v>
      </c>
      <c r="I131" s="2" t="s">
        <v>436</v>
      </c>
      <c r="J131" s="75" t="s">
        <v>437</v>
      </c>
      <c r="K131" s="2"/>
    </row>
    <row r="132" spans="1:11" x14ac:dyDescent="0.25">
      <c r="A132" s="74">
        <v>130</v>
      </c>
      <c r="B132" s="2" t="s">
        <v>271</v>
      </c>
      <c r="C132" s="2" t="s">
        <v>21</v>
      </c>
      <c r="D132" s="2" t="s">
        <v>352</v>
      </c>
      <c r="E132" s="75" t="s">
        <v>434</v>
      </c>
      <c r="F132" s="2" t="s">
        <v>460</v>
      </c>
      <c r="G132" s="82" t="s">
        <v>468</v>
      </c>
      <c r="H132" s="74" t="s">
        <v>445</v>
      </c>
      <c r="I132" s="2" t="s">
        <v>436</v>
      </c>
      <c r="J132" s="75" t="s">
        <v>437</v>
      </c>
      <c r="K132" s="2"/>
    </row>
    <row r="133" spans="1:11" x14ac:dyDescent="0.25">
      <c r="A133" s="74">
        <v>131</v>
      </c>
      <c r="B133" s="81" t="s">
        <v>43</v>
      </c>
      <c r="C133" s="2" t="s">
        <v>28</v>
      </c>
      <c r="D133" s="2" t="s">
        <v>353</v>
      </c>
      <c r="E133" s="75" t="s">
        <v>434</v>
      </c>
      <c r="F133" s="2" t="s">
        <v>460</v>
      </c>
      <c r="G133" s="82" t="s">
        <v>468</v>
      </c>
      <c r="H133" s="2" t="s">
        <v>448</v>
      </c>
      <c r="I133" s="2" t="s">
        <v>436</v>
      </c>
      <c r="J133" s="77"/>
      <c r="K133" s="2"/>
    </row>
    <row r="134" spans="1:11" x14ac:dyDescent="0.25">
      <c r="A134" s="74">
        <v>132</v>
      </c>
      <c r="B134" s="2" t="s">
        <v>209</v>
      </c>
      <c r="C134" s="2" t="s">
        <v>28</v>
      </c>
      <c r="D134" s="2" t="s">
        <v>352</v>
      </c>
      <c r="E134" s="75" t="s">
        <v>434</v>
      </c>
      <c r="F134" s="2" t="s">
        <v>469</v>
      </c>
      <c r="G134" s="2" t="s">
        <v>470</v>
      </c>
      <c r="H134" s="2" t="s">
        <v>457</v>
      </c>
      <c r="I134" s="2" t="s">
        <v>436</v>
      </c>
      <c r="J134" s="75" t="s">
        <v>437</v>
      </c>
      <c r="K134" s="2"/>
    </row>
    <row r="135" spans="1:11" x14ac:dyDescent="0.25">
      <c r="A135" s="74">
        <v>133</v>
      </c>
      <c r="B135" s="2" t="s">
        <v>285</v>
      </c>
      <c r="C135" s="2" t="s">
        <v>38</v>
      </c>
      <c r="D135" s="2" t="s">
        <v>353</v>
      </c>
      <c r="E135" s="75" t="s">
        <v>434</v>
      </c>
      <c r="F135" s="2" t="s">
        <v>469</v>
      </c>
      <c r="G135" s="2" t="s">
        <v>470</v>
      </c>
      <c r="H135" s="2" t="s">
        <v>450</v>
      </c>
      <c r="I135" s="2" t="s">
        <v>436</v>
      </c>
      <c r="J135" s="75" t="s">
        <v>437</v>
      </c>
      <c r="K135" s="2"/>
    </row>
    <row r="136" spans="1:11" x14ac:dyDescent="0.25">
      <c r="A136" s="74">
        <v>134</v>
      </c>
      <c r="B136" s="2" t="s">
        <v>291</v>
      </c>
      <c r="C136" s="2" t="s">
        <v>36</v>
      </c>
      <c r="D136" s="2" t="s">
        <v>352</v>
      </c>
      <c r="E136" s="75" t="s">
        <v>434</v>
      </c>
      <c r="F136" s="2" t="s">
        <v>471</v>
      </c>
      <c r="G136" s="2" t="s">
        <v>472</v>
      </c>
      <c r="H136" s="2" t="s">
        <v>458</v>
      </c>
      <c r="I136" s="2" t="s">
        <v>436</v>
      </c>
      <c r="J136" s="75" t="s">
        <v>437</v>
      </c>
      <c r="K136" s="2"/>
    </row>
    <row r="137" spans="1:11" x14ac:dyDescent="0.25">
      <c r="A137" s="74">
        <v>135</v>
      </c>
      <c r="B137" s="2" t="s">
        <v>179</v>
      </c>
      <c r="C137" s="2" t="s">
        <v>473</v>
      </c>
      <c r="D137" s="2" t="s">
        <v>352</v>
      </c>
      <c r="E137" s="75" t="s">
        <v>434</v>
      </c>
      <c r="F137" s="2" t="s">
        <v>474</v>
      </c>
      <c r="G137" s="2" t="s">
        <v>475</v>
      </c>
      <c r="H137" s="2" t="s">
        <v>451</v>
      </c>
      <c r="I137" s="2" t="s">
        <v>436</v>
      </c>
      <c r="J137" s="75" t="s">
        <v>437</v>
      </c>
      <c r="K137" s="2"/>
    </row>
    <row r="138" spans="1:11" x14ac:dyDescent="0.25">
      <c r="A138" s="74">
        <v>136</v>
      </c>
      <c r="B138" s="81" t="s">
        <v>42</v>
      </c>
      <c r="C138" s="2" t="s">
        <v>476</v>
      </c>
      <c r="D138" s="2" t="s">
        <v>353</v>
      </c>
      <c r="E138" s="75" t="s">
        <v>434</v>
      </c>
      <c r="F138" s="2" t="s">
        <v>474</v>
      </c>
      <c r="G138" s="2" t="s">
        <v>475</v>
      </c>
      <c r="H138" s="2" t="s">
        <v>448</v>
      </c>
      <c r="I138" s="2" t="s">
        <v>436</v>
      </c>
      <c r="J138" s="77"/>
      <c r="K138" s="2"/>
    </row>
    <row r="139" spans="1:11" x14ac:dyDescent="0.25">
      <c r="A139" s="74">
        <v>137</v>
      </c>
      <c r="B139" s="81" t="s">
        <v>284</v>
      </c>
      <c r="C139" s="2" t="s">
        <v>36</v>
      </c>
      <c r="D139" s="2" t="s">
        <v>352</v>
      </c>
      <c r="E139" s="75" t="s">
        <v>434</v>
      </c>
      <c r="F139" s="2"/>
      <c r="G139" s="82">
        <v>45803</v>
      </c>
      <c r="H139" s="2" t="s">
        <v>450</v>
      </c>
      <c r="I139" s="2" t="s">
        <v>436</v>
      </c>
      <c r="J139" s="75" t="s">
        <v>437</v>
      </c>
      <c r="K139" s="2"/>
    </row>
    <row r="140" spans="1:11" x14ac:dyDescent="0.25">
      <c r="A140" s="74">
        <v>138</v>
      </c>
      <c r="B140" s="2" t="s">
        <v>264</v>
      </c>
      <c r="C140" s="2" t="s">
        <v>477</v>
      </c>
      <c r="D140" s="2" t="s">
        <v>352</v>
      </c>
      <c r="E140" s="75" t="s">
        <v>434</v>
      </c>
      <c r="F140" s="2" t="s">
        <v>474</v>
      </c>
      <c r="G140" s="2" t="s">
        <v>478</v>
      </c>
      <c r="H140" s="74" t="s">
        <v>445</v>
      </c>
      <c r="I140" s="2" t="s">
        <v>436</v>
      </c>
      <c r="J140" s="75" t="s">
        <v>437</v>
      </c>
      <c r="K140" s="2"/>
    </row>
    <row r="141" spans="1:11" x14ac:dyDescent="0.25">
      <c r="A141" s="74">
        <v>139</v>
      </c>
      <c r="B141" s="81" t="s">
        <v>293</v>
      </c>
      <c r="C141" s="2" t="s">
        <v>28</v>
      </c>
      <c r="D141" s="2" t="s">
        <v>352</v>
      </c>
      <c r="E141" s="75" t="s">
        <v>434</v>
      </c>
      <c r="F141" s="2"/>
      <c r="G141" s="2" t="s">
        <v>482</v>
      </c>
      <c r="H141" s="2" t="s">
        <v>458</v>
      </c>
      <c r="I141" s="2" t="s">
        <v>436</v>
      </c>
      <c r="J141" s="75" t="s">
        <v>437</v>
      </c>
      <c r="K141" s="2"/>
    </row>
    <row r="142" spans="1:11" x14ac:dyDescent="0.25">
      <c r="A142" s="74">
        <v>140</v>
      </c>
      <c r="B142" s="81" t="s">
        <v>83</v>
      </c>
      <c r="C142" s="2" t="s">
        <v>66</v>
      </c>
      <c r="D142" s="2" t="s">
        <v>352</v>
      </c>
      <c r="E142" s="75" t="s">
        <v>434</v>
      </c>
      <c r="F142" s="2"/>
      <c r="G142" s="2" t="s">
        <v>2007</v>
      </c>
      <c r="H142" s="2" t="s">
        <v>448</v>
      </c>
      <c r="I142" s="2" t="s">
        <v>436</v>
      </c>
      <c r="J142" s="75" t="s">
        <v>437</v>
      </c>
      <c r="K142" s="2"/>
    </row>
    <row r="143" spans="1:11" x14ac:dyDescent="0.25">
      <c r="A143" s="74">
        <v>141</v>
      </c>
      <c r="B143" s="81" t="s">
        <v>211</v>
      </c>
      <c r="C143" s="2" t="s">
        <v>21</v>
      </c>
      <c r="D143" s="2" t="s">
        <v>353</v>
      </c>
      <c r="E143" s="75" t="s">
        <v>434</v>
      </c>
      <c r="F143" s="2"/>
      <c r="G143" s="82">
        <v>45806</v>
      </c>
      <c r="H143" s="2" t="s">
        <v>457</v>
      </c>
      <c r="I143" s="2" t="s">
        <v>436</v>
      </c>
      <c r="J143" s="75" t="s">
        <v>437</v>
      </c>
      <c r="K143" s="2"/>
    </row>
    <row r="144" spans="1:11" x14ac:dyDescent="0.25">
      <c r="A144" s="74">
        <v>142</v>
      </c>
      <c r="B144" s="2" t="s">
        <v>274</v>
      </c>
      <c r="C144" s="2" t="s">
        <v>19</v>
      </c>
      <c r="D144" s="2" t="s">
        <v>355</v>
      </c>
      <c r="E144" s="75" t="s">
        <v>434</v>
      </c>
      <c r="F144" s="2"/>
      <c r="G144" s="82">
        <v>45806</v>
      </c>
      <c r="H144" s="74" t="s">
        <v>445</v>
      </c>
      <c r="I144" s="2" t="s">
        <v>436</v>
      </c>
      <c r="J144" s="75" t="s">
        <v>437</v>
      </c>
      <c r="K144" s="2"/>
    </row>
    <row r="145" spans="1:11" x14ac:dyDescent="0.25">
      <c r="A145" s="74">
        <v>143</v>
      </c>
      <c r="B145" s="2" t="s">
        <v>349</v>
      </c>
      <c r="C145" s="2" t="s">
        <v>28</v>
      </c>
      <c r="D145" s="2" t="s">
        <v>353</v>
      </c>
      <c r="E145" s="75" t="s">
        <v>434</v>
      </c>
      <c r="F145" s="2" t="s">
        <v>479</v>
      </c>
      <c r="G145" s="2" t="s">
        <v>480</v>
      </c>
      <c r="H145" s="2" t="s">
        <v>481</v>
      </c>
      <c r="I145" s="2" t="s">
        <v>436</v>
      </c>
      <c r="J145" s="77"/>
      <c r="K145" s="2"/>
    </row>
    <row r="146" spans="1:11" x14ac:dyDescent="0.25">
      <c r="A146" s="74">
        <v>144</v>
      </c>
      <c r="B146" s="74" t="s">
        <v>278</v>
      </c>
      <c r="C146" s="74" t="s">
        <v>38</v>
      </c>
      <c r="D146" s="74" t="s">
        <v>352</v>
      </c>
      <c r="E146" s="75" t="s">
        <v>434</v>
      </c>
      <c r="F146" s="2" t="s">
        <v>482</v>
      </c>
      <c r="G146" s="2" t="s">
        <v>483</v>
      </c>
      <c r="H146" s="2" t="s">
        <v>484</v>
      </c>
      <c r="I146" s="2" t="s">
        <v>485</v>
      </c>
      <c r="J146" s="75" t="s">
        <v>437</v>
      </c>
      <c r="K146" s="2"/>
    </row>
    <row r="147" spans="1:11" x14ac:dyDescent="0.25">
      <c r="A147" s="74">
        <v>145</v>
      </c>
      <c r="B147" s="74" t="s">
        <v>286</v>
      </c>
      <c r="C147" s="74" t="s">
        <v>36</v>
      </c>
      <c r="D147" s="74" t="s">
        <v>353</v>
      </c>
      <c r="E147" s="75" t="s">
        <v>434</v>
      </c>
      <c r="F147" s="2" t="s">
        <v>486</v>
      </c>
      <c r="G147" s="2" t="s">
        <v>483</v>
      </c>
      <c r="H147" s="2" t="s">
        <v>458</v>
      </c>
      <c r="I147" s="2" t="s">
        <v>485</v>
      </c>
      <c r="J147" s="2"/>
      <c r="K147" s="2"/>
    </row>
    <row r="148" spans="1:11" x14ac:dyDescent="0.25">
      <c r="A148" s="74">
        <v>146</v>
      </c>
      <c r="B148" s="483" t="s">
        <v>205</v>
      </c>
      <c r="C148" s="74" t="s">
        <v>36</v>
      </c>
      <c r="D148" s="74" t="s">
        <v>352</v>
      </c>
      <c r="E148" s="75" t="s">
        <v>434</v>
      </c>
      <c r="F148" s="2" t="s">
        <v>486</v>
      </c>
      <c r="G148" s="2" t="s">
        <v>487</v>
      </c>
      <c r="H148" s="2" t="s">
        <v>457</v>
      </c>
      <c r="I148" s="2" t="s">
        <v>485</v>
      </c>
      <c r="J148" s="75" t="s">
        <v>437</v>
      </c>
      <c r="K148" s="2"/>
    </row>
    <row r="149" spans="1:11" x14ac:dyDescent="0.25">
      <c r="A149" s="74">
        <v>147</v>
      </c>
      <c r="B149" s="81" t="s">
        <v>266</v>
      </c>
      <c r="C149" s="74" t="s">
        <v>38</v>
      </c>
      <c r="D149" s="74" t="s">
        <v>352</v>
      </c>
      <c r="E149" s="75" t="s">
        <v>434</v>
      </c>
      <c r="F149" s="2" t="s">
        <v>483</v>
      </c>
      <c r="G149" s="82" t="s">
        <v>488</v>
      </c>
      <c r="H149" s="74" t="s">
        <v>445</v>
      </c>
      <c r="I149" s="2" t="s">
        <v>485</v>
      </c>
      <c r="J149" s="75" t="s">
        <v>437</v>
      </c>
      <c r="K149" s="2"/>
    </row>
    <row r="150" spans="1:11" x14ac:dyDescent="0.25">
      <c r="A150" s="74">
        <v>148</v>
      </c>
      <c r="B150" s="2" t="s">
        <v>280</v>
      </c>
      <c r="C150" s="2" t="s">
        <v>36</v>
      </c>
      <c r="D150" s="74" t="s">
        <v>352</v>
      </c>
      <c r="E150" s="75" t="s">
        <v>434</v>
      </c>
      <c r="F150" s="2" t="s">
        <v>483</v>
      </c>
      <c r="G150" s="82" t="s">
        <v>489</v>
      </c>
      <c r="H150" s="2" t="s">
        <v>490</v>
      </c>
      <c r="I150" s="2" t="s">
        <v>485</v>
      </c>
      <c r="J150" s="2"/>
      <c r="K150" s="2"/>
    </row>
    <row r="151" spans="1:11" x14ac:dyDescent="0.25">
      <c r="A151" s="74">
        <v>149</v>
      </c>
      <c r="B151" s="2" t="s">
        <v>287</v>
      </c>
      <c r="C151" s="2" t="s">
        <v>36</v>
      </c>
      <c r="D151" s="2" t="s">
        <v>353</v>
      </c>
      <c r="E151" s="75" t="s">
        <v>434</v>
      </c>
      <c r="F151" s="2" t="s">
        <v>487</v>
      </c>
      <c r="G151" s="82">
        <v>45814</v>
      </c>
      <c r="H151" s="2" t="s">
        <v>458</v>
      </c>
      <c r="I151" s="2" t="s">
        <v>485</v>
      </c>
      <c r="J151" s="2"/>
      <c r="K151" s="2"/>
    </row>
    <row r="152" spans="1:11" x14ac:dyDescent="0.25">
      <c r="A152" s="74">
        <v>150</v>
      </c>
      <c r="B152" s="2" t="s">
        <v>348</v>
      </c>
      <c r="C152" s="2" t="s">
        <v>28</v>
      </c>
      <c r="D152" s="2" t="s">
        <v>352</v>
      </c>
      <c r="E152" s="75" t="s">
        <v>434</v>
      </c>
      <c r="F152" s="2" t="s">
        <v>487</v>
      </c>
      <c r="G152" s="82">
        <v>45844</v>
      </c>
      <c r="H152" s="2" t="s">
        <v>481</v>
      </c>
      <c r="I152" s="2" t="s">
        <v>485</v>
      </c>
      <c r="J152" s="2"/>
      <c r="K152" s="2"/>
    </row>
    <row r="153" spans="1:11" x14ac:dyDescent="0.25">
      <c r="A153" s="74">
        <v>151</v>
      </c>
      <c r="B153" s="2" t="s">
        <v>232</v>
      </c>
      <c r="C153" s="2" t="s">
        <v>38</v>
      </c>
      <c r="D153" s="2" t="s">
        <v>352</v>
      </c>
      <c r="E153" s="75" t="s">
        <v>434</v>
      </c>
      <c r="F153" s="2" t="s">
        <v>487</v>
      </c>
      <c r="G153" s="82">
        <v>45875</v>
      </c>
      <c r="H153" s="74" t="s">
        <v>445</v>
      </c>
      <c r="I153" s="2" t="s">
        <v>485</v>
      </c>
      <c r="J153" s="75" t="s">
        <v>437</v>
      </c>
      <c r="K153" s="2"/>
    </row>
    <row r="154" spans="1:11" x14ac:dyDescent="0.25">
      <c r="A154" s="74">
        <v>152</v>
      </c>
      <c r="B154" s="2" t="s">
        <v>281</v>
      </c>
      <c r="C154" s="2" t="s">
        <v>38</v>
      </c>
      <c r="D154" s="2" t="s">
        <v>353</v>
      </c>
      <c r="E154" s="75" t="s">
        <v>434</v>
      </c>
      <c r="F154" s="2" t="s">
        <v>488</v>
      </c>
      <c r="G154" s="82">
        <v>45818</v>
      </c>
      <c r="H154" s="2" t="s">
        <v>450</v>
      </c>
      <c r="I154" s="2" t="s">
        <v>485</v>
      </c>
      <c r="J154" s="2"/>
      <c r="K154" s="2"/>
    </row>
    <row r="155" spans="1:11" x14ac:dyDescent="0.25">
      <c r="A155" s="74">
        <v>153</v>
      </c>
      <c r="B155" s="2" t="s">
        <v>267</v>
      </c>
      <c r="C155" s="2" t="s">
        <v>36</v>
      </c>
      <c r="D155" s="2" t="s">
        <v>355</v>
      </c>
      <c r="E155" s="75" t="s">
        <v>434</v>
      </c>
      <c r="F155" s="2" t="s">
        <v>491</v>
      </c>
      <c r="G155" s="82">
        <v>45967</v>
      </c>
      <c r="H155" s="74" t="s">
        <v>445</v>
      </c>
      <c r="I155" s="2" t="s">
        <v>485</v>
      </c>
      <c r="J155" s="75" t="s">
        <v>437</v>
      </c>
      <c r="K155" s="2"/>
    </row>
    <row r="156" spans="1:11" x14ac:dyDescent="0.25">
      <c r="A156" s="74">
        <v>154</v>
      </c>
      <c r="B156" s="2" t="s">
        <v>346</v>
      </c>
      <c r="C156" s="2" t="s">
        <v>28</v>
      </c>
      <c r="D156" s="2" t="s">
        <v>352</v>
      </c>
      <c r="E156" s="75" t="s">
        <v>434</v>
      </c>
      <c r="F156" s="2" t="s">
        <v>483</v>
      </c>
      <c r="G156" s="82">
        <v>45967</v>
      </c>
      <c r="H156" s="2" t="s">
        <v>481</v>
      </c>
      <c r="I156" s="2" t="s">
        <v>485</v>
      </c>
      <c r="J156" s="75" t="s">
        <v>437</v>
      </c>
      <c r="K156" s="2"/>
    </row>
    <row r="157" spans="1:11" x14ac:dyDescent="0.25">
      <c r="A157" s="74">
        <v>155</v>
      </c>
      <c r="B157" s="2" t="s">
        <v>288</v>
      </c>
      <c r="C157" s="2" t="s">
        <v>492</v>
      </c>
      <c r="D157" s="2" t="s">
        <v>352</v>
      </c>
      <c r="E157" s="75" t="s">
        <v>434</v>
      </c>
      <c r="F157" s="2" t="s">
        <v>493</v>
      </c>
      <c r="G157" s="82" t="s">
        <v>494</v>
      </c>
      <c r="H157" s="2" t="s">
        <v>458</v>
      </c>
      <c r="I157" s="2" t="s">
        <v>485</v>
      </c>
      <c r="J157" s="75" t="s">
        <v>437</v>
      </c>
      <c r="K157" s="2"/>
    </row>
    <row r="158" spans="1:11" x14ac:dyDescent="0.25">
      <c r="A158" s="74">
        <v>156</v>
      </c>
      <c r="B158" s="2" t="s">
        <v>282</v>
      </c>
      <c r="C158" s="2" t="s">
        <v>33</v>
      </c>
      <c r="D158" s="2" t="s">
        <v>352</v>
      </c>
      <c r="E158" s="75" t="s">
        <v>434</v>
      </c>
      <c r="F158" s="82">
        <v>45936</v>
      </c>
      <c r="G158" s="82" t="s">
        <v>495</v>
      </c>
      <c r="H158" s="2" t="s">
        <v>490</v>
      </c>
      <c r="I158" s="2" t="s">
        <v>485</v>
      </c>
      <c r="J158" s="2"/>
      <c r="K158" s="2"/>
    </row>
    <row r="159" spans="1:11" x14ac:dyDescent="0.25">
      <c r="A159" s="74">
        <v>157</v>
      </c>
      <c r="B159" s="6" t="s">
        <v>343</v>
      </c>
      <c r="C159" s="2" t="s">
        <v>38</v>
      </c>
      <c r="D159" s="2" t="s">
        <v>352</v>
      </c>
      <c r="E159" s="75" t="s">
        <v>434</v>
      </c>
      <c r="G159" s="2" t="s">
        <v>535</v>
      </c>
      <c r="H159" s="6" t="s">
        <v>481</v>
      </c>
      <c r="J159" s="2"/>
      <c r="K159" s="2"/>
    </row>
    <row r="160" spans="1:11" x14ac:dyDescent="0.25">
      <c r="A160" s="74">
        <v>158</v>
      </c>
      <c r="B160" s="2" t="s">
        <v>327</v>
      </c>
      <c r="C160" s="2" t="s">
        <v>19</v>
      </c>
      <c r="D160" s="81" t="s">
        <v>352</v>
      </c>
      <c r="E160" s="75" t="s">
        <v>434</v>
      </c>
      <c r="F160" s="2" t="s">
        <v>496</v>
      </c>
      <c r="G160" s="82" t="s">
        <v>497</v>
      </c>
      <c r="H160" s="2" t="s">
        <v>457</v>
      </c>
      <c r="I160" s="2" t="s">
        <v>485</v>
      </c>
      <c r="J160" s="2"/>
      <c r="K160" s="2"/>
    </row>
    <row r="161" spans="1:11" x14ac:dyDescent="0.25">
      <c r="A161" s="74">
        <v>159</v>
      </c>
      <c r="B161" s="81" t="s">
        <v>228</v>
      </c>
      <c r="C161" s="2" t="s">
        <v>120</v>
      </c>
      <c r="D161" s="2" t="s">
        <v>352</v>
      </c>
      <c r="E161" s="75" t="s">
        <v>434</v>
      </c>
      <c r="F161" s="2" t="s">
        <v>498</v>
      </c>
      <c r="G161" s="82" t="s">
        <v>499</v>
      </c>
      <c r="H161" s="74" t="s">
        <v>445</v>
      </c>
      <c r="I161" s="2" t="s">
        <v>485</v>
      </c>
      <c r="J161" s="2"/>
      <c r="K161" s="2"/>
    </row>
    <row r="162" spans="1:11" x14ac:dyDescent="0.25">
      <c r="A162" s="74">
        <v>160</v>
      </c>
      <c r="B162" s="2" t="s">
        <v>328</v>
      </c>
      <c r="C162" s="2" t="s">
        <v>36</v>
      </c>
      <c r="D162" s="2" t="s">
        <v>352</v>
      </c>
      <c r="E162" s="75" t="s">
        <v>434</v>
      </c>
      <c r="F162" s="82" t="s">
        <v>500</v>
      </c>
      <c r="G162" s="82">
        <v>45831</v>
      </c>
      <c r="H162" s="2" t="s">
        <v>457</v>
      </c>
      <c r="I162" s="2" t="s">
        <v>501</v>
      </c>
      <c r="J162" s="2"/>
      <c r="K162" s="2"/>
    </row>
    <row r="163" spans="1:11" x14ac:dyDescent="0.25">
      <c r="A163" s="74">
        <v>161</v>
      </c>
      <c r="B163" s="2" t="s">
        <v>345</v>
      </c>
      <c r="C163" s="2" t="s">
        <v>21</v>
      </c>
      <c r="D163" s="2" t="s">
        <v>352</v>
      </c>
      <c r="E163" s="75" t="s">
        <v>434</v>
      </c>
      <c r="F163" s="2" t="s">
        <v>496</v>
      </c>
      <c r="G163" s="82" t="s">
        <v>502</v>
      </c>
      <c r="H163" s="2" t="s">
        <v>481</v>
      </c>
      <c r="I163" s="2" t="s">
        <v>501</v>
      </c>
      <c r="J163" s="2"/>
      <c r="K163" s="2"/>
    </row>
    <row r="164" spans="1:11" x14ac:dyDescent="0.25">
      <c r="A164" s="74">
        <v>162</v>
      </c>
      <c r="B164" s="2" t="s">
        <v>329</v>
      </c>
      <c r="C164" s="2" t="s">
        <v>36</v>
      </c>
      <c r="D164" s="2" t="s">
        <v>352</v>
      </c>
      <c r="E164" s="75" t="s">
        <v>434</v>
      </c>
      <c r="F164" s="82" t="s">
        <v>495</v>
      </c>
      <c r="G164" s="2" t="s">
        <v>503</v>
      </c>
      <c r="H164" s="2" t="s">
        <v>457</v>
      </c>
      <c r="I164" s="2" t="s">
        <v>501</v>
      </c>
      <c r="J164" s="2"/>
      <c r="K164" s="2"/>
    </row>
    <row r="165" spans="1:11" x14ac:dyDescent="0.25">
      <c r="A165" s="74">
        <v>163</v>
      </c>
      <c r="B165" s="2" t="s">
        <v>335</v>
      </c>
      <c r="C165" s="2" t="s">
        <v>28</v>
      </c>
      <c r="D165" s="2" t="s">
        <v>352</v>
      </c>
      <c r="E165" s="75" t="s">
        <v>434</v>
      </c>
      <c r="F165" s="2"/>
      <c r="G165" s="82">
        <v>45845</v>
      </c>
      <c r="H165" s="2" t="s">
        <v>481</v>
      </c>
      <c r="I165" s="2"/>
      <c r="J165" s="2"/>
      <c r="K165" s="2"/>
    </row>
    <row r="166" spans="1:11" ht="18" customHeight="1" x14ac:dyDescent="0.25">
      <c r="A166" s="74">
        <v>164</v>
      </c>
      <c r="B166" s="2" t="s">
        <v>333</v>
      </c>
      <c r="C166" s="2" t="s">
        <v>28</v>
      </c>
      <c r="D166" s="2" t="s">
        <v>352</v>
      </c>
      <c r="E166" s="75" t="s">
        <v>434</v>
      </c>
      <c r="F166" s="2"/>
      <c r="G166" s="2" t="s">
        <v>504</v>
      </c>
      <c r="H166" s="2" t="s">
        <v>481</v>
      </c>
      <c r="I166" s="2"/>
      <c r="J166" s="2"/>
      <c r="K166" s="2"/>
    </row>
    <row r="167" spans="1:11" x14ac:dyDescent="0.25">
      <c r="A167" s="74">
        <v>165</v>
      </c>
      <c r="B167" s="2" t="s">
        <v>321</v>
      </c>
      <c r="C167" s="2" t="s">
        <v>28</v>
      </c>
      <c r="D167" s="2" t="s">
        <v>355</v>
      </c>
      <c r="E167" s="75" t="s">
        <v>505</v>
      </c>
      <c r="F167" s="2" t="s">
        <v>506</v>
      </c>
      <c r="G167" s="2" t="s">
        <v>507</v>
      </c>
      <c r="H167" s="77" t="s">
        <v>457</v>
      </c>
      <c r="I167" s="2"/>
      <c r="J167" s="2"/>
      <c r="K167" s="2"/>
    </row>
    <row r="168" spans="1:11" x14ac:dyDescent="0.25">
      <c r="A168" s="74">
        <v>166</v>
      </c>
      <c r="B168" s="2" t="s">
        <v>322</v>
      </c>
      <c r="C168" s="2" t="s">
        <v>28</v>
      </c>
      <c r="D168" s="2" t="s">
        <v>355</v>
      </c>
      <c r="E168" s="75" t="s">
        <v>505</v>
      </c>
      <c r="F168" s="82" t="s">
        <v>508</v>
      </c>
      <c r="G168" s="2" t="s">
        <v>509</v>
      </c>
      <c r="H168" s="77" t="s">
        <v>457</v>
      </c>
      <c r="I168" s="2"/>
      <c r="J168" s="2"/>
      <c r="K168" s="2"/>
    </row>
    <row r="169" spans="1:11" x14ac:dyDescent="0.25">
      <c r="A169" s="74">
        <v>167</v>
      </c>
      <c r="B169" s="2" t="s">
        <v>337</v>
      </c>
      <c r="C169" s="2" t="s">
        <v>21</v>
      </c>
      <c r="D169" s="2" t="s">
        <v>355</v>
      </c>
      <c r="E169" s="75" t="s">
        <v>505</v>
      </c>
      <c r="F169" s="2"/>
      <c r="G169" s="2" t="s">
        <v>510</v>
      </c>
      <c r="H169" s="2" t="s">
        <v>481</v>
      </c>
      <c r="I169" s="2"/>
      <c r="J169" s="2"/>
      <c r="K169" s="2"/>
    </row>
    <row r="170" spans="1:11" x14ac:dyDescent="0.25">
      <c r="A170" s="74">
        <v>168</v>
      </c>
      <c r="B170" s="81" t="s">
        <v>49</v>
      </c>
      <c r="C170" s="2" t="s">
        <v>511</v>
      </c>
      <c r="D170" s="2" t="s">
        <v>353</v>
      </c>
      <c r="E170" s="75" t="s">
        <v>505</v>
      </c>
      <c r="F170" s="2" t="s">
        <v>509</v>
      </c>
      <c r="G170" s="2" t="s">
        <v>647</v>
      </c>
      <c r="H170" s="2" t="s">
        <v>457</v>
      </c>
      <c r="I170" s="2"/>
      <c r="J170" s="2"/>
      <c r="K170" s="2"/>
    </row>
    <row r="171" spans="1:11" x14ac:dyDescent="0.25">
      <c r="A171" s="74">
        <v>169</v>
      </c>
      <c r="B171" s="81" t="s">
        <v>128</v>
      </c>
      <c r="C171" s="2" t="s">
        <v>511</v>
      </c>
      <c r="D171" s="2" t="s">
        <v>354</v>
      </c>
      <c r="E171" s="75" t="s">
        <v>505</v>
      </c>
      <c r="F171" s="2" t="s">
        <v>512</v>
      </c>
      <c r="G171" s="2" t="s">
        <v>513</v>
      </c>
      <c r="H171" s="2" t="s">
        <v>650</v>
      </c>
      <c r="I171" s="2"/>
      <c r="J171" s="2"/>
      <c r="K171" s="2"/>
    </row>
    <row r="172" spans="1:11" ht="15.75" customHeight="1" x14ac:dyDescent="0.25">
      <c r="A172" s="74">
        <v>170</v>
      </c>
      <c r="B172" s="2" t="s">
        <v>253</v>
      </c>
      <c r="C172" s="2" t="s">
        <v>120</v>
      </c>
      <c r="D172" s="2" t="s">
        <v>352</v>
      </c>
      <c r="E172" s="75" t="s">
        <v>505</v>
      </c>
      <c r="F172" s="2" t="s">
        <v>515</v>
      </c>
      <c r="G172" s="2" t="s">
        <v>513</v>
      </c>
      <c r="H172" s="2" t="s">
        <v>481</v>
      </c>
      <c r="I172" s="2"/>
      <c r="J172" s="2"/>
      <c r="K172" s="2"/>
    </row>
    <row r="173" spans="1:11" x14ac:dyDescent="0.25">
      <c r="A173" s="74">
        <v>171</v>
      </c>
      <c r="B173" s="81" t="s">
        <v>247</v>
      </c>
      <c r="C173" s="2" t="s">
        <v>36</v>
      </c>
      <c r="D173" s="2" t="s">
        <v>355</v>
      </c>
      <c r="E173" s="75" t="s">
        <v>505</v>
      </c>
      <c r="F173" s="2" t="s">
        <v>516</v>
      </c>
      <c r="G173" s="2" t="s">
        <v>648</v>
      </c>
      <c r="H173" s="2" t="s">
        <v>517</v>
      </c>
      <c r="I173" s="2"/>
      <c r="J173" s="2"/>
      <c r="K173" s="2"/>
    </row>
    <row r="174" spans="1:11" x14ac:dyDescent="0.25">
      <c r="A174" s="74">
        <v>172</v>
      </c>
      <c r="B174" s="81" t="s">
        <v>95</v>
      </c>
      <c r="C174" s="2" t="s">
        <v>66</v>
      </c>
      <c r="D174" s="2" t="s">
        <v>354</v>
      </c>
      <c r="E174" s="75" t="s">
        <v>505</v>
      </c>
      <c r="F174" s="2" t="s">
        <v>518</v>
      </c>
      <c r="G174" s="2" t="s">
        <v>644</v>
      </c>
      <c r="H174" s="2" t="s">
        <v>514</v>
      </c>
      <c r="I174" s="2"/>
      <c r="J174" s="2"/>
      <c r="K174" s="2"/>
    </row>
    <row r="175" spans="1:11" x14ac:dyDescent="0.25">
      <c r="A175" s="74">
        <v>173</v>
      </c>
      <c r="B175" s="2" t="s">
        <v>256</v>
      </c>
      <c r="C175" s="2" t="s">
        <v>519</v>
      </c>
      <c r="D175" s="2" t="s">
        <v>645</v>
      </c>
      <c r="E175" s="75" t="s">
        <v>505</v>
      </c>
      <c r="F175" s="2" t="s">
        <v>513</v>
      </c>
      <c r="G175" s="2" t="s">
        <v>697</v>
      </c>
      <c r="H175" s="2" t="s">
        <v>481</v>
      </c>
      <c r="I175" s="2"/>
      <c r="J175" s="2"/>
      <c r="K175" s="2"/>
    </row>
    <row r="176" spans="1:11" x14ac:dyDescent="0.25">
      <c r="A176" s="74">
        <v>174</v>
      </c>
      <c r="B176" s="2" t="s">
        <v>249</v>
      </c>
      <c r="C176" s="2" t="s">
        <v>36</v>
      </c>
      <c r="D176" s="2" t="s">
        <v>352</v>
      </c>
      <c r="E176" s="75" t="s">
        <v>505</v>
      </c>
      <c r="F176" s="2" t="s">
        <v>649</v>
      </c>
      <c r="G176" s="2" t="s">
        <v>768</v>
      </c>
      <c r="H176" s="2" t="s">
        <v>517</v>
      </c>
      <c r="I176" s="2"/>
      <c r="J176" s="2"/>
      <c r="K176" s="2"/>
    </row>
    <row r="177" spans="1:11" x14ac:dyDescent="0.25">
      <c r="A177" s="74">
        <v>175</v>
      </c>
      <c r="B177" s="2" t="s">
        <v>185</v>
      </c>
      <c r="C177" s="2" t="s">
        <v>120</v>
      </c>
      <c r="D177" s="2" t="s">
        <v>354</v>
      </c>
      <c r="E177" s="75" t="s">
        <v>505</v>
      </c>
      <c r="F177" s="2" t="s">
        <v>646</v>
      </c>
      <c r="G177" s="2" t="s">
        <v>778</v>
      </c>
      <c r="H177" s="2" t="s">
        <v>514</v>
      </c>
      <c r="I177" s="2"/>
      <c r="J177" s="2"/>
      <c r="K177" s="2"/>
    </row>
    <row r="178" spans="1:11" x14ac:dyDescent="0.25">
      <c r="A178" s="74">
        <v>176</v>
      </c>
      <c r="B178" s="486" t="s">
        <v>70</v>
      </c>
      <c r="C178" s="2" t="s">
        <v>33</v>
      </c>
      <c r="D178" s="2" t="s">
        <v>354</v>
      </c>
      <c r="E178" s="75" t="s">
        <v>505</v>
      </c>
      <c r="F178" s="2" t="s">
        <v>646</v>
      </c>
      <c r="G178" s="2" t="s">
        <v>795</v>
      </c>
      <c r="H178" s="2" t="s">
        <v>457</v>
      </c>
      <c r="I178" s="2"/>
      <c r="J178" s="2"/>
      <c r="K178" s="2"/>
    </row>
    <row r="179" spans="1:11" x14ac:dyDescent="0.25">
      <c r="A179" s="74">
        <v>177</v>
      </c>
      <c r="B179" s="2" t="s">
        <v>186</v>
      </c>
      <c r="C179" s="2" t="s">
        <v>187</v>
      </c>
      <c r="D179" s="1" t="s">
        <v>354</v>
      </c>
      <c r="E179" s="75" t="s">
        <v>505</v>
      </c>
      <c r="F179" s="2" t="s">
        <v>657</v>
      </c>
      <c r="G179" s="2" t="s">
        <v>697</v>
      </c>
      <c r="H179" s="2" t="s">
        <v>650</v>
      </c>
      <c r="I179" s="2"/>
      <c r="J179" s="2"/>
      <c r="K179" s="2"/>
    </row>
    <row r="180" spans="1:11" x14ac:dyDescent="0.25">
      <c r="A180" s="74">
        <v>178</v>
      </c>
      <c r="B180" s="81" t="s">
        <v>250</v>
      </c>
      <c r="C180" s="2" t="s">
        <v>40</v>
      </c>
      <c r="D180" s="1" t="s">
        <v>354</v>
      </c>
      <c r="E180" s="75" t="s">
        <v>505</v>
      </c>
      <c r="F180" s="2" t="s">
        <v>778</v>
      </c>
      <c r="G180" s="2" t="s">
        <v>785</v>
      </c>
      <c r="H180" s="2" t="s">
        <v>517</v>
      </c>
      <c r="I180" s="2"/>
      <c r="J180" s="2"/>
      <c r="K180" s="2"/>
    </row>
    <row r="181" spans="1:11" x14ac:dyDescent="0.25">
      <c r="A181" s="74">
        <v>179</v>
      </c>
      <c r="B181" s="81" t="s">
        <v>255</v>
      </c>
      <c r="C181" s="2" t="s">
        <v>38</v>
      </c>
      <c r="D181" s="2" t="s">
        <v>354</v>
      </c>
      <c r="E181" s="75" t="s">
        <v>505</v>
      </c>
      <c r="F181" s="2" t="s">
        <v>776</v>
      </c>
      <c r="G181" s="2" t="s">
        <v>795</v>
      </c>
      <c r="H181" s="2" t="s">
        <v>772</v>
      </c>
      <c r="I181" s="2"/>
      <c r="J181" s="2"/>
      <c r="K181" s="2"/>
    </row>
    <row r="182" spans="1:11" x14ac:dyDescent="0.25">
      <c r="A182" s="74">
        <v>180</v>
      </c>
      <c r="B182" s="2" t="s">
        <v>257</v>
      </c>
      <c r="C182" s="2" t="s">
        <v>38</v>
      </c>
      <c r="D182" s="2" t="s">
        <v>352</v>
      </c>
      <c r="E182" s="75" t="s">
        <v>505</v>
      </c>
      <c r="F182" s="2" t="s">
        <v>778</v>
      </c>
      <c r="G182" s="2" t="s">
        <v>794</v>
      </c>
      <c r="H182" s="2" t="s">
        <v>773</v>
      </c>
      <c r="I182" s="2"/>
      <c r="J182" s="2"/>
      <c r="K182" s="2"/>
    </row>
    <row r="183" spans="1:11" x14ac:dyDescent="0.25">
      <c r="A183" s="74">
        <v>181</v>
      </c>
      <c r="B183" s="81" t="s">
        <v>82</v>
      </c>
      <c r="C183" s="2" t="s">
        <v>36</v>
      </c>
      <c r="D183" s="2" t="s">
        <v>354</v>
      </c>
      <c r="E183" s="75" t="s">
        <v>505</v>
      </c>
      <c r="F183" s="2" t="s">
        <v>778</v>
      </c>
      <c r="G183" s="2" t="s">
        <v>784</v>
      </c>
      <c r="H183" s="2" t="s">
        <v>650</v>
      </c>
      <c r="I183" s="2"/>
      <c r="J183" s="2"/>
      <c r="K183" s="2"/>
    </row>
    <row r="184" spans="1:11" x14ac:dyDescent="0.25">
      <c r="A184" s="74">
        <v>182</v>
      </c>
      <c r="B184" s="81" t="s">
        <v>73</v>
      </c>
      <c r="C184" s="2" t="s">
        <v>38</v>
      </c>
      <c r="D184" s="2" t="s">
        <v>354</v>
      </c>
      <c r="E184" s="75" t="s">
        <v>505</v>
      </c>
      <c r="F184" s="2" t="s">
        <v>783</v>
      </c>
      <c r="G184" s="2" t="s">
        <v>786</v>
      </c>
      <c r="H184" s="2" t="s">
        <v>650</v>
      </c>
      <c r="I184" s="2"/>
      <c r="J184" s="2"/>
      <c r="K184" s="2"/>
    </row>
    <row r="185" spans="1:11" x14ac:dyDescent="0.25">
      <c r="A185" s="74">
        <v>183</v>
      </c>
      <c r="B185" s="81" t="s">
        <v>94</v>
      </c>
      <c r="C185" s="2" t="s">
        <v>36</v>
      </c>
      <c r="D185" s="2" t="s">
        <v>354</v>
      </c>
      <c r="E185" s="75" t="s">
        <v>505</v>
      </c>
      <c r="F185" s="2" t="s">
        <v>786</v>
      </c>
      <c r="G185" s="2" t="s">
        <v>788</v>
      </c>
      <c r="H185" s="2" t="s">
        <v>804</v>
      </c>
      <c r="I185" s="2"/>
      <c r="J185" s="2"/>
      <c r="K185" s="2"/>
    </row>
    <row r="186" spans="1:11" x14ac:dyDescent="0.25">
      <c r="A186" s="74">
        <v>184</v>
      </c>
      <c r="B186" s="81" t="s">
        <v>54</v>
      </c>
      <c r="C186" s="81" t="s">
        <v>33</v>
      </c>
      <c r="D186" s="2" t="s">
        <v>354</v>
      </c>
      <c r="E186" s="75" t="s">
        <v>505</v>
      </c>
      <c r="F186" s="2" t="s">
        <v>797</v>
      </c>
      <c r="G186" s="2" t="s">
        <v>800</v>
      </c>
      <c r="H186" s="2" t="s">
        <v>804</v>
      </c>
      <c r="I186" s="2"/>
      <c r="J186" s="2"/>
      <c r="K186" s="2"/>
    </row>
    <row r="187" spans="1:11" x14ac:dyDescent="0.25">
      <c r="A187" s="74">
        <v>185</v>
      </c>
      <c r="B187" s="81" t="s">
        <v>65</v>
      </c>
      <c r="C187" s="2" t="s">
        <v>66</v>
      </c>
      <c r="D187" s="2" t="s">
        <v>352</v>
      </c>
      <c r="E187" s="75" t="s">
        <v>505</v>
      </c>
      <c r="F187" s="2" t="s">
        <v>800</v>
      </c>
      <c r="G187" s="2" t="s">
        <v>805</v>
      </c>
      <c r="H187" s="2" t="s">
        <v>804</v>
      </c>
      <c r="I187" s="2"/>
      <c r="J187" s="2"/>
      <c r="K187" s="2"/>
    </row>
    <row r="188" spans="1:11" x14ac:dyDescent="0.25">
      <c r="A188" s="74">
        <v>186</v>
      </c>
      <c r="B188" s="81" t="s">
        <v>251</v>
      </c>
      <c r="C188" s="2" t="s">
        <v>511</v>
      </c>
      <c r="D188" s="2" t="s">
        <v>352</v>
      </c>
      <c r="E188" s="75" t="s">
        <v>505</v>
      </c>
      <c r="F188" s="2" t="s">
        <v>796</v>
      </c>
      <c r="G188" s="77" t="s">
        <v>1934</v>
      </c>
      <c r="H188" s="2" t="s">
        <v>517</v>
      </c>
      <c r="I188" s="2"/>
      <c r="J188" s="2"/>
      <c r="K188" s="2"/>
    </row>
    <row r="189" spans="1:11" x14ac:dyDescent="0.25">
      <c r="A189" s="74">
        <v>187</v>
      </c>
      <c r="B189" s="2" t="s">
        <v>258</v>
      </c>
      <c r="C189" s="81" t="s">
        <v>28</v>
      </c>
      <c r="D189" s="2" t="s">
        <v>354</v>
      </c>
      <c r="E189" s="75" t="s">
        <v>505</v>
      </c>
      <c r="F189" s="2" t="s">
        <v>789</v>
      </c>
      <c r="G189" s="77" t="s">
        <v>1932</v>
      </c>
      <c r="H189" s="2" t="s">
        <v>773</v>
      </c>
      <c r="I189" s="2"/>
      <c r="J189" s="2"/>
      <c r="K189" s="2"/>
    </row>
    <row r="190" spans="1:11" x14ac:dyDescent="0.25">
      <c r="A190" s="74">
        <v>188</v>
      </c>
      <c r="B190" s="81" t="s">
        <v>338</v>
      </c>
      <c r="C190" s="81" t="s">
        <v>33</v>
      </c>
      <c r="D190" s="2" t="s">
        <v>353</v>
      </c>
      <c r="E190" s="75" t="s">
        <v>505</v>
      </c>
      <c r="F190" s="2" t="s">
        <v>789</v>
      </c>
      <c r="G190" s="77" t="s">
        <v>1924</v>
      </c>
      <c r="H190" s="2" t="s">
        <v>793</v>
      </c>
      <c r="I190" s="2"/>
      <c r="J190" s="2"/>
      <c r="K190" s="2"/>
    </row>
    <row r="191" spans="1:11" x14ac:dyDescent="0.25">
      <c r="A191" s="74">
        <v>189</v>
      </c>
      <c r="B191" s="2" t="s">
        <v>259</v>
      </c>
      <c r="C191" s="81" t="s">
        <v>28</v>
      </c>
      <c r="D191" s="2" t="s">
        <v>354</v>
      </c>
      <c r="E191" s="75" t="s">
        <v>505</v>
      </c>
      <c r="F191" s="2" t="s">
        <v>794</v>
      </c>
      <c r="G191" s="77" t="s">
        <v>815</v>
      </c>
      <c r="H191" s="2" t="s">
        <v>772</v>
      </c>
      <c r="I191" s="2"/>
      <c r="J191" s="2"/>
      <c r="K191" s="2"/>
    </row>
    <row r="192" spans="1:11" x14ac:dyDescent="0.25">
      <c r="A192" s="74">
        <v>190</v>
      </c>
      <c r="B192" s="81" t="s">
        <v>261</v>
      </c>
      <c r="C192" s="2" t="s">
        <v>36</v>
      </c>
      <c r="D192" s="2" t="s">
        <v>354</v>
      </c>
      <c r="E192" s="75" t="s">
        <v>505</v>
      </c>
      <c r="F192" s="2" t="s">
        <v>800</v>
      </c>
      <c r="G192" s="77" t="s">
        <v>1935</v>
      </c>
      <c r="H192" s="2" t="s">
        <v>772</v>
      </c>
      <c r="I192" s="2"/>
      <c r="J192" s="2"/>
      <c r="K192" s="2"/>
    </row>
    <row r="193" spans="1:11" x14ac:dyDescent="0.25">
      <c r="A193" s="74">
        <v>191</v>
      </c>
      <c r="B193" s="81" t="s">
        <v>262</v>
      </c>
      <c r="C193" s="2" t="s">
        <v>21</v>
      </c>
      <c r="D193" s="2" t="s">
        <v>354</v>
      </c>
      <c r="E193" s="75" t="s">
        <v>505</v>
      </c>
      <c r="F193" s="2" t="s">
        <v>800</v>
      </c>
      <c r="G193" s="77" t="s">
        <v>1930</v>
      </c>
      <c r="H193" s="2" t="s">
        <v>773</v>
      </c>
      <c r="I193" s="2"/>
      <c r="J193" s="2"/>
      <c r="K193" s="2"/>
    </row>
    <row r="194" spans="1:11" x14ac:dyDescent="0.25">
      <c r="A194" s="74">
        <v>192</v>
      </c>
      <c r="B194" s="81" t="s">
        <v>340</v>
      </c>
      <c r="C194" s="2" t="s">
        <v>36</v>
      </c>
      <c r="D194" s="2" t="s">
        <v>354</v>
      </c>
      <c r="E194" s="75" t="s">
        <v>505</v>
      </c>
      <c r="F194" s="2" t="s">
        <v>800</v>
      </c>
      <c r="G194" s="77" t="s">
        <v>1930</v>
      </c>
      <c r="H194" s="2" t="s">
        <v>801</v>
      </c>
      <c r="I194" s="2"/>
      <c r="J194" s="2"/>
      <c r="K194" s="2"/>
    </row>
    <row r="195" spans="1:11" x14ac:dyDescent="0.25">
      <c r="A195" s="74">
        <v>193</v>
      </c>
      <c r="B195" s="81" t="s">
        <v>263</v>
      </c>
      <c r="C195" s="2" t="s">
        <v>36</v>
      </c>
      <c r="D195" s="2" t="s">
        <v>354</v>
      </c>
      <c r="E195" s="75" t="s">
        <v>505</v>
      </c>
      <c r="F195" s="2" t="s">
        <v>803</v>
      </c>
      <c r="G195" s="77" t="s">
        <v>1939</v>
      </c>
      <c r="H195" s="2" t="s">
        <v>517</v>
      </c>
      <c r="I195" s="2"/>
      <c r="J195" s="2"/>
      <c r="K195" s="2"/>
    </row>
    <row r="196" spans="1:11" x14ac:dyDescent="0.25">
      <c r="A196" s="74">
        <v>194</v>
      </c>
      <c r="B196" s="81" t="s">
        <v>105</v>
      </c>
      <c r="C196" s="2" t="s">
        <v>33</v>
      </c>
      <c r="D196" s="2" t="s">
        <v>352</v>
      </c>
      <c r="E196" s="75" t="s">
        <v>505</v>
      </c>
      <c r="F196" s="2" t="s">
        <v>819</v>
      </c>
      <c r="G196" s="2" t="s">
        <v>1931</v>
      </c>
      <c r="H196" s="2" t="s">
        <v>804</v>
      </c>
      <c r="I196" s="2"/>
      <c r="J196" s="2"/>
      <c r="K196" s="2"/>
    </row>
    <row r="197" spans="1:11" x14ac:dyDescent="0.25">
      <c r="A197" s="74">
        <v>195</v>
      </c>
      <c r="B197" s="81" t="s">
        <v>121</v>
      </c>
      <c r="C197" s="2" t="s">
        <v>21</v>
      </c>
      <c r="D197" s="2" t="s">
        <v>825</v>
      </c>
      <c r="E197" s="75" t="s">
        <v>505</v>
      </c>
      <c r="F197" s="2" t="s">
        <v>1925</v>
      </c>
      <c r="G197" s="77" t="s">
        <v>1930</v>
      </c>
      <c r="H197" s="2" t="s">
        <v>804</v>
      </c>
      <c r="I197" s="2"/>
      <c r="J197" s="2"/>
      <c r="K197" s="2"/>
    </row>
    <row r="198" spans="1:11" x14ac:dyDescent="0.25">
      <c r="A198" s="74">
        <v>196</v>
      </c>
      <c r="B198" s="81" t="s">
        <v>334</v>
      </c>
      <c r="C198" s="2" t="s">
        <v>40</v>
      </c>
      <c r="D198" s="2" t="s">
        <v>352</v>
      </c>
      <c r="E198" s="75" t="s">
        <v>505</v>
      </c>
      <c r="F198" s="2" t="s">
        <v>1927</v>
      </c>
      <c r="G198" s="77" t="s">
        <v>1939</v>
      </c>
      <c r="H198" s="2" t="s">
        <v>457</v>
      </c>
      <c r="I198" s="2"/>
      <c r="J198" s="2"/>
      <c r="K198" s="2"/>
    </row>
    <row r="199" spans="1:11" x14ac:dyDescent="0.25">
      <c r="A199" s="74">
        <v>197</v>
      </c>
      <c r="B199" s="81" t="s">
        <v>344</v>
      </c>
      <c r="C199" s="81" t="s">
        <v>19</v>
      </c>
      <c r="D199" s="2" t="s">
        <v>354</v>
      </c>
      <c r="E199" s="75" t="s">
        <v>505</v>
      </c>
      <c r="F199" s="2" t="s">
        <v>1924</v>
      </c>
      <c r="G199" s="77" t="s">
        <v>2001</v>
      </c>
      <c r="H199" s="2" t="s">
        <v>1928</v>
      </c>
      <c r="I199" s="2"/>
      <c r="J199" s="2"/>
      <c r="K199" s="2"/>
    </row>
    <row r="200" spans="1:11" x14ac:dyDescent="0.25">
      <c r="A200" s="74">
        <v>198</v>
      </c>
      <c r="B200" s="81" t="s">
        <v>317</v>
      </c>
      <c r="C200" s="81" t="s">
        <v>21</v>
      </c>
      <c r="D200" s="2"/>
      <c r="E200" s="84" t="s">
        <v>2017</v>
      </c>
      <c r="F200" s="2" t="s">
        <v>1926</v>
      </c>
      <c r="G200" s="2"/>
      <c r="H200" s="2" t="s">
        <v>772</v>
      </c>
      <c r="I200" s="2"/>
      <c r="J200" s="2"/>
      <c r="K200" s="2"/>
    </row>
    <row r="201" spans="1:11" x14ac:dyDescent="0.25">
      <c r="A201" s="74">
        <v>199</v>
      </c>
      <c r="B201" s="81" t="s">
        <v>324</v>
      </c>
      <c r="C201" s="81" t="s">
        <v>120</v>
      </c>
      <c r="D201" s="2" t="s">
        <v>352</v>
      </c>
      <c r="E201" s="75" t="s">
        <v>505</v>
      </c>
      <c r="F201" s="2" t="s">
        <v>821</v>
      </c>
      <c r="G201" s="2" t="s">
        <v>812</v>
      </c>
      <c r="H201" s="2" t="s">
        <v>457</v>
      </c>
      <c r="I201" s="2"/>
      <c r="J201" s="2"/>
      <c r="K201" s="2"/>
    </row>
    <row r="202" spans="1:11" x14ac:dyDescent="0.25">
      <c r="A202" s="74">
        <v>200</v>
      </c>
      <c r="B202" s="81" t="s">
        <v>325</v>
      </c>
      <c r="C202" s="2" t="s">
        <v>21</v>
      </c>
      <c r="D202" s="2" t="s">
        <v>354</v>
      </c>
      <c r="E202" s="75" t="s">
        <v>505</v>
      </c>
      <c r="F202" s="2" t="s">
        <v>820</v>
      </c>
      <c r="G202" s="2" t="s">
        <v>818</v>
      </c>
      <c r="H202" s="2" t="s">
        <v>457</v>
      </c>
      <c r="I202" s="2"/>
      <c r="J202" s="2"/>
      <c r="K202" s="2"/>
    </row>
    <row r="203" spans="1:11" x14ac:dyDescent="0.25">
      <c r="A203" s="74">
        <v>201</v>
      </c>
      <c r="B203" s="268" t="s">
        <v>117</v>
      </c>
      <c r="C203" s="268" t="s">
        <v>118</v>
      </c>
      <c r="D203" s="268" t="s">
        <v>352</v>
      </c>
      <c r="E203" s="438" t="s">
        <v>505</v>
      </c>
      <c r="F203" s="268" t="s">
        <v>818</v>
      </c>
      <c r="G203" s="464" t="s">
        <v>1924</v>
      </c>
      <c r="H203" s="268" t="s">
        <v>804</v>
      </c>
      <c r="I203" s="268"/>
      <c r="J203" s="268"/>
      <c r="K203" s="268"/>
    </row>
    <row r="204" spans="1:11" x14ac:dyDescent="0.25">
      <c r="A204" s="74">
        <v>202</v>
      </c>
      <c r="B204" s="81" t="s">
        <v>323</v>
      </c>
      <c r="C204" s="2" t="s">
        <v>28</v>
      </c>
      <c r="D204" s="268" t="s">
        <v>352</v>
      </c>
      <c r="E204" s="438" t="s">
        <v>505</v>
      </c>
      <c r="F204" s="2" t="s">
        <v>818</v>
      </c>
      <c r="G204" s="77" t="s">
        <v>1935</v>
      </c>
      <c r="H204" s="2" t="s">
        <v>457</v>
      </c>
      <c r="I204" s="2"/>
      <c r="J204" s="2"/>
      <c r="K204" s="2"/>
    </row>
    <row r="205" spans="1:11" x14ac:dyDescent="0.25">
      <c r="A205" s="74">
        <v>203</v>
      </c>
      <c r="B205" s="81" t="s">
        <v>119</v>
      </c>
      <c r="C205" s="2" t="s">
        <v>21</v>
      </c>
      <c r="D205" s="2" t="s">
        <v>354</v>
      </c>
      <c r="E205" s="438" t="s">
        <v>505</v>
      </c>
      <c r="F205" s="2" t="s">
        <v>1924</v>
      </c>
      <c r="G205" s="77" t="s">
        <v>1942</v>
      </c>
      <c r="H205" s="268" t="s">
        <v>804</v>
      </c>
      <c r="I205" s="2"/>
      <c r="J205" s="2"/>
      <c r="K205" s="2"/>
    </row>
    <row r="206" spans="1:11" x14ac:dyDescent="0.25">
      <c r="A206" s="74">
        <v>204</v>
      </c>
      <c r="B206" s="81" t="s">
        <v>331</v>
      </c>
      <c r="C206" s="2" t="s">
        <v>28</v>
      </c>
      <c r="D206" s="2" t="s">
        <v>352</v>
      </c>
      <c r="E206" s="438" t="s">
        <v>505</v>
      </c>
      <c r="F206" s="2" t="s">
        <v>1925</v>
      </c>
      <c r="G206" s="77" t="s">
        <v>1999</v>
      </c>
      <c r="H206" s="2" t="s">
        <v>1929</v>
      </c>
      <c r="I206" s="2"/>
      <c r="J206" s="2"/>
      <c r="K206" s="2"/>
    </row>
    <row r="207" spans="1:11" x14ac:dyDescent="0.25">
      <c r="A207" s="74">
        <v>205</v>
      </c>
      <c r="B207" s="2" t="s">
        <v>341</v>
      </c>
      <c r="C207" s="2" t="s">
        <v>21</v>
      </c>
      <c r="D207" s="2" t="s">
        <v>354</v>
      </c>
      <c r="E207" s="438" t="s">
        <v>505</v>
      </c>
      <c r="F207" s="2" t="s">
        <v>1934</v>
      </c>
      <c r="G207" s="77" t="s">
        <v>1951</v>
      </c>
      <c r="H207" s="2" t="s">
        <v>2022</v>
      </c>
      <c r="I207" s="2"/>
      <c r="J207" s="2"/>
      <c r="K207" s="2"/>
    </row>
    <row r="208" spans="1:11" x14ac:dyDescent="0.25">
      <c r="A208" s="74">
        <v>206</v>
      </c>
      <c r="B208" s="2" t="s">
        <v>342</v>
      </c>
      <c r="C208" s="2" t="s">
        <v>28</v>
      </c>
      <c r="D208" s="2" t="s">
        <v>354</v>
      </c>
      <c r="E208" s="438" t="s">
        <v>505</v>
      </c>
      <c r="F208" s="2" t="s">
        <v>1935</v>
      </c>
      <c r="G208" s="77" t="s">
        <v>2003</v>
      </c>
      <c r="H208" s="2" t="s">
        <v>793</v>
      </c>
      <c r="I208" s="2"/>
      <c r="J208" s="2"/>
      <c r="K208" s="2"/>
    </row>
    <row r="209" spans="1:11" x14ac:dyDescent="0.25">
      <c r="A209" s="74">
        <v>207</v>
      </c>
      <c r="B209" s="2" t="s">
        <v>326</v>
      </c>
      <c r="C209" s="2" t="s">
        <v>511</v>
      </c>
      <c r="D209" s="2" t="s">
        <v>352</v>
      </c>
      <c r="E209" s="438" t="s">
        <v>505</v>
      </c>
      <c r="F209" s="2" t="s">
        <v>1939</v>
      </c>
      <c r="G209" s="2" t="s">
        <v>2014</v>
      </c>
      <c r="H209" s="2" t="s">
        <v>457</v>
      </c>
      <c r="I209" s="2"/>
      <c r="J209" s="2"/>
      <c r="K209" s="2"/>
    </row>
    <row r="210" spans="1:11" x14ac:dyDescent="0.25">
      <c r="A210" s="74">
        <v>208</v>
      </c>
      <c r="B210" s="2" t="s">
        <v>246</v>
      </c>
      <c r="C210" s="2" t="s">
        <v>519</v>
      </c>
      <c r="D210" s="2" t="s">
        <v>352</v>
      </c>
      <c r="E210" s="438" t="s">
        <v>505</v>
      </c>
      <c r="F210" s="2" t="s">
        <v>1940</v>
      </c>
      <c r="G210" s="2" t="s">
        <v>2002</v>
      </c>
      <c r="H210" s="2" t="s">
        <v>773</v>
      </c>
      <c r="I210" s="2"/>
      <c r="J210" s="2"/>
      <c r="K210" s="2"/>
    </row>
    <row r="211" spans="1:11" x14ac:dyDescent="0.25">
      <c r="A211" s="2">
        <v>209</v>
      </c>
      <c r="B211" s="2" t="s">
        <v>347</v>
      </c>
      <c r="C211" s="2" t="s">
        <v>241</v>
      </c>
      <c r="D211" s="2" t="s">
        <v>352</v>
      </c>
      <c r="E211" s="438" t="s">
        <v>505</v>
      </c>
      <c r="F211" s="2" t="s">
        <v>1939</v>
      </c>
      <c r="G211" s="2" t="s">
        <v>2016</v>
      </c>
      <c r="H211" s="2" t="s">
        <v>772</v>
      </c>
      <c r="I211" s="2"/>
      <c r="J211" s="2"/>
      <c r="K211" s="2"/>
    </row>
    <row r="212" spans="1:11" x14ac:dyDescent="0.25">
      <c r="A212" s="2">
        <v>210</v>
      </c>
      <c r="B212" s="2" t="s">
        <v>224</v>
      </c>
      <c r="C212" s="2" t="s">
        <v>519</v>
      </c>
      <c r="D212" s="2" t="s">
        <v>825</v>
      </c>
      <c r="E212" s="438" t="s">
        <v>505</v>
      </c>
      <c r="F212" s="2" t="s">
        <v>1941</v>
      </c>
      <c r="G212" s="2" t="s">
        <v>2024</v>
      </c>
      <c r="H212" s="2" t="s">
        <v>517</v>
      </c>
      <c r="I212" s="2"/>
      <c r="J212" s="2"/>
      <c r="K212" s="2"/>
    </row>
    <row r="213" spans="1:11" x14ac:dyDescent="0.25">
      <c r="A213" s="2">
        <v>211</v>
      </c>
      <c r="B213" s="81" t="s">
        <v>44</v>
      </c>
      <c r="C213" s="2" t="s">
        <v>511</v>
      </c>
      <c r="D213" s="2" t="s">
        <v>825</v>
      </c>
      <c r="E213" s="438" t="s">
        <v>505</v>
      </c>
      <c r="F213" s="2" t="s">
        <v>1939</v>
      </c>
      <c r="G213" s="2" t="s">
        <v>2002</v>
      </c>
      <c r="H213" s="2" t="s">
        <v>804</v>
      </c>
      <c r="I213" s="2"/>
      <c r="J213" s="2"/>
      <c r="K213" s="2"/>
    </row>
    <row r="214" spans="1:11" x14ac:dyDescent="0.25">
      <c r="A214" s="2">
        <v>212</v>
      </c>
      <c r="B214" s="2" t="s">
        <v>135</v>
      </c>
      <c r="C214" s="2" t="s">
        <v>17</v>
      </c>
      <c r="D214" s="2" t="s">
        <v>352</v>
      </c>
      <c r="E214" s="438" t="s">
        <v>505</v>
      </c>
      <c r="F214" s="2" t="s">
        <v>1942</v>
      </c>
      <c r="G214" s="2" t="s">
        <v>2011</v>
      </c>
      <c r="H214" s="2" t="s">
        <v>804</v>
      </c>
      <c r="I214" s="2"/>
      <c r="J214" s="2"/>
      <c r="K214" s="2"/>
    </row>
    <row r="215" spans="1:11" x14ac:dyDescent="0.25">
      <c r="A215" s="2">
        <v>213</v>
      </c>
      <c r="B215" s="2" t="s">
        <v>301</v>
      </c>
      <c r="C215" s="2" t="s">
        <v>38</v>
      </c>
      <c r="D215" s="2" t="s">
        <v>352</v>
      </c>
      <c r="E215" s="438" t="s">
        <v>505</v>
      </c>
      <c r="F215" s="2" t="s">
        <v>1944</v>
      </c>
      <c r="G215" s="2" t="s">
        <v>2003</v>
      </c>
      <c r="H215" s="2" t="s">
        <v>1943</v>
      </c>
      <c r="I215" s="2"/>
      <c r="J215" s="2"/>
      <c r="K215" s="2"/>
    </row>
    <row r="216" spans="1:11" x14ac:dyDescent="0.25">
      <c r="A216" s="2">
        <v>214</v>
      </c>
      <c r="B216" s="81" t="s">
        <v>47</v>
      </c>
      <c r="C216" s="2" t="s">
        <v>40</v>
      </c>
      <c r="D216" s="2" t="s">
        <v>354</v>
      </c>
      <c r="E216" s="438" t="s">
        <v>505</v>
      </c>
      <c r="F216" s="2" t="s">
        <v>1945</v>
      </c>
      <c r="G216" s="2" t="s">
        <v>1926</v>
      </c>
      <c r="H216" s="2" t="s">
        <v>804</v>
      </c>
      <c r="I216" s="2"/>
      <c r="J216" s="2"/>
      <c r="K216" s="2"/>
    </row>
    <row r="217" spans="1:11" x14ac:dyDescent="0.25">
      <c r="A217" s="2">
        <v>215</v>
      </c>
      <c r="B217" s="81" t="s">
        <v>300</v>
      </c>
      <c r="C217" s="2" t="s">
        <v>21</v>
      </c>
      <c r="D217" s="2" t="s">
        <v>354</v>
      </c>
      <c r="E217" s="438" t="s">
        <v>505</v>
      </c>
      <c r="F217" s="2" t="s">
        <v>2016</v>
      </c>
      <c r="G217" s="2" t="s">
        <v>2034</v>
      </c>
      <c r="H217" s="2" t="s">
        <v>1943</v>
      </c>
      <c r="I217" s="2"/>
      <c r="J217" s="2"/>
      <c r="K217" s="2"/>
    </row>
    <row r="218" spans="1:11" x14ac:dyDescent="0.25">
      <c r="A218" s="2">
        <v>216</v>
      </c>
      <c r="B218" s="81" t="s">
        <v>89</v>
      </c>
      <c r="C218" s="2" t="s">
        <v>23</v>
      </c>
      <c r="D218" s="2" t="s">
        <v>352</v>
      </c>
      <c r="E218" s="438" t="s">
        <v>505</v>
      </c>
      <c r="F218" s="2" t="s">
        <v>2004</v>
      </c>
      <c r="G218" s="2" t="s">
        <v>2012</v>
      </c>
      <c r="H218" s="2" t="s">
        <v>804</v>
      </c>
      <c r="I218" s="2"/>
      <c r="J218" s="2"/>
      <c r="K218" s="2"/>
    </row>
    <row r="219" spans="1:11" x14ac:dyDescent="0.25">
      <c r="A219" s="2">
        <v>217</v>
      </c>
      <c r="B219" s="2" t="s">
        <v>295</v>
      </c>
      <c r="C219" s="2" t="s">
        <v>40</v>
      </c>
      <c r="D219" s="2" t="s">
        <v>352</v>
      </c>
      <c r="E219" s="438" t="s">
        <v>505</v>
      </c>
      <c r="F219" s="2" t="s">
        <v>1999</v>
      </c>
      <c r="G219" s="2" t="s">
        <v>2015</v>
      </c>
      <c r="H219" s="2" t="s">
        <v>1943</v>
      </c>
      <c r="I219" s="2"/>
      <c r="J219" s="2"/>
      <c r="K219" s="2"/>
    </row>
    <row r="220" spans="1:11" x14ac:dyDescent="0.25">
      <c r="A220" s="2">
        <v>218</v>
      </c>
      <c r="B220" s="81" t="s">
        <v>296</v>
      </c>
      <c r="C220" s="2" t="s">
        <v>118</v>
      </c>
      <c r="D220" s="2" t="s">
        <v>352</v>
      </c>
      <c r="E220" s="438" t="s">
        <v>505</v>
      </c>
      <c r="F220" s="2" t="s">
        <v>2008</v>
      </c>
      <c r="G220" s="2" t="s">
        <v>2031</v>
      </c>
      <c r="H220" s="2" t="s">
        <v>457</v>
      </c>
      <c r="I220" s="2"/>
      <c r="J220" s="2"/>
      <c r="K220" s="2"/>
    </row>
    <row r="221" spans="1:11" x14ac:dyDescent="0.25">
      <c r="A221" s="2">
        <v>219</v>
      </c>
      <c r="B221" s="81" t="s">
        <v>351</v>
      </c>
      <c r="C221" s="2" t="s">
        <v>241</v>
      </c>
      <c r="D221" s="2" t="s">
        <v>353</v>
      </c>
      <c r="E221" s="438" t="s">
        <v>505</v>
      </c>
      <c r="F221" s="2" t="s">
        <v>2008</v>
      </c>
      <c r="G221" s="2" t="s">
        <v>2044</v>
      </c>
      <c r="H221" s="2" t="s">
        <v>773</v>
      </c>
      <c r="I221" s="2"/>
      <c r="J221" s="2"/>
      <c r="K221" s="2"/>
    </row>
    <row r="222" spans="1:11" x14ac:dyDescent="0.25">
      <c r="A222" s="2">
        <v>220</v>
      </c>
      <c r="B222" s="81" t="s">
        <v>178</v>
      </c>
      <c r="C222" s="2" t="s">
        <v>161</v>
      </c>
      <c r="D222" s="2" t="s">
        <v>354</v>
      </c>
      <c r="E222" s="438" t="s">
        <v>505</v>
      </c>
      <c r="F222" s="2" t="s">
        <v>2011</v>
      </c>
      <c r="G222" s="2" t="s">
        <v>2024</v>
      </c>
      <c r="H222" s="2" t="s">
        <v>804</v>
      </c>
      <c r="I222" s="2"/>
      <c r="J222" s="2"/>
      <c r="K222" s="2"/>
    </row>
    <row r="223" spans="1:11" x14ac:dyDescent="0.25">
      <c r="A223" s="2">
        <v>221</v>
      </c>
      <c r="B223" s="81" t="s">
        <v>276</v>
      </c>
      <c r="C223" s="2" t="s">
        <v>19</v>
      </c>
      <c r="D223" s="2" t="s">
        <v>352</v>
      </c>
      <c r="E223" s="438" t="s">
        <v>505</v>
      </c>
      <c r="F223" s="2" t="s">
        <v>2011</v>
      </c>
      <c r="G223" s="2" t="s">
        <v>2023</v>
      </c>
      <c r="H223" s="2" t="s">
        <v>773</v>
      </c>
      <c r="I223" s="2"/>
      <c r="J223" s="2"/>
      <c r="K223" s="2"/>
    </row>
    <row r="224" spans="1:11" x14ac:dyDescent="0.25">
      <c r="A224" s="2">
        <v>222</v>
      </c>
      <c r="B224" s="81" t="s">
        <v>74</v>
      </c>
      <c r="C224" s="2" t="s">
        <v>75</v>
      </c>
      <c r="D224" s="2" t="s">
        <v>354</v>
      </c>
      <c r="E224" s="438" t="s">
        <v>505</v>
      </c>
      <c r="F224" s="2" t="s">
        <v>2012</v>
      </c>
      <c r="G224" s="2" t="s">
        <v>2023</v>
      </c>
      <c r="H224" s="2" t="s">
        <v>2020</v>
      </c>
      <c r="I224" s="2"/>
      <c r="J224" s="2"/>
      <c r="K224" s="2"/>
    </row>
    <row r="225" spans="1:11" x14ac:dyDescent="0.25">
      <c r="A225" s="2">
        <v>223</v>
      </c>
      <c r="B225" s="2" t="s">
        <v>305</v>
      </c>
      <c r="C225" s="2" t="s">
        <v>398</v>
      </c>
      <c r="D225" s="2" t="s">
        <v>354</v>
      </c>
      <c r="E225" s="438" t="s">
        <v>505</v>
      </c>
      <c r="F225" s="2" t="s">
        <v>2019</v>
      </c>
      <c r="G225" s="2" t="s">
        <v>2037</v>
      </c>
      <c r="H225" s="2" t="s">
        <v>772</v>
      </c>
      <c r="I225" s="2"/>
      <c r="J225" s="2"/>
      <c r="K225" s="2"/>
    </row>
    <row r="226" spans="1:11" x14ac:dyDescent="0.25">
      <c r="A226" s="2">
        <v>224</v>
      </c>
      <c r="B226" s="2" t="s">
        <v>212</v>
      </c>
      <c r="C226" s="2" t="s">
        <v>23</v>
      </c>
      <c r="D226" s="2" t="s">
        <v>353</v>
      </c>
      <c r="E226" s="438" t="s">
        <v>505</v>
      </c>
      <c r="F226" s="2" t="s">
        <v>2021</v>
      </c>
      <c r="G226" s="2" t="s">
        <v>2039</v>
      </c>
      <c r="H226" s="2" t="s">
        <v>2022</v>
      </c>
      <c r="I226" s="2"/>
      <c r="J226" s="2"/>
      <c r="K226" s="2"/>
    </row>
    <row r="227" spans="1:11" x14ac:dyDescent="0.25">
      <c r="A227" s="2">
        <v>225</v>
      </c>
      <c r="B227" s="2" t="s">
        <v>400</v>
      </c>
      <c r="C227" s="2" t="s">
        <v>38</v>
      </c>
      <c r="D227" s="2" t="s">
        <v>352</v>
      </c>
      <c r="E227" s="438" t="s">
        <v>505</v>
      </c>
      <c r="F227" s="2" t="s">
        <v>2025</v>
      </c>
      <c r="G227" s="2" t="s">
        <v>2040</v>
      </c>
      <c r="H227" s="2" t="s">
        <v>2035</v>
      </c>
      <c r="I227" s="2"/>
      <c r="J227" s="2"/>
      <c r="K227" s="2"/>
    </row>
    <row r="228" spans="1:11" x14ac:dyDescent="0.25">
      <c r="A228" s="2">
        <v>226</v>
      </c>
      <c r="B228" s="2" t="s">
        <v>294</v>
      </c>
      <c r="C228" s="2" t="s">
        <v>45</v>
      </c>
      <c r="D228" s="2" t="s">
        <v>352</v>
      </c>
      <c r="E228" s="84" t="s">
        <v>2058</v>
      </c>
      <c r="F228" s="2" t="s">
        <v>2032</v>
      </c>
      <c r="G228" s="2"/>
      <c r="H228" s="2" t="s">
        <v>457</v>
      </c>
      <c r="I228" s="2"/>
      <c r="J228" s="2"/>
      <c r="K228" s="2"/>
    </row>
    <row r="229" spans="1:11" x14ac:dyDescent="0.25">
      <c r="A229" s="2">
        <v>227</v>
      </c>
      <c r="B229" s="81" t="s">
        <v>168</v>
      </c>
      <c r="C229" s="2" t="s">
        <v>169</v>
      </c>
      <c r="D229" s="2" t="s">
        <v>352</v>
      </c>
      <c r="E229" s="438" t="s">
        <v>505</v>
      </c>
      <c r="F229" s="2" t="s">
        <v>2025</v>
      </c>
      <c r="G229" s="2" t="s">
        <v>2034</v>
      </c>
      <c r="H229" s="2" t="s">
        <v>2027</v>
      </c>
      <c r="I229" s="2"/>
      <c r="J229" s="2"/>
      <c r="K229" s="2"/>
    </row>
    <row r="230" spans="1:11" x14ac:dyDescent="0.25">
      <c r="A230" s="2">
        <v>228</v>
      </c>
      <c r="B230" s="81" t="s">
        <v>150</v>
      </c>
      <c r="C230" s="2" t="s">
        <v>151</v>
      </c>
      <c r="D230" s="2" t="s">
        <v>354</v>
      </c>
      <c r="E230" s="438" t="s">
        <v>505</v>
      </c>
      <c r="F230" s="2" t="s">
        <v>2025</v>
      </c>
      <c r="G230" s="2" t="s">
        <v>2041</v>
      </c>
      <c r="H230" s="2" t="s">
        <v>2020</v>
      </c>
      <c r="I230" s="2"/>
      <c r="J230" s="2"/>
      <c r="K230" s="2"/>
    </row>
    <row r="231" spans="1:11" x14ac:dyDescent="0.25">
      <c r="A231" s="2">
        <v>229</v>
      </c>
      <c r="B231" s="2" t="s">
        <v>203</v>
      </c>
      <c r="C231" s="2" t="s">
        <v>123</v>
      </c>
      <c r="D231" s="2" t="s">
        <v>352</v>
      </c>
      <c r="E231" s="84" t="s">
        <v>2057</v>
      </c>
      <c r="F231" s="2" t="s">
        <v>2034</v>
      </c>
      <c r="G231" s="2"/>
      <c r="H231" s="2" t="s">
        <v>772</v>
      </c>
      <c r="I231" s="2"/>
      <c r="J231" s="2"/>
      <c r="K231" s="2"/>
    </row>
    <row r="232" spans="1:11" x14ac:dyDescent="0.25">
      <c r="A232" s="2">
        <v>230</v>
      </c>
      <c r="B232" s="81" t="s">
        <v>158</v>
      </c>
      <c r="C232" s="2" t="s">
        <v>159</v>
      </c>
      <c r="D232" s="2" t="s">
        <v>354</v>
      </c>
      <c r="E232" s="438" t="s">
        <v>505</v>
      </c>
      <c r="F232" s="2" t="s">
        <v>2036</v>
      </c>
      <c r="G232" s="2" t="s">
        <v>2049</v>
      </c>
      <c r="H232" s="2" t="s">
        <v>2027</v>
      </c>
      <c r="I232" s="2"/>
      <c r="J232" s="2"/>
      <c r="K232" s="2"/>
    </row>
    <row r="233" spans="1:11" x14ac:dyDescent="0.25">
      <c r="A233" s="2">
        <v>231</v>
      </c>
      <c r="B233" s="81" t="s">
        <v>174</v>
      </c>
      <c r="C233" s="2" t="s">
        <v>36</v>
      </c>
      <c r="D233" s="2" t="s">
        <v>354</v>
      </c>
      <c r="E233" s="438" t="s">
        <v>505</v>
      </c>
      <c r="F233" s="2" t="s">
        <v>2042</v>
      </c>
      <c r="G233" s="2" t="s">
        <v>2045</v>
      </c>
      <c r="H233" s="2" t="s">
        <v>2027</v>
      </c>
      <c r="I233" s="2"/>
      <c r="J233" s="2"/>
      <c r="K233" s="2"/>
    </row>
    <row r="234" spans="1:11" x14ac:dyDescent="0.25">
      <c r="A234" s="2">
        <v>232</v>
      </c>
      <c r="B234" s="81" t="s">
        <v>192</v>
      </c>
      <c r="C234" s="2" t="s">
        <v>45</v>
      </c>
      <c r="D234" s="2" t="s">
        <v>825</v>
      </c>
      <c r="E234" s="84" t="s">
        <v>2010</v>
      </c>
      <c r="F234" s="2"/>
      <c r="G234" s="2"/>
      <c r="H234" s="2"/>
      <c r="I234" s="2"/>
      <c r="J234" s="2"/>
      <c r="K234" s="2"/>
    </row>
    <row r="235" spans="1:11" x14ac:dyDescent="0.25">
      <c r="A235" s="2">
        <v>233</v>
      </c>
      <c r="B235" s="81" t="s">
        <v>275</v>
      </c>
      <c r="C235" s="2" t="s">
        <v>38</v>
      </c>
      <c r="D235" s="2" t="s">
        <v>353</v>
      </c>
      <c r="E235" s="438" t="s">
        <v>505</v>
      </c>
      <c r="F235" s="2" t="s">
        <v>2044</v>
      </c>
      <c r="G235" s="2" t="s">
        <v>2059</v>
      </c>
      <c r="H235" s="2" t="s">
        <v>2022</v>
      </c>
      <c r="I235" s="2"/>
      <c r="J235" s="2"/>
      <c r="K235" s="2"/>
    </row>
  </sheetData>
  <autoFilter ref="A2:K235" xr:uid="{00000000-0009-0000-0000-000002000000}"/>
  <mergeCells count="1">
    <mergeCell ref="A1:K1"/>
  </mergeCells>
  <phoneticPr fontId="36" type="noConversion"/>
  <conditionalFormatting sqref="B3:B206">
    <cfRule type="duplicateValues" dxfId="3" priority="2460"/>
  </conditionalFormatting>
  <conditionalFormatting sqref="B70:B87 B3:B68">
    <cfRule type="duplicateValues" dxfId="2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topLeftCell="A61" zoomScale="98" workbookViewId="0">
      <selection activeCell="C64" sqref="C64"/>
    </sheetView>
  </sheetViews>
  <sheetFormatPr defaultRowHeight="15" x14ac:dyDescent="0.25"/>
  <cols>
    <col min="1" max="1" width="15.28515625" style="6" customWidth="1"/>
    <col min="2" max="2" width="12" style="6" customWidth="1"/>
    <col min="3" max="3" width="51.140625" style="6" customWidth="1"/>
    <col min="4" max="5" width="15.28515625" style="6" customWidth="1"/>
    <col min="6" max="6" width="29.28515625" style="6" bestFit="1" customWidth="1"/>
    <col min="7" max="7" width="15.28515625" style="6" customWidth="1"/>
    <col min="8" max="16384" width="9.140625" style="6"/>
  </cols>
  <sheetData>
    <row r="1" spans="1:7" x14ac:dyDescent="0.25">
      <c r="A1" s="670" t="s">
        <v>696</v>
      </c>
      <c r="B1" s="670"/>
      <c r="C1" s="670"/>
      <c r="D1" s="670"/>
      <c r="E1" s="670"/>
      <c r="F1" s="670"/>
      <c r="G1" s="670"/>
    </row>
    <row r="2" spans="1:7" x14ac:dyDescent="0.25">
      <c r="A2" s="73" t="s">
        <v>423</v>
      </c>
      <c r="B2" s="73" t="s">
        <v>424</v>
      </c>
      <c r="C2" s="73" t="s">
        <v>427</v>
      </c>
      <c r="D2" s="73" t="s">
        <v>428</v>
      </c>
      <c r="E2" s="73" t="s">
        <v>429</v>
      </c>
      <c r="F2" s="73" t="s">
        <v>430</v>
      </c>
      <c r="G2" s="73" t="s">
        <v>431</v>
      </c>
    </row>
    <row r="3" spans="1:7" ht="17.25" customHeight="1" x14ac:dyDescent="0.25">
      <c r="A3" s="2">
        <v>1</v>
      </c>
      <c r="B3" s="81" t="s">
        <v>109</v>
      </c>
      <c r="C3" s="212" t="s">
        <v>437</v>
      </c>
      <c r="D3" s="2" t="s">
        <v>652</v>
      </c>
      <c r="E3" s="481">
        <v>45903</v>
      </c>
      <c r="F3" s="2" t="s">
        <v>658</v>
      </c>
      <c r="G3" s="2"/>
    </row>
    <row r="4" spans="1:7" x14ac:dyDescent="0.25">
      <c r="A4" s="2">
        <v>2</v>
      </c>
      <c r="B4" s="81" t="s">
        <v>85</v>
      </c>
      <c r="C4" s="212" t="s">
        <v>437</v>
      </c>
      <c r="D4" s="2" t="s">
        <v>652</v>
      </c>
      <c r="E4" s="2" t="s">
        <v>767</v>
      </c>
      <c r="F4" s="2" t="s">
        <v>653</v>
      </c>
      <c r="G4" s="2"/>
    </row>
    <row r="5" spans="1:7" x14ac:dyDescent="0.25">
      <c r="A5" s="2">
        <v>3</v>
      </c>
      <c r="B5" s="81" t="s">
        <v>59</v>
      </c>
      <c r="C5" s="212" t="s">
        <v>437</v>
      </c>
      <c r="D5" s="2" t="s">
        <v>656</v>
      </c>
      <c r="E5" s="2" t="s">
        <v>769</v>
      </c>
      <c r="F5" s="2" t="s">
        <v>654</v>
      </c>
      <c r="G5" s="2"/>
    </row>
    <row r="6" spans="1:7" x14ac:dyDescent="0.25">
      <c r="A6" s="2">
        <v>4</v>
      </c>
      <c r="B6" s="81" t="s">
        <v>81</v>
      </c>
      <c r="C6" s="212" t="s">
        <v>437</v>
      </c>
      <c r="D6" s="2" t="s">
        <v>656</v>
      </c>
      <c r="E6" s="2" t="s">
        <v>775</v>
      </c>
      <c r="F6" s="2" t="s">
        <v>655</v>
      </c>
      <c r="G6" s="2"/>
    </row>
    <row r="7" spans="1:7" x14ac:dyDescent="0.25">
      <c r="A7" s="2">
        <v>5</v>
      </c>
      <c r="B7" s="81" t="s">
        <v>76</v>
      </c>
      <c r="C7" s="212" t="s">
        <v>437</v>
      </c>
      <c r="D7" s="2" t="s">
        <v>762</v>
      </c>
      <c r="E7" s="2" t="s">
        <v>779</v>
      </c>
      <c r="F7" s="2" t="s">
        <v>698</v>
      </c>
      <c r="G7" s="2"/>
    </row>
    <row r="8" spans="1:7" x14ac:dyDescent="0.25">
      <c r="A8" s="2">
        <v>6</v>
      </c>
      <c r="B8" s="81" t="s">
        <v>97</v>
      </c>
      <c r="C8" s="212" t="s">
        <v>437</v>
      </c>
      <c r="D8" s="2" t="s">
        <v>762</v>
      </c>
      <c r="E8" s="2" t="s">
        <v>766</v>
      </c>
      <c r="F8" s="2" t="s">
        <v>770</v>
      </c>
      <c r="G8" s="2"/>
    </row>
    <row r="9" spans="1:7" x14ac:dyDescent="0.25">
      <c r="A9" s="2">
        <v>7</v>
      </c>
      <c r="B9" s="81" t="s">
        <v>126</v>
      </c>
      <c r="C9" s="212" t="s">
        <v>437</v>
      </c>
      <c r="D9" s="2" t="s">
        <v>763</v>
      </c>
      <c r="E9" s="2" t="s">
        <v>697</v>
      </c>
      <c r="F9" s="2" t="s">
        <v>658</v>
      </c>
      <c r="G9" s="2"/>
    </row>
    <row r="10" spans="1:7" x14ac:dyDescent="0.25">
      <c r="A10" s="2">
        <v>8</v>
      </c>
      <c r="B10" s="81" t="s">
        <v>106</v>
      </c>
      <c r="C10" s="212" t="s">
        <v>437</v>
      </c>
      <c r="D10" s="2" t="s">
        <v>763</v>
      </c>
      <c r="E10" s="2" t="s">
        <v>766</v>
      </c>
      <c r="F10" s="2" t="s">
        <v>659</v>
      </c>
      <c r="G10" s="2"/>
    </row>
    <row r="11" spans="1:7" x14ac:dyDescent="0.25">
      <c r="A11" s="2">
        <v>9</v>
      </c>
      <c r="B11" s="83" t="s">
        <v>60</v>
      </c>
      <c r="C11" s="212" t="s">
        <v>437</v>
      </c>
      <c r="D11" s="2" t="s">
        <v>656</v>
      </c>
      <c r="E11" s="82" t="s">
        <v>697</v>
      </c>
      <c r="F11" s="2" t="s">
        <v>654</v>
      </c>
      <c r="G11" s="2"/>
    </row>
    <row r="12" spans="1:7" x14ac:dyDescent="0.25">
      <c r="A12" s="2">
        <v>10</v>
      </c>
      <c r="B12" s="81" t="s">
        <v>87</v>
      </c>
      <c r="C12" s="212" t="s">
        <v>437</v>
      </c>
      <c r="D12" s="2" t="s">
        <v>764</v>
      </c>
      <c r="E12" s="2" t="s">
        <v>783</v>
      </c>
      <c r="F12" s="2" t="s">
        <v>653</v>
      </c>
      <c r="G12" s="2"/>
    </row>
    <row r="13" spans="1:7" x14ac:dyDescent="0.25">
      <c r="A13" s="2">
        <v>11</v>
      </c>
      <c r="B13" s="83" t="s">
        <v>100</v>
      </c>
      <c r="C13" s="212" t="s">
        <v>437</v>
      </c>
      <c r="D13" s="2" t="s">
        <v>765</v>
      </c>
      <c r="E13" s="82" t="s">
        <v>776</v>
      </c>
      <c r="F13" s="2" t="s">
        <v>770</v>
      </c>
      <c r="G13" s="2"/>
    </row>
    <row r="14" spans="1:7" x14ac:dyDescent="0.25">
      <c r="A14" s="2">
        <v>12</v>
      </c>
      <c r="B14" s="81" t="s">
        <v>113</v>
      </c>
      <c r="C14" s="212" t="s">
        <v>437</v>
      </c>
      <c r="D14" s="2" t="s">
        <v>764</v>
      </c>
      <c r="E14" s="82" t="s">
        <v>776</v>
      </c>
      <c r="F14" s="2" t="s">
        <v>658</v>
      </c>
      <c r="G14" s="2"/>
    </row>
    <row r="15" spans="1:7" x14ac:dyDescent="0.25">
      <c r="A15" s="2">
        <v>13</v>
      </c>
      <c r="B15" s="83" t="s">
        <v>61</v>
      </c>
      <c r="C15" s="212" t="s">
        <v>437</v>
      </c>
      <c r="D15" s="82" t="s">
        <v>697</v>
      </c>
      <c r="E15" s="2" t="s">
        <v>777</v>
      </c>
      <c r="F15" s="2" t="s">
        <v>654</v>
      </c>
      <c r="G15" s="2"/>
    </row>
    <row r="16" spans="1:7" x14ac:dyDescent="0.25">
      <c r="A16" s="2">
        <v>14</v>
      </c>
      <c r="B16" s="83" t="s">
        <v>134</v>
      </c>
      <c r="C16" s="212" t="s">
        <v>437</v>
      </c>
      <c r="D16" s="82" t="s">
        <v>767</v>
      </c>
      <c r="E16" s="2" t="s">
        <v>779</v>
      </c>
      <c r="F16" s="2" t="s">
        <v>659</v>
      </c>
      <c r="G16" s="2"/>
    </row>
    <row r="17" spans="1:7" x14ac:dyDescent="0.25">
      <c r="A17" s="2">
        <v>15</v>
      </c>
      <c r="B17" s="83" t="s">
        <v>77</v>
      </c>
      <c r="C17" s="212" t="s">
        <v>437</v>
      </c>
      <c r="D17" s="82" t="s">
        <v>781</v>
      </c>
      <c r="E17" s="2" t="s">
        <v>791</v>
      </c>
      <c r="F17" s="2" t="s">
        <v>698</v>
      </c>
      <c r="G17" s="2"/>
    </row>
    <row r="18" spans="1:7" x14ac:dyDescent="0.25">
      <c r="A18" s="2">
        <v>16</v>
      </c>
      <c r="B18" s="83" t="s">
        <v>90</v>
      </c>
      <c r="C18" s="212" t="s">
        <v>437</v>
      </c>
      <c r="D18" s="82" t="s">
        <v>768</v>
      </c>
      <c r="E18" s="2" t="s">
        <v>780</v>
      </c>
      <c r="F18" s="2" t="s">
        <v>771</v>
      </c>
      <c r="G18" s="2"/>
    </row>
    <row r="19" spans="1:7" x14ac:dyDescent="0.25">
      <c r="A19" s="2">
        <v>17</v>
      </c>
      <c r="B19" s="83" t="s">
        <v>114</v>
      </c>
      <c r="C19" s="212" t="s">
        <v>437</v>
      </c>
      <c r="D19" s="2" t="s">
        <v>776</v>
      </c>
      <c r="E19" s="2" t="s">
        <v>781</v>
      </c>
      <c r="F19" s="2" t="s">
        <v>658</v>
      </c>
      <c r="G19" s="2"/>
    </row>
    <row r="20" spans="1:7" x14ac:dyDescent="0.25">
      <c r="A20" s="2">
        <v>18</v>
      </c>
      <c r="B20" s="81" t="s">
        <v>67</v>
      </c>
      <c r="C20" s="212" t="s">
        <v>437</v>
      </c>
      <c r="D20" s="2" t="s">
        <v>777</v>
      </c>
      <c r="E20" s="2" t="s">
        <v>782</v>
      </c>
      <c r="F20" s="2" t="s">
        <v>654</v>
      </c>
      <c r="G20" s="2"/>
    </row>
    <row r="21" spans="1:7" x14ac:dyDescent="0.25">
      <c r="A21" s="2">
        <v>19</v>
      </c>
      <c r="B21" s="81" t="s">
        <v>127</v>
      </c>
      <c r="C21" s="212" t="s">
        <v>437</v>
      </c>
      <c r="D21" s="2" t="s">
        <v>779</v>
      </c>
      <c r="E21" s="2" t="s">
        <v>784</v>
      </c>
      <c r="F21" s="2" t="s">
        <v>659</v>
      </c>
      <c r="G21" s="2"/>
    </row>
    <row r="22" spans="1:7" x14ac:dyDescent="0.25">
      <c r="A22" s="2">
        <v>20</v>
      </c>
      <c r="B22" s="81" t="s">
        <v>91</v>
      </c>
      <c r="C22" s="212" t="s">
        <v>437</v>
      </c>
      <c r="D22" s="2" t="s">
        <v>780</v>
      </c>
      <c r="E22" s="2" t="s">
        <v>785</v>
      </c>
      <c r="F22" s="2" t="s">
        <v>770</v>
      </c>
      <c r="G22" s="2"/>
    </row>
    <row r="23" spans="1:7" x14ac:dyDescent="0.25">
      <c r="A23" s="2">
        <v>21</v>
      </c>
      <c r="B23" s="83" t="s">
        <v>112</v>
      </c>
      <c r="C23" s="212" t="s">
        <v>437</v>
      </c>
      <c r="D23" s="2" t="s">
        <v>786</v>
      </c>
      <c r="E23" s="2" t="s">
        <v>788</v>
      </c>
      <c r="F23" s="2" t="s">
        <v>658</v>
      </c>
      <c r="G23" s="2"/>
    </row>
    <row r="24" spans="1:7" x14ac:dyDescent="0.25">
      <c r="A24" s="2">
        <v>22</v>
      </c>
      <c r="B24" s="81" t="s">
        <v>71</v>
      </c>
      <c r="C24" s="212" t="s">
        <v>437</v>
      </c>
      <c r="D24" s="2" t="s">
        <v>783</v>
      </c>
      <c r="E24" s="2" t="s">
        <v>787</v>
      </c>
      <c r="F24" s="2" t="s">
        <v>654</v>
      </c>
      <c r="G24" s="2"/>
    </row>
    <row r="25" spans="1:7" x14ac:dyDescent="0.25">
      <c r="A25" s="2">
        <v>23</v>
      </c>
      <c r="B25" s="81" t="s">
        <v>84</v>
      </c>
      <c r="C25" s="212" t="s">
        <v>437</v>
      </c>
      <c r="D25" s="2" t="s">
        <v>786</v>
      </c>
      <c r="E25" s="2" t="s">
        <v>795</v>
      </c>
      <c r="F25" s="2" t="s">
        <v>653</v>
      </c>
      <c r="G25" s="2"/>
    </row>
    <row r="26" spans="1:7" x14ac:dyDescent="0.25">
      <c r="A26" s="2">
        <v>24</v>
      </c>
      <c r="B26" s="81" t="s">
        <v>116</v>
      </c>
      <c r="C26" s="212" t="s">
        <v>437</v>
      </c>
      <c r="D26" s="2" t="s">
        <v>781</v>
      </c>
      <c r="E26" s="2" t="s">
        <v>786</v>
      </c>
      <c r="F26" s="2" t="s">
        <v>658</v>
      </c>
      <c r="G26" s="2"/>
    </row>
    <row r="27" spans="1:7" x14ac:dyDescent="0.25">
      <c r="A27" s="2">
        <v>25</v>
      </c>
      <c r="B27" s="83" t="s">
        <v>144</v>
      </c>
      <c r="C27" s="212" t="s">
        <v>437</v>
      </c>
      <c r="D27" s="2" t="s">
        <v>786</v>
      </c>
      <c r="E27" s="2" t="s">
        <v>788</v>
      </c>
      <c r="F27" s="2" t="s">
        <v>659</v>
      </c>
      <c r="G27" s="2"/>
    </row>
    <row r="28" spans="1:7" x14ac:dyDescent="0.25">
      <c r="A28" s="2">
        <v>26</v>
      </c>
      <c r="B28" s="83" t="s">
        <v>92</v>
      </c>
      <c r="C28" s="212" t="s">
        <v>437</v>
      </c>
      <c r="D28" s="2" t="s">
        <v>792</v>
      </c>
      <c r="E28" s="2" t="s">
        <v>802</v>
      </c>
      <c r="F28" s="2" t="s">
        <v>698</v>
      </c>
      <c r="G28" s="2"/>
    </row>
    <row r="29" spans="1:7" x14ac:dyDescent="0.25">
      <c r="A29" s="2">
        <v>27</v>
      </c>
      <c r="B29" s="83" t="s">
        <v>145</v>
      </c>
      <c r="C29" s="212" t="s">
        <v>437</v>
      </c>
      <c r="D29" s="2" t="s">
        <v>789</v>
      </c>
      <c r="E29" s="2" t="s">
        <v>794</v>
      </c>
      <c r="F29" s="2" t="s">
        <v>790</v>
      </c>
      <c r="G29" s="2"/>
    </row>
    <row r="30" spans="1:7" x14ac:dyDescent="0.25">
      <c r="A30" s="2">
        <v>28</v>
      </c>
      <c r="B30" s="81" t="s">
        <v>64</v>
      </c>
      <c r="C30" s="212" t="s">
        <v>437</v>
      </c>
      <c r="D30" s="2" t="s">
        <v>799</v>
      </c>
      <c r="E30" s="2" t="s">
        <v>802</v>
      </c>
      <c r="F30" s="2" t="s">
        <v>790</v>
      </c>
      <c r="G30" s="2"/>
    </row>
    <row r="31" spans="1:7" x14ac:dyDescent="0.25">
      <c r="A31" s="2">
        <v>29</v>
      </c>
      <c r="B31" s="81" t="s">
        <v>93</v>
      </c>
      <c r="C31" s="266" t="s">
        <v>813</v>
      </c>
      <c r="D31" s="2" t="s">
        <v>798</v>
      </c>
      <c r="E31" s="2"/>
      <c r="F31" s="2" t="s">
        <v>653</v>
      </c>
      <c r="G31" s="2"/>
    </row>
    <row r="32" spans="1:7" x14ac:dyDescent="0.25">
      <c r="A32" s="2">
        <v>30</v>
      </c>
      <c r="B32" s="81" t="s">
        <v>63</v>
      </c>
      <c r="C32" s="212" t="s">
        <v>437</v>
      </c>
      <c r="D32" s="2" t="s">
        <v>803</v>
      </c>
      <c r="E32" s="268" t="s">
        <v>817</v>
      </c>
      <c r="F32" s="268" t="s">
        <v>790</v>
      </c>
      <c r="G32" s="268"/>
    </row>
    <row r="33" spans="1:8" x14ac:dyDescent="0.2">
      <c r="A33" s="2">
        <v>31</v>
      </c>
      <c r="B33" s="265" t="s">
        <v>62</v>
      </c>
      <c r="C33" s="212" t="s">
        <v>437</v>
      </c>
      <c r="D33" s="267" t="s">
        <v>816</v>
      </c>
      <c r="E33" s="482">
        <v>45955</v>
      </c>
      <c r="F33" s="2" t="s">
        <v>790</v>
      </c>
      <c r="G33" s="2"/>
    </row>
    <row r="34" spans="1:8" x14ac:dyDescent="0.2">
      <c r="A34" s="2">
        <v>32</v>
      </c>
      <c r="B34" s="265" t="s">
        <v>68</v>
      </c>
      <c r="C34" s="212" t="s">
        <v>437</v>
      </c>
      <c r="D34" s="267" t="s">
        <v>815</v>
      </c>
      <c r="E34" s="2" t="s">
        <v>814</v>
      </c>
      <c r="F34" s="2" t="s">
        <v>790</v>
      </c>
      <c r="G34" s="2"/>
    </row>
    <row r="35" spans="1:8" x14ac:dyDescent="0.25">
      <c r="A35" s="2">
        <v>33</v>
      </c>
      <c r="B35" s="83" t="s">
        <v>58</v>
      </c>
      <c r="C35" s="212" t="s">
        <v>437</v>
      </c>
      <c r="D35" s="2" t="s">
        <v>1924</v>
      </c>
      <c r="E35" s="2" t="s">
        <v>1934</v>
      </c>
      <c r="F35" s="2" t="s">
        <v>790</v>
      </c>
      <c r="G35" s="2"/>
    </row>
    <row r="36" spans="1:8" x14ac:dyDescent="0.25">
      <c r="A36" s="2">
        <v>34</v>
      </c>
      <c r="B36" s="81" t="s">
        <v>72</v>
      </c>
      <c r="C36" s="212" t="s">
        <v>437</v>
      </c>
      <c r="D36" s="2" t="s">
        <v>1935</v>
      </c>
      <c r="E36" s="2" t="s">
        <v>1936</v>
      </c>
      <c r="F36" s="2" t="s">
        <v>790</v>
      </c>
      <c r="G36" s="2"/>
    </row>
    <row r="37" spans="1:8" x14ac:dyDescent="0.25">
      <c r="A37" s="2">
        <v>35</v>
      </c>
      <c r="B37" s="83" t="s">
        <v>99</v>
      </c>
      <c r="C37" s="212" t="s">
        <v>437</v>
      </c>
      <c r="D37" s="2" t="s">
        <v>1939</v>
      </c>
      <c r="E37" s="2" t="s">
        <v>2004</v>
      </c>
      <c r="F37" s="2" t="s">
        <v>1937</v>
      </c>
      <c r="G37" s="2"/>
    </row>
    <row r="38" spans="1:8" x14ac:dyDescent="0.25">
      <c r="A38" s="2">
        <v>36</v>
      </c>
      <c r="B38" s="81" t="s">
        <v>107</v>
      </c>
      <c r="C38" s="212" t="s">
        <v>437</v>
      </c>
      <c r="D38" s="2" t="s">
        <v>1939</v>
      </c>
      <c r="E38" s="2" t="s">
        <v>1926</v>
      </c>
      <c r="F38" s="2" t="s">
        <v>1938</v>
      </c>
      <c r="G38" s="2"/>
    </row>
    <row r="39" spans="1:8" x14ac:dyDescent="0.25">
      <c r="A39" s="2">
        <v>37</v>
      </c>
      <c r="B39" s="83" t="s">
        <v>132</v>
      </c>
      <c r="C39" s="212" t="s">
        <v>437</v>
      </c>
      <c r="D39" s="82" t="s">
        <v>2008</v>
      </c>
      <c r="E39" s="84" t="s">
        <v>2023</v>
      </c>
      <c r="F39" s="2" t="s">
        <v>2005</v>
      </c>
      <c r="G39" s="2">
        <v>44</v>
      </c>
      <c r="H39" s="6">
        <v>5</v>
      </c>
    </row>
    <row r="40" spans="1:8" x14ac:dyDescent="0.25">
      <c r="A40" s="2">
        <v>38</v>
      </c>
      <c r="B40" s="81" t="s">
        <v>78</v>
      </c>
      <c r="C40" s="212" t="s">
        <v>437</v>
      </c>
      <c r="D40" s="2" t="s">
        <v>1936</v>
      </c>
      <c r="E40" s="2" t="s">
        <v>1946</v>
      </c>
      <c r="F40" s="2" t="s">
        <v>790</v>
      </c>
      <c r="G40" s="2"/>
    </row>
    <row r="41" spans="1:8" x14ac:dyDescent="0.25">
      <c r="A41" s="2">
        <v>39</v>
      </c>
      <c r="B41" s="81" t="s">
        <v>83</v>
      </c>
      <c r="C41" s="212" t="s">
        <v>437</v>
      </c>
      <c r="D41" s="2" t="s">
        <v>1946</v>
      </c>
      <c r="E41" s="2" t="s">
        <v>2008</v>
      </c>
      <c r="F41" s="2" t="s">
        <v>790</v>
      </c>
      <c r="G41" s="2"/>
    </row>
    <row r="42" spans="1:8" x14ac:dyDescent="0.25">
      <c r="A42" s="2">
        <v>40</v>
      </c>
      <c r="B42" s="81" t="s">
        <v>34</v>
      </c>
      <c r="C42" s="212" t="s">
        <v>437</v>
      </c>
      <c r="D42" s="2" t="s">
        <v>2001</v>
      </c>
      <c r="E42" s="2" t="s">
        <v>2004</v>
      </c>
      <c r="F42" s="2" t="s">
        <v>654</v>
      </c>
      <c r="G42" s="2"/>
    </row>
    <row r="43" spans="1:8" x14ac:dyDescent="0.25">
      <c r="A43" s="2">
        <v>41</v>
      </c>
      <c r="B43" s="81" t="s">
        <v>37</v>
      </c>
      <c r="C43" s="212" t="s">
        <v>437</v>
      </c>
      <c r="D43" s="2" t="s">
        <v>2006</v>
      </c>
      <c r="E43" s="2" t="s">
        <v>2013</v>
      </c>
      <c r="F43" s="2" t="s">
        <v>654</v>
      </c>
      <c r="G43" s="2"/>
    </row>
    <row r="44" spans="1:8" x14ac:dyDescent="0.25">
      <c r="A44" s="2">
        <v>42</v>
      </c>
      <c r="B44" s="81" t="s">
        <v>104</v>
      </c>
      <c r="C44" s="212" t="s">
        <v>437</v>
      </c>
      <c r="D44" s="2" t="s">
        <v>2006</v>
      </c>
      <c r="E44" s="84" t="s">
        <v>2016</v>
      </c>
      <c r="F44" s="2" t="s">
        <v>1938</v>
      </c>
      <c r="G44" s="2">
        <v>41</v>
      </c>
      <c r="H44" s="6">
        <v>2</v>
      </c>
    </row>
    <row r="45" spans="1:8" x14ac:dyDescent="0.25">
      <c r="A45" s="2">
        <v>43</v>
      </c>
      <c r="B45" s="81" t="s">
        <v>98</v>
      </c>
      <c r="C45" s="212" t="s">
        <v>437</v>
      </c>
      <c r="D45" s="2" t="s">
        <v>2008</v>
      </c>
      <c r="E45" s="84" t="s">
        <v>2019</v>
      </c>
      <c r="F45" s="2" t="s">
        <v>1937</v>
      </c>
      <c r="G45" s="2">
        <v>42</v>
      </c>
      <c r="H45" s="6">
        <v>3</v>
      </c>
    </row>
    <row r="46" spans="1:8" x14ac:dyDescent="0.25">
      <c r="A46" s="2">
        <v>44</v>
      </c>
      <c r="B46" s="81" t="s">
        <v>55</v>
      </c>
      <c r="C46" s="212" t="s">
        <v>437</v>
      </c>
      <c r="D46" s="2" t="s">
        <v>2009</v>
      </c>
      <c r="E46" s="84" t="s">
        <v>2015</v>
      </c>
      <c r="F46" s="2" t="s">
        <v>790</v>
      </c>
      <c r="G46" s="2">
        <v>40</v>
      </c>
      <c r="H46" s="6">
        <v>1</v>
      </c>
    </row>
    <row r="47" spans="1:8" x14ac:dyDescent="0.25">
      <c r="A47" s="2">
        <v>45</v>
      </c>
      <c r="B47" s="81" t="s">
        <v>41</v>
      </c>
      <c r="C47" s="212" t="s">
        <v>437</v>
      </c>
      <c r="D47" s="2" t="s">
        <v>2012</v>
      </c>
      <c r="E47" s="84" t="s">
        <v>2019</v>
      </c>
      <c r="F47" s="2" t="s">
        <v>654</v>
      </c>
      <c r="G47" s="2">
        <v>43</v>
      </c>
      <c r="H47" s="6">
        <v>4</v>
      </c>
    </row>
    <row r="48" spans="1:8" x14ac:dyDescent="0.25">
      <c r="A48" s="2">
        <v>46</v>
      </c>
      <c r="B48" s="83" t="s">
        <v>96</v>
      </c>
      <c r="C48" s="212" t="s">
        <v>437</v>
      </c>
      <c r="D48" s="2" t="s">
        <v>2024</v>
      </c>
      <c r="E48" s="84" t="s">
        <v>2032</v>
      </c>
      <c r="F48" s="2" t="s">
        <v>1937</v>
      </c>
      <c r="G48" s="2">
        <v>47</v>
      </c>
      <c r="H48" s="6">
        <v>8</v>
      </c>
    </row>
    <row r="49" spans="1:8" x14ac:dyDescent="0.25">
      <c r="A49" s="2">
        <v>47</v>
      </c>
      <c r="B49" s="81" t="s">
        <v>103</v>
      </c>
      <c r="C49" s="212" t="s">
        <v>437</v>
      </c>
      <c r="D49" s="2" t="s">
        <v>2016</v>
      </c>
      <c r="E49" s="84" t="s">
        <v>2030</v>
      </c>
      <c r="F49" s="2" t="s">
        <v>1938</v>
      </c>
      <c r="G49" s="2">
        <v>46</v>
      </c>
      <c r="H49" s="6">
        <v>7</v>
      </c>
    </row>
    <row r="50" spans="1:8" x14ac:dyDescent="0.25">
      <c r="A50" s="2">
        <v>48</v>
      </c>
      <c r="B50" s="81" t="s">
        <v>43</v>
      </c>
      <c r="C50" s="212" t="s">
        <v>437</v>
      </c>
      <c r="D50" s="2" t="s">
        <v>2021</v>
      </c>
      <c r="E50" s="84" t="s">
        <v>2029</v>
      </c>
      <c r="F50" s="2" t="s">
        <v>654</v>
      </c>
      <c r="G50" s="2">
        <v>45</v>
      </c>
      <c r="H50" s="6">
        <v>6</v>
      </c>
    </row>
    <row r="51" spans="1:8" x14ac:dyDescent="0.25">
      <c r="A51" s="2">
        <v>49</v>
      </c>
      <c r="B51" s="81" t="s">
        <v>54</v>
      </c>
      <c r="C51" s="212" t="s">
        <v>437</v>
      </c>
      <c r="D51" s="2" t="s">
        <v>2019</v>
      </c>
      <c r="E51" s="84" t="s">
        <v>2034</v>
      </c>
      <c r="F51" s="2" t="s">
        <v>790</v>
      </c>
      <c r="G51" s="2">
        <v>48</v>
      </c>
      <c r="H51" s="6">
        <v>9</v>
      </c>
    </row>
    <row r="52" spans="1:8" x14ac:dyDescent="0.25">
      <c r="A52" s="2">
        <v>50</v>
      </c>
      <c r="B52" s="83" t="s">
        <v>102</v>
      </c>
      <c r="C52" s="212" t="s">
        <v>437</v>
      </c>
      <c r="D52" s="2" t="s">
        <v>2029</v>
      </c>
      <c r="E52" s="84" t="s">
        <v>2037</v>
      </c>
      <c r="F52" s="2" t="s">
        <v>1938</v>
      </c>
      <c r="G52" s="2">
        <v>51</v>
      </c>
      <c r="H52" s="6">
        <v>12</v>
      </c>
    </row>
    <row r="53" spans="1:8" x14ac:dyDescent="0.25">
      <c r="A53" s="2">
        <v>51</v>
      </c>
      <c r="B53" s="2" t="s">
        <v>333</v>
      </c>
      <c r="C53" s="212" t="s">
        <v>437</v>
      </c>
      <c r="D53" s="2" t="s">
        <v>2029</v>
      </c>
      <c r="E53" s="84" t="s">
        <v>2036</v>
      </c>
      <c r="F53" s="2" t="s">
        <v>2026</v>
      </c>
      <c r="G53" s="2">
        <v>50</v>
      </c>
      <c r="H53" s="6">
        <v>11</v>
      </c>
    </row>
    <row r="54" spans="1:8" x14ac:dyDescent="0.25">
      <c r="A54" s="2">
        <v>52</v>
      </c>
      <c r="B54" s="81" t="s">
        <v>52</v>
      </c>
      <c r="C54" s="212" t="s">
        <v>437</v>
      </c>
      <c r="D54" s="2" t="s">
        <v>2030</v>
      </c>
      <c r="E54" s="84" t="s">
        <v>2034</v>
      </c>
      <c r="F54" s="2" t="s">
        <v>654</v>
      </c>
      <c r="G54" s="2">
        <v>49</v>
      </c>
      <c r="H54" s="6">
        <v>10</v>
      </c>
    </row>
    <row r="55" spans="1:8" x14ac:dyDescent="0.25">
      <c r="A55" s="2">
        <v>53</v>
      </c>
      <c r="B55" s="81" t="s">
        <v>121</v>
      </c>
      <c r="C55" s="212" t="s">
        <v>437</v>
      </c>
      <c r="D55" s="2" t="s">
        <v>2033</v>
      </c>
      <c r="E55" s="2" t="s">
        <v>2060</v>
      </c>
      <c r="F55" s="2" t="s">
        <v>2005</v>
      </c>
      <c r="G55" s="2"/>
    </row>
    <row r="56" spans="1:8" x14ac:dyDescent="0.25">
      <c r="A56" s="2">
        <v>54</v>
      </c>
      <c r="B56" s="81" t="s">
        <v>180</v>
      </c>
      <c r="C56" s="212" t="s">
        <v>437</v>
      </c>
      <c r="D56" s="2" t="s">
        <v>2034</v>
      </c>
      <c r="E56" s="84" t="s">
        <v>2042</v>
      </c>
      <c r="F56" s="2" t="s">
        <v>1937</v>
      </c>
      <c r="G56" s="2">
        <v>54</v>
      </c>
      <c r="H56" s="6">
        <v>15</v>
      </c>
    </row>
    <row r="57" spans="1:8" x14ac:dyDescent="0.25">
      <c r="A57" s="2">
        <v>55</v>
      </c>
      <c r="B57" s="81" t="s">
        <v>51</v>
      </c>
      <c r="C57" s="212" t="s">
        <v>437</v>
      </c>
      <c r="D57" s="2" t="s">
        <v>2036</v>
      </c>
      <c r="E57" s="84" t="s">
        <v>2040</v>
      </c>
      <c r="F57" s="2" t="s">
        <v>654</v>
      </c>
      <c r="G57" s="2">
        <v>52</v>
      </c>
      <c r="H57" s="6">
        <v>13</v>
      </c>
    </row>
    <row r="58" spans="1:8" x14ac:dyDescent="0.25">
      <c r="A58" s="2">
        <v>55</v>
      </c>
      <c r="B58" s="81" t="s">
        <v>56</v>
      </c>
      <c r="C58" s="212" t="s">
        <v>437</v>
      </c>
      <c r="D58" s="2" t="s">
        <v>2038</v>
      </c>
      <c r="E58" s="84" t="s">
        <v>2041</v>
      </c>
      <c r="F58" s="2" t="s">
        <v>790</v>
      </c>
      <c r="G58" s="2">
        <v>53</v>
      </c>
      <c r="H58" s="6">
        <v>14</v>
      </c>
    </row>
    <row r="59" spans="1:8" x14ac:dyDescent="0.25">
      <c r="A59" s="2">
        <v>56</v>
      </c>
      <c r="B59" s="81" t="s">
        <v>338</v>
      </c>
      <c r="C59" s="212" t="s">
        <v>437</v>
      </c>
      <c r="D59" s="2" t="s">
        <v>2037</v>
      </c>
      <c r="E59" s="84" t="s">
        <v>2047</v>
      </c>
      <c r="F59" s="2" t="s">
        <v>2026</v>
      </c>
      <c r="G59" s="2">
        <v>55</v>
      </c>
      <c r="H59" s="6">
        <v>16</v>
      </c>
    </row>
    <row r="60" spans="1:8" x14ac:dyDescent="0.25">
      <c r="A60" s="2">
        <v>57</v>
      </c>
      <c r="B60" s="81" t="s">
        <v>105</v>
      </c>
      <c r="C60" s="212" t="s">
        <v>437</v>
      </c>
      <c r="D60" s="2" t="s">
        <v>2040</v>
      </c>
      <c r="E60" s="84" t="s">
        <v>2048</v>
      </c>
      <c r="F60" s="2" t="s">
        <v>1938</v>
      </c>
      <c r="G60" s="2">
        <v>59</v>
      </c>
      <c r="H60" s="6">
        <v>20</v>
      </c>
    </row>
    <row r="61" spans="1:8" x14ac:dyDescent="0.25">
      <c r="A61" s="2">
        <v>58</v>
      </c>
      <c r="B61" s="81" t="s">
        <v>65</v>
      </c>
      <c r="C61" s="212" t="s">
        <v>437</v>
      </c>
      <c r="D61" s="2" t="s">
        <v>2041</v>
      </c>
      <c r="E61" s="84" t="s">
        <v>2046</v>
      </c>
      <c r="F61" s="2" t="s">
        <v>654</v>
      </c>
      <c r="G61" s="2">
        <v>57</v>
      </c>
      <c r="H61" s="6">
        <v>18</v>
      </c>
    </row>
    <row r="62" spans="1:8" x14ac:dyDescent="0.25">
      <c r="A62" s="2">
        <v>59</v>
      </c>
      <c r="B62" s="81" t="s">
        <v>57</v>
      </c>
      <c r="C62" s="212" t="s">
        <v>437</v>
      </c>
      <c r="D62" s="2" t="s">
        <v>2042</v>
      </c>
      <c r="E62" s="84" t="s">
        <v>2047</v>
      </c>
      <c r="F62" s="2" t="s">
        <v>790</v>
      </c>
      <c r="G62" s="2">
        <v>56</v>
      </c>
      <c r="H62" s="6">
        <v>17</v>
      </c>
    </row>
    <row r="63" spans="1:8" x14ac:dyDescent="0.25">
      <c r="A63" s="2">
        <v>60</v>
      </c>
      <c r="B63" s="81" t="s">
        <v>181</v>
      </c>
      <c r="C63" s="212" t="s">
        <v>437</v>
      </c>
      <c r="D63" s="2" t="s">
        <v>2043</v>
      </c>
      <c r="E63" s="84" t="s">
        <v>2045</v>
      </c>
      <c r="F63" s="2" t="s">
        <v>1937</v>
      </c>
      <c r="G63" s="2">
        <v>58</v>
      </c>
      <c r="H63" s="6">
        <v>19</v>
      </c>
    </row>
    <row r="64" spans="1:8" x14ac:dyDescent="0.25">
      <c r="A64" s="2">
        <v>61</v>
      </c>
      <c r="B64" s="83" t="s">
        <v>69</v>
      </c>
      <c r="C64" s="212" t="s">
        <v>437</v>
      </c>
      <c r="D64" s="2" t="s">
        <v>2045</v>
      </c>
      <c r="E64" s="2" t="s">
        <v>2056</v>
      </c>
      <c r="F64" s="2" t="s">
        <v>654</v>
      </c>
      <c r="G64" s="2"/>
    </row>
    <row r="65" spans="1:7" x14ac:dyDescent="0.25">
      <c r="A65" s="2">
        <v>62</v>
      </c>
      <c r="B65" s="81" t="s">
        <v>48</v>
      </c>
      <c r="C65" s="212" t="s">
        <v>437</v>
      </c>
      <c r="D65" s="2" t="s">
        <v>2045</v>
      </c>
      <c r="E65" s="2" t="s">
        <v>2054</v>
      </c>
      <c r="F65" s="2" t="s">
        <v>790</v>
      </c>
      <c r="G65" s="2"/>
    </row>
    <row r="66" spans="1:7" x14ac:dyDescent="0.25">
      <c r="A66" s="2">
        <v>63</v>
      </c>
      <c r="B66" s="83" t="s">
        <v>115</v>
      </c>
      <c r="C66" s="84" t="s">
        <v>2061</v>
      </c>
      <c r="D66" s="2" t="s">
        <v>2050</v>
      </c>
      <c r="E66" s="2"/>
      <c r="F66" s="2" t="s">
        <v>1938</v>
      </c>
      <c r="G66" s="2"/>
    </row>
    <row r="67" spans="1:7" x14ac:dyDescent="0.25">
      <c r="A67" s="2">
        <v>64</v>
      </c>
      <c r="B67" s="81" t="s">
        <v>328</v>
      </c>
      <c r="C67" s="84" t="s">
        <v>2064</v>
      </c>
      <c r="D67" s="2" t="s">
        <v>2048</v>
      </c>
      <c r="E67" s="2"/>
      <c r="F67" s="2" t="s">
        <v>2026</v>
      </c>
      <c r="G67" s="2"/>
    </row>
    <row r="68" spans="1:7" x14ac:dyDescent="0.25">
      <c r="A68" s="2">
        <v>65</v>
      </c>
      <c r="B68" s="81" t="s">
        <v>183</v>
      </c>
      <c r="C68" s="212" t="s">
        <v>437</v>
      </c>
      <c r="D68" s="2" t="s">
        <v>2048</v>
      </c>
      <c r="E68" s="2" t="s">
        <v>2060</v>
      </c>
      <c r="F68" s="2" t="s">
        <v>1937</v>
      </c>
      <c r="G68" s="2"/>
    </row>
    <row r="69" spans="1:7" x14ac:dyDescent="0.25">
      <c r="A69" s="2">
        <v>66</v>
      </c>
      <c r="B69" s="81" t="s">
        <v>53</v>
      </c>
      <c r="C69" s="84" t="s">
        <v>2063</v>
      </c>
      <c r="D69" s="2" t="s">
        <v>2056</v>
      </c>
      <c r="E69" s="2"/>
      <c r="F69" s="2" t="s">
        <v>790</v>
      </c>
      <c r="G69" s="2"/>
    </row>
    <row r="70" spans="1:7" x14ac:dyDescent="0.25">
      <c r="A70" s="2">
        <v>67</v>
      </c>
      <c r="B70" s="81" t="s">
        <v>73</v>
      </c>
      <c r="C70" s="84" t="s">
        <v>2061</v>
      </c>
      <c r="D70" s="2" t="s">
        <v>2062</v>
      </c>
      <c r="E70" s="2"/>
      <c r="F70" s="2"/>
      <c r="G70" s="2"/>
    </row>
    <row r="71" spans="1:7" x14ac:dyDescent="0.25">
      <c r="A71" s="2">
        <v>68</v>
      </c>
      <c r="B71" s="81" t="s">
        <v>182</v>
      </c>
      <c r="C71" s="84" t="s">
        <v>2055</v>
      </c>
      <c r="D71" s="2"/>
      <c r="E71" s="2"/>
      <c r="F71" s="2"/>
      <c r="G71" s="2"/>
    </row>
  </sheetData>
  <autoFilter ref="A2:G68" xr:uid="{00000000-0009-0000-0000-000004000000}"/>
  <mergeCells count="1">
    <mergeCell ref="A1:G1"/>
  </mergeCells>
  <phoneticPr fontId="3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2"/>
  <sheetViews>
    <sheetView topLeftCell="A176" zoomScale="85" workbookViewId="0">
      <selection activeCell="D191" sqref="D191:F192"/>
    </sheetView>
  </sheetViews>
  <sheetFormatPr defaultColWidth="8.85546875" defaultRowHeight="15" x14ac:dyDescent="0.25"/>
  <cols>
    <col min="1" max="1" width="8.85546875" style="13"/>
    <col min="2" max="2" width="10.85546875" style="13" customWidth="1"/>
    <col min="3" max="3" width="18.28515625" style="13" customWidth="1"/>
    <col min="4" max="4" width="23.5703125" style="13" customWidth="1"/>
    <col min="5" max="5" width="22.85546875" style="13" customWidth="1"/>
    <col min="6" max="6" width="24.85546875" style="13" customWidth="1"/>
    <col min="7" max="7" width="19.28515625" style="13" hidden="1" customWidth="1"/>
    <col min="8" max="8" width="22.7109375" style="13" hidden="1" customWidth="1"/>
    <col min="9" max="9" width="22.85546875" style="13" hidden="1" customWidth="1"/>
    <col min="10" max="16384" width="8.85546875" style="13"/>
  </cols>
  <sheetData>
    <row r="1" spans="1:9" x14ac:dyDescent="0.25">
      <c r="A1" s="675" t="s">
        <v>432</v>
      </c>
      <c r="B1" s="675"/>
      <c r="C1" s="675"/>
      <c r="D1" s="675"/>
      <c r="E1" s="675"/>
      <c r="F1" s="675"/>
      <c r="G1" s="675"/>
      <c r="H1" s="675"/>
      <c r="I1" s="675"/>
    </row>
    <row r="2" spans="1:9" x14ac:dyDescent="0.25">
      <c r="A2" s="86" t="s">
        <v>423</v>
      </c>
      <c r="B2" s="86" t="s">
        <v>520</v>
      </c>
      <c r="C2" s="86" t="s">
        <v>521</v>
      </c>
      <c r="D2" s="86" t="s">
        <v>522</v>
      </c>
      <c r="E2" s="86" t="s">
        <v>523</v>
      </c>
      <c r="F2" s="86" t="s">
        <v>524</v>
      </c>
      <c r="G2" s="86" t="s">
        <v>525</v>
      </c>
      <c r="H2" s="86" t="s">
        <v>526</v>
      </c>
      <c r="I2" s="86" t="s">
        <v>527</v>
      </c>
    </row>
    <row r="3" spans="1:9" x14ac:dyDescent="0.25">
      <c r="A3" s="1">
        <v>1</v>
      </c>
      <c r="B3" s="87" t="s">
        <v>55</v>
      </c>
      <c r="C3" s="2" t="s">
        <v>36</v>
      </c>
      <c r="D3" s="672" t="s">
        <v>434</v>
      </c>
      <c r="E3" s="673"/>
      <c r="F3" s="674"/>
      <c r="G3" s="87" t="s">
        <v>528</v>
      </c>
      <c r="H3" s="87" t="s">
        <v>528</v>
      </c>
      <c r="I3" s="87" t="s">
        <v>529</v>
      </c>
    </row>
    <row r="4" spans="1:9" x14ac:dyDescent="0.25">
      <c r="A4" s="1">
        <v>2</v>
      </c>
      <c r="B4" s="87" t="s">
        <v>56</v>
      </c>
      <c r="C4" s="2" t="s">
        <v>38</v>
      </c>
      <c r="D4" s="672" t="s">
        <v>434</v>
      </c>
      <c r="E4" s="673"/>
      <c r="F4" s="674"/>
      <c r="G4" s="87" t="s">
        <v>528</v>
      </c>
      <c r="H4" s="87" t="s">
        <v>528</v>
      </c>
      <c r="I4" s="87" t="s">
        <v>529</v>
      </c>
    </row>
    <row r="5" spans="1:9" x14ac:dyDescent="0.25">
      <c r="A5" s="1">
        <v>3</v>
      </c>
      <c r="B5" s="87" t="s">
        <v>57</v>
      </c>
      <c r="C5" s="2" t="s">
        <v>38</v>
      </c>
      <c r="D5" s="672" t="s">
        <v>434</v>
      </c>
      <c r="E5" s="673"/>
      <c r="F5" s="674"/>
      <c r="G5" s="87" t="s">
        <v>528</v>
      </c>
      <c r="H5" s="87" t="s">
        <v>528</v>
      </c>
      <c r="I5" s="87" t="s">
        <v>529</v>
      </c>
    </row>
    <row r="6" spans="1:9" x14ac:dyDescent="0.25">
      <c r="A6" s="1">
        <v>4</v>
      </c>
      <c r="B6" s="88" t="s">
        <v>126</v>
      </c>
      <c r="C6" s="2" t="s">
        <v>28</v>
      </c>
      <c r="D6" s="672" t="s">
        <v>434</v>
      </c>
      <c r="E6" s="673"/>
      <c r="F6" s="674"/>
      <c r="G6" s="87" t="s">
        <v>528</v>
      </c>
      <c r="H6" s="87" t="s">
        <v>528</v>
      </c>
      <c r="I6" s="87" t="s">
        <v>530</v>
      </c>
    </row>
    <row r="7" spans="1:9" x14ac:dyDescent="0.25">
      <c r="A7" s="1">
        <v>5</v>
      </c>
      <c r="B7" s="87" t="s">
        <v>127</v>
      </c>
      <c r="C7" s="2" t="s">
        <v>28</v>
      </c>
      <c r="D7" s="672" t="s">
        <v>434</v>
      </c>
      <c r="E7" s="673"/>
      <c r="F7" s="674"/>
      <c r="G7" s="87" t="s">
        <v>528</v>
      </c>
      <c r="H7" s="87" t="s">
        <v>528</v>
      </c>
      <c r="I7" s="87" t="s">
        <v>530</v>
      </c>
    </row>
    <row r="8" spans="1:9" x14ac:dyDescent="0.25">
      <c r="A8" s="1">
        <v>6</v>
      </c>
      <c r="B8" s="87" t="s">
        <v>37</v>
      </c>
      <c r="C8" s="2" t="s">
        <v>38</v>
      </c>
      <c r="D8" s="672" t="s">
        <v>434</v>
      </c>
      <c r="E8" s="673"/>
      <c r="F8" s="674"/>
      <c r="G8" s="1" t="s">
        <v>459</v>
      </c>
      <c r="H8" s="1" t="s">
        <v>459</v>
      </c>
      <c r="I8" s="1" t="s">
        <v>531</v>
      </c>
    </row>
    <row r="9" spans="1:9" x14ac:dyDescent="0.25">
      <c r="A9" s="1">
        <v>7</v>
      </c>
      <c r="B9" s="87" t="s">
        <v>39</v>
      </c>
      <c r="C9" s="2" t="s">
        <v>473</v>
      </c>
      <c r="D9" s="672" t="s">
        <v>434</v>
      </c>
      <c r="E9" s="673"/>
      <c r="F9" s="674"/>
      <c r="G9" s="1" t="s">
        <v>459</v>
      </c>
      <c r="H9" s="1" t="s">
        <v>459</v>
      </c>
      <c r="I9" s="2" t="s">
        <v>531</v>
      </c>
    </row>
    <row r="10" spans="1:9" x14ac:dyDescent="0.25">
      <c r="A10" s="1">
        <v>8</v>
      </c>
      <c r="B10" s="87" t="s">
        <v>46</v>
      </c>
      <c r="C10" s="2" t="s">
        <v>462</v>
      </c>
      <c r="D10" s="672" t="s">
        <v>434</v>
      </c>
      <c r="E10" s="673"/>
      <c r="F10" s="674"/>
      <c r="G10" s="1" t="s">
        <v>532</v>
      </c>
      <c r="H10" s="1" t="s">
        <v>532</v>
      </c>
      <c r="I10" s="1"/>
    </row>
    <row r="11" spans="1:9" x14ac:dyDescent="0.25">
      <c r="A11" s="1">
        <v>9</v>
      </c>
      <c r="B11" s="1" t="s">
        <v>204</v>
      </c>
      <c r="C11" s="2" t="s">
        <v>28</v>
      </c>
      <c r="D11" s="672" t="s">
        <v>434</v>
      </c>
      <c r="E11" s="673"/>
      <c r="F11" s="674"/>
      <c r="G11" s="2" t="s">
        <v>471</v>
      </c>
      <c r="H11" s="2" t="s">
        <v>471</v>
      </c>
      <c r="I11" s="1"/>
    </row>
    <row r="12" spans="1:9" x14ac:dyDescent="0.25">
      <c r="A12" s="1">
        <v>10</v>
      </c>
      <c r="B12" s="1" t="s">
        <v>206</v>
      </c>
      <c r="C12" s="2" t="s">
        <v>28</v>
      </c>
      <c r="D12" s="672" t="s">
        <v>434</v>
      </c>
      <c r="E12" s="673"/>
      <c r="F12" s="674"/>
      <c r="G12" s="2" t="s">
        <v>471</v>
      </c>
      <c r="H12" s="2" t="s">
        <v>471</v>
      </c>
      <c r="I12" s="1"/>
    </row>
    <row r="13" spans="1:9" x14ac:dyDescent="0.25">
      <c r="A13" s="1">
        <v>11</v>
      </c>
      <c r="B13" s="87" t="s">
        <v>108</v>
      </c>
      <c r="C13" s="1" t="s">
        <v>25</v>
      </c>
      <c r="D13" s="672" t="s">
        <v>434</v>
      </c>
      <c r="E13" s="673"/>
      <c r="F13" s="674"/>
      <c r="G13" s="2" t="s">
        <v>533</v>
      </c>
      <c r="H13" s="2" t="s">
        <v>533</v>
      </c>
      <c r="I13" s="2"/>
    </row>
    <row r="14" spans="1:9" ht="15" customHeight="1" x14ac:dyDescent="0.25">
      <c r="A14" s="1">
        <v>12</v>
      </c>
      <c r="B14" s="88" t="s">
        <v>111</v>
      </c>
      <c r="C14" s="1" t="s">
        <v>28</v>
      </c>
      <c r="D14" s="671" t="s">
        <v>434</v>
      </c>
      <c r="E14" s="671"/>
      <c r="F14" s="671"/>
      <c r="G14" s="1" t="s">
        <v>533</v>
      </c>
      <c r="H14" s="1" t="s">
        <v>533</v>
      </c>
      <c r="I14" s="1"/>
    </row>
    <row r="15" spans="1:9" ht="15" customHeight="1" x14ac:dyDescent="0.25">
      <c r="A15" s="1">
        <v>13</v>
      </c>
      <c r="B15" s="88" t="s">
        <v>112</v>
      </c>
      <c r="C15" s="1" t="s">
        <v>36</v>
      </c>
      <c r="D15" s="671" t="s">
        <v>434</v>
      </c>
      <c r="E15" s="671"/>
      <c r="F15" s="671"/>
      <c r="G15" s="1" t="s">
        <v>533</v>
      </c>
      <c r="H15" s="1" t="s">
        <v>533</v>
      </c>
      <c r="I15" s="1"/>
    </row>
    <row r="16" spans="1:9" ht="15" customHeight="1" x14ac:dyDescent="0.25">
      <c r="A16" s="1">
        <v>14</v>
      </c>
      <c r="B16" s="88" t="s">
        <v>113</v>
      </c>
      <c r="C16" s="1" t="s">
        <v>28</v>
      </c>
      <c r="D16" s="671" t="s">
        <v>434</v>
      </c>
      <c r="E16" s="671"/>
      <c r="F16" s="671"/>
      <c r="G16" s="1" t="s">
        <v>533</v>
      </c>
      <c r="H16" s="1" t="s">
        <v>533</v>
      </c>
      <c r="I16" s="1"/>
    </row>
    <row r="17" spans="1:9" ht="15" customHeight="1" x14ac:dyDescent="0.25">
      <c r="A17" s="1">
        <v>15</v>
      </c>
      <c r="B17" s="88" t="s">
        <v>114</v>
      </c>
      <c r="C17" s="1" t="s">
        <v>36</v>
      </c>
      <c r="D17" s="671" t="s">
        <v>434</v>
      </c>
      <c r="E17" s="671"/>
      <c r="F17" s="671"/>
      <c r="G17" s="1" t="s">
        <v>533</v>
      </c>
      <c r="H17" s="1" t="s">
        <v>533</v>
      </c>
      <c r="I17" s="1"/>
    </row>
    <row r="18" spans="1:9" x14ac:dyDescent="0.25">
      <c r="A18" s="1">
        <v>16</v>
      </c>
      <c r="B18" s="89" t="s">
        <v>346</v>
      </c>
      <c r="C18" s="2" t="s">
        <v>28</v>
      </c>
      <c r="D18" s="671" t="s">
        <v>434</v>
      </c>
      <c r="E18" s="671"/>
      <c r="F18" s="671"/>
      <c r="G18" s="1" t="s">
        <v>534</v>
      </c>
      <c r="H18" s="1" t="s">
        <v>534</v>
      </c>
      <c r="I18" s="1"/>
    </row>
    <row r="19" spans="1:9" x14ac:dyDescent="0.25">
      <c r="A19" s="1">
        <v>17</v>
      </c>
      <c r="B19" s="89" t="s">
        <v>288</v>
      </c>
      <c r="C19" s="1" t="s">
        <v>21</v>
      </c>
      <c r="D19" s="671" t="s">
        <v>434</v>
      </c>
      <c r="E19" s="671"/>
      <c r="F19" s="671"/>
      <c r="G19" s="1" t="s">
        <v>535</v>
      </c>
      <c r="H19" s="1" t="s">
        <v>535</v>
      </c>
      <c r="I19" s="1" t="s">
        <v>530</v>
      </c>
    </row>
    <row r="20" spans="1:9" x14ac:dyDescent="0.25">
      <c r="A20" s="1">
        <v>18</v>
      </c>
      <c r="B20" s="89" t="s">
        <v>282</v>
      </c>
      <c r="C20" s="1" t="s">
        <v>33</v>
      </c>
      <c r="D20" s="671" t="s">
        <v>434</v>
      </c>
      <c r="E20" s="671"/>
      <c r="F20" s="671"/>
      <c r="G20" s="1" t="s">
        <v>535</v>
      </c>
      <c r="H20" s="1" t="s">
        <v>535</v>
      </c>
      <c r="I20" s="1" t="s">
        <v>531</v>
      </c>
    </row>
    <row r="21" spans="1:9" x14ac:dyDescent="0.25">
      <c r="A21" s="1">
        <v>19</v>
      </c>
      <c r="B21" s="89" t="s">
        <v>343</v>
      </c>
      <c r="C21" s="1" t="s">
        <v>38</v>
      </c>
      <c r="D21" s="671" t="s">
        <v>434</v>
      </c>
      <c r="E21" s="671"/>
      <c r="F21" s="671"/>
      <c r="G21" s="90">
        <v>45827</v>
      </c>
      <c r="H21" s="90">
        <v>45827</v>
      </c>
      <c r="I21" s="1" t="s">
        <v>536</v>
      </c>
    </row>
    <row r="22" spans="1:9" x14ac:dyDescent="0.25">
      <c r="A22" s="1">
        <v>20</v>
      </c>
      <c r="B22" s="89" t="s">
        <v>327</v>
      </c>
      <c r="C22" s="2" t="s">
        <v>462</v>
      </c>
      <c r="D22" s="671" t="s">
        <v>434</v>
      </c>
      <c r="E22" s="671"/>
      <c r="F22" s="671"/>
      <c r="G22" s="1" t="s">
        <v>537</v>
      </c>
      <c r="H22" s="1" t="s">
        <v>537</v>
      </c>
      <c r="I22" s="1"/>
    </row>
    <row r="23" spans="1:9" x14ac:dyDescent="0.25">
      <c r="A23" s="1">
        <v>21</v>
      </c>
      <c r="B23" s="89" t="s">
        <v>328</v>
      </c>
      <c r="C23" s="2" t="s">
        <v>36</v>
      </c>
      <c r="D23" s="671" t="s">
        <v>434</v>
      </c>
      <c r="E23" s="671"/>
      <c r="F23" s="671"/>
      <c r="G23" s="1" t="s">
        <v>506</v>
      </c>
      <c r="H23" s="1" t="s">
        <v>506</v>
      </c>
      <c r="I23" s="1"/>
    </row>
    <row r="24" spans="1:9" x14ac:dyDescent="0.25">
      <c r="A24" s="1">
        <v>22</v>
      </c>
      <c r="B24" s="89" t="s">
        <v>335</v>
      </c>
      <c r="C24" s="2" t="s">
        <v>28</v>
      </c>
      <c r="D24" s="671" t="s">
        <v>434</v>
      </c>
      <c r="E24" s="671"/>
      <c r="F24" s="671"/>
      <c r="G24" s="1" t="s">
        <v>538</v>
      </c>
      <c r="H24" s="1" t="s">
        <v>538</v>
      </c>
      <c r="I24" s="1"/>
    </row>
    <row r="25" spans="1:9" x14ac:dyDescent="0.25">
      <c r="A25" s="1">
        <v>23</v>
      </c>
      <c r="B25" s="89" t="s">
        <v>321</v>
      </c>
      <c r="C25" s="2" t="s">
        <v>28</v>
      </c>
      <c r="D25" s="671" t="s">
        <v>434</v>
      </c>
      <c r="E25" s="671"/>
      <c r="F25" s="671"/>
      <c r="G25" s="1" t="s">
        <v>539</v>
      </c>
      <c r="H25" s="1" t="s">
        <v>539</v>
      </c>
      <c r="I25" s="1"/>
    </row>
    <row r="26" spans="1:9" x14ac:dyDescent="0.25">
      <c r="A26" s="1">
        <v>24</v>
      </c>
      <c r="B26" s="89" t="s">
        <v>333</v>
      </c>
      <c r="C26" s="2" t="s">
        <v>28</v>
      </c>
      <c r="D26" s="671" t="s">
        <v>434</v>
      </c>
      <c r="E26" s="671"/>
      <c r="F26" s="671"/>
      <c r="G26" s="1" t="s">
        <v>540</v>
      </c>
      <c r="H26" s="1" t="s">
        <v>540</v>
      </c>
      <c r="I26" s="1"/>
    </row>
    <row r="27" spans="1:9" x14ac:dyDescent="0.25">
      <c r="A27" s="1">
        <v>25</v>
      </c>
      <c r="B27" s="1" t="s">
        <v>128</v>
      </c>
      <c r="C27" s="1" t="s">
        <v>45</v>
      </c>
      <c r="D27" s="671" t="s">
        <v>434</v>
      </c>
      <c r="E27" s="671"/>
      <c r="F27" s="671"/>
      <c r="G27" s="1" t="s">
        <v>541</v>
      </c>
      <c r="H27" s="1" t="s">
        <v>541</v>
      </c>
      <c r="I27" s="2" t="s">
        <v>542</v>
      </c>
    </row>
    <row r="28" spans="1:9" x14ac:dyDescent="0.25">
      <c r="A28" s="1">
        <v>26</v>
      </c>
      <c r="B28" s="77" t="s">
        <v>253</v>
      </c>
      <c r="C28" s="2" t="s">
        <v>120</v>
      </c>
      <c r="D28" s="671" t="s">
        <v>434</v>
      </c>
      <c r="E28" s="671"/>
      <c r="F28" s="671"/>
      <c r="G28" s="1" t="s">
        <v>543</v>
      </c>
      <c r="H28" s="1" t="s">
        <v>543</v>
      </c>
      <c r="I28" s="1"/>
    </row>
    <row r="29" spans="1:9" x14ac:dyDescent="0.25">
      <c r="A29" s="1">
        <v>27</v>
      </c>
      <c r="B29" s="1" t="s">
        <v>95</v>
      </c>
      <c r="C29" s="1" t="s">
        <v>66</v>
      </c>
      <c r="D29" s="671" t="s">
        <v>434</v>
      </c>
      <c r="E29" s="671"/>
      <c r="F29" s="671"/>
      <c r="G29" s="1" t="s">
        <v>649</v>
      </c>
      <c r="H29" s="1" t="s">
        <v>649</v>
      </c>
      <c r="I29" s="1"/>
    </row>
    <row r="30" spans="1:9" x14ac:dyDescent="0.25">
      <c r="A30" s="1">
        <v>28</v>
      </c>
      <c r="B30" s="263" t="s">
        <v>34</v>
      </c>
      <c r="C30" s="2" t="s">
        <v>28</v>
      </c>
      <c r="D30" s="671" t="s">
        <v>434</v>
      </c>
      <c r="E30" s="671"/>
      <c r="F30" s="671"/>
      <c r="G30" s="1"/>
      <c r="H30" s="1"/>
      <c r="I30" s="1"/>
    </row>
    <row r="31" spans="1:9" x14ac:dyDescent="0.25">
      <c r="A31" s="1">
        <v>29</v>
      </c>
      <c r="B31" s="87" t="s">
        <v>35</v>
      </c>
      <c r="C31" s="2" t="s">
        <v>36</v>
      </c>
      <c r="D31" s="671" t="s">
        <v>434</v>
      </c>
      <c r="E31" s="671"/>
      <c r="F31" s="671"/>
      <c r="G31" s="1"/>
      <c r="H31" s="1"/>
      <c r="I31" s="1"/>
    </row>
    <row r="32" spans="1:9" x14ac:dyDescent="0.25">
      <c r="A32" s="1">
        <v>30</v>
      </c>
      <c r="B32" s="85" t="s">
        <v>50</v>
      </c>
      <c r="C32" s="2" t="s">
        <v>36</v>
      </c>
      <c r="D32" s="671" t="s">
        <v>434</v>
      </c>
      <c r="E32" s="671"/>
      <c r="F32" s="671"/>
      <c r="G32" s="1"/>
      <c r="H32" s="1"/>
      <c r="I32" s="1"/>
    </row>
    <row r="33" spans="1:9" x14ac:dyDescent="0.25">
      <c r="A33" s="1">
        <v>31</v>
      </c>
      <c r="B33" s="87" t="s">
        <v>51</v>
      </c>
      <c r="C33" s="2" t="s">
        <v>36</v>
      </c>
      <c r="D33" s="671" t="s">
        <v>434</v>
      </c>
      <c r="E33" s="671"/>
      <c r="F33" s="671"/>
      <c r="G33" s="1"/>
      <c r="H33" s="1"/>
      <c r="I33" s="1"/>
    </row>
    <row r="34" spans="1:9" x14ac:dyDescent="0.25">
      <c r="A34" s="1">
        <v>32</v>
      </c>
      <c r="B34" s="87" t="s">
        <v>52</v>
      </c>
      <c r="C34" s="2" t="s">
        <v>36</v>
      </c>
      <c r="D34" s="671" t="s">
        <v>434</v>
      </c>
      <c r="E34" s="671"/>
      <c r="F34" s="671"/>
      <c r="G34" s="1"/>
      <c r="H34" s="1"/>
      <c r="I34" s="1"/>
    </row>
    <row r="35" spans="1:9" x14ac:dyDescent="0.25">
      <c r="A35" s="1">
        <v>33</v>
      </c>
      <c r="B35" s="87" t="s">
        <v>53</v>
      </c>
      <c r="C35" s="2" t="s">
        <v>36</v>
      </c>
      <c r="D35" s="671" t="s">
        <v>434</v>
      </c>
      <c r="E35" s="671"/>
      <c r="F35" s="671"/>
      <c r="G35" s="1"/>
      <c r="H35" s="1"/>
      <c r="I35" s="1"/>
    </row>
    <row r="36" spans="1:9" x14ac:dyDescent="0.25">
      <c r="A36" s="1">
        <v>34</v>
      </c>
      <c r="B36" s="87" t="s">
        <v>58</v>
      </c>
      <c r="C36" s="1" t="s">
        <v>38</v>
      </c>
      <c r="D36" s="671" t="s">
        <v>434</v>
      </c>
      <c r="E36" s="671"/>
      <c r="F36" s="671"/>
      <c r="G36" s="1"/>
      <c r="H36" s="1"/>
      <c r="I36" s="1"/>
    </row>
    <row r="37" spans="1:9" x14ac:dyDescent="0.25">
      <c r="A37" s="1">
        <v>35</v>
      </c>
      <c r="B37" s="87" t="s">
        <v>59</v>
      </c>
      <c r="C37" s="2" t="s">
        <v>36</v>
      </c>
      <c r="D37" s="671" t="s">
        <v>434</v>
      </c>
      <c r="E37" s="671"/>
      <c r="F37" s="671"/>
      <c r="G37" s="1"/>
      <c r="H37" s="1"/>
      <c r="I37" s="1"/>
    </row>
    <row r="38" spans="1:9" x14ac:dyDescent="0.25">
      <c r="A38" s="1">
        <v>36</v>
      </c>
      <c r="B38" s="87" t="s">
        <v>60</v>
      </c>
      <c r="C38" s="2" t="s">
        <v>36</v>
      </c>
      <c r="D38" s="671" t="s">
        <v>434</v>
      </c>
      <c r="E38" s="671"/>
      <c r="F38" s="671"/>
      <c r="G38" s="1"/>
      <c r="H38" s="1"/>
      <c r="I38" s="1"/>
    </row>
    <row r="39" spans="1:9" x14ac:dyDescent="0.25">
      <c r="A39" s="1">
        <v>37</v>
      </c>
      <c r="B39" s="87" t="s">
        <v>61</v>
      </c>
      <c r="C39" s="2" t="s">
        <v>36</v>
      </c>
      <c r="D39" s="671" t="s">
        <v>434</v>
      </c>
      <c r="E39" s="671"/>
      <c r="F39" s="671"/>
      <c r="G39" s="1"/>
      <c r="H39" s="1"/>
      <c r="I39" s="1"/>
    </row>
    <row r="40" spans="1:9" x14ac:dyDescent="0.25">
      <c r="A40" s="1">
        <v>38</v>
      </c>
      <c r="B40" s="87" t="s">
        <v>62</v>
      </c>
      <c r="C40" s="1" t="s">
        <v>38</v>
      </c>
      <c r="D40" s="671" t="s">
        <v>434</v>
      </c>
      <c r="E40" s="671"/>
      <c r="F40" s="671"/>
      <c r="G40" s="1"/>
      <c r="H40" s="1"/>
      <c r="I40" s="1"/>
    </row>
    <row r="41" spans="1:9" x14ac:dyDescent="0.25">
      <c r="A41" s="1">
        <v>39</v>
      </c>
      <c r="B41" s="87" t="s">
        <v>68</v>
      </c>
      <c r="C41" s="2" t="s">
        <v>36</v>
      </c>
      <c r="D41" s="671" t="s">
        <v>434</v>
      </c>
      <c r="E41" s="671"/>
      <c r="F41" s="671"/>
      <c r="G41" s="1"/>
      <c r="H41" s="1"/>
      <c r="I41" s="1"/>
    </row>
    <row r="42" spans="1:9" x14ac:dyDescent="0.25">
      <c r="A42" s="1">
        <v>40</v>
      </c>
      <c r="B42" s="87" t="s">
        <v>76</v>
      </c>
      <c r="C42" s="1" t="s">
        <v>38</v>
      </c>
      <c r="D42" s="671" t="s">
        <v>434</v>
      </c>
      <c r="E42" s="671"/>
      <c r="F42" s="671"/>
      <c r="G42" s="1"/>
      <c r="H42" s="1"/>
      <c r="I42" s="1"/>
    </row>
    <row r="43" spans="1:9" x14ac:dyDescent="0.25">
      <c r="A43" s="1">
        <v>41</v>
      </c>
      <c r="B43" s="87" t="s">
        <v>77</v>
      </c>
      <c r="C43" s="2" t="s">
        <v>28</v>
      </c>
      <c r="D43" s="671" t="s">
        <v>434</v>
      </c>
      <c r="E43" s="671"/>
      <c r="F43" s="671"/>
      <c r="G43" s="1"/>
      <c r="H43" s="1"/>
      <c r="I43" s="1"/>
    </row>
    <row r="44" spans="1:9" x14ac:dyDescent="0.25">
      <c r="A44" s="1">
        <v>42</v>
      </c>
      <c r="B44" s="87" t="s">
        <v>78</v>
      </c>
      <c r="C44" s="2" t="s">
        <v>28</v>
      </c>
      <c r="D44" s="671" t="s">
        <v>434</v>
      </c>
      <c r="E44" s="671"/>
      <c r="F44" s="671"/>
      <c r="G44" s="1"/>
      <c r="H44" s="1"/>
      <c r="I44" s="1"/>
    </row>
    <row r="45" spans="1:9" x14ac:dyDescent="0.25">
      <c r="A45" s="1">
        <v>43</v>
      </c>
      <c r="B45" s="87" t="s">
        <v>83</v>
      </c>
      <c r="C45" s="1" t="s">
        <v>66</v>
      </c>
      <c r="D45" s="671" t="s">
        <v>434</v>
      </c>
      <c r="E45" s="671"/>
      <c r="F45" s="671"/>
      <c r="G45" s="1"/>
      <c r="H45" s="1"/>
      <c r="I45" s="1"/>
    </row>
    <row r="46" spans="1:9" x14ac:dyDescent="0.25">
      <c r="A46" s="1">
        <v>44</v>
      </c>
      <c r="B46" s="87" t="s">
        <v>84</v>
      </c>
      <c r="C46" s="2" t="s">
        <v>462</v>
      </c>
      <c r="D46" s="671" t="s">
        <v>434</v>
      </c>
      <c r="E46" s="671"/>
      <c r="F46" s="671"/>
      <c r="G46" s="1"/>
      <c r="H46" s="1"/>
      <c r="I46" s="1"/>
    </row>
    <row r="47" spans="1:9" x14ac:dyDescent="0.25">
      <c r="A47" s="1">
        <v>45</v>
      </c>
      <c r="B47" s="87" t="s">
        <v>85</v>
      </c>
      <c r="C47" s="2" t="s">
        <v>36</v>
      </c>
      <c r="D47" s="671" t="s">
        <v>434</v>
      </c>
      <c r="E47" s="671"/>
      <c r="F47" s="671"/>
      <c r="G47" s="1"/>
      <c r="H47" s="1"/>
      <c r="I47" s="1"/>
    </row>
    <row r="48" spans="1:9" x14ac:dyDescent="0.25">
      <c r="A48" s="1">
        <v>46</v>
      </c>
      <c r="B48" s="87" t="s">
        <v>97</v>
      </c>
      <c r="C48" s="1" t="s">
        <v>38</v>
      </c>
      <c r="D48" s="671" t="s">
        <v>434</v>
      </c>
      <c r="E48" s="671"/>
      <c r="F48" s="671"/>
      <c r="G48" s="1"/>
      <c r="H48" s="1"/>
      <c r="I48" s="1"/>
    </row>
    <row r="49" spans="1:9" x14ac:dyDescent="0.25">
      <c r="A49" s="1">
        <v>47</v>
      </c>
      <c r="B49" s="87" t="s">
        <v>98</v>
      </c>
      <c r="C49" s="2" t="s">
        <v>36</v>
      </c>
      <c r="D49" s="671" t="s">
        <v>434</v>
      </c>
      <c r="E49" s="671"/>
      <c r="F49" s="671"/>
      <c r="G49" s="1"/>
      <c r="H49" s="1"/>
      <c r="I49" s="1"/>
    </row>
    <row r="50" spans="1:9" x14ac:dyDescent="0.25">
      <c r="A50" s="1">
        <v>48</v>
      </c>
      <c r="B50" s="87" t="s">
        <v>99</v>
      </c>
      <c r="C50" s="1" t="s">
        <v>21</v>
      </c>
      <c r="D50" s="671" t="s">
        <v>434</v>
      </c>
      <c r="E50" s="671"/>
      <c r="F50" s="671"/>
      <c r="G50" s="1"/>
      <c r="H50" s="1"/>
      <c r="I50" s="1"/>
    </row>
    <row r="51" spans="1:9" x14ac:dyDescent="0.25">
      <c r="A51" s="1">
        <v>49</v>
      </c>
      <c r="B51" s="87" t="s">
        <v>100</v>
      </c>
      <c r="C51" s="2" t="s">
        <v>28</v>
      </c>
      <c r="D51" s="671" t="s">
        <v>434</v>
      </c>
      <c r="E51" s="671"/>
      <c r="F51" s="671"/>
      <c r="G51" s="1"/>
      <c r="H51" s="1"/>
      <c r="I51" s="1"/>
    </row>
    <row r="52" spans="1:9" x14ac:dyDescent="0.25">
      <c r="A52" s="1">
        <v>50</v>
      </c>
      <c r="B52" s="87" t="s">
        <v>102</v>
      </c>
      <c r="C52" s="2" t="s">
        <v>36</v>
      </c>
      <c r="D52" s="671" t="s">
        <v>434</v>
      </c>
      <c r="E52" s="671"/>
      <c r="F52" s="671"/>
      <c r="G52" s="1"/>
      <c r="H52" s="1"/>
      <c r="I52" s="1"/>
    </row>
    <row r="53" spans="1:9" x14ac:dyDescent="0.25">
      <c r="A53" s="1">
        <v>51</v>
      </c>
      <c r="B53" s="87" t="s">
        <v>103</v>
      </c>
      <c r="C53" s="2" t="s">
        <v>36</v>
      </c>
      <c r="D53" s="671" t="s">
        <v>434</v>
      </c>
      <c r="E53" s="671"/>
      <c r="F53" s="671"/>
      <c r="G53" s="1"/>
      <c r="H53" s="1"/>
      <c r="I53" s="1"/>
    </row>
    <row r="54" spans="1:9" x14ac:dyDescent="0.25">
      <c r="A54" s="1">
        <v>52</v>
      </c>
      <c r="B54" s="87" t="s">
        <v>104</v>
      </c>
      <c r="C54" s="1" t="s">
        <v>38</v>
      </c>
      <c r="D54" s="671" t="s">
        <v>434</v>
      </c>
      <c r="E54" s="671"/>
      <c r="F54" s="671"/>
      <c r="G54" s="1"/>
      <c r="H54" s="1"/>
      <c r="I54" s="1"/>
    </row>
    <row r="55" spans="1:9" x14ac:dyDescent="0.25">
      <c r="A55" s="1">
        <v>53</v>
      </c>
      <c r="B55" s="87" t="s">
        <v>106</v>
      </c>
      <c r="C55" s="2" t="s">
        <v>36</v>
      </c>
      <c r="D55" s="671" t="s">
        <v>434</v>
      </c>
      <c r="E55" s="671"/>
      <c r="F55" s="671"/>
      <c r="G55" s="1"/>
      <c r="H55" s="1"/>
      <c r="I55" s="1"/>
    </row>
    <row r="56" spans="1:9" x14ac:dyDescent="0.25">
      <c r="A56" s="1">
        <v>54</v>
      </c>
      <c r="B56" s="87" t="s">
        <v>107</v>
      </c>
      <c r="C56" s="2" t="s">
        <v>36</v>
      </c>
      <c r="D56" s="671" t="s">
        <v>434</v>
      </c>
      <c r="E56" s="671"/>
      <c r="F56" s="671"/>
      <c r="G56" s="1"/>
      <c r="H56" s="1"/>
      <c r="I56" s="1"/>
    </row>
    <row r="57" spans="1:9" x14ac:dyDescent="0.25">
      <c r="A57" s="1">
        <v>55</v>
      </c>
      <c r="B57" s="87" t="s">
        <v>110</v>
      </c>
      <c r="C57" s="1" t="s">
        <v>21</v>
      </c>
      <c r="D57" s="671" t="s">
        <v>434</v>
      </c>
      <c r="E57" s="671"/>
      <c r="F57" s="671"/>
      <c r="G57" s="1"/>
      <c r="H57" s="1"/>
      <c r="I57" s="1"/>
    </row>
    <row r="58" spans="1:9" x14ac:dyDescent="0.25">
      <c r="A58" s="1">
        <v>56</v>
      </c>
      <c r="B58" s="87" t="s">
        <v>115</v>
      </c>
      <c r="C58" s="1" t="s">
        <v>21</v>
      </c>
      <c r="D58" s="671" t="s">
        <v>434</v>
      </c>
      <c r="E58" s="671"/>
      <c r="F58" s="671"/>
      <c r="G58" s="1"/>
      <c r="H58" s="1"/>
      <c r="I58" s="1"/>
    </row>
    <row r="59" spans="1:9" x14ac:dyDescent="0.25">
      <c r="A59" s="1">
        <v>57</v>
      </c>
      <c r="B59" s="87" t="s">
        <v>116</v>
      </c>
      <c r="C59" s="2" t="s">
        <v>36</v>
      </c>
      <c r="D59" s="671" t="s">
        <v>434</v>
      </c>
      <c r="E59" s="671"/>
      <c r="F59" s="671"/>
      <c r="G59" s="1"/>
      <c r="H59" s="1"/>
      <c r="I59" s="1"/>
    </row>
    <row r="60" spans="1:9" x14ac:dyDescent="0.25">
      <c r="A60" s="1">
        <v>58</v>
      </c>
      <c r="B60" s="87" t="s">
        <v>139</v>
      </c>
      <c r="C60" s="2" t="s">
        <v>36</v>
      </c>
      <c r="D60" s="671" t="s">
        <v>434</v>
      </c>
      <c r="E60" s="671"/>
      <c r="F60" s="671"/>
      <c r="G60" s="1"/>
      <c r="H60" s="1"/>
      <c r="I60" s="1"/>
    </row>
    <row r="61" spans="1:9" x14ac:dyDescent="0.25">
      <c r="A61" s="1">
        <v>59</v>
      </c>
      <c r="B61" s="87" t="s">
        <v>140</v>
      </c>
      <c r="C61" s="2" t="s">
        <v>36</v>
      </c>
      <c r="D61" s="671" t="s">
        <v>434</v>
      </c>
      <c r="E61" s="671"/>
      <c r="F61" s="671"/>
      <c r="G61" s="1"/>
      <c r="H61" s="1"/>
      <c r="I61" s="1"/>
    </row>
    <row r="62" spans="1:9" x14ac:dyDescent="0.25">
      <c r="A62" s="1">
        <v>60</v>
      </c>
      <c r="B62" s="87" t="s">
        <v>141</v>
      </c>
      <c r="C62" s="1" t="s">
        <v>21</v>
      </c>
      <c r="D62" s="671" t="s">
        <v>434</v>
      </c>
      <c r="E62" s="671"/>
      <c r="F62" s="671"/>
      <c r="G62" s="1"/>
      <c r="H62" s="1"/>
      <c r="I62" s="1"/>
    </row>
    <row r="63" spans="1:9" x14ac:dyDescent="0.25">
      <c r="A63" s="1">
        <v>61</v>
      </c>
      <c r="B63" s="87" t="s">
        <v>142</v>
      </c>
      <c r="C63" s="2" t="s">
        <v>28</v>
      </c>
      <c r="D63" s="671" t="s">
        <v>434</v>
      </c>
      <c r="E63" s="671"/>
      <c r="F63" s="671"/>
      <c r="G63" s="1"/>
      <c r="H63" s="1"/>
      <c r="I63" s="1"/>
    </row>
    <row r="64" spans="1:9" x14ac:dyDescent="0.25">
      <c r="A64" s="1">
        <v>62</v>
      </c>
      <c r="B64" s="87" t="s">
        <v>143</v>
      </c>
      <c r="C64" s="2" t="s">
        <v>28</v>
      </c>
      <c r="D64" s="671" t="s">
        <v>434</v>
      </c>
      <c r="E64" s="671"/>
      <c r="F64" s="671"/>
      <c r="G64" s="1"/>
      <c r="H64" s="1"/>
      <c r="I64" s="1"/>
    </row>
    <row r="65" spans="1:9" x14ac:dyDescent="0.25">
      <c r="A65" s="1">
        <v>63</v>
      </c>
      <c r="B65" s="87" t="s">
        <v>144</v>
      </c>
      <c r="C65" s="1" t="s">
        <v>38</v>
      </c>
      <c r="D65" s="671" t="s">
        <v>434</v>
      </c>
      <c r="E65" s="671"/>
      <c r="F65" s="671"/>
      <c r="G65" s="1"/>
      <c r="H65" s="1"/>
      <c r="I65" s="1"/>
    </row>
    <row r="66" spans="1:9" x14ac:dyDescent="0.25">
      <c r="A66" s="1">
        <v>64</v>
      </c>
      <c r="B66" s="87" t="s">
        <v>146</v>
      </c>
      <c r="C66" s="1" t="s">
        <v>21</v>
      </c>
      <c r="D66" s="671" t="s">
        <v>434</v>
      </c>
      <c r="E66" s="671"/>
      <c r="F66" s="671"/>
      <c r="G66" s="1"/>
      <c r="H66" s="1"/>
      <c r="I66" s="1"/>
    </row>
    <row r="67" spans="1:9" x14ac:dyDescent="0.25">
      <c r="A67" s="1">
        <v>65</v>
      </c>
      <c r="B67" s="87" t="s">
        <v>147</v>
      </c>
      <c r="C67" s="2" t="s">
        <v>462</v>
      </c>
      <c r="D67" s="671" t="s">
        <v>434</v>
      </c>
      <c r="E67" s="671"/>
      <c r="F67" s="671"/>
      <c r="G67" s="1"/>
      <c r="H67" s="1"/>
      <c r="I67" s="1"/>
    </row>
    <row r="68" spans="1:9" x14ac:dyDescent="0.25">
      <c r="A68" s="1">
        <v>66</v>
      </c>
      <c r="B68" s="87" t="s">
        <v>148</v>
      </c>
      <c r="C68" s="2" t="s">
        <v>473</v>
      </c>
      <c r="D68" s="671" t="s">
        <v>434</v>
      </c>
      <c r="E68" s="671"/>
      <c r="F68" s="671"/>
      <c r="G68" s="1"/>
      <c r="H68" s="1"/>
      <c r="I68" s="1"/>
    </row>
    <row r="69" spans="1:9" x14ac:dyDescent="0.25">
      <c r="A69" s="1">
        <v>67</v>
      </c>
      <c r="B69" s="87" t="s">
        <v>149</v>
      </c>
      <c r="C69" s="2" t="s">
        <v>36</v>
      </c>
      <c r="D69" s="671" t="s">
        <v>434</v>
      </c>
      <c r="E69" s="671"/>
      <c r="F69" s="671"/>
      <c r="G69" s="1"/>
      <c r="H69" s="1"/>
      <c r="I69" s="1"/>
    </row>
    <row r="70" spans="1:9" x14ac:dyDescent="0.25">
      <c r="A70" s="1">
        <v>68</v>
      </c>
      <c r="B70" s="87" t="s">
        <v>154</v>
      </c>
      <c r="C70" s="2" t="s">
        <v>473</v>
      </c>
      <c r="D70" s="671" t="s">
        <v>434</v>
      </c>
      <c r="E70" s="671"/>
      <c r="F70" s="671"/>
      <c r="G70" s="1"/>
      <c r="H70" s="1"/>
      <c r="I70" s="1"/>
    </row>
    <row r="71" spans="1:9" x14ac:dyDescent="0.25">
      <c r="A71" s="1">
        <v>69</v>
      </c>
      <c r="B71" s="87" t="s">
        <v>155</v>
      </c>
      <c r="C71" s="1" t="s">
        <v>21</v>
      </c>
      <c r="D71" s="671" t="s">
        <v>434</v>
      </c>
      <c r="E71" s="671"/>
      <c r="F71" s="671"/>
      <c r="G71" s="1"/>
      <c r="H71" s="1"/>
      <c r="I71" s="1"/>
    </row>
    <row r="72" spans="1:9" x14ac:dyDescent="0.25">
      <c r="A72" s="1">
        <v>70</v>
      </c>
      <c r="B72" s="87" t="s">
        <v>156</v>
      </c>
      <c r="C72" s="1" t="s">
        <v>21</v>
      </c>
      <c r="D72" s="671" t="s">
        <v>434</v>
      </c>
      <c r="E72" s="671"/>
      <c r="F72" s="671"/>
      <c r="G72" s="1"/>
      <c r="H72" s="1"/>
      <c r="I72" s="1"/>
    </row>
    <row r="73" spans="1:9" x14ac:dyDescent="0.25">
      <c r="A73" s="1">
        <v>71</v>
      </c>
      <c r="B73" s="87" t="s">
        <v>157</v>
      </c>
      <c r="C73" s="2" t="s">
        <v>28</v>
      </c>
      <c r="D73" s="671" t="s">
        <v>434</v>
      </c>
      <c r="E73" s="671"/>
      <c r="F73" s="671"/>
      <c r="G73" s="1"/>
      <c r="H73" s="1"/>
      <c r="I73" s="1"/>
    </row>
    <row r="74" spans="1:9" x14ac:dyDescent="0.25">
      <c r="A74" s="1">
        <v>72</v>
      </c>
      <c r="B74" s="87" t="s">
        <v>162</v>
      </c>
      <c r="C74" s="2" t="s">
        <v>36</v>
      </c>
      <c r="D74" s="671" t="s">
        <v>434</v>
      </c>
      <c r="E74" s="671"/>
      <c r="F74" s="671"/>
      <c r="G74" s="1"/>
      <c r="H74" s="1"/>
      <c r="I74" s="1"/>
    </row>
    <row r="75" spans="1:9" x14ac:dyDescent="0.25">
      <c r="A75" s="1">
        <v>73</v>
      </c>
      <c r="B75" s="87" t="s">
        <v>163</v>
      </c>
      <c r="C75" s="2" t="s">
        <v>473</v>
      </c>
      <c r="D75" s="671" t="s">
        <v>434</v>
      </c>
      <c r="E75" s="671"/>
      <c r="F75" s="671"/>
      <c r="G75" s="1"/>
      <c r="H75" s="1"/>
      <c r="I75" s="1"/>
    </row>
    <row r="76" spans="1:9" x14ac:dyDescent="0.25">
      <c r="A76" s="1">
        <v>74</v>
      </c>
      <c r="B76" s="87" t="s">
        <v>164</v>
      </c>
      <c r="C76" s="2" t="s">
        <v>28</v>
      </c>
      <c r="D76" s="671" t="s">
        <v>434</v>
      </c>
      <c r="E76" s="671"/>
      <c r="F76" s="671"/>
      <c r="G76" s="1"/>
      <c r="H76" s="1"/>
      <c r="I76" s="1"/>
    </row>
    <row r="77" spans="1:9" x14ac:dyDescent="0.25">
      <c r="A77" s="1">
        <v>75</v>
      </c>
      <c r="B77" s="87" t="s">
        <v>165</v>
      </c>
      <c r="C77" s="2" t="s">
        <v>462</v>
      </c>
      <c r="D77" s="671" t="s">
        <v>434</v>
      </c>
      <c r="E77" s="671"/>
      <c r="F77" s="671"/>
      <c r="G77" s="1"/>
      <c r="H77" s="1"/>
      <c r="I77" s="1"/>
    </row>
    <row r="78" spans="1:9" x14ac:dyDescent="0.25">
      <c r="A78" s="1">
        <v>76</v>
      </c>
      <c r="B78" s="87" t="s">
        <v>171</v>
      </c>
      <c r="C78" s="2" t="s">
        <v>473</v>
      </c>
      <c r="D78" s="671" t="s">
        <v>434</v>
      </c>
      <c r="E78" s="671"/>
      <c r="F78" s="671"/>
      <c r="G78" s="1"/>
      <c r="H78" s="1"/>
      <c r="I78" s="1"/>
    </row>
    <row r="79" spans="1:9" x14ac:dyDescent="0.25">
      <c r="A79" s="1">
        <v>77</v>
      </c>
      <c r="B79" s="87" t="s">
        <v>173</v>
      </c>
      <c r="C79" s="2" t="s">
        <v>473</v>
      </c>
      <c r="D79" s="671" t="s">
        <v>434</v>
      </c>
      <c r="E79" s="671"/>
      <c r="F79" s="671"/>
      <c r="G79" s="1"/>
      <c r="H79" s="1"/>
      <c r="I79" s="1"/>
    </row>
    <row r="80" spans="1:9" x14ac:dyDescent="0.25">
      <c r="A80" s="1">
        <v>78</v>
      </c>
      <c r="B80" s="87" t="s">
        <v>179</v>
      </c>
      <c r="C80" s="2" t="s">
        <v>473</v>
      </c>
      <c r="D80" s="671" t="s">
        <v>434</v>
      </c>
      <c r="E80" s="671"/>
      <c r="F80" s="671"/>
      <c r="G80" s="1"/>
      <c r="H80" s="1"/>
      <c r="I80" s="1"/>
    </row>
    <row r="81" spans="1:9" x14ac:dyDescent="0.25">
      <c r="A81" s="1">
        <v>79</v>
      </c>
      <c r="B81" s="87" t="s">
        <v>180</v>
      </c>
      <c r="C81" s="2" t="s">
        <v>473</v>
      </c>
      <c r="D81" s="671" t="s">
        <v>434</v>
      </c>
      <c r="E81" s="671"/>
      <c r="F81" s="671"/>
      <c r="G81" s="1"/>
      <c r="H81" s="1"/>
      <c r="I81" s="1"/>
    </row>
    <row r="82" spans="1:9" x14ac:dyDescent="0.25">
      <c r="A82" s="1">
        <v>80</v>
      </c>
      <c r="B82" s="87" t="s">
        <v>181</v>
      </c>
      <c r="C82" s="2" t="s">
        <v>36</v>
      </c>
      <c r="D82" s="671" t="s">
        <v>434</v>
      </c>
      <c r="E82" s="671"/>
      <c r="F82" s="671"/>
      <c r="G82" s="1"/>
      <c r="H82" s="1"/>
      <c r="I82" s="1"/>
    </row>
    <row r="83" spans="1:9" x14ac:dyDescent="0.25">
      <c r="A83" s="1">
        <v>81</v>
      </c>
      <c r="B83" s="87" t="s">
        <v>182</v>
      </c>
      <c r="C83" s="2" t="s">
        <v>473</v>
      </c>
      <c r="D83" s="671" t="s">
        <v>434</v>
      </c>
      <c r="E83" s="671"/>
      <c r="F83" s="671"/>
      <c r="G83" s="1"/>
      <c r="H83" s="1"/>
      <c r="I83" s="1"/>
    </row>
    <row r="84" spans="1:9" x14ac:dyDescent="0.25">
      <c r="A84" s="1">
        <v>82</v>
      </c>
      <c r="B84" s="87" t="s">
        <v>183</v>
      </c>
      <c r="C84" s="2" t="s">
        <v>36</v>
      </c>
      <c r="D84" s="671" t="s">
        <v>434</v>
      </c>
      <c r="E84" s="671"/>
      <c r="F84" s="671"/>
      <c r="G84" s="1"/>
      <c r="H84" s="1"/>
      <c r="I84" s="1"/>
    </row>
    <row r="85" spans="1:9" x14ac:dyDescent="0.25">
      <c r="A85" s="1">
        <v>83</v>
      </c>
      <c r="B85" s="87" t="s">
        <v>184</v>
      </c>
      <c r="C85" s="2" t="s">
        <v>462</v>
      </c>
      <c r="D85" s="671" t="s">
        <v>434</v>
      </c>
      <c r="E85" s="671"/>
      <c r="F85" s="671"/>
      <c r="G85" s="1"/>
      <c r="H85" s="1"/>
      <c r="I85" s="1"/>
    </row>
    <row r="86" spans="1:9" x14ac:dyDescent="0.25">
      <c r="A86" s="1">
        <v>84</v>
      </c>
      <c r="B86" s="87" t="s">
        <v>188</v>
      </c>
      <c r="C86" s="1" t="s">
        <v>38</v>
      </c>
      <c r="D86" s="671" t="s">
        <v>434</v>
      </c>
      <c r="E86" s="671"/>
      <c r="F86" s="671"/>
      <c r="G86" s="1"/>
      <c r="H86" s="1"/>
      <c r="I86" s="1"/>
    </row>
    <row r="87" spans="1:9" x14ac:dyDescent="0.25">
      <c r="A87" s="1">
        <v>85</v>
      </c>
      <c r="B87" s="87" t="s">
        <v>190</v>
      </c>
      <c r="C87" s="1" t="s">
        <v>21</v>
      </c>
      <c r="D87" s="671" t="s">
        <v>434</v>
      </c>
      <c r="E87" s="671"/>
      <c r="F87" s="671"/>
      <c r="G87" s="1"/>
      <c r="H87" s="1"/>
      <c r="I87" s="1"/>
    </row>
    <row r="88" spans="1:9" x14ac:dyDescent="0.25">
      <c r="A88" s="1">
        <v>86</v>
      </c>
      <c r="B88" s="87" t="s">
        <v>193</v>
      </c>
      <c r="C88" s="2" t="s">
        <v>36</v>
      </c>
      <c r="D88" s="671" t="s">
        <v>434</v>
      </c>
      <c r="E88" s="671"/>
      <c r="F88" s="671"/>
      <c r="G88" s="1"/>
      <c r="H88" s="1"/>
      <c r="I88" s="1"/>
    </row>
    <row r="89" spans="1:9" x14ac:dyDescent="0.25">
      <c r="A89" s="1">
        <v>87</v>
      </c>
      <c r="B89" s="87" t="s">
        <v>194</v>
      </c>
      <c r="C89" s="2" t="s">
        <v>36</v>
      </c>
      <c r="D89" s="671" t="s">
        <v>434</v>
      </c>
      <c r="E89" s="671"/>
      <c r="F89" s="671"/>
      <c r="G89" s="1"/>
      <c r="H89" s="1"/>
      <c r="I89" s="1"/>
    </row>
    <row r="90" spans="1:9" x14ac:dyDescent="0.25">
      <c r="A90" s="1">
        <v>88</v>
      </c>
      <c r="B90" s="87" t="s">
        <v>197</v>
      </c>
      <c r="C90" s="1" t="s">
        <v>21</v>
      </c>
      <c r="D90" s="671" t="s">
        <v>434</v>
      </c>
      <c r="E90" s="671"/>
      <c r="F90" s="671"/>
      <c r="G90" s="1"/>
      <c r="H90" s="1"/>
      <c r="I90" s="1"/>
    </row>
    <row r="91" spans="1:9" x14ac:dyDescent="0.25">
      <c r="A91" s="1">
        <v>89</v>
      </c>
      <c r="B91" s="87" t="s">
        <v>198</v>
      </c>
      <c r="C91" s="2" t="s">
        <v>462</v>
      </c>
      <c r="D91" s="671" t="s">
        <v>434</v>
      </c>
      <c r="E91" s="671"/>
      <c r="F91" s="671"/>
      <c r="G91" s="1"/>
      <c r="H91" s="1"/>
      <c r="I91" s="1"/>
    </row>
    <row r="92" spans="1:9" x14ac:dyDescent="0.25">
      <c r="A92" s="1">
        <v>90</v>
      </c>
      <c r="B92" s="87" t="s">
        <v>199</v>
      </c>
      <c r="C92" s="1" t="s">
        <v>38</v>
      </c>
      <c r="D92" s="671" t="s">
        <v>434</v>
      </c>
      <c r="E92" s="671"/>
      <c r="F92" s="671"/>
      <c r="G92" s="1"/>
      <c r="H92" s="1"/>
      <c r="I92" s="1"/>
    </row>
    <row r="93" spans="1:9" x14ac:dyDescent="0.25">
      <c r="A93" s="1">
        <v>91</v>
      </c>
      <c r="B93" s="87" t="s">
        <v>200</v>
      </c>
      <c r="C93" s="2" t="s">
        <v>36</v>
      </c>
      <c r="D93" s="671" t="s">
        <v>434</v>
      </c>
      <c r="E93" s="671"/>
      <c r="F93" s="671"/>
      <c r="G93" s="1"/>
      <c r="H93" s="1"/>
      <c r="I93" s="1"/>
    </row>
    <row r="94" spans="1:9" x14ac:dyDescent="0.25">
      <c r="A94" s="1">
        <v>92</v>
      </c>
      <c r="B94" s="87" t="s">
        <v>205</v>
      </c>
      <c r="C94" s="2" t="s">
        <v>36</v>
      </c>
      <c r="D94" s="671" t="s">
        <v>434</v>
      </c>
      <c r="E94" s="671"/>
      <c r="F94" s="671"/>
      <c r="G94" s="1"/>
      <c r="H94" s="1"/>
      <c r="I94" s="1"/>
    </row>
    <row r="95" spans="1:9" x14ac:dyDescent="0.25">
      <c r="A95" s="1">
        <v>93</v>
      </c>
      <c r="B95" s="87" t="s">
        <v>207</v>
      </c>
      <c r="C95" s="2" t="s">
        <v>36</v>
      </c>
      <c r="D95" s="671" t="s">
        <v>434</v>
      </c>
      <c r="E95" s="671"/>
      <c r="F95" s="671"/>
      <c r="G95" s="1"/>
      <c r="H95" s="1"/>
      <c r="I95" s="1"/>
    </row>
    <row r="96" spans="1:9" x14ac:dyDescent="0.25">
      <c r="A96" s="1">
        <v>94</v>
      </c>
      <c r="B96" s="87" t="s">
        <v>209</v>
      </c>
      <c r="C96" s="2" t="s">
        <v>28</v>
      </c>
      <c r="D96" s="671" t="s">
        <v>434</v>
      </c>
      <c r="E96" s="671"/>
      <c r="F96" s="671"/>
      <c r="G96" s="1"/>
      <c r="H96" s="1"/>
      <c r="I96" s="1"/>
    </row>
    <row r="97" spans="1:9" x14ac:dyDescent="0.25">
      <c r="A97" s="1">
        <v>95</v>
      </c>
      <c r="B97" s="87" t="s">
        <v>210</v>
      </c>
      <c r="C97" s="2" t="s">
        <v>36</v>
      </c>
      <c r="D97" s="671" t="s">
        <v>434</v>
      </c>
      <c r="E97" s="671"/>
      <c r="F97" s="671"/>
      <c r="G97" s="1"/>
      <c r="H97" s="1"/>
      <c r="I97" s="1"/>
    </row>
    <row r="98" spans="1:9" x14ac:dyDescent="0.25">
      <c r="A98" s="1">
        <v>96</v>
      </c>
      <c r="B98" s="87" t="s">
        <v>211</v>
      </c>
      <c r="C98" s="1" t="s">
        <v>21</v>
      </c>
      <c r="D98" s="671" t="s">
        <v>434</v>
      </c>
      <c r="E98" s="671"/>
      <c r="F98" s="671"/>
      <c r="G98" s="1"/>
      <c r="H98" s="1"/>
      <c r="I98" s="1"/>
    </row>
    <row r="99" spans="1:9" x14ac:dyDescent="0.25">
      <c r="A99" s="1">
        <v>97</v>
      </c>
      <c r="B99" s="87" t="s">
        <v>213</v>
      </c>
      <c r="C99" s="1" t="s">
        <v>38</v>
      </c>
      <c r="D99" s="671" t="s">
        <v>434</v>
      </c>
      <c r="E99" s="671"/>
      <c r="F99" s="671"/>
      <c r="G99" s="1"/>
      <c r="H99" s="1"/>
      <c r="I99" s="1"/>
    </row>
    <row r="100" spans="1:9" x14ac:dyDescent="0.25">
      <c r="A100" s="1">
        <v>98</v>
      </c>
      <c r="B100" s="87" t="s">
        <v>215</v>
      </c>
      <c r="C100" s="2" t="s">
        <v>36</v>
      </c>
      <c r="D100" s="671" t="s">
        <v>434</v>
      </c>
      <c r="E100" s="671"/>
      <c r="F100" s="671"/>
      <c r="G100" s="1"/>
      <c r="H100" s="1"/>
      <c r="I100" s="1"/>
    </row>
    <row r="101" spans="1:9" x14ac:dyDescent="0.25">
      <c r="A101" s="1">
        <v>99</v>
      </c>
      <c r="B101" s="87" t="s">
        <v>216</v>
      </c>
      <c r="C101" s="2" t="s">
        <v>36</v>
      </c>
      <c r="D101" s="671" t="s">
        <v>434</v>
      </c>
      <c r="E101" s="671"/>
      <c r="F101" s="671"/>
      <c r="G101" s="1"/>
      <c r="H101" s="1"/>
      <c r="I101" s="1"/>
    </row>
    <row r="102" spans="1:9" x14ac:dyDescent="0.25">
      <c r="A102" s="1">
        <v>100</v>
      </c>
      <c r="B102" s="87" t="s">
        <v>217</v>
      </c>
      <c r="C102" s="2" t="s">
        <v>36</v>
      </c>
      <c r="D102" s="671" t="s">
        <v>434</v>
      </c>
      <c r="E102" s="671"/>
      <c r="F102" s="671"/>
      <c r="G102" s="1"/>
      <c r="H102" s="1"/>
      <c r="I102" s="1"/>
    </row>
    <row r="103" spans="1:9" x14ac:dyDescent="0.25">
      <c r="A103" s="1">
        <v>101</v>
      </c>
      <c r="B103" s="87" t="s">
        <v>219</v>
      </c>
      <c r="C103" s="2" t="s">
        <v>36</v>
      </c>
      <c r="D103" s="671" t="s">
        <v>434</v>
      </c>
      <c r="E103" s="671"/>
      <c r="F103" s="671"/>
      <c r="G103" s="1"/>
      <c r="H103" s="1"/>
      <c r="I103" s="1"/>
    </row>
    <row r="104" spans="1:9" x14ac:dyDescent="0.25">
      <c r="A104" s="1">
        <v>102</v>
      </c>
      <c r="B104" s="87" t="s">
        <v>220</v>
      </c>
      <c r="C104" s="1" t="s">
        <v>38</v>
      </c>
      <c r="D104" s="671" t="s">
        <v>434</v>
      </c>
      <c r="E104" s="671"/>
      <c r="F104" s="671"/>
      <c r="G104" s="1"/>
      <c r="H104" s="1"/>
      <c r="I104" s="1"/>
    </row>
    <row r="105" spans="1:9" x14ac:dyDescent="0.25">
      <c r="A105" s="1">
        <v>103</v>
      </c>
      <c r="B105" s="87" t="s">
        <v>225</v>
      </c>
      <c r="C105" s="1" t="s">
        <v>38</v>
      </c>
      <c r="D105" s="671" t="s">
        <v>434</v>
      </c>
      <c r="E105" s="671"/>
      <c r="F105" s="671"/>
      <c r="G105" s="1"/>
      <c r="H105" s="1"/>
      <c r="I105" s="1"/>
    </row>
    <row r="106" spans="1:9" x14ac:dyDescent="0.25">
      <c r="A106" s="1">
        <v>104</v>
      </c>
      <c r="B106" s="87" t="s">
        <v>226</v>
      </c>
      <c r="C106" s="2" t="s">
        <v>36</v>
      </c>
      <c r="D106" s="671" t="s">
        <v>434</v>
      </c>
      <c r="E106" s="671"/>
      <c r="F106" s="671"/>
      <c r="G106" s="1"/>
      <c r="H106" s="1"/>
      <c r="I106" s="1"/>
    </row>
    <row r="107" spans="1:9" x14ac:dyDescent="0.25">
      <c r="A107" s="1">
        <v>105</v>
      </c>
      <c r="B107" s="87" t="s">
        <v>227</v>
      </c>
      <c r="C107" s="2" t="s">
        <v>36</v>
      </c>
      <c r="D107" s="671" t="s">
        <v>434</v>
      </c>
      <c r="E107" s="671"/>
      <c r="F107" s="671"/>
      <c r="G107" s="1"/>
      <c r="H107" s="1"/>
      <c r="I107" s="1"/>
    </row>
    <row r="108" spans="1:9" x14ac:dyDescent="0.25">
      <c r="A108" s="1">
        <v>106</v>
      </c>
      <c r="B108" s="87" t="s">
        <v>229</v>
      </c>
      <c r="C108" s="1" t="s">
        <v>21</v>
      </c>
      <c r="D108" s="671" t="s">
        <v>434</v>
      </c>
      <c r="E108" s="671"/>
      <c r="F108" s="671"/>
      <c r="G108" s="1"/>
      <c r="H108" s="1"/>
      <c r="I108" s="1"/>
    </row>
    <row r="109" spans="1:9" x14ac:dyDescent="0.25">
      <c r="A109" s="1">
        <v>107</v>
      </c>
      <c r="B109" s="87" t="s">
        <v>232</v>
      </c>
      <c r="C109" s="1" t="s">
        <v>38</v>
      </c>
      <c r="D109" s="671" t="s">
        <v>434</v>
      </c>
      <c r="E109" s="671"/>
      <c r="F109" s="671"/>
      <c r="G109" s="1"/>
      <c r="H109" s="1"/>
      <c r="I109" s="1"/>
    </row>
    <row r="110" spans="1:9" x14ac:dyDescent="0.25">
      <c r="A110" s="1">
        <v>108</v>
      </c>
      <c r="B110" s="87" t="s">
        <v>230</v>
      </c>
      <c r="C110" s="2" t="s">
        <v>462</v>
      </c>
      <c r="D110" s="671" t="s">
        <v>434</v>
      </c>
      <c r="E110" s="671"/>
      <c r="F110" s="671"/>
      <c r="G110" s="1"/>
      <c r="H110" s="1"/>
      <c r="I110" s="1"/>
    </row>
    <row r="111" spans="1:9" x14ac:dyDescent="0.25">
      <c r="A111" s="1">
        <v>109</v>
      </c>
      <c r="B111" s="87" t="s">
        <v>233</v>
      </c>
      <c r="C111" s="2" t="s">
        <v>36</v>
      </c>
      <c r="D111" s="671" t="s">
        <v>434</v>
      </c>
      <c r="E111" s="671"/>
      <c r="F111" s="671"/>
      <c r="G111" s="1"/>
      <c r="H111" s="1"/>
      <c r="I111" s="1"/>
    </row>
    <row r="112" spans="1:9" x14ac:dyDescent="0.25">
      <c r="A112" s="1">
        <v>110</v>
      </c>
      <c r="B112" s="87" t="s">
        <v>236</v>
      </c>
      <c r="C112" s="1" t="s">
        <v>38</v>
      </c>
      <c r="D112" s="671" t="s">
        <v>434</v>
      </c>
      <c r="E112" s="671"/>
      <c r="F112" s="671"/>
      <c r="G112" s="1"/>
      <c r="H112" s="1"/>
      <c r="I112" s="1"/>
    </row>
    <row r="113" spans="1:9" x14ac:dyDescent="0.25">
      <c r="A113" s="1">
        <v>111</v>
      </c>
      <c r="B113" s="87" t="s">
        <v>244</v>
      </c>
      <c r="C113" s="1" t="s">
        <v>38</v>
      </c>
      <c r="D113" s="671" t="s">
        <v>434</v>
      </c>
      <c r="E113" s="671"/>
      <c r="F113" s="671"/>
      <c r="G113" s="1"/>
      <c r="H113" s="1"/>
      <c r="I113" s="1"/>
    </row>
    <row r="114" spans="1:9" x14ac:dyDescent="0.25">
      <c r="A114" s="1">
        <v>112</v>
      </c>
      <c r="B114" s="87" t="s">
        <v>245</v>
      </c>
      <c r="C114" s="2" t="s">
        <v>36</v>
      </c>
      <c r="D114" s="671" t="s">
        <v>434</v>
      </c>
      <c r="E114" s="671"/>
      <c r="F114" s="671"/>
      <c r="G114" s="1"/>
      <c r="H114" s="1"/>
      <c r="I114" s="1"/>
    </row>
    <row r="115" spans="1:9" x14ac:dyDescent="0.25">
      <c r="A115" s="1">
        <v>113</v>
      </c>
      <c r="B115" s="87" t="s">
        <v>266</v>
      </c>
      <c r="C115" s="1" t="s">
        <v>38</v>
      </c>
      <c r="D115" s="671" t="s">
        <v>434</v>
      </c>
      <c r="E115" s="671"/>
      <c r="F115" s="671"/>
      <c r="G115" s="1"/>
      <c r="H115" s="1"/>
      <c r="I115" s="1"/>
    </row>
    <row r="116" spans="1:9" x14ac:dyDescent="0.25">
      <c r="A116" s="1">
        <v>114</v>
      </c>
      <c r="B116" s="87" t="s">
        <v>264</v>
      </c>
      <c r="C116" s="1" t="s">
        <v>38</v>
      </c>
      <c r="D116" s="671" t="s">
        <v>434</v>
      </c>
      <c r="E116" s="671"/>
      <c r="F116" s="671"/>
      <c r="G116" s="1"/>
      <c r="H116" s="1"/>
      <c r="I116" s="1"/>
    </row>
    <row r="117" spans="1:9" x14ac:dyDescent="0.25">
      <c r="A117" s="1">
        <v>115</v>
      </c>
      <c r="B117" s="87" t="s">
        <v>267</v>
      </c>
      <c r="C117" s="2" t="s">
        <v>36</v>
      </c>
      <c r="D117" s="671" t="s">
        <v>434</v>
      </c>
      <c r="E117" s="671"/>
      <c r="F117" s="671"/>
      <c r="G117" s="1"/>
      <c r="H117" s="1"/>
      <c r="I117" s="1"/>
    </row>
    <row r="118" spans="1:9" x14ac:dyDescent="0.25">
      <c r="A118" s="1">
        <v>116</v>
      </c>
      <c r="B118" s="87" t="s">
        <v>268</v>
      </c>
      <c r="C118" s="2" t="s">
        <v>36</v>
      </c>
      <c r="D118" s="671" t="s">
        <v>434</v>
      </c>
      <c r="E118" s="671"/>
      <c r="F118" s="671"/>
      <c r="G118" s="1"/>
      <c r="H118" s="1"/>
      <c r="I118" s="1"/>
    </row>
    <row r="119" spans="1:9" x14ac:dyDescent="0.25">
      <c r="A119" s="1">
        <v>117</v>
      </c>
      <c r="B119" s="87" t="s">
        <v>271</v>
      </c>
      <c r="C119" s="1" t="s">
        <v>21</v>
      </c>
      <c r="D119" s="671" t="s">
        <v>434</v>
      </c>
      <c r="E119" s="671"/>
      <c r="F119" s="671"/>
      <c r="G119" s="1"/>
      <c r="H119" s="1"/>
      <c r="I119" s="1"/>
    </row>
    <row r="120" spans="1:9" x14ac:dyDescent="0.25">
      <c r="A120" s="1">
        <v>118</v>
      </c>
      <c r="B120" s="87" t="s">
        <v>274</v>
      </c>
      <c r="C120" s="2" t="s">
        <v>462</v>
      </c>
      <c r="D120" s="671" t="s">
        <v>434</v>
      </c>
      <c r="E120" s="671"/>
      <c r="F120" s="671"/>
      <c r="G120" s="1"/>
      <c r="H120" s="1"/>
      <c r="I120" s="1"/>
    </row>
    <row r="121" spans="1:9" x14ac:dyDescent="0.25">
      <c r="A121" s="1">
        <v>119</v>
      </c>
      <c r="B121" s="87" t="s">
        <v>278</v>
      </c>
      <c r="C121" s="1" t="s">
        <v>38</v>
      </c>
      <c r="D121" s="671" t="s">
        <v>434</v>
      </c>
      <c r="E121" s="671"/>
      <c r="F121" s="671"/>
      <c r="G121" s="1"/>
      <c r="H121" s="1"/>
      <c r="I121" s="1"/>
    </row>
    <row r="122" spans="1:9" x14ac:dyDescent="0.25">
      <c r="A122" s="1">
        <v>120</v>
      </c>
      <c r="B122" s="87" t="s">
        <v>280</v>
      </c>
      <c r="C122" s="2" t="s">
        <v>36</v>
      </c>
      <c r="D122" s="671" t="s">
        <v>434</v>
      </c>
      <c r="E122" s="671"/>
      <c r="F122" s="671"/>
      <c r="G122" s="1"/>
      <c r="H122" s="1"/>
      <c r="I122" s="1"/>
    </row>
    <row r="123" spans="1:9" x14ac:dyDescent="0.25">
      <c r="A123" s="1">
        <v>121</v>
      </c>
      <c r="B123" s="87" t="s">
        <v>281</v>
      </c>
      <c r="C123" s="1" t="s">
        <v>38</v>
      </c>
      <c r="D123" s="671" t="s">
        <v>434</v>
      </c>
      <c r="E123" s="671"/>
      <c r="F123" s="671"/>
      <c r="G123" s="1"/>
      <c r="H123" s="1"/>
      <c r="I123" s="1"/>
    </row>
    <row r="124" spans="1:9" x14ac:dyDescent="0.25">
      <c r="A124" s="1">
        <v>122</v>
      </c>
      <c r="B124" s="87" t="s">
        <v>283</v>
      </c>
      <c r="C124" s="1" t="s">
        <v>21</v>
      </c>
      <c r="D124" s="671" t="s">
        <v>434</v>
      </c>
      <c r="E124" s="671"/>
      <c r="F124" s="671"/>
      <c r="G124" s="1"/>
      <c r="H124" s="1"/>
      <c r="I124" s="1"/>
    </row>
    <row r="125" spans="1:9" x14ac:dyDescent="0.25">
      <c r="A125" s="1">
        <v>123</v>
      </c>
      <c r="B125" s="87" t="s">
        <v>284</v>
      </c>
      <c r="C125" s="2" t="s">
        <v>36</v>
      </c>
      <c r="D125" s="671" t="s">
        <v>434</v>
      </c>
      <c r="E125" s="671"/>
      <c r="F125" s="671"/>
      <c r="G125" s="1"/>
      <c r="H125" s="1"/>
      <c r="I125" s="1"/>
    </row>
    <row r="126" spans="1:9" x14ac:dyDescent="0.25">
      <c r="A126" s="1">
        <v>124</v>
      </c>
      <c r="B126" s="87" t="s">
        <v>285</v>
      </c>
      <c r="C126" s="1" t="s">
        <v>38</v>
      </c>
      <c r="D126" s="671" t="s">
        <v>434</v>
      </c>
      <c r="E126" s="671"/>
      <c r="F126" s="671"/>
      <c r="G126" s="1"/>
      <c r="H126" s="1"/>
      <c r="I126" s="1"/>
    </row>
    <row r="127" spans="1:9" x14ac:dyDescent="0.25">
      <c r="A127" s="1">
        <v>125</v>
      </c>
      <c r="B127" s="87" t="s">
        <v>291</v>
      </c>
      <c r="C127" s="2" t="s">
        <v>36</v>
      </c>
      <c r="D127" s="671" t="s">
        <v>434</v>
      </c>
      <c r="E127" s="671"/>
      <c r="F127" s="671"/>
      <c r="G127" s="1"/>
      <c r="H127" s="1"/>
      <c r="I127" s="1"/>
    </row>
    <row r="128" spans="1:9" x14ac:dyDescent="0.25">
      <c r="A128" s="1">
        <v>126</v>
      </c>
      <c r="B128" s="87" t="s">
        <v>292</v>
      </c>
      <c r="C128" s="2" t="s">
        <v>28</v>
      </c>
      <c r="D128" s="671" t="s">
        <v>434</v>
      </c>
      <c r="E128" s="671"/>
      <c r="F128" s="671"/>
      <c r="G128" s="1"/>
      <c r="H128" s="1"/>
      <c r="I128" s="1"/>
    </row>
    <row r="129" spans="1:9" x14ac:dyDescent="0.25">
      <c r="A129" s="1">
        <v>127</v>
      </c>
      <c r="B129" s="87" t="s">
        <v>293</v>
      </c>
      <c r="C129" s="2" t="s">
        <v>28</v>
      </c>
      <c r="D129" s="671" t="s">
        <v>434</v>
      </c>
      <c r="E129" s="671"/>
      <c r="F129" s="671"/>
      <c r="G129" s="1"/>
      <c r="H129" s="1"/>
      <c r="I129" s="1"/>
    </row>
    <row r="130" spans="1:9" x14ac:dyDescent="0.25">
      <c r="A130" s="1">
        <v>128</v>
      </c>
      <c r="B130" s="87" t="s">
        <v>322</v>
      </c>
      <c r="C130" s="2" t="s">
        <v>28</v>
      </c>
      <c r="D130" s="671" t="s">
        <v>434</v>
      </c>
      <c r="E130" s="671"/>
      <c r="F130" s="671"/>
      <c r="G130" s="1"/>
      <c r="H130" s="1"/>
      <c r="I130" s="1"/>
    </row>
    <row r="131" spans="1:9" x14ac:dyDescent="0.25">
      <c r="A131" s="1">
        <v>129</v>
      </c>
      <c r="B131" s="87" t="s">
        <v>329</v>
      </c>
      <c r="C131" s="1" t="s">
        <v>21</v>
      </c>
      <c r="D131" s="671" t="s">
        <v>434</v>
      </c>
      <c r="E131" s="671"/>
      <c r="F131" s="671"/>
      <c r="G131" s="1"/>
      <c r="H131" s="1"/>
      <c r="I131" s="1"/>
    </row>
    <row r="132" spans="1:9" x14ac:dyDescent="0.25">
      <c r="A132" s="1">
        <v>130</v>
      </c>
      <c r="B132" s="87" t="s">
        <v>337</v>
      </c>
      <c r="C132" s="1" t="s">
        <v>21</v>
      </c>
      <c r="D132" s="671" t="s">
        <v>434</v>
      </c>
      <c r="E132" s="671"/>
      <c r="F132" s="671"/>
      <c r="G132" s="1"/>
      <c r="H132" s="1"/>
      <c r="I132" s="1"/>
    </row>
    <row r="133" spans="1:9" x14ac:dyDescent="0.25">
      <c r="A133" s="1">
        <v>131</v>
      </c>
      <c r="B133" s="87" t="s">
        <v>348</v>
      </c>
      <c r="C133" s="2" t="s">
        <v>28</v>
      </c>
      <c r="D133" s="671" t="s">
        <v>434</v>
      </c>
      <c r="E133" s="671"/>
      <c r="F133" s="671"/>
      <c r="G133" s="1"/>
      <c r="H133" s="1"/>
      <c r="I133" s="1"/>
    </row>
    <row r="134" spans="1:9" x14ac:dyDescent="0.25">
      <c r="A134" s="1">
        <v>132</v>
      </c>
      <c r="B134" s="87" t="s">
        <v>247</v>
      </c>
      <c r="C134" s="2" t="s">
        <v>28</v>
      </c>
      <c r="D134" s="671" t="s">
        <v>434</v>
      </c>
      <c r="E134" s="671"/>
      <c r="F134" s="671"/>
      <c r="G134" s="1"/>
      <c r="H134" s="1"/>
      <c r="I134" s="1"/>
    </row>
    <row r="135" spans="1:9" x14ac:dyDescent="0.25">
      <c r="A135" s="1">
        <v>133</v>
      </c>
      <c r="B135" s="87" t="s">
        <v>249</v>
      </c>
      <c r="C135" s="2" t="s">
        <v>36</v>
      </c>
      <c r="D135" s="671" t="s">
        <v>434</v>
      </c>
      <c r="E135" s="671"/>
      <c r="F135" s="671"/>
      <c r="G135" s="1"/>
      <c r="H135" s="1"/>
      <c r="I135" s="1"/>
    </row>
    <row r="136" spans="1:9" x14ac:dyDescent="0.25">
      <c r="A136" s="1">
        <v>134</v>
      </c>
      <c r="B136" s="87" t="s">
        <v>185</v>
      </c>
      <c r="C136" s="87" t="s">
        <v>123</v>
      </c>
      <c r="D136" s="671" t="s">
        <v>434</v>
      </c>
      <c r="E136" s="671"/>
      <c r="F136" s="671"/>
    </row>
    <row r="137" spans="1:9" x14ac:dyDescent="0.25">
      <c r="A137" s="1">
        <v>135</v>
      </c>
      <c r="B137" s="88" t="s">
        <v>82</v>
      </c>
      <c r="C137" s="1" t="s">
        <v>36</v>
      </c>
      <c r="D137" s="671" t="s">
        <v>434</v>
      </c>
      <c r="E137" s="671"/>
      <c r="F137" s="671"/>
    </row>
    <row r="138" spans="1:9" x14ac:dyDescent="0.25">
      <c r="A138" s="1">
        <v>136</v>
      </c>
      <c r="B138" s="87" t="s">
        <v>73</v>
      </c>
      <c r="C138" s="1" t="s">
        <v>38</v>
      </c>
      <c r="D138" s="671" t="s">
        <v>434</v>
      </c>
      <c r="E138" s="671"/>
      <c r="F138" s="671"/>
    </row>
    <row r="139" spans="1:9" x14ac:dyDescent="0.25">
      <c r="A139" s="1">
        <v>137</v>
      </c>
      <c r="B139" s="1" t="s">
        <v>186</v>
      </c>
      <c r="C139" s="1" t="s">
        <v>187</v>
      </c>
      <c r="D139" s="671" t="s">
        <v>434</v>
      </c>
      <c r="E139" s="671"/>
      <c r="F139" s="671"/>
    </row>
    <row r="140" spans="1:9" x14ac:dyDescent="0.25">
      <c r="A140" s="1">
        <v>138</v>
      </c>
      <c r="B140" s="87" t="s">
        <v>49</v>
      </c>
      <c r="C140" s="1" t="s">
        <v>45</v>
      </c>
      <c r="D140" s="671" t="s">
        <v>434</v>
      </c>
      <c r="E140" s="671"/>
      <c r="F140" s="671"/>
    </row>
    <row r="141" spans="1:9" x14ac:dyDescent="0.25">
      <c r="A141" s="1">
        <v>139</v>
      </c>
      <c r="B141" s="87" t="s">
        <v>63</v>
      </c>
      <c r="C141" s="1" t="s">
        <v>28</v>
      </c>
      <c r="D141" s="671" t="s">
        <v>434</v>
      </c>
      <c r="E141" s="671"/>
      <c r="F141" s="671"/>
    </row>
    <row r="142" spans="1:9" x14ac:dyDescent="0.25">
      <c r="A142" s="1">
        <v>140</v>
      </c>
      <c r="B142" s="87" t="s">
        <v>255</v>
      </c>
      <c r="C142" s="1" t="s">
        <v>28</v>
      </c>
      <c r="D142" s="671" t="s">
        <v>434</v>
      </c>
      <c r="E142" s="671"/>
      <c r="F142" s="671"/>
    </row>
    <row r="143" spans="1:9" x14ac:dyDescent="0.25">
      <c r="A143" s="1">
        <v>141</v>
      </c>
      <c r="B143" s="87" t="s">
        <v>54</v>
      </c>
      <c r="C143" s="1" t="s">
        <v>33</v>
      </c>
      <c r="D143" s="671" t="s">
        <v>434</v>
      </c>
      <c r="E143" s="671"/>
      <c r="F143" s="671"/>
    </row>
    <row r="144" spans="1:9" x14ac:dyDescent="0.25">
      <c r="A144" s="1">
        <v>142</v>
      </c>
      <c r="B144" s="87" t="s">
        <v>94</v>
      </c>
      <c r="C144" s="1" t="s">
        <v>36</v>
      </c>
      <c r="D144" s="671" t="s">
        <v>434</v>
      </c>
      <c r="E144" s="671"/>
      <c r="F144" s="671"/>
    </row>
    <row r="145" spans="1:6" x14ac:dyDescent="0.25">
      <c r="A145" s="1">
        <v>143</v>
      </c>
      <c r="B145" s="1" t="s">
        <v>257</v>
      </c>
      <c r="C145" s="1" t="s">
        <v>38</v>
      </c>
      <c r="D145" s="671" t="s">
        <v>434</v>
      </c>
      <c r="E145" s="671"/>
      <c r="F145" s="671"/>
    </row>
    <row r="146" spans="1:6" x14ac:dyDescent="0.25">
      <c r="A146" s="1">
        <v>144</v>
      </c>
      <c r="B146" s="87" t="s">
        <v>70</v>
      </c>
      <c r="C146" s="1" t="s">
        <v>33</v>
      </c>
      <c r="D146" s="671" t="s">
        <v>434</v>
      </c>
      <c r="E146" s="671"/>
      <c r="F146" s="671"/>
    </row>
    <row r="147" spans="1:6" x14ac:dyDescent="0.25">
      <c r="A147" s="1">
        <v>145</v>
      </c>
      <c r="B147" s="1" t="s">
        <v>256</v>
      </c>
      <c r="C147" s="1" t="s">
        <v>23</v>
      </c>
      <c r="D147" s="671" t="s">
        <v>434</v>
      </c>
      <c r="E147" s="671"/>
      <c r="F147" s="671"/>
    </row>
    <row r="148" spans="1:6" x14ac:dyDescent="0.25">
      <c r="A148" s="1">
        <v>146</v>
      </c>
      <c r="B148" s="1" t="s">
        <v>324</v>
      </c>
      <c r="C148" s="1" t="s">
        <v>120</v>
      </c>
      <c r="D148" s="671" t="s">
        <v>434</v>
      </c>
      <c r="E148" s="671"/>
      <c r="F148" s="671"/>
    </row>
    <row r="149" spans="1:6" x14ac:dyDescent="0.25">
      <c r="A149" s="1">
        <v>147</v>
      </c>
      <c r="B149" s="88" t="s">
        <v>131</v>
      </c>
      <c r="C149" s="1" t="s">
        <v>823</v>
      </c>
      <c r="D149" s="671" t="s">
        <v>434</v>
      </c>
      <c r="E149" s="671"/>
      <c r="F149" s="671"/>
    </row>
    <row r="150" spans="1:6" x14ac:dyDescent="0.25">
      <c r="A150" s="1">
        <v>148</v>
      </c>
      <c r="B150" s="87" t="s">
        <v>132</v>
      </c>
      <c r="C150" s="1" t="s">
        <v>822</v>
      </c>
      <c r="D150" s="671" t="s">
        <v>434</v>
      </c>
      <c r="E150" s="671"/>
      <c r="F150" s="671"/>
    </row>
    <row r="151" spans="1:6" x14ac:dyDescent="0.25">
      <c r="A151" s="1">
        <v>149</v>
      </c>
      <c r="B151" s="87" t="s">
        <v>65</v>
      </c>
      <c r="C151" s="1" t="s">
        <v>824</v>
      </c>
      <c r="D151" s="671" t="s">
        <v>434</v>
      </c>
      <c r="E151" s="671"/>
      <c r="F151" s="671"/>
    </row>
    <row r="152" spans="1:6" x14ac:dyDescent="0.25">
      <c r="A152" s="1">
        <v>150</v>
      </c>
      <c r="B152" s="87" t="s">
        <v>67</v>
      </c>
      <c r="C152" s="1" t="s">
        <v>822</v>
      </c>
      <c r="D152" s="671" t="s">
        <v>434</v>
      </c>
      <c r="E152" s="671"/>
      <c r="F152" s="671"/>
    </row>
    <row r="153" spans="1:6" x14ac:dyDescent="0.25">
      <c r="A153" s="1">
        <v>151</v>
      </c>
      <c r="B153" s="87" t="s">
        <v>71</v>
      </c>
      <c r="C153" s="1" t="s">
        <v>823</v>
      </c>
      <c r="D153" s="671" t="s">
        <v>434</v>
      </c>
      <c r="E153" s="671"/>
      <c r="F153" s="671"/>
    </row>
    <row r="154" spans="1:6" x14ac:dyDescent="0.25">
      <c r="A154" s="1">
        <v>152</v>
      </c>
      <c r="B154" s="87" t="s">
        <v>72</v>
      </c>
      <c r="C154" s="1" t="s">
        <v>28</v>
      </c>
      <c r="D154" s="671" t="s">
        <v>434</v>
      </c>
      <c r="E154" s="671"/>
      <c r="F154" s="671"/>
    </row>
    <row r="155" spans="1:6" x14ac:dyDescent="0.25">
      <c r="A155" s="1">
        <v>153</v>
      </c>
      <c r="B155" s="1" t="s">
        <v>250</v>
      </c>
      <c r="C155" s="1" t="s">
        <v>40</v>
      </c>
      <c r="D155" s="671" t="s">
        <v>434</v>
      </c>
      <c r="E155" s="671"/>
      <c r="F155" s="671"/>
    </row>
    <row r="156" spans="1:6" x14ac:dyDescent="0.25">
      <c r="A156" s="1">
        <v>154</v>
      </c>
      <c r="B156" s="1" t="s">
        <v>259</v>
      </c>
      <c r="C156" s="1" t="s">
        <v>28</v>
      </c>
      <c r="D156" s="671" t="s">
        <v>434</v>
      </c>
      <c r="E156" s="671"/>
      <c r="F156" s="671"/>
    </row>
    <row r="157" spans="1:6" x14ac:dyDescent="0.25">
      <c r="A157" s="1">
        <v>155</v>
      </c>
      <c r="B157" s="1" t="s">
        <v>117</v>
      </c>
      <c r="C157" s="1" t="s">
        <v>118</v>
      </c>
      <c r="D157" s="671" t="s">
        <v>434</v>
      </c>
      <c r="E157" s="671"/>
      <c r="F157" s="671"/>
    </row>
    <row r="158" spans="1:6" x14ac:dyDescent="0.25">
      <c r="A158" s="1">
        <v>156</v>
      </c>
      <c r="B158" s="88" t="s">
        <v>69</v>
      </c>
      <c r="C158" s="1" t="s">
        <v>21</v>
      </c>
      <c r="D158" s="671" t="s">
        <v>434</v>
      </c>
      <c r="E158" s="671"/>
      <c r="F158" s="671"/>
    </row>
    <row r="159" spans="1:6" x14ac:dyDescent="0.25">
      <c r="A159" s="1">
        <v>157</v>
      </c>
      <c r="B159" s="87" t="s">
        <v>109</v>
      </c>
      <c r="C159" s="1" t="s">
        <v>36</v>
      </c>
      <c r="D159" s="671" t="s">
        <v>434</v>
      </c>
      <c r="E159" s="671"/>
      <c r="F159" s="671"/>
    </row>
    <row r="160" spans="1:6" x14ac:dyDescent="0.25">
      <c r="A160" s="1">
        <v>158</v>
      </c>
      <c r="B160" s="87" t="s">
        <v>258</v>
      </c>
      <c r="C160" s="1" t="s">
        <v>36</v>
      </c>
      <c r="D160" s="671" t="s">
        <v>434</v>
      </c>
      <c r="E160" s="671"/>
      <c r="F160" s="671"/>
    </row>
    <row r="161" spans="1:6" x14ac:dyDescent="0.25">
      <c r="A161" s="1">
        <v>159</v>
      </c>
      <c r="B161" s="87" t="s">
        <v>338</v>
      </c>
      <c r="C161" s="1" t="s">
        <v>33</v>
      </c>
      <c r="D161" s="671" t="s">
        <v>434</v>
      </c>
      <c r="E161" s="671"/>
      <c r="F161" s="671"/>
    </row>
    <row r="162" spans="1:6" x14ac:dyDescent="0.25">
      <c r="A162" s="1">
        <v>160</v>
      </c>
      <c r="B162" s="87" t="s">
        <v>105</v>
      </c>
      <c r="C162" s="1" t="s">
        <v>33</v>
      </c>
      <c r="D162" s="671" t="s">
        <v>434</v>
      </c>
      <c r="E162" s="671"/>
      <c r="F162" s="671"/>
    </row>
    <row r="163" spans="1:6" x14ac:dyDescent="0.25">
      <c r="A163" s="1">
        <v>161</v>
      </c>
      <c r="B163" s="1" t="s">
        <v>323</v>
      </c>
      <c r="C163" s="1" t="s">
        <v>28</v>
      </c>
      <c r="D163" s="671" t="s">
        <v>434</v>
      </c>
      <c r="E163" s="671"/>
      <c r="F163" s="671"/>
    </row>
    <row r="164" spans="1:6" x14ac:dyDescent="0.25">
      <c r="A164" s="1">
        <v>162</v>
      </c>
      <c r="B164" s="1" t="s">
        <v>325</v>
      </c>
      <c r="C164" s="1" t="s">
        <v>21</v>
      </c>
      <c r="D164" s="671" t="s">
        <v>434</v>
      </c>
      <c r="E164" s="671"/>
      <c r="F164" s="671"/>
    </row>
    <row r="165" spans="1:6" x14ac:dyDescent="0.25">
      <c r="A165" s="1">
        <v>163</v>
      </c>
      <c r="B165" s="87" t="s">
        <v>261</v>
      </c>
      <c r="C165" s="1" t="s">
        <v>36</v>
      </c>
      <c r="D165" s="671" t="s">
        <v>434</v>
      </c>
      <c r="E165" s="671"/>
      <c r="F165" s="671"/>
    </row>
    <row r="166" spans="1:6" x14ac:dyDescent="0.25">
      <c r="A166" s="1">
        <v>164</v>
      </c>
      <c r="B166" s="87" t="s">
        <v>263</v>
      </c>
      <c r="C166" s="1" t="s">
        <v>36</v>
      </c>
      <c r="D166" s="671" t="s">
        <v>434</v>
      </c>
      <c r="E166" s="671"/>
      <c r="F166" s="671"/>
    </row>
    <row r="167" spans="1:6" x14ac:dyDescent="0.25">
      <c r="A167" s="1">
        <v>165</v>
      </c>
      <c r="B167" s="87" t="s">
        <v>334</v>
      </c>
      <c r="C167" s="1" t="s">
        <v>40</v>
      </c>
      <c r="D167" s="671" t="s">
        <v>434</v>
      </c>
      <c r="E167" s="671"/>
      <c r="F167" s="671"/>
    </row>
    <row r="168" spans="1:6" x14ac:dyDescent="0.25">
      <c r="A168" s="1">
        <v>166</v>
      </c>
      <c r="B168" s="87" t="s">
        <v>119</v>
      </c>
      <c r="C168" s="1" t="s">
        <v>120</v>
      </c>
      <c r="D168" s="671" t="s">
        <v>434</v>
      </c>
      <c r="E168" s="671"/>
      <c r="F168" s="671"/>
    </row>
    <row r="169" spans="1:6" x14ac:dyDescent="0.25">
      <c r="A169" s="1">
        <v>167</v>
      </c>
      <c r="B169" s="87" t="s">
        <v>341</v>
      </c>
      <c r="C169" s="1" t="s">
        <v>21</v>
      </c>
      <c r="D169" s="671" t="s">
        <v>434</v>
      </c>
      <c r="E169" s="671"/>
      <c r="F169" s="671"/>
    </row>
    <row r="170" spans="1:6" x14ac:dyDescent="0.25">
      <c r="A170" s="1">
        <v>168</v>
      </c>
      <c r="B170" s="87" t="s">
        <v>246</v>
      </c>
      <c r="C170" s="1" t="s">
        <v>23</v>
      </c>
      <c r="D170" s="671" t="s">
        <v>434</v>
      </c>
      <c r="E170" s="671"/>
      <c r="F170" s="671"/>
    </row>
    <row r="171" spans="1:6" x14ac:dyDescent="0.25">
      <c r="A171" s="1">
        <v>169</v>
      </c>
      <c r="B171" s="87" t="s">
        <v>331</v>
      </c>
      <c r="C171" s="1" t="s">
        <v>28</v>
      </c>
      <c r="D171" s="671" t="s">
        <v>434</v>
      </c>
      <c r="E171" s="671"/>
      <c r="F171" s="671"/>
    </row>
    <row r="172" spans="1:6" x14ac:dyDescent="0.25">
      <c r="A172" s="1">
        <v>170</v>
      </c>
      <c r="B172" s="87" t="s">
        <v>342</v>
      </c>
      <c r="C172" s="1" t="s">
        <v>28</v>
      </c>
      <c r="D172" s="671" t="s">
        <v>434</v>
      </c>
      <c r="E172" s="671"/>
      <c r="F172" s="671"/>
    </row>
    <row r="173" spans="1:6" x14ac:dyDescent="0.25">
      <c r="A173" s="1">
        <v>171</v>
      </c>
      <c r="B173" s="87" t="s">
        <v>44</v>
      </c>
      <c r="C173" s="1" t="s">
        <v>45</v>
      </c>
      <c r="D173" s="671" t="s">
        <v>434</v>
      </c>
      <c r="E173" s="671"/>
      <c r="F173" s="671"/>
    </row>
    <row r="174" spans="1:6" x14ac:dyDescent="0.25">
      <c r="A174" s="1">
        <v>172</v>
      </c>
      <c r="B174" s="87" t="s">
        <v>135</v>
      </c>
      <c r="C174" s="1" t="s">
        <v>17</v>
      </c>
      <c r="D174" s="671" t="s">
        <v>434</v>
      </c>
      <c r="E174" s="671"/>
      <c r="F174" s="671"/>
    </row>
    <row r="175" spans="1:6" x14ac:dyDescent="0.25">
      <c r="A175" s="1">
        <v>173</v>
      </c>
      <c r="B175" s="87" t="s">
        <v>326</v>
      </c>
      <c r="C175" s="1" t="s">
        <v>45</v>
      </c>
      <c r="D175" s="671" t="s">
        <v>434</v>
      </c>
      <c r="E175" s="671"/>
      <c r="F175" s="671"/>
    </row>
    <row r="176" spans="1:6" x14ac:dyDescent="0.25">
      <c r="A176" s="1">
        <v>174</v>
      </c>
      <c r="B176" s="1" t="s">
        <v>295</v>
      </c>
      <c r="C176" s="1" t="s">
        <v>40</v>
      </c>
      <c r="D176" s="671" t="s">
        <v>434</v>
      </c>
      <c r="E176" s="671"/>
      <c r="F176" s="671"/>
    </row>
    <row r="177" spans="1:6" x14ac:dyDescent="0.25">
      <c r="A177" s="1">
        <v>175</v>
      </c>
      <c r="B177" s="1" t="s">
        <v>347</v>
      </c>
      <c r="C177" s="1" t="s">
        <v>241</v>
      </c>
      <c r="D177" s="671" t="s">
        <v>434</v>
      </c>
      <c r="E177" s="671"/>
      <c r="F177" s="671"/>
    </row>
    <row r="178" spans="1:6" x14ac:dyDescent="0.25">
      <c r="A178" s="1">
        <v>176</v>
      </c>
      <c r="B178" s="1" t="s">
        <v>224</v>
      </c>
      <c r="C178" s="1" t="s">
        <v>23</v>
      </c>
      <c r="D178" s="671" t="s">
        <v>434</v>
      </c>
      <c r="E178" s="671"/>
      <c r="F178" s="671"/>
    </row>
    <row r="179" spans="1:6" x14ac:dyDescent="0.25">
      <c r="A179" s="1">
        <v>177</v>
      </c>
      <c r="B179" s="87" t="s">
        <v>296</v>
      </c>
      <c r="C179" s="1" t="s">
        <v>118</v>
      </c>
      <c r="D179" s="671" t="s">
        <v>434</v>
      </c>
      <c r="E179" s="671"/>
      <c r="F179" s="671"/>
    </row>
    <row r="180" spans="1:6" x14ac:dyDescent="0.25">
      <c r="A180" s="1">
        <v>178</v>
      </c>
      <c r="B180" s="87" t="s">
        <v>300</v>
      </c>
      <c r="C180" s="1" t="s">
        <v>21</v>
      </c>
      <c r="D180" s="671" t="s">
        <v>434</v>
      </c>
      <c r="E180" s="671"/>
      <c r="F180" s="671"/>
    </row>
    <row r="181" spans="1:6" x14ac:dyDescent="0.25">
      <c r="A181" s="1">
        <v>179</v>
      </c>
      <c r="B181" s="87" t="s">
        <v>305</v>
      </c>
      <c r="C181" s="1" t="s">
        <v>398</v>
      </c>
      <c r="D181" s="671" t="s">
        <v>434</v>
      </c>
      <c r="E181" s="671"/>
      <c r="F181" s="671"/>
    </row>
    <row r="182" spans="1:6" x14ac:dyDescent="0.25">
      <c r="A182" s="1">
        <v>180</v>
      </c>
      <c r="B182" s="1" t="s">
        <v>150</v>
      </c>
      <c r="C182" s="1" t="s">
        <v>151</v>
      </c>
      <c r="D182" s="671" t="s">
        <v>434</v>
      </c>
      <c r="E182" s="671"/>
      <c r="F182" s="671"/>
    </row>
    <row r="183" spans="1:6" x14ac:dyDescent="0.25">
      <c r="A183" s="1">
        <v>181</v>
      </c>
      <c r="B183" s="1" t="s">
        <v>158</v>
      </c>
      <c r="C183" s="1" t="s">
        <v>159</v>
      </c>
      <c r="D183" s="671" t="s">
        <v>434</v>
      </c>
      <c r="E183" s="671"/>
      <c r="F183" s="671"/>
    </row>
    <row r="184" spans="1:6" x14ac:dyDescent="0.25">
      <c r="A184" s="1">
        <v>182</v>
      </c>
      <c r="B184" s="1" t="s">
        <v>89</v>
      </c>
      <c r="C184" s="1" t="s">
        <v>23</v>
      </c>
      <c r="D184" s="671" t="s">
        <v>434</v>
      </c>
      <c r="E184" s="671"/>
      <c r="F184" s="671"/>
    </row>
    <row r="185" spans="1:6" x14ac:dyDescent="0.25">
      <c r="A185" s="1">
        <v>183</v>
      </c>
      <c r="B185" s="1" t="s">
        <v>178</v>
      </c>
      <c r="C185" s="1" t="s">
        <v>161</v>
      </c>
      <c r="D185" s="671" t="s">
        <v>434</v>
      </c>
      <c r="E185" s="671"/>
      <c r="F185" s="671"/>
    </row>
    <row r="186" spans="1:6" x14ac:dyDescent="0.25">
      <c r="A186" s="1">
        <v>184</v>
      </c>
      <c r="B186" s="1" t="s">
        <v>74</v>
      </c>
      <c r="C186" s="1" t="s">
        <v>75</v>
      </c>
      <c r="D186" s="671" t="s">
        <v>434</v>
      </c>
      <c r="E186" s="671"/>
      <c r="F186" s="671"/>
    </row>
    <row r="187" spans="1:6" x14ac:dyDescent="0.25">
      <c r="A187" s="1">
        <v>185</v>
      </c>
      <c r="B187" s="1" t="s">
        <v>168</v>
      </c>
      <c r="C187" s="1" t="s">
        <v>169</v>
      </c>
      <c r="D187" s="671" t="s">
        <v>434</v>
      </c>
      <c r="E187" s="671"/>
      <c r="F187" s="671"/>
    </row>
    <row r="188" spans="1:6" x14ac:dyDescent="0.25">
      <c r="A188" s="1">
        <v>186</v>
      </c>
      <c r="B188" s="1" t="s">
        <v>276</v>
      </c>
      <c r="C188" s="1" t="s">
        <v>19</v>
      </c>
      <c r="D188" s="671" t="s">
        <v>434</v>
      </c>
      <c r="E188" s="671"/>
      <c r="F188" s="671"/>
    </row>
    <row r="189" spans="1:6" x14ac:dyDescent="0.25">
      <c r="A189" s="1">
        <v>187</v>
      </c>
      <c r="B189" s="1" t="s">
        <v>212</v>
      </c>
      <c r="C189" s="1" t="s">
        <v>23</v>
      </c>
      <c r="D189" s="671" t="s">
        <v>434</v>
      </c>
      <c r="E189" s="671"/>
      <c r="F189" s="671"/>
    </row>
    <row r="190" spans="1:6" x14ac:dyDescent="0.25">
      <c r="A190" s="1">
        <v>188</v>
      </c>
      <c r="B190" s="1" t="s">
        <v>400</v>
      </c>
      <c r="C190" s="1" t="s">
        <v>38</v>
      </c>
      <c r="D190" s="671" t="s">
        <v>434</v>
      </c>
      <c r="E190" s="671"/>
      <c r="F190" s="671"/>
    </row>
    <row r="191" spans="1:6" x14ac:dyDescent="0.25">
      <c r="A191" s="1">
        <v>189</v>
      </c>
      <c r="B191" s="87" t="s">
        <v>174</v>
      </c>
      <c r="C191" s="1" t="s">
        <v>36</v>
      </c>
      <c r="D191" s="671" t="s">
        <v>434</v>
      </c>
      <c r="E191" s="671"/>
      <c r="F191" s="671"/>
    </row>
    <row r="192" spans="1:6" x14ac:dyDescent="0.25">
      <c r="A192" s="1">
        <v>190</v>
      </c>
      <c r="B192" s="87" t="s">
        <v>275</v>
      </c>
      <c r="C192" s="1" t="s">
        <v>38</v>
      </c>
      <c r="D192" s="671" t="s">
        <v>434</v>
      </c>
      <c r="E192" s="671"/>
      <c r="F192" s="671"/>
    </row>
  </sheetData>
  <autoFilter ref="A2:I187" xr:uid="{00000000-0009-0000-0000-000003000000}"/>
  <mergeCells count="191">
    <mergeCell ref="D192:F192"/>
    <mergeCell ref="D191:F19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21:F121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10:F110"/>
    <mergeCell ref="D111:F111"/>
    <mergeCell ref="D115:F115"/>
    <mergeCell ref="D116:F116"/>
    <mergeCell ref="D107:F107"/>
    <mergeCell ref="D108:F108"/>
    <mergeCell ref="D98:F98"/>
    <mergeCell ref="D99:F99"/>
    <mergeCell ref="D102:F102"/>
    <mergeCell ref="D103:F103"/>
    <mergeCell ref="D104:F104"/>
    <mergeCell ref="D105:F105"/>
    <mergeCell ref="D106:F10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D39:F39"/>
    <mergeCell ref="D40:F40"/>
    <mergeCell ref="D45:F45"/>
    <mergeCell ref="D51:F51"/>
    <mergeCell ref="D52:F52"/>
    <mergeCell ref="D46:F46"/>
    <mergeCell ref="D47:F47"/>
    <mergeCell ref="D53:F53"/>
    <mergeCell ref="D54:F54"/>
    <mergeCell ref="D55:F55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7:F7"/>
    <mergeCell ref="A1:I1"/>
    <mergeCell ref="D3:F3"/>
    <mergeCell ref="D4:F4"/>
    <mergeCell ref="D5:F5"/>
    <mergeCell ref="D6:F6"/>
    <mergeCell ref="D8:F8"/>
    <mergeCell ref="D9:F9"/>
    <mergeCell ref="D10:F10"/>
    <mergeCell ref="D72:F72"/>
    <mergeCell ref="D73:F73"/>
    <mergeCell ref="D74:F74"/>
    <mergeCell ref="D75:F75"/>
    <mergeCell ref="D76:F76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62:F62"/>
    <mergeCell ref="D63:F63"/>
    <mergeCell ref="D64:F64"/>
    <mergeCell ref="D65:F65"/>
    <mergeCell ref="D66:F66"/>
    <mergeCell ref="D77:F77"/>
    <mergeCell ref="D78:F78"/>
    <mergeCell ref="D79:F79"/>
    <mergeCell ref="D80:F80"/>
    <mergeCell ref="D81:F81"/>
    <mergeCell ref="D87:F87"/>
    <mergeCell ref="D88:F88"/>
    <mergeCell ref="D109:F109"/>
    <mergeCell ref="D89:F89"/>
    <mergeCell ref="D90:F90"/>
    <mergeCell ref="D91:F91"/>
    <mergeCell ref="D82:F82"/>
    <mergeCell ref="D83:F83"/>
    <mergeCell ref="D84:F84"/>
    <mergeCell ref="D85:F85"/>
    <mergeCell ref="D86:F86"/>
    <mergeCell ref="D97:F97"/>
    <mergeCell ref="D100:F100"/>
    <mergeCell ref="D101:F101"/>
    <mergeCell ref="D92:F92"/>
    <mergeCell ref="D93:F93"/>
    <mergeCell ref="D94:F94"/>
    <mergeCell ref="D95:F95"/>
    <mergeCell ref="D96:F96"/>
    <mergeCell ref="D156:F156"/>
    <mergeCell ref="D157:F157"/>
    <mergeCell ref="D152:F152"/>
    <mergeCell ref="D153:F153"/>
    <mergeCell ref="D154:F154"/>
    <mergeCell ref="D155:F155"/>
    <mergeCell ref="D159:F159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8:F158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66:F166"/>
    <mergeCell ref="D167:F167"/>
    <mergeCell ref="D172:F172"/>
    <mergeCell ref="D170:F170"/>
    <mergeCell ref="D171:F171"/>
  </mergeCells>
  <conditionalFormatting sqref="B3:B167">
    <cfRule type="duplicateValues" dxfId="1" priority="256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zoomScale="78" zoomScaleNormal="78" workbookViewId="0">
      <pane ySplit="1" topLeftCell="A14" activePane="bottomLeft" state="frozen"/>
      <selection activeCell="C1" sqref="C1"/>
      <selection pane="bottomLeft" activeCell="L19" sqref="L19"/>
    </sheetView>
  </sheetViews>
  <sheetFormatPr defaultRowHeight="15" x14ac:dyDescent="0.25"/>
  <cols>
    <col min="1" max="14" width="23.140625" customWidth="1"/>
    <col min="15" max="15" width="21.5703125" customWidth="1"/>
  </cols>
  <sheetData>
    <row r="1" spans="1:15" ht="15.75" thickBot="1" x14ac:dyDescent="0.3"/>
    <row r="2" spans="1:15" ht="57.75" thickBot="1" x14ac:dyDescent="0.3">
      <c r="A2" s="241" t="s">
        <v>4</v>
      </c>
      <c r="B2" s="242" t="s">
        <v>701</v>
      </c>
      <c r="C2" s="242" t="s">
        <v>702</v>
      </c>
      <c r="D2" s="242" t="s">
        <v>703</v>
      </c>
      <c r="E2" s="242" t="s">
        <v>704</v>
      </c>
      <c r="F2" s="242" t="s">
        <v>705</v>
      </c>
      <c r="G2" s="242" t="s">
        <v>6</v>
      </c>
      <c r="H2" s="242" t="s">
        <v>706</v>
      </c>
      <c r="I2" s="242" t="s">
        <v>707</v>
      </c>
      <c r="J2" s="242" t="s">
        <v>708</v>
      </c>
      <c r="K2" s="242" t="s">
        <v>709</v>
      </c>
      <c r="L2" s="242" t="s">
        <v>710</v>
      </c>
      <c r="M2" s="242" t="s">
        <v>711</v>
      </c>
      <c r="N2" s="242" t="s">
        <v>379</v>
      </c>
    </row>
    <row r="3" spans="1:15" ht="38.25" customHeight="1" thickBot="1" x14ac:dyDescent="0.3">
      <c r="A3" s="243">
        <v>1</v>
      </c>
      <c r="B3" s="676" t="s">
        <v>418</v>
      </c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8"/>
    </row>
    <row r="4" spans="1:15" ht="66.75" customHeight="1" thickBot="1" x14ac:dyDescent="0.3">
      <c r="A4" s="244" t="s">
        <v>712</v>
      </c>
      <c r="B4" s="245" t="s">
        <v>713</v>
      </c>
      <c r="C4" s="245">
        <v>2</v>
      </c>
      <c r="D4" s="245" t="s">
        <v>714</v>
      </c>
      <c r="E4" s="245" t="s">
        <v>610</v>
      </c>
      <c r="F4" s="245" t="s">
        <v>611</v>
      </c>
      <c r="G4" s="245" t="s">
        <v>715</v>
      </c>
      <c r="H4" s="245" t="s">
        <v>467</v>
      </c>
      <c r="I4" s="245" t="s">
        <v>716</v>
      </c>
      <c r="J4" s="245" t="s">
        <v>717</v>
      </c>
      <c r="K4" s="246" t="s">
        <v>718</v>
      </c>
      <c r="L4" s="679" t="s">
        <v>719</v>
      </c>
      <c r="M4" s="682" t="s">
        <v>720</v>
      </c>
      <c r="N4" s="245"/>
      <c r="O4" s="247"/>
    </row>
    <row r="5" spans="1:15" ht="63.75" customHeight="1" thickBot="1" x14ac:dyDescent="0.3">
      <c r="A5" s="246" t="s">
        <v>721</v>
      </c>
      <c r="B5" s="246" t="s">
        <v>722</v>
      </c>
      <c r="C5" s="248">
        <v>2</v>
      </c>
      <c r="D5" s="682" t="s">
        <v>723</v>
      </c>
      <c r="E5" s="249" t="s">
        <v>616</v>
      </c>
      <c r="F5" s="250" t="s">
        <v>611</v>
      </c>
      <c r="G5" s="251" t="s">
        <v>715</v>
      </c>
      <c r="H5" s="251" t="s">
        <v>665</v>
      </c>
      <c r="I5" s="251" t="s">
        <v>724</v>
      </c>
      <c r="J5" s="682" t="s">
        <v>725</v>
      </c>
      <c r="K5" s="246" t="s">
        <v>726</v>
      </c>
      <c r="L5" s="680"/>
      <c r="M5" s="683"/>
      <c r="N5" s="251"/>
      <c r="O5" s="247"/>
    </row>
    <row r="6" spans="1:15" ht="63.75" customHeight="1" thickBot="1" x14ac:dyDescent="0.3">
      <c r="A6" s="246" t="s">
        <v>727</v>
      </c>
      <c r="B6" s="246" t="s">
        <v>728</v>
      </c>
      <c r="C6" s="246">
        <v>2</v>
      </c>
      <c r="D6" s="683"/>
      <c r="E6" s="246" t="s">
        <v>618</v>
      </c>
      <c r="F6" s="246" t="s">
        <v>611</v>
      </c>
      <c r="G6" s="246" t="s">
        <v>715</v>
      </c>
      <c r="H6" s="246" t="s">
        <v>729</v>
      </c>
      <c r="I6" s="246" t="s">
        <v>724</v>
      </c>
      <c r="J6" s="683"/>
      <c r="K6" s="246" t="s">
        <v>726</v>
      </c>
      <c r="L6" s="680"/>
      <c r="M6" s="683"/>
      <c r="N6" s="246"/>
      <c r="O6" s="247"/>
    </row>
    <row r="7" spans="1:15" ht="61.5" customHeight="1" thickBot="1" x14ac:dyDescent="0.3">
      <c r="A7" s="246" t="s">
        <v>730</v>
      </c>
      <c r="B7" s="246" t="s">
        <v>731</v>
      </c>
      <c r="C7" s="246">
        <v>2</v>
      </c>
      <c r="D7" s="683"/>
      <c r="E7" s="246" t="s">
        <v>619</v>
      </c>
      <c r="F7" s="246" t="s">
        <v>611</v>
      </c>
      <c r="G7" s="246" t="s">
        <v>715</v>
      </c>
      <c r="H7" s="246" t="s">
        <v>665</v>
      </c>
      <c r="I7" s="246" t="s">
        <v>724</v>
      </c>
      <c r="J7" s="683"/>
      <c r="K7" s="246" t="s">
        <v>726</v>
      </c>
      <c r="L7" s="680"/>
      <c r="M7" s="683"/>
      <c r="N7" s="246"/>
      <c r="O7" s="247"/>
    </row>
    <row r="8" spans="1:15" ht="60.75" customHeight="1" thickBot="1" x14ac:dyDescent="0.3">
      <c r="A8" s="246" t="s">
        <v>732</v>
      </c>
      <c r="B8" s="246" t="s">
        <v>733</v>
      </c>
      <c r="C8" s="246">
        <v>2</v>
      </c>
      <c r="D8" s="683"/>
      <c r="E8" s="246" t="s">
        <v>620</v>
      </c>
      <c r="F8" s="246" t="s">
        <v>611</v>
      </c>
      <c r="G8" s="246" t="s">
        <v>715</v>
      </c>
      <c r="H8" s="246" t="s">
        <v>665</v>
      </c>
      <c r="I8" s="246" t="s">
        <v>724</v>
      </c>
      <c r="J8" s="684"/>
      <c r="K8" s="246" t="s">
        <v>726</v>
      </c>
      <c r="L8" s="681"/>
      <c r="M8" s="684"/>
      <c r="N8" s="246"/>
      <c r="O8" s="247"/>
    </row>
    <row r="9" spans="1:15" ht="60.75" customHeight="1" thickBot="1" x14ac:dyDescent="0.3">
      <c r="A9" s="246" t="s">
        <v>734</v>
      </c>
      <c r="B9" s="246" t="s">
        <v>735</v>
      </c>
      <c r="C9" s="246">
        <v>2</v>
      </c>
      <c r="D9" s="683"/>
      <c r="E9" s="246" t="s">
        <v>629</v>
      </c>
      <c r="F9" s="246" t="s">
        <v>611</v>
      </c>
      <c r="G9" s="246" t="s">
        <v>715</v>
      </c>
      <c r="H9" s="246" t="s">
        <v>774</v>
      </c>
      <c r="I9" s="246" t="s">
        <v>736</v>
      </c>
      <c r="J9" s="246" t="s">
        <v>630</v>
      </c>
      <c r="K9" s="246" t="s">
        <v>630</v>
      </c>
      <c r="L9" s="246" t="s">
        <v>630</v>
      </c>
      <c r="M9" s="248" t="s">
        <v>630</v>
      </c>
      <c r="N9" s="246"/>
      <c r="O9" s="247"/>
    </row>
    <row r="10" spans="1:15" ht="62.25" customHeight="1" thickBot="1" x14ac:dyDescent="0.3">
      <c r="A10" s="246" t="s">
        <v>737</v>
      </c>
      <c r="B10" s="254" t="s">
        <v>738</v>
      </c>
      <c r="C10" s="254">
        <v>2</v>
      </c>
      <c r="D10" s="684"/>
      <c r="E10" s="254" t="s">
        <v>633</v>
      </c>
      <c r="F10" s="254" t="s">
        <v>611</v>
      </c>
      <c r="G10" s="254" t="s">
        <v>715</v>
      </c>
      <c r="H10" s="254" t="s">
        <v>665</v>
      </c>
      <c r="I10" s="254" t="s">
        <v>739</v>
      </c>
      <c r="J10" s="254" t="s">
        <v>630</v>
      </c>
      <c r="K10" s="254" t="s">
        <v>630</v>
      </c>
      <c r="L10" s="246" t="s">
        <v>630</v>
      </c>
      <c r="M10" s="248" t="s">
        <v>630</v>
      </c>
      <c r="N10" s="254"/>
      <c r="O10" s="247"/>
    </row>
    <row r="11" spans="1:15" ht="64.5" customHeight="1" thickBot="1" x14ac:dyDescent="0.3">
      <c r="A11" s="246" t="s">
        <v>740</v>
      </c>
      <c r="B11" s="248" t="s">
        <v>741</v>
      </c>
      <c r="C11" s="248">
        <v>2</v>
      </c>
      <c r="D11" s="248" t="s">
        <v>742</v>
      </c>
      <c r="E11" s="246" t="s">
        <v>621</v>
      </c>
      <c r="F11" s="248" t="s">
        <v>611</v>
      </c>
      <c r="G11" s="248" t="s">
        <v>715</v>
      </c>
      <c r="H11" s="248" t="s">
        <v>467</v>
      </c>
      <c r="I11" s="248" t="s">
        <v>743</v>
      </c>
      <c r="J11" s="248" t="s">
        <v>744</v>
      </c>
      <c r="K11" s="248" t="s">
        <v>743</v>
      </c>
      <c r="L11" s="255" t="s">
        <v>719</v>
      </c>
      <c r="M11" s="256" t="s">
        <v>720</v>
      </c>
      <c r="N11" s="248"/>
      <c r="O11" s="247"/>
    </row>
    <row r="12" spans="1:15" ht="64.5" customHeight="1" thickBot="1" x14ac:dyDescent="0.3">
      <c r="A12" s="246" t="s">
        <v>745</v>
      </c>
      <c r="B12" s="246" t="s">
        <v>746</v>
      </c>
      <c r="C12" s="246">
        <v>2</v>
      </c>
      <c r="D12" s="246" t="s">
        <v>747</v>
      </c>
      <c r="E12" s="246" t="s">
        <v>625</v>
      </c>
      <c r="F12" s="246" t="s">
        <v>611</v>
      </c>
      <c r="G12" s="246" t="s">
        <v>715</v>
      </c>
      <c r="H12" s="246" t="s">
        <v>665</v>
      </c>
      <c r="I12" s="254" t="s">
        <v>739</v>
      </c>
      <c r="J12" s="248" t="s">
        <v>748</v>
      </c>
      <c r="K12" s="248"/>
      <c r="L12" s="255" t="s">
        <v>719</v>
      </c>
      <c r="M12" s="256" t="s">
        <v>720</v>
      </c>
      <c r="N12" s="246"/>
      <c r="O12" s="247"/>
    </row>
    <row r="13" spans="1:15" ht="39.75" customHeight="1" thickBot="1" x14ac:dyDescent="0.3">
      <c r="A13" s="243">
        <v>2</v>
      </c>
      <c r="B13" s="676" t="s">
        <v>749</v>
      </c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678"/>
      <c r="O13" s="247"/>
    </row>
    <row r="14" spans="1:15" ht="61.5" customHeight="1" thickBot="1" x14ac:dyDescent="0.3">
      <c r="A14" s="252" t="s">
        <v>712</v>
      </c>
      <c r="B14" s="257" t="s">
        <v>750</v>
      </c>
      <c r="C14" s="257">
        <v>2</v>
      </c>
      <c r="D14" s="257" t="s">
        <v>751</v>
      </c>
      <c r="E14" s="245" t="s">
        <v>635</v>
      </c>
      <c r="F14" s="257" t="s">
        <v>611</v>
      </c>
      <c r="G14" s="257" t="s">
        <v>715</v>
      </c>
      <c r="H14" s="257" t="s">
        <v>487</v>
      </c>
      <c r="I14" s="257" t="s">
        <v>752</v>
      </c>
      <c r="J14" s="257" t="s">
        <v>753</v>
      </c>
      <c r="K14" s="257" t="s">
        <v>1947</v>
      </c>
      <c r="L14" s="257" t="s">
        <v>719</v>
      </c>
      <c r="M14" s="256" t="s">
        <v>720</v>
      </c>
      <c r="N14" s="245"/>
      <c r="O14" s="247"/>
    </row>
    <row r="15" spans="1:15" ht="61.5" customHeight="1" thickBot="1" x14ac:dyDescent="0.3">
      <c r="A15" s="248" t="s">
        <v>721</v>
      </c>
      <c r="B15" s="246" t="s">
        <v>754</v>
      </c>
      <c r="C15" s="246">
        <v>2</v>
      </c>
      <c r="D15" s="248" t="s">
        <v>751</v>
      </c>
      <c r="E15" s="246" t="s">
        <v>637</v>
      </c>
      <c r="F15" s="246" t="s">
        <v>611</v>
      </c>
      <c r="G15" s="246" t="s">
        <v>715</v>
      </c>
      <c r="H15" s="246" t="s">
        <v>487</v>
      </c>
      <c r="I15" s="246" t="s">
        <v>755</v>
      </c>
      <c r="J15" s="246" t="s">
        <v>753</v>
      </c>
      <c r="K15" s="246" t="s">
        <v>630</v>
      </c>
      <c r="L15" s="246" t="s">
        <v>719</v>
      </c>
      <c r="M15" s="256" t="s">
        <v>720</v>
      </c>
      <c r="N15" s="246"/>
      <c r="O15" s="247"/>
    </row>
    <row r="16" spans="1:15" ht="61.5" customHeight="1" thickBot="1" x14ac:dyDescent="0.3">
      <c r="A16" s="253" t="s">
        <v>727</v>
      </c>
      <c r="B16" s="246" t="s">
        <v>756</v>
      </c>
      <c r="C16" s="246">
        <v>2</v>
      </c>
      <c r="D16" s="257" t="s">
        <v>751</v>
      </c>
      <c r="E16" s="246" t="s">
        <v>638</v>
      </c>
      <c r="F16" s="246" t="s">
        <v>611</v>
      </c>
      <c r="G16" s="246" t="s">
        <v>715</v>
      </c>
      <c r="H16" s="246" t="s">
        <v>487</v>
      </c>
      <c r="I16" s="246" t="s">
        <v>739</v>
      </c>
      <c r="J16" s="246" t="s">
        <v>753</v>
      </c>
      <c r="K16" s="246" t="s">
        <v>630</v>
      </c>
      <c r="L16" s="246" t="s">
        <v>719</v>
      </c>
      <c r="M16" s="256" t="s">
        <v>720</v>
      </c>
      <c r="N16" s="246"/>
      <c r="O16" s="247"/>
    </row>
    <row r="17" spans="1:15" ht="42" customHeight="1" thickBot="1" x14ac:dyDescent="0.3">
      <c r="A17" s="243">
        <v>3</v>
      </c>
      <c r="B17" s="676" t="s">
        <v>757</v>
      </c>
      <c r="C17" s="677"/>
      <c r="D17" s="677"/>
      <c r="E17" s="677"/>
      <c r="F17" s="677"/>
      <c r="G17" s="677"/>
      <c r="H17" s="677"/>
      <c r="I17" s="677"/>
      <c r="J17" s="677"/>
      <c r="K17" s="677"/>
      <c r="L17" s="677"/>
      <c r="M17" s="677"/>
      <c r="N17" s="678"/>
      <c r="O17" s="247"/>
    </row>
    <row r="18" spans="1:15" ht="59.25" customHeight="1" thickBot="1" x14ac:dyDescent="0.3">
      <c r="A18" s="253" t="s">
        <v>712</v>
      </c>
      <c r="B18" s="258" t="s">
        <v>758</v>
      </c>
      <c r="C18" s="258">
        <v>2</v>
      </c>
      <c r="D18" s="258" t="s">
        <v>759</v>
      </c>
      <c r="E18" s="249" t="s">
        <v>641</v>
      </c>
      <c r="F18" s="250" t="s">
        <v>611</v>
      </c>
      <c r="G18" s="251" t="s">
        <v>715</v>
      </c>
      <c r="H18" s="251" t="s">
        <v>760</v>
      </c>
      <c r="I18" s="251" t="s">
        <v>761</v>
      </c>
      <c r="J18" s="251" t="s">
        <v>753</v>
      </c>
      <c r="K18" s="259" t="s">
        <v>2028</v>
      </c>
      <c r="L18" s="251" t="s">
        <v>719</v>
      </c>
      <c r="M18" s="256" t="s">
        <v>720</v>
      </c>
      <c r="N18" s="251"/>
      <c r="O18" s="247"/>
    </row>
    <row r="19" spans="1:15" ht="15.75" thickBot="1" x14ac:dyDescent="0.3">
      <c r="A19" s="253"/>
      <c r="B19" s="260" t="s">
        <v>7</v>
      </c>
      <c r="C19" s="258">
        <f>SUM(C4:C18)</f>
        <v>26</v>
      </c>
      <c r="D19" s="261"/>
      <c r="E19" s="256"/>
      <c r="F19" s="262"/>
      <c r="G19" s="262"/>
      <c r="H19" s="262"/>
      <c r="I19" s="262"/>
      <c r="J19" s="262"/>
      <c r="K19" s="262"/>
      <c r="L19" s="262"/>
      <c r="M19" s="262"/>
      <c r="N19" s="262"/>
      <c r="O19" s="5"/>
    </row>
    <row r="20" spans="1:15" ht="15.75" thickBot="1" x14ac:dyDescent="0.3">
      <c r="A20" s="253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4"/>
  <sheetViews>
    <sheetView topLeftCell="A4" zoomScale="76" workbookViewId="0">
      <selection activeCell="H16" sqref="H16"/>
    </sheetView>
  </sheetViews>
  <sheetFormatPr defaultRowHeight="15" x14ac:dyDescent="0.25"/>
  <cols>
    <col min="2" max="2" width="10.7109375" customWidth="1"/>
    <col min="3" max="3" width="13.85546875" customWidth="1"/>
    <col min="4" max="4" width="13.28515625" customWidth="1"/>
    <col min="5" max="5" width="12.140625" customWidth="1"/>
    <col min="7" max="7" width="10.5703125" customWidth="1"/>
    <col min="10" max="10" width="13.42578125" customWidth="1"/>
    <col min="11" max="11" width="7.5703125" customWidth="1"/>
    <col min="12" max="12" width="7.140625" customWidth="1"/>
  </cols>
  <sheetData>
    <row r="1" spans="2:12" ht="15.75" thickBot="1" x14ac:dyDescent="0.3"/>
    <row r="2" spans="2:12" ht="31.5" customHeight="1" x14ac:dyDescent="0.25">
      <c r="B2" s="236" t="s">
        <v>666</v>
      </c>
      <c r="C2" s="691" t="s">
        <v>667</v>
      </c>
      <c r="D2" s="692"/>
      <c r="E2" s="692"/>
      <c r="F2" s="692"/>
      <c r="G2" s="692"/>
      <c r="H2" s="692"/>
      <c r="I2" s="692"/>
      <c r="J2" s="693"/>
      <c r="K2" s="239"/>
      <c r="L2" s="216"/>
    </row>
    <row r="3" spans="2:12" ht="15.75" x14ac:dyDescent="0.25">
      <c r="B3" s="237" t="s">
        <v>668</v>
      </c>
      <c r="C3" s="694" t="s">
        <v>669</v>
      </c>
      <c r="D3" s="695"/>
      <c r="E3" s="695"/>
      <c r="F3" s="695"/>
      <c r="G3" s="695"/>
      <c r="H3" s="695"/>
      <c r="I3" s="695"/>
      <c r="J3" s="696"/>
      <c r="K3" s="239"/>
      <c r="L3" s="216"/>
    </row>
    <row r="4" spans="2:12" ht="15.75" customHeight="1" x14ac:dyDescent="0.25">
      <c r="B4" s="237" t="s">
        <v>670</v>
      </c>
      <c r="C4" s="694" t="s">
        <v>671</v>
      </c>
      <c r="D4" s="695"/>
      <c r="E4" s="695"/>
      <c r="F4" s="695"/>
      <c r="G4" s="695"/>
      <c r="H4" s="695"/>
      <c r="I4" s="695"/>
      <c r="J4" s="696"/>
      <c r="K4" s="239"/>
      <c r="L4" s="216"/>
    </row>
    <row r="5" spans="2:12" ht="32.25" thickBot="1" x14ac:dyDescent="0.3">
      <c r="B5" s="238" t="s">
        <v>672</v>
      </c>
      <c r="C5" s="688">
        <v>46022</v>
      </c>
      <c r="D5" s="689"/>
      <c r="E5" s="689"/>
      <c r="F5" s="689"/>
      <c r="G5" s="689"/>
      <c r="H5" s="689"/>
      <c r="I5" s="689"/>
      <c r="J5" s="690"/>
      <c r="K5" s="240"/>
      <c r="L5" s="216"/>
    </row>
    <row r="6" spans="2:12" ht="19.5" thickBot="1" x14ac:dyDescent="0.3">
      <c r="B6" s="685" t="s">
        <v>673</v>
      </c>
      <c r="C6" s="686"/>
      <c r="D6" s="686"/>
      <c r="E6" s="686"/>
      <c r="F6" s="686"/>
      <c r="G6" s="686"/>
      <c r="H6" s="686"/>
      <c r="I6" s="686"/>
      <c r="J6" s="687"/>
      <c r="K6" s="218"/>
      <c r="L6" s="216"/>
    </row>
    <row r="7" spans="2:12" ht="79.5" thickBot="1" x14ac:dyDescent="0.3">
      <c r="B7" s="478" t="s">
        <v>674</v>
      </c>
      <c r="C7" s="479" t="s">
        <v>675</v>
      </c>
      <c r="D7" s="479" t="s">
        <v>676</v>
      </c>
      <c r="E7" s="479" t="s">
        <v>677</v>
      </c>
      <c r="F7" s="479" t="s">
        <v>2053</v>
      </c>
      <c r="G7" s="479" t="s">
        <v>678</v>
      </c>
      <c r="H7" s="479" t="s">
        <v>679</v>
      </c>
      <c r="I7" s="479" t="s">
        <v>680</v>
      </c>
      <c r="J7" s="480" t="s">
        <v>379</v>
      </c>
      <c r="K7" s="216"/>
      <c r="L7" s="216"/>
    </row>
    <row r="8" spans="2:12" ht="15.75" x14ac:dyDescent="0.25">
      <c r="B8" s="473">
        <v>1</v>
      </c>
      <c r="C8" s="474" t="s">
        <v>681</v>
      </c>
      <c r="D8" s="475" t="s">
        <v>682</v>
      </c>
      <c r="E8" s="475">
        <v>309</v>
      </c>
      <c r="F8" s="476">
        <v>306</v>
      </c>
      <c r="G8" s="476">
        <v>251</v>
      </c>
      <c r="H8" s="476"/>
      <c r="I8" s="476">
        <f>E8-G8</f>
        <v>58</v>
      </c>
      <c r="J8" s="477"/>
      <c r="K8" s="219"/>
      <c r="L8" s="219"/>
    </row>
    <row r="9" spans="2:12" ht="15.75" x14ac:dyDescent="0.25">
      <c r="B9" s="230">
        <v>2</v>
      </c>
      <c r="C9" s="220" t="s">
        <v>683</v>
      </c>
      <c r="D9" s="217" t="s">
        <v>682</v>
      </c>
      <c r="E9" s="221">
        <v>309</v>
      </c>
      <c r="F9" s="221">
        <v>230</v>
      </c>
      <c r="G9" s="221">
        <v>228</v>
      </c>
      <c r="H9" s="221"/>
      <c r="I9" s="221">
        <f>E9-G9</f>
        <v>81</v>
      </c>
      <c r="J9" s="465"/>
      <c r="K9" s="219"/>
      <c r="L9" s="219"/>
    </row>
    <row r="10" spans="2:12" ht="31.5" x14ac:dyDescent="0.25">
      <c r="B10" s="230">
        <v>3</v>
      </c>
      <c r="C10" s="220" t="s">
        <v>684</v>
      </c>
      <c r="D10" s="217" t="s">
        <v>700</v>
      </c>
      <c r="E10" s="221">
        <v>4343</v>
      </c>
      <c r="F10" s="217">
        <v>3900</v>
      </c>
      <c r="G10" s="221">
        <v>3897.5859999999998</v>
      </c>
      <c r="H10" s="217"/>
      <c r="I10" s="221">
        <f>E10-G10</f>
        <v>445.41400000000021</v>
      </c>
      <c r="J10" s="466" t="s">
        <v>685</v>
      </c>
      <c r="K10" s="219"/>
      <c r="L10" s="219"/>
    </row>
    <row r="11" spans="2:12" ht="32.25" thickBot="1" x14ac:dyDescent="0.3">
      <c r="B11" s="230">
        <v>4</v>
      </c>
      <c r="C11" s="220" t="s">
        <v>686</v>
      </c>
      <c r="D11" s="225" t="s">
        <v>687</v>
      </c>
      <c r="E11" s="221">
        <v>2432</v>
      </c>
      <c r="F11" s="225">
        <v>0.9</v>
      </c>
      <c r="G11" s="221">
        <f>E11/100*90</f>
        <v>2188.8000000000002</v>
      </c>
      <c r="H11" s="226"/>
      <c r="I11" s="221">
        <f>E11-G11</f>
        <v>243.19999999999982</v>
      </c>
      <c r="J11" s="466" t="s">
        <v>688</v>
      </c>
      <c r="K11" s="219"/>
      <c r="L11" s="219"/>
    </row>
    <row r="12" spans="2:12" ht="32.25" thickBot="1" x14ac:dyDescent="0.3">
      <c r="B12" s="230">
        <v>5</v>
      </c>
      <c r="C12" s="220" t="s">
        <v>689</v>
      </c>
      <c r="D12" s="217" t="s">
        <v>699</v>
      </c>
      <c r="E12" s="217">
        <v>13552</v>
      </c>
      <c r="F12" s="217">
        <v>11388</v>
      </c>
      <c r="G12" s="217">
        <v>10997</v>
      </c>
      <c r="H12" s="217"/>
      <c r="I12" s="221">
        <f>E12-G12</f>
        <v>2555</v>
      </c>
      <c r="J12" s="466" t="s">
        <v>690</v>
      </c>
      <c r="K12" s="471" t="s">
        <v>2051</v>
      </c>
      <c r="L12" s="472" t="s">
        <v>2052</v>
      </c>
    </row>
    <row r="13" spans="2:12" ht="31.5" x14ac:dyDescent="0.25">
      <c r="B13" s="230">
        <v>6</v>
      </c>
      <c r="C13" s="220" t="s">
        <v>691</v>
      </c>
      <c r="D13" s="217" t="s">
        <v>692</v>
      </c>
      <c r="E13" s="217">
        <v>121</v>
      </c>
      <c r="F13" s="226">
        <v>0.85</v>
      </c>
      <c r="G13" s="221">
        <v>84</v>
      </c>
      <c r="H13" s="217"/>
      <c r="I13" s="221">
        <v>73.039999999999992</v>
      </c>
      <c r="J13" s="466" t="s">
        <v>693</v>
      </c>
      <c r="K13" s="224"/>
      <c r="L13" s="219"/>
    </row>
    <row r="14" spans="2:12" ht="32.25" thickBot="1" x14ac:dyDescent="0.3">
      <c r="B14" s="232">
        <v>7</v>
      </c>
      <c r="C14" s="467" t="s">
        <v>394</v>
      </c>
      <c r="D14" s="468"/>
      <c r="E14" s="468">
        <v>126</v>
      </c>
      <c r="F14" s="468">
        <v>63</v>
      </c>
      <c r="G14" s="468">
        <v>0</v>
      </c>
      <c r="H14" s="468"/>
      <c r="I14" s="469">
        <v>126</v>
      </c>
      <c r="J14" s="470" t="s">
        <v>694</v>
      </c>
      <c r="K14" s="219"/>
      <c r="L14" s="219"/>
    </row>
  </sheetData>
  <mergeCells count="5">
    <mergeCell ref="B6:J6"/>
    <mergeCell ref="C5:J5"/>
    <mergeCell ref="C2:J2"/>
    <mergeCell ref="C3:J3"/>
    <mergeCell ref="C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5" x14ac:dyDescent="0.25"/>
  <sheetData>
    <row r="3" spans="4:7" x14ac:dyDescent="0.25">
      <c r="D3" s="697" t="s">
        <v>660</v>
      </c>
      <c r="E3" s="697"/>
      <c r="F3" s="697"/>
      <c r="G3" s="697"/>
    </row>
    <row r="4" spans="4:7" x14ac:dyDescent="0.25">
      <c r="D4" s="697"/>
      <c r="E4" s="697"/>
      <c r="F4" s="697"/>
      <c r="G4" s="697"/>
    </row>
    <row r="5" spans="4:7" x14ac:dyDescent="0.25">
      <c r="E5" s="215" t="s">
        <v>661</v>
      </c>
    </row>
    <row r="6" spans="4:7" x14ac:dyDescent="0.25">
      <c r="E6" s="215" t="s">
        <v>662</v>
      </c>
    </row>
    <row r="7" spans="4:7" x14ac:dyDescent="0.25">
      <c r="E7" s="215" t="s">
        <v>663</v>
      </c>
    </row>
    <row r="8" spans="4:7" x14ac:dyDescent="0.25">
      <c r="E8" s="215" t="s">
        <v>664</v>
      </c>
    </row>
  </sheetData>
  <mergeCells count="1">
    <mergeCell ref="D3:G4"/>
  </mergeCells>
  <hyperlinks>
    <hyperlink ref="D3" location="'VC-765kV MKTL'!A1" display="'VC-765kV MKTL'!A1" xr:uid="{00000000-0004-0000-0700-000000000000}"/>
    <hyperlink ref="E5" location="FOUNDATION!A1" display="FOUNDATION!A1" xr:uid="{00000000-0004-0000-0700-000001000000}"/>
    <hyperlink ref="E6" location="EARTHING!A1" display="EARTHING!A1" xr:uid="{00000000-0004-0000-0700-000002000000}"/>
    <hyperlink ref="E7" location="ERECTION!A1" display="ERECTION!A1" xr:uid="{00000000-0004-0000-0700-000003000000}"/>
    <hyperlink ref="E8" location="TS!A1" display="TS!A1" xr:uid="{00000000-0004-0000-0700-000004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9"/>
  <sheetViews>
    <sheetView topLeftCell="A123" workbookViewId="0">
      <selection activeCell="I126" sqref="I126:J127"/>
    </sheetView>
  </sheetViews>
  <sheetFormatPr defaultColWidth="8.85546875" defaultRowHeight="15" x14ac:dyDescent="0.25"/>
  <cols>
    <col min="1" max="1" width="29.5703125" customWidth="1"/>
    <col min="3" max="3" width="22.28515625" customWidth="1"/>
    <col min="4" max="5" width="26" customWidth="1"/>
    <col min="6" max="6" width="19.42578125" hidden="1" customWidth="1"/>
    <col min="7" max="7" width="21.28515625" hidden="1" customWidth="1"/>
    <col min="8" max="8" width="20" hidden="1" customWidth="1"/>
    <col min="9" max="9" width="45.5703125" customWidth="1"/>
    <col min="10" max="10" width="40.140625" customWidth="1"/>
  </cols>
  <sheetData>
    <row r="1" spans="1:8" ht="21" hidden="1" customHeight="1" x14ac:dyDescent="0.25">
      <c r="A1" s="138" t="s">
        <v>567</v>
      </c>
      <c r="B1" s="139" t="s">
        <v>568</v>
      </c>
      <c r="C1" s="139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25">
      <c r="A2" s="138" t="s">
        <v>380</v>
      </c>
      <c r="B2" s="139" t="s">
        <v>568</v>
      </c>
      <c r="C2" s="139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25">
      <c r="A3" s="138" t="s">
        <v>569</v>
      </c>
      <c r="B3" s="139" t="s">
        <v>568</v>
      </c>
      <c r="C3" s="139">
        <v>0</v>
      </c>
      <c r="D3" s="140">
        <v>1.5580000000000001</v>
      </c>
      <c r="E3" s="77" t="s">
        <v>570</v>
      </c>
      <c r="F3" s="77"/>
      <c r="G3" s="141" t="b">
        <v>1</v>
      </c>
      <c r="H3" s="77"/>
    </row>
    <row r="4" spans="1:8" ht="21" hidden="1" customHeight="1" x14ac:dyDescent="0.25">
      <c r="A4" s="138" t="s">
        <v>383</v>
      </c>
      <c r="B4" s="139" t="s">
        <v>568</v>
      </c>
      <c r="C4" s="139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25">
      <c r="A5" s="138" t="s">
        <v>571</v>
      </c>
      <c r="B5" s="139"/>
      <c r="C5" s="142"/>
      <c r="D5" s="2"/>
      <c r="E5" s="2"/>
      <c r="F5" s="2"/>
      <c r="G5" s="2"/>
      <c r="H5" s="2"/>
    </row>
    <row r="6" spans="1:8" ht="21" hidden="1" customHeight="1" x14ac:dyDescent="0.25">
      <c r="A6" s="138" t="s">
        <v>572</v>
      </c>
      <c r="B6" s="139" t="s">
        <v>384</v>
      </c>
      <c r="C6" s="139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25">
      <c r="A7" s="138" t="s">
        <v>416</v>
      </c>
      <c r="B7" s="139" t="s">
        <v>384</v>
      </c>
      <c r="C7" s="139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25">
      <c r="A8" s="138" t="s">
        <v>415</v>
      </c>
      <c r="B8" s="139" t="s">
        <v>384</v>
      </c>
      <c r="C8" s="139">
        <v>1</v>
      </c>
      <c r="D8" s="2">
        <v>1</v>
      </c>
      <c r="E8" s="2" t="s">
        <v>573</v>
      </c>
      <c r="F8" s="2"/>
      <c r="G8" s="2"/>
      <c r="H8" s="2"/>
    </row>
    <row r="9" spans="1:8" ht="21" hidden="1" customHeight="1" x14ac:dyDescent="0.25">
      <c r="A9" s="138" t="s">
        <v>574</v>
      </c>
      <c r="B9" s="139" t="s">
        <v>384</v>
      </c>
      <c r="C9" s="139">
        <v>1</v>
      </c>
      <c r="D9" s="2">
        <v>1</v>
      </c>
      <c r="E9" s="2" t="s">
        <v>573</v>
      </c>
      <c r="F9" s="2"/>
      <c r="G9" s="2"/>
      <c r="H9" s="2"/>
    </row>
    <row r="10" spans="1:8" ht="21" hidden="1" customHeight="1" x14ac:dyDescent="0.25">
      <c r="A10" s="138" t="s">
        <v>575</v>
      </c>
      <c r="B10" s="139" t="s">
        <v>384</v>
      </c>
      <c r="C10" s="139">
        <v>1</v>
      </c>
      <c r="D10" s="143">
        <v>0</v>
      </c>
      <c r="E10" s="143">
        <v>0</v>
      </c>
      <c r="F10" s="2"/>
      <c r="G10" s="2"/>
      <c r="H10" s="2"/>
    </row>
    <row r="11" spans="1:8" ht="27" hidden="1" customHeight="1" x14ac:dyDescent="0.25">
      <c r="A11" s="138" t="s">
        <v>576</v>
      </c>
      <c r="B11" s="139" t="s">
        <v>384</v>
      </c>
      <c r="C11" s="139">
        <v>0</v>
      </c>
      <c r="D11" s="140">
        <v>1</v>
      </c>
      <c r="E11" s="77"/>
      <c r="F11" s="77"/>
      <c r="G11" s="77"/>
      <c r="H11" s="141" t="b">
        <v>1</v>
      </c>
    </row>
    <row r="12" spans="1:8" ht="21" hidden="1" customHeight="1" x14ac:dyDescent="0.25">
      <c r="A12" s="144" t="s">
        <v>577</v>
      </c>
      <c r="B12" s="1" t="s">
        <v>384</v>
      </c>
      <c r="C12" s="1"/>
      <c r="D12" s="3"/>
      <c r="E12" s="3"/>
      <c r="F12" s="3"/>
      <c r="G12" s="3"/>
      <c r="H12" s="3"/>
    </row>
    <row r="13" spans="1:8" ht="21" hidden="1" customHeight="1" x14ac:dyDescent="0.25">
      <c r="A13" s="3" t="s">
        <v>567</v>
      </c>
      <c r="B13" s="1" t="s">
        <v>568</v>
      </c>
      <c r="C13" s="145">
        <v>117.85085099999999</v>
      </c>
      <c r="D13" s="145">
        <v>117.85085099999999</v>
      </c>
      <c r="E13" s="145">
        <v>117.85085099999999</v>
      </c>
      <c r="F13" s="3"/>
      <c r="G13" s="3"/>
      <c r="H13" s="3"/>
    </row>
    <row r="14" spans="1:8" ht="21" hidden="1" customHeight="1" x14ac:dyDescent="0.25">
      <c r="A14" s="3" t="s">
        <v>380</v>
      </c>
      <c r="B14" s="1" t="s">
        <v>568</v>
      </c>
      <c r="C14" s="145">
        <v>117.85085099999999</v>
      </c>
      <c r="D14" s="145">
        <v>117.85085099999999</v>
      </c>
      <c r="E14" s="145">
        <v>117.85085099999999</v>
      </c>
      <c r="F14" s="3"/>
      <c r="G14" s="3"/>
      <c r="H14" s="3"/>
    </row>
    <row r="15" spans="1:8" ht="21" hidden="1" customHeight="1" x14ac:dyDescent="0.25">
      <c r="A15" s="3" t="s">
        <v>569</v>
      </c>
      <c r="B15" s="1" t="s">
        <v>568</v>
      </c>
      <c r="C15" s="143">
        <v>0</v>
      </c>
      <c r="D15" s="143">
        <v>0</v>
      </c>
      <c r="E15" s="143">
        <v>0</v>
      </c>
      <c r="F15" s="3"/>
      <c r="G15" s="3"/>
      <c r="H15" s="3"/>
    </row>
    <row r="16" spans="1:8" ht="21" hidden="1" customHeight="1" x14ac:dyDescent="0.25">
      <c r="A16" s="3" t="s">
        <v>383</v>
      </c>
      <c r="B16" s="1" t="s">
        <v>568</v>
      </c>
      <c r="C16" s="145">
        <f>C13</f>
        <v>117.85085099999999</v>
      </c>
      <c r="D16" s="145">
        <f>D13</f>
        <v>117.85085099999999</v>
      </c>
      <c r="E16" s="145">
        <f>E13</f>
        <v>117.85085099999999</v>
      </c>
      <c r="F16" s="3"/>
      <c r="G16" s="3"/>
      <c r="H16" s="3"/>
    </row>
    <row r="17" spans="1:8" ht="21" hidden="1" customHeight="1" x14ac:dyDescent="0.25">
      <c r="A17" s="3" t="s">
        <v>571</v>
      </c>
      <c r="B17" s="1"/>
      <c r="C17" s="145"/>
      <c r="D17" s="145"/>
      <c r="E17" s="145"/>
      <c r="F17" s="3"/>
      <c r="G17" s="3"/>
      <c r="H17" s="3"/>
    </row>
    <row r="18" spans="1:8" ht="21" hidden="1" customHeight="1" x14ac:dyDescent="0.25">
      <c r="A18" s="144" t="s">
        <v>572</v>
      </c>
      <c r="B18" s="1" t="s">
        <v>384</v>
      </c>
      <c r="C18" s="145">
        <v>6</v>
      </c>
      <c r="D18" s="145">
        <v>6</v>
      </c>
      <c r="E18" s="145">
        <v>6</v>
      </c>
      <c r="F18" s="3"/>
      <c r="G18" s="3"/>
      <c r="H18" s="3"/>
    </row>
    <row r="19" spans="1:8" ht="126" hidden="1" customHeight="1" x14ac:dyDescent="0.25">
      <c r="A19" s="146" t="s">
        <v>416</v>
      </c>
      <c r="B19" s="147" t="s">
        <v>384</v>
      </c>
      <c r="C19" s="148">
        <v>2</v>
      </c>
      <c r="D19" s="148">
        <v>2</v>
      </c>
      <c r="E19" s="148">
        <v>1</v>
      </c>
      <c r="F19" s="149"/>
      <c r="G19" s="141" t="b">
        <v>1</v>
      </c>
      <c r="H19" s="149"/>
    </row>
    <row r="20" spans="1:8" ht="21" hidden="1" customHeight="1" x14ac:dyDescent="0.25">
      <c r="A20" s="146" t="s">
        <v>415</v>
      </c>
      <c r="B20" s="147" t="s">
        <v>384</v>
      </c>
      <c r="C20" s="148">
        <v>1</v>
      </c>
      <c r="D20" s="148">
        <v>1</v>
      </c>
      <c r="E20" s="141">
        <v>0</v>
      </c>
      <c r="F20" s="149"/>
      <c r="G20" s="141" t="b">
        <v>1</v>
      </c>
      <c r="H20" s="149"/>
    </row>
    <row r="21" spans="1:8" ht="21" hidden="1" customHeight="1" x14ac:dyDescent="0.25">
      <c r="A21" s="144" t="s">
        <v>574</v>
      </c>
      <c r="B21" s="1" t="s">
        <v>384</v>
      </c>
      <c r="C21" s="145">
        <v>1</v>
      </c>
      <c r="D21" s="145">
        <v>1</v>
      </c>
      <c r="E21" s="145">
        <v>1</v>
      </c>
      <c r="F21" s="3"/>
      <c r="G21" s="3"/>
      <c r="H21" s="3"/>
    </row>
    <row r="22" spans="1:8" ht="21" hidden="1" customHeight="1" x14ac:dyDescent="0.25">
      <c r="A22" s="144" t="s">
        <v>575</v>
      </c>
      <c r="B22" s="1" t="s">
        <v>384</v>
      </c>
      <c r="C22" s="143">
        <v>0</v>
      </c>
      <c r="D22" s="143">
        <v>0</v>
      </c>
      <c r="E22" s="143">
        <v>0</v>
      </c>
      <c r="F22" s="3"/>
      <c r="G22" s="3"/>
      <c r="H22" s="3"/>
    </row>
    <row r="23" spans="1:8" ht="147" hidden="1" customHeight="1" x14ac:dyDescent="0.25">
      <c r="A23" s="146" t="s">
        <v>578</v>
      </c>
      <c r="B23" s="147" t="s">
        <v>384</v>
      </c>
      <c r="C23" s="148">
        <v>2</v>
      </c>
      <c r="D23" s="148">
        <v>2</v>
      </c>
      <c r="E23" s="141">
        <v>0</v>
      </c>
      <c r="F23" s="149"/>
      <c r="G23" s="141" t="b">
        <v>1</v>
      </c>
      <c r="H23" s="149"/>
    </row>
    <row r="24" spans="1:8" ht="21" hidden="1" customHeight="1" x14ac:dyDescent="0.25">
      <c r="A24" s="144" t="s">
        <v>577</v>
      </c>
      <c r="B24" s="1" t="s">
        <v>384</v>
      </c>
      <c r="C24" s="145"/>
      <c r="D24" s="145"/>
      <c r="E24" s="143"/>
      <c r="F24" s="3"/>
      <c r="G24" s="3"/>
      <c r="H24" s="3"/>
    </row>
    <row r="25" spans="1:8" ht="21" hidden="1" customHeight="1" x14ac:dyDescent="0.25">
      <c r="A25" s="149" t="s">
        <v>567</v>
      </c>
      <c r="B25" s="147" t="s">
        <v>568</v>
      </c>
      <c r="C25" s="150">
        <v>78.578999999999994</v>
      </c>
      <c r="D25" s="150">
        <v>78.578999999999994</v>
      </c>
      <c r="E25" s="150">
        <v>78.578999999999994</v>
      </c>
      <c r="F25" s="149"/>
      <c r="G25" s="149"/>
      <c r="H25" s="149"/>
    </row>
    <row r="26" spans="1:8" ht="21" hidden="1" customHeight="1" x14ac:dyDescent="0.25">
      <c r="A26" s="149" t="s">
        <v>380</v>
      </c>
      <c r="B26" s="147" t="s">
        <v>568</v>
      </c>
      <c r="C26" s="150">
        <v>78.578999999999994</v>
      </c>
      <c r="D26" s="150">
        <v>78.578999999999994</v>
      </c>
      <c r="E26" s="150">
        <v>78.578999999999994</v>
      </c>
      <c r="F26" s="141" t="b">
        <v>1</v>
      </c>
      <c r="G26" s="149"/>
      <c r="H26" s="149"/>
    </row>
    <row r="27" spans="1:8" ht="21" hidden="1" customHeight="1" x14ac:dyDescent="0.25">
      <c r="A27" s="149" t="s">
        <v>569</v>
      </c>
      <c r="B27" s="147" t="s">
        <v>568</v>
      </c>
      <c r="C27" s="141">
        <v>0</v>
      </c>
      <c r="D27" s="141">
        <v>0</v>
      </c>
      <c r="E27" s="141">
        <v>0</v>
      </c>
      <c r="F27" s="149"/>
      <c r="G27" s="149"/>
      <c r="H27" s="149"/>
    </row>
    <row r="28" spans="1:8" ht="21" hidden="1" customHeight="1" x14ac:dyDescent="0.25">
      <c r="A28" s="149" t="s">
        <v>383</v>
      </c>
      <c r="B28" s="147" t="s">
        <v>568</v>
      </c>
      <c r="C28" s="150">
        <v>66.683000000000007</v>
      </c>
      <c r="D28" s="150">
        <v>53.932000000000002</v>
      </c>
      <c r="E28" s="150">
        <v>53.932000000000002</v>
      </c>
      <c r="F28" s="141" t="b">
        <v>1</v>
      </c>
      <c r="G28" s="149"/>
      <c r="H28" s="149"/>
    </row>
    <row r="29" spans="1:8" ht="21" hidden="1" customHeight="1" x14ac:dyDescent="0.25">
      <c r="A29" s="149" t="s">
        <v>571</v>
      </c>
      <c r="B29" s="147"/>
      <c r="C29" s="148"/>
      <c r="D29" s="148"/>
      <c r="E29" s="148"/>
      <c r="F29" s="149"/>
      <c r="G29" s="149"/>
      <c r="H29" s="149"/>
    </row>
    <row r="30" spans="1:8" ht="265.14999999999998" hidden="1" customHeight="1" x14ac:dyDescent="0.25">
      <c r="A30" s="146" t="s">
        <v>572</v>
      </c>
      <c r="B30" s="147" t="s">
        <v>384</v>
      </c>
      <c r="C30" s="141">
        <v>2</v>
      </c>
      <c r="D30" s="141">
        <v>1</v>
      </c>
      <c r="E30" s="141">
        <v>1</v>
      </c>
      <c r="F30" s="141" t="b">
        <v>1</v>
      </c>
      <c r="G30" s="149"/>
      <c r="H30" s="149"/>
    </row>
    <row r="31" spans="1:8" ht="21" hidden="1" customHeight="1" x14ac:dyDescent="0.25">
      <c r="A31" s="146" t="s">
        <v>416</v>
      </c>
      <c r="B31" s="147" t="s">
        <v>384</v>
      </c>
      <c r="C31" s="141">
        <v>0</v>
      </c>
      <c r="D31" s="141">
        <v>0</v>
      </c>
      <c r="E31" s="141">
        <v>0</v>
      </c>
      <c r="F31" s="149"/>
      <c r="G31" s="149"/>
      <c r="H31" s="149"/>
    </row>
    <row r="32" spans="1:8" ht="21" hidden="1" customHeight="1" x14ac:dyDescent="0.25">
      <c r="A32" s="146" t="s">
        <v>415</v>
      </c>
      <c r="B32" s="147" t="s">
        <v>384</v>
      </c>
      <c r="C32" s="141">
        <v>0</v>
      </c>
      <c r="D32" s="141">
        <v>0</v>
      </c>
      <c r="E32" s="141">
        <v>0</v>
      </c>
      <c r="F32" s="149"/>
      <c r="G32" s="149"/>
      <c r="H32" s="149"/>
    </row>
    <row r="33" spans="1:8" ht="244.9" hidden="1" customHeight="1" x14ac:dyDescent="0.25">
      <c r="A33" s="151" t="s">
        <v>574</v>
      </c>
      <c r="B33" s="66" t="s">
        <v>384</v>
      </c>
      <c r="C33" s="152">
        <v>0</v>
      </c>
      <c r="D33" s="152">
        <v>0</v>
      </c>
      <c r="E33" s="152">
        <v>0</v>
      </c>
      <c r="F33" s="152" t="b">
        <v>1</v>
      </c>
      <c r="G33" s="153"/>
      <c r="H33" s="153"/>
    </row>
    <row r="34" spans="1:8" ht="21" hidden="1" customHeight="1" x14ac:dyDescent="0.25">
      <c r="A34" s="146" t="s">
        <v>575</v>
      </c>
      <c r="B34" s="147" t="s">
        <v>384</v>
      </c>
      <c r="C34" s="141">
        <v>0</v>
      </c>
      <c r="D34" s="141">
        <v>0</v>
      </c>
      <c r="E34" s="141">
        <v>0</v>
      </c>
      <c r="F34" s="149"/>
      <c r="G34" s="149"/>
      <c r="H34" s="149"/>
    </row>
    <row r="35" spans="1:8" ht="122.45" hidden="1" customHeight="1" x14ac:dyDescent="0.25">
      <c r="A35" s="146" t="s">
        <v>578</v>
      </c>
      <c r="B35" s="147" t="s">
        <v>384</v>
      </c>
      <c r="C35" s="148">
        <v>1</v>
      </c>
      <c r="D35" s="148">
        <v>1</v>
      </c>
      <c r="E35" s="141">
        <v>0</v>
      </c>
      <c r="F35" s="141" t="b">
        <v>1</v>
      </c>
      <c r="G35" s="149"/>
      <c r="H35" s="149"/>
    </row>
    <row r="36" spans="1:8" ht="21" hidden="1" customHeight="1" x14ac:dyDescent="0.25">
      <c r="A36" s="146" t="s">
        <v>577</v>
      </c>
      <c r="B36" s="147" t="s">
        <v>384</v>
      </c>
      <c r="C36" s="148"/>
      <c r="D36" s="148"/>
      <c r="E36" s="148"/>
      <c r="F36" s="149"/>
      <c r="G36" s="149"/>
      <c r="H36" s="149"/>
    </row>
    <row r="37" spans="1:8" ht="21" hidden="1" customHeight="1" x14ac:dyDescent="0.25">
      <c r="A37" s="3" t="s">
        <v>567</v>
      </c>
      <c r="B37" s="1" t="s">
        <v>568</v>
      </c>
      <c r="C37" s="145">
        <v>136.70599999999999</v>
      </c>
      <c r="D37" s="145">
        <v>136.70599999999999</v>
      </c>
      <c r="E37" s="145">
        <v>136.70599999999999</v>
      </c>
      <c r="F37" s="3"/>
      <c r="G37" s="3"/>
      <c r="H37" s="3"/>
    </row>
    <row r="38" spans="1:8" ht="21" hidden="1" customHeight="1" x14ac:dyDescent="0.25">
      <c r="A38" s="3" t="s">
        <v>380</v>
      </c>
      <c r="B38" s="1" t="s">
        <v>568</v>
      </c>
      <c r="C38" s="145">
        <v>136.70599999999999</v>
      </c>
      <c r="D38" s="145">
        <v>136.70599999999999</v>
      </c>
      <c r="E38" s="145">
        <v>133.72900000000001</v>
      </c>
      <c r="F38" s="143" t="b">
        <v>1</v>
      </c>
      <c r="G38" s="143"/>
      <c r="H38" s="3"/>
    </row>
    <row r="39" spans="1:8" ht="21" hidden="1" customHeight="1" x14ac:dyDescent="0.25">
      <c r="A39" s="3" t="s">
        <v>569</v>
      </c>
      <c r="B39" s="1" t="s">
        <v>568</v>
      </c>
      <c r="C39" s="143">
        <v>0</v>
      </c>
      <c r="D39" s="143">
        <v>0</v>
      </c>
      <c r="E39" s="143">
        <v>0</v>
      </c>
      <c r="F39" s="3"/>
      <c r="G39" s="3"/>
      <c r="H39" s="3"/>
    </row>
    <row r="40" spans="1:8" ht="21" hidden="1" customHeight="1" x14ac:dyDescent="0.25">
      <c r="A40" s="3" t="s">
        <v>383</v>
      </c>
      <c r="B40" s="1" t="s">
        <v>568</v>
      </c>
      <c r="C40" s="145">
        <v>136.70599999999999</v>
      </c>
      <c r="D40" s="145">
        <v>133.72900000000001</v>
      </c>
      <c r="E40" s="145">
        <v>133.083</v>
      </c>
      <c r="F40" s="143" t="b">
        <v>1</v>
      </c>
      <c r="G40" s="143"/>
      <c r="H40" s="3"/>
    </row>
    <row r="41" spans="1:8" ht="21" hidden="1" customHeight="1" x14ac:dyDescent="0.25">
      <c r="A41" s="3" t="s">
        <v>571</v>
      </c>
      <c r="B41" s="1"/>
      <c r="C41" s="145"/>
      <c r="D41" s="145"/>
      <c r="E41" s="145"/>
      <c r="F41" s="3"/>
      <c r="G41" s="3"/>
      <c r="H41" s="3"/>
    </row>
    <row r="42" spans="1:8" ht="21" hidden="1" customHeight="1" x14ac:dyDescent="0.25">
      <c r="A42" s="146" t="s">
        <v>572</v>
      </c>
      <c r="B42" s="147" t="s">
        <v>384</v>
      </c>
      <c r="C42" s="148">
        <v>12</v>
      </c>
      <c r="D42" s="148">
        <v>12</v>
      </c>
      <c r="E42" s="141">
        <v>0</v>
      </c>
      <c r="F42" s="149"/>
      <c r="G42" s="141"/>
      <c r="H42" s="141"/>
    </row>
    <row r="43" spans="1:8" ht="21" hidden="1" customHeight="1" x14ac:dyDescent="0.25">
      <c r="A43" s="146" t="s">
        <v>416</v>
      </c>
      <c r="B43" s="147" t="s">
        <v>384</v>
      </c>
      <c r="C43" s="148">
        <v>2</v>
      </c>
      <c r="D43" s="148">
        <v>2</v>
      </c>
      <c r="E43" s="141">
        <v>0</v>
      </c>
      <c r="F43" s="149"/>
      <c r="G43" s="141"/>
      <c r="H43" s="149"/>
    </row>
    <row r="44" spans="1:8" ht="21" hidden="1" customHeight="1" x14ac:dyDescent="0.25">
      <c r="A44" s="144" t="s">
        <v>415</v>
      </c>
      <c r="B44" s="1" t="s">
        <v>384</v>
      </c>
      <c r="C44" s="145">
        <v>1</v>
      </c>
      <c r="D44" s="145">
        <v>1</v>
      </c>
      <c r="E44" s="143">
        <v>0</v>
      </c>
      <c r="F44" s="3"/>
      <c r="G44" s="143" t="b">
        <v>1</v>
      </c>
      <c r="H44" s="3"/>
    </row>
    <row r="45" spans="1:8" ht="21" hidden="1" customHeight="1" x14ac:dyDescent="0.25">
      <c r="A45" s="146" t="s">
        <v>574</v>
      </c>
      <c r="B45" s="147" t="s">
        <v>384</v>
      </c>
      <c r="C45" s="148">
        <v>1</v>
      </c>
      <c r="D45" s="148">
        <v>1</v>
      </c>
      <c r="E45" s="141">
        <v>0</v>
      </c>
      <c r="F45" s="149"/>
      <c r="G45" s="141"/>
      <c r="H45" s="149"/>
    </row>
    <row r="46" spans="1:8" ht="21" hidden="1" customHeight="1" x14ac:dyDescent="0.25">
      <c r="A46" s="144" t="s">
        <v>575</v>
      </c>
      <c r="B46" s="1" t="s">
        <v>384</v>
      </c>
      <c r="C46" s="143">
        <v>0</v>
      </c>
      <c r="D46" s="143">
        <v>0</v>
      </c>
      <c r="E46" s="143">
        <v>0</v>
      </c>
      <c r="F46" s="3"/>
      <c r="G46" s="3"/>
      <c r="H46" s="3"/>
    </row>
    <row r="47" spans="1:8" ht="102" hidden="1" customHeight="1" x14ac:dyDescent="0.25">
      <c r="A47" s="146" t="s">
        <v>578</v>
      </c>
      <c r="B47" s="147" t="s">
        <v>384</v>
      </c>
      <c r="C47" s="154">
        <v>25</v>
      </c>
      <c r="D47" s="154">
        <v>25</v>
      </c>
      <c r="E47" s="155">
        <v>0</v>
      </c>
      <c r="F47" s="155"/>
      <c r="G47" s="155"/>
      <c r="H47" s="156"/>
    </row>
    <row r="48" spans="1:8" ht="21" hidden="1" customHeight="1" x14ac:dyDescent="0.25">
      <c r="A48" s="146" t="s">
        <v>577</v>
      </c>
      <c r="B48" s="147" t="s">
        <v>384</v>
      </c>
      <c r="C48" s="157">
        <v>1</v>
      </c>
      <c r="D48" s="157">
        <v>1</v>
      </c>
      <c r="E48" s="141">
        <v>0</v>
      </c>
      <c r="F48" s="149"/>
      <c r="G48" s="141"/>
      <c r="H48" s="149"/>
    </row>
    <row r="49" spans="1:8" ht="21" hidden="1" customHeight="1" x14ac:dyDescent="0.25">
      <c r="A49" s="149" t="s">
        <v>567</v>
      </c>
      <c r="B49" s="147" t="s">
        <v>568</v>
      </c>
      <c r="C49" s="150">
        <v>222.81100000000001</v>
      </c>
      <c r="D49" s="150">
        <v>222.81100000000001</v>
      </c>
      <c r="E49" s="150">
        <v>222.81100000000001</v>
      </c>
      <c r="F49" s="149"/>
      <c r="G49" s="149"/>
      <c r="H49" s="149"/>
    </row>
    <row r="50" spans="1:8" ht="21" hidden="1" customHeight="1" x14ac:dyDescent="0.25">
      <c r="A50" s="149" t="s">
        <v>380</v>
      </c>
      <c r="B50" s="147" t="s">
        <v>568</v>
      </c>
      <c r="C50" s="150">
        <v>222.81100000000001</v>
      </c>
      <c r="D50" s="150">
        <v>205.93600000000001</v>
      </c>
      <c r="E50" s="150">
        <v>199.13399999999999</v>
      </c>
      <c r="F50" s="141" t="b">
        <v>1</v>
      </c>
      <c r="G50" s="149"/>
      <c r="H50" s="149"/>
    </row>
    <row r="51" spans="1:8" ht="21" hidden="1" customHeight="1" x14ac:dyDescent="0.25">
      <c r="A51" s="149" t="s">
        <v>569</v>
      </c>
      <c r="B51" s="147" t="s">
        <v>568</v>
      </c>
      <c r="C51" s="141">
        <v>0</v>
      </c>
      <c r="D51" s="141">
        <v>0</v>
      </c>
      <c r="E51" s="141">
        <v>0</v>
      </c>
      <c r="F51" s="149"/>
      <c r="G51" s="149"/>
      <c r="H51" s="149"/>
    </row>
    <row r="52" spans="1:8" ht="21" hidden="1" customHeight="1" x14ac:dyDescent="0.25">
      <c r="A52" s="149" t="s">
        <v>383</v>
      </c>
      <c r="B52" s="147" t="s">
        <v>568</v>
      </c>
      <c r="C52" s="150">
        <v>222.81100000000001</v>
      </c>
      <c r="D52" s="150">
        <v>199.13399999999999</v>
      </c>
      <c r="E52" s="150">
        <v>199.13399999999999</v>
      </c>
      <c r="F52" s="141" t="b">
        <v>1</v>
      </c>
      <c r="G52" s="149"/>
      <c r="H52" s="149"/>
    </row>
    <row r="53" spans="1:8" ht="21" hidden="1" customHeight="1" x14ac:dyDescent="0.25">
      <c r="A53" s="149" t="s">
        <v>571</v>
      </c>
      <c r="B53" s="147"/>
      <c r="C53" s="148"/>
      <c r="D53" s="148"/>
      <c r="E53" s="148"/>
      <c r="F53" s="149"/>
      <c r="G53" s="149"/>
      <c r="H53" s="149"/>
    </row>
    <row r="54" spans="1:8" ht="409.6" hidden="1" customHeight="1" x14ac:dyDescent="0.25">
      <c r="A54" s="151" t="s">
        <v>572</v>
      </c>
      <c r="B54" s="66" t="s">
        <v>384</v>
      </c>
      <c r="C54" s="152">
        <v>19</v>
      </c>
      <c r="D54" s="152">
        <v>17</v>
      </c>
      <c r="E54" s="152">
        <v>8</v>
      </c>
      <c r="F54" s="152" t="b">
        <v>1</v>
      </c>
      <c r="G54" s="153"/>
      <c r="H54" s="153"/>
    </row>
    <row r="55" spans="1:8" ht="21" hidden="1" customHeight="1" x14ac:dyDescent="0.25">
      <c r="A55" s="146" t="s">
        <v>416</v>
      </c>
      <c r="B55" s="147" t="s">
        <v>384</v>
      </c>
      <c r="C55" s="148">
        <v>8</v>
      </c>
      <c r="D55" s="148">
        <v>8</v>
      </c>
      <c r="E55" s="141">
        <v>0</v>
      </c>
      <c r="F55" s="141" t="b">
        <v>1</v>
      </c>
      <c r="G55" s="149"/>
      <c r="H55" s="149"/>
    </row>
    <row r="56" spans="1:8" ht="21" hidden="1" customHeight="1" x14ac:dyDescent="0.25">
      <c r="A56" s="146" t="s">
        <v>415</v>
      </c>
      <c r="B56" s="147" t="s">
        <v>384</v>
      </c>
      <c r="C56" s="141">
        <v>3</v>
      </c>
      <c r="D56" s="141">
        <v>3</v>
      </c>
      <c r="E56" s="141">
        <v>0</v>
      </c>
      <c r="F56" s="149"/>
      <c r="G56" s="149"/>
      <c r="H56" s="149"/>
    </row>
    <row r="57" spans="1:8" ht="21" hidden="1" customHeight="1" x14ac:dyDescent="0.25">
      <c r="A57" s="146" t="s">
        <v>574</v>
      </c>
      <c r="B57" s="147" t="s">
        <v>384</v>
      </c>
      <c r="C57" s="148">
        <v>2</v>
      </c>
      <c r="D57" s="141">
        <v>0</v>
      </c>
      <c r="E57" s="141">
        <v>0</v>
      </c>
      <c r="F57" s="149"/>
      <c r="G57" s="149"/>
      <c r="H57" s="149"/>
    </row>
    <row r="58" spans="1:8" ht="21" hidden="1" customHeight="1" x14ac:dyDescent="0.25">
      <c r="A58" s="146" t="s">
        <v>575</v>
      </c>
      <c r="B58" s="147" t="s">
        <v>384</v>
      </c>
      <c r="C58" s="141">
        <v>0</v>
      </c>
      <c r="D58" s="141">
        <v>0</v>
      </c>
      <c r="E58" s="141">
        <v>0</v>
      </c>
      <c r="F58" s="149"/>
      <c r="G58" s="149"/>
      <c r="H58" s="149"/>
    </row>
    <row r="59" spans="1:8" ht="21" hidden="1" customHeight="1" x14ac:dyDescent="0.25">
      <c r="A59" s="146" t="s">
        <v>578</v>
      </c>
      <c r="B59" s="147" t="s">
        <v>384</v>
      </c>
      <c r="C59" s="148">
        <v>1</v>
      </c>
      <c r="D59" s="148">
        <v>1</v>
      </c>
      <c r="E59" s="141">
        <v>0</v>
      </c>
      <c r="F59" s="149"/>
      <c r="G59" s="149"/>
      <c r="H59" s="149"/>
    </row>
    <row r="60" spans="1:8" ht="21" hidden="1" customHeight="1" x14ac:dyDescent="0.25">
      <c r="A60" s="146" t="s">
        <v>579</v>
      </c>
      <c r="B60" s="147" t="s">
        <v>384</v>
      </c>
      <c r="C60" s="148">
        <v>7</v>
      </c>
      <c r="D60" s="148">
        <v>7</v>
      </c>
      <c r="E60" s="141">
        <v>0</v>
      </c>
      <c r="F60" s="141" t="b">
        <v>1</v>
      </c>
      <c r="G60" s="149"/>
      <c r="H60" s="149"/>
    </row>
    <row r="61" spans="1:8" ht="21" hidden="1" customHeight="1" x14ac:dyDescent="0.25">
      <c r="A61" s="3" t="s">
        <v>567</v>
      </c>
      <c r="B61" s="1" t="s">
        <v>568</v>
      </c>
      <c r="C61" s="158">
        <v>123.182</v>
      </c>
      <c r="D61" s="158">
        <v>123.182</v>
      </c>
      <c r="E61" s="158">
        <v>110.754</v>
      </c>
      <c r="F61" s="143" t="b">
        <v>1</v>
      </c>
      <c r="G61" s="3"/>
      <c r="H61" s="3"/>
    </row>
    <row r="62" spans="1:8" ht="21" hidden="1" customHeight="1" x14ac:dyDescent="0.25">
      <c r="A62" s="3" t="s">
        <v>380</v>
      </c>
      <c r="B62" s="1" t="s">
        <v>568</v>
      </c>
      <c r="C62" s="158">
        <v>123.182</v>
      </c>
      <c r="D62" s="158">
        <v>105.651</v>
      </c>
      <c r="E62" s="158">
        <v>105.651</v>
      </c>
      <c r="F62" s="143" t="b">
        <v>1</v>
      </c>
      <c r="G62" s="3"/>
      <c r="H62" s="3"/>
    </row>
    <row r="63" spans="1:8" ht="21" hidden="1" customHeight="1" x14ac:dyDescent="0.25">
      <c r="A63" s="3" t="s">
        <v>569</v>
      </c>
      <c r="B63" s="1" t="s">
        <v>568</v>
      </c>
      <c r="C63" s="143">
        <v>0</v>
      </c>
      <c r="D63" s="143">
        <v>0</v>
      </c>
      <c r="E63" s="143">
        <v>0</v>
      </c>
      <c r="F63" s="3"/>
      <c r="G63" s="3"/>
      <c r="H63" s="3"/>
    </row>
    <row r="64" spans="1:8" ht="21" hidden="1" customHeight="1" x14ac:dyDescent="0.25">
      <c r="A64" s="3" t="s">
        <v>383</v>
      </c>
      <c r="B64" s="1" t="s">
        <v>568</v>
      </c>
      <c r="C64" s="159">
        <v>123.182</v>
      </c>
      <c r="D64" s="160">
        <v>60.862000000000002</v>
      </c>
      <c r="E64" s="160">
        <v>60.862000000000002</v>
      </c>
      <c r="F64" s="143" t="b">
        <v>1</v>
      </c>
      <c r="G64" s="3"/>
      <c r="H64" s="3"/>
    </row>
    <row r="65" spans="1:8" ht="21" hidden="1" customHeight="1" x14ac:dyDescent="0.25">
      <c r="A65" s="3" t="s">
        <v>571</v>
      </c>
      <c r="B65" s="1"/>
      <c r="C65" s="145"/>
      <c r="D65" s="145"/>
      <c r="E65" s="145"/>
      <c r="F65" s="3"/>
      <c r="G65" s="3"/>
      <c r="H65" s="3"/>
    </row>
    <row r="66" spans="1:8" ht="21" hidden="1" customHeight="1" x14ac:dyDescent="0.25">
      <c r="A66" s="144" t="s">
        <v>572</v>
      </c>
      <c r="B66" s="1" t="s">
        <v>384</v>
      </c>
      <c r="C66" s="145">
        <v>6</v>
      </c>
      <c r="D66" s="145">
        <v>6</v>
      </c>
      <c r="E66" s="143">
        <v>6</v>
      </c>
      <c r="F66" s="143"/>
      <c r="G66" s="3"/>
      <c r="H66" s="3"/>
    </row>
    <row r="67" spans="1:8" ht="244.9" hidden="1" customHeight="1" x14ac:dyDescent="0.25">
      <c r="A67" s="146" t="s">
        <v>416</v>
      </c>
      <c r="B67" s="147" t="s">
        <v>384</v>
      </c>
      <c r="C67" s="148">
        <v>2</v>
      </c>
      <c r="D67" s="148">
        <v>1</v>
      </c>
      <c r="E67" s="141">
        <v>0</v>
      </c>
      <c r="F67" s="141" t="b">
        <v>1</v>
      </c>
      <c r="G67" s="149"/>
      <c r="H67" s="149"/>
    </row>
    <row r="68" spans="1:8" ht="21" hidden="1" customHeight="1" x14ac:dyDescent="0.25">
      <c r="A68" s="144" t="s">
        <v>415</v>
      </c>
      <c r="B68" s="1" t="s">
        <v>384</v>
      </c>
      <c r="C68" s="145">
        <v>1</v>
      </c>
      <c r="D68" s="145">
        <v>1</v>
      </c>
      <c r="E68" s="143">
        <v>0</v>
      </c>
      <c r="F68" s="143" t="b">
        <v>1</v>
      </c>
      <c r="G68" s="3"/>
      <c r="H68" s="3"/>
    </row>
    <row r="69" spans="1:8" ht="21" hidden="1" customHeight="1" x14ac:dyDescent="0.25">
      <c r="A69" s="144" t="s">
        <v>574</v>
      </c>
      <c r="B69" s="1" t="s">
        <v>384</v>
      </c>
      <c r="C69" s="143">
        <v>0</v>
      </c>
      <c r="D69" s="143">
        <v>0</v>
      </c>
      <c r="E69" s="143">
        <v>0</v>
      </c>
      <c r="F69" s="3"/>
      <c r="G69" s="3"/>
      <c r="H69" s="3"/>
    </row>
    <row r="70" spans="1:8" ht="21" hidden="1" customHeight="1" x14ac:dyDescent="0.25">
      <c r="A70" s="144" t="s">
        <v>575</v>
      </c>
      <c r="B70" s="1" t="s">
        <v>384</v>
      </c>
      <c r="C70" s="143">
        <v>0</v>
      </c>
      <c r="D70" s="143">
        <v>0</v>
      </c>
      <c r="E70" s="143">
        <v>0</v>
      </c>
      <c r="F70" s="3"/>
      <c r="G70" s="3"/>
      <c r="H70" s="3"/>
    </row>
    <row r="71" spans="1:8" ht="21" hidden="1" customHeight="1" x14ac:dyDescent="0.25">
      <c r="A71" s="144" t="s">
        <v>578</v>
      </c>
      <c r="B71" s="1" t="s">
        <v>384</v>
      </c>
      <c r="C71" s="145">
        <v>1</v>
      </c>
      <c r="D71" s="145">
        <v>0</v>
      </c>
      <c r="E71" s="143">
        <v>0</v>
      </c>
      <c r="F71" s="143"/>
      <c r="G71" s="3"/>
      <c r="H71" s="3"/>
    </row>
    <row r="72" spans="1:8" ht="21" hidden="1" customHeight="1" x14ac:dyDescent="0.25">
      <c r="A72" s="144" t="s">
        <v>580</v>
      </c>
      <c r="B72" s="1" t="s">
        <v>384</v>
      </c>
      <c r="C72" s="145">
        <v>1</v>
      </c>
      <c r="D72" s="145">
        <v>0</v>
      </c>
      <c r="E72" s="143">
        <v>0</v>
      </c>
      <c r="F72" s="143"/>
      <c r="G72" s="3"/>
      <c r="H72" s="3"/>
    </row>
    <row r="73" spans="1:8" ht="21" hidden="1" customHeight="1" x14ac:dyDescent="0.25">
      <c r="A73" s="144" t="s">
        <v>581</v>
      </c>
      <c r="B73" s="1" t="s">
        <v>384</v>
      </c>
      <c r="C73" s="145">
        <v>1</v>
      </c>
      <c r="D73" s="145">
        <v>0</v>
      </c>
      <c r="E73" s="143">
        <v>0</v>
      </c>
      <c r="F73" s="143"/>
      <c r="G73" s="3"/>
      <c r="H73" s="3"/>
    </row>
    <row r="74" spans="1:8" ht="21" hidden="1" customHeight="1" x14ac:dyDescent="0.25">
      <c r="A74" s="144" t="s">
        <v>582</v>
      </c>
      <c r="B74" s="1" t="s">
        <v>384</v>
      </c>
      <c r="C74" s="145">
        <v>0</v>
      </c>
      <c r="D74" s="145">
        <v>0</v>
      </c>
      <c r="E74" s="143">
        <v>0</v>
      </c>
      <c r="F74" s="143"/>
      <c r="G74" s="3"/>
      <c r="H74" s="3"/>
    </row>
    <row r="75" spans="1:8" ht="21" hidden="1" customHeight="1" x14ac:dyDescent="0.25">
      <c r="A75" s="3" t="s">
        <v>567</v>
      </c>
      <c r="B75" s="1" t="s">
        <v>568</v>
      </c>
      <c r="C75" s="145">
        <v>122.071</v>
      </c>
      <c r="D75" s="145">
        <v>122.071</v>
      </c>
      <c r="E75" s="145">
        <v>122.071</v>
      </c>
      <c r="F75" s="3"/>
      <c r="G75" s="3"/>
      <c r="H75" s="3"/>
    </row>
    <row r="76" spans="1:8" ht="21" hidden="1" customHeight="1" x14ac:dyDescent="0.25">
      <c r="A76" s="3" t="s">
        <v>380</v>
      </c>
      <c r="B76" s="1" t="s">
        <v>568</v>
      </c>
      <c r="C76" s="145">
        <v>122.071</v>
      </c>
      <c r="D76" s="145">
        <v>122.071</v>
      </c>
      <c r="E76" s="145">
        <v>122</v>
      </c>
      <c r="F76" s="3"/>
      <c r="G76" s="3"/>
      <c r="H76" s="3"/>
    </row>
    <row r="77" spans="1:8" ht="21" hidden="1" customHeight="1" x14ac:dyDescent="0.25">
      <c r="A77" s="3" t="s">
        <v>569</v>
      </c>
      <c r="B77" s="1" t="s">
        <v>568</v>
      </c>
      <c r="C77" s="145"/>
      <c r="D77" s="145">
        <v>0</v>
      </c>
      <c r="E77" s="145">
        <v>0</v>
      </c>
      <c r="F77" s="3"/>
      <c r="G77" s="3"/>
      <c r="H77" s="3"/>
    </row>
    <row r="78" spans="1:8" ht="21" hidden="1" customHeight="1" x14ac:dyDescent="0.25">
      <c r="A78" s="3" t="s">
        <v>383</v>
      </c>
      <c r="B78" s="1" t="s">
        <v>568</v>
      </c>
      <c r="C78" s="145">
        <v>122.071</v>
      </c>
      <c r="D78" s="145">
        <v>122.071</v>
      </c>
      <c r="E78" s="145">
        <v>122</v>
      </c>
      <c r="F78" s="3"/>
      <c r="G78" s="3"/>
      <c r="H78" s="3"/>
    </row>
    <row r="79" spans="1:8" ht="21" hidden="1" customHeight="1" x14ac:dyDescent="0.25">
      <c r="A79" s="3" t="s">
        <v>571</v>
      </c>
      <c r="B79" s="1"/>
      <c r="C79" s="145"/>
      <c r="D79" s="145"/>
      <c r="E79" s="145"/>
      <c r="F79" s="3"/>
      <c r="G79" s="3"/>
      <c r="H79" s="3"/>
    </row>
    <row r="80" spans="1:8" ht="163.15" hidden="1" customHeight="1" x14ac:dyDescent="0.25">
      <c r="A80" s="144" t="s">
        <v>572</v>
      </c>
      <c r="B80" s="1" t="s">
        <v>384</v>
      </c>
      <c r="C80" s="145">
        <v>27</v>
      </c>
      <c r="D80" s="145">
        <v>27</v>
      </c>
      <c r="E80" s="145">
        <v>17</v>
      </c>
      <c r="F80" s="3"/>
      <c r="G80" s="143" t="b">
        <v>1</v>
      </c>
      <c r="H80" s="3"/>
    </row>
    <row r="81" spans="1:8" ht="387.6" hidden="1" customHeight="1" x14ac:dyDescent="0.25">
      <c r="A81" s="144" t="s">
        <v>416</v>
      </c>
      <c r="B81" s="1" t="s">
        <v>384</v>
      </c>
      <c r="C81" s="145">
        <v>7</v>
      </c>
      <c r="D81" s="145">
        <v>7</v>
      </c>
      <c r="E81" s="143">
        <v>0</v>
      </c>
      <c r="F81" s="3"/>
      <c r="G81" s="143" t="b">
        <v>1</v>
      </c>
      <c r="H81" s="3"/>
    </row>
    <row r="82" spans="1:8" ht="408" hidden="1" customHeight="1" x14ac:dyDescent="0.25">
      <c r="A82" s="144" t="s">
        <v>415</v>
      </c>
      <c r="B82" s="1" t="s">
        <v>384</v>
      </c>
      <c r="C82" s="145">
        <v>5</v>
      </c>
      <c r="D82" s="145">
        <v>5</v>
      </c>
      <c r="E82" s="143">
        <v>0</v>
      </c>
      <c r="F82" s="3"/>
      <c r="G82" s="143" t="b">
        <v>1</v>
      </c>
      <c r="H82" s="3"/>
    </row>
    <row r="83" spans="1:8" ht="21" hidden="1" customHeight="1" x14ac:dyDescent="0.25">
      <c r="A83" s="144" t="s">
        <v>574</v>
      </c>
      <c r="B83" s="1" t="s">
        <v>384</v>
      </c>
      <c r="C83" s="145">
        <v>1</v>
      </c>
      <c r="D83" s="145">
        <v>1</v>
      </c>
      <c r="E83" s="143">
        <v>0</v>
      </c>
      <c r="F83" s="3"/>
      <c r="G83" s="3"/>
      <c r="H83" s="3"/>
    </row>
    <row r="84" spans="1:8" ht="21" hidden="1" customHeight="1" x14ac:dyDescent="0.25">
      <c r="A84" s="144" t="s">
        <v>575</v>
      </c>
      <c r="B84" s="1" t="s">
        <v>384</v>
      </c>
      <c r="C84" s="143">
        <v>0</v>
      </c>
      <c r="D84" s="143">
        <v>0</v>
      </c>
      <c r="E84" s="143">
        <v>0</v>
      </c>
      <c r="F84" s="3"/>
      <c r="G84" s="3"/>
      <c r="H84" s="3"/>
    </row>
    <row r="85" spans="1:8" ht="21" hidden="1" customHeight="1" x14ac:dyDescent="0.25">
      <c r="A85" s="144" t="s">
        <v>578</v>
      </c>
      <c r="B85" s="1" t="s">
        <v>384</v>
      </c>
      <c r="C85" s="143">
        <v>0</v>
      </c>
      <c r="D85" s="143">
        <v>0</v>
      </c>
      <c r="E85" s="143">
        <v>0</v>
      </c>
      <c r="F85" s="3"/>
      <c r="G85" s="3"/>
      <c r="H85" s="3"/>
    </row>
    <row r="86" spans="1:8" ht="81.599999999999994" hidden="1" customHeight="1" x14ac:dyDescent="0.25">
      <c r="A86" s="144" t="s">
        <v>582</v>
      </c>
      <c r="B86" s="1" t="s">
        <v>384</v>
      </c>
      <c r="C86" s="161">
        <v>10</v>
      </c>
      <c r="D86" s="161">
        <v>10</v>
      </c>
      <c r="E86" s="143">
        <v>0</v>
      </c>
      <c r="F86" s="3"/>
      <c r="G86" s="3"/>
      <c r="H86" s="3"/>
    </row>
    <row r="87" spans="1:8" ht="21" hidden="1" customHeight="1" x14ac:dyDescent="0.25">
      <c r="A87" s="3" t="s">
        <v>567</v>
      </c>
      <c r="B87" s="1" t="s">
        <v>568</v>
      </c>
      <c r="C87" s="145">
        <v>115.134</v>
      </c>
      <c r="D87" s="145">
        <v>115.134</v>
      </c>
      <c r="E87" s="145">
        <v>115.134</v>
      </c>
      <c r="F87" s="3"/>
      <c r="G87" s="3"/>
      <c r="H87" s="3"/>
    </row>
    <row r="88" spans="1:8" ht="21" hidden="1" customHeight="1" x14ac:dyDescent="0.25">
      <c r="A88" s="3" t="s">
        <v>380</v>
      </c>
      <c r="B88" s="1" t="s">
        <v>568</v>
      </c>
      <c r="C88" s="145">
        <v>115.134</v>
      </c>
      <c r="D88" s="145">
        <v>115.134</v>
      </c>
      <c r="E88" s="145">
        <v>115.134</v>
      </c>
      <c r="F88" s="3"/>
      <c r="G88" s="3"/>
      <c r="H88" s="3"/>
    </row>
    <row r="89" spans="1:8" ht="21" hidden="1" customHeight="1" x14ac:dyDescent="0.25">
      <c r="A89" s="3" t="s">
        <v>569</v>
      </c>
      <c r="B89" s="1" t="s">
        <v>568</v>
      </c>
      <c r="C89" s="143">
        <v>0</v>
      </c>
      <c r="D89" s="143">
        <v>0</v>
      </c>
      <c r="E89" s="143">
        <v>0</v>
      </c>
      <c r="F89" s="3"/>
      <c r="G89" s="3"/>
      <c r="H89" s="3"/>
    </row>
    <row r="90" spans="1:8" ht="21" hidden="1" customHeight="1" x14ac:dyDescent="0.25">
      <c r="A90" s="3" t="s">
        <v>383</v>
      </c>
      <c r="B90" s="1" t="s">
        <v>568</v>
      </c>
      <c r="C90" s="145">
        <v>115.134</v>
      </c>
      <c r="D90" s="145">
        <v>115.134</v>
      </c>
      <c r="E90" s="145">
        <v>115.134</v>
      </c>
      <c r="F90" s="3"/>
      <c r="G90" s="3"/>
      <c r="H90" s="3"/>
    </row>
    <row r="91" spans="1:8" ht="21" hidden="1" customHeight="1" x14ac:dyDescent="0.25">
      <c r="A91" s="3" t="s">
        <v>571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25">
      <c r="A92" s="144" t="s">
        <v>572</v>
      </c>
      <c r="B92" s="1" t="s">
        <v>384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25">
      <c r="A93" s="144" t="s">
        <v>416</v>
      </c>
      <c r="B93" s="1" t="s">
        <v>384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25">
      <c r="A94" s="144" t="s">
        <v>415</v>
      </c>
      <c r="B94" s="1" t="s">
        <v>384</v>
      </c>
      <c r="C94" s="2">
        <v>3</v>
      </c>
      <c r="D94" s="2">
        <v>3</v>
      </c>
      <c r="E94" s="143">
        <v>3</v>
      </c>
      <c r="F94" s="3"/>
      <c r="G94" s="3"/>
      <c r="H94" s="3"/>
    </row>
    <row r="95" spans="1:8" ht="21" hidden="1" customHeight="1" x14ac:dyDescent="0.25">
      <c r="A95" s="144" t="s">
        <v>574</v>
      </c>
      <c r="B95" s="1" t="s">
        <v>384</v>
      </c>
      <c r="C95" s="143">
        <v>1</v>
      </c>
      <c r="D95" s="143">
        <v>1</v>
      </c>
      <c r="E95" s="143">
        <v>0</v>
      </c>
      <c r="F95" s="143" t="b">
        <v>1</v>
      </c>
      <c r="G95" s="3"/>
      <c r="H95" s="3"/>
    </row>
    <row r="96" spans="1:8" ht="21" hidden="1" customHeight="1" x14ac:dyDescent="0.25">
      <c r="A96" s="144" t="s">
        <v>575</v>
      </c>
      <c r="B96" s="1" t="s">
        <v>384</v>
      </c>
      <c r="C96" s="143">
        <v>1</v>
      </c>
      <c r="D96" s="143">
        <v>1</v>
      </c>
      <c r="E96" s="143">
        <v>1</v>
      </c>
      <c r="F96" s="3"/>
      <c r="G96" s="3"/>
      <c r="H96" s="3"/>
    </row>
    <row r="97" spans="1:8" ht="21" hidden="1" customHeight="1" x14ac:dyDescent="0.25">
      <c r="A97" s="144" t="s">
        <v>578</v>
      </c>
      <c r="B97" s="1" t="s">
        <v>384</v>
      </c>
      <c r="C97" s="143">
        <v>1</v>
      </c>
      <c r="D97" s="143">
        <v>1</v>
      </c>
      <c r="E97" s="143">
        <v>0</v>
      </c>
      <c r="F97" s="143" t="b">
        <v>1</v>
      </c>
      <c r="G97" s="3"/>
      <c r="H97" s="3"/>
    </row>
    <row r="98" spans="1:8" ht="21" hidden="1" customHeight="1" x14ac:dyDescent="0.25">
      <c r="A98" s="144" t="s">
        <v>582</v>
      </c>
      <c r="B98" s="1" t="s">
        <v>384</v>
      </c>
      <c r="C98" s="143">
        <v>4</v>
      </c>
      <c r="D98" s="143">
        <v>4</v>
      </c>
      <c r="E98" s="143">
        <v>4</v>
      </c>
      <c r="F98" s="3"/>
      <c r="G98" s="3"/>
      <c r="H98" s="3"/>
    </row>
    <row r="99" spans="1:8" ht="21" hidden="1" customHeight="1" x14ac:dyDescent="0.25">
      <c r="A99" s="3" t="s">
        <v>567</v>
      </c>
      <c r="B99" s="1" t="s">
        <v>568</v>
      </c>
      <c r="C99" s="145">
        <v>127.83</v>
      </c>
      <c r="D99" s="145">
        <v>127.83</v>
      </c>
      <c r="E99" s="145">
        <v>127.83</v>
      </c>
      <c r="F99" s="162"/>
      <c r="G99" s="162"/>
      <c r="H99" s="162"/>
    </row>
    <row r="100" spans="1:8" ht="27" hidden="1" customHeight="1" x14ac:dyDescent="0.25">
      <c r="A100" s="3" t="s">
        <v>380</v>
      </c>
      <c r="B100" s="1" t="s">
        <v>568</v>
      </c>
      <c r="C100" s="145">
        <v>127.83</v>
      </c>
      <c r="D100" s="145">
        <v>123.958</v>
      </c>
      <c r="E100" s="145">
        <v>123.958</v>
      </c>
      <c r="F100" s="143" t="b">
        <v>1</v>
      </c>
      <c r="G100" s="162"/>
      <c r="H100" s="162"/>
    </row>
    <row r="101" spans="1:8" ht="21" hidden="1" customHeight="1" x14ac:dyDescent="0.25">
      <c r="A101" s="3" t="s">
        <v>569</v>
      </c>
      <c r="B101" s="1" t="s">
        <v>568</v>
      </c>
      <c r="C101" s="145">
        <v>3.8959999999999999</v>
      </c>
      <c r="D101" s="145">
        <v>3.8959999999999999</v>
      </c>
      <c r="E101" s="143">
        <v>0</v>
      </c>
      <c r="F101" s="143" t="b">
        <v>1</v>
      </c>
      <c r="G101" s="162"/>
      <c r="H101" s="162"/>
    </row>
    <row r="102" spans="1:8" ht="21" hidden="1" customHeight="1" x14ac:dyDescent="0.25">
      <c r="A102" s="3" t="s">
        <v>383</v>
      </c>
      <c r="B102" s="1" t="s">
        <v>568</v>
      </c>
      <c r="C102" s="145">
        <v>127.83</v>
      </c>
      <c r="D102" s="145">
        <v>123.958</v>
      </c>
      <c r="E102" s="145">
        <v>123.958</v>
      </c>
      <c r="F102" s="162"/>
      <c r="G102" s="162"/>
      <c r="H102" s="162"/>
    </row>
    <row r="103" spans="1:8" ht="21" hidden="1" customHeight="1" x14ac:dyDescent="0.25">
      <c r="A103" s="3" t="s">
        <v>571</v>
      </c>
      <c r="B103" s="1"/>
      <c r="C103" s="145"/>
      <c r="D103" s="145"/>
      <c r="E103" s="145"/>
      <c r="F103" s="162"/>
      <c r="G103" s="162"/>
      <c r="H103" s="162"/>
    </row>
    <row r="104" spans="1:8" ht="36" hidden="1" customHeight="1" x14ac:dyDescent="0.25">
      <c r="A104" s="144" t="s">
        <v>572</v>
      </c>
      <c r="B104" s="1" t="s">
        <v>384</v>
      </c>
      <c r="C104" s="145">
        <v>48</v>
      </c>
      <c r="D104" s="145">
        <v>48</v>
      </c>
      <c r="E104" s="145">
        <v>19</v>
      </c>
      <c r="F104" s="143" t="b">
        <v>1</v>
      </c>
      <c r="G104" s="162"/>
      <c r="H104" s="162"/>
    </row>
    <row r="105" spans="1:8" ht="21" hidden="1" customHeight="1" x14ac:dyDescent="0.25">
      <c r="A105" s="144" t="s">
        <v>416</v>
      </c>
      <c r="B105" s="1" t="s">
        <v>384</v>
      </c>
      <c r="C105" s="145">
        <v>8</v>
      </c>
      <c r="D105" s="145">
        <v>8</v>
      </c>
      <c r="E105" s="143">
        <v>0</v>
      </c>
      <c r="F105" s="143" t="b">
        <v>1</v>
      </c>
      <c r="G105" s="162"/>
      <c r="H105" s="162"/>
    </row>
    <row r="106" spans="1:8" ht="21" hidden="1" customHeight="1" x14ac:dyDescent="0.25">
      <c r="A106" s="144" t="s">
        <v>415</v>
      </c>
      <c r="B106" s="1" t="s">
        <v>384</v>
      </c>
      <c r="C106" s="145">
        <v>6</v>
      </c>
      <c r="D106" s="145">
        <v>6</v>
      </c>
      <c r="E106" s="145">
        <v>1</v>
      </c>
      <c r="F106" s="143" t="b">
        <v>1</v>
      </c>
      <c r="G106" s="162"/>
      <c r="H106" s="162"/>
    </row>
    <row r="107" spans="1:8" ht="21" hidden="1" customHeight="1" x14ac:dyDescent="0.25">
      <c r="A107" s="144" t="s">
        <v>574</v>
      </c>
      <c r="B107" s="1" t="s">
        <v>384</v>
      </c>
      <c r="C107" s="145">
        <v>1</v>
      </c>
      <c r="D107" s="143">
        <v>0</v>
      </c>
      <c r="E107" s="143">
        <v>0</v>
      </c>
      <c r="F107" s="143" t="b">
        <v>1</v>
      </c>
      <c r="G107" s="162"/>
      <c r="H107" s="162"/>
    </row>
    <row r="108" spans="1:8" ht="21" hidden="1" customHeight="1" x14ac:dyDescent="0.25">
      <c r="A108" s="144" t="s">
        <v>575</v>
      </c>
      <c r="B108" s="1" t="s">
        <v>384</v>
      </c>
      <c r="C108" s="145">
        <v>2</v>
      </c>
      <c r="D108" s="145">
        <v>2</v>
      </c>
      <c r="E108" s="145">
        <v>1</v>
      </c>
      <c r="F108" s="143" t="b">
        <v>1</v>
      </c>
      <c r="G108" s="162"/>
      <c r="H108" s="162"/>
    </row>
    <row r="109" spans="1:8" ht="81.599999999999994" hidden="1" customHeight="1" x14ac:dyDescent="0.25">
      <c r="A109" s="144" t="s">
        <v>578</v>
      </c>
      <c r="B109" s="1" t="s">
        <v>384</v>
      </c>
      <c r="C109" s="145">
        <v>3</v>
      </c>
      <c r="D109" s="145">
        <v>3</v>
      </c>
      <c r="E109" s="143">
        <v>0</v>
      </c>
      <c r="F109" s="143" t="b">
        <v>1</v>
      </c>
      <c r="G109" s="162"/>
      <c r="H109" s="162"/>
    </row>
    <row r="110" spans="1:8" ht="21" hidden="1" customHeight="1" x14ac:dyDescent="0.25">
      <c r="A110" s="144" t="s">
        <v>583</v>
      </c>
      <c r="B110" s="1" t="s">
        <v>384</v>
      </c>
      <c r="C110" s="145">
        <v>18</v>
      </c>
      <c r="D110" s="145">
        <v>15</v>
      </c>
      <c r="E110" s="143">
        <v>0</v>
      </c>
      <c r="F110" s="143" t="b">
        <v>1</v>
      </c>
      <c r="G110" s="162"/>
      <c r="H110" s="162"/>
    </row>
    <row r="111" spans="1:8" ht="21" hidden="1" customHeight="1" x14ac:dyDescent="0.25">
      <c r="A111" s="3" t="s">
        <v>567</v>
      </c>
      <c r="B111" s="1" t="s">
        <v>568</v>
      </c>
      <c r="C111" s="163">
        <v>177.04400000000001</v>
      </c>
      <c r="D111" s="163">
        <v>177.04400000000001</v>
      </c>
      <c r="E111" s="163">
        <v>177.04400000000001</v>
      </c>
      <c r="F111" s="162"/>
      <c r="G111" s="162"/>
      <c r="H111" s="162"/>
    </row>
    <row r="112" spans="1:8" ht="21" hidden="1" customHeight="1" x14ac:dyDescent="0.25">
      <c r="A112" s="3" t="s">
        <v>380</v>
      </c>
      <c r="B112" s="1" t="s">
        <v>568</v>
      </c>
      <c r="C112" s="163">
        <v>177.04400000000001</v>
      </c>
      <c r="D112" s="163">
        <v>177.04400000000001</v>
      </c>
      <c r="E112" s="163">
        <v>177.04400000000001</v>
      </c>
      <c r="F112" s="162"/>
      <c r="G112" s="162"/>
      <c r="H112" s="162"/>
    </row>
    <row r="113" spans="1:10" ht="21" hidden="1" customHeight="1" x14ac:dyDescent="0.25">
      <c r="A113" s="3" t="s">
        <v>569</v>
      </c>
      <c r="B113" s="1" t="s">
        <v>568</v>
      </c>
      <c r="C113" s="143">
        <v>0</v>
      </c>
      <c r="D113" s="143">
        <v>0</v>
      </c>
      <c r="E113" s="143">
        <v>0</v>
      </c>
      <c r="F113" s="162"/>
      <c r="G113" s="162"/>
      <c r="H113" s="162"/>
    </row>
    <row r="114" spans="1:10" ht="21" hidden="1" customHeight="1" x14ac:dyDescent="0.25">
      <c r="A114" s="3" t="s">
        <v>383</v>
      </c>
      <c r="B114" s="1" t="s">
        <v>568</v>
      </c>
      <c r="C114" s="163">
        <v>177.04400000000001</v>
      </c>
      <c r="D114" s="163">
        <v>177.04400000000001</v>
      </c>
      <c r="E114" s="163">
        <v>177.04400000000001</v>
      </c>
      <c r="F114" s="162"/>
      <c r="G114" s="162"/>
      <c r="H114" s="162"/>
    </row>
    <row r="115" spans="1:10" ht="21" hidden="1" customHeight="1" x14ac:dyDescent="0.25">
      <c r="A115" s="3" t="s">
        <v>571</v>
      </c>
      <c r="B115" s="1"/>
      <c r="C115" s="145"/>
      <c r="D115" s="145"/>
      <c r="E115" s="145"/>
      <c r="F115" s="162"/>
      <c r="G115" s="162"/>
      <c r="H115" s="162"/>
    </row>
    <row r="116" spans="1:10" ht="21" hidden="1" customHeight="1" x14ac:dyDescent="0.25">
      <c r="A116" s="144" t="s">
        <v>572</v>
      </c>
      <c r="B116" s="1" t="s">
        <v>384</v>
      </c>
      <c r="C116" s="143">
        <v>68</v>
      </c>
      <c r="D116" s="143">
        <v>68</v>
      </c>
      <c r="E116" s="143">
        <v>65</v>
      </c>
      <c r="F116" s="143" t="b">
        <v>1</v>
      </c>
      <c r="G116" s="162"/>
      <c r="H116" s="162"/>
    </row>
    <row r="117" spans="1:10" ht="21" hidden="1" customHeight="1" x14ac:dyDescent="0.25">
      <c r="A117" s="144" t="s">
        <v>416</v>
      </c>
      <c r="B117" s="1" t="s">
        <v>384</v>
      </c>
      <c r="C117" s="145">
        <v>9</v>
      </c>
      <c r="D117" s="145">
        <v>9</v>
      </c>
      <c r="E117" s="143">
        <v>6</v>
      </c>
      <c r="F117" s="143" t="b">
        <v>1</v>
      </c>
      <c r="G117" s="162"/>
      <c r="H117" s="162"/>
    </row>
    <row r="118" spans="1:10" ht="21" hidden="1" customHeight="1" x14ac:dyDescent="0.25">
      <c r="A118" s="144" t="s">
        <v>415</v>
      </c>
      <c r="B118" s="1" t="s">
        <v>384</v>
      </c>
      <c r="C118" s="143">
        <v>9</v>
      </c>
      <c r="D118" s="143">
        <v>9</v>
      </c>
      <c r="E118" s="143">
        <v>9</v>
      </c>
      <c r="F118" s="162"/>
      <c r="G118" s="162"/>
      <c r="H118" s="162"/>
    </row>
    <row r="119" spans="1:10" ht="21" hidden="1" customHeight="1" x14ac:dyDescent="0.25">
      <c r="A119" s="144" t="s">
        <v>574</v>
      </c>
      <c r="B119" s="1" t="s">
        <v>384</v>
      </c>
      <c r="C119" s="145">
        <v>1</v>
      </c>
      <c r="D119" s="145">
        <v>1</v>
      </c>
      <c r="E119" s="143">
        <v>1</v>
      </c>
      <c r="F119" s="162"/>
      <c r="G119" s="162"/>
      <c r="H119" s="162"/>
    </row>
    <row r="120" spans="1:10" ht="21" hidden="1" customHeight="1" x14ac:dyDescent="0.25">
      <c r="A120" s="144" t="s">
        <v>575</v>
      </c>
      <c r="B120" s="1" t="s">
        <v>384</v>
      </c>
      <c r="C120" s="143">
        <v>3</v>
      </c>
      <c r="D120" s="143">
        <v>3</v>
      </c>
      <c r="E120" s="143">
        <v>3</v>
      </c>
      <c r="F120" s="162"/>
      <c r="G120" s="162"/>
      <c r="H120" s="162"/>
    </row>
    <row r="121" spans="1:10" ht="21" hidden="1" customHeight="1" x14ac:dyDescent="0.25">
      <c r="A121" s="144" t="s">
        <v>578</v>
      </c>
      <c r="B121" s="1" t="s">
        <v>384</v>
      </c>
      <c r="C121" s="145">
        <v>1</v>
      </c>
      <c r="D121" s="145">
        <v>1</v>
      </c>
      <c r="E121" s="143">
        <v>1</v>
      </c>
      <c r="F121" s="162"/>
      <c r="G121" s="162"/>
      <c r="H121" s="162"/>
    </row>
    <row r="122" spans="1:10" ht="21" hidden="1" customHeight="1" x14ac:dyDescent="0.25">
      <c r="A122" s="164" t="s">
        <v>577</v>
      </c>
      <c r="B122" s="165" t="s">
        <v>384</v>
      </c>
      <c r="C122" s="166"/>
      <c r="D122" s="166"/>
      <c r="E122" s="166"/>
      <c r="F122" s="167"/>
      <c r="G122" s="167"/>
      <c r="H122" s="167"/>
    </row>
    <row r="123" spans="1:10" ht="21" customHeight="1" thickBot="1" x14ac:dyDescent="0.3">
      <c r="A123" s="698" t="s">
        <v>584</v>
      </c>
      <c r="B123" s="699"/>
      <c r="C123" s="699"/>
      <c r="D123" s="700" t="s">
        <v>585</v>
      </c>
      <c r="E123" s="700"/>
      <c r="F123" s="700"/>
      <c r="G123" s="700"/>
      <c r="H123" s="700"/>
      <c r="I123" s="700"/>
      <c r="J123" s="701"/>
    </row>
    <row r="124" spans="1:10" ht="14.45" customHeight="1" x14ac:dyDescent="0.25">
      <c r="A124" s="702" t="s">
        <v>586</v>
      </c>
      <c r="B124" s="702" t="s">
        <v>375</v>
      </c>
      <c r="C124" s="702" t="s">
        <v>376</v>
      </c>
      <c r="D124" s="702" t="s">
        <v>587</v>
      </c>
      <c r="E124" s="702" t="s">
        <v>588</v>
      </c>
      <c r="F124" s="168"/>
      <c r="G124" s="169"/>
      <c r="H124" s="4"/>
      <c r="I124" s="704" t="s">
        <v>379</v>
      </c>
      <c r="J124" s="705"/>
    </row>
    <row r="125" spans="1:10" ht="15.6" customHeight="1" thickBot="1" x14ac:dyDescent="0.3">
      <c r="A125" s="703"/>
      <c r="B125" s="703"/>
      <c r="C125" s="703"/>
      <c r="D125" s="703"/>
      <c r="E125" s="703"/>
      <c r="F125" s="168"/>
      <c r="G125" s="170"/>
      <c r="H125" s="4"/>
      <c r="I125" s="706"/>
      <c r="J125" s="707"/>
    </row>
    <row r="126" spans="1:10" ht="15.75" thickBot="1" x14ac:dyDescent="0.3">
      <c r="A126" s="171" t="s">
        <v>567</v>
      </c>
      <c r="B126" s="172" t="s">
        <v>568</v>
      </c>
      <c r="C126" s="172">
        <v>118.288</v>
      </c>
      <c r="D126" s="172">
        <v>118.40600000000001</v>
      </c>
      <c r="E126" s="173">
        <v>113.533</v>
      </c>
      <c r="F126" s="168"/>
      <c r="G126" s="168"/>
      <c r="H126" s="4"/>
      <c r="I126" s="708"/>
      <c r="J126" s="709"/>
    </row>
    <row r="127" spans="1:10" ht="15.75" thickBot="1" x14ac:dyDescent="0.3">
      <c r="A127" s="171" t="s">
        <v>380</v>
      </c>
      <c r="B127" s="172" t="s">
        <v>568</v>
      </c>
      <c r="C127" s="172">
        <v>118.288</v>
      </c>
      <c r="D127" s="172">
        <v>118.40600000000001</v>
      </c>
      <c r="E127" s="172">
        <v>108.989</v>
      </c>
      <c r="F127" s="168"/>
      <c r="G127" s="168"/>
      <c r="H127" s="4"/>
      <c r="I127" s="708"/>
      <c r="J127" s="709"/>
    </row>
    <row r="128" spans="1:10" ht="15.75" thickBot="1" x14ac:dyDescent="0.3">
      <c r="A128" s="171" t="s">
        <v>569</v>
      </c>
      <c r="B128" s="172" t="s">
        <v>568</v>
      </c>
      <c r="C128" s="172">
        <v>0</v>
      </c>
      <c r="D128" s="172">
        <v>0</v>
      </c>
      <c r="E128" s="172">
        <v>0</v>
      </c>
      <c r="F128" s="168"/>
      <c r="G128" s="168"/>
      <c r="H128" s="4"/>
      <c r="I128" s="708"/>
      <c r="J128" s="709"/>
    </row>
    <row r="129" spans="1:10" ht="15.75" thickBot="1" x14ac:dyDescent="0.3">
      <c r="A129" s="171" t="s">
        <v>383</v>
      </c>
      <c r="B129" s="172" t="s">
        <v>568</v>
      </c>
      <c r="C129" s="172">
        <v>118.288</v>
      </c>
      <c r="D129" s="172">
        <v>108.17100000000001</v>
      </c>
      <c r="E129" s="172">
        <v>108.17100000000001</v>
      </c>
      <c r="F129" s="168"/>
      <c r="G129" s="168"/>
      <c r="H129" s="4"/>
      <c r="I129" s="708" t="s">
        <v>589</v>
      </c>
      <c r="J129" s="709"/>
    </row>
    <row r="130" spans="1:10" ht="19.5" customHeight="1" thickBot="1" x14ac:dyDescent="0.3">
      <c r="A130" s="171" t="s">
        <v>571</v>
      </c>
      <c r="B130" s="172"/>
      <c r="C130" s="174"/>
      <c r="D130" s="174"/>
      <c r="E130" s="174"/>
      <c r="F130" s="168"/>
      <c r="G130" s="168"/>
      <c r="H130" s="4"/>
      <c r="I130" s="708"/>
      <c r="J130" s="709"/>
    </row>
    <row r="131" spans="1:10" ht="30" customHeight="1" thickBot="1" x14ac:dyDescent="0.3">
      <c r="A131" s="171" t="s">
        <v>572</v>
      </c>
      <c r="B131" s="172" t="s">
        <v>384</v>
      </c>
      <c r="C131" s="172">
        <v>9</v>
      </c>
      <c r="D131" s="172">
        <v>8</v>
      </c>
      <c r="E131" s="172">
        <v>6</v>
      </c>
      <c r="F131" s="168"/>
      <c r="G131" s="168"/>
      <c r="H131" s="4"/>
      <c r="I131" s="175"/>
      <c r="J131" s="176"/>
    </row>
    <row r="132" spans="1:10" ht="30.75" customHeight="1" thickBot="1" x14ac:dyDescent="0.3">
      <c r="A132" s="171" t="s">
        <v>416</v>
      </c>
      <c r="B132" s="172" t="s">
        <v>384</v>
      </c>
      <c r="C132" s="172">
        <v>3</v>
      </c>
      <c r="D132" s="173">
        <v>3</v>
      </c>
      <c r="E132" s="172">
        <v>0</v>
      </c>
      <c r="F132" s="168"/>
      <c r="G132" s="168"/>
      <c r="H132" s="4"/>
      <c r="I132" s="177" t="s">
        <v>590</v>
      </c>
      <c r="J132" s="178"/>
    </row>
    <row r="133" spans="1:10" ht="15.75" thickBot="1" x14ac:dyDescent="0.3">
      <c r="A133" s="171" t="s">
        <v>415</v>
      </c>
      <c r="B133" s="172" t="s">
        <v>384</v>
      </c>
      <c r="C133" s="172">
        <v>1</v>
      </c>
      <c r="D133" s="172">
        <v>1</v>
      </c>
      <c r="E133" s="172">
        <v>0</v>
      </c>
      <c r="F133" s="168"/>
      <c r="G133" s="168"/>
      <c r="H133" s="4"/>
      <c r="I133" s="177" t="s">
        <v>590</v>
      </c>
      <c r="J133" s="109"/>
    </row>
    <row r="134" spans="1:10" ht="15.75" thickBot="1" x14ac:dyDescent="0.3">
      <c r="A134" s="171" t="s">
        <v>574</v>
      </c>
      <c r="B134" s="172" t="s">
        <v>384</v>
      </c>
      <c r="C134" s="172">
        <v>1</v>
      </c>
      <c r="D134" s="172">
        <v>1</v>
      </c>
      <c r="E134" s="172">
        <v>0</v>
      </c>
      <c r="F134" s="168"/>
      <c r="G134" s="168"/>
      <c r="H134" s="4"/>
      <c r="I134" s="177" t="s">
        <v>590</v>
      </c>
      <c r="J134" s="179"/>
    </row>
    <row r="135" spans="1:10" ht="15.75" thickBot="1" x14ac:dyDescent="0.3">
      <c r="A135" s="171" t="s">
        <v>575</v>
      </c>
      <c r="B135" s="172" t="s">
        <v>384</v>
      </c>
      <c r="C135" s="172">
        <v>1</v>
      </c>
      <c r="D135" s="173" t="s">
        <v>591</v>
      </c>
      <c r="E135" s="173" t="s">
        <v>592</v>
      </c>
      <c r="F135" s="168"/>
      <c r="G135" s="168"/>
      <c r="I135" s="708"/>
      <c r="J135" s="709"/>
    </row>
    <row r="136" spans="1:10" ht="15.75" thickBot="1" x14ac:dyDescent="0.3">
      <c r="A136" s="180" t="s">
        <v>576</v>
      </c>
      <c r="B136" s="181" t="s">
        <v>384</v>
      </c>
      <c r="C136" s="181">
        <v>0</v>
      </c>
      <c r="D136" s="181">
        <v>0</v>
      </c>
      <c r="E136" s="181">
        <v>0</v>
      </c>
      <c r="F136" s="169"/>
      <c r="G136" s="169"/>
      <c r="I136" s="708"/>
      <c r="J136" s="709"/>
    </row>
    <row r="137" spans="1:10" ht="15.75" thickBot="1" x14ac:dyDescent="0.3">
      <c r="A137" s="710" t="s">
        <v>593</v>
      </c>
      <c r="B137" s="711"/>
      <c r="C137" s="711"/>
      <c r="D137" s="711"/>
      <c r="E137" s="711"/>
      <c r="F137" s="711"/>
      <c r="G137" s="711"/>
      <c r="H137" s="711"/>
      <c r="I137" s="711"/>
      <c r="J137" s="712"/>
    </row>
    <row r="138" spans="1:10" ht="15.75" thickBot="1" x14ac:dyDescent="0.3">
      <c r="A138" s="710" t="s">
        <v>594</v>
      </c>
      <c r="B138" s="711"/>
      <c r="C138" s="711"/>
      <c r="D138" s="711"/>
      <c r="E138" s="711"/>
      <c r="F138" s="711"/>
      <c r="G138" s="711"/>
      <c r="H138" s="711"/>
      <c r="I138" s="711"/>
      <c r="J138" s="712"/>
    </row>
    <row r="139" spans="1:10" ht="15.75" thickBot="1" x14ac:dyDescent="0.3">
      <c r="A139" s="710" t="s">
        <v>595</v>
      </c>
      <c r="B139" s="711"/>
      <c r="C139" s="711"/>
      <c r="D139" s="711"/>
      <c r="E139" s="711"/>
      <c r="F139" s="711"/>
      <c r="G139" s="711"/>
      <c r="H139" s="711"/>
      <c r="I139" s="711"/>
      <c r="J139" s="712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  <mergeCell ref="A123:C123"/>
    <mergeCell ref="D123:J123"/>
    <mergeCell ref="A124:A125"/>
    <mergeCell ref="B124:B125"/>
    <mergeCell ref="C124:C125"/>
    <mergeCell ref="D124:D125"/>
    <mergeCell ref="E124:E125"/>
    <mergeCell ref="I124:J1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"/>
  <sheetViews>
    <sheetView topLeftCell="B1" zoomScale="86" zoomScaleNormal="86" workbookViewId="0">
      <selection activeCell="G7" sqref="G7"/>
    </sheetView>
  </sheetViews>
  <sheetFormatPr defaultColWidth="13.85546875" defaultRowHeight="18" x14ac:dyDescent="0.25"/>
  <cols>
    <col min="1" max="1" width="11.28515625" style="182" hidden="1" customWidth="1"/>
    <col min="2" max="2" width="11.28515625" style="182" customWidth="1"/>
    <col min="3" max="3" width="12.42578125" style="182" customWidth="1"/>
    <col min="4" max="4" width="16.28515625" style="182" customWidth="1"/>
    <col min="5" max="5" width="12.28515625" style="182" customWidth="1"/>
    <col min="6" max="6" width="24.5703125" style="182" customWidth="1"/>
    <col min="7" max="7" width="26" style="182" customWidth="1"/>
    <col min="8" max="8" width="62.5703125" style="182" customWidth="1"/>
    <col min="9" max="9" width="36" style="182" customWidth="1"/>
    <col min="10" max="10" width="28.140625" style="182" customWidth="1"/>
    <col min="11" max="11" width="22.28515625" style="182" customWidth="1"/>
    <col min="12" max="12" width="40.5703125" style="182" customWidth="1"/>
    <col min="13" max="13" width="56.42578125" style="182" customWidth="1"/>
    <col min="14" max="16384" width="13.85546875" style="182"/>
  </cols>
  <sheetData>
    <row r="1" spans="1:13" ht="34.5" customHeight="1" thickBot="1" x14ac:dyDescent="0.3">
      <c r="A1" s="713" t="s">
        <v>596</v>
      </c>
      <c r="B1" s="714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6"/>
    </row>
    <row r="2" spans="1:13" ht="36.75" thickBot="1" x14ac:dyDescent="0.3">
      <c r="A2" s="183" t="s">
        <v>597</v>
      </c>
      <c r="B2" s="184" t="s">
        <v>598</v>
      </c>
      <c r="C2" s="185" t="s">
        <v>599</v>
      </c>
      <c r="D2" s="185" t="s">
        <v>600</v>
      </c>
      <c r="E2" s="185" t="s">
        <v>601</v>
      </c>
      <c r="F2" s="185" t="s">
        <v>5</v>
      </c>
      <c r="G2" s="185" t="s">
        <v>602</v>
      </c>
      <c r="H2" s="185" t="s">
        <v>603</v>
      </c>
      <c r="I2" s="185" t="s">
        <v>604</v>
      </c>
      <c r="J2" s="185" t="s">
        <v>605</v>
      </c>
      <c r="K2" s="186" t="s">
        <v>606</v>
      </c>
      <c r="L2" s="187" t="s">
        <v>607</v>
      </c>
      <c r="M2" s="187" t="s">
        <v>379</v>
      </c>
    </row>
    <row r="3" spans="1:13" ht="36.75" thickBot="1" x14ac:dyDescent="0.3">
      <c r="A3" s="188">
        <v>1</v>
      </c>
      <c r="B3" s="189">
        <v>1</v>
      </c>
      <c r="C3" s="190" t="s">
        <v>74</v>
      </c>
      <c r="D3" s="191" t="s">
        <v>75</v>
      </c>
      <c r="E3" s="192" t="s">
        <v>396</v>
      </c>
      <c r="F3" s="191" t="s">
        <v>608</v>
      </c>
      <c r="G3" s="193" t="s">
        <v>609</v>
      </c>
      <c r="H3" s="194" t="s">
        <v>610</v>
      </c>
      <c r="I3" s="195" t="s">
        <v>611</v>
      </c>
      <c r="J3" s="196" t="s">
        <v>612</v>
      </c>
      <c r="K3" s="193" t="s">
        <v>613</v>
      </c>
      <c r="L3" s="193" t="s">
        <v>614</v>
      </c>
      <c r="M3" s="197"/>
    </row>
    <row r="4" spans="1:13" ht="27.75" customHeight="1" thickBot="1" x14ac:dyDescent="0.3">
      <c r="A4" s="198">
        <f t="shared" ref="A4:A15" si="0">A3+1</f>
        <v>2</v>
      </c>
      <c r="B4" s="182">
        <v>2</v>
      </c>
      <c r="C4" s="199" t="s">
        <v>150</v>
      </c>
      <c r="D4" s="200" t="s">
        <v>615</v>
      </c>
      <c r="E4" s="199" t="s">
        <v>152</v>
      </c>
      <c r="F4" s="201" t="s">
        <v>153</v>
      </c>
      <c r="G4" s="202" t="s">
        <v>609</v>
      </c>
      <c r="H4" s="203" t="s">
        <v>616</v>
      </c>
      <c r="I4" s="202" t="s">
        <v>617</v>
      </c>
      <c r="J4" s="201" t="s">
        <v>612</v>
      </c>
      <c r="K4" s="202" t="s">
        <v>613</v>
      </c>
      <c r="L4" s="202" t="s">
        <v>614</v>
      </c>
      <c r="M4" s="204"/>
    </row>
    <row r="5" spans="1:13" ht="27.75" customHeight="1" thickBot="1" x14ac:dyDescent="0.3">
      <c r="A5" s="205">
        <f t="shared" si="0"/>
        <v>3</v>
      </c>
      <c r="B5" s="189">
        <v>3</v>
      </c>
      <c r="C5" s="206" t="s">
        <v>166</v>
      </c>
      <c r="D5" s="191" t="s">
        <v>167</v>
      </c>
      <c r="E5" s="206" t="s">
        <v>168</v>
      </c>
      <c r="F5" s="196" t="s">
        <v>169</v>
      </c>
      <c r="G5" s="193" t="s">
        <v>609</v>
      </c>
      <c r="H5" s="194" t="s">
        <v>618</v>
      </c>
      <c r="I5" s="193" t="s">
        <v>617</v>
      </c>
      <c r="J5" s="196" t="s">
        <v>612</v>
      </c>
      <c r="K5" s="193" t="s">
        <v>613</v>
      </c>
      <c r="L5" s="193" t="s">
        <v>614</v>
      </c>
      <c r="M5" s="197"/>
    </row>
    <row r="6" spans="1:13" ht="27.75" customHeight="1" thickBot="1" x14ac:dyDescent="0.3">
      <c r="A6" s="198">
        <f t="shared" si="0"/>
        <v>4</v>
      </c>
      <c r="B6" s="182">
        <v>4</v>
      </c>
      <c r="C6" s="199" t="s">
        <v>185</v>
      </c>
      <c r="D6" s="200" t="s">
        <v>123</v>
      </c>
      <c r="E6" s="199" t="s">
        <v>186</v>
      </c>
      <c r="F6" s="201" t="s">
        <v>187</v>
      </c>
      <c r="G6" s="202" t="s">
        <v>609</v>
      </c>
      <c r="H6" s="203" t="s">
        <v>619</v>
      </c>
      <c r="I6" s="202" t="s">
        <v>617</v>
      </c>
      <c r="J6" s="201" t="s">
        <v>612</v>
      </c>
      <c r="K6" s="202" t="s">
        <v>613</v>
      </c>
      <c r="L6" s="202" t="s">
        <v>614</v>
      </c>
      <c r="M6" s="204"/>
    </row>
    <row r="7" spans="1:13" ht="27.75" customHeight="1" thickBot="1" x14ac:dyDescent="0.3">
      <c r="A7" s="205">
        <f t="shared" si="0"/>
        <v>5</v>
      </c>
      <c r="B7" s="189">
        <v>5</v>
      </c>
      <c r="C7" s="206" t="s">
        <v>201</v>
      </c>
      <c r="D7" s="191" t="s">
        <v>202</v>
      </c>
      <c r="E7" s="206" t="s">
        <v>203</v>
      </c>
      <c r="F7" s="191" t="s">
        <v>123</v>
      </c>
      <c r="G7" s="193" t="s">
        <v>609</v>
      </c>
      <c r="H7" s="194" t="s">
        <v>620</v>
      </c>
      <c r="I7" s="193" t="s">
        <v>617</v>
      </c>
      <c r="J7" s="196" t="s">
        <v>612</v>
      </c>
      <c r="K7" s="193" t="s">
        <v>613</v>
      </c>
      <c r="L7" s="193" t="s">
        <v>614</v>
      </c>
      <c r="M7" s="197"/>
    </row>
    <row r="8" spans="1:13" ht="27.75" customHeight="1" thickBot="1" x14ac:dyDescent="0.3">
      <c r="A8" s="198">
        <f>A11+1</f>
        <v>8</v>
      </c>
      <c r="B8" s="182">
        <v>6</v>
      </c>
      <c r="C8" s="199" t="s">
        <v>237</v>
      </c>
      <c r="D8" s="201" t="s">
        <v>187</v>
      </c>
      <c r="E8" s="199" t="s">
        <v>238</v>
      </c>
      <c r="F8" s="201" t="s">
        <v>239</v>
      </c>
      <c r="G8" s="202" t="s">
        <v>609</v>
      </c>
      <c r="H8" s="203" t="s">
        <v>621</v>
      </c>
      <c r="I8" s="202" t="s">
        <v>622</v>
      </c>
      <c r="J8" s="201" t="s">
        <v>612</v>
      </c>
      <c r="K8" s="202" t="s">
        <v>613</v>
      </c>
      <c r="L8" s="202" t="s">
        <v>623</v>
      </c>
      <c r="M8" s="204"/>
    </row>
    <row r="9" spans="1:13" ht="27.75" customHeight="1" thickBot="1" x14ac:dyDescent="0.3">
      <c r="A9" s="205"/>
      <c r="B9" s="189">
        <v>7</v>
      </c>
      <c r="C9" s="206" t="s">
        <v>289</v>
      </c>
      <c r="D9" s="196" t="s">
        <v>624</v>
      </c>
      <c r="E9" s="206" t="s">
        <v>290</v>
      </c>
      <c r="F9" s="196" t="s">
        <v>177</v>
      </c>
      <c r="G9" s="193" t="s">
        <v>609</v>
      </c>
      <c r="H9" s="194" t="s">
        <v>625</v>
      </c>
      <c r="I9" s="193" t="s">
        <v>626</v>
      </c>
      <c r="J9" s="196" t="s">
        <v>612</v>
      </c>
      <c r="K9" s="193" t="s">
        <v>613</v>
      </c>
      <c r="L9" s="193" t="s">
        <v>627</v>
      </c>
      <c r="M9" s="197"/>
    </row>
    <row r="10" spans="1:13" ht="27.75" customHeight="1" thickBot="1" x14ac:dyDescent="0.3">
      <c r="A10" s="198">
        <f>A7+1</f>
        <v>6</v>
      </c>
      <c r="B10" s="182">
        <v>8</v>
      </c>
      <c r="C10" s="199" t="s">
        <v>298</v>
      </c>
      <c r="D10" s="200" t="s">
        <v>123</v>
      </c>
      <c r="E10" s="199" t="s">
        <v>299</v>
      </c>
      <c r="F10" s="201" t="s">
        <v>628</v>
      </c>
      <c r="G10" s="202" t="s">
        <v>609</v>
      </c>
      <c r="H10" s="203" t="s">
        <v>629</v>
      </c>
      <c r="I10" s="202" t="s">
        <v>617</v>
      </c>
      <c r="J10" s="207" t="s">
        <v>630</v>
      </c>
      <c r="K10" s="202" t="s">
        <v>631</v>
      </c>
      <c r="L10" s="202" t="s">
        <v>632</v>
      </c>
      <c r="M10" s="204"/>
    </row>
    <row r="11" spans="1:13" ht="27.75" customHeight="1" thickBot="1" x14ac:dyDescent="0.3">
      <c r="A11" s="205">
        <f t="shared" si="0"/>
        <v>7</v>
      </c>
      <c r="B11" s="189">
        <v>9</v>
      </c>
      <c r="C11" s="206" t="s">
        <v>318</v>
      </c>
      <c r="D11" s="191" t="s">
        <v>319</v>
      </c>
      <c r="E11" s="206" t="s">
        <v>320</v>
      </c>
      <c r="F11" s="196" t="s">
        <v>628</v>
      </c>
      <c r="G11" s="193" t="s">
        <v>609</v>
      </c>
      <c r="H11" s="194" t="s">
        <v>633</v>
      </c>
      <c r="I11" s="193" t="s">
        <v>617</v>
      </c>
      <c r="J11" s="196" t="s">
        <v>612</v>
      </c>
      <c r="K11" s="193" t="s">
        <v>613</v>
      </c>
      <c r="L11" s="193" t="s">
        <v>627</v>
      </c>
      <c r="M11" s="197"/>
    </row>
    <row r="12" spans="1:13" ht="27.75" customHeight="1" thickBot="1" x14ac:dyDescent="0.3">
      <c r="A12" s="198">
        <f>A8+1</f>
        <v>9</v>
      </c>
      <c r="B12" s="182">
        <v>10</v>
      </c>
      <c r="C12" s="199" t="s">
        <v>117</v>
      </c>
      <c r="D12" s="200" t="s">
        <v>118</v>
      </c>
      <c r="E12" s="199" t="s">
        <v>119</v>
      </c>
      <c r="F12" s="201" t="s">
        <v>120</v>
      </c>
      <c r="G12" s="202" t="s">
        <v>634</v>
      </c>
      <c r="H12" s="208" t="s">
        <v>635</v>
      </c>
      <c r="I12" s="202" t="s">
        <v>636</v>
      </c>
      <c r="J12" s="201" t="s">
        <v>612</v>
      </c>
      <c r="K12" s="202" t="s">
        <v>613</v>
      </c>
      <c r="L12" s="202" t="s">
        <v>627</v>
      </c>
      <c r="M12" s="204"/>
    </row>
    <row r="13" spans="1:13" ht="27.75" customHeight="1" thickBot="1" x14ac:dyDescent="0.3">
      <c r="A13" s="205">
        <f t="shared" si="0"/>
        <v>10</v>
      </c>
      <c r="B13" s="189">
        <v>11</v>
      </c>
      <c r="C13" s="206" t="s">
        <v>191</v>
      </c>
      <c r="D13" s="191" t="s">
        <v>118</v>
      </c>
      <c r="E13" s="206" t="s">
        <v>192</v>
      </c>
      <c r="F13" s="196" t="s">
        <v>45</v>
      </c>
      <c r="G13" s="193" t="s">
        <v>634</v>
      </c>
      <c r="H13" s="195" t="s">
        <v>637</v>
      </c>
      <c r="I13" s="193" t="s">
        <v>636</v>
      </c>
      <c r="J13" s="196" t="s">
        <v>612</v>
      </c>
      <c r="K13" s="193" t="s">
        <v>613</v>
      </c>
      <c r="L13" s="193" t="s">
        <v>627</v>
      </c>
      <c r="M13" s="197"/>
    </row>
    <row r="14" spans="1:13" ht="27.75" customHeight="1" thickBot="1" x14ac:dyDescent="0.3">
      <c r="A14" s="198">
        <f t="shared" si="0"/>
        <v>11</v>
      </c>
      <c r="B14" s="182">
        <v>12</v>
      </c>
      <c r="C14" s="199" t="s">
        <v>315</v>
      </c>
      <c r="D14" s="200" t="s">
        <v>511</v>
      </c>
      <c r="E14" s="199" t="s">
        <v>316</v>
      </c>
      <c r="F14" s="201" t="s">
        <v>33</v>
      </c>
      <c r="G14" s="202" t="s">
        <v>634</v>
      </c>
      <c r="H14" s="195" t="s">
        <v>638</v>
      </c>
      <c r="I14" s="202" t="s">
        <v>636</v>
      </c>
      <c r="J14" s="209" t="s">
        <v>612</v>
      </c>
      <c r="K14" s="193" t="s">
        <v>613</v>
      </c>
      <c r="L14" s="202" t="s">
        <v>627</v>
      </c>
      <c r="M14" s="204"/>
    </row>
    <row r="15" spans="1:13" ht="27.75" customHeight="1" thickBot="1" x14ac:dyDescent="0.3">
      <c r="A15" s="205">
        <f t="shared" si="0"/>
        <v>12</v>
      </c>
      <c r="B15" s="189">
        <v>13</v>
      </c>
      <c r="C15" s="206" t="s">
        <v>175</v>
      </c>
      <c r="D15" s="191" t="s">
        <v>14</v>
      </c>
      <c r="E15" s="206" t="s">
        <v>176</v>
      </c>
      <c r="F15" s="191" t="s">
        <v>639</v>
      </c>
      <c r="G15" s="193" t="s">
        <v>640</v>
      </c>
      <c r="H15" s="195" t="s">
        <v>641</v>
      </c>
      <c r="I15" s="193" t="s">
        <v>642</v>
      </c>
      <c r="J15" s="210" t="s">
        <v>612</v>
      </c>
      <c r="K15" s="211" t="s">
        <v>613</v>
      </c>
      <c r="L15" s="193" t="s">
        <v>643</v>
      </c>
      <c r="M15" s="197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99"/>
  <sheetViews>
    <sheetView topLeftCell="L2" zoomScale="80" zoomScaleNormal="80" workbookViewId="0">
      <selection activeCell="AJ17" sqref="AJ17"/>
    </sheetView>
  </sheetViews>
  <sheetFormatPr defaultColWidth="9.42578125" defaultRowHeight="12.75" x14ac:dyDescent="0.25"/>
  <cols>
    <col min="1" max="1" width="6.5703125" style="442" customWidth="1"/>
    <col min="2" max="2" width="23.42578125" style="442" customWidth="1"/>
    <col min="3" max="3" width="7.140625" style="442" customWidth="1"/>
    <col min="4" max="4" width="9.5703125" style="442" customWidth="1"/>
    <col min="5" max="5" width="12.5703125" style="442" bestFit="1" customWidth="1"/>
    <col min="6" max="6" width="12.5703125" style="442" customWidth="1"/>
    <col min="7" max="7" width="8.85546875" style="442" customWidth="1"/>
    <col min="8" max="8" width="9.42578125" style="442" customWidth="1"/>
    <col min="9" max="9" width="8.7109375" style="442" customWidth="1"/>
    <col min="10" max="10" width="9.5703125" style="442" customWidth="1"/>
    <col min="11" max="11" width="9.85546875" style="442" customWidth="1"/>
    <col min="12" max="12" width="9.5703125" style="442" customWidth="1"/>
    <col min="13" max="13" width="10" style="442" customWidth="1"/>
    <col min="14" max="14" width="8.7109375" style="442" customWidth="1"/>
    <col min="15" max="15" width="9" style="442" customWidth="1"/>
    <col min="16" max="16" width="10.140625" style="442" customWidth="1"/>
    <col min="17" max="17" width="8.85546875" style="442" customWidth="1"/>
    <col min="18" max="18" width="8.7109375" style="442" customWidth="1"/>
    <col min="19" max="19" width="9.42578125" style="442" customWidth="1"/>
    <col min="20" max="20" width="8.7109375" style="442" customWidth="1"/>
    <col min="21" max="21" width="9.28515625" style="442" customWidth="1"/>
    <col min="22" max="23" width="8.85546875" style="442" customWidth="1"/>
    <col min="24" max="24" width="9.5703125" style="442" customWidth="1"/>
    <col min="25" max="25" width="8.85546875" style="442" customWidth="1"/>
    <col min="26" max="26" width="10.28515625" style="442" customWidth="1"/>
    <col min="27" max="27" width="9.5703125" style="442" customWidth="1"/>
    <col min="28" max="28" width="9.42578125" style="442" customWidth="1"/>
    <col min="29" max="29" width="8.85546875" style="442" customWidth="1"/>
    <col min="30" max="30" width="9.140625" style="442" customWidth="1"/>
    <col min="31" max="32" width="8.7109375" style="442" customWidth="1"/>
    <col min="33" max="33" width="9.5703125" style="442" customWidth="1"/>
    <col min="34" max="34" width="8.85546875" style="442" customWidth="1"/>
    <col min="35" max="35" width="9.5703125" style="442" customWidth="1"/>
    <col min="36" max="36" width="8.7109375" style="442" customWidth="1"/>
    <col min="37" max="37" width="11.28515625" style="442" customWidth="1"/>
    <col min="38" max="38" width="16.42578125" style="462" customWidth="1"/>
    <col min="39" max="39" width="8.140625" style="442" customWidth="1"/>
    <col min="40" max="40" width="10.42578125" style="442" customWidth="1"/>
    <col min="41" max="41" width="9.5703125" style="442" customWidth="1"/>
    <col min="42" max="16384" width="9.42578125" style="442"/>
  </cols>
  <sheetData>
    <row r="1" spans="1:42" ht="15.75" x14ac:dyDescent="0.25">
      <c r="A1" s="717" t="s">
        <v>1952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</row>
    <row r="2" spans="1:42" ht="15.75" x14ac:dyDescent="0.25">
      <c r="A2" s="719" t="s">
        <v>1953</v>
      </c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  <c r="Y2" s="720"/>
      <c r="Z2" s="720"/>
      <c r="AA2" s="720"/>
      <c r="AB2" s="720"/>
      <c r="AC2" s="720"/>
      <c r="AD2" s="720"/>
      <c r="AE2" s="720"/>
      <c r="AF2" s="720"/>
      <c r="AG2" s="720"/>
      <c r="AH2" s="720"/>
      <c r="AI2" s="720"/>
      <c r="AJ2" s="720"/>
      <c r="AK2" s="720"/>
      <c r="AL2" s="720"/>
      <c r="AM2" s="720"/>
      <c r="AN2" s="720"/>
      <c r="AO2" s="720"/>
    </row>
    <row r="3" spans="1:42" s="444" customFormat="1" ht="14.45" customHeight="1" x14ac:dyDescent="0.25">
      <c r="A3" s="721" t="s">
        <v>1954</v>
      </c>
      <c r="B3" s="721" t="s">
        <v>1955</v>
      </c>
      <c r="C3" s="721" t="s">
        <v>1956</v>
      </c>
      <c r="D3" s="721" t="s">
        <v>1957</v>
      </c>
      <c r="E3" s="721" t="s">
        <v>1958</v>
      </c>
      <c r="F3" s="721" t="s">
        <v>1959</v>
      </c>
      <c r="G3" s="721" t="s">
        <v>1960</v>
      </c>
      <c r="H3" s="721" t="s">
        <v>1961</v>
      </c>
      <c r="I3" s="721" t="s">
        <v>1962</v>
      </c>
      <c r="J3" s="721" t="s">
        <v>1963</v>
      </c>
      <c r="K3" s="721" t="s">
        <v>1964</v>
      </c>
      <c r="L3" s="721" t="s">
        <v>1965</v>
      </c>
      <c r="M3" s="721" t="s">
        <v>1966</v>
      </c>
      <c r="N3" s="721" t="s">
        <v>1967</v>
      </c>
      <c r="O3" s="721" t="s">
        <v>1968</v>
      </c>
      <c r="P3" s="721" t="s">
        <v>1969</v>
      </c>
      <c r="Q3" s="721" t="s">
        <v>1970</v>
      </c>
      <c r="R3" s="721" t="s">
        <v>1971</v>
      </c>
      <c r="S3" s="721" t="s">
        <v>1972</v>
      </c>
      <c r="T3" s="721" t="s">
        <v>1973</v>
      </c>
      <c r="U3" s="721" t="s">
        <v>1974</v>
      </c>
      <c r="V3" s="721" t="s">
        <v>1975</v>
      </c>
      <c r="W3" s="721" t="s">
        <v>1976</v>
      </c>
      <c r="X3" s="721" t="s">
        <v>1977</v>
      </c>
      <c r="Y3" s="721" t="s">
        <v>1978</v>
      </c>
      <c r="Z3" s="721" t="s">
        <v>1979</v>
      </c>
      <c r="AA3" s="721" t="s">
        <v>1980</v>
      </c>
      <c r="AB3" s="721" t="s">
        <v>1981</v>
      </c>
      <c r="AC3" s="721" t="s">
        <v>1982</v>
      </c>
      <c r="AD3" s="721" t="s">
        <v>1983</v>
      </c>
      <c r="AE3" s="721" t="s">
        <v>1984</v>
      </c>
      <c r="AF3" s="721" t="s">
        <v>1985</v>
      </c>
      <c r="AG3" s="721" t="s">
        <v>1986</v>
      </c>
      <c r="AH3" s="721" t="s">
        <v>1987</v>
      </c>
      <c r="AI3" s="721" t="s">
        <v>1988</v>
      </c>
      <c r="AJ3" s="721" t="s">
        <v>1989</v>
      </c>
      <c r="AK3" s="721" t="s">
        <v>1990</v>
      </c>
      <c r="AL3" s="721" t="s">
        <v>605</v>
      </c>
      <c r="AM3" s="723" t="s">
        <v>1991</v>
      </c>
      <c r="AN3" s="724"/>
      <c r="AO3" s="725"/>
    </row>
    <row r="4" spans="1:42" s="444" customFormat="1" ht="17.100000000000001" customHeight="1" x14ac:dyDescent="0.25">
      <c r="A4" s="722"/>
      <c r="B4" s="722"/>
      <c r="C4" s="722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722"/>
      <c r="O4" s="722"/>
      <c r="P4" s="722"/>
      <c r="Q4" s="722"/>
      <c r="R4" s="722"/>
      <c r="S4" s="722"/>
      <c r="T4" s="722"/>
      <c r="U4" s="722"/>
      <c r="V4" s="722"/>
      <c r="W4" s="722"/>
      <c r="X4" s="722"/>
      <c r="Y4" s="722"/>
      <c r="Z4" s="722"/>
      <c r="AA4" s="722"/>
      <c r="AB4" s="722"/>
      <c r="AC4" s="722"/>
      <c r="AD4" s="722"/>
      <c r="AE4" s="722"/>
      <c r="AF4" s="722"/>
      <c r="AG4" s="722"/>
      <c r="AH4" s="722"/>
      <c r="AI4" s="722"/>
      <c r="AJ4" s="722"/>
      <c r="AK4" s="722"/>
      <c r="AL4" s="722"/>
      <c r="AM4" s="443" t="s">
        <v>1992</v>
      </c>
      <c r="AN4" s="443" t="s">
        <v>1993</v>
      </c>
      <c r="AO4" s="443" t="s">
        <v>1994</v>
      </c>
    </row>
    <row r="5" spans="1:42" s="453" customFormat="1" ht="15.75" x14ac:dyDescent="0.25">
      <c r="A5" s="445">
        <v>1</v>
      </c>
      <c r="B5" s="446" t="s">
        <v>1995</v>
      </c>
      <c r="C5" s="447" t="s">
        <v>68</v>
      </c>
      <c r="D5" s="448" t="s">
        <v>36</v>
      </c>
      <c r="E5" s="448">
        <f>36159.756/1000</f>
        <v>36.159756000000002</v>
      </c>
      <c r="F5" s="449">
        <v>27.12</v>
      </c>
      <c r="G5" s="450">
        <v>4.5190000000000001</v>
      </c>
      <c r="H5" s="450">
        <v>4.5190000000000001</v>
      </c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  <c r="AA5" s="450"/>
      <c r="AB5" s="450"/>
      <c r="AC5" s="450"/>
      <c r="AD5" s="450"/>
      <c r="AE5" s="450"/>
      <c r="AF5" s="450"/>
      <c r="AG5" s="450"/>
      <c r="AH5" s="450"/>
      <c r="AI5" s="450"/>
      <c r="AJ5" s="450"/>
      <c r="AK5" s="451">
        <f>SUM(G5:AJ5)</f>
        <v>9.0380000000000003</v>
      </c>
      <c r="AL5" s="451" t="s">
        <v>377</v>
      </c>
      <c r="AM5" s="726">
        <v>10</v>
      </c>
      <c r="AN5" s="729">
        <v>5</v>
      </c>
      <c r="AO5" s="732">
        <v>6</v>
      </c>
      <c r="AP5" s="452"/>
    </row>
    <row r="6" spans="1:42" s="453" customFormat="1" ht="15.75" x14ac:dyDescent="0.25">
      <c r="A6" s="445">
        <v>2</v>
      </c>
      <c r="B6" s="446" t="s">
        <v>1995</v>
      </c>
      <c r="C6" s="447" t="s">
        <v>58</v>
      </c>
      <c r="D6" s="448" t="s">
        <v>38</v>
      </c>
      <c r="E6" s="448">
        <f>37931.088/1000</f>
        <v>37.931088000000003</v>
      </c>
      <c r="F6" s="449"/>
      <c r="G6" s="450"/>
      <c r="H6" s="450"/>
      <c r="I6" s="450">
        <v>7</v>
      </c>
      <c r="J6" s="450">
        <v>8</v>
      </c>
      <c r="K6" s="450">
        <v>7</v>
      </c>
      <c r="L6" s="450">
        <v>7.5</v>
      </c>
      <c r="M6" s="450">
        <v>7.7</v>
      </c>
      <c r="N6" s="450"/>
      <c r="O6" s="450"/>
      <c r="P6" s="450"/>
      <c r="Q6" s="450"/>
      <c r="R6" s="450"/>
      <c r="S6" s="450"/>
      <c r="T6" s="450"/>
      <c r="U6" s="450"/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1">
        <f t="shared" ref="AK6:AK20" si="0">SUM(G6:AJ6)</f>
        <v>37.200000000000003</v>
      </c>
      <c r="AL6" s="451" t="s">
        <v>377</v>
      </c>
      <c r="AM6" s="727"/>
      <c r="AN6" s="730"/>
      <c r="AO6" s="733"/>
      <c r="AP6" s="452"/>
    </row>
    <row r="7" spans="1:42" s="453" customFormat="1" ht="15.75" x14ac:dyDescent="0.25">
      <c r="A7" s="445">
        <v>3</v>
      </c>
      <c r="B7" s="446" t="s">
        <v>1995</v>
      </c>
      <c r="C7" s="454" t="s">
        <v>72</v>
      </c>
      <c r="D7" s="448" t="s">
        <v>28</v>
      </c>
      <c r="E7" s="448">
        <f>34789.81/1000</f>
        <v>34.789809999999996</v>
      </c>
      <c r="F7" s="449"/>
      <c r="G7" s="450"/>
      <c r="H7" s="450"/>
      <c r="I7" s="450"/>
      <c r="J7" s="450"/>
      <c r="K7" s="450"/>
      <c r="L7" s="450"/>
      <c r="M7" s="450"/>
      <c r="N7" s="450">
        <v>6.78</v>
      </c>
      <c r="O7" s="450">
        <v>11</v>
      </c>
      <c r="P7" s="450">
        <v>9</v>
      </c>
      <c r="Q7" s="450">
        <v>8</v>
      </c>
      <c r="R7" s="450"/>
      <c r="S7" s="450"/>
      <c r="T7" s="450"/>
      <c r="U7" s="450"/>
      <c r="V7" s="450"/>
      <c r="W7" s="450"/>
      <c r="X7" s="450"/>
      <c r="Y7" s="450"/>
      <c r="Z7" s="450"/>
      <c r="AA7" s="450"/>
      <c r="AB7" s="450"/>
      <c r="AC7" s="450"/>
      <c r="AD7" s="450"/>
      <c r="AE7" s="450"/>
      <c r="AF7" s="450"/>
      <c r="AG7" s="450"/>
      <c r="AH7" s="450"/>
      <c r="AI7" s="450"/>
      <c r="AJ7" s="450"/>
      <c r="AK7" s="451">
        <f t="shared" si="0"/>
        <v>34.78</v>
      </c>
      <c r="AL7" s="451" t="s">
        <v>377</v>
      </c>
      <c r="AM7" s="727"/>
      <c r="AN7" s="730"/>
      <c r="AO7" s="733"/>
      <c r="AP7" s="452"/>
    </row>
    <row r="8" spans="1:42" s="453" customFormat="1" ht="15.75" x14ac:dyDescent="0.25">
      <c r="A8" s="445">
        <v>4</v>
      </c>
      <c r="B8" s="446" t="s">
        <v>1995</v>
      </c>
      <c r="C8" s="454" t="s">
        <v>78</v>
      </c>
      <c r="D8" s="448" t="s">
        <v>28</v>
      </c>
      <c r="E8" s="448">
        <f>34789.81/1000</f>
        <v>34.789809999999996</v>
      </c>
      <c r="F8" s="449"/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450">
        <v>5.78</v>
      </c>
      <c r="S8" s="450">
        <v>7</v>
      </c>
      <c r="T8" s="450">
        <v>8</v>
      </c>
      <c r="U8" s="450">
        <v>7</v>
      </c>
      <c r="V8" s="450">
        <v>7</v>
      </c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1">
        <f t="shared" si="0"/>
        <v>34.78</v>
      </c>
      <c r="AL8" s="451" t="s">
        <v>377</v>
      </c>
      <c r="AM8" s="727"/>
      <c r="AN8" s="730"/>
      <c r="AO8" s="733"/>
      <c r="AP8" s="452"/>
    </row>
    <row r="9" spans="1:42" s="453" customFormat="1" ht="15.75" x14ac:dyDescent="0.25">
      <c r="A9" s="445">
        <v>5</v>
      </c>
      <c r="B9" s="446" t="s">
        <v>1995</v>
      </c>
      <c r="C9" s="454" t="s">
        <v>83</v>
      </c>
      <c r="D9" s="448" t="s">
        <v>66</v>
      </c>
      <c r="E9" s="448">
        <f>59500.628/1000</f>
        <v>59.500627999999999</v>
      </c>
      <c r="F9" s="449"/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>
        <v>8</v>
      </c>
      <c r="X9" s="450">
        <v>3</v>
      </c>
      <c r="Y9" s="450">
        <v>3</v>
      </c>
      <c r="Z9" s="450">
        <v>4</v>
      </c>
      <c r="AA9" s="450">
        <v>1.5</v>
      </c>
      <c r="AB9" s="450">
        <v>3</v>
      </c>
      <c r="AC9" s="450">
        <v>4</v>
      </c>
      <c r="AD9" s="450">
        <v>8</v>
      </c>
      <c r="AE9" s="450">
        <v>8</v>
      </c>
      <c r="AF9" s="450">
        <v>8</v>
      </c>
      <c r="AG9" s="450">
        <v>9</v>
      </c>
      <c r="AH9" s="450"/>
      <c r="AI9" s="450"/>
      <c r="AJ9" s="450"/>
      <c r="AK9" s="451">
        <f t="shared" si="0"/>
        <v>59.5</v>
      </c>
      <c r="AL9" s="451" t="s">
        <v>377</v>
      </c>
      <c r="AM9" s="727"/>
      <c r="AN9" s="730"/>
      <c r="AO9" s="733"/>
      <c r="AP9" s="452"/>
    </row>
    <row r="10" spans="1:42" s="453" customFormat="1" ht="15.75" x14ac:dyDescent="0.25">
      <c r="A10" s="445">
        <v>6</v>
      </c>
      <c r="B10" s="448" t="s">
        <v>1996</v>
      </c>
      <c r="C10" s="454" t="s">
        <v>99</v>
      </c>
      <c r="D10" s="448" t="s">
        <v>21</v>
      </c>
      <c r="E10" s="448">
        <f>43804.424/1000</f>
        <v>43.804423999999997</v>
      </c>
      <c r="F10" s="449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450"/>
      <c r="V10" s="450">
        <v>6</v>
      </c>
      <c r="W10" s="450">
        <v>8</v>
      </c>
      <c r="X10" s="450">
        <v>4</v>
      </c>
      <c r="Y10" s="450">
        <v>4</v>
      </c>
      <c r="Z10" s="450">
        <v>4</v>
      </c>
      <c r="AA10" s="450">
        <v>2</v>
      </c>
      <c r="AB10" s="450">
        <v>2</v>
      </c>
      <c r="AC10" s="450">
        <v>4</v>
      </c>
      <c r="AD10" s="450">
        <v>4</v>
      </c>
      <c r="AE10" s="450">
        <v>5.8</v>
      </c>
      <c r="AF10" s="450"/>
      <c r="AG10" s="450"/>
      <c r="AH10" s="450"/>
      <c r="AI10" s="450"/>
      <c r="AJ10" s="450"/>
      <c r="AK10" s="451">
        <f t="shared" si="0"/>
        <v>43.8</v>
      </c>
      <c r="AL10" s="451" t="s">
        <v>377</v>
      </c>
      <c r="AM10" s="727"/>
      <c r="AN10" s="730"/>
      <c r="AO10" s="733"/>
      <c r="AP10" s="452"/>
    </row>
    <row r="11" spans="1:42" s="453" customFormat="1" ht="15.75" x14ac:dyDescent="0.25">
      <c r="A11" s="445">
        <v>7</v>
      </c>
      <c r="B11" s="448" t="s">
        <v>1997</v>
      </c>
      <c r="C11" s="447" t="s">
        <v>107</v>
      </c>
      <c r="D11" s="448" t="s">
        <v>36</v>
      </c>
      <c r="E11" s="448">
        <f>36159.756/1000</f>
        <v>36.159756000000002</v>
      </c>
      <c r="F11" s="449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0"/>
      <c r="V11" s="450">
        <v>2</v>
      </c>
      <c r="W11" s="450">
        <v>5</v>
      </c>
      <c r="X11" s="450">
        <v>3.8</v>
      </c>
      <c r="Y11" s="450">
        <v>5</v>
      </c>
      <c r="Z11" s="450">
        <v>3</v>
      </c>
      <c r="AA11" s="450">
        <v>5</v>
      </c>
      <c r="AB11" s="450">
        <v>3</v>
      </c>
      <c r="AC11" s="450">
        <v>4</v>
      </c>
      <c r="AD11" s="450">
        <v>5.359</v>
      </c>
      <c r="AE11" s="450"/>
      <c r="AF11" s="450"/>
      <c r="AG11" s="450"/>
      <c r="AH11" s="450"/>
      <c r="AI11" s="450"/>
      <c r="AJ11" s="450"/>
      <c r="AK11" s="451">
        <f t="shared" si="0"/>
        <v>36.158999999999999</v>
      </c>
      <c r="AL11" s="451" t="s">
        <v>377</v>
      </c>
      <c r="AM11" s="727"/>
      <c r="AN11" s="730"/>
      <c r="AO11" s="733"/>
      <c r="AP11" s="452"/>
    </row>
    <row r="12" spans="1:42" s="453" customFormat="1" ht="15.75" x14ac:dyDescent="0.25">
      <c r="A12" s="445">
        <v>8</v>
      </c>
      <c r="B12" s="448" t="s">
        <v>1998</v>
      </c>
      <c r="C12" s="454" t="s">
        <v>139</v>
      </c>
      <c r="D12" s="448" t="s">
        <v>36</v>
      </c>
      <c r="E12" s="448">
        <f>36159.756/1000</f>
        <v>36.159756000000002</v>
      </c>
      <c r="F12" s="449"/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  <c r="AA12" s="450"/>
      <c r="AB12" s="450"/>
      <c r="AC12" s="450"/>
      <c r="AD12" s="450"/>
      <c r="AE12" s="450"/>
      <c r="AF12" s="450"/>
      <c r="AG12" s="450">
        <v>3</v>
      </c>
      <c r="AH12" s="450">
        <v>5</v>
      </c>
      <c r="AI12" s="450">
        <v>3</v>
      </c>
      <c r="AJ12" s="450">
        <v>1</v>
      </c>
      <c r="AK12" s="451">
        <f t="shared" si="0"/>
        <v>12</v>
      </c>
      <c r="AL12" s="451"/>
      <c r="AM12" s="727"/>
      <c r="AN12" s="730"/>
      <c r="AO12" s="733"/>
      <c r="AP12" s="452"/>
    </row>
    <row r="13" spans="1:42" s="453" customFormat="1" ht="15.75" x14ac:dyDescent="0.25">
      <c r="A13" s="445">
        <v>9</v>
      </c>
      <c r="B13" s="448" t="s">
        <v>2000</v>
      </c>
      <c r="C13" s="447" t="s">
        <v>34</v>
      </c>
      <c r="D13" s="448" t="s">
        <v>28</v>
      </c>
      <c r="E13" s="448">
        <f>34789.81/1000</f>
        <v>34.789809999999996</v>
      </c>
      <c r="F13" s="449"/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  <c r="Z13" s="450">
        <v>8</v>
      </c>
      <c r="AA13" s="450">
        <v>8</v>
      </c>
      <c r="AB13" s="450">
        <v>5</v>
      </c>
      <c r="AC13" s="450">
        <v>6</v>
      </c>
      <c r="AD13" s="450">
        <v>3</v>
      </c>
      <c r="AE13" s="450">
        <v>4.78</v>
      </c>
      <c r="AF13" s="450"/>
      <c r="AG13" s="450"/>
      <c r="AH13" s="450"/>
      <c r="AI13" s="450"/>
      <c r="AJ13" s="450"/>
      <c r="AK13" s="451">
        <f t="shared" si="0"/>
        <v>34.78</v>
      </c>
      <c r="AL13" s="451" t="s">
        <v>377</v>
      </c>
      <c r="AM13" s="727"/>
      <c r="AN13" s="730"/>
      <c r="AO13" s="733"/>
      <c r="AP13" s="452"/>
    </row>
    <row r="14" spans="1:42" s="453" customFormat="1" ht="15.75" x14ac:dyDescent="0.25">
      <c r="A14" s="445">
        <v>10</v>
      </c>
      <c r="B14" s="448" t="s">
        <v>1938</v>
      </c>
      <c r="C14" s="447" t="s">
        <v>104</v>
      </c>
      <c r="D14" s="448" t="s">
        <v>38</v>
      </c>
      <c r="E14" s="448">
        <f>37931.088/1000</f>
        <v>37.931088000000003</v>
      </c>
      <c r="F14" s="449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>
        <v>3</v>
      </c>
      <c r="AG14" s="450">
        <v>5</v>
      </c>
      <c r="AH14" s="450">
        <v>5</v>
      </c>
      <c r="AI14" s="450">
        <v>3</v>
      </c>
      <c r="AJ14" s="450">
        <v>5</v>
      </c>
      <c r="AK14" s="451">
        <f t="shared" si="0"/>
        <v>21</v>
      </c>
      <c r="AL14" s="451"/>
      <c r="AM14" s="727"/>
      <c r="AN14" s="730"/>
      <c r="AO14" s="733"/>
    </row>
    <row r="15" spans="1:42" s="453" customFormat="1" ht="15.75" x14ac:dyDescent="0.25">
      <c r="A15" s="455">
        <v>11</v>
      </c>
      <c r="B15" s="448" t="s">
        <v>1937</v>
      </c>
      <c r="C15" s="447" t="s">
        <v>98</v>
      </c>
      <c r="D15" s="448" t="s">
        <v>36</v>
      </c>
      <c r="E15" s="448">
        <f t="shared" ref="E15:E16" si="1">36159.756/1000</f>
        <v>36.159756000000002</v>
      </c>
      <c r="F15" s="456"/>
      <c r="G15" s="457"/>
      <c r="H15" s="457"/>
      <c r="I15" s="457"/>
      <c r="J15" s="457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0"/>
      <c r="AE15" s="450"/>
      <c r="AF15" s="450"/>
      <c r="AG15" s="450">
        <v>3</v>
      </c>
      <c r="AH15" s="450">
        <v>6</v>
      </c>
      <c r="AI15" s="450">
        <v>5</v>
      </c>
      <c r="AJ15" s="450">
        <v>4</v>
      </c>
      <c r="AK15" s="451">
        <f t="shared" si="0"/>
        <v>18</v>
      </c>
      <c r="AL15" s="451"/>
      <c r="AM15" s="727"/>
      <c r="AN15" s="730"/>
      <c r="AO15" s="733"/>
    </row>
    <row r="16" spans="1:42" s="453" customFormat="1" ht="15.75" x14ac:dyDescent="0.25">
      <c r="A16" s="455">
        <v>12</v>
      </c>
      <c r="B16" s="448" t="s">
        <v>790</v>
      </c>
      <c r="C16" s="447" t="s">
        <v>55</v>
      </c>
      <c r="D16" s="448" t="s">
        <v>36</v>
      </c>
      <c r="E16" s="448">
        <f t="shared" si="1"/>
        <v>36.159756000000002</v>
      </c>
      <c r="F16" s="456"/>
      <c r="G16" s="457"/>
      <c r="H16" s="457"/>
      <c r="I16" s="457"/>
      <c r="J16" s="457"/>
      <c r="K16" s="450"/>
      <c r="L16" s="450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  <c r="Z16" s="450"/>
      <c r="AA16" s="450"/>
      <c r="AB16" s="450"/>
      <c r="AC16" s="450"/>
      <c r="AD16" s="450"/>
      <c r="AE16" s="450"/>
      <c r="AF16" s="450"/>
      <c r="AG16" s="450"/>
      <c r="AH16" s="450">
        <v>4</v>
      </c>
      <c r="AI16" s="450">
        <v>3</v>
      </c>
      <c r="AJ16" s="450">
        <v>3</v>
      </c>
      <c r="AK16" s="451">
        <f t="shared" si="0"/>
        <v>10</v>
      </c>
      <c r="AL16" s="451"/>
      <c r="AM16" s="727"/>
      <c r="AN16" s="730"/>
      <c r="AO16" s="733"/>
    </row>
    <row r="17" spans="1:41" s="453" customFormat="1" ht="15.75" x14ac:dyDescent="0.25">
      <c r="A17" s="455">
        <v>13</v>
      </c>
      <c r="B17" s="448" t="s">
        <v>2000</v>
      </c>
      <c r="C17" s="447" t="s">
        <v>41</v>
      </c>
      <c r="D17" s="448" t="s">
        <v>36</v>
      </c>
      <c r="E17" s="448">
        <f>36159.756/1000</f>
        <v>36.159756000000002</v>
      </c>
      <c r="F17" s="456"/>
      <c r="G17" s="457"/>
      <c r="H17" s="457"/>
      <c r="I17" s="457"/>
      <c r="J17" s="457"/>
      <c r="K17" s="450"/>
      <c r="L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  <c r="Y17" s="450"/>
      <c r="Z17" s="450"/>
      <c r="AA17" s="450"/>
      <c r="AB17" s="450"/>
      <c r="AC17" s="450"/>
      <c r="AD17" s="450"/>
      <c r="AE17" s="450"/>
      <c r="AF17" s="450"/>
      <c r="AG17" s="450"/>
      <c r="AH17" s="450"/>
      <c r="AI17" s="450"/>
      <c r="AJ17" s="450"/>
      <c r="AK17" s="451">
        <f t="shared" si="0"/>
        <v>0</v>
      </c>
      <c r="AL17" s="451"/>
      <c r="AM17" s="727"/>
      <c r="AN17" s="730"/>
      <c r="AO17" s="733"/>
    </row>
    <row r="18" spans="1:41" s="453" customFormat="1" ht="15.75" x14ac:dyDescent="0.25">
      <c r="A18" s="455">
        <v>14</v>
      </c>
      <c r="B18" s="448"/>
      <c r="C18" s="447"/>
      <c r="D18" s="448"/>
      <c r="E18" s="448"/>
      <c r="F18" s="456"/>
      <c r="G18" s="457"/>
      <c r="H18" s="457"/>
      <c r="I18" s="457"/>
      <c r="J18" s="457"/>
      <c r="K18" s="450"/>
      <c r="L18" s="450"/>
      <c r="M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50"/>
      <c r="AG18" s="450"/>
      <c r="AH18" s="450"/>
      <c r="AI18" s="450"/>
      <c r="AJ18" s="450"/>
      <c r="AK18" s="451">
        <f t="shared" si="0"/>
        <v>0</v>
      </c>
      <c r="AL18" s="451"/>
      <c r="AM18" s="727"/>
      <c r="AN18" s="730"/>
      <c r="AO18" s="733"/>
    </row>
    <row r="19" spans="1:41" s="453" customFormat="1" ht="15.75" x14ac:dyDescent="0.25">
      <c r="A19" s="455"/>
      <c r="B19" s="446"/>
      <c r="C19" s="446"/>
      <c r="D19" s="446"/>
      <c r="E19" s="448"/>
      <c r="F19" s="456"/>
      <c r="G19" s="457"/>
      <c r="H19" s="457"/>
      <c r="I19" s="457"/>
      <c r="J19" s="457"/>
      <c r="K19" s="450"/>
      <c r="L19" s="450"/>
      <c r="M19" s="450"/>
      <c r="N19" s="450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450"/>
      <c r="Z19" s="450"/>
      <c r="AA19" s="450"/>
      <c r="AB19" s="450"/>
      <c r="AC19" s="450"/>
      <c r="AD19" s="450"/>
      <c r="AE19" s="450"/>
      <c r="AF19" s="450"/>
      <c r="AG19" s="450"/>
      <c r="AH19" s="450"/>
      <c r="AI19" s="450"/>
      <c r="AJ19" s="450"/>
      <c r="AK19" s="451">
        <f t="shared" si="0"/>
        <v>0</v>
      </c>
      <c r="AL19" s="451"/>
      <c r="AM19" s="727"/>
      <c r="AN19" s="730"/>
      <c r="AO19" s="733"/>
    </row>
    <row r="20" spans="1:41" s="453" customFormat="1" ht="15.75" x14ac:dyDescent="0.25">
      <c r="A20" s="735" t="s">
        <v>7</v>
      </c>
      <c r="B20" s="736"/>
      <c r="C20" s="736"/>
      <c r="D20" s="737"/>
      <c r="E20" s="458"/>
      <c r="F20" s="458"/>
      <c r="G20" s="458"/>
      <c r="H20" s="458"/>
      <c r="I20" s="458"/>
      <c r="J20" s="458"/>
      <c r="K20" s="458"/>
      <c r="L20" s="458"/>
      <c r="M20" s="458"/>
      <c r="N20" s="458"/>
      <c r="O20" s="458"/>
      <c r="P20" s="458"/>
      <c r="Q20" s="458"/>
      <c r="R20" s="458"/>
      <c r="S20" s="458"/>
      <c r="T20" s="458"/>
      <c r="U20" s="458"/>
      <c r="V20" s="458"/>
      <c r="W20" s="458"/>
      <c r="X20" s="458"/>
      <c r="Y20" s="458"/>
      <c r="Z20" s="458"/>
      <c r="AA20" s="458"/>
      <c r="AB20" s="458"/>
      <c r="AC20" s="458"/>
      <c r="AD20" s="458"/>
      <c r="AE20" s="458"/>
      <c r="AF20" s="458"/>
      <c r="AG20" s="458"/>
      <c r="AH20" s="458"/>
      <c r="AI20" s="458"/>
      <c r="AJ20" s="458"/>
      <c r="AK20" s="459">
        <f t="shared" si="0"/>
        <v>0</v>
      </c>
      <c r="AL20" s="460"/>
      <c r="AM20" s="728"/>
      <c r="AN20" s="731"/>
      <c r="AO20" s="734"/>
    </row>
    <row r="21" spans="1:41" x14ac:dyDescent="0.25">
      <c r="E21" s="461"/>
      <c r="F21" s="461"/>
      <c r="G21" s="461"/>
      <c r="H21" s="461"/>
      <c r="I21" s="461"/>
      <c r="J21" s="461"/>
      <c r="K21" s="461"/>
      <c r="L21" s="461"/>
      <c r="M21" s="461"/>
      <c r="N21" s="461"/>
      <c r="O21" s="461"/>
      <c r="P21" s="461"/>
      <c r="Q21" s="461"/>
      <c r="R21" s="461"/>
      <c r="S21" s="461"/>
      <c r="T21" s="461"/>
      <c r="U21" s="461"/>
      <c r="V21" s="461"/>
      <c r="W21" s="461"/>
      <c r="X21" s="461"/>
      <c r="Y21" s="461"/>
      <c r="Z21" s="461"/>
      <c r="AA21" s="461"/>
      <c r="AB21" s="461"/>
      <c r="AC21" s="461"/>
      <c r="AD21" s="461"/>
      <c r="AE21" s="461"/>
      <c r="AF21" s="461"/>
      <c r="AG21" s="461"/>
      <c r="AH21" s="461"/>
      <c r="AI21" s="461"/>
      <c r="AJ21" s="461"/>
      <c r="AL21" s="442"/>
    </row>
    <row r="22" spans="1:41" x14ac:dyDescent="0.25">
      <c r="E22" s="461"/>
      <c r="F22" s="461"/>
      <c r="G22" s="461"/>
      <c r="H22" s="461"/>
      <c r="I22" s="461"/>
      <c r="J22" s="461"/>
      <c r="K22" s="461"/>
      <c r="L22" s="461"/>
      <c r="M22" s="461"/>
      <c r="N22" s="461"/>
      <c r="O22" s="461"/>
      <c r="P22" s="461"/>
      <c r="Q22" s="461"/>
      <c r="R22" s="461"/>
      <c r="S22" s="461"/>
      <c r="T22" s="461"/>
      <c r="U22" s="461"/>
      <c r="V22" s="461"/>
      <c r="W22" s="461"/>
      <c r="X22" s="461"/>
      <c r="Y22" s="461"/>
      <c r="Z22" s="461"/>
      <c r="AA22" s="461"/>
      <c r="AB22" s="461"/>
      <c r="AC22" s="461"/>
      <c r="AD22" s="461"/>
      <c r="AE22" s="461"/>
      <c r="AF22" s="461"/>
      <c r="AG22" s="461"/>
      <c r="AH22" s="461"/>
      <c r="AI22" s="461"/>
      <c r="AJ22" s="461"/>
      <c r="AL22" s="442"/>
    </row>
    <row r="23" spans="1:41" x14ac:dyDescent="0.25">
      <c r="E23" s="461"/>
      <c r="F23" s="461"/>
      <c r="G23" s="461"/>
      <c r="H23" s="461"/>
      <c r="I23" s="461"/>
      <c r="J23" s="461"/>
      <c r="K23" s="461"/>
      <c r="L23" s="461"/>
      <c r="M23" s="461"/>
      <c r="N23" s="461"/>
      <c r="O23" s="461"/>
      <c r="P23" s="461"/>
      <c r="Q23" s="461"/>
      <c r="R23" s="461"/>
      <c r="S23" s="461"/>
      <c r="T23" s="461"/>
      <c r="U23" s="461"/>
      <c r="V23" s="461"/>
      <c r="W23" s="461"/>
      <c r="X23" s="461"/>
      <c r="Y23" s="461"/>
      <c r="Z23" s="461"/>
      <c r="AA23" s="461"/>
      <c r="AB23" s="461"/>
      <c r="AC23" s="461"/>
      <c r="AD23" s="461"/>
      <c r="AE23" s="461"/>
      <c r="AF23" s="461"/>
      <c r="AG23" s="461"/>
      <c r="AH23" s="461"/>
      <c r="AI23" s="461"/>
      <c r="AJ23" s="461"/>
      <c r="AL23" s="442"/>
    </row>
    <row r="24" spans="1:41" x14ac:dyDescent="0.25">
      <c r="E24" s="461"/>
      <c r="F24" s="461"/>
      <c r="G24" s="461"/>
      <c r="H24" s="461"/>
      <c r="I24" s="461"/>
      <c r="J24" s="461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V24" s="461"/>
      <c r="W24" s="461"/>
      <c r="X24" s="461"/>
      <c r="Y24" s="461"/>
      <c r="Z24" s="461"/>
      <c r="AA24" s="461"/>
      <c r="AB24" s="461"/>
      <c r="AC24" s="461"/>
      <c r="AD24" s="461"/>
      <c r="AE24" s="461"/>
      <c r="AF24" s="461"/>
      <c r="AG24" s="461"/>
      <c r="AH24" s="461"/>
      <c r="AI24" s="461"/>
      <c r="AJ24" s="461"/>
      <c r="AL24" s="442"/>
    </row>
    <row r="25" spans="1:41" x14ac:dyDescent="0.25">
      <c r="E25" s="461"/>
      <c r="F25" s="461"/>
      <c r="G25" s="461"/>
      <c r="H25" s="461"/>
      <c r="I25" s="461"/>
      <c r="J25" s="461"/>
      <c r="K25" s="461"/>
      <c r="L25" s="461"/>
      <c r="M25" s="461"/>
      <c r="N25" s="461"/>
      <c r="O25" s="461"/>
      <c r="P25" s="461"/>
      <c r="Q25" s="461"/>
      <c r="R25" s="461"/>
      <c r="S25" s="461"/>
      <c r="T25" s="461"/>
      <c r="U25" s="461"/>
      <c r="V25" s="461"/>
      <c r="W25" s="461"/>
      <c r="X25" s="461"/>
      <c r="Y25" s="461"/>
      <c r="Z25" s="461"/>
      <c r="AA25" s="461"/>
      <c r="AB25" s="461"/>
      <c r="AC25" s="461"/>
      <c r="AD25" s="461"/>
      <c r="AE25" s="461"/>
      <c r="AF25" s="461"/>
      <c r="AG25" s="461"/>
      <c r="AH25" s="461"/>
      <c r="AI25" s="461"/>
      <c r="AJ25" s="461"/>
      <c r="AL25" s="442"/>
    </row>
    <row r="26" spans="1:41" x14ac:dyDescent="0.25">
      <c r="AL26" s="442"/>
    </row>
    <row r="27" spans="1:41" x14ac:dyDescent="0.25">
      <c r="AL27" s="442"/>
    </row>
    <row r="28" spans="1:41" x14ac:dyDescent="0.25">
      <c r="AL28" s="442"/>
    </row>
    <row r="29" spans="1:41" x14ac:dyDescent="0.25">
      <c r="AL29" s="442"/>
    </row>
    <row r="30" spans="1:41" x14ac:dyDescent="0.25">
      <c r="AL30" s="442"/>
    </row>
    <row r="31" spans="1:41" x14ac:dyDescent="0.25">
      <c r="AL31" s="442"/>
    </row>
    <row r="32" spans="1:41" x14ac:dyDescent="0.25">
      <c r="AL32" s="442"/>
    </row>
    <row r="33" spans="38:38" x14ac:dyDescent="0.25">
      <c r="AL33" s="442"/>
    </row>
    <row r="34" spans="38:38" x14ac:dyDescent="0.25">
      <c r="AL34" s="442"/>
    </row>
    <row r="35" spans="38:38" x14ac:dyDescent="0.25">
      <c r="AL35" s="442"/>
    </row>
    <row r="36" spans="38:38" x14ac:dyDescent="0.25">
      <c r="AL36" s="442"/>
    </row>
    <row r="37" spans="38:38" x14ac:dyDescent="0.25">
      <c r="AL37" s="442"/>
    </row>
    <row r="38" spans="38:38" x14ac:dyDescent="0.25">
      <c r="AL38" s="442"/>
    </row>
    <row r="39" spans="38:38" x14ac:dyDescent="0.25">
      <c r="AL39" s="442"/>
    </row>
    <row r="40" spans="38:38" x14ac:dyDescent="0.25">
      <c r="AL40" s="442"/>
    </row>
    <row r="41" spans="38:38" x14ac:dyDescent="0.25">
      <c r="AL41" s="442"/>
    </row>
    <row r="42" spans="38:38" x14ac:dyDescent="0.25">
      <c r="AL42" s="442"/>
    </row>
    <row r="43" spans="38:38" x14ac:dyDescent="0.25">
      <c r="AL43" s="442"/>
    </row>
    <row r="44" spans="38:38" x14ac:dyDescent="0.25">
      <c r="AL44" s="442"/>
    </row>
    <row r="45" spans="38:38" x14ac:dyDescent="0.25">
      <c r="AL45" s="442"/>
    </row>
    <row r="46" spans="38:38" x14ac:dyDescent="0.25">
      <c r="AL46" s="442"/>
    </row>
    <row r="47" spans="38:38" x14ac:dyDescent="0.25">
      <c r="AL47" s="442"/>
    </row>
    <row r="48" spans="38:38" x14ac:dyDescent="0.25">
      <c r="AL48" s="442"/>
    </row>
    <row r="49" spans="38:38" x14ac:dyDescent="0.25">
      <c r="AL49" s="442"/>
    </row>
    <row r="50" spans="38:38" x14ac:dyDescent="0.25">
      <c r="AL50" s="442"/>
    </row>
    <row r="51" spans="38:38" x14ac:dyDescent="0.25">
      <c r="AL51" s="442"/>
    </row>
    <row r="52" spans="38:38" x14ac:dyDescent="0.25">
      <c r="AL52" s="442"/>
    </row>
    <row r="53" spans="38:38" x14ac:dyDescent="0.25">
      <c r="AL53" s="442"/>
    </row>
    <row r="54" spans="38:38" x14ac:dyDescent="0.25">
      <c r="AL54" s="442"/>
    </row>
    <row r="55" spans="38:38" x14ac:dyDescent="0.25">
      <c r="AL55" s="442"/>
    </row>
    <row r="56" spans="38:38" x14ac:dyDescent="0.25">
      <c r="AL56" s="442"/>
    </row>
    <row r="57" spans="38:38" x14ac:dyDescent="0.25">
      <c r="AL57" s="442"/>
    </row>
    <row r="58" spans="38:38" x14ac:dyDescent="0.25">
      <c r="AL58" s="442"/>
    </row>
    <row r="59" spans="38:38" x14ac:dyDescent="0.25">
      <c r="AL59" s="442"/>
    </row>
    <row r="60" spans="38:38" x14ac:dyDescent="0.25">
      <c r="AL60" s="442"/>
    </row>
    <row r="61" spans="38:38" x14ac:dyDescent="0.25">
      <c r="AL61" s="442"/>
    </row>
    <row r="62" spans="38:38" x14ac:dyDescent="0.25">
      <c r="AL62" s="442"/>
    </row>
    <row r="63" spans="38:38" x14ac:dyDescent="0.25">
      <c r="AL63" s="442"/>
    </row>
    <row r="64" spans="38:38" x14ac:dyDescent="0.25">
      <c r="AL64" s="442"/>
    </row>
    <row r="65" spans="38:38" x14ac:dyDescent="0.25">
      <c r="AL65" s="442"/>
    </row>
    <row r="66" spans="38:38" x14ac:dyDescent="0.25">
      <c r="AL66" s="442"/>
    </row>
    <row r="67" spans="38:38" x14ac:dyDescent="0.25">
      <c r="AL67" s="442"/>
    </row>
    <row r="68" spans="38:38" x14ac:dyDescent="0.25">
      <c r="AL68" s="442"/>
    </row>
    <row r="69" spans="38:38" x14ac:dyDescent="0.25">
      <c r="AL69" s="442"/>
    </row>
    <row r="70" spans="38:38" x14ac:dyDescent="0.25">
      <c r="AL70" s="442"/>
    </row>
    <row r="71" spans="38:38" x14ac:dyDescent="0.25">
      <c r="AL71" s="442"/>
    </row>
    <row r="72" spans="38:38" x14ac:dyDescent="0.25">
      <c r="AL72" s="442"/>
    </row>
    <row r="73" spans="38:38" x14ac:dyDescent="0.25">
      <c r="AL73" s="442"/>
    </row>
    <row r="74" spans="38:38" x14ac:dyDescent="0.25">
      <c r="AL74" s="442"/>
    </row>
    <row r="75" spans="38:38" x14ac:dyDescent="0.25">
      <c r="AL75" s="442"/>
    </row>
    <row r="76" spans="38:38" x14ac:dyDescent="0.25">
      <c r="AL76" s="442"/>
    </row>
    <row r="77" spans="38:38" x14ac:dyDescent="0.25">
      <c r="AL77" s="442"/>
    </row>
    <row r="78" spans="38:38" x14ac:dyDescent="0.25">
      <c r="AL78" s="442"/>
    </row>
    <row r="79" spans="38:38" x14ac:dyDescent="0.25">
      <c r="AL79" s="442"/>
    </row>
    <row r="80" spans="38:38" x14ac:dyDescent="0.25">
      <c r="AL80" s="442"/>
    </row>
    <row r="81" spans="38:38" x14ac:dyDescent="0.25">
      <c r="AL81" s="442"/>
    </row>
    <row r="82" spans="38:38" x14ac:dyDescent="0.25">
      <c r="AL82" s="442"/>
    </row>
    <row r="83" spans="38:38" x14ac:dyDescent="0.25">
      <c r="AL83" s="442"/>
    </row>
    <row r="84" spans="38:38" x14ac:dyDescent="0.25">
      <c r="AL84" s="442"/>
    </row>
    <row r="85" spans="38:38" x14ac:dyDescent="0.25">
      <c r="AL85" s="442"/>
    </row>
    <row r="86" spans="38:38" x14ac:dyDescent="0.25">
      <c r="AL86" s="442"/>
    </row>
    <row r="87" spans="38:38" x14ac:dyDescent="0.25">
      <c r="AL87" s="442"/>
    </row>
    <row r="88" spans="38:38" x14ac:dyDescent="0.25">
      <c r="AL88" s="442"/>
    </row>
    <row r="89" spans="38:38" x14ac:dyDescent="0.25">
      <c r="AL89" s="442"/>
    </row>
    <row r="90" spans="38:38" x14ac:dyDescent="0.25">
      <c r="AL90" s="442"/>
    </row>
    <row r="91" spans="38:38" x14ac:dyDescent="0.25">
      <c r="AL91" s="442"/>
    </row>
    <row r="92" spans="38:38" x14ac:dyDescent="0.25">
      <c r="AL92" s="442"/>
    </row>
    <row r="93" spans="38:38" x14ac:dyDescent="0.25">
      <c r="AL93" s="442"/>
    </row>
    <row r="94" spans="38:38" x14ac:dyDescent="0.25">
      <c r="AL94" s="442"/>
    </row>
    <row r="95" spans="38:38" x14ac:dyDescent="0.25">
      <c r="AL95" s="442"/>
    </row>
    <row r="96" spans="38:38" x14ac:dyDescent="0.25">
      <c r="AL96" s="442"/>
    </row>
    <row r="97" spans="38:38" x14ac:dyDescent="0.25">
      <c r="AL97" s="442"/>
    </row>
    <row r="98" spans="38:38" x14ac:dyDescent="0.25">
      <c r="AL98" s="442"/>
    </row>
    <row r="99" spans="38:38" x14ac:dyDescent="0.25">
      <c r="AL99" s="442"/>
    </row>
  </sheetData>
  <mergeCells count="45"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645"/>
  <sheetViews>
    <sheetView zoomScale="70" zoomScaleNormal="130" zoomScaleSheetLayoutView="85" workbookViewId="0">
      <pane ySplit="7" topLeftCell="A26" activePane="bottomLeft" state="frozen"/>
      <selection pane="bottomLeft" activeCell="H18" sqref="H18"/>
    </sheetView>
  </sheetViews>
  <sheetFormatPr defaultRowHeight="12.75" x14ac:dyDescent="0.2"/>
  <cols>
    <col min="1" max="1" width="7.7109375" style="352" bestFit="1" customWidth="1"/>
    <col min="2" max="2" width="9.5703125" style="435" bestFit="1" customWidth="1"/>
    <col min="3" max="3" width="14.42578125" style="435" bestFit="1" customWidth="1"/>
    <col min="4" max="4" width="13.140625" style="435" bestFit="1" customWidth="1"/>
    <col min="5" max="5" width="15" style="435" customWidth="1"/>
    <col min="6" max="6" width="9.42578125" style="435" customWidth="1"/>
    <col min="7" max="7" width="11.7109375" style="352" customWidth="1"/>
    <col min="8" max="8" width="16" style="435" customWidth="1"/>
    <col min="9" max="9" width="12.85546875" style="435" customWidth="1"/>
    <col min="10" max="10" width="12.42578125" style="435" customWidth="1"/>
    <col min="11" max="11" width="17.85546875" style="435" customWidth="1"/>
    <col min="12" max="12" width="11.7109375" style="352" customWidth="1"/>
    <col min="13" max="13" width="7.7109375" style="352" customWidth="1"/>
    <col min="14" max="15" width="8.85546875" style="352" customWidth="1"/>
    <col min="16" max="16" width="7.7109375" style="352" customWidth="1"/>
    <col min="17" max="18" width="8.85546875" style="352" customWidth="1"/>
    <col min="19" max="19" width="21" style="352" customWidth="1"/>
    <col min="20" max="20" width="21.140625" style="352" customWidth="1"/>
    <col min="21" max="21" width="17.5703125" style="352" customWidth="1"/>
    <col min="22" max="22" width="19" style="352" customWidth="1"/>
    <col min="23" max="23" width="40.7109375" style="352" customWidth="1"/>
    <col min="24" max="24" width="21.42578125" style="352" customWidth="1"/>
    <col min="25" max="25" width="12.7109375" style="352" customWidth="1"/>
    <col min="26" max="26" width="9.28515625" style="352" customWidth="1"/>
    <col min="27" max="27" width="4.7109375" style="352" customWidth="1"/>
    <col min="28" max="28" width="4.140625" style="352" customWidth="1"/>
    <col min="29" max="30" width="4.7109375" style="352" customWidth="1"/>
    <col min="31" max="31" width="14" style="352" bestFit="1" customWidth="1"/>
    <col min="32" max="256" width="9.140625" style="352"/>
    <col min="257" max="257" width="7.7109375" style="352" bestFit="1" customWidth="1"/>
    <col min="258" max="258" width="9.5703125" style="352" bestFit="1" customWidth="1"/>
    <col min="259" max="259" width="14.42578125" style="352" bestFit="1" customWidth="1"/>
    <col min="260" max="260" width="13.140625" style="352" bestFit="1" customWidth="1"/>
    <col min="261" max="261" width="15" style="352" customWidth="1"/>
    <col min="262" max="262" width="9.42578125" style="352" customWidth="1"/>
    <col min="263" max="263" width="11.7109375" style="352" customWidth="1"/>
    <col min="264" max="264" width="16" style="352" customWidth="1"/>
    <col min="265" max="265" width="12.85546875" style="352" customWidth="1"/>
    <col min="266" max="266" width="12.42578125" style="352" customWidth="1"/>
    <col min="267" max="267" width="17.85546875" style="352" customWidth="1"/>
    <col min="268" max="268" width="11.7109375" style="352" customWidth="1"/>
    <col min="269" max="269" width="7.7109375" style="352" customWidth="1"/>
    <col min="270" max="271" width="8.85546875" style="352" customWidth="1"/>
    <col min="272" max="272" width="7.7109375" style="352" customWidth="1"/>
    <col min="273" max="274" width="8.85546875" style="352" customWidth="1"/>
    <col min="275" max="275" width="21" style="352" customWidth="1"/>
    <col min="276" max="276" width="21.140625" style="352" customWidth="1"/>
    <col min="277" max="277" width="17.5703125" style="352" customWidth="1"/>
    <col min="278" max="278" width="19" style="352" customWidth="1"/>
    <col min="279" max="279" width="40.7109375" style="352" customWidth="1"/>
    <col min="280" max="280" width="21.42578125" style="352" customWidth="1"/>
    <col min="281" max="281" width="12.7109375" style="352" customWidth="1"/>
    <col min="282" max="282" width="9.28515625" style="352" customWidth="1"/>
    <col min="283" max="283" width="4.7109375" style="352" customWidth="1"/>
    <col min="284" max="284" width="4.140625" style="352" customWidth="1"/>
    <col min="285" max="286" width="4.7109375" style="352" customWidth="1"/>
    <col min="287" max="287" width="14" style="352" bestFit="1" customWidth="1"/>
    <col min="288" max="512" width="9.140625" style="352"/>
    <col min="513" max="513" width="7.7109375" style="352" bestFit="1" customWidth="1"/>
    <col min="514" max="514" width="9.5703125" style="352" bestFit="1" customWidth="1"/>
    <col min="515" max="515" width="14.42578125" style="352" bestFit="1" customWidth="1"/>
    <col min="516" max="516" width="13.140625" style="352" bestFit="1" customWidth="1"/>
    <col min="517" max="517" width="15" style="352" customWidth="1"/>
    <col min="518" max="518" width="9.42578125" style="352" customWidth="1"/>
    <col min="519" max="519" width="11.7109375" style="352" customWidth="1"/>
    <col min="520" max="520" width="16" style="352" customWidth="1"/>
    <col min="521" max="521" width="12.85546875" style="352" customWidth="1"/>
    <col min="522" max="522" width="12.42578125" style="352" customWidth="1"/>
    <col min="523" max="523" width="17.85546875" style="352" customWidth="1"/>
    <col min="524" max="524" width="11.7109375" style="352" customWidth="1"/>
    <col min="525" max="525" width="7.7109375" style="352" customWidth="1"/>
    <col min="526" max="527" width="8.85546875" style="352" customWidth="1"/>
    <col min="528" max="528" width="7.7109375" style="352" customWidth="1"/>
    <col min="529" max="530" width="8.85546875" style="352" customWidth="1"/>
    <col min="531" max="531" width="21" style="352" customWidth="1"/>
    <col min="532" max="532" width="21.140625" style="352" customWidth="1"/>
    <col min="533" max="533" width="17.5703125" style="352" customWidth="1"/>
    <col min="534" max="534" width="19" style="352" customWidth="1"/>
    <col min="535" max="535" width="40.7109375" style="352" customWidth="1"/>
    <col min="536" max="536" width="21.42578125" style="352" customWidth="1"/>
    <col min="537" max="537" width="12.7109375" style="352" customWidth="1"/>
    <col min="538" max="538" width="9.28515625" style="352" customWidth="1"/>
    <col min="539" max="539" width="4.7109375" style="352" customWidth="1"/>
    <col min="540" max="540" width="4.140625" style="352" customWidth="1"/>
    <col min="541" max="542" width="4.7109375" style="352" customWidth="1"/>
    <col min="543" max="543" width="14" style="352" bestFit="1" customWidth="1"/>
    <col min="544" max="768" width="9.140625" style="352"/>
    <col min="769" max="769" width="7.7109375" style="352" bestFit="1" customWidth="1"/>
    <col min="770" max="770" width="9.5703125" style="352" bestFit="1" customWidth="1"/>
    <col min="771" max="771" width="14.42578125" style="352" bestFit="1" customWidth="1"/>
    <col min="772" max="772" width="13.140625" style="352" bestFit="1" customWidth="1"/>
    <col min="773" max="773" width="15" style="352" customWidth="1"/>
    <col min="774" max="774" width="9.42578125" style="352" customWidth="1"/>
    <col min="775" max="775" width="11.7109375" style="352" customWidth="1"/>
    <col min="776" max="776" width="16" style="352" customWidth="1"/>
    <col min="777" max="777" width="12.85546875" style="352" customWidth="1"/>
    <col min="778" max="778" width="12.42578125" style="352" customWidth="1"/>
    <col min="779" max="779" width="17.85546875" style="352" customWidth="1"/>
    <col min="780" max="780" width="11.7109375" style="352" customWidth="1"/>
    <col min="781" max="781" width="7.7109375" style="352" customWidth="1"/>
    <col min="782" max="783" width="8.85546875" style="352" customWidth="1"/>
    <col min="784" max="784" width="7.7109375" style="352" customWidth="1"/>
    <col min="785" max="786" width="8.85546875" style="352" customWidth="1"/>
    <col min="787" max="787" width="21" style="352" customWidth="1"/>
    <col min="788" max="788" width="21.140625" style="352" customWidth="1"/>
    <col min="789" max="789" width="17.5703125" style="352" customWidth="1"/>
    <col min="790" max="790" width="19" style="352" customWidth="1"/>
    <col min="791" max="791" width="40.7109375" style="352" customWidth="1"/>
    <col min="792" max="792" width="21.42578125" style="352" customWidth="1"/>
    <col min="793" max="793" width="12.7109375" style="352" customWidth="1"/>
    <col min="794" max="794" width="9.28515625" style="352" customWidth="1"/>
    <col min="795" max="795" width="4.7109375" style="352" customWidth="1"/>
    <col min="796" max="796" width="4.140625" style="352" customWidth="1"/>
    <col min="797" max="798" width="4.7109375" style="352" customWidth="1"/>
    <col min="799" max="799" width="14" style="352" bestFit="1" customWidth="1"/>
    <col min="800" max="1024" width="9.140625" style="352"/>
    <col min="1025" max="1025" width="7.7109375" style="352" bestFit="1" customWidth="1"/>
    <col min="1026" max="1026" width="9.5703125" style="352" bestFit="1" customWidth="1"/>
    <col min="1027" max="1027" width="14.42578125" style="352" bestFit="1" customWidth="1"/>
    <col min="1028" max="1028" width="13.140625" style="352" bestFit="1" customWidth="1"/>
    <col min="1029" max="1029" width="15" style="352" customWidth="1"/>
    <col min="1030" max="1030" width="9.42578125" style="352" customWidth="1"/>
    <col min="1031" max="1031" width="11.7109375" style="352" customWidth="1"/>
    <col min="1032" max="1032" width="16" style="352" customWidth="1"/>
    <col min="1033" max="1033" width="12.85546875" style="352" customWidth="1"/>
    <col min="1034" max="1034" width="12.42578125" style="352" customWidth="1"/>
    <col min="1035" max="1035" width="17.85546875" style="352" customWidth="1"/>
    <col min="1036" max="1036" width="11.7109375" style="352" customWidth="1"/>
    <col min="1037" max="1037" width="7.7109375" style="352" customWidth="1"/>
    <col min="1038" max="1039" width="8.85546875" style="352" customWidth="1"/>
    <col min="1040" max="1040" width="7.7109375" style="352" customWidth="1"/>
    <col min="1041" max="1042" width="8.85546875" style="352" customWidth="1"/>
    <col min="1043" max="1043" width="21" style="352" customWidth="1"/>
    <col min="1044" max="1044" width="21.140625" style="352" customWidth="1"/>
    <col min="1045" max="1045" width="17.5703125" style="352" customWidth="1"/>
    <col min="1046" max="1046" width="19" style="352" customWidth="1"/>
    <col min="1047" max="1047" width="40.7109375" style="352" customWidth="1"/>
    <col min="1048" max="1048" width="21.42578125" style="352" customWidth="1"/>
    <col min="1049" max="1049" width="12.7109375" style="352" customWidth="1"/>
    <col min="1050" max="1050" width="9.28515625" style="352" customWidth="1"/>
    <col min="1051" max="1051" width="4.7109375" style="352" customWidth="1"/>
    <col min="1052" max="1052" width="4.140625" style="352" customWidth="1"/>
    <col min="1053" max="1054" width="4.7109375" style="352" customWidth="1"/>
    <col min="1055" max="1055" width="14" style="352" bestFit="1" customWidth="1"/>
    <col min="1056" max="1280" width="9.140625" style="352"/>
    <col min="1281" max="1281" width="7.7109375" style="352" bestFit="1" customWidth="1"/>
    <col min="1282" max="1282" width="9.5703125" style="352" bestFit="1" customWidth="1"/>
    <col min="1283" max="1283" width="14.42578125" style="352" bestFit="1" customWidth="1"/>
    <col min="1284" max="1284" width="13.140625" style="352" bestFit="1" customWidth="1"/>
    <col min="1285" max="1285" width="15" style="352" customWidth="1"/>
    <col min="1286" max="1286" width="9.42578125" style="352" customWidth="1"/>
    <col min="1287" max="1287" width="11.7109375" style="352" customWidth="1"/>
    <col min="1288" max="1288" width="16" style="352" customWidth="1"/>
    <col min="1289" max="1289" width="12.85546875" style="352" customWidth="1"/>
    <col min="1290" max="1290" width="12.42578125" style="352" customWidth="1"/>
    <col min="1291" max="1291" width="17.85546875" style="352" customWidth="1"/>
    <col min="1292" max="1292" width="11.7109375" style="352" customWidth="1"/>
    <col min="1293" max="1293" width="7.7109375" style="352" customWidth="1"/>
    <col min="1294" max="1295" width="8.85546875" style="352" customWidth="1"/>
    <col min="1296" max="1296" width="7.7109375" style="352" customWidth="1"/>
    <col min="1297" max="1298" width="8.85546875" style="352" customWidth="1"/>
    <col min="1299" max="1299" width="21" style="352" customWidth="1"/>
    <col min="1300" max="1300" width="21.140625" style="352" customWidth="1"/>
    <col min="1301" max="1301" width="17.5703125" style="352" customWidth="1"/>
    <col min="1302" max="1302" width="19" style="352" customWidth="1"/>
    <col min="1303" max="1303" width="40.7109375" style="352" customWidth="1"/>
    <col min="1304" max="1304" width="21.42578125" style="352" customWidth="1"/>
    <col min="1305" max="1305" width="12.7109375" style="352" customWidth="1"/>
    <col min="1306" max="1306" width="9.28515625" style="352" customWidth="1"/>
    <col min="1307" max="1307" width="4.7109375" style="352" customWidth="1"/>
    <col min="1308" max="1308" width="4.140625" style="352" customWidth="1"/>
    <col min="1309" max="1310" width="4.7109375" style="352" customWidth="1"/>
    <col min="1311" max="1311" width="14" style="352" bestFit="1" customWidth="1"/>
    <col min="1312" max="1536" width="9.140625" style="352"/>
    <col min="1537" max="1537" width="7.7109375" style="352" bestFit="1" customWidth="1"/>
    <col min="1538" max="1538" width="9.5703125" style="352" bestFit="1" customWidth="1"/>
    <col min="1539" max="1539" width="14.42578125" style="352" bestFit="1" customWidth="1"/>
    <col min="1540" max="1540" width="13.140625" style="352" bestFit="1" customWidth="1"/>
    <col min="1541" max="1541" width="15" style="352" customWidth="1"/>
    <col min="1542" max="1542" width="9.42578125" style="352" customWidth="1"/>
    <col min="1543" max="1543" width="11.7109375" style="352" customWidth="1"/>
    <col min="1544" max="1544" width="16" style="352" customWidth="1"/>
    <col min="1545" max="1545" width="12.85546875" style="352" customWidth="1"/>
    <col min="1546" max="1546" width="12.42578125" style="352" customWidth="1"/>
    <col min="1547" max="1547" width="17.85546875" style="352" customWidth="1"/>
    <col min="1548" max="1548" width="11.7109375" style="352" customWidth="1"/>
    <col min="1549" max="1549" width="7.7109375" style="352" customWidth="1"/>
    <col min="1550" max="1551" width="8.85546875" style="352" customWidth="1"/>
    <col min="1552" max="1552" width="7.7109375" style="352" customWidth="1"/>
    <col min="1553" max="1554" width="8.85546875" style="352" customWidth="1"/>
    <col min="1555" max="1555" width="21" style="352" customWidth="1"/>
    <col min="1556" max="1556" width="21.140625" style="352" customWidth="1"/>
    <col min="1557" max="1557" width="17.5703125" style="352" customWidth="1"/>
    <col min="1558" max="1558" width="19" style="352" customWidth="1"/>
    <col min="1559" max="1559" width="40.7109375" style="352" customWidth="1"/>
    <col min="1560" max="1560" width="21.42578125" style="352" customWidth="1"/>
    <col min="1561" max="1561" width="12.7109375" style="352" customWidth="1"/>
    <col min="1562" max="1562" width="9.28515625" style="352" customWidth="1"/>
    <col min="1563" max="1563" width="4.7109375" style="352" customWidth="1"/>
    <col min="1564" max="1564" width="4.140625" style="352" customWidth="1"/>
    <col min="1565" max="1566" width="4.7109375" style="352" customWidth="1"/>
    <col min="1567" max="1567" width="14" style="352" bestFit="1" customWidth="1"/>
    <col min="1568" max="1792" width="9.140625" style="352"/>
    <col min="1793" max="1793" width="7.7109375" style="352" bestFit="1" customWidth="1"/>
    <col min="1794" max="1794" width="9.5703125" style="352" bestFit="1" customWidth="1"/>
    <col min="1795" max="1795" width="14.42578125" style="352" bestFit="1" customWidth="1"/>
    <col min="1796" max="1796" width="13.140625" style="352" bestFit="1" customWidth="1"/>
    <col min="1797" max="1797" width="15" style="352" customWidth="1"/>
    <col min="1798" max="1798" width="9.42578125" style="352" customWidth="1"/>
    <col min="1799" max="1799" width="11.7109375" style="352" customWidth="1"/>
    <col min="1800" max="1800" width="16" style="352" customWidth="1"/>
    <col min="1801" max="1801" width="12.85546875" style="352" customWidth="1"/>
    <col min="1802" max="1802" width="12.42578125" style="352" customWidth="1"/>
    <col min="1803" max="1803" width="17.85546875" style="352" customWidth="1"/>
    <col min="1804" max="1804" width="11.7109375" style="352" customWidth="1"/>
    <col min="1805" max="1805" width="7.7109375" style="352" customWidth="1"/>
    <col min="1806" max="1807" width="8.85546875" style="352" customWidth="1"/>
    <col min="1808" max="1808" width="7.7109375" style="352" customWidth="1"/>
    <col min="1809" max="1810" width="8.85546875" style="352" customWidth="1"/>
    <col min="1811" max="1811" width="21" style="352" customWidth="1"/>
    <col min="1812" max="1812" width="21.140625" style="352" customWidth="1"/>
    <col min="1813" max="1813" width="17.5703125" style="352" customWidth="1"/>
    <col min="1814" max="1814" width="19" style="352" customWidth="1"/>
    <col min="1815" max="1815" width="40.7109375" style="352" customWidth="1"/>
    <col min="1816" max="1816" width="21.42578125" style="352" customWidth="1"/>
    <col min="1817" max="1817" width="12.7109375" style="352" customWidth="1"/>
    <col min="1818" max="1818" width="9.28515625" style="352" customWidth="1"/>
    <col min="1819" max="1819" width="4.7109375" style="352" customWidth="1"/>
    <col min="1820" max="1820" width="4.140625" style="352" customWidth="1"/>
    <col min="1821" max="1822" width="4.7109375" style="352" customWidth="1"/>
    <col min="1823" max="1823" width="14" style="352" bestFit="1" customWidth="1"/>
    <col min="1824" max="2048" width="9.140625" style="352"/>
    <col min="2049" max="2049" width="7.7109375" style="352" bestFit="1" customWidth="1"/>
    <col min="2050" max="2050" width="9.5703125" style="352" bestFit="1" customWidth="1"/>
    <col min="2051" max="2051" width="14.42578125" style="352" bestFit="1" customWidth="1"/>
    <col min="2052" max="2052" width="13.140625" style="352" bestFit="1" customWidth="1"/>
    <col min="2053" max="2053" width="15" style="352" customWidth="1"/>
    <col min="2054" max="2054" width="9.42578125" style="352" customWidth="1"/>
    <col min="2055" max="2055" width="11.7109375" style="352" customWidth="1"/>
    <col min="2056" max="2056" width="16" style="352" customWidth="1"/>
    <col min="2057" max="2057" width="12.85546875" style="352" customWidth="1"/>
    <col min="2058" max="2058" width="12.42578125" style="352" customWidth="1"/>
    <col min="2059" max="2059" width="17.85546875" style="352" customWidth="1"/>
    <col min="2060" max="2060" width="11.7109375" style="352" customWidth="1"/>
    <col min="2061" max="2061" width="7.7109375" style="352" customWidth="1"/>
    <col min="2062" max="2063" width="8.85546875" style="352" customWidth="1"/>
    <col min="2064" max="2064" width="7.7109375" style="352" customWidth="1"/>
    <col min="2065" max="2066" width="8.85546875" style="352" customWidth="1"/>
    <col min="2067" max="2067" width="21" style="352" customWidth="1"/>
    <col min="2068" max="2068" width="21.140625" style="352" customWidth="1"/>
    <col min="2069" max="2069" width="17.5703125" style="352" customWidth="1"/>
    <col min="2070" max="2070" width="19" style="352" customWidth="1"/>
    <col min="2071" max="2071" width="40.7109375" style="352" customWidth="1"/>
    <col min="2072" max="2072" width="21.42578125" style="352" customWidth="1"/>
    <col min="2073" max="2073" width="12.7109375" style="352" customWidth="1"/>
    <col min="2074" max="2074" width="9.28515625" style="352" customWidth="1"/>
    <col min="2075" max="2075" width="4.7109375" style="352" customWidth="1"/>
    <col min="2076" max="2076" width="4.140625" style="352" customWidth="1"/>
    <col min="2077" max="2078" width="4.7109375" style="352" customWidth="1"/>
    <col min="2079" max="2079" width="14" style="352" bestFit="1" customWidth="1"/>
    <col min="2080" max="2304" width="9.140625" style="352"/>
    <col min="2305" max="2305" width="7.7109375" style="352" bestFit="1" customWidth="1"/>
    <col min="2306" max="2306" width="9.5703125" style="352" bestFit="1" customWidth="1"/>
    <col min="2307" max="2307" width="14.42578125" style="352" bestFit="1" customWidth="1"/>
    <col min="2308" max="2308" width="13.140625" style="352" bestFit="1" customWidth="1"/>
    <col min="2309" max="2309" width="15" style="352" customWidth="1"/>
    <col min="2310" max="2310" width="9.42578125" style="352" customWidth="1"/>
    <col min="2311" max="2311" width="11.7109375" style="352" customWidth="1"/>
    <col min="2312" max="2312" width="16" style="352" customWidth="1"/>
    <col min="2313" max="2313" width="12.85546875" style="352" customWidth="1"/>
    <col min="2314" max="2314" width="12.42578125" style="352" customWidth="1"/>
    <col min="2315" max="2315" width="17.85546875" style="352" customWidth="1"/>
    <col min="2316" max="2316" width="11.7109375" style="352" customWidth="1"/>
    <col min="2317" max="2317" width="7.7109375" style="352" customWidth="1"/>
    <col min="2318" max="2319" width="8.85546875" style="352" customWidth="1"/>
    <col min="2320" max="2320" width="7.7109375" style="352" customWidth="1"/>
    <col min="2321" max="2322" width="8.85546875" style="352" customWidth="1"/>
    <col min="2323" max="2323" width="21" style="352" customWidth="1"/>
    <col min="2324" max="2324" width="21.140625" style="352" customWidth="1"/>
    <col min="2325" max="2325" width="17.5703125" style="352" customWidth="1"/>
    <col min="2326" max="2326" width="19" style="352" customWidth="1"/>
    <col min="2327" max="2327" width="40.7109375" style="352" customWidth="1"/>
    <col min="2328" max="2328" width="21.42578125" style="352" customWidth="1"/>
    <col min="2329" max="2329" width="12.7109375" style="352" customWidth="1"/>
    <col min="2330" max="2330" width="9.28515625" style="352" customWidth="1"/>
    <col min="2331" max="2331" width="4.7109375" style="352" customWidth="1"/>
    <col min="2332" max="2332" width="4.140625" style="352" customWidth="1"/>
    <col min="2333" max="2334" width="4.7109375" style="352" customWidth="1"/>
    <col min="2335" max="2335" width="14" style="352" bestFit="1" customWidth="1"/>
    <col min="2336" max="2560" width="9.140625" style="352"/>
    <col min="2561" max="2561" width="7.7109375" style="352" bestFit="1" customWidth="1"/>
    <col min="2562" max="2562" width="9.5703125" style="352" bestFit="1" customWidth="1"/>
    <col min="2563" max="2563" width="14.42578125" style="352" bestFit="1" customWidth="1"/>
    <col min="2564" max="2564" width="13.140625" style="352" bestFit="1" customWidth="1"/>
    <col min="2565" max="2565" width="15" style="352" customWidth="1"/>
    <col min="2566" max="2566" width="9.42578125" style="352" customWidth="1"/>
    <col min="2567" max="2567" width="11.7109375" style="352" customWidth="1"/>
    <col min="2568" max="2568" width="16" style="352" customWidth="1"/>
    <col min="2569" max="2569" width="12.85546875" style="352" customWidth="1"/>
    <col min="2570" max="2570" width="12.42578125" style="352" customWidth="1"/>
    <col min="2571" max="2571" width="17.85546875" style="352" customWidth="1"/>
    <col min="2572" max="2572" width="11.7109375" style="352" customWidth="1"/>
    <col min="2573" max="2573" width="7.7109375" style="352" customWidth="1"/>
    <col min="2574" max="2575" width="8.85546875" style="352" customWidth="1"/>
    <col min="2576" max="2576" width="7.7109375" style="352" customWidth="1"/>
    <col min="2577" max="2578" width="8.85546875" style="352" customWidth="1"/>
    <col min="2579" max="2579" width="21" style="352" customWidth="1"/>
    <col min="2580" max="2580" width="21.140625" style="352" customWidth="1"/>
    <col min="2581" max="2581" width="17.5703125" style="352" customWidth="1"/>
    <col min="2582" max="2582" width="19" style="352" customWidth="1"/>
    <col min="2583" max="2583" width="40.7109375" style="352" customWidth="1"/>
    <col min="2584" max="2584" width="21.42578125" style="352" customWidth="1"/>
    <col min="2585" max="2585" width="12.7109375" style="352" customWidth="1"/>
    <col min="2586" max="2586" width="9.28515625" style="352" customWidth="1"/>
    <col min="2587" max="2587" width="4.7109375" style="352" customWidth="1"/>
    <col min="2588" max="2588" width="4.140625" style="352" customWidth="1"/>
    <col min="2589" max="2590" width="4.7109375" style="352" customWidth="1"/>
    <col min="2591" max="2591" width="14" style="352" bestFit="1" customWidth="1"/>
    <col min="2592" max="2816" width="9.140625" style="352"/>
    <col min="2817" max="2817" width="7.7109375" style="352" bestFit="1" customWidth="1"/>
    <col min="2818" max="2818" width="9.5703125" style="352" bestFit="1" customWidth="1"/>
    <col min="2819" max="2819" width="14.42578125" style="352" bestFit="1" customWidth="1"/>
    <col min="2820" max="2820" width="13.140625" style="352" bestFit="1" customWidth="1"/>
    <col min="2821" max="2821" width="15" style="352" customWidth="1"/>
    <col min="2822" max="2822" width="9.42578125" style="352" customWidth="1"/>
    <col min="2823" max="2823" width="11.7109375" style="352" customWidth="1"/>
    <col min="2824" max="2824" width="16" style="352" customWidth="1"/>
    <col min="2825" max="2825" width="12.85546875" style="352" customWidth="1"/>
    <col min="2826" max="2826" width="12.42578125" style="352" customWidth="1"/>
    <col min="2827" max="2827" width="17.85546875" style="352" customWidth="1"/>
    <col min="2828" max="2828" width="11.7109375" style="352" customWidth="1"/>
    <col min="2829" max="2829" width="7.7109375" style="352" customWidth="1"/>
    <col min="2830" max="2831" width="8.85546875" style="352" customWidth="1"/>
    <col min="2832" max="2832" width="7.7109375" style="352" customWidth="1"/>
    <col min="2833" max="2834" width="8.85546875" style="352" customWidth="1"/>
    <col min="2835" max="2835" width="21" style="352" customWidth="1"/>
    <col min="2836" max="2836" width="21.140625" style="352" customWidth="1"/>
    <col min="2837" max="2837" width="17.5703125" style="352" customWidth="1"/>
    <col min="2838" max="2838" width="19" style="352" customWidth="1"/>
    <col min="2839" max="2839" width="40.7109375" style="352" customWidth="1"/>
    <col min="2840" max="2840" width="21.42578125" style="352" customWidth="1"/>
    <col min="2841" max="2841" width="12.7109375" style="352" customWidth="1"/>
    <col min="2842" max="2842" width="9.28515625" style="352" customWidth="1"/>
    <col min="2843" max="2843" width="4.7109375" style="352" customWidth="1"/>
    <col min="2844" max="2844" width="4.140625" style="352" customWidth="1"/>
    <col min="2845" max="2846" width="4.7109375" style="352" customWidth="1"/>
    <col min="2847" max="2847" width="14" style="352" bestFit="1" customWidth="1"/>
    <col min="2848" max="3072" width="9.140625" style="352"/>
    <col min="3073" max="3073" width="7.7109375" style="352" bestFit="1" customWidth="1"/>
    <col min="3074" max="3074" width="9.5703125" style="352" bestFit="1" customWidth="1"/>
    <col min="3075" max="3075" width="14.42578125" style="352" bestFit="1" customWidth="1"/>
    <col min="3076" max="3076" width="13.140625" style="352" bestFit="1" customWidth="1"/>
    <col min="3077" max="3077" width="15" style="352" customWidth="1"/>
    <col min="3078" max="3078" width="9.42578125" style="352" customWidth="1"/>
    <col min="3079" max="3079" width="11.7109375" style="352" customWidth="1"/>
    <col min="3080" max="3080" width="16" style="352" customWidth="1"/>
    <col min="3081" max="3081" width="12.85546875" style="352" customWidth="1"/>
    <col min="3082" max="3082" width="12.42578125" style="352" customWidth="1"/>
    <col min="3083" max="3083" width="17.85546875" style="352" customWidth="1"/>
    <col min="3084" max="3084" width="11.7109375" style="352" customWidth="1"/>
    <col min="3085" max="3085" width="7.7109375" style="352" customWidth="1"/>
    <col min="3086" max="3087" width="8.85546875" style="352" customWidth="1"/>
    <col min="3088" max="3088" width="7.7109375" style="352" customWidth="1"/>
    <col min="3089" max="3090" width="8.85546875" style="352" customWidth="1"/>
    <col min="3091" max="3091" width="21" style="352" customWidth="1"/>
    <col min="3092" max="3092" width="21.140625" style="352" customWidth="1"/>
    <col min="3093" max="3093" width="17.5703125" style="352" customWidth="1"/>
    <col min="3094" max="3094" width="19" style="352" customWidth="1"/>
    <col min="3095" max="3095" width="40.7109375" style="352" customWidth="1"/>
    <col min="3096" max="3096" width="21.42578125" style="352" customWidth="1"/>
    <col min="3097" max="3097" width="12.7109375" style="352" customWidth="1"/>
    <col min="3098" max="3098" width="9.28515625" style="352" customWidth="1"/>
    <col min="3099" max="3099" width="4.7109375" style="352" customWidth="1"/>
    <col min="3100" max="3100" width="4.140625" style="352" customWidth="1"/>
    <col min="3101" max="3102" width="4.7109375" style="352" customWidth="1"/>
    <col min="3103" max="3103" width="14" style="352" bestFit="1" customWidth="1"/>
    <col min="3104" max="3328" width="9.140625" style="352"/>
    <col min="3329" max="3329" width="7.7109375" style="352" bestFit="1" customWidth="1"/>
    <col min="3330" max="3330" width="9.5703125" style="352" bestFit="1" customWidth="1"/>
    <col min="3331" max="3331" width="14.42578125" style="352" bestFit="1" customWidth="1"/>
    <col min="3332" max="3332" width="13.140625" style="352" bestFit="1" customWidth="1"/>
    <col min="3333" max="3333" width="15" style="352" customWidth="1"/>
    <col min="3334" max="3334" width="9.42578125" style="352" customWidth="1"/>
    <col min="3335" max="3335" width="11.7109375" style="352" customWidth="1"/>
    <col min="3336" max="3336" width="16" style="352" customWidth="1"/>
    <col min="3337" max="3337" width="12.85546875" style="352" customWidth="1"/>
    <col min="3338" max="3338" width="12.42578125" style="352" customWidth="1"/>
    <col min="3339" max="3339" width="17.85546875" style="352" customWidth="1"/>
    <col min="3340" max="3340" width="11.7109375" style="352" customWidth="1"/>
    <col min="3341" max="3341" width="7.7109375" style="352" customWidth="1"/>
    <col min="3342" max="3343" width="8.85546875" style="352" customWidth="1"/>
    <col min="3344" max="3344" width="7.7109375" style="352" customWidth="1"/>
    <col min="3345" max="3346" width="8.85546875" style="352" customWidth="1"/>
    <col min="3347" max="3347" width="21" style="352" customWidth="1"/>
    <col min="3348" max="3348" width="21.140625" style="352" customWidth="1"/>
    <col min="3349" max="3349" width="17.5703125" style="352" customWidth="1"/>
    <col min="3350" max="3350" width="19" style="352" customWidth="1"/>
    <col min="3351" max="3351" width="40.7109375" style="352" customWidth="1"/>
    <col min="3352" max="3352" width="21.42578125" style="352" customWidth="1"/>
    <col min="3353" max="3353" width="12.7109375" style="352" customWidth="1"/>
    <col min="3354" max="3354" width="9.28515625" style="352" customWidth="1"/>
    <col min="3355" max="3355" width="4.7109375" style="352" customWidth="1"/>
    <col min="3356" max="3356" width="4.140625" style="352" customWidth="1"/>
    <col min="3357" max="3358" width="4.7109375" style="352" customWidth="1"/>
    <col min="3359" max="3359" width="14" style="352" bestFit="1" customWidth="1"/>
    <col min="3360" max="3584" width="9.140625" style="352"/>
    <col min="3585" max="3585" width="7.7109375" style="352" bestFit="1" customWidth="1"/>
    <col min="3586" max="3586" width="9.5703125" style="352" bestFit="1" customWidth="1"/>
    <col min="3587" max="3587" width="14.42578125" style="352" bestFit="1" customWidth="1"/>
    <col min="3588" max="3588" width="13.140625" style="352" bestFit="1" customWidth="1"/>
    <col min="3589" max="3589" width="15" style="352" customWidth="1"/>
    <col min="3590" max="3590" width="9.42578125" style="352" customWidth="1"/>
    <col min="3591" max="3591" width="11.7109375" style="352" customWidth="1"/>
    <col min="3592" max="3592" width="16" style="352" customWidth="1"/>
    <col min="3593" max="3593" width="12.85546875" style="352" customWidth="1"/>
    <col min="3594" max="3594" width="12.42578125" style="352" customWidth="1"/>
    <col min="3595" max="3595" width="17.85546875" style="352" customWidth="1"/>
    <col min="3596" max="3596" width="11.7109375" style="352" customWidth="1"/>
    <col min="3597" max="3597" width="7.7109375" style="352" customWidth="1"/>
    <col min="3598" max="3599" width="8.85546875" style="352" customWidth="1"/>
    <col min="3600" max="3600" width="7.7109375" style="352" customWidth="1"/>
    <col min="3601" max="3602" width="8.85546875" style="352" customWidth="1"/>
    <col min="3603" max="3603" width="21" style="352" customWidth="1"/>
    <col min="3604" max="3604" width="21.140625" style="352" customWidth="1"/>
    <col min="3605" max="3605" width="17.5703125" style="352" customWidth="1"/>
    <col min="3606" max="3606" width="19" style="352" customWidth="1"/>
    <col min="3607" max="3607" width="40.7109375" style="352" customWidth="1"/>
    <col min="3608" max="3608" width="21.42578125" style="352" customWidth="1"/>
    <col min="3609" max="3609" width="12.7109375" style="352" customWidth="1"/>
    <col min="3610" max="3610" width="9.28515625" style="352" customWidth="1"/>
    <col min="3611" max="3611" width="4.7109375" style="352" customWidth="1"/>
    <col min="3612" max="3612" width="4.140625" style="352" customWidth="1"/>
    <col min="3613" max="3614" width="4.7109375" style="352" customWidth="1"/>
    <col min="3615" max="3615" width="14" style="352" bestFit="1" customWidth="1"/>
    <col min="3616" max="3840" width="9.140625" style="352"/>
    <col min="3841" max="3841" width="7.7109375" style="352" bestFit="1" customWidth="1"/>
    <col min="3842" max="3842" width="9.5703125" style="352" bestFit="1" customWidth="1"/>
    <col min="3843" max="3843" width="14.42578125" style="352" bestFit="1" customWidth="1"/>
    <col min="3844" max="3844" width="13.140625" style="352" bestFit="1" customWidth="1"/>
    <col min="3845" max="3845" width="15" style="352" customWidth="1"/>
    <col min="3846" max="3846" width="9.42578125" style="352" customWidth="1"/>
    <col min="3847" max="3847" width="11.7109375" style="352" customWidth="1"/>
    <col min="3848" max="3848" width="16" style="352" customWidth="1"/>
    <col min="3849" max="3849" width="12.85546875" style="352" customWidth="1"/>
    <col min="3850" max="3850" width="12.42578125" style="352" customWidth="1"/>
    <col min="3851" max="3851" width="17.85546875" style="352" customWidth="1"/>
    <col min="3852" max="3852" width="11.7109375" style="352" customWidth="1"/>
    <col min="3853" max="3853" width="7.7109375" style="352" customWidth="1"/>
    <col min="3854" max="3855" width="8.85546875" style="352" customWidth="1"/>
    <col min="3856" max="3856" width="7.7109375" style="352" customWidth="1"/>
    <col min="3857" max="3858" width="8.85546875" style="352" customWidth="1"/>
    <col min="3859" max="3859" width="21" style="352" customWidth="1"/>
    <col min="3860" max="3860" width="21.140625" style="352" customWidth="1"/>
    <col min="3861" max="3861" width="17.5703125" style="352" customWidth="1"/>
    <col min="3862" max="3862" width="19" style="352" customWidth="1"/>
    <col min="3863" max="3863" width="40.7109375" style="352" customWidth="1"/>
    <col min="3864" max="3864" width="21.42578125" style="352" customWidth="1"/>
    <col min="3865" max="3865" width="12.7109375" style="352" customWidth="1"/>
    <col min="3866" max="3866" width="9.28515625" style="352" customWidth="1"/>
    <col min="3867" max="3867" width="4.7109375" style="352" customWidth="1"/>
    <col min="3868" max="3868" width="4.140625" style="352" customWidth="1"/>
    <col min="3869" max="3870" width="4.7109375" style="352" customWidth="1"/>
    <col min="3871" max="3871" width="14" style="352" bestFit="1" customWidth="1"/>
    <col min="3872" max="4096" width="9.140625" style="352"/>
    <col min="4097" max="4097" width="7.7109375" style="352" bestFit="1" customWidth="1"/>
    <col min="4098" max="4098" width="9.5703125" style="352" bestFit="1" customWidth="1"/>
    <col min="4099" max="4099" width="14.42578125" style="352" bestFit="1" customWidth="1"/>
    <col min="4100" max="4100" width="13.140625" style="352" bestFit="1" customWidth="1"/>
    <col min="4101" max="4101" width="15" style="352" customWidth="1"/>
    <col min="4102" max="4102" width="9.42578125" style="352" customWidth="1"/>
    <col min="4103" max="4103" width="11.7109375" style="352" customWidth="1"/>
    <col min="4104" max="4104" width="16" style="352" customWidth="1"/>
    <col min="4105" max="4105" width="12.85546875" style="352" customWidth="1"/>
    <col min="4106" max="4106" width="12.42578125" style="352" customWidth="1"/>
    <col min="4107" max="4107" width="17.85546875" style="352" customWidth="1"/>
    <col min="4108" max="4108" width="11.7109375" style="352" customWidth="1"/>
    <col min="4109" max="4109" width="7.7109375" style="352" customWidth="1"/>
    <col min="4110" max="4111" width="8.85546875" style="352" customWidth="1"/>
    <col min="4112" max="4112" width="7.7109375" style="352" customWidth="1"/>
    <col min="4113" max="4114" width="8.85546875" style="352" customWidth="1"/>
    <col min="4115" max="4115" width="21" style="352" customWidth="1"/>
    <col min="4116" max="4116" width="21.140625" style="352" customWidth="1"/>
    <col min="4117" max="4117" width="17.5703125" style="352" customWidth="1"/>
    <col min="4118" max="4118" width="19" style="352" customWidth="1"/>
    <col min="4119" max="4119" width="40.7109375" style="352" customWidth="1"/>
    <col min="4120" max="4120" width="21.42578125" style="352" customWidth="1"/>
    <col min="4121" max="4121" width="12.7109375" style="352" customWidth="1"/>
    <col min="4122" max="4122" width="9.28515625" style="352" customWidth="1"/>
    <col min="4123" max="4123" width="4.7109375" style="352" customWidth="1"/>
    <col min="4124" max="4124" width="4.140625" style="352" customWidth="1"/>
    <col min="4125" max="4126" width="4.7109375" style="352" customWidth="1"/>
    <col min="4127" max="4127" width="14" style="352" bestFit="1" customWidth="1"/>
    <col min="4128" max="4352" width="9.140625" style="352"/>
    <col min="4353" max="4353" width="7.7109375" style="352" bestFit="1" customWidth="1"/>
    <col min="4354" max="4354" width="9.5703125" style="352" bestFit="1" customWidth="1"/>
    <col min="4355" max="4355" width="14.42578125" style="352" bestFit="1" customWidth="1"/>
    <col min="4356" max="4356" width="13.140625" style="352" bestFit="1" customWidth="1"/>
    <col min="4357" max="4357" width="15" style="352" customWidth="1"/>
    <col min="4358" max="4358" width="9.42578125" style="352" customWidth="1"/>
    <col min="4359" max="4359" width="11.7109375" style="352" customWidth="1"/>
    <col min="4360" max="4360" width="16" style="352" customWidth="1"/>
    <col min="4361" max="4361" width="12.85546875" style="352" customWidth="1"/>
    <col min="4362" max="4362" width="12.42578125" style="352" customWidth="1"/>
    <col min="4363" max="4363" width="17.85546875" style="352" customWidth="1"/>
    <col min="4364" max="4364" width="11.7109375" style="352" customWidth="1"/>
    <col min="4365" max="4365" width="7.7109375" style="352" customWidth="1"/>
    <col min="4366" max="4367" width="8.85546875" style="352" customWidth="1"/>
    <col min="4368" max="4368" width="7.7109375" style="352" customWidth="1"/>
    <col min="4369" max="4370" width="8.85546875" style="352" customWidth="1"/>
    <col min="4371" max="4371" width="21" style="352" customWidth="1"/>
    <col min="4372" max="4372" width="21.140625" style="352" customWidth="1"/>
    <col min="4373" max="4373" width="17.5703125" style="352" customWidth="1"/>
    <col min="4374" max="4374" width="19" style="352" customWidth="1"/>
    <col min="4375" max="4375" width="40.7109375" style="352" customWidth="1"/>
    <col min="4376" max="4376" width="21.42578125" style="352" customWidth="1"/>
    <col min="4377" max="4377" width="12.7109375" style="352" customWidth="1"/>
    <col min="4378" max="4378" width="9.28515625" style="352" customWidth="1"/>
    <col min="4379" max="4379" width="4.7109375" style="352" customWidth="1"/>
    <col min="4380" max="4380" width="4.140625" style="352" customWidth="1"/>
    <col min="4381" max="4382" width="4.7109375" style="352" customWidth="1"/>
    <col min="4383" max="4383" width="14" style="352" bestFit="1" customWidth="1"/>
    <col min="4384" max="4608" width="9.140625" style="352"/>
    <col min="4609" max="4609" width="7.7109375" style="352" bestFit="1" customWidth="1"/>
    <col min="4610" max="4610" width="9.5703125" style="352" bestFit="1" customWidth="1"/>
    <col min="4611" max="4611" width="14.42578125" style="352" bestFit="1" customWidth="1"/>
    <col min="4612" max="4612" width="13.140625" style="352" bestFit="1" customWidth="1"/>
    <col min="4613" max="4613" width="15" style="352" customWidth="1"/>
    <col min="4614" max="4614" width="9.42578125" style="352" customWidth="1"/>
    <col min="4615" max="4615" width="11.7109375" style="352" customWidth="1"/>
    <col min="4616" max="4616" width="16" style="352" customWidth="1"/>
    <col min="4617" max="4617" width="12.85546875" style="352" customWidth="1"/>
    <col min="4618" max="4618" width="12.42578125" style="352" customWidth="1"/>
    <col min="4619" max="4619" width="17.85546875" style="352" customWidth="1"/>
    <col min="4620" max="4620" width="11.7109375" style="352" customWidth="1"/>
    <col min="4621" max="4621" width="7.7109375" style="352" customWidth="1"/>
    <col min="4622" max="4623" width="8.85546875" style="352" customWidth="1"/>
    <col min="4624" max="4624" width="7.7109375" style="352" customWidth="1"/>
    <col min="4625" max="4626" width="8.85546875" style="352" customWidth="1"/>
    <col min="4627" max="4627" width="21" style="352" customWidth="1"/>
    <col min="4628" max="4628" width="21.140625" style="352" customWidth="1"/>
    <col min="4629" max="4629" width="17.5703125" style="352" customWidth="1"/>
    <col min="4630" max="4630" width="19" style="352" customWidth="1"/>
    <col min="4631" max="4631" width="40.7109375" style="352" customWidth="1"/>
    <col min="4632" max="4632" width="21.42578125" style="352" customWidth="1"/>
    <col min="4633" max="4633" width="12.7109375" style="352" customWidth="1"/>
    <col min="4634" max="4634" width="9.28515625" style="352" customWidth="1"/>
    <col min="4635" max="4635" width="4.7109375" style="352" customWidth="1"/>
    <col min="4636" max="4636" width="4.140625" style="352" customWidth="1"/>
    <col min="4637" max="4638" width="4.7109375" style="352" customWidth="1"/>
    <col min="4639" max="4639" width="14" style="352" bestFit="1" customWidth="1"/>
    <col min="4640" max="4864" width="9.140625" style="352"/>
    <col min="4865" max="4865" width="7.7109375" style="352" bestFit="1" customWidth="1"/>
    <col min="4866" max="4866" width="9.5703125" style="352" bestFit="1" customWidth="1"/>
    <col min="4867" max="4867" width="14.42578125" style="352" bestFit="1" customWidth="1"/>
    <col min="4868" max="4868" width="13.140625" style="352" bestFit="1" customWidth="1"/>
    <col min="4869" max="4869" width="15" style="352" customWidth="1"/>
    <col min="4870" max="4870" width="9.42578125" style="352" customWidth="1"/>
    <col min="4871" max="4871" width="11.7109375" style="352" customWidth="1"/>
    <col min="4872" max="4872" width="16" style="352" customWidth="1"/>
    <col min="4873" max="4873" width="12.85546875" style="352" customWidth="1"/>
    <col min="4874" max="4874" width="12.42578125" style="352" customWidth="1"/>
    <col min="4875" max="4875" width="17.85546875" style="352" customWidth="1"/>
    <col min="4876" max="4876" width="11.7109375" style="352" customWidth="1"/>
    <col min="4877" max="4877" width="7.7109375" style="352" customWidth="1"/>
    <col min="4878" max="4879" width="8.85546875" style="352" customWidth="1"/>
    <col min="4880" max="4880" width="7.7109375" style="352" customWidth="1"/>
    <col min="4881" max="4882" width="8.85546875" style="352" customWidth="1"/>
    <col min="4883" max="4883" width="21" style="352" customWidth="1"/>
    <col min="4884" max="4884" width="21.140625" style="352" customWidth="1"/>
    <col min="4885" max="4885" width="17.5703125" style="352" customWidth="1"/>
    <col min="4886" max="4886" width="19" style="352" customWidth="1"/>
    <col min="4887" max="4887" width="40.7109375" style="352" customWidth="1"/>
    <col min="4888" max="4888" width="21.42578125" style="352" customWidth="1"/>
    <col min="4889" max="4889" width="12.7109375" style="352" customWidth="1"/>
    <col min="4890" max="4890" width="9.28515625" style="352" customWidth="1"/>
    <col min="4891" max="4891" width="4.7109375" style="352" customWidth="1"/>
    <col min="4892" max="4892" width="4.140625" style="352" customWidth="1"/>
    <col min="4893" max="4894" width="4.7109375" style="352" customWidth="1"/>
    <col min="4895" max="4895" width="14" style="352" bestFit="1" customWidth="1"/>
    <col min="4896" max="5120" width="9.140625" style="352"/>
    <col min="5121" max="5121" width="7.7109375" style="352" bestFit="1" customWidth="1"/>
    <col min="5122" max="5122" width="9.5703125" style="352" bestFit="1" customWidth="1"/>
    <col min="5123" max="5123" width="14.42578125" style="352" bestFit="1" customWidth="1"/>
    <col min="5124" max="5124" width="13.140625" style="352" bestFit="1" customWidth="1"/>
    <col min="5125" max="5125" width="15" style="352" customWidth="1"/>
    <col min="5126" max="5126" width="9.42578125" style="352" customWidth="1"/>
    <col min="5127" max="5127" width="11.7109375" style="352" customWidth="1"/>
    <col min="5128" max="5128" width="16" style="352" customWidth="1"/>
    <col min="5129" max="5129" width="12.85546875" style="352" customWidth="1"/>
    <col min="5130" max="5130" width="12.42578125" style="352" customWidth="1"/>
    <col min="5131" max="5131" width="17.85546875" style="352" customWidth="1"/>
    <col min="5132" max="5132" width="11.7109375" style="352" customWidth="1"/>
    <col min="5133" max="5133" width="7.7109375" style="352" customWidth="1"/>
    <col min="5134" max="5135" width="8.85546875" style="352" customWidth="1"/>
    <col min="5136" max="5136" width="7.7109375" style="352" customWidth="1"/>
    <col min="5137" max="5138" width="8.85546875" style="352" customWidth="1"/>
    <col min="5139" max="5139" width="21" style="352" customWidth="1"/>
    <col min="5140" max="5140" width="21.140625" style="352" customWidth="1"/>
    <col min="5141" max="5141" width="17.5703125" style="352" customWidth="1"/>
    <col min="5142" max="5142" width="19" style="352" customWidth="1"/>
    <col min="5143" max="5143" width="40.7109375" style="352" customWidth="1"/>
    <col min="5144" max="5144" width="21.42578125" style="352" customWidth="1"/>
    <col min="5145" max="5145" width="12.7109375" style="352" customWidth="1"/>
    <col min="5146" max="5146" width="9.28515625" style="352" customWidth="1"/>
    <col min="5147" max="5147" width="4.7109375" style="352" customWidth="1"/>
    <col min="5148" max="5148" width="4.140625" style="352" customWidth="1"/>
    <col min="5149" max="5150" width="4.7109375" style="352" customWidth="1"/>
    <col min="5151" max="5151" width="14" style="352" bestFit="1" customWidth="1"/>
    <col min="5152" max="5376" width="9.140625" style="352"/>
    <col min="5377" max="5377" width="7.7109375" style="352" bestFit="1" customWidth="1"/>
    <col min="5378" max="5378" width="9.5703125" style="352" bestFit="1" customWidth="1"/>
    <col min="5379" max="5379" width="14.42578125" style="352" bestFit="1" customWidth="1"/>
    <col min="5380" max="5380" width="13.140625" style="352" bestFit="1" customWidth="1"/>
    <col min="5381" max="5381" width="15" style="352" customWidth="1"/>
    <col min="5382" max="5382" width="9.42578125" style="352" customWidth="1"/>
    <col min="5383" max="5383" width="11.7109375" style="352" customWidth="1"/>
    <col min="5384" max="5384" width="16" style="352" customWidth="1"/>
    <col min="5385" max="5385" width="12.85546875" style="352" customWidth="1"/>
    <col min="5386" max="5386" width="12.42578125" style="352" customWidth="1"/>
    <col min="5387" max="5387" width="17.85546875" style="352" customWidth="1"/>
    <col min="5388" max="5388" width="11.7109375" style="352" customWidth="1"/>
    <col min="5389" max="5389" width="7.7109375" style="352" customWidth="1"/>
    <col min="5390" max="5391" width="8.85546875" style="352" customWidth="1"/>
    <col min="5392" max="5392" width="7.7109375" style="352" customWidth="1"/>
    <col min="5393" max="5394" width="8.85546875" style="352" customWidth="1"/>
    <col min="5395" max="5395" width="21" style="352" customWidth="1"/>
    <col min="5396" max="5396" width="21.140625" style="352" customWidth="1"/>
    <col min="5397" max="5397" width="17.5703125" style="352" customWidth="1"/>
    <col min="5398" max="5398" width="19" style="352" customWidth="1"/>
    <col min="5399" max="5399" width="40.7109375" style="352" customWidth="1"/>
    <col min="5400" max="5400" width="21.42578125" style="352" customWidth="1"/>
    <col min="5401" max="5401" width="12.7109375" style="352" customWidth="1"/>
    <col min="5402" max="5402" width="9.28515625" style="352" customWidth="1"/>
    <col min="5403" max="5403" width="4.7109375" style="352" customWidth="1"/>
    <col min="5404" max="5404" width="4.140625" style="352" customWidth="1"/>
    <col min="5405" max="5406" width="4.7109375" style="352" customWidth="1"/>
    <col min="5407" max="5407" width="14" style="352" bestFit="1" customWidth="1"/>
    <col min="5408" max="5632" width="9.140625" style="352"/>
    <col min="5633" max="5633" width="7.7109375" style="352" bestFit="1" customWidth="1"/>
    <col min="5634" max="5634" width="9.5703125" style="352" bestFit="1" customWidth="1"/>
    <col min="5635" max="5635" width="14.42578125" style="352" bestFit="1" customWidth="1"/>
    <col min="5636" max="5636" width="13.140625" style="352" bestFit="1" customWidth="1"/>
    <col min="5637" max="5637" width="15" style="352" customWidth="1"/>
    <col min="5638" max="5638" width="9.42578125" style="352" customWidth="1"/>
    <col min="5639" max="5639" width="11.7109375" style="352" customWidth="1"/>
    <col min="5640" max="5640" width="16" style="352" customWidth="1"/>
    <col min="5641" max="5641" width="12.85546875" style="352" customWidth="1"/>
    <col min="5642" max="5642" width="12.42578125" style="352" customWidth="1"/>
    <col min="5643" max="5643" width="17.85546875" style="352" customWidth="1"/>
    <col min="5644" max="5644" width="11.7109375" style="352" customWidth="1"/>
    <col min="5645" max="5645" width="7.7109375" style="352" customWidth="1"/>
    <col min="5646" max="5647" width="8.85546875" style="352" customWidth="1"/>
    <col min="5648" max="5648" width="7.7109375" style="352" customWidth="1"/>
    <col min="5649" max="5650" width="8.85546875" style="352" customWidth="1"/>
    <col min="5651" max="5651" width="21" style="352" customWidth="1"/>
    <col min="5652" max="5652" width="21.140625" style="352" customWidth="1"/>
    <col min="5653" max="5653" width="17.5703125" style="352" customWidth="1"/>
    <col min="5654" max="5654" width="19" style="352" customWidth="1"/>
    <col min="5655" max="5655" width="40.7109375" style="352" customWidth="1"/>
    <col min="5656" max="5656" width="21.42578125" style="352" customWidth="1"/>
    <col min="5657" max="5657" width="12.7109375" style="352" customWidth="1"/>
    <col min="5658" max="5658" width="9.28515625" style="352" customWidth="1"/>
    <col min="5659" max="5659" width="4.7109375" style="352" customWidth="1"/>
    <col min="5660" max="5660" width="4.140625" style="352" customWidth="1"/>
    <col min="5661" max="5662" width="4.7109375" style="352" customWidth="1"/>
    <col min="5663" max="5663" width="14" style="352" bestFit="1" customWidth="1"/>
    <col min="5664" max="5888" width="9.140625" style="352"/>
    <col min="5889" max="5889" width="7.7109375" style="352" bestFit="1" customWidth="1"/>
    <col min="5890" max="5890" width="9.5703125" style="352" bestFit="1" customWidth="1"/>
    <col min="5891" max="5891" width="14.42578125" style="352" bestFit="1" customWidth="1"/>
    <col min="5892" max="5892" width="13.140625" style="352" bestFit="1" customWidth="1"/>
    <col min="5893" max="5893" width="15" style="352" customWidth="1"/>
    <col min="5894" max="5894" width="9.42578125" style="352" customWidth="1"/>
    <col min="5895" max="5895" width="11.7109375" style="352" customWidth="1"/>
    <col min="5896" max="5896" width="16" style="352" customWidth="1"/>
    <col min="5897" max="5897" width="12.85546875" style="352" customWidth="1"/>
    <col min="5898" max="5898" width="12.42578125" style="352" customWidth="1"/>
    <col min="5899" max="5899" width="17.85546875" style="352" customWidth="1"/>
    <col min="5900" max="5900" width="11.7109375" style="352" customWidth="1"/>
    <col min="5901" max="5901" width="7.7109375" style="352" customWidth="1"/>
    <col min="5902" max="5903" width="8.85546875" style="352" customWidth="1"/>
    <col min="5904" max="5904" width="7.7109375" style="352" customWidth="1"/>
    <col min="5905" max="5906" width="8.85546875" style="352" customWidth="1"/>
    <col min="5907" max="5907" width="21" style="352" customWidth="1"/>
    <col min="5908" max="5908" width="21.140625" style="352" customWidth="1"/>
    <col min="5909" max="5909" width="17.5703125" style="352" customWidth="1"/>
    <col min="5910" max="5910" width="19" style="352" customWidth="1"/>
    <col min="5911" max="5911" width="40.7109375" style="352" customWidth="1"/>
    <col min="5912" max="5912" width="21.42578125" style="352" customWidth="1"/>
    <col min="5913" max="5913" width="12.7109375" style="352" customWidth="1"/>
    <col min="5914" max="5914" width="9.28515625" style="352" customWidth="1"/>
    <col min="5915" max="5915" width="4.7109375" style="352" customWidth="1"/>
    <col min="5916" max="5916" width="4.140625" style="352" customWidth="1"/>
    <col min="5917" max="5918" width="4.7109375" style="352" customWidth="1"/>
    <col min="5919" max="5919" width="14" style="352" bestFit="1" customWidth="1"/>
    <col min="5920" max="6144" width="9.140625" style="352"/>
    <col min="6145" max="6145" width="7.7109375" style="352" bestFit="1" customWidth="1"/>
    <col min="6146" max="6146" width="9.5703125" style="352" bestFit="1" customWidth="1"/>
    <col min="6147" max="6147" width="14.42578125" style="352" bestFit="1" customWidth="1"/>
    <col min="6148" max="6148" width="13.140625" style="352" bestFit="1" customWidth="1"/>
    <col min="6149" max="6149" width="15" style="352" customWidth="1"/>
    <col min="6150" max="6150" width="9.42578125" style="352" customWidth="1"/>
    <col min="6151" max="6151" width="11.7109375" style="352" customWidth="1"/>
    <col min="6152" max="6152" width="16" style="352" customWidth="1"/>
    <col min="6153" max="6153" width="12.85546875" style="352" customWidth="1"/>
    <col min="6154" max="6154" width="12.42578125" style="352" customWidth="1"/>
    <col min="6155" max="6155" width="17.85546875" style="352" customWidth="1"/>
    <col min="6156" max="6156" width="11.7109375" style="352" customWidth="1"/>
    <col min="6157" max="6157" width="7.7109375" style="352" customWidth="1"/>
    <col min="6158" max="6159" width="8.85546875" style="352" customWidth="1"/>
    <col min="6160" max="6160" width="7.7109375" style="352" customWidth="1"/>
    <col min="6161" max="6162" width="8.85546875" style="352" customWidth="1"/>
    <col min="6163" max="6163" width="21" style="352" customWidth="1"/>
    <col min="6164" max="6164" width="21.140625" style="352" customWidth="1"/>
    <col min="6165" max="6165" width="17.5703125" style="352" customWidth="1"/>
    <col min="6166" max="6166" width="19" style="352" customWidth="1"/>
    <col min="6167" max="6167" width="40.7109375" style="352" customWidth="1"/>
    <col min="6168" max="6168" width="21.42578125" style="352" customWidth="1"/>
    <col min="6169" max="6169" width="12.7109375" style="352" customWidth="1"/>
    <col min="6170" max="6170" width="9.28515625" style="352" customWidth="1"/>
    <col min="6171" max="6171" width="4.7109375" style="352" customWidth="1"/>
    <col min="6172" max="6172" width="4.140625" style="352" customWidth="1"/>
    <col min="6173" max="6174" width="4.7109375" style="352" customWidth="1"/>
    <col min="6175" max="6175" width="14" style="352" bestFit="1" customWidth="1"/>
    <col min="6176" max="6400" width="9.140625" style="352"/>
    <col min="6401" max="6401" width="7.7109375" style="352" bestFit="1" customWidth="1"/>
    <col min="6402" max="6402" width="9.5703125" style="352" bestFit="1" customWidth="1"/>
    <col min="6403" max="6403" width="14.42578125" style="352" bestFit="1" customWidth="1"/>
    <col min="6404" max="6404" width="13.140625" style="352" bestFit="1" customWidth="1"/>
    <col min="6405" max="6405" width="15" style="352" customWidth="1"/>
    <col min="6406" max="6406" width="9.42578125" style="352" customWidth="1"/>
    <col min="6407" max="6407" width="11.7109375" style="352" customWidth="1"/>
    <col min="6408" max="6408" width="16" style="352" customWidth="1"/>
    <col min="6409" max="6409" width="12.85546875" style="352" customWidth="1"/>
    <col min="6410" max="6410" width="12.42578125" style="352" customWidth="1"/>
    <col min="6411" max="6411" width="17.85546875" style="352" customWidth="1"/>
    <col min="6412" max="6412" width="11.7109375" style="352" customWidth="1"/>
    <col min="6413" max="6413" width="7.7109375" style="352" customWidth="1"/>
    <col min="6414" max="6415" width="8.85546875" style="352" customWidth="1"/>
    <col min="6416" max="6416" width="7.7109375" style="352" customWidth="1"/>
    <col min="6417" max="6418" width="8.85546875" style="352" customWidth="1"/>
    <col min="6419" max="6419" width="21" style="352" customWidth="1"/>
    <col min="6420" max="6420" width="21.140625" style="352" customWidth="1"/>
    <col min="6421" max="6421" width="17.5703125" style="352" customWidth="1"/>
    <col min="6422" max="6422" width="19" style="352" customWidth="1"/>
    <col min="6423" max="6423" width="40.7109375" style="352" customWidth="1"/>
    <col min="6424" max="6424" width="21.42578125" style="352" customWidth="1"/>
    <col min="6425" max="6425" width="12.7109375" style="352" customWidth="1"/>
    <col min="6426" max="6426" width="9.28515625" style="352" customWidth="1"/>
    <col min="6427" max="6427" width="4.7109375" style="352" customWidth="1"/>
    <col min="6428" max="6428" width="4.140625" style="352" customWidth="1"/>
    <col min="6429" max="6430" width="4.7109375" style="352" customWidth="1"/>
    <col min="6431" max="6431" width="14" style="352" bestFit="1" customWidth="1"/>
    <col min="6432" max="6656" width="9.140625" style="352"/>
    <col min="6657" max="6657" width="7.7109375" style="352" bestFit="1" customWidth="1"/>
    <col min="6658" max="6658" width="9.5703125" style="352" bestFit="1" customWidth="1"/>
    <col min="6659" max="6659" width="14.42578125" style="352" bestFit="1" customWidth="1"/>
    <col min="6660" max="6660" width="13.140625" style="352" bestFit="1" customWidth="1"/>
    <col min="6661" max="6661" width="15" style="352" customWidth="1"/>
    <col min="6662" max="6662" width="9.42578125" style="352" customWidth="1"/>
    <col min="6663" max="6663" width="11.7109375" style="352" customWidth="1"/>
    <col min="6664" max="6664" width="16" style="352" customWidth="1"/>
    <col min="6665" max="6665" width="12.85546875" style="352" customWidth="1"/>
    <col min="6666" max="6666" width="12.42578125" style="352" customWidth="1"/>
    <col min="6667" max="6667" width="17.85546875" style="352" customWidth="1"/>
    <col min="6668" max="6668" width="11.7109375" style="352" customWidth="1"/>
    <col min="6669" max="6669" width="7.7109375" style="352" customWidth="1"/>
    <col min="6670" max="6671" width="8.85546875" style="352" customWidth="1"/>
    <col min="6672" max="6672" width="7.7109375" style="352" customWidth="1"/>
    <col min="6673" max="6674" width="8.85546875" style="352" customWidth="1"/>
    <col min="6675" max="6675" width="21" style="352" customWidth="1"/>
    <col min="6676" max="6676" width="21.140625" style="352" customWidth="1"/>
    <col min="6677" max="6677" width="17.5703125" style="352" customWidth="1"/>
    <col min="6678" max="6678" width="19" style="352" customWidth="1"/>
    <col min="6679" max="6679" width="40.7109375" style="352" customWidth="1"/>
    <col min="6680" max="6680" width="21.42578125" style="352" customWidth="1"/>
    <col min="6681" max="6681" width="12.7109375" style="352" customWidth="1"/>
    <col min="6682" max="6682" width="9.28515625" style="352" customWidth="1"/>
    <col min="6683" max="6683" width="4.7109375" style="352" customWidth="1"/>
    <col min="6684" max="6684" width="4.140625" style="352" customWidth="1"/>
    <col min="6685" max="6686" width="4.7109375" style="352" customWidth="1"/>
    <col min="6687" max="6687" width="14" style="352" bestFit="1" customWidth="1"/>
    <col min="6688" max="6912" width="9.140625" style="352"/>
    <col min="6913" max="6913" width="7.7109375" style="352" bestFit="1" customWidth="1"/>
    <col min="6914" max="6914" width="9.5703125" style="352" bestFit="1" customWidth="1"/>
    <col min="6915" max="6915" width="14.42578125" style="352" bestFit="1" customWidth="1"/>
    <col min="6916" max="6916" width="13.140625" style="352" bestFit="1" customWidth="1"/>
    <col min="6917" max="6917" width="15" style="352" customWidth="1"/>
    <col min="6918" max="6918" width="9.42578125" style="352" customWidth="1"/>
    <col min="6919" max="6919" width="11.7109375" style="352" customWidth="1"/>
    <col min="6920" max="6920" width="16" style="352" customWidth="1"/>
    <col min="6921" max="6921" width="12.85546875" style="352" customWidth="1"/>
    <col min="6922" max="6922" width="12.42578125" style="352" customWidth="1"/>
    <col min="6923" max="6923" width="17.85546875" style="352" customWidth="1"/>
    <col min="6924" max="6924" width="11.7109375" style="352" customWidth="1"/>
    <col min="6925" max="6925" width="7.7109375" style="352" customWidth="1"/>
    <col min="6926" max="6927" width="8.85546875" style="352" customWidth="1"/>
    <col min="6928" max="6928" width="7.7109375" style="352" customWidth="1"/>
    <col min="6929" max="6930" width="8.85546875" style="352" customWidth="1"/>
    <col min="6931" max="6931" width="21" style="352" customWidth="1"/>
    <col min="6932" max="6932" width="21.140625" style="352" customWidth="1"/>
    <col min="6933" max="6933" width="17.5703125" style="352" customWidth="1"/>
    <col min="6934" max="6934" width="19" style="352" customWidth="1"/>
    <col min="6935" max="6935" width="40.7109375" style="352" customWidth="1"/>
    <col min="6936" max="6936" width="21.42578125" style="352" customWidth="1"/>
    <col min="6937" max="6937" width="12.7109375" style="352" customWidth="1"/>
    <col min="6938" max="6938" width="9.28515625" style="352" customWidth="1"/>
    <col min="6939" max="6939" width="4.7109375" style="352" customWidth="1"/>
    <col min="6940" max="6940" width="4.140625" style="352" customWidth="1"/>
    <col min="6941" max="6942" width="4.7109375" style="352" customWidth="1"/>
    <col min="6943" max="6943" width="14" style="352" bestFit="1" customWidth="1"/>
    <col min="6944" max="7168" width="9.140625" style="352"/>
    <col min="7169" max="7169" width="7.7109375" style="352" bestFit="1" customWidth="1"/>
    <col min="7170" max="7170" width="9.5703125" style="352" bestFit="1" customWidth="1"/>
    <col min="7171" max="7171" width="14.42578125" style="352" bestFit="1" customWidth="1"/>
    <col min="7172" max="7172" width="13.140625" style="352" bestFit="1" customWidth="1"/>
    <col min="7173" max="7173" width="15" style="352" customWidth="1"/>
    <col min="7174" max="7174" width="9.42578125" style="352" customWidth="1"/>
    <col min="7175" max="7175" width="11.7109375" style="352" customWidth="1"/>
    <col min="7176" max="7176" width="16" style="352" customWidth="1"/>
    <col min="7177" max="7177" width="12.85546875" style="352" customWidth="1"/>
    <col min="7178" max="7178" width="12.42578125" style="352" customWidth="1"/>
    <col min="7179" max="7179" width="17.85546875" style="352" customWidth="1"/>
    <col min="7180" max="7180" width="11.7109375" style="352" customWidth="1"/>
    <col min="7181" max="7181" width="7.7109375" style="352" customWidth="1"/>
    <col min="7182" max="7183" width="8.85546875" style="352" customWidth="1"/>
    <col min="7184" max="7184" width="7.7109375" style="352" customWidth="1"/>
    <col min="7185" max="7186" width="8.85546875" style="352" customWidth="1"/>
    <col min="7187" max="7187" width="21" style="352" customWidth="1"/>
    <col min="7188" max="7188" width="21.140625" style="352" customWidth="1"/>
    <col min="7189" max="7189" width="17.5703125" style="352" customWidth="1"/>
    <col min="7190" max="7190" width="19" style="352" customWidth="1"/>
    <col min="7191" max="7191" width="40.7109375" style="352" customWidth="1"/>
    <col min="7192" max="7192" width="21.42578125" style="352" customWidth="1"/>
    <col min="7193" max="7193" width="12.7109375" style="352" customWidth="1"/>
    <col min="7194" max="7194" width="9.28515625" style="352" customWidth="1"/>
    <col min="7195" max="7195" width="4.7109375" style="352" customWidth="1"/>
    <col min="7196" max="7196" width="4.140625" style="352" customWidth="1"/>
    <col min="7197" max="7198" width="4.7109375" style="352" customWidth="1"/>
    <col min="7199" max="7199" width="14" style="352" bestFit="1" customWidth="1"/>
    <col min="7200" max="7424" width="9.140625" style="352"/>
    <col min="7425" max="7425" width="7.7109375" style="352" bestFit="1" customWidth="1"/>
    <col min="7426" max="7426" width="9.5703125" style="352" bestFit="1" customWidth="1"/>
    <col min="7427" max="7427" width="14.42578125" style="352" bestFit="1" customWidth="1"/>
    <col min="7428" max="7428" width="13.140625" style="352" bestFit="1" customWidth="1"/>
    <col min="7429" max="7429" width="15" style="352" customWidth="1"/>
    <col min="7430" max="7430" width="9.42578125" style="352" customWidth="1"/>
    <col min="7431" max="7431" width="11.7109375" style="352" customWidth="1"/>
    <col min="7432" max="7432" width="16" style="352" customWidth="1"/>
    <col min="7433" max="7433" width="12.85546875" style="352" customWidth="1"/>
    <col min="7434" max="7434" width="12.42578125" style="352" customWidth="1"/>
    <col min="7435" max="7435" width="17.85546875" style="352" customWidth="1"/>
    <col min="7436" max="7436" width="11.7109375" style="352" customWidth="1"/>
    <col min="7437" max="7437" width="7.7109375" style="352" customWidth="1"/>
    <col min="7438" max="7439" width="8.85546875" style="352" customWidth="1"/>
    <col min="7440" max="7440" width="7.7109375" style="352" customWidth="1"/>
    <col min="7441" max="7442" width="8.85546875" style="352" customWidth="1"/>
    <col min="7443" max="7443" width="21" style="352" customWidth="1"/>
    <col min="7444" max="7444" width="21.140625" style="352" customWidth="1"/>
    <col min="7445" max="7445" width="17.5703125" style="352" customWidth="1"/>
    <col min="7446" max="7446" width="19" style="352" customWidth="1"/>
    <col min="7447" max="7447" width="40.7109375" style="352" customWidth="1"/>
    <col min="7448" max="7448" width="21.42578125" style="352" customWidth="1"/>
    <col min="7449" max="7449" width="12.7109375" style="352" customWidth="1"/>
    <col min="7450" max="7450" width="9.28515625" style="352" customWidth="1"/>
    <col min="7451" max="7451" width="4.7109375" style="352" customWidth="1"/>
    <col min="7452" max="7452" width="4.140625" style="352" customWidth="1"/>
    <col min="7453" max="7454" width="4.7109375" style="352" customWidth="1"/>
    <col min="7455" max="7455" width="14" style="352" bestFit="1" customWidth="1"/>
    <col min="7456" max="7680" width="9.140625" style="352"/>
    <col min="7681" max="7681" width="7.7109375" style="352" bestFit="1" customWidth="1"/>
    <col min="7682" max="7682" width="9.5703125" style="352" bestFit="1" customWidth="1"/>
    <col min="7683" max="7683" width="14.42578125" style="352" bestFit="1" customWidth="1"/>
    <col min="7684" max="7684" width="13.140625" style="352" bestFit="1" customWidth="1"/>
    <col min="7685" max="7685" width="15" style="352" customWidth="1"/>
    <col min="7686" max="7686" width="9.42578125" style="352" customWidth="1"/>
    <col min="7687" max="7687" width="11.7109375" style="352" customWidth="1"/>
    <col min="7688" max="7688" width="16" style="352" customWidth="1"/>
    <col min="7689" max="7689" width="12.85546875" style="352" customWidth="1"/>
    <col min="7690" max="7690" width="12.42578125" style="352" customWidth="1"/>
    <col min="7691" max="7691" width="17.85546875" style="352" customWidth="1"/>
    <col min="7692" max="7692" width="11.7109375" style="352" customWidth="1"/>
    <col min="7693" max="7693" width="7.7109375" style="352" customWidth="1"/>
    <col min="7694" max="7695" width="8.85546875" style="352" customWidth="1"/>
    <col min="7696" max="7696" width="7.7109375" style="352" customWidth="1"/>
    <col min="7697" max="7698" width="8.85546875" style="352" customWidth="1"/>
    <col min="7699" max="7699" width="21" style="352" customWidth="1"/>
    <col min="7700" max="7700" width="21.140625" style="352" customWidth="1"/>
    <col min="7701" max="7701" width="17.5703125" style="352" customWidth="1"/>
    <col min="7702" max="7702" width="19" style="352" customWidth="1"/>
    <col min="7703" max="7703" width="40.7109375" style="352" customWidth="1"/>
    <col min="7704" max="7704" width="21.42578125" style="352" customWidth="1"/>
    <col min="7705" max="7705" width="12.7109375" style="352" customWidth="1"/>
    <col min="7706" max="7706" width="9.28515625" style="352" customWidth="1"/>
    <col min="7707" max="7707" width="4.7109375" style="352" customWidth="1"/>
    <col min="7708" max="7708" width="4.140625" style="352" customWidth="1"/>
    <col min="7709" max="7710" width="4.7109375" style="352" customWidth="1"/>
    <col min="7711" max="7711" width="14" style="352" bestFit="1" customWidth="1"/>
    <col min="7712" max="7936" width="9.140625" style="352"/>
    <col min="7937" max="7937" width="7.7109375" style="352" bestFit="1" customWidth="1"/>
    <col min="7938" max="7938" width="9.5703125" style="352" bestFit="1" customWidth="1"/>
    <col min="7939" max="7939" width="14.42578125" style="352" bestFit="1" customWidth="1"/>
    <col min="7940" max="7940" width="13.140625" style="352" bestFit="1" customWidth="1"/>
    <col min="7941" max="7941" width="15" style="352" customWidth="1"/>
    <col min="7942" max="7942" width="9.42578125" style="352" customWidth="1"/>
    <col min="7943" max="7943" width="11.7109375" style="352" customWidth="1"/>
    <col min="7944" max="7944" width="16" style="352" customWidth="1"/>
    <col min="7945" max="7945" width="12.85546875" style="352" customWidth="1"/>
    <col min="7946" max="7946" width="12.42578125" style="352" customWidth="1"/>
    <col min="7947" max="7947" width="17.85546875" style="352" customWidth="1"/>
    <col min="7948" max="7948" width="11.7109375" style="352" customWidth="1"/>
    <col min="7949" max="7949" width="7.7109375" style="352" customWidth="1"/>
    <col min="7950" max="7951" width="8.85546875" style="352" customWidth="1"/>
    <col min="7952" max="7952" width="7.7109375" style="352" customWidth="1"/>
    <col min="7953" max="7954" width="8.85546875" style="352" customWidth="1"/>
    <col min="7955" max="7955" width="21" style="352" customWidth="1"/>
    <col min="7956" max="7956" width="21.140625" style="352" customWidth="1"/>
    <col min="7957" max="7957" width="17.5703125" style="352" customWidth="1"/>
    <col min="7958" max="7958" width="19" style="352" customWidth="1"/>
    <col min="7959" max="7959" width="40.7109375" style="352" customWidth="1"/>
    <col min="7960" max="7960" width="21.42578125" style="352" customWidth="1"/>
    <col min="7961" max="7961" width="12.7109375" style="352" customWidth="1"/>
    <col min="7962" max="7962" width="9.28515625" style="352" customWidth="1"/>
    <col min="7963" max="7963" width="4.7109375" style="352" customWidth="1"/>
    <col min="7964" max="7964" width="4.140625" style="352" customWidth="1"/>
    <col min="7965" max="7966" width="4.7109375" style="352" customWidth="1"/>
    <col min="7967" max="7967" width="14" style="352" bestFit="1" customWidth="1"/>
    <col min="7968" max="8192" width="9.140625" style="352"/>
    <col min="8193" max="8193" width="7.7109375" style="352" bestFit="1" customWidth="1"/>
    <col min="8194" max="8194" width="9.5703125" style="352" bestFit="1" customWidth="1"/>
    <col min="8195" max="8195" width="14.42578125" style="352" bestFit="1" customWidth="1"/>
    <col min="8196" max="8196" width="13.140625" style="352" bestFit="1" customWidth="1"/>
    <col min="8197" max="8197" width="15" style="352" customWidth="1"/>
    <col min="8198" max="8198" width="9.42578125" style="352" customWidth="1"/>
    <col min="8199" max="8199" width="11.7109375" style="352" customWidth="1"/>
    <col min="8200" max="8200" width="16" style="352" customWidth="1"/>
    <col min="8201" max="8201" width="12.85546875" style="352" customWidth="1"/>
    <col min="8202" max="8202" width="12.42578125" style="352" customWidth="1"/>
    <col min="8203" max="8203" width="17.85546875" style="352" customWidth="1"/>
    <col min="8204" max="8204" width="11.7109375" style="352" customWidth="1"/>
    <col min="8205" max="8205" width="7.7109375" style="352" customWidth="1"/>
    <col min="8206" max="8207" width="8.85546875" style="352" customWidth="1"/>
    <col min="8208" max="8208" width="7.7109375" style="352" customWidth="1"/>
    <col min="8209" max="8210" width="8.85546875" style="352" customWidth="1"/>
    <col min="8211" max="8211" width="21" style="352" customWidth="1"/>
    <col min="8212" max="8212" width="21.140625" style="352" customWidth="1"/>
    <col min="8213" max="8213" width="17.5703125" style="352" customWidth="1"/>
    <col min="8214" max="8214" width="19" style="352" customWidth="1"/>
    <col min="8215" max="8215" width="40.7109375" style="352" customWidth="1"/>
    <col min="8216" max="8216" width="21.42578125" style="352" customWidth="1"/>
    <col min="8217" max="8217" width="12.7109375" style="352" customWidth="1"/>
    <col min="8218" max="8218" width="9.28515625" style="352" customWidth="1"/>
    <col min="8219" max="8219" width="4.7109375" style="352" customWidth="1"/>
    <col min="8220" max="8220" width="4.140625" style="352" customWidth="1"/>
    <col min="8221" max="8222" width="4.7109375" style="352" customWidth="1"/>
    <col min="8223" max="8223" width="14" style="352" bestFit="1" customWidth="1"/>
    <col min="8224" max="8448" width="9.140625" style="352"/>
    <col min="8449" max="8449" width="7.7109375" style="352" bestFit="1" customWidth="1"/>
    <col min="8450" max="8450" width="9.5703125" style="352" bestFit="1" customWidth="1"/>
    <col min="8451" max="8451" width="14.42578125" style="352" bestFit="1" customWidth="1"/>
    <col min="8452" max="8452" width="13.140625" style="352" bestFit="1" customWidth="1"/>
    <col min="8453" max="8453" width="15" style="352" customWidth="1"/>
    <col min="8454" max="8454" width="9.42578125" style="352" customWidth="1"/>
    <col min="8455" max="8455" width="11.7109375" style="352" customWidth="1"/>
    <col min="8456" max="8456" width="16" style="352" customWidth="1"/>
    <col min="8457" max="8457" width="12.85546875" style="352" customWidth="1"/>
    <col min="8458" max="8458" width="12.42578125" style="352" customWidth="1"/>
    <col min="8459" max="8459" width="17.85546875" style="352" customWidth="1"/>
    <col min="8460" max="8460" width="11.7109375" style="352" customWidth="1"/>
    <col min="8461" max="8461" width="7.7109375" style="352" customWidth="1"/>
    <col min="8462" max="8463" width="8.85546875" style="352" customWidth="1"/>
    <col min="8464" max="8464" width="7.7109375" style="352" customWidth="1"/>
    <col min="8465" max="8466" width="8.85546875" style="352" customWidth="1"/>
    <col min="8467" max="8467" width="21" style="352" customWidth="1"/>
    <col min="8468" max="8468" width="21.140625" style="352" customWidth="1"/>
    <col min="8469" max="8469" width="17.5703125" style="352" customWidth="1"/>
    <col min="8470" max="8470" width="19" style="352" customWidth="1"/>
    <col min="8471" max="8471" width="40.7109375" style="352" customWidth="1"/>
    <col min="8472" max="8472" width="21.42578125" style="352" customWidth="1"/>
    <col min="8473" max="8473" width="12.7109375" style="352" customWidth="1"/>
    <col min="8474" max="8474" width="9.28515625" style="352" customWidth="1"/>
    <col min="8475" max="8475" width="4.7109375" style="352" customWidth="1"/>
    <col min="8476" max="8476" width="4.140625" style="352" customWidth="1"/>
    <col min="8477" max="8478" width="4.7109375" style="352" customWidth="1"/>
    <col min="8479" max="8479" width="14" style="352" bestFit="1" customWidth="1"/>
    <col min="8480" max="8704" width="9.140625" style="352"/>
    <col min="8705" max="8705" width="7.7109375" style="352" bestFit="1" customWidth="1"/>
    <col min="8706" max="8706" width="9.5703125" style="352" bestFit="1" customWidth="1"/>
    <col min="8707" max="8707" width="14.42578125" style="352" bestFit="1" customWidth="1"/>
    <col min="8708" max="8708" width="13.140625" style="352" bestFit="1" customWidth="1"/>
    <col min="8709" max="8709" width="15" style="352" customWidth="1"/>
    <col min="8710" max="8710" width="9.42578125" style="352" customWidth="1"/>
    <col min="8711" max="8711" width="11.7109375" style="352" customWidth="1"/>
    <col min="8712" max="8712" width="16" style="352" customWidth="1"/>
    <col min="8713" max="8713" width="12.85546875" style="352" customWidth="1"/>
    <col min="8714" max="8714" width="12.42578125" style="352" customWidth="1"/>
    <col min="8715" max="8715" width="17.85546875" style="352" customWidth="1"/>
    <col min="8716" max="8716" width="11.7109375" style="352" customWidth="1"/>
    <col min="8717" max="8717" width="7.7109375" style="352" customWidth="1"/>
    <col min="8718" max="8719" width="8.85546875" style="352" customWidth="1"/>
    <col min="8720" max="8720" width="7.7109375" style="352" customWidth="1"/>
    <col min="8721" max="8722" width="8.85546875" style="352" customWidth="1"/>
    <col min="8723" max="8723" width="21" style="352" customWidth="1"/>
    <col min="8724" max="8724" width="21.140625" style="352" customWidth="1"/>
    <col min="8725" max="8725" width="17.5703125" style="352" customWidth="1"/>
    <col min="8726" max="8726" width="19" style="352" customWidth="1"/>
    <col min="8727" max="8727" width="40.7109375" style="352" customWidth="1"/>
    <col min="8728" max="8728" width="21.42578125" style="352" customWidth="1"/>
    <col min="8729" max="8729" width="12.7109375" style="352" customWidth="1"/>
    <col min="8730" max="8730" width="9.28515625" style="352" customWidth="1"/>
    <col min="8731" max="8731" width="4.7109375" style="352" customWidth="1"/>
    <col min="8732" max="8732" width="4.140625" style="352" customWidth="1"/>
    <col min="8733" max="8734" width="4.7109375" style="352" customWidth="1"/>
    <col min="8735" max="8735" width="14" style="352" bestFit="1" customWidth="1"/>
    <col min="8736" max="8960" width="9.140625" style="352"/>
    <col min="8961" max="8961" width="7.7109375" style="352" bestFit="1" customWidth="1"/>
    <col min="8962" max="8962" width="9.5703125" style="352" bestFit="1" customWidth="1"/>
    <col min="8963" max="8963" width="14.42578125" style="352" bestFit="1" customWidth="1"/>
    <col min="8964" max="8964" width="13.140625" style="352" bestFit="1" customWidth="1"/>
    <col min="8965" max="8965" width="15" style="352" customWidth="1"/>
    <col min="8966" max="8966" width="9.42578125" style="352" customWidth="1"/>
    <col min="8967" max="8967" width="11.7109375" style="352" customWidth="1"/>
    <col min="8968" max="8968" width="16" style="352" customWidth="1"/>
    <col min="8969" max="8969" width="12.85546875" style="352" customWidth="1"/>
    <col min="8970" max="8970" width="12.42578125" style="352" customWidth="1"/>
    <col min="8971" max="8971" width="17.85546875" style="352" customWidth="1"/>
    <col min="8972" max="8972" width="11.7109375" style="352" customWidth="1"/>
    <col min="8973" max="8973" width="7.7109375" style="352" customWidth="1"/>
    <col min="8974" max="8975" width="8.85546875" style="352" customWidth="1"/>
    <col min="8976" max="8976" width="7.7109375" style="352" customWidth="1"/>
    <col min="8977" max="8978" width="8.85546875" style="352" customWidth="1"/>
    <col min="8979" max="8979" width="21" style="352" customWidth="1"/>
    <col min="8980" max="8980" width="21.140625" style="352" customWidth="1"/>
    <col min="8981" max="8981" width="17.5703125" style="352" customWidth="1"/>
    <col min="8982" max="8982" width="19" style="352" customWidth="1"/>
    <col min="8983" max="8983" width="40.7109375" style="352" customWidth="1"/>
    <col min="8984" max="8984" width="21.42578125" style="352" customWidth="1"/>
    <col min="8985" max="8985" width="12.7109375" style="352" customWidth="1"/>
    <col min="8986" max="8986" width="9.28515625" style="352" customWidth="1"/>
    <col min="8987" max="8987" width="4.7109375" style="352" customWidth="1"/>
    <col min="8988" max="8988" width="4.140625" style="352" customWidth="1"/>
    <col min="8989" max="8990" width="4.7109375" style="352" customWidth="1"/>
    <col min="8991" max="8991" width="14" style="352" bestFit="1" customWidth="1"/>
    <col min="8992" max="9216" width="9.140625" style="352"/>
    <col min="9217" max="9217" width="7.7109375" style="352" bestFit="1" customWidth="1"/>
    <col min="9218" max="9218" width="9.5703125" style="352" bestFit="1" customWidth="1"/>
    <col min="9219" max="9219" width="14.42578125" style="352" bestFit="1" customWidth="1"/>
    <col min="9220" max="9220" width="13.140625" style="352" bestFit="1" customWidth="1"/>
    <col min="9221" max="9221" width="15" style="352" customWidth="1"/>
    <col min="9222" max="9222" width="9.42578125" style="352" customWidth="1"/>
    <col min="9223" max="9223" width="11.7109375" style="352" customWidth="1"/>
    <col min="9224" max="9224" width="16" style="352" customWidth="1"/>
    <col min="9225" max="9225" width="12.85546875" style="352" customWidth="1"/>
    <col min="9226" max="9226" width="12.42578125" style="352" customWidth="1"/>
    <col min="9227" max="9227" width="17.85546875" style="352" customWidth="1"/>
    <col min="9228" max="9228" width="11.7109375" style="352" customWidth="1"/>
    <col min="9229" max="9229" width="7.7109375" style="352" customWidth="1"/>
    <col min="9230" max="9231" width="8.85546875" style="352" customWidth="1"/>
    <col min="9232" max="9232" width="7.7109375" style="352" customWidth="1"/>
    <col min="9233" max="9234" width="8.85546875" style="352" customWidth="1"/>
    <col min="9235" max="9235" width="21" style="352" customWidth="1"/>
    <col min="9236" max="9236" width="21.140625" style="352" customWidth="1"/>
    <col min="9237" max="9237" width="17.5703125" style="352" customWidth="1"/>
    <col min="9238" max="9238" width="19" style="352" customWidth="1"/>
    <col min="9239" max="9239" width="40.7109375" style="352" customWidth="1"/>
    <col min="9240" max="9240" width="21.42578125" style="352" customWidth="1"/>
    <col min="9241" max="9241" width="12.7109375" style="352" customWidth="1"/>
    <col min="9242" max="9242" width="9.28515625" style="352" customWidth="1"/>
    <col min="9243" max="9243" width="4.7109375" style="352" customWidth="1"/>
    <col min="9244" max="9244" width="4.140625" style="352" customWidth="1"/>
    <col min="9245" max="9246" width="4.7109375" style="352" customWidth="1"/>
    <col min="9247" max="9247" width="14" style="352" bestFit="1" customWidth="1"/>
    <col min="9248" max="9472" width="9.140625" style="352"/>
    <col min="9473" max="9473" width="7.7109375" style="352" bestFit="1" customWidth="1"/>
    <col min="9474" max="9474" width="9.5703125" style="352" bestFit="1" customWidth="1"/>
    <col min="9475" max="9475" width="14.42578125" style="352" bestFit="1" customWidth="1"/>
    <col min="9476" max="9476" width="13.140625" style="352" bestFit="1" customWidth="1"/>
    <col min="9477" max="9477" width="15" style="352" customWidth="1"/>
    <col min="9478" max="9478" width="9.42578125" style="352" customWidth="1"/>
    <col min="9479" max="9479" width="11.7109375" style="352" customWidth="1"/>
    <col min="9480" max="9480" width="16" style="352" customWidth="1"/>
    <col min="9481" max="9481" width="12.85546875" style="352" customWidth="1"/>
    <col min="9482" max="9482" width="12.42578125" style="352" customWidth="1"/>
    <col min="9483" max="9483" width="17.85546875" style="352" customWidth="1"/>
    <col min="9484" max="9484" width="11.7109375" style="352" customWidth="1"/>
    <col min="9485" max="9485" width="7.7109375" style="352" customWidth="1"/>
    <col min="9486" max="9487" width="8.85546875" style="352" customWidth="1"/>
    <col min="9488" max="9488" width="7.7109375" style="352" customWidth="1"/>
    <col min="9489" max="9490" width="8.85546875" style="352" customWidth="1"/>
    <col min="9491" max="9491" width="21" style="352" customWidth="1"/>
    <col min="9492" max="9492" width="21.140625" style="352" customWidth="1"/>
    <col min="9493" max="9493" width="17.5703125" style="352" customWidth="1"/>
    <col min="9494" max="9494" width="19" style="352" customWidth="1"/>
    <col min="9495" max="9495" width="40.7109375" style="352" customWidth="1"/>
    <col min="9496" max="9496" width="21.42578125" style="352" customWidth="1"/>
    <col min="9497" max="9497" width="12.7109375" style="352" customWidth="1"/>
    <col min="9498" max="9498" width="9.28515625" style="352" customWidth="1"/>
    <col min="9499" max="9499" width="4.7109375" style="352" customWidth="1"/>
    <col min="9500" max="9500" width="4.140625" style="352" customWidth="1"/>
    <col min="9501" max="9502" width="4.7109375" style="352" customWidth="1"/>
    <col min="9503" max="9503" width="14" style="352" bestFit="1" customWidth="1"/>
    <col min="9504" max="9728" width="9.140625" style="352"/>
    <col min="9729" max="9729" width="7.7109375" style="352" bestFit="1" customWidth="1"/>
    <col min="9730" max="9730" width="9.5703125" style="352" bestFit="1" customWidth="1"/>
    <col min="9731" max="9731" width="14.42578125" style="352" bestFit="1" customWidth="1"/>
    <col min="9732" max="9732" width="13.140625" style="352" bestFit="1" customWidth="1"/>
    <col min="9733" max="9733" width="15" style="352" customWidth="1"/>
    <col min="9734" max="9734" width="9.42578125" style="352" customWidth="1"/>
    <col min="9735" max="9735" width="11.7109375" style="352" customWidth="1"/>
    <col min="9736" max="9736" width="16" style="352" customWidth="1"/>
    <col min="9737" max="9737" width="12.85546875" style="352" customWidth="1"/>
    <col min="9738" max="9738" width="12.42578125" style="352" customWidth="1"/>
    <col min="9739" max="9739" width="17.85546875" style="352" customWidth="1"/>
    <col min="9740" max="9740" width="11.7109375" style="352" customWidth="1"/>
    <col min="9741" max="9741" width="7.7109375" style="352" customWidth="1"/>
    <col min="9742" max="9743" width="8.85546875" style="352" customWidth="1"/>
    <col min="9744" max="9744" width="7.7109375" style="352" customWidth="1"/>
    <col min="9745" max="9746" width="8.85546875" style="352" customWidth="1"/>
    <col min="9747" max="9747" width="21" style="352" customWidth="1"/>
    <col min="9748" max="9748" width="21.140625" style="352" customWidth="1"/>
    <col min="9749" max="9749" width="17.5703125" style="352" customWidth="1"/>
    <col min="9750" max="9750" width="19" style="352" customWidth="1"/>
    <col min="9751" max="9751" width="40.7109375" style="352" customWidth="1"/>
    <col min="9752" max="9752" width="21.42578125" style="352" customWidth="1"/>
    <col min="9753" max="9753" width="12.7109375" style="352" customWidth="1"/>
    <col min="9754" max="9754" width="9.28515625" style="352" customWidth="1"/>
    <col min="9755" max="9755" width="4.7109375" style="352" customWidth="1"/>
    <col min="9756" max="9756" width="4.140625" style="352" customWidth="1"/>
    <col min="9757" max="9758" width="4.7109375" style="352" customWidth="1"/>
    <col min="9759" max="9759" width="14" style="352" bestFit="1" customWidth="1"/>
    <col min="9760" max="9984" width="9.140625" style="352"/>
    <col min="9985" max="9985" width="7.7109375" style="352" bestFit="1" customWidth="1"/>
    <col min="9986" max="9986" width="9.5703125" style="352" bestFit="1" customWidth="1"/>
    <col min="9987" max="9987" width="14.42578125" style="352" bestFit="1" customWidth="1"/>
    <col min="9988" max="9988" width="13.140625" style="352" bestFit="1" customWidth="1"/>
    <col min="9989" max="9989" width="15" style="352" customWidth="1"/>
    <col min="9990" max="9990" width="9.42578125" style="352" customWidth="1"/>
    <col min="9991" max="9991" width="11.7109375" style="352" customWidth="1"/>
    <col min="9992" max="9992" width="16" style="352" customWidth="1"/>
    <col min="9993" max="9993" width="12.85546875" style="352" customWidth="1"/>
    <col min="9994" max="9994" width="12.42578125" style="352" customWidth="1"/>
    <col min="9995" max="9995" width="17.85546875" style="352" customWidth="1"/>
    <col min="9996" max="9996" width="11.7109375" style="352" customWidth="1"/>
    <col min="9997" max="9997" width="7.7109375" style="352" customWidth="1"/>
    <col min="9998" max="9999" width="8.85546875" style="352" customWidth="1"/>
    <col min="10000" max="10000" width="7.7109375" style="352" customWidth="1"/>
    <col min="10001" max="10002" width="8.85546875" style="352" customWidth="1"/>
    <col min="10003" max="10003" width="21" style="352" customWidth="1"/>
    <col min="10004" max="10004" width="21.140625" style="352" customWidth="1"/>
    <col min="10005" max="10005" width="17.5703125" style="352" customWidth="1"/>
    <col min="10006" max="10006" width="19" style="352" customWidth="1"/>
    <col min="10007" max="10007" width="40.7109375" style="352" customWidth="1"/>
    <col min="10008" max="10008" width="21.42578125" style="352" customWidth="1"/>
    <col min="10009" max="10009" width="12.7109375" style="352" customWidth="1"/>
    <col min="10010" max="10010" width="9.28515625" style="352" customWidth="1"/>
    <col min="10011" max="10011" width="4.7109375" style="352" customWidth="1"/>
    <col min="10012" max="10012" width="4.140625" style="352" customWidth="1"/>
    <col min="10013" max="10014" width="4.7109375" style="352" customWidth="1"/>
    <col min="10015" max="10015" width="14" style="352" bestFit="1" customWidth="1"/>
    <col min="10016" max="10240" width="9.140625" style="352"/>
    <col min="10241" max="10241" width="7.7109375" style="352" bestFit="1" customWidth="1"/>
    <col min="10242" max="10242" width="9.5703125" style="352" bestFit="1" customWidth="1"/>
    <col min="10243" max="10243" width="14.42578125" style="352" bestFit="1" customWidth="1"/>
    <col min="10244" max="10244" width="13.140625" style="352" bestFit="1" customWidth="1"/>
    <col min="10245" max="10245" width="15" style="352" customWidth="1"/>
    <col min="10246" max="10246" width="9.42578125" style="352" customWidth="1"/>
    <col min="10247" max="10247" width="11.7109375" style="352" customWidth="1"/>
    <col min="10248" max="10248" width="16" style="352" customWidth="1"/>
    <col min="10249" max="10249" width="12.85546875" style="352" customWidth="1"/>
    <col min="10250" max="10250" width="12.42578125" style="352" customWidth="1"/>
    <col min="10251" max="10251" width="17.85546875" style="352" customWidth="1"/>
    <col min="10252" max="10252" width="11.7109375" style="352" customWidth="1"/>
    <col min="10253" max="10253" width="7.7109375" style="352" customWidth="1"/>
    <col min="10254" max="10255" width="8.85546875" style="352" customWidth="1"/>
    <col min="10256" max="10256" width="7.7109375" style="352" customWidth="1"/>
    <col min="10257" max="10258" width="8.85546875" style="352" customWidth="1"/>
    <col min="10259" max="10259" width="21" style="352" customWidth="1"/>
    <col min="10260" max="10260" width="21.140625" style="352" customWidth="1"/>
    <col min="10261" max="10261" width="17.5703125" style="352" customWidth="1"/>
    <col min="10262" max="10262" width="19" style="352" customWidth="1"/>
    <col min="10263" max="10263" width="40.7109375" style="352" customWidth="1"/>
    <col min="10264" max="10264" width="21.42578125" style="352" customWidth="1"/>
    <col min="10265" max="10265" width="12.7109375" style="352" customWidth="1"/>
    <col min="10266" max="10266" width="9.28515625" style="352" customWidth="1"/>
    <col min="10267" max="10267" width="4.7109375" style="352" customWidth="1"/>
    <col min="10268" max="10268" width="4.140625" style="352" customWidth="1"/>
    <col min="10269" max="10270" width="4.7109375" style="352" customWidth="1"/>
    <col min="10271" max="10271" width="14" style="352" bestFit="1" customWidth="1"/>
    <col min="10272" max="10496" width="9.140625" style="352"/>
    <col min="10497" max="10497" width="7.7109375" style="352" bestFit="1" customWidth="1"/>
    <col min="10498" max="10498" width="9.5703125" style="352" bestFit="1" customWidth="1"/>
    <col min="10499" max="10499" width="14.42578125" style="352" bestFit="1" customWidth="1"/>
    <col min="10500" max="10500" width="13.140625" style="352" bestFit="1" customWidth="1"/>
    <col min="10501" max="10501" width="15" style="352" customWidth="1"/>
    <col min="10502" max="10502" width="9.42578125" style="352" customWidth="1"/>
    <col min="10503" max="10503" width="11.7109375" style="352" customWidth="1"/>
    <col min="10504" max="10504" width="16" style="352" customWidth="1"/>
    <col min="10505" max="10505" width="12.85546875" style="352" customWidth="1"/>
    <col min="10506" max="10506" width="12.42578125" style="352" customWidth="1"/>
    <col min="10507" max="10507" width="17.85546875" style="352" customWidth="1"/>
    <col min="10508" max="10508" width="11.7109375" style="352" customWidth="1"/>
    <col min="10509" max="10509" width="7.7109375" style="352" customWidth="1"/>
    <col min="10510" max="10511" width="8.85546875" style="352" customWidth="1"/>
    <col min="10512" max="10512" width="7.7109375" style="352" customWidth="1"/>
    <col min="10513" max="10514" width="8.85546875" style="352" customWidth="1"/>
    <col min="10515" max="10515" width="21" style="352" customWidth="1"/>
    <col min="10516" max="10516" width="21.140625" style="352" customWidth="1"/>
    <col min="10517" max="10517" width="17.5703125" style="352" customWidth="1"/>
    <col min="10518" max="10518" width="19" style="352" customWidth="1"/>
    <col min="10519" max="10519" width="40.7109375" style="352" customWidth="1"/>
    <col min="10520" max="10520" width="21.42578125" style="352" customWidth="1"/>
    <col min="10521" max="10521" width="12.7109375" style="352" customWidth="1"/>
    <col min="10522" max="10522" width="9.28515625" style="352" customWidth="1"/>
    <col min="10523" max="10523" width="4.7109375" style="352" customWidth="1"/>
    <col min="10524" max="10524" width="4.140625" style="352" customWidth="1"/>
    <col min="10525" max="10526" width="4.7109375" style="352" customWidth="1"/>
    <col min="10527" max="10527" width="14" style="352" bestFit="1" customWidth="1"/>
    <col min="10528" max="10752" width="9.140625" style="352"/>
    <col min="10753" max="10753" width="7.7109375" style="352" bestFit="1" customWidth="1"/>
    <col min="10754" max="10754" width="9.5703125" style="352" bestFit="1" customWidth="1"/>
    <col min="10755" max="10755" width="14.42578125" style="352" bestFit="1" customWidth="1"/>
    <col min="10756" max="10756" width="13.140625" style="352" bestFit="1" customWidth="1"/>
    <col min="10757" max="10757" width="15" style="352" customWidth="1"/>
    <col min="10758" max="10758" width="9.42578125" style="352" customWidth="1"/>
    <col min="10759" max="10759" width="11.7109375" style="352" customWidth="1"/>
    <col min="10760" max="10760" width="16" style="352" customWidth="1"/>
    <col min="10761" max="10761" width="12.85546875" style="352" customWidth="1"/>
    <col min="10762" max="10762" width="12.42578125" style="352" customWidth="1"/>
    <col min="10763" max="10763" width="17.85546875" style="352" customWidth="1"/>
    <col min="10764" max="10764" width="11.7109375" style="352" customWidth="1"/>
    <col min="10765" max="10765" width="7.7109375" style="352" customWidth="1"/>
    <col min="10766" max="10767" width="8.85546875" style="352" customWidth="1"/>
    <col min="10768" max="10768" width="7.7109375" style="352" customWidth="1"/>
    <col min="10769" max="10770" width="8.85546875" style="352" customWidth="1"/>
    <col min="10771" max="10771" width="21" style="352" customWidth="1"/>
    <col min="10772" max="10772" width="21.140625" style="352" customWidth="1"/>
    <col min="10773" max="10773" width="17.5703125" style="352" customWidth="1"/>
    <col min="10774" max="10774" width="19" style="352" customWidth="1"/>
    <col min="10775" max="10775" width="40.7109375" style="352" customWidth="1"/>
    <col min="10776" max="10776" width="21.42578125" style="352" customWidth="1"/>
    <col min="10777" max="10777" width="12.7109375" style="352" customWidth="1"/>
    <col min="10778" max="10778" width="9.28515625" style="352" customWidth="1"/>
    <col min="10779" max="10779" width="4.7109375" style="352" customWidth="1"/>
    <col min="10780" max="10780" width="4.140625" style="352" customWidth="1"/>
    <col min="10781" max="10782" width="4.7109375" style="352" customWidth="1"/>
    <col min="10783" max="10783" width="14" style="352" bestFit="1" customWidth="1"/>
    <col min="10784" max="11008" width="9.140625" style="352"/>
    <col min="11009" max="11009" width="7.7109375" style="352" bestFit="1" customWidth="1"/>
    <col min="11010" max="11010" width="9.5703125" style="352" bestFit="1" customWidth="1"/>
    <col min="11011" max="11011" width="14.42578125" style="352" bestFit="1" customWidth="1"/>
    <col min="11012" max="11012" width="13.140625" style="352" bestFit="1" customWidth="1"/>
    <col min="11013" max="11013" width="15" style="352" customWidth="1"/>
    <col min="11014" max="11014" width="9.42578125" style="352" customWidth="1"/>
    <col min="11015" max="11015" width="11.7109375" style="352" customWidth="1"/>
    <col min="11016" max="11016" width="16" style="352" customWidth="1"/>
    <col min="11017" max="11017" width="12.85546875" style="352" customWidth="1"/>
    <col min="11018" max="11018" width="12.42578125" style="352" customWidth="1"/>
    <col min="11019" max="11019" width="17.85546875" style="352" customWidth="1"/>
    <col min="11020" max="11020" width="11.7109375" style="352" customWidth="1"/>
    <col min="11021" max="11021" width="7.7109375" style="352" customWidth="1"/>
    <col min="11022" max="11023" width="8.85546875" style="352" customWidth="1"/>
    <col min="11024" max="11024" width="7.7109375" style="352" customWidth="1"/>
    <col min="11025" max="11026" width="8.85546875" style="352" customWidth="1"/>
    <col min="11027" max="11027" width="21" style="352" customWidth="1"/>
    <col min="11028" max="11028" width="21.140625" style="352" customWidth="1"/>
    <col min="11029" max="11029" width="17.5703125" style="352" customWidth="1"/>
    <col min="11030" max="11030" width="19" style="352" customWidth="1"/>
    <col min="11031" max="11031" width="40.7109375" style="352" customWidth="1"/>
    <col min="11032" max="11032" width="21.42578125" style="352" customWidth="1"/>
    <col min="11033" max="11033" width="12.7109375" style="352" customWidth="1"/>
    <col min="11034" max="11034" width="9.28515625" style="352" customWidth="1"/>
    <col min="11035" max="11035" width="4.7109375" style="352" customWidth="1"/>
    <col min="11036" max="11036" width="4.140625" style="352" customWidth="1"/>
    <col min="11037" max="11038" width="4.7109375" style="352" customWidth="1"/>
    <col min="11039" max="11039" width="14" style="352" bestFit="1" customWidth="1"/>
    <col min="11040" max="11264" width="9.140625" style="352"/>
    <col min="11265" max="11265" width="7.7109375" style="352" bestFit="1" customWidth="1"/>
    <col min="11266" max="11266" width="9.5703125" style="352" bestFit="1" customWidth="1"/>
    <col min="11267" max="11267" width="14.42578125" style="352" bestFit="1" customWidth="1"/>
    <col min="11268" max="11268" width="13.140625" style="352" bestFit="1" customWidth="1"/>
    <col min="11269" max="11269" width="15" style="352" customWidth="1"/>
    <col min="11270" max="11270" width="9.42578125" style="352" customWidth="1"/>
    <col min="11271" max="11271" width="11.7109375" style="352" customWidth="1"/>
    <col min="11272" max="11272" width="16" style="352" customWidth="1"/>
    <col min="11273" max="11273" width="12.85546875" style="352" customWidth="1"/>
    <col min="11274" max="11274" width="12.42578125" style="352" customWidth="1"/>
    <col min="11275" max="11275" width="17.85546875" style="352" customWidth="1"/>
    <col min="11276" max="11276" width="11.7109375" style="352" customWidth="1"/>
    <col min="11277" max="11277" width="7.7109375" style="352" customWidth="1"/>
    <col min="11278" max="11279" width="8.85546875" style="352" customWidth="1"/>
    <col min="11280" max="11280" width="7.7109375" style="352" customWidth="1"/>
    <col min="11281" max="11282" width="8.85546875" style="352" customWidth="1"/>
    <col min="11283" max="11283" width="21" style="352" customWidth="1"/>
    <col min="11284" max="11284" width="21.140625" style="352" customWidth="1"/>
    <col min="11285" max="11285" width="17.5703125" style="352" customWidth="1"/>
    <col min="11286" max="11286" width="19" style="352" customWidth="1"/>
    <col min="11287" max="11287" width="40.7109375" style="352" customWidth="1"/>
    <col min="11288" max="11288" width="21.42578125" style="352" customWidth="1"/>
    <col min="11289" max="11289" width="12.7109375" style="352" customWidth="1"/>
    <col min="11290" max="11290" width="9.28515625" style="352" customWidth="1"/>
    <col min="11291" max="11291" width="4.7109375" style="352" customWidth="1"/>
    <col min="11292" max="11292" width="4.140625" style="352" customWidth="1"/>
    <col min="11293" max="11294" width="4.7109375" style="352" customWidth="1"/>
    <col min="11295" max="11295" width="14" style="352" bestFit="1" customWidth="1"/>
    <col min="11296" max="11520" width="9.140625" style="352"/>
    <col min="11521" max="11521" width="7.7109375" style="352" bestFit="1" customWidth="1"/>
    <col min="11522" max="11522" width="9.5703125" style="352" bestFit="1" customWidth="1"/>
    <col min="11523" max="11523" width="14.42578125" style="352" bestFit="1" customWidth="1"/>
    <col min="11524" max="11524" width="13.140625" style="352" bestFit="1" customWidth="1"/>
    <col min="11525" max="11525" width="15" style="352" customWidth="1"/>
    <col min="11526" max="11526" width="9.42578125" style="352" customWidth="1"/>
    <col min="11527" max="11527" width="11.7109375" style="352" customWidth="1"/>
    <col min="11528" max="11528" width="16" style="352" customWidth="1"/>
    <col min="11529" max="11529" width="12.85546875" style="352" customWidth="1"/>
    <col min="11530" max="11530" width="12.42578125" style="352" customWidth="1"/>
    <col min="11531" max="11531" width="17.85546875" style="352" customWidth="1"/>
    <col min="11532" max="11532" width="11.7109375" style="352" customWidth="1"/>
    <col min="11533" max="11533" width="7.7109375" style="352" customWidth="1"/>
    <col min="11534" max="11535" width="8.85546875" style="352" customWidth="1"/>
    <col min="11536" max="11536" width="7.7109375" style="352" customWidth="1"/>
    <col min="11537" max="11538" width="8.85546875" style="352" customWidth="1"/>
    <col min="11539" max="11539" width="21" style="352" customWidth="1"/>
    <col min="11540" max="11540" width="21.140625" style="352" customWidth="1"/>
    <col min="11541" max="11541" width="17.5703125" style="352" customWidth="1"/>
    <col min="11542" max="11542" width="19" style="352" customWidth="1"/>
    <col min="11543" max="11543" width="40.7109375" style="352" customWidth="1"/>
    <col min="11544" max="11544" width="21.42578125" style="352" customWidth="1"/>
    <col min="11545" max="11545" width="12.7109375" style="352" customWidth="1"/>
    <col min="11546" max="11546" width="9.28515625" style="352" customWidth="1"/>
    <col min="11547" max="11547" width="4.7109375" style="352" customWidth="1"/>
    <col min="11548" max="11548" width="4.140625" style="352" customWidth="1"/>
    <col min="11549" max="11550" width="4.7109375" style="352" customWidth="1"/>
    <col min="11551" max="11551" width="14" style="352" bestFit="1" customWidth="1"/>
    <col min="11552" max="11776" width="9.140625" style="352"/>
    <col min="11777" max="11777" width="7.7109375" style="352" bestFit="1" customWidth="1"/>
    <col min="11778" max="11778" width="9.5703125" style="352" bestFit="1" customWidth="1"/>
    <col min="11779" max="11779" width="14.42578125" style="352" bestFit="1" customWidth="1"/>
    <col min="11780" max="11780" width="13.140625" style="352" bestFit="1" customWidth="1"/>
    <col min="11781" max="11781" width="15" style="352" customWidth="1"/>
    <col min="11782" max="11782" width="9.42578125" style="352" customWidth="1"/>
    <col min="11783" max="11783" width="11.7109375" style="352" customWidth="1"/>
    <col min="11784" max="11784" width="16" style="352" customWidth="1"/>
    <col min="11785" max="11785" width="12.85546875" style="352" customWidth="1"/>
    <col min="11786" max="11786" width="12.42578125" style="352" customWidth="1"/>
    <col min="11787" max="11787" width="17.85546875" style="352" customWidth="1"/>
    <col min="11788" max="11788" width="11.7109375" style="352" customWidth="1"/>
    <col min="11789" max="11789" width="7.7109375" style="352" customWidth="1"/>
    <col min="11790" max="11791" width="8.85546875" style="352" customWidth="1"/>
    <col min="11792" max="11792" width="7.7109375" style="352" customWidth="1"/>
    <col min="11793" max="11794" width="8.85546875" style="352" customWidth="1"/>
    <col min="11795" max="11795" width="21" style="352" customWidth="1"/>
    <col min="11796" max="11796" width="21.140625" style="352" customWidth="1"/>
    <col min="11797" max="11797" width="17.5703125" style="352" customWidth="1"/>
    <col min="11798" max="11798" width="19" style="352" customWidth="1"/>
    <col min="11799" max="11799" width="40.7109375" style="352" customWidth="1"/>
    <col min="11800" max="11800" width="21.42578125" style="352" customWidth="1"/>
    <col min="11801" max="11801" width="12.7109375" style="352" customWidth="1"/>
    <col min="11802" max="11802" width="9.28515625" style="352" customWidth="1"/>
    <col min="11803" max="11803" width="4.7109375" style="352" customWidth="1"/>
    <col min="11804" max="11804" width="4.140625" style="352" customWidth="1"/>
    <col min="11805" max="11806" width="4.7109375" style="352" customWidth="1"/>
    <col min="11807" max="11807" width="14" style="352" bestFit="1" customWidth="1"/>
    <col min="11808" max="12032" width="9.140625" style="352"/>
    <col min="12033" max="12033" width="7.7109375" style="352" bestFit="1" customWidth="1"/>
    <col min="12034" max="12034" width="9.5703125" style="352" bestFit="1" customWidth="1"/>
    <col min="12035" max="12035" width="14.42578125" style="352" bestFit="1" customWidth="1"/>
    <col min="12036" max="12036" width="13.140625" style="352" bestFit="1" customWidth="1"/>
    <col min="12037" max="12037" width="15" style="352" customWidth="1"/>
    <col min="12038" max="12038" width="9.42578125" style="352" customWidth="1"/>
    <col min="12039" max="12039" width="11.7109375" style="352" customWidth="1"/>
    <col min="12040" max="12040" width="16" style="352" customWidth="1"/>
    <col min="12041" max="12041" width="12.85546875" style="352" customWidth="1"/>
    <col min="12042" max="12042" width="12.42578125" style="352" customWidth="1"/>
    <col min="12043" max="12043" width="17.85546875" style="352" customWidth="1"/>
    <col min="12044" max="12044" width="11.7109375" style="352" customWidth="1"/>
    <col min="12045" max="12045" width="7.7109375" style="352" customWidth="1"/>
    <col min="12046" max="12047" width="8.85546875" style="352" customWidth="1"/>
    <col min="12048" max="12048" width="7.7109375" style="352" customWidth="1"/>
    <col min="12049" max="12050" width="8.85546875" style="352" customWidth="1"/>
    <col min="12051" max="12051" width="21" style="352" customWidth="1"/>
    <col min="12052" max="12052" width="21.140625" style="352" customWidth="1"/>
    <col min="12053" max="12053" width="17.5703125" style="352" customWidth="1"/>
    <col min="12054" max="12054" width="19" style="352" customWidth="1"/>
    <col min="12055" max="12055" width="40.7109375" style="352" customWidth="1"/>
    <col min="12056" max="12056" width="21.42578125" style="352" customWidth="1"/>
    <col min="12057" max="12057" width="12.7109375" style="352" customWidth="1"/>
    <col min="12058" max="12058" width="9.28515625" style="352" customWidth="1"/>
    <col min="12059" max="12059" width="4.7109375" style="352" customWidth="1"/>
    <col min="12060" max="12060" width="4.140625" style="352" customWidth="1"/>
    <col min="12061" max="12062" width="4.7109375" style="352" customWidth="1"/>
    <col min="12063" max="12063" width="14" style="352" bestFit="1" customWidth="1"/>
    <col min="12064" max="12288" width="9.140625" style="352"/>
    <col min="12289" max="12289" width="7.7109375" style="352" bestFit="1" customWidth="1"/>
    <col min="12290" max="12290" width="9.5703125" style="352" bestFit="1" customWidth="1"/>
    <col min="12291" max="12291" width="14.42578125" style="352" bestFit="1" customWidth="1"/>
    <col min="12292" max="12292" width="13.140625" style="352" bestFit="1" customWidth="1"/>
    <col min="12293" max="12293" width="15" style="352" customWidth="1"/>
    <col min="12294" max="12294" width="9.42578125" style="352" customWidth="1"/>
    <col min="12295" max="12295" width="11.7109375" style="352" customWidth="1"/>
    <col min="12296" max="12296" width="16" style="352" customWidth="1"/>
    <col min="12297" max="12297" width="12.85546875" style="352" customWidth="1"/>
    <col min="12298" max="12298" width="12.42578125" style="352" customWidth="1"/>
    <col min="12299" max="12299" width="17.85546875" style="352" customWidth="1"/>
    <col min="12300" max="12300" width="11.7109375" style="352" customWidth="1"/>
    <col min="12301" max="12301" width="7.7109375" style="352" customWidth="1"/>
    <col min="12302" max="12303" width="8.85546875" style="352" customWidth="1"/>
    <col min="12304" max="12304" width="7.7109375" style="352" customWidth="1"/>
    <col min="12305" max="12306" width="8.85546875" style="352" customWidth="1"/>
    <col min="12307" max="12307" width="21" style="352" customWidth="1"/>
    <col min="12308" max="12308" width="21.140625" style="352" customWidth="1"/>
    <col min="12309" max="12309" width="17.5703125" style="352" customWidth="1"/>
    <col min="12310" max="12310" width="19" style="352" customWidth="1"/>
    <col min="12311" max="12311" width="40.7109375" style="352" customWidth="1"/>
    <col min="12312" max="12312" width="21.42578125" style="352" customWidth="1"/>
    <col min="12313" max="12313" width="12.7109375" style="352" customWidth="1"/>
    <col min="12314" max="12314" width="9.28515625" style="352" customWidth="1"/>
    <col min="12315" max="12315" width="4.7109375" style="352" customWidth="1"/>
    <col min="12316" max="12316" width="4.140625" style="352" customWidth="1"/>
    <col min="12317" max="12318" width="4.7109375" style="352" customWidth="1"/>
    <col min="12319" max="12319" width="14" style="352" bestFit="1" customWidth="1"/>
    <col min="12320" max="12544" width="9.140625" style="352"/>
    <col min="12545" max="12545" width="7.7109375" style="352" bestFit="1" customWidth="1"/>
    <col min="12546" max="12546" width="9.5703125" style="352" bestFit="1" customWidth="1"/>
    <col min="12547" max="12547" width="14.42578125" style="352" bestFit="1" customWidth="1"/>
    <col min="12548" max="12548" width="13.140625" style="352" bestFit="1" customWidth="1"/>
    <col min="12549" max="12549" width="15" style="352" customWidth="1"/>
    <col min="12550" max="12550" width="9.42578125" style="352" customWidth="1"/>
    <col min="12551" max="12551" width="11.7109375" style="352" customWidth="1"/>
    <col min="12552" max="12552" width="16" style="352" customWidth="1"/>
    <col min="12553" max="12553" width="12.85546875" style="352" customWidth="1"/>
    <col min="12554" max="12554" width="12.42578125" style="352" customWidth="1"/>
    <col min="12555" max="12555" width="17.85546875" style="352" customWidth="1"/>
    <col min="12556" max="12556" width="11.7109375" style="352" customWidth="1"/>
    <col min="12557" max="12557" width="7.7109375" style="352" customWidth="1"/>
    <col min="12558" max="12559" width="8.85546875" style="352" customWidth="1"/>
    <col min="12560" max="12560" width="7.7109375" style="352" customWidth="1"/>
    <col min="12561" max="12562" width="8.85546875" style="352" customWidth="1"/>
    <col min="12563" max="12563" width="21" style="352" customWidth="1"/>
    <col min="12564" max="12564" width="21.140625" style="352" customWidth="1"/>
    <col min="12565" max="12565" width="17.5703125" style="352" customWidth="1"/>
    <col min="12566" max="12566" width="19" style="352" customWidth="1"/>
    <col min="12567" max="12567" width="40.7109375" style="352" customWidth="1"/>
    <col min="12568" max="12568" width="21.42578125" style="352" customWidth="1"/>
    <col min="12569" max="12569" width="12.7109375" style="352" customWidth="1"/>
    <col min="12570" max="12570" width="9.28515625" style="352" customWidth="1"/>
    <col min="12571" max="12571" width="4.7109375" style="352" customWidth="1"/>
    <col min="12572" max="12572" width="4.140625" style="352" customWidth="1"/>
    <col min="12573" max="12574" width="4.7109375" style="352" customWidth="1"/>
    <col min="12575" max="12575" width="14" style="352" bestFit="1" customWidth="1"/>
    <col min="12576" max="12800" width="9.140625" style="352"/>
    <col min="12801" max="12801" width="7.7109375" style="352" bestFit="1" customWidth="1"/>
    <col min="12802" max="12802" width="9.5703125" style="352" bestFit="1" customWidth="1"/>
    <col min="12803" max="12803" width="14.42578125" style="352" bestFit="1" customWidth="1"/>
    <col min="12804" max="12804" width="13.140625" style="352" bestFit="1" customWidth="1"/>
    <col min="12805" max="12805" width="15" style="352" customWidth="1"/>
    <col min="12806" max="12806" width="9.42578125" style="352" customWidth="1"/>
    <col min="12807" max="12807" width="11.7109375" style="352" customWidth="1"/>
    <col min="12808" max="12808" width="16" style="352" customWidth="1"/>
    <col min="12809" max="12809" width="12.85546875" style="352" customWidth="1"/>
    <col min="12810" max="12810" width="12.42578125" style="352" customWidth="1"/>
    <col min="12811" max="12811" width="17.85546875" style="352" customWidth="1"/>
    <col min="12812" max="12812" width="11.7109375" style="352" customWidth="1"/>
    <col min="12813" max="12813" width="7.7109375" style="352" customWidth="1"/>
    <col min="12814" max="12815" width="8.85546875" style="352" customWidth="1"/>
    <col min="12816" max="12816" width="7.7109375" style="352" customWidth="1"/>
    <col min="12817" max="12818" width="8.85546875" style="352" customWidth="1"/>
    <col min="12819" max="12819" width="21" style="352" customWidth="1"/>
    <col min="12820" max="12820" width="21.140625" style="352" customWidth="1"/>
    <col min="12821" max="12821" width="17.5703125" style="352" customWidth="1"/>
    <col min="12822" max="12822" width="19" style="352" customWidth="1"/>
    <col min="12823" max="12823" width="40.7109375" style="352" customWidth="1"/>
    <col min="12824" max="12824" width="21.42578125" style="352" customWidth="1"/>
    <col min="12825" max="12825" width="12.7109375" style="352" customWidth="1"/>
    <col min="12826" max="12826" width="9.28515625" style="352" customWidth="1"/>
    <col min="12827" max="12827" width="4.7109375" style="352" customWidth="1"/>
    <col min="12828" max="12828" width="4.140625" style="352" customWidth="1"/>
    <col min="12829" max="12830" width="4.7109375" style="352" customWidth="1"/>
    <col min="12831" max="12831" width="14" style="352" bestFit="1" customWidth="1"/>
    <col min="12832" max="13056" width="9.140625" style="352"/>
    <col min="13057" max="13057" width="7.7109375" style="352" bestFit="1" customWidth="1"/>
    <col min="13058" max="13058" width="9.5703125" style="352" bestFit="1" customWidth="1"/>
    <col min="13059" max="13059" width="14.42578125" style="352" bestFit="1" customWidth="1"/>
    <col min="13060" max="13060" width="13.140625" style="352" bestFit="1" customWidth="1"/>
    <col min="13061" max="13061" width="15" style="352" customWidth="1"/>
    <col min="13062" max="13062" width="9.42578125" style="352" customWidth="1"/>
    <col min="13063" max="13063" width="11.7109375" style="352" customWidth="1"/>
    <col min="13064" max="13064" width="16" style="352" customWidth="1"/>
    <col min="13065" max="13065" width="12.85546875" style="352" customWidth="1"/>
    <col min="13066" max="13066" width="12.42578125" style="352" customWidth="1"/>
    <col min="13067" max="13067" width="17.85546875" style="352" customWidth="1"/>
    <col min="13068" max="13068" width="11.7109375" style="352" customWidth="1"/>
    <col min="13069" max="13069" width="7.7109375" style="352" customWidth="1"/>
    <col min="13070" max="13071" width="8.85546875" style="352" customWidth="1"/>
    <col min="13072" max="13072" width="7.7109375" style="352" customWidth="1"/>
    <col min="13073" max="13074" width="8.85546875" style="352" customWidth="1"/>
    <col min="13075" max="13075" width="21" style="352" customWidth="1"/>
    <col min="13076" max="13076" width="21.140625" style="352" customWidth="1"/>
    <col min="13077" max="13077" width="17.5703125" style="352" customWidth="1"/>
    <col min="13078" max="13078" width="19" style="352" customWidth="1"/>
    <col min="13079" max="13079" width="40.7109375" style="352" customWidth="1"/>
    <col min="13080" max="13080" width="21.42578125" style="352" customWidth="1"/>
    <col min="13081" max="13081" width="12.7109375" style="352" customWidth="1"/>
    <col min="13082" max="13082" width="9.28515625" style="352" customWidth="1"/>
    <col min="13083" max="13083" width="4.7109375" style="352" customWidth="1"/>
    <col min="13084" max="13084" width="4.140625" style="352" customWidth="1"/>
    <col min="13085" max="13086" width="4.7109375" style="352" customWidth="1"/>
    <col min="13087" max="13087" width="14" style="352" bestFit="1" customWidth="1"/>
    <col min="13088" max="13312" width="9.140625" style="352"/>
    <col min="13313" max="13313" width="7.7109375" style="352" bestFit="1" customWidth="1"/>
    <col min="13314" max="13314" width="9.5703125" style="352" bestFit="1" customWidth="1"/>
    <col min="13315" max="13315" width="14.42578125" style="352" bestFit="1" customWidth="1"/>
    <col min="13316" max="13316" width="13.140625" style="352" bestFit="1" customWidth="1"/>
    <col min="13317" max="13317" width="15" style="352" customWidth="1"/>
    <col min="13318" max="13318" width="9.42578125" style="352" customWidth="1"/>
    <col min="13319" max="13319" width="11.7109375" style="352" customWidth="1"/>
    <col min="13320" max="13320" width="16" style="352" customWidth="1"/>
    <col min="13321" max="13321" width="12.85546875" style="352" customWidth="1"/>
    <col min="13322" max="13322" width="12.42578125" style="352" customWidth="1"/>
    <col min="13323" max="13323" width="17.85546875" style="352" customWidth="1"/>
    <col min="13324" max="13324" width="11.7109375" style="352" customWidth="1"/>
    <col min="13325" max="13325" width="7.7109375" style="352" customWidth="1"/>
    <col min="13326" max="13327" width="8.85546875" style="352" customWidth="1"/>
    <col min="13328" max="13328" width="7.7109375" style="352" customWidth="1"/>
    <col min="13329" max="13330" width="8.85546875" style="352" customWidth="1"/>
    <col min="13331" max="13331" width="21" style="352" customWidth="1"/>
    <col min="13332" max="13332" width="21.140625" style="352" customWidth="1"/>
    <col min="13333" max="13333" width="17.5703125" style="352" customWidth="1"/>
    <col min="13334" max="13334" width="19" style="352" customWidth="1"/>
    <col min="13335" max="13335" width="40.7109375" style="352" customWidth="1"/>
    <col min="13336" max="13336" width="21.42578125" style="352" customWidth="1"/>
    <col min="13337" max="13337" width="12.7109375" style="352" customWidth="1"/>
    <col min="13338" max="13338" width="9.28515625" style="352" customWidth="1"/>
    <col min="13339" max="13339" width="4.7109375" style="352" customWidth="1"/>
    <col min="13340" max="13340" width="4.140625" style="352" customWidth="1"/>
    <col min="13341" max="13342" width="4.7109375" style="352" customWidth="1"/>
    <col min="13343" max="13343" width="14" style="352" bestFit="1" customWidth="1"/>
    <col min="13344" max="13568" width="9.140625" style="352"/>
    <col min="13569" max="13569" width="7.7109375" style="352" bestFit="1" customWidth="1"/>
    <col min="13570" max="13570" width="9.5703125" style="352" bestFit="1" customWidth="1"/>
    <col min="13571" max="13571" width="14.42578125" style="352" bestFit="1" customWidth="1"/>
    <col min="13572" max="13572" width="13.140625" style="352" bestFit="1" customWidth="1"/>
    <col min="13573" max="13573" width="15" style="352" customWidth="1"/>
    <col min="13574" max="13574" width="9.42578125" style="352" customWidth="1"/>
    <col min="13575" max="13575" width="11.7109375" style="352" customWidth="1"/>
    <col min="13576" max="13576" width="16" style="352" customWidth="1"/>
    <col min="13577" max="13577" width="12.85546875" style="352" customWidth="1"/>
    <col min="13578" max="13578" width="12.42578125" style="352" customWidth="1"/>
    <col min="13579" max="13579" width="17.85546875" style="352" customWidth="1"/>
    <col min="13580" max="13580" width="11.7109375" style="352" customWidth="1"/>
    <col min="13581" max="13581" width="7.7109375" style="352" customWidth="1"/>
    <col min="13582" max="13583" width="8.85546875" style="352" customWidth="1"/>
    <col min="13584" max="13584" width="7.7109375" style="352" customWidth="1"/>
    <col min="13585" max="13586" width="8.85546875" style="352" customWidth="1"/>
    <col min="13587" max="13587" width="21" style="352" customWidth="1"/>
    <col min="13588" max="13588" width="21.140625" style="352" customWidth="1"/>
    <col min="13589" max="13589" width="17.5703125" style="352" customWidth="1"/>
    <col min="13590" max="13590" width="19" style="352" customWidth="1"/>
    <col min="13591" max="13591" width="40.7109375" style="352" customWidth="1"/>
    <col min="13592" max="13592" width="21.42578125" style="352" customWidth="1"/>
    <col min="13593" max="13593" width="12.7109375" style="352" customWidth="1"/>
    <col min="13594" max="13594" width="9.28515625" style="352" customWidth="1"/>
    <col min="13595" max="13595" width="4.7109375" style="352" customWidth="1"/>
    <col min="13596" max="13596" width="4.140625" style="352" customWidth="1"/>
    <col min="13597" max="13598" width="4.7109375" style="352" customWidth="1"/>
    <col min="13599" max="13599" width="14" style="352" bestFit="1" customWidth="1"/>
    <col min="13600" max="13824" width="9.140625" style="352"/>
    <col min="13825" max="13825" width="7.7109375" style="352" bestFit="1" customWidth="1"/>
    <col min="13826" max="13826" width="9.5703125" style="352" bestFit="1" customWidth="1"/>
    <col min="13827" max="13827" width="14.42578125" style="352" bestFit="1" customWidth="1"/>
    <col min="13828" max="13828" width="13.140625" style="352" bestFit="1" customWidth="1"/>
    <col min="13829" max="13829" width="15" style="352" customWidth="1"/>
    <col min="13830" max="13830" width="9.42578125" style="352" customWidth="1"/>
    <col min="13831" max="13831" width="11.7109375" style="352" customWidth="1"/>
    <col min="13832" max="13832" width="16" style="352" customWidth="1"/>
    <col min="13833" max="13833" width="12.85546875" style="352" customWidth="1"/>
    <col min="13834" max="13834" width="12.42578125" style="352" customWidth="1"/>
    <col min="13835" max="13835" width="17.85546875" style="352" customWidth="1"/>
    <col min="13836" max="13836" width="11.7109375" style="352" customWidth="1"/>
    <col min="13837" max="13837" width="7.7109375" style="352" customWidth="1"/>
    <col min="13838" max="13839" width="8.85546875" style="352" customWidth="1"/>
    <col min="13840" max="13840" width="7.7109375" style="352" customWidth="1"/>
    <col min="13841" max="13842" width="8.85546875" style="352" customWidth="1"/>
    <col min="13843" max="13843" width="21" style="352" customWidth="1"/>
    <col min="13844" max="13844" width="21.140625" style="352" customWidth="1"/>
    <col min="13845" max="13845" width="17.5703125" style="352" customWidth="1"/>
    <col min="13846" max="13846" width="19" style="352" customWidth="1"/>
    <col min="13847" max="13847" width="40.7109375" style="352" customWidth="1"/>
    <col min="13848" max="13848" width="21.42578125" style="352" customWidth="1"/>
    <col min="13849" max="13849" width="12.7109375" style="352" customWidth="1"/>
    <col min="13850" max="13850" width="9.28515625" style="352" customWidth="1"/>
    <col min="13851" max="13851" width="4.7109375" style="352" customWidth="1"/>
    <col min="13852" max="13852" width="4.140625" style="352" customWidth="1"/>
    <col min="13853" max="13854" width="4.7109375" style="352" customWidth="1"/>
    <col min="13855" max="13855" width="14" style="352" bestFit="1" customWidth="1"/>
    <col min="13856" max="14080" width="9.140625" style="352"/>
    <col min="14081" max="14081" width="7.7109375" style="352" bestFit="1" customWidth="1"/>
    <col min="14082" max="14082" width="9.5703125" style="352" bestFit="1" customWidth="1"/>
    <col min="14083" max="14083" width="14.42578125" style="352" bestFit="1" customWidth="1"/>
    <col min="14084" max="14084" width="13.140625" style="352" bestFit="1" customWidth="1"/>
    <col min="14085" max="14085" width="15" style="352" customWidth="1"/>
    <col min="14086" max="14086" width="9.42578125" style="352" customWidth="1"/>
    <col min="14087" max="14087" width="11.7109375" style="352" customWidth="1"/>
    <col min="14088" max="14088" width="16" style="352" customWidth="1"/>
    <col min="14089" max="14089" width="12.85546875" style="352" customWidth="1"/>
    <col min="14090" max="14090" width="12.42578125" style="352" customWidth="1"/>
    <col min="14091" max="14091" width="17.85546875" style="352" customWidth="1"/>
    <col min="14092" max="14092" width="11.7109375" style="352" customWidth="1"/>
    <col min="14093" max="14093" width="7.7109375" style="352" customWidth="1"/>
    <col min="14094" max="14095" width="8.85546875" style="352" customWidth="1"/>
    <col min="14096" max="14096" width="7.7109375" style="352" customWidth="1"/>
    <col min="14097" max="14098" width="8.85546875" style="352" customWidth="1"/>
    <col min="14099" max="14099" width="21" style="352" customWidth="1"/>
    <col min="14100" max="14100" width="21.140625" style="352" customWidth="1"/>
    <col min="14101" max="14101" width="17.5703125" style="352" customWidth="1"/>
    <col min="14102" max="14102" width="19" style="352" customWidth="1"/>
    <col min="14103" max="14103" width="40.7109375" style="352" customWidth="1"/>
    <col min="14104" max="14104" width="21.42578125" style="352" customWidth="1"/>
    <col min="14105" max="14105" width="12.7109375" style="352" customWidth="1"/>
    <col min="14106" max="14106" width="9.28515625" style="352" customWidth="1"/>
    <col min="14107" max="14107" width="4.7109375" style="352" customWidth="1"/>
    <col min="14108" max="14108" width="4.140625" style="352" customWidth="1"/>
    <col min="14109" max="14110" width="4.7109375" style="352" customWidth="1"/>
    <col min="14111" max="14111" width="14" style="352" bestFit="1" customWidth="1"/>
    <col min="14112" max="14336" width="9.140625" style="352"/>
    <col min="14337" max="14337" width="7.7109375" style="352" bestFit="1" customWidth="1"/>
    <col min="14338" max="14338" width="9.5703125" style="352" bestFit="1" customWidth="1"/>
    <col min="14339" max="14339" width="14.42578125" style="352" bestFit="1" customWidth="1"/>
    <col min="14340" max="14340" width="13.140625" style="352" bestFit="1" customWidth="1"/>
    <col min="14341" max="14341" width="15" style="352" customWidth="1"/>
    <col min="14342" max="14342" width="9.42578125" style="352" customWidth="1"/>
    <col min="14343" max="14343" width="11.7109375" style="352" customWidth="1"/>
    <col min="14344" max="14344" width="16" style="352" customWidth="1"/>
    <col min="14345" max="14345" width="12.85546875" style="352" customWidth="1"/>
    <col min="14346" max="14346" width="12.42578125" style="352" customWidth="1"/>
    <col min="14347" max="14347" width="17.85546875" style="352" customWidth="1"/>
    <col min="14348" max="14348" width="11.7109375" style="352" customWidth="1"/>
    <col min="14349" max="14349" width="7.7109375" style="352" customWidth="1"/>
    <col min="14350" max="14351" width="8.85546875" style="352" customWidth="1"/>
    <col min="14352" max="14352" width="7.7109375" style="352" customWidth="1"/>
    <col min="14353" max="14354" width="8.85546875" style="352" customWidth="1"/>
    <col min="14355" max="14355" width="21" style="352" customWidth="1"/>
    <col min="14356" max="14356" width="21.140625" style="352" customWidth="1"/>
    <col min="14357" max="14357" width="17.5703125" style="352" customWidth="1"/>
    <col min="14358" max="14358" width="19" style="352" customWidth="1"/>
    <col min="14359" max="14359" width="40.7109375" style="352" customWidth="1"/>
    <col min="14360" max="14360" width="21.42578125" style="352" customWidth="1"/>
    <col min="14361" max="14361" width="12.7109375" style="352" customWidth="1"/>
    <col min="14362" max="14362" width="9.28515625" style="352" customWidth="1"/>
    <col min="14363" max="14363" width="4.7109375" style="352" customWidth="1"/>
    <col min="14364" max="14364" width="4.140625" style="352" customWidth="1"/>
    <col min="14365" max="14366" width="4.7109375" style="352" customWidth="1"/>
    <col min="14367" max="14367" width="14" style="352" bestFit="1" customWidth="1"/>
    <col min="14368" max="14592" width="9.140625" style="352"/>
    <col min="14593" max="14593" width="7.7109375" style="352" bestFit="1" customWidth="1"/>
    <col min="14594" max="14594" width="9.5703125" style="352" bestFit="1" customWidth="1"/>
    <col min="14595" max="14595" width="14.42578125" style="352" bestFit="1" customWidth="1"/>
    <col min="14596" max="14596" width="13.140625" style="352" bestFit="1" customWidth="1"/>
    <col min="14597" max="14597" width="15" style="352" customWidth="1"/>
    <col min="14598" max="14598" width="9.42578125" style="352" customWidth="1"/>
    <col min="14599" max="14599" width="11.7109375" style="352" customWidth="1"/>
    <col min="14600" max="14600" width="16" style="352" customWidth="1"/>
    <col min="14601" max="14601" width="12.85546875" style="352" customWidth="1"/>
    <col min="14602" max="14602" width="12.42578125" style="352" customWidth="1"/>
    <col min="14603" max="14603" width="17.85546875" style="352" customWidth="1"/>
    <col min="14604" max="14604" width="11.7109375" style="352" customWidth="1"/>
    <col min="14605" max="14605" width="7.7109375" style="352" customWidth="1"/>
    <col min="14606" max="14607" width="8.85546875" style="352" customWidth="1"/>
    <col min="14608" max="14608" width="7.7109375" style="352" customWidth="1"/>
    <col min="14609" max="14610" width="8.85546875" style="352" customWidth="1"/>
    <col min="14611" max="14611" width="21" style="352" customWidth="1"/>
    <col min="14612" max="14612" width="21.140625" style="352" customWidth="1"/>
    <col min="14613" max="14613" width="17.5703125" style="352" customWidth="1"/>
    <col min="14614" max="14614" width="19" style="352" customWidth="1"/>
    <col min="14615" max="14615" width="40.7109375" style="352" customWidth="1"/>
    <col min="14616" max="14616" width="21.42578125" style="352" customWidth="1"/>
    <col min="14617" max="14617" width="12.7109375" style="352" customWidth="1"/>
    <col min="14618" max="14618" width="9.28515625" style="352" customWidth="1"/>
    <col min="14619" max="14619" width="4.7109375" style="352" customWidth="1"/>
    <col min="14620" max="14620" width="4.140625" style="352" customWidth="1"/>
    <col min="14621" max="14622" width="4.7109375" style="352" customWidth="1"/>
    <col min="14623" max="14623" width="14" style="352" bestFit="1" customWidth="1"/>
    <col min="14624" max="14848" width="9.140625" style="352"/>
    <col min="14849" max="14849" width="7.7109375" style="352" bestFit="1" customWidth="1"/>
    <col min="14850" max="14850" width="9.5703125" style="352" bestFit="1" customWidth="1"/>
    <col min="14851" max="14851" width="14.42578125" style="352" bestFit="1" customWidth="1"/>
    <col min="14852" max="14852" width="13.140625" style="352" bestFit="1" customWidth="1"/>
    <col min="14853" max="14853" width="15" style="352" customWidth="1"/>
    <col min="14854" max="14854" width="9.42578125" style="352" customWidth="1"/>
    <col min="14855" max="14855" width="11.7109375" style="352" customWidth="1"/>
    <col min="14856" max="14856" width="16" style="352" customWidth="1"/>
    <col min="14857" max="14857" width="12.85546875" style="352" customWidth="1"/>
    <col min="14858" max="14858" width="12.42578125" style="352" customWidth="1"/>
    <col min="14859" max="14859" width="17.85546875" style="352" customWidth="1"/>
    <col min="14860" max="14860" width="11.7109375" style="352" customWidth="1"/>
    <col min="14861" max="14861" width="7.7109375" style="352" customWidth="1"/>
    <col min="14862" max="14863" width="8.85546875" style="352" customWidth="1"/>
    <col min="14864" max="14864" width="7.7109375" style="352" customWidth="1"/>
    <col min="14865" max="14866" width="8.85546875" style="352" customWidth="1"/>
    <col min="14867" max="14867" width="21" style="352" customWidth="1"/>
    <col min="14868" max="14868" width="21.140625" style="352" customWidth="1"/>
    <col min="14869" max="14869" width="17.5703125" style="352" customWidth="1"/>
    <col min="14870" max="14870" width="19" style="352" customWidth="1"/>
    <col min="14871" max="14871" width="40.7109375" style="352" customWidth="1"/>
    <col min="14872" max="14872" width="21.42578125" style="352" customWidth="1"/>
    <col min="14873" max="14873" width="12.7109375" style="352" customWidth="1"/>
    <col min="14874" max="14874" width="9.28515625" style="352" customWidth="1"/>
    <col min="14875" max="14875" width="4.7109375" style="352" customWidth="1"/>
    <col min="14876" max="14876" width="4.140625" style="352" customWidth="1"/>
    <col min="14877" max="14878" width="4.7109375" style="352" customWidth="1"/>
    <col min="14879" max="14879" width="14" style="352" bestFit="1" customWidth="1"/>
    <col min="14880" max="15104" width="9.140625" style="352"/>
    <col min="15105" max="15105" width="7.7109375" style="352" bestFit="1" customWidth="1"/>
    <col min="15106" max="15106" width="9.5703125" style="352" bestFit="1" customWidth="1"/>
    <col min="15107" max="15107" width="14.42578125" style="352" bestFit="1" customWidth="1"/>
    <col min="15108" max="15108" width="13.140625" style="352" bestFit="1" customWidth="1"/>
    <col min="15109" max="15109" width="15" style="352" customWidth="1"/>
    <col min="15110" max="15110" width="9.42578125" style="352" customWidth="1"/>
    <col min="15111" max="15111" width="11.7109375" style="352" customWidth="1"/>
    <col min="15112" max="15112" width="16" style="352" customWidth="1"/>
    <col min="15113" max="15113" width="12.85546875" style="352" customWidth="1"/>
    <col min="15114" max="15114" width="12.42578125" style="352" customWidth="1"/>
    <col min="15115" max="15115" width="17.85546875" style="352" customWidth="1"/>
    <col min="15116" max="15116" width="11.7109375" style="352" customWidth="1"/>
    <col min="15117" max="15117" width="7.7109375" style="352" customWidth="1"/>
    <col min="15118" max="15119" width="8.85546875" style="352" customWidth="1"/>
    <col min="15120" max="15120" width="7.7109375" style="352" customWidth="1"/>
    <col min="15121" max="15122" width="8.85546875" style="352" customWidth="1"/>
    <col min="15123" max="15123" width="21" style="352" customWidth="1"/>
    <col min="15124" max="15124" width="21.140625" style="352" customWidth="1"/>
    <col min="15125" max="15125" width="17.5703125" style="352" customWidth="1"/>
    <col min="15126" max="15126" width="19" style="352" customWidth="1"/>
    <col min="15127" max="15127" width="40.7109375" style="352" customWidth="1"/>
    <col min="15128" max="15128" width="21.42578125" style="352" customWidth="1"/>
    <col min="15129" max="15129" width="12.7109375" style="352" customWidth="1"/>
    <col min="15130" max="15130" width="9.28515625" style="352" customWidth="1"/>
    <col min="15131" max="15131" width="4.7109375" style="352" customWidth="1"/>
    <col min="15132" max="15132" width="4.140625" style="352" customWidth="1"/>
    <col min="15133" max="15134" width="4.7109375" style="352" customWidth="1"/>
    <col min="15135" max="15135" width="14" style="352" bestFit="1" customWidth="1"/>
    <col min="15136" max="15360" width="9.140625" style="352"/>
    <col min="15361" max="15361" width="7.7109375" style="352" bestFit="1" customWidth="1"/>
    <col min="15362" max="15362" width="9.5703125" style="352" bestFit="1" customWidth="1"/>
    <col min="15363" max="15363" width="14.42578125" style="352" bestFit="1" customWidth="1"/>
    <col min="15364" max="15364" width="13.140625" style="352" bestFit="1" customWidth="1"/>
    <col min="15365" max="15365" width="15" style="352" customWidth="1"/>
    <col min="15366" max="15366" width="9.42578125" style="352" customWidth="1"/>
    <col min="15367" max="15367" width="11.7109375" style="352" customWidth="1"/>
    <col min="15368" max="15368" width="16" style="352" customWidth="1"/>
    <col min="15369" max="15369" width="12.85546875" style="352" customWidth="1"/>
    <col min="15370" max="15370" width="12.42578125" style="352" customWidth="1"/>
    <col min="15371" max="15371" width="17.85546875" style="352" customWidth="1"/>
    <col min="15372" max="15372" width="11.7109375" style="352" customWidth="1"/>
    <col min="15373" max="15373" width="7.7109375" style="352" customWidth="1"/>
    <col min="15374" max="15375" width="8.85546875" style="352" customWidth="1"/>
    <col min="15376" max="15376" width="7.7109375" style="352" customWidth="1"/>
    <col min="15377" max="15378" width="8.85546875" style="352" customWidth="1"/>
    <col min="15379" max="15379" width="21" style="352" customWidth="1"/>
    <col min="15380" max="15380" width="21.140625" style="352" customWidth="1"/>
    <col min="15381" max="15381" width="17.5703125" style="352" customWidth="1"/>
    <col min="15382" max="15382" width="19" style="352" customWidth="1"/>
    <col min="15383" max="15383" width="40.7109375" style="352" customWidth="1"/>
    <col min="15384" max="15384" width="21.42578125" style="352" customWidth="1"/>
    <col min="15385" max="15385" width="12.7109375" style="352" customWidth="1"/>
    <col min="15386" max="15386" width="9.28515625" style="352" customWidth="1"/>
    <col min="15387" max="15387" width="4.7109375" style="352" customWidth="1"/>
    <col min="15388" max="15388" width="4.140625" style="352" customWidth="1"/>
    <col min="15389" max="15390" width="4.7109375" style="352" customWidth="1"/>
    <col min="15391" max="15391" width="14" style="352" bestFit="1" customWidth="1"/>
    <col min="15392" max="15616" width="9.140625" style="352"/>
    <col min="15617" max="15617" width="7.7109375" style="352" bestFit="1" customWidth="1"/>
    <col min="15618" max="15618" width="9.5703125" style="352" bestFit="1" customWidth="1"/>
    <col min="15619" max="15619" width="14.42578125" style="352" bestFit="1" customWidth="1"/>
    <col min="15620" max="15620" width="13.140625" style="352" bestFit="1" customWidth="1"/>
    <col min="15621" max="15621" width="15" style="352" customWidth="1"/>
    <col min="15622" max="15622" width="9.42578125" style="352" customWidth="1"/>
    <col min="15623" max="15623" width="11.7109375" style="352" customWidth="1"/>
    <col min="15624" max="15624" width="16" style="352" customWidth="1"/>
    <col min="15625" max="15625" width="12.85546875" style="352" customWidth="1"/>
    <col min="15626" max="15626" width="12.42578125" style="352" customWidth="1"/>
    <col min="15627" max="15627" width="17.85546875" style="352" customWidth="1"/>
    <col min="15628" max="15628" width="11.7109375" style="352" customWidth="1"/>
    <col min="15629" max="15629" width="7.7109375" style="352" customWidth="1"/>
    <col min="15630" max="15631" width="8.85546875" style="352" customWidth="1"/>
    <col min="15632" max="15632" width="7.7109375" style="352" customWidth="1"/>
    <col min="15633" max="15634" width="8.85546875" style="352" customWidth="1"/>
    <col min="15635" max="15635" width="21" style="352" customWidth="1"/>
    <col min="15636" max="15636" width="21.140625" style="352" customWidth="1"/>
    <col min="15637" max="15637" width="17.5703125" style="352" customWidth="1"/>
    <col min="15638" max="15638" width="19" style="352" customWidth="1"/>
    <col min="15639" max="15639" width="40.7109375" style="352" customWidth="1"/>
    <col min="15640" max="15640" width="21.42578125" style="352" customWidth="1"/>
    <col min="15641" max="15641" width="12.7109375" style="352" customWidth="1"/>
    <col min="15642" max="15642" width="9.28515625" style="352" customWidth="1"/>
    <col min="15643" max="15643" width="4.7109375" style="352" customWidth="1"/>
    <col min="15644" max="15644" width="4.140625" style="352" customWidth="1"/>
    <col min="15645" max="15646" width="4.7109375" style="352" customWidth="1"/>
    <col min="15647" max="15647" width="14" style="352" bestFit="1" customWidth="1"/>
    <col min="15648" max="15872" width="9.140625" style="352"/>
    <col min="15873" max="15873" width="7.7109375" style="352" bestFit="1" customWidth="1"/>
    <col min="15874" max="15874" width="9.5703125" style="352" bestFit="1" customWidth="1"/>
    <col min="15875" max="15875" width="14.42578125" style="352" bestFit="1" customWidth="1"/>
    <col min="15876" max="15876" width="13.140625" style="352" bestFit="1" customWidth="1"/>
    <col min="15877" max="15877" width="15" style="352" customWidth="1"/>
    <col min="15878" max="15878" width="9.42578125" style="352" customWidth="1"/>
    <col min="15879" max="15879" width="11.7109375" style="352" customWidth="1"/>
    <col min="15880" max="15880" width="16" style="352" customWidth="1"/>
    <col min="15881" max="15881" width="12.85546875" style="352" customWidth="1"/>
    <col min="15882" max="15882" width="12.42578125" style="352" customWidth="1"/>
    <col min="15883" max="15883" width="17.85546875" style="352" customWidth="1"/>
    <col min="15884" max="15884" width="11.7109375" style="352" customWidth="1"/>
    <col min="15885" max="15885" width="7.7109375" style="352" customWidth="1"/>
    <col min="15886" max="15887" width="8.85546875" style="352" customWidth="1"/>
    <col min="15888" max="15888" width="7.7109375" style="352" customWidth="1"/>
    <col min="15889" max="15890" width="8.85546875" style="352" customWidth="1"/>
    <col min="15891" max="15891" width="21" style="352" customWidth="1"/>
    <col min="15892" max="15892" width="21.140625" style="352" customWidth="1"/>
    <col min="15893" max="15893" width="17.5703125" style="352" customWidth="1"/>
    <col min="15894" max="15894" width="19" style="352" customWidth="1"/>
    <col min="15895" max="15895" width="40.7109375" style="352" customWidth="1"/>
    <col min="15896" max="15896" width="21.42578125" style="352" customWidth="1"/>
    <col min="15897" max="15897" width="12.7109375" style="352" customWidth="1"/>
    <col min="15898" max="15898" width="9.28515625" style="352" customWidth="1"/>
    <col min="15899" max="15899" width="4.7109375" style="352" customWidth="1"/>
    <col min="15900" max="15900" width="4.140625" style="352" customWidth="1"/>
    <col min="15901" max="15902" width="4.7109375" style="352" customWidth="1"/>
    <col min="15903" max="15903" width="14" style="352" bestFit="1" customWidth="1"/>
    <col min="15904" max="16128" width="9.140625" style="352"/>
    <col min="16129" max="16129" width="7.7109375" style="352" bestFit="1" customWidth="1"/>
    <col min="16130" max="16130" width="9.5703125" style="352" bestFit="1" customWidth="1"/>
    <col min="16131" max="16131" width="14.42578125" style="352" bestFit="1" customWidth="1"/>
    <col min="16132" max="16132" width="13.140625" style="352" bestFit="1" customWidth="1"/>
    <col min="16133" max="16133" width="15" style="352" customWidth="1"/>
    <col min="16134" max="16134" width="9.42578125" style="352" customWidth="1"/>
    <col min="16135" max="16135" width="11.7109375" style="352" customWidth="1"/>
    <col min="16136" max="16136" width="16" style="352" customWidth="1"/>
    <col min="16137" max="16137" width="12.85546875" style="352" customWidth="1"/>
    <col min="16138" max="16138" width="12.42578125" style="352" customWidth="1"/>
    <col min="16139" max="16139" width="17.85546875" style="352" customWidth="1"/>
    <col min="16140" max="16140" width="11.7109375" style="352" customWidth="1"/>
    <col min="16141" max="16141" width="7.7109375" style="352" customWidth="1"/>
    <col min="16142" max="16143" width="8.85546875" style="352" customWidth="1"/>
    <col min="16144" max="16144" width="7.7109375" style="352" customWidth="1"/>
    <col min="16145" max="16146" width="8.85546875" style="352" customWidth="1"/>
    <col min="16147" max="16147" width="21" style="352" customWidth="1"/>
    <col min="16148" max="16148" width="21.140625" style="352" customWidth="1"/>
    <col min="16149" max="16149" width="17.5703125" style="352" customWidth="1"/>
    <col min="16150" max="16150" width="19" style="352" customWidth="1"/>
    <col min="16151" max="16151" width="40.7109375" style="352" customWidth="1"/>
    <col min="16152" max="16152" width="21.42578125" style="352" customWidth="1"/>
    <col min="16153" max="16153" width="12.7109375" style="352" customWidth="1"/>
    <col min="16154" max="16154" width="9.28515625" style="352" customWidth="1"/>
    <col min="16155" max="16155" width="4.7109375" style="352" customWidth="1"/>
    <col min="16156" max="16156" width="4.140625" style="352" customWidth="1"/>
    <col min="16157" max="16158" width="4.7109375" style="352" customWidth="1"/>
    <col min="16159" max="16159" width="14" style="352" bestFit="1" customWidth="1"/>
    <col min="16160" max="16384" width="9.140625" style="352"/>
  </cols>
  <sheetData>
    <row r="1" spans="1:30" s="298" customFormat="1" ht="15" x14ac:dyDescent="0.25">
      <c r="A1" s="742" t="s">
        <v>828</v>
      </c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  <c r="W1" s="295"/>
      <c r="X1" s="295"/>
      <c r="Y1" s="295"/>
      <c r="Z1" s="295"/>
      <c r="AA1" s="296"/>
      <c r="AB1" s="296"/>
      <c r="AC1" s="296"/>
      <c r="AD1" s="297"/>
    </row>
    <row r="2" spans="1:30" s="298" customFormat="1" ht="15" x14ac:dyDescent="0.25">
      <c r="A2" s="744" t="s">
        <v>829</v>
      </c>
      <c r="B2" s="745"/>
      <c r="C2" s="745"/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299"/>
      <c r="X2" s="299"/>
      <c r="Y2" s="299"/>
      <c r="Z2" s="299"/>
      <c r="AD2" s="300"/>
    </row>
    <row r="3" spans="1:30" s="298" customFormat="1" ht="15" x14ac:dyDescent="0.25">
      <c r="A3" s="744" t="s">
        <v>830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745"/>
      <c r="O3" s="745"/>
      <c r="P3" s="745"/>
      <c r="Q3" s="745"/>
      <c r="R3" s="745"/>
      <c r="S3" s="745"/>
      <c r="T3" s="745"/>
      <c r="U3" s="745"/>
      <c r="V3" s="745"/>
      <c r="W3" s="299"/>
      <c r="X3" s="299"/>
      <c r="Y3" s="299"/>
      <c r="Z3" s="299"/>
      <c r="AD3" s="300"/>
    </row>
    <row r="4" spans="1:30" s="298" customFormat="1" ht="14.25" x14ac:dyDescent="0.25">
      <c r="A4" s="746" t="s">
        <v>831</v>
      </c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299"/>
      <c r="X4" s="299"/>
      <c r="Y4" s="299"/>
      <c r="Z4" s="299"/>
      <c r="AD4" s="300"/>
    </row>
    <row r="5" spans="1:30" s="298" customFormat="1" ht="15" thickBot="1" x14ac:dyDescent="0.3">
      <c r="A5" s="748" t="s">
        <v>832</v>
      </c>
      <c r="B5" s="749"/>
      <c r="C5" s="749"/>
      <c r="D5" s="749"/>
      <c r="E5" s="749"/>
      <c r="F5" s="749"/>
      <c r="G5" s="749"/>
      <c r="H5" s="749"/>
      <c r="I5" s="749"/>
      <c r="J5" s="749"/>
      <c r="K5" s="749"/>
      <c r="L5" s="749"/>
      <c r="M5" s="749"/>
      <c r="N5" s="749"/>
      <c r="O5" s="749"/>
      <c r="P5" s="749"/>
      <c r="Q5" s="749"/>
      <c r="R5" s="749"/>
      <c r="S5" s="749"/>
      <c r="T5" s="749"/>
      <c r="U5" s="749"/>
      <c r="V5" s="749"/>
      <c r="W5" s="299"/>
      <c r="X5" s="299"/>
      <c r="Y5" s="299"/>
      <c r="Z5" s="299"/>
      <c r="AD5" s="300"/>
    </row>
    <row r="6" spans="1:30" s="298" customFormat="1" ht="29.25" customHeight="1" x14ac:dyDescent="0.25">
      <c r="A6" s="738" t="s">
        <v>833</v>
      </c>
      <c r="B6" s="740" t="s">
        <v>834</v>
      </c>
      <c r="C6" s="740" t="s">
        <v>835</v>
      </c>
      <c r="D6" s="740" t="s">
        <v>521</v>
      </c>
      <c r="E6" s="740" t="s">
        <v>836</v>
      </c>
      <c r="F6" s="740" t="s">
        <v>837</v>
      </c>
      <c r="G6" s="740" t="s">
        <v>838</v>
      </c>
      <c r="H6" s="740" t="s">
        <v>839</v>
      </c>
      <c r="I6" s="740" t="s">
        <v>840</v>
      </c>
      <c r="J6" s="750" t="s">
        <v>841</v>
      </c>
      <c r="K6" s="758" t="s">
        <v>842</v>
      </c>
      <c r="L6" s="740" t="s">
        <v>843</v>
      </c>
      <c r="M6" s="740" t="s">
        <v>844</v>
      </c>
      <c r="N6" s="740"/>
      <c r="O6" s="740"/>
      <c r="P6" s="740" t="s">
        <v>845</v>
      </c>
      <c r="Q6" s="740"/>
      <c r="R6" s="740"/>
      <c r="S6" s="757" t="s">
        <v>846</v>
      </c>
      <c r="T6" s="757"/>
      <c r="U6" s="740" t="s">
        <v>847</v>
      </c>
      <c r="V6" s="740"/>
      <c r="W6" s="767" t="s">
        <v>848</v>
      </c>
      <c r="X6" s="740" t="s">
        <v>849</v>
      </c>
      <c r="Y6" s="740" t="s">
        <v>850</v>
      </c>
      <c r="Z6" s="760" t="s">
        <v>851</v>
      </c>
      <c r="AA6" s="762" t="s">
        <v>852</v>
      </c>
      <c r="AB6" s="750"/>
      <c r="AC6" s="750"/>
      <c r="AD6" s="763"/>
    </row>
    <row r="7" spans="1:30" s="306" customFormat="1" ht="13.5" thickBot="1" x14ac:dyDescent="0.3">
      <c r="A7" s="739"/>
      <c r="B7" s="741"/>
      <c r="C7" s="741"/>
      <c r="D7" s="741"/>
      <c r="E7" s="741"/>
      <c r="F7" s="741"/>
      <c r="G7" s="741"/>
      <c r="H7" s="741"/>
      <c r="I7" s="741"/>
      <c r="J7" s="751"/>
      <c r="K7" s="759"/>
      <c r="L7" s="741"/>
      <c r="M7" s="301" t="s">
        <v>853</v>
      </c>
      <c r="N7" s="301" t="s">
        <v>854</v>
      </c>
      <c r="O7" s="301" t="s">
        <v>7</v>
      </c>
      <c r="P7" s="301" t="s">
        <v>853</v>
      </c>
      <c r="Q7" s="301" t="s">
        <v>854</v>
      </c>
      <c r="R7" s="301" t="s">
        <v>7</v>
      </c>
      <c r="S7" s="303" t="s">
        <v>855</v>
      </c>
      <c r="T7" s="303" t="s">
        <v>856</v>
      </c>
      <c r="U7" s="301" t="s">
        <v>857</v>
      </c>
      <c r="V7" s="301" t="s">
        <v>858</v>
      </c>
      <c r="W7" s="768"/>
      <c r="X7" s="741"/>
      <c r="Y7" s="741"/>
      <c r="Z7" s="761"/>
      <c r="AA7" s="304" t="s">
        <v>8</v>
      </c>
      <c r="AB7" s="302" t="s">
        <v>9</v>
      </c>
      <c r="AC7" s="302" t="s">
        <v>10</v>
      </c>
      <c r="AD7" s="305" t="s">
        <v>11</v>
      </c>
    </row>
    <row r="8" spans="1:30" s="320" customFormat="1" x14ac:dyDescent="0.2">
      <c r="A8" s="307">
        <v>0</v>
      </c>
      <c r="B8" s="308" t="s">
        <v>859</v>
      </c>
      <c r="C8" s="309" t="s">
        <v>860</v>
      </c>
      <c r="D8" s="310" t="s">
        <v>12</v>
      </c>
      <c r="E8" s="308" t="s">
        <v>859</v>
      </c>
      <c r="F8" s="310"/>
      <c r="G8" s="311" t="s">
        <v>859</v>
      </c>
      <c r="H8" s="312">
        <v>0</v>
      </c>
      <c r="I8" s="313">
        <v>435.03</v>
      </c>
      <c r="J8" s="308">
        <v>46.3</v>
      </c>
      <c r="K8" s="313">
        <v>107.961</v>
      </c>
      <c r="L8" s="313">
        <v>53.980499999999999</v>
      </c>
      <c r="M8" s="308">
        <v>0</v>
      </c>
      <c r="N8" s="308">
        <v>76</v>
      </c>
      <c r="O8" s="308">
        <v>76</v>
      </c>
      <c r="P8" s="308">
        <v>0</v>
      </c>
      <c r="Q8" s="308">
        <v>74</v>
      </c>
      <c r="R8" s="308">
        <v>74</v>
      </c>
      <c r="S8" s="308" t="s">
        <v>861</v>
      </c>
      <c r="T8" s="308" t="s">
        <v>862</v>
      </c>
      <c r="U8" s="314">
        <v>517625.299</v>
      </c>
      <c r="V8" s="315">
        <v>2676919.4900000002</v>
      </c>
      <c r="W8" s="309"/>
      <c r="X8" s="316"/>
      <c r="Y8" s="316"/>
      <c r="Z8" s="317"/>
      <c r="AA8" s="318"/>
      <c r="AB8" s="318"/>
      <c r="AC8" s="318"/>
      <c r="AD8" s="319"/>
    </row>
    <row r="9" spans="1:30" s="320" customFormat="1" x14ac:dyDescent="0.2">
      <c r="A9" s="321"/>
      <c r="B9" s="308"/>
      <c r="C9" s="308"/>
      <c r="D9" s="308"/>
      <c r="E9" s="308"/>
      <c r="F9" s="322">
        <v>107.961</v>
      </c>
      <c r="G9" s="313"/>
      <c r="H9" s="312"/>
      <c r="I9" s="313"/>
      <c r="J9" s="308"/>
      <c r="K9" s="313"/>
      <c r="L9" s="313"/>
      <c r="M9" s="308"/>
      <c r="N9" s="308"/>
      <c r="O9" s="308"/>
      <c r="P9" s="308"/>
      <c r="Q9" s="308"/>
      <c r="R9" s="308"/>
      <c r="S9" s="308"/>
      <c r="T9" s="308"/>
      <c r="U9" s="314"/>
      <c r="V9" s="315"/>
      <c r="W9" s="309"/>
      <c r="X9" s="323"/>
      <c r="Y9" s="323"/>
      <c r="Z9" s="324"/>
      <c r="AA9" s="325"/>
      <c r="AB9" s="325"/>
      <c r="AC9" s="325"/>
      <c r="AD9" s="326"/>
    </row>
    <row r="10" spans="1:30" s="320" customFormat="1" x14ac:dyDescent="0.2">
      <c r="A10" s="327">
        <v>1</v>
      </c>
      <c r="B10" s="308" t="s">
        <v>863</v>
      </c>
      <c r="C10" s="308" t="s">
        <v>13</v>
      </c>
      <c r="D10" s="308" t="s">
        <v>14</v>
      </c>
      <c r="E10" s="308" t="s">
        <v>864</v>
      </c>
      <c r="F10" s="322"/>
      <c r="G10" s="308">
        <v>107.96</v>
      </c>
      <c r="H10" s="328">
        <f>F9</f>
        <v>107.961</v>
      </c>
      <c r="I10" s="313">
        <v>434.45499999999998</v>
      </c>
      <c r="J10" s="308">
        <v>70.72</v>
      </c>
      <c r="K10" s="313">
        <v>256.43900000000002</v>
      </c>
      <c r="L10" s="313">
        <v>128.21950000000001</v>
      </c>
      <c r="M10" s="308">
        <v>33</v>
      </c>
      <c r="N10" s="308">
        <v>201</v>
      </c>
      <c r="O10" s="308">
        <v>234</v>
      </c>
      <c r="P10" s="308">
        <v>35</v>
      </c>
      <c r="Q10" s="308">
        <v>114</v>
      </c>
      <c r="R10" s="308">
        <v>149</v>
      </c>
      <c r="S10" s="308" t="s">
        <v>865</v>
      </c>
      <c r="T10" s="308" t="s">
        <v>866</v>
      </c>
      <c r="U10" s="314">
        <v>517540.723</v>
      </c>
      <c r="V10" s="315">
        <v>2676852.389</v>
      </c>
      <c r="W10" s="329"/>
      <c r="X10" s="330" t="s">
        <v>867</v>
      </c>
      <c r="Y10" s="330" t="s">
        <v>868</v>
      </c>
      <c r="Z10" s="324" t="s">
        <v>367</v>
      </c>
      <c r="AA10" s="325"/>
      <c r="AB10" s="325"/>
      <c r="AC10" s="325"/>
      <c r="AD10" s="326"/>
    </row>
    <row r="11" spans="1:30" s="320" customFormat="1" x14ac:dyDescent="0.2">
      <c r="A11" s="321"/>
      <c r="B11" s="308"/>
      <c r="C11" s="308"/>
      <c r="D11" s="308"/>
      <c r="E11" s="308"/>
      <c r="F11" s="322">
        <v>148.47800000000001</v>
      </c>
      <c r="G11" s="313"/>
      <c r="H11" s="312"/>
      <c r="I11" s="313"/>
      <c r="J11" s="308"/>
      <c r="K11" s="313"/>
      <c r="L11" s="313"/>
      <c r="M11" s="308"/>
      <c r="N11" s="308"/>
      <c r="O11" s="308"/>
      <c r="P11" s="308"/>
      <c r="Q11" s="308"/>
      <c r="R11" s="308"/>
      <c r="S11" s="308"/>
      <c r="T11" s="308"/>
      <c r="U11" s="314"/>
      <c r="V11" s="315"/>
      <c r="W11" s="309"/>
      <c r="X11" s="330"/>
      <c r="Y11" s="330"/>
      <c r="Z11" s="324"/>
      <c r="AA11" s="325"/>
      <c r="AB11" s="325"/>
      <c r="AC11" s="325"/>
      <c r="AD11" s="326"/>
    </row>
    <row r="12" spans="1:30" s="320" customFormat="1" x14ac:dyDescent="0.2">
      <c r="A12" s="327">
        <v>2</v>
      </c>
      <c r="B12" s="308" t="s">
        <v>869</v>
      </c>
      <c r="C12" s="308" t="s">
        <v>15</v>
      </c>
      <c r="D12" s="308" t="s">
        <v>806</v>
      </c>
      <c r="E12" s="308" t="s">
        <v>870</v>
      </c>
      <c r="F12" s="322"/>
      <c r="G12" s="308">
        <v>148.47999999999999</v>
      </c>
      <c r="H12" s="328">
        <f>H10+F11</f>
        <v>256.43900000000002</v>
      </c>
      <c r="I12" s="313">
        <v>431.101</v>
      </c>
      <c r="J12" s="308">
        <v>67.72</v>
      </c>
      <c r="K12" s="313">
        <v>414.529</v>
      </c>
      <c r="L12" s="313">
        <v>207.2645</v>
      </c>
      <c r="M12" s="308">
        <v>-52</v>
      </c>
      <c r="N12" s="308">
        <v>186</v>
      </c>
      <c r="O12" s="308">
        <v>134</v>
      </c>
      <c r="P12" s="308">
        <v>35</v>
      </c>
      <c r="Q12" s="308">
        <v>161</v>
      </c>
      <c r="R12" s="308">
        <v>196</v>
      </c>
      <c r="S12" s="308" t="s">
        <v>871</v>
      </c>
      <c r="T12" s="308" t="s">
        <v>872</v>
      </c>
      <c r="U12" s="314">
        <v>517437.804</v>
      </c>
      <c r="V12" s="315">
        <v>2676745.3679999998</v>
      </c>
      <c r="W12" s="309"/>
      <c r="X12" s="330" t="s">
        <v>867</v>
      </c>
      <c r="Y12" s="330" t="s">
        <v>868</v>
      </c>
      <c r="Z12" s="324" t="s">
        <v>367</v>
      </c>
      <c r="AA12" s="325"/>
      <c r="AB12" s="325"/>
      <c r="AC12" s="325"/>
      <c r="AD12" s="326"/>
    </row>
    <row r="13" spans="1:30" s="320" customFormat="1" x14ac:dyDescent="0.2">
      <c r="A13" s="321"/>
      <c r="B13" s="308"/>
      <c r="C13" s="308"/>
      <c r="D13" s="308"/>
      <c r="E13" s="308"/>
      <c r="F13" s="322">
        <v>266.05099999999999</v>
      </c>
      <c r="G13" s="308"/>
      <c r="H13" s="312"/>
      <c r="I13" s="313"/>
      <c r="J13" s="308"/>
      <c r="K13" s="313"/>
      <c r="L13" s="313"/>
      <c r="M13" s="308"/>
      <c r="N13" s="308"/>
      <c r="O13" s="308"/>
      <c r="P13" s="308"/>
      <c r="Q13" s="308"/>
      <c r="R13" s="308"/>
      <c r="S13" s="308"/>
      <c r="T13" s="308"/>
      <c r="U13" s="314"/>
      <c r="V13" s="315"/>
      <c r="W13" s="309" t="s">
        <v>873</v>
      </c>
      <c r="X13" s="330"/>
      <c r="Y13" s="330"/>
      <c r="Z13" s="324"/>
      <c r="AA13" s="325"/>
      <c r="AB13" s="325"/>
      <c r="AC13" s="325"/>
      <c r="AD13" s="326"/>
    </row>
    <row r="14" spans="1:30" s="320" customFormat="1" x14ac:dyDescent="0.2">
      <c r="A14" s="327">
        <v>3</v>
      </c>
      <c r="B14" s="308" t="s">
        <v>874</v>
      </c>
      <c r="C14" s="308" t="s">
        <v>807</v>
      </c>
      <c r="D14" s="308" t="s">
        <v>808</v>
      </c>
      <c r="E14" s="308" t="s">
        <v>875</v>
      </c>
      <c r="F14" s="322"/>
      <c r="G14" s="308">
        <v>266.05</v>
      </c>
      <c r="H14" s="328">
        <f>H12+F13</f>
        <v>522.49</v>
      </c>
      <c r="I14" s="313">
        <v>425.334</v>
      </c>
      <c r="J14" s="308">
        <v>67.72</v>
      </c>
      <c r="K14" s="313">
        <v>540.64200000000005</v>
      </c>
      <c r="L14" s="313">
        <v>270.32100000000003</v>
      </c>
      <c r="M14" s="308">
        <v>79</v>
      </c>
      <c r="N14" s="308">
        <v>140</v>
      </c>
      <c r="O14" s="308">
        <v>219</v>
      </c>
      <c r="P14" s="308">
        <v>106</v>
      </c>
      <c r="Q14" s="308">
        <v>139</v>
      </c>
      <c r="R14" s="308">
        <v>245</v>
      </c>
      <c r="S14" s="308" t="s">
        <v>876</v>
      </c>
      <c r="T14" s="308" t="s">
        <v>877</v>
      </c>
      <c r="U14" s="314">
        <v>517431.84299999999</v>
      </c>
      <c r="V14" s="315">
        <v>2676479.3840000001</v>
      </c>
      <c r="W14" s="309"/>
      <c r="X14" s="330" t="s">
        <v>867</v>
      </c>
      <c r="Y14" s="330" t="s">
        <v>868</v>
      </c>
      <c r="Z14" s="324" t="s">
        <v>367</v>
      </c>
      <c r="AA14" s="325"/>
      <c r="AB14" s="325"/>
      <c r="AC14" s="325"/>
      <c r="AD14" s="326"/>
    </row>
    <row r="15" spans="1:30" s="320" customFormat="1" x14ac:dyDescent="0.2">
      <c r="A15" s="321"/>
      <c r="B15" s="308"/>
      <c r="C15" s="308"/>
      <c r="D15" s="308"/>
      <c r="E15" s="308"/>
      <c r="F15" s="322">
        <v>274.59100000000001</v>
      </c>
      <c r="G15" s="313"/>
      <c r="H15" s="312"/>
      <c r="I15" s="313"/>
      <c r="J15" s="308"/>
      <c r="K15" s="313"/>
      <c r="L15" s="313"/>
      <c r="M15" s="308"/>
      <c r="N15" s="308"/>
      <c r="O15" s="308"/>
      <c r="P15" s="308"/>
      <c r="Q15" s="308"/>
      <c r="R15" s="308"/>
      <c r="S15" s="308"/>
      <c r="T15" s="308"/>
      <c r="U15" s="314"/>
      <c r="V15" s="315"/>
      <c r="W15" s="309" t="s">
        <v>878</v>
      </c>
      <c r="X15" s="330"/>
      <c r="Y15" s="330"/>
      <c r="Z15" s="324"/>
      <c r="AA15" s="325"/>
      <c r="AB15" s="325"/>
      <c r="AC15" s="325"/>
      <c r="AD15" s="326"/>
    </row>
    <row r="16" spans="1:30" s="320" customFormat="1" x14ac:dyDescent="0.2">
      <c r="A16" s="327">
        <v>4</v>
      </c>
      <c r="B16" s="308" t="s">
        <v>879</v>
      </c>
      <c r="C16" s="308" t="s">
        <v>16</v>
      </c>
      <c r="D16" s="308" t="s">
        <v>810</v>
      </c>
      <c r="E16" s="308" t="s">
        <v>880</v>
      </c>
      <c r="F16" s="322"/>
      <c r="G16" s="313">
        <f>F15</f>
        <v>274.59100000000001</v>
      </c>
      <c r="H16" s="328">
        <f>H14+F15</f>
        <v>797.08100000000002</v>
      </c>
      <c r="I16" s="313">
        <v>425.01900000000001</v>
      </c>
      <c r="J16" s="308">
        <v>67.72</v>
      </c>
      <c r="K16" s="313">
        <v>615.59100000000001</v>
      </c>
      <c r="L16" s="313">
        <v>307.7955</v>
      </c>
      <c r="M16" s="308">
        <v>134</v>
      </c>
      <c r="N16" s="308">
        <v>150</v>
      </c>
      <c r="O16" s="308">
        <v>284</v>
      </c>
      <c r="P16" s="308">
        <v>136</v>
      </c>
      <c r="Q16" s="308">
        <v>157</v>
      </c>
      <c r="R16" s="308">
        <v>293</v>
      </c>
      <c r="S16" s="308" t="s">
        <v>881</v>
      </c>
      <c r="T16" s="308" t="s">
        <v>882</v>
      </c>
      <c r="U16" s="314">
        <v>517512.016</v>
      </c>
      <c r="V16" s="315">
        <v>2676216.7579999999</v>
      </c>
      <c r="W16" s="309"/>
      <c r="X16" s="330" t="s">
        <v>867</v>
      </c>
      <c r="Y16" s="330" t="s">
        <v>868</v>
      </c>
      <c r="Z16" s="324" t="s">
        <v>367</v>
      </c>
      <c r="AA16" s="325"/>
      <c r="AB16" s="325"/>
      <c r="AC16" s="325"/>
      <c r="AD16" s="326"/>
    </row>
    <row r="17" spans="1:31" s="320" customFormat="1" x14ac:dyDescent="0.2">
      <c r="A17" s="321"/>
      <c r="B17" s="308"/>
      <c r="C17" s="308"/>
      <c r="D17" s="308"/>
      <c r="E17" s="308"/>
      <c r="F17" s="322">
        <v>341</v>
      </c>
      <c r="G17" s="313"/>
      <c r="H17" s="312"/>
      <c r="I17" s="313"/>
      <c r="J17" s="308"/>
      <c r="K17" s="313"/>
      <c r="L17" s="313"/>
      <c r="M17" s="308"/>
      <c r="N17" s="308"/>
      <c r="O17" s="308"/>
      <c r="P17" s="308"/>
      <c r="Q17" s="308"/>
      <c r="R17" s="308"/>
      <c r="S17" s="308"/>
      <c r="T17" s="308"/>
      <c r="U17" s="314"/>
      <c r="V17" s="315"/>
      <c r="W17" s="309" t="s">
        <v>883</v>
      </c>
      <c r="X17" s="330"/>
      <c r="Y17" s="330"/>
      <c r="Z17" s="324"/>
      <c r="AA17" s="325"/>
      <c r="AB17" s="325"/>
      <c r="AC17" s="325"/>
      <c r="AD17" s="326"/>
    </row>
    <row r="18" spans="1:31" s="320" customFormat="1" x14ac:dyDescent="0.2">
      <c r="A18" s="327">
        <v>5</v>
      </c>
      <c r="B18" s="308" t="s">
        <v>859</v>
      </c>
      <c r="C18" s="308" t="s">
        <v>18</v>
      </c>
      <c r="D18" s="308" t="s">
        <v>36</v>
      </c>
      <c r="E18" s="308" t="s">
        <v>859</v>
      </c>
      <c r="F18" s="322"/>
      <c r="G18" s="308" t="s">
        <v>859</v>
      </c>
      <c r="H18" s="328">
        <f>H16+F17</f>
        <v>1138.0810000000001</v>
      </c>
      <c r="I18" s="313">
        <v>425.279</v>
      </c>
      <c r="J18" s="308">
        <v>72.5</v>
      </c>
      <c r="K18" s="313">
        <v>776</v>
      </c>
      <c r="L18" s="313">
        <v>388</v>
      </c>
      <c r="M18" s="308">
        <v>191</v>
      </c>
      <c r="N18" s="308">
        <v>213</v>
      </c>
      <c r="O18" s="308">
        <v>404</v>
      </c>
      <c r="P18" s="308">
        <v>185</v>
      </c>
      <c r="Q18" s="308">
        <v>215</v>
      </c>
      <c r="R18" s="308">
        <v>400</v>
      </c>
      <c r="S18" s="308" t="s">
        <v>884</v>
      </c>
      <c r="T18" s="308" t="s">
        <v>885</v>
      </c>
      <c r="U18" s="314">
        <v>517817.98499999999</v>
      </c>
      <c r="V18" s="315">
        <v>2676066.2110000001</v>
      </c>
      <c r="W18" s="309"/>
      <c r="X18" s="330" t="s">
        <v>867</v>
      </c>
      <c r="Y18" s="330" t="s">
        <v>868</v>
      </c>
      <c r="Z18" s="324" t="s">
        <v>367</v>
      </c>
      <c r="AA18" s="325"/>
      <c r="AB18" s="325"/>
      <c r="AC18" s="325"/>
      <c r="AD18" s="326"/>
    </row>
    <row r="19" spans="1:31" s="320" customFormat="1" x14ac:dyDescent="0.2">
      <c r="A19" s="321"/>
      <c r="B19" s="308"/>
      <c r="C19" s="308"/>
      <c r="D19" s="308"/>
      <c r="E19" s="308"/>
      <c r="F19" s="322">
        <v>435</v>
      </c>
      <c r="G19" s="313"/>
      <c r="H19" s="312"/>
      <c r="I19" s="313"/>
      <c r="J19" s="308"/>
      <c r="K19" s="313"/>
      <c r="L19" s="313"/>
      <c r="M19" s="308"/>
      <c r="N19" s="308"/>
      <c r="O19" s="308"/>
      <c r="P19" s="308"/>
      <c r="Q19" s="308"/>
      <c r="R19" s="308"/>
      <c r="S19" s="308"/>
      <c r="T19" s="308"/>
      <c r="U19" s="314"/>
      <c r="V19" s="315"/>
      <c r="W19" s="309" t="s">
        <v>886</v>
      </c>
      <c r="X19" s="330"/>
      <c r="Y19" s="330"/>
      <c r="Z19" s="324"/>
      <c r="AA19" s="325"/>
      <c r="AB19" s="325"/>
      <c r="AC19" s="325"/>
      <c r="AD19" s="326"/>
    </row>
    <row r="20" spans="1:31" s="320" customFormat="1" x14ac:dyDescent="0.2">
      <c r="A20" s="327">
        <v>6</v>
      </c>
      <c r="B20" s="308" t="s">
        <v>859</v>
      </c>
      <c r="C20" s="308" t="s">
        <v>20</v>
      </c>
      <c r="D20" s="308" t="s">
        <v>21</v>
      </c>
      <c r="E20" s="308" t="s">
        <v>859</v>
      </c>
      <c r="F20" s="322"/>
      <c r="G20" s="308"/>
      <c r="H20" s="328">
        <f>H18+F19</f>
        <v>1573.0810000000001</v>
      </c>
      <c r="I20" s="313">
        <v>420.20800000000003</v>
      </c>
      <c r="J20" s="308">
        <v>78.5</v>
      </c>
      <c r="K20" s="331">
        <v>840.28500000000008</v>
      </c>
      <c r="L20" s="313">
        <v>420.14250000000004</v>
      </c>
      <c r="M20" s="308">
        <v>222</v>
      </c>
      <c r="N20" s="308">
        <v>233</v>
      </c>
      <c r="O20" s="308">
        <v>455</v>
      </c>
      <c r="P20" s="308">
        <v>221</v>
      </c>
      <c r="Q20" s="308">
        <v>224</v>
      </c>
      <c r="R20" s="308">
        <v>445</v>
      </c>
      <c r="S20" s="308" t="s">
        <v>887</v>
      </c>
      <c r="T20" s="308" t="s">
        <v>888</v>
      </c>
      <c r="U20" s="314">
        <v>518208.29599999997</v>
      </c>
      <c r="V20" s="315">
        <v>2675874.165</v>
      </c>
      <c r="W20" s="309"/>
      <c r="X20" s="330" t="s">
        <v>889</v>
      </c>
      <c r="Y20" s="330" t="s">
        <v>868</v>
      </c>
      <c r="Z20" s="324" t="s">
        <v>367</v>
      </c>
      <c r="AA20" s="325"/>
      <c r="AB20" s="325"/>
      <c r="AC20" s="325"/>
      <c r="AD20" s="326"/>
    </row>
    <row r="21" spans="1:31" s="320" customFormat="1" x14ac:dyDescent="0.2">
      <c r="A21" s="321"/>
      <c r="B21" s="308"/>
      <c r="C21" s="308"/>
      <c r="D21" s="308"/>
      <c r="E21" s="308"/>
      <c r="F21" s="322">
        <v>405.28500000000003</v>
      </c>
      <c r="G21" s="313"/>
      <c r="H21" s="312"/>
      <c r="I21" s="313"/>
      <c r="J21" s="308"/>
      <c r="K21" s="313"/>
      <c r="L21" s="313"/>
      <c r="M21" s="308"/>
      <c r="N21" s="308"/>
      <c r="O21" s="308"/>
      <c r="P21" s="308"/>
      <c r="Q21" s="308"/>
      <c r="R21" s="308"/>
      <c r="S21" s="308"/>
      <c r="T21" s="308"/>
      <c r="U21" s="314"/>
      <c r="V21" s="315"/>
      <c r="W21" s="309" t="s">
        <v>890</v>
      </c>
      <c r="X21" s="330"/>
      <c r="Y21" s="330"/>
      <c r="Z21" s="324"/>
      <c r="AA21" s="325"/>
      <c r="AB21" s="325"/>
      <c r="AC21" s="325"/>
      <c r="AD21" s="326"/>
    </row>
    <row r="22" spans="1:31" s="320" customFormat="1" x14ac:dyDescent="0.2">
      <c r="A22" s="327">
        <v>7</v>
      </c>
      <c r="B22" s="308" t="s">
        <v>891</v>
      </c>
      <c r="C22" s="308" t="s">
        <v>22</v>
      </c>
      <c r="D22" s="308" t="s">
        <v>66</v>
      </c>
      <c r="E22" s="308" t="s">
        <v>892</v>
      </c>
      <c r="F22" s="322"/>
      <c r="G22" s="313">
        <f>SUM(F17:F21)</f>
        <v>1181.2850000000001</v>
      </c>
      <c r="H22" s="328">
        <f>H20+F21</f>
        <v>1978.3660000000002</v>
      </c>
      <c r="I22" s="313">
        <v>420.53199999999998</v>
      </c>
      <c r="J22" s="308">
        <v>70.72</v>
      </c>
      <c r="K22" s="313">
        <v>815.28400000000011</v>
      </c>
      <c r="L22" s="313">
        <v>407.64200000000005</v>
      </c>
      <c r="M22" s="308">
        <v>173</v>
      </c>
      <c r="N22" s="308">
        <v>117</v>
      </c>
      <c r="O22" s="308">
        <v>290</v>
      </c>
      <c r="P22" s="308">
        <v>183</v>
      </c>
      <c r="Q22" s="308">
        <v>143</v>
      </c>
      <c r="R22" s="308">
        <v>326</v>
      </c>
      <c r="S22" s="308" t="s">
        <v>893</v>
      </c>
      <c r="T22" s="308" t="s">
        <v>894</v>
      </c>
      <c r="U22" s="314">
        <v>518571.94500000001</v>
      </c>
      <c r="V22" s="315">
        <v>2675695.2370000002</v>
      </c>
      <c r="W22" s="309"/>
      <c r="X22" s="330" t="s">
        <v>889</v>
      </c>
      <c r="Y22" s="330" t="s">
        <v>868</v>
      </c>
      <c r="Z22" s="324" t="s">
        <v>367</v>
      </c>
      <c r="AA22" s="325"/>
      <c r="AB22" s="325"/>
      <c r="AC22" s="325"/>
      <c r="AD22" s="326"/>
    </row>
    <row r="23" spans="1:31" s="320" customFormat="1" x14ac:dyDescent="0.2">
      <c r="A23" s="321"/>
      <c r="B23" s="308"/>
      <c r="C23" s="308"/>
      <c r="D23" s="308"/>
      <c r="E23" s="308"/>
      <c r="F23" s="322">
        <v>409.99900000000002</v>
      </c>
      <c r="G23" s="313"/>
      <c r="H23" s="312"/>
      <c r="I23" s="313"/>
      <c r="J23" s="308"/>
      <c r="K23" s="313"/>
      <c r="L23" s="313"/>
      <c r="M23" s="308"/>
      <c r="N23" s="308"/>
      <c r="O23" s="308"/>
      <c r="P23" s="308"/>
      <c r="Q23" s="308"/>
      <c r="R23" s="308"/>
      <c r="S23" s="308"/>
      <c r="T23" s="308"/>
      <c r="U23" s="314"/>
      <c r="V23" s="315"/>
      <c r="W23" s="309" t="s">
        <v>895</v>
      </c>
      <c r="X23" s="330"/>
      <c r="Y23" s="330"/>
      <c r="Z23" s="324"/>
      <c r="AA23" s="325"/>
      <c r="AB23" s="325"/>
      <c r="AC23" s="325"/>
      <c r="AD23" s="326"/>
    </row>
    <row r="24" spans="1:31" s="320" customFormat="1" x14ac:dyDescent="0.2">
      <c r="A24" s="327">
        <v>8</v>
      </c>
      <c r="B24" s="308" t="s">
        <v>859</v>
      </c>
      <c r="C24" s="308" t="s">
        <v>24</v>
      </c>
      <c r="D24" s="308" t="s">
        <v>25</v>
      </c>
      <c r="E24" s="308" t="s">
        <v>859</v>
      </c>
      <c r="F24" s="322"/>
      <c r="G24" s="308" t="s">
        <v>859</v>
      </c>
      <c r="H24" s="328">
        <f>H22+F23</f>
        <v>2388.3650000000002</v>
      </c>
      <c r="I24" s="313">
        <v>429.12900000000002</v>
      </c>
      <c r="J24" s="308">
        <v>81.5</v>
      </c>
      <c r="K24" s="313">
        <v>790.99900000000002</v>
      </c>
      <c r="L24" s="313">
        <v>395.49950000000001</v>
      </c>
      <c r="M24" s="308">
        <v>294</v>
      </c>
      <c r="N24" s="308">
        <v>174</v>
      </c>
      <c r="O24" s="308">
        <v>468</v>
      </c>
      <c r="P24" s="308">
        <v>269</v>
      </c>
      <c r="Q24" s="308">
        <v>179</v>
      </c>
      <c r="R24" s="308">
        <v>448</v>
      </c>
      <c r="S24" s="308" t="s">
        <v>896</v>
      </c>
      <c r="T24" s="308" t="s">
        <v>897</v>
      </c>
      <c r="U24" s="314">
        <v>518971.03200000001</v>
      </c>
      <c r="V24" s="315">
        <v>2675601.2719999999</v>
      </c>
      <c r="W24" s="332" t="s">
        <v>898</v>
      </c>
      <c r="X24" s="330" t="s">
        <v>889</v>
      </c>
      <c r="Y24" s="330" t="s">
        <v>868</v>
      </c>
      <c r="Z24" s="324" t="s">
        <v>367</v>
      </c>
      <c r="AA24" s="325"/>
      <c r="AB24" s="325"/>
      <c r="AC24" s="325"/>
      <c r="AD24" s="326"/>
      <c r="AE24" s="320" t="s">
        <v>899</v>
      </c>
    </row>
    <row r="25" spans="1:31" s="320" customFormat="1" x14ac:dyDescent="0.2">
      <c r="A25" s="321"/>
      <c r="B25" s="308"/>
      <c r="C25" s="308"/>
      <c r="D25" s="308"/>
      <c r="E25" s="308"/>
      <c r="F25" s="322">
        <v>381</v>
      </c>
      <c r="G25" s="313"/>
      <c r="H25" s="312"/>
      <c r="I25" s="313"/>
      <c r="J25" s="308"/>
      <c r="K25" s="313"/>
      <c r="L25" s="313"/>
      <c r="M25" s="308"/>
      <c r="N25" s="308"/>
      <c r="O25" s="308"/>
      <c r="P25" s="308"/>
      <c r="Q25" s="308"/>
      <c r="R25" s="308"/>
      <c r="S25" s="308"/>
      <c r="T25" s="308"/>
      <c r="U25" s="314"/>
      <c r="V25" s="315"/>
      <c r="W25" s="309" t="s">
        <v>900</v>
      </c>
      <c r="X25" s="330"/>
      <c r="Y25" s="330"/>
      <c r="Z25" s="324"/>
      <c r="AA25" s="325"/>
      <c r="AB25" s="325"/>
      <c r="AC25" s="325"/>
      <c r="AD25" s="326"/>
    </row>
    <row r="26" spans="1:31" s="320" customFormat="1" x14ac:dyDescent="0.2">
      <c r="A26" s="327">
        <v>9</v>
      </c>
      <c r="B26" s="308" t="s">
        <v>859</v>
      </c>
      <c r="C26" s="308" t="s">
        <v>26</v>
      </c>
      <c r="D26" s="308" t="s">
        <v>25</v>
      </c>
      <c r="E26" s="308" t="s">
        <v>859</v>
      </c>
      <c r="F26" s="322"/>
      <c r="G26" s="308" t="s">
        <v>859</v>
      </c>
      <c r="H26" s="328">
        <f>H24+F25</f>
        <v>2769.3650000000002</v>
      </c>
      <c r="I26" s="313">
        <v>432.12900000000002</v>
      </c>
      <c r="J26" s="308">
        <v>81.5</v>
      </c>
      <c r="K26" s="313">
        <v>798</v>
      </c>
      <c r="L26" s="313">
        <v>399</v>
      </c>
      <c r="M26" s="308">
        <v>207</v>
      </c>
      <c r="N26" s="308">
        <v>312</v>
      </c>
      <c r="O26" s="308">
        <v>519</v>
      </c>
      <c r="P26" s="308">
        <v>203</v>
      </c>
      <c r="Q26" s="308">
        <v>283</v>
      </c>
      <c r="R26" s="308">
        <v>486</v>
      </c>
      <c r="S26" s="308" t="s">
        <v>901</v>
      </c>
      <c r="T26" s="308" t="s">
        <v>902</v>
      </c>
      <c r="U26" s="314">
        <v>519341.891</v>
      </c>
      <c r="V26" s="315">
        <v>2675513.9539999999</v>
      </c>
      <c r="W26" s="332" t="s">
        <v>898</v>
      </c>
      <c r="X26" s="330" t="s">
        <v>903</v>
      </c>
      <c r="Y26" s="330" t="s">
        <v>868</v>
      </c>
      <c r="Z26" s="324" t="s">
        <v>367</v>
      </c>
      <c r="AA26" s="325"/>
      <c r="AB26" s="325"/>
      <c r="AC26" s="325"/>
      <c r="AD26" s="326"/>
      <c r="AE26" s="320" t="s">
        <v>899</v>
      </c>
    </row>
    <row r="27" spans="1:31" s="320" customFormat="1" x14ac:dyDescent="0.2">
      <c r="A27" s="321"/>
      <c r="B27" s="308"/>
      <c r="C27" s="308"/>
      <c r="D27" s="308"/>
      <c r="E27" s="308"/>
      <c r="F27" s="322">
        <v>417</v>
      </c>
      <c r="G27" s="313"/>
      <c r="H27" s="312"/>
      <c r="I27" s="313"/>
      <c r="J27" s="308"/>
      <c r="K27" s="313"/>
      <c r="L27" s="313"/>
      <c r="M27" s="308"/>
      <c r="N27" s="308"/>
      <c r="O27" s="308"/>
      <c r="P27" s="308"/>
      <c r="Q27" s="308"/>
      <c r="R27" s="308"/>
      <c r="S27" s="308"/>
      <c r="T27" s="308"/>
      <c r="U27" s="314"/>
      <c r="V27" s="315"/>
      <c r="W27" s="309"/>
      <c r="X27" s="330"/>
      <c r="Y27" s="330"/>
      <c r="Z27" s="324"/>
      <c r="AA27" s="325"/>
      <c r="AB27" s="325"/>
      <c r="AC27" s="325"/>
      <c r="AD27" s="326"/>
    </row>
    <row r="28" spans="1:31" s="320" customFormat="1" x14ac:dyDescent="0.2">
      <c r="A28" s="327">
        <v>10</v>
      </c>
      <c r="B28" s="308" t="s">
        <v>859</v>
      </c>
      <c r="C28" s="308" t="s">
        <v>27</v>
      </c>
      <c r="D28" s="308" t="s">
        <v>28</v>
      </c>
      <c r="E28" s="308" t="s">
        <v>859</v>
      </c>
      <c r="F28" s="322"/>
      <c r="G28" s="308" t="s">
        <v>859</v>
      </c>
      <c r="H28" s="328">
        <f>H26+F27</f>
        <v>3186.3650000000002</v>
      </c>
      <c r="I28" s="313">
        <v>423.42700000000002</v>
      </c>
      <c r="J28" s="308">
        <v>69.5</v>
      </c>
      <c r="K28" s="313">
        <v>834</v>
      </c>
      <c r="L28" s="313">
        <v>417</v>
      </c>
      <c r="M28" s="308">
        <v>106</v>
      </c>
      <c r="N28" s="308">
        <v>196</v>
      </c>
      <c r="O28" s="308">
        <v>302</v>
      </c>
      <c r="P28" s="308">
        <v>136</v>
      </c>
      <c r="Q28" s="308">
        <v>200</v>
      </c>
      <c r="R28" s="308">
        <v>336</v>
      </c>
      <c r="S28" s="308" t="s">
        <v>904</v>
      </c>
      <c r="T28" s="308" t="s">
        <v>905</v>
      </c>
      <c r="U28" s="314">
        <v>519747.79200000002</v>
      </c>
      <c r="V28" s="315">
        <v>2675418.3849999998</v>
      </c>
      <c r="W28" s="309"/>
      <c r="X28" s="330" t="s">
        <v>903</v>
      </c>
      <c r="Y28" s="330" t="s">
        <v>868</v>
      </c>
      <c r="Z28" s="324" t="s">
        <v>367</v>
      </c>
      <c r="AA28" s="325"/>
      <c r="AB28" s="325"/>
      <c r="AC28" s="325"/>
      <c r="AD28" s="326"/>
    </row>
    <row r="29" spans="1:31" s="320" customFormat="1" x14ac:dyDescent="0.2">
      <c r="A29" s="321"/>
      <c r="B29" s="308"/>
      <c r="C29" s="308"/>
      <c r="D29" s="308"/>
      <c r="E29" s="308"/>
      <c r="F29" s="322">
        <v>417</v>
      </c>
      <c r="G29" s="313"/>
      <c r="H29" s="312"/>
      <c r="I29" s="313"/>
      <c r="J29" s="308"/>
      <c r="K29" s="313"/>
      <c r="L29" s="313"/>
      <c r="M29" s="308"/>
      <c r="N29" s="308"/>
      <c r="O29" s="308"/>
      <c r="P29" s="308"/>
      <c r="Q29" s="308"/>
      <c r="R29" s="308"/>
      <c r="S29" s="308"/>
      <c r="T29" s="308"/>
      <c r="U29" s="314"/>
      <c r="V29" s="315"/>
      <c r="W29" s="309" t="s">
        <v>906</v>
      </c>
      <c r="X29" s="330"/>
      <c r="Y29" s="330"/>
      <c r="Z29" s="324"/>
      <c r="AA29" s="325"/>
      <c r="AB29" s="325"/>
      <c r="AC29" s="325"/>
      <c r="AD29" s="326"/>
    </row>
    <row r="30" spans="1:31" s="320" customFormat="1" x14ac:dyDescent="0.2">
      <c r="A30" s="327">
        <v>11</v>
      </c>
      <c r="B30" s="308" t="s">
        <v>859</v>
      </c>
      <c r="C30" s="308" t="s">
        <v>29</v>
      </c>
      <c r="D30" s="308" t="s">
        <v>21</v>
      </c>
      <c r="E30" s="308" t="s">
        <v>859</v>
      </c>
      <c r="F30" s="322"/>
      <c r="G30" s="308" t="s">
        <v>859</v>
      </c>
      <c r="H30" s="328">
        <f>H28+F29</f>
        <v>3603.3650000000002</v>
      </c>
      <c r="I30" s="313">
        <v>416.97800000000001</v>
      </c>
      <c r="J30" s="308">
        <v>78.5</v>
      </c>
      <c r="K30" s="313">
        <v>834</v>
      </c>
      <c r="L30" s="313">
        <v>417</v>
      </c>
      <c r="M30" s="308">
        <v>222</v>
      </c>
      <c r="N30" s="308">
        <v>271</v>
      </c>
      <c r="O30" s="308">
        <v>493</v>
      </c>
      <c r="P30" s="308">
        <v>218</v>
      </c>
      <c r="Q30" s="308">
        <v>253</v>
      </c>
      <c r="R30" s="308">
        <v>471</v>
      </c>
      <c r="S30" s="308" t="s">
        <v>907</v>
      </c>
      <c r="T30" s="308" t="s">
        <v>908</v>
      </c>
      <c r="U30" s="314">
        <v>520153.69300000003</v>
      </c>
      <c r="V30" s="315">
        <v>2675322.8160000001</v>
      </c>
      <c r="W30" s="309"/>
      <c r="X30" s="330" t="s">
        <v>903</v>
      </c>
      <c r="Y30" s="330" t="s">
        <v>868</v>
      </c>
      <c r="Z30" s="324" t="s">
        <v>367</v>
      </c>
      <c r="AA30" s="325"/>
      <c r="AB30" s="325"/>
      <c r="AC30" s="325"/>
      <c r="AD30" s="326"/>
    </row>
    <row r="31" spans="1:31" s="320" customFormat="1" x14ac:dyDescent="0.2">
      <c r="A31" s="321"/>
      <c r="B31" s="308"/>
      <c r="C31" s="308"/>
      <c r="D31" s="308"/>
      <c r="E31" s="308"/>
      <c r="F31" s="322">
        <v>417</v>
      </c>
      <c r="G31" s="313"/>
      <c r="H31" s="312"/>
      <c r="I31" s="313"/>
      <c r="J31" s="308"/>
      <c r="K31" s="313"/>
      <c r="L31" s="313"/>
      <c r="M31" s="308"/>
      <c r="N31" s="308"/>
      <c r="O31" s="308"/>
      <c r="P31" s="308"/>
      <c r="Q31" s="308"/>
      <c r="R31" s="308"/>
      <c r="S31" s="308"/>
      <c r="T31" s="308"/>
      <c r="U31" s="314"/>
      <c r="V31" s="315"/>
      <c r="W31" s="309" t="s">
        <v>909</v>
      </c>
      <c r="X31" s="330"/>
      <c r="Y31" s="330"/>
      <c r="Z31" s="324"/>
      <c r="AA31" s="325"/>
      <c r="AB31" s="325"/>
      <c r="AC31" s="325"/>
      <c r="AD31" s="326"/>
    </row>
    <row r="32" spans="1:31" s="320" customFormat="1" x14ac:dyDescent="0.2">
      <c r="A32" s="327">
        <v>12</v>
      </c>
      <c r="B32" s="308" t="s">
        <v>859</v>
      </c>
      <c r="C32" s="308" t="s">
        <v>30</v>
      </c>
      <c r="D32" s="308" t="s">
        <v>28</v>
      </c>
      <c r="E32" s="308" t="s">
        <v>859</v>
      </c>
      <c r="F32" s="322"/>
      <c r="G32" s="308" t="s">
        <v>859</v>
      </c>
      <c r="H32" s="328">
        <f>H30+F31</f>
        <v>4020.3650000000002</v>
      </c>
      <c r="I32" s="313">
        <v>413.57299999999998</v>
      </c>
      <c r="J32" s="308">
        <v>69.5</v>
      </c>
      <c r="K32" s="313">
        <v>805.00099999999998</v>
      </c>
      <c r="L32" s="313">
        <v>402.50049999999999</v>
      </c>
      <c r="M32" s="308">
        <v>147</v>
      </c>
      <c r="N32" s="308">
        <v>162</v>
      </c>
      <c r="O32" s="308">
        <v>309</v>
      </c>
      <c r="P32" s="308">
        <v>166</v>
      </c>
      <c r="Q32" s="308">
        <v>172</v>
      </c>
      <c r="R32" s="308">
        <v>338</v>
      </c>
      <c r="S32" s="308" t="s">
        <v>910</v>
      </c>
      <c r="T32" s="308" t="s">
        <v>911</v>
      </c>
      <c r="U32" s="314">
        <v>520559.59399999998</v>
      </c>
      <c r="V32" s="315">
        <v>2675227.247</v>
      </c>
      <c r="W32" s="309"/>
      <c r="X32" s="330" t="s">
        <v>903</v>
      </c>
      <c r="Y32" s="330" t="s">
        <v>868</v>
      </c>
      <c r="Z32" s="324" t="s">
        <v>367</v>
      </c>
      <c r="AA32" s="325"/>
      <c r="AB32" s="325"/>
      <c r="AC32" s="325"/>
      <c r="AD32" s="326"/>
    </row>
    <row r="33" spans="1:30" s="320" customFormat="1" x14ac:dyDescent="0.2">
      <c r="A33" s="321"/>
      <c r="B33" s="308"/>
      <c r="C33" s="308"/>
      <c r="D33" s="308"/>
      <c r="E33" s="308"/>
      <c r="F33" s="322">
        <v>388.00099999999998</v>
      </c>
      <c r="G33" s="313"/>
      <c r="H33" s="312"/>
      <c r="I33" s="313"/>
      <c r="J33" s="308"/>
      <c r="K33" s="313"/>
      <c r="L33" s="313"/>
      <c r="M33" s="308"/>
      <c r="N33" s="308"/>
      <c r="O33" s="308"/>
      <c r="P33" s="308"/>
      <c r="Q33" s="308"/>
      <c r="R33" s="308"/>
      <c r="S33" s="308"/>
      <c r="T33" s="308"/>
      <c r="U33" s="314"/>
      <c r="V33" s="315"/>
      <c r="W33" s="309" t="s">
        <v>900</v>
      </c>
      <c r="X33" s="330"/>
      <c r="Y33" s="330"/>
      <c r="Z33" s="324"/>
      <c r="AA33" s="325"/>
      <c r="AB33" s="325"/>
      <c r="AC33" s="325"/>
      <c r="AD33" s="326"/>
    </row>
    <row r="34" spans="1:30" s="320" customFormat="1" x14ac:dyDescent="0.2">
      <c r="A34" s="327">
        <v>13</v>
      </c>
      <c r="B34" s="308" t="s">
        <v>859</v>
      </c>
      <c r="C34" s="308" t="s">
        <v>31</v>
      </c>
      <c r="D34" s="308" t="s">
        <v>21</v>
      </c>
      <c r="E34" s="308" t="s">
        <v>859</v>
      </c>
      <c r="F34" s="322"/>
      <c r="G34" s="308"/>
      <c r="H34" s="328">
        <f>H32+F33</f>
        <v>4408.366</v>
      </c>
      <c r="I34" s="313">
        <v>410.66199999999998</v>
      </c>
      <c r="J34" s="308">
        <v>78.5</v>
      </c>
      <c r="K34" s="331">
        <v>840.34099999999989</v>
      </c>
      <c r="L34" s="313">
        <v>420.17049999999995</v>
      </c>
      <c r="M34" s="308">
        <v>227</v>
      </c>
      <c r="N34" s="308">
        <v>249</v>
      </c>
      <c r="O34" s="308">
        <v>476</v>
      </c>
      <c r="P34" s="308">
        <v>218</v>
      </c>
      <c r="Q34" s="308">
        <v>243</v>
      </c>
      <c r="R34" s="308">
        <v>461</v>
      </c>
      <c r="S34" s="308" t="s">
        <v>912</v>
      </c>
      <c r="T34" s="308" t="s">
        <v>913</v>
      </c>
      <c r="U34" s="314">
        <v>520937.26699999999</v>
      </c>
      <c r="V34" s="315">
        <v>2675138.3229999999</v>
      </c>
      <c r="W34" s="309"/>
      <c r="X34" s="330"/>
      <c r="Y34" s="330"/>
      <c r="Z34" s="324"/>
      <c r="AA34" s="325"/>
      <c r="AB34" s="325"/>
      <c r="AC34" s="325"/>
      <c r="AD34" s="326"/>
    </row>
    <row r="35" spans="1:30" s="320" customFormat="1" x14ac:dyDescent="0.2">
      <c r="A35" s="321"/>
      <c r="B35" s="308"/>
      <c r="C35" s="308"/>
      <c r="D35" s="308"/>
      <c r="E35" s="308"/>
      <c r="F35" s="322">
        <v>452.34</v>
      </c>
      <c r="G35" s="313"/>
      <c r="H35" s="312"/>
      <c r="I35" s="313"/>
      <c r="J35" s="308"/>
      <c r="K35" s="313"/>
      <c r="L35" s="313"/>
      <c r="M35" s="308"/>
      <c r="N35" s="308"/>
      <c r="O35" s="308"/>
      <c r="P35" s="308"/>
      <c r="Q35" s="308"/>
      <c r="R35" s="308"/>
      <c r="S35" s="308"/>
      <c r="T35" s="308"/>
      <c r="U35" s="314"/>
      <c r="V35" s="315"/>
      <c r="W35" s="309" t="s">
        <v>914</v>
      </c>
      <c r="X35" s="330"/>
      <c r="Y35" s="330"/>
      <c r="Z35" s="324"/>
      <c r="AA35" s="325"/>
      <c r="AB35" s="325"/>
      <c r="AC35" s="325"/>
      <c r="AD35" s="326"/>
    </row>
    <row r="36" spans="1:30" s="306" customFormat="1" ht="13.5" customHeight="1" x14ac:dyDescent="0.2">
      <c r="A36" s="327">
        <v>14</v>
      </c>
      <c r="B36" s="308" t="s">
        <v>915</v>
      </c>
      <c r="C36" s="308" t="s">
        <v>32</v>
      </c>
      <c r="D36" s="308" t="s">
        <v>33</v>
      </c>
      <c r="E36" s="308" t="s">
        <v>916</v>
      </c>
      <c r="F36" s="313"/>
      <c r="G36" s="313">
        <f>SUM(F23:F35)</f>
        <v>2882.34</v>
      </c>
      <c r="H36" s="328">
        <f>H34+F35</f>
        <v>4860.7060000000001</v>
      </c>
      <c r="I36" s="313">
        <v>411.76100000000002</v>
      </c>
      <c r="J36" s="308">
        <v>70.72</v>
      </c>
      <c r="K36" s="313">
        <v>853.34099999999989</v>
      </c>
      <c r="L36" s="313">
        <v>426.67049999999995</v>
      </c>
      <c r="M36" s="308">
        <v>204</v>
      </c>
      <c r="N36" s="308">
        <v>239</v>
      </c>
      <c r="O36" s="308">
        <v>443</v>
      </c>
      <c r="P36" s="308">
        <v>211</v>
      </c>
      <c r="Q36" s="308">
        <v>227</v>
      </c>
      <c r="R36" s="308">
        <v>438</v>
      </c>
      <c r="S36" s="308" t="s">
        <v>917</v>
      </c>
      <c r="T36" s="308" t="s">
        <v>918</v>
      </c>
      <c r="U36" s="314">
        <v>521377.56800000003</v>
      </c>
      <c r="V36" s="315">
        <v>2675034.6549999998</v>
      </c>
      <c r="W36" s="309"/>
      <c r="X36" s="333" t="s">
        <v>919</v>
      </c>
      <c r="Y36" s="333" t="s">
        <v>920</v>
      </c>
      <c r="Z36" s="317" t="s">
        <v>367</v>
      </c>
      <c r="AA36" s="325"/>
      <c r="AB36" s="325"/>
      <c r="AC36" s="325"/>
      <c r="AD36" s="326"/>
    </row>
    <row r="37" spans="1:30" s="306" customFormat="1" x14ac:dyDescent="0.2">
      <c r="A37" s="321"/>
      <c r="B37" s="334"/>
      <c r="C37" s="334"/>
      <c r="D37" s="334"/>
      <c r="E37" s="334"/>
      <c r="F37" s="334">
        <v>401</v>
      </c>
      <c r="G37" s="334"/>
      <c r="H37" s="312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5"/>
      <c r="T37" s="335"/>
      <c r="U37" s="336"/>
      <c r="V37" s="336"/>
      <c r="W37" s="337" t="s">
        <v>921</v>
      </c>
      <c r="X37" s="325"/>
      <c r="Y37" s="325"/>
      <c r="Z37" s="338"/>
      <c r="AA37" s="339"/>
      <c r="AB37" s="339"/>
      <c r="AC37" s="339"/>
      <c r="AD37" s="340"/>
    </row>
    <row r="38" spans="1:30" s="306" customFormat="1" x14ac:dyDescent="0.2">
      <c r="A38" s="327">
        <v>15</v>
      </c>
      <c r="B38" s="334" t="s">
        <v>859</v>
      </c>
      <c r="C38" s="334" t="s">
        <v>34</v>
      </c>
      <c r="D38" s="334" t="s">
        <v>28</v>
      </c>
      <c r="E38" s="334" t="s">
        <v>859</v>
      </c>
      <c r="F38" s="334"/>
      <c r="G38" s="334" t="s">
        <v>859</v>
      </c>
      <c r="H38" s="328">
        <f>H36+F37</f>
        <v>5261.7060000000001</v>
      </c>
      <c r="I38" s="334">
        <v>407.68200000000002</v>
      </c>
      <c r="J38" s="334">
        <v>69.5</v>
      </c>
      <c r="K38" s="334">
        <f>F37+F39</f>
        <v>731</v>
      </c>
      <c r="L38" s="334">
        <f>K38/2</f>
        <v>365.5</v>
      </c>
      <c r="M38" s="334">
        <v>162</v>
      </c>
      <c r="N38" s="334">
        <v>118</v>
      </c>
      <c r="O38" s="334">
        <v>280</v>
      </c>
      <c r="P38" s="334">
        <v>175</v>
      </c>
      <c r="Q38" s="334">
        <v>134</v>
      </c>
      <c r="R38" s="334">
        <v>309</v>
      </c>
      <c r="S38" s="335" t="s">
        <v>922</v>
      </c>
      <c r="T38" s="335" t="s">
        <v>923</v>
      </c>
      <c r="U38" s="336">
        <v>521769.25699999998</v>
      </c>
      <c r="V38" s="336">
        <v>2674948.7439999999</v>
      </c>
      <c r="W38" s="337"/>
      <c r="X38" s="341" t="s">
        <v>919</v>
      </c>
      <c r="Y38" s="341" t="s">
        <v>920</v>
      </c>
      <c r="Z38" s="338" t="s">
        <v>367</v>
      </c>
      <c r="AA38" s="339"/>
      <c r="AB38" s="339"/>
      <c r="AC38" s="339"/>
      <c r="AD38" s="340"/>
    </row>
    <row r="39" spans="1:30" s="306" customFormat="1" x14ac:dyDescent="0.2">
      <c r="A39" s="321"/>
      <c r="B39" s="334"/>
      <c r="C39" s="334"/>
      <c r="D39" s="334"/>
      <c r="E39" s="334"/>
      <c r="F39" s="334">
        <v>330</v>
      </c>
      <c r="G39" s="334"/>
      <c r="H39" s="312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5"/>
      <c r="T39" s="335"/>
      <c r="U39" s="336"/>
      <c r="V39" s="336"/>
      <c r="W39" s="337" t="s">
        <v>924</v>
      </c>
      <c r="X39" s="325"/>
      <c r="Y39" s="325"/>
      <c r="Z39" s="338"/>
      <c r="AA39" s="339"/>
      <c r="AB39" s="339"/>
      <c r="AC39" s="339"/>
      <c r="AD39" s="340"/>
    </row>
    <row r="40" spans="1:30" s="306" customFormat="1" x14ac:dyDescent="0.2">
      <c r="A40" s="327">
        <v>16</v>
      </c>
      <c r="B40" s="334" t="s">
        <v>859</v>
      </c>
      <c r="C40" s="334" t="s">
        <v>35</v>
      </c>
      <c r="D40" s="334" t="s">
        <v>36</v>
      </c>
      <c r="E40" s="334" t="s">
        <v>859</v>
      </c>
      <c r="F40" s="334"/>
      <c r="G40" s="334" t="s">
        <v>859</v>
      </c>
      <c r="H40" s="328">
        <f>H38+F39</f>
        <v>5591.7060000000001</v>
      </c>
      <c r="I40" s="342">
        <v>411.85399999999998</v>
      </c>
      <c r="J40" s="334">
        <v>72.5</v>
      </c>
      <c r="K40" s="334">
        <f>F39+F41</f>
        <v>743</v>
      </c>
      <c r="L40" s="334">
        <f>K40/2</f>
        <v>371.5</v>
      </c>
      <c r="M40" s="334">
        <v>212</v>
      </c>
      <c r="N40" s="334">
        <v>194</v>
      </c>
      <c r="O40" s="334">
        <v>406</v>
      </c>
      <c r="P40" s="334">
        <v>197</v>
      </c>
      <c r="Q40" s="334">
        <v>199</v>
      </c>
      <c r="R40" s="334">
        <v>396</v>
      </c>
      <c r="S40" s="335" t="s">
        <v>925</v>
      </c>
      <c r="T40" s="335" t="s">
        <v>926</v>
      </c>
      <c r="U40" s="336">
        <v>522091.59499999997</v>
      </c>
      <c r="V40" s="336">
        <v>2674878.0449999999</v>
      </c>
      <c r="W40" s="337"/>
      <c r="X40" s="341" t="s">
        <v>927</v>
      </c>
      <c r="Y40" s="341" t="s">
        <v>920</v>
      </c>
      <c r="Z40" s="338" t="s">
        <v>367</v>
      </c>
      <c r="AA40" s="339"/>
      <c r="AB40" s="339"/>
      <c r="AC40" s="339"/>
      <c r="AD40" s="340"/>
    </row>
    <row r="41" spans="1:30" s="306" customFormat="1" ht="25.5" x14ac:dyDescent="0.2">
      <c r="A41" s="321"/>
      <c r="B41" s="334"/>
      <c r="C41" s="334"/>
      <c r="D41" s="334"/>
      <c r="E41" s="334"/>
      <c r="F41" s="334">
        <v>413</v>
      </c>
      <c r="G41" s="334"/>
      <c r="H41" s="312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5"/>
      <c r="T41" s="335"/>
      <c r="U41" s="336"/>
      <c r="V41" s="336"/>
      <c r="W41" s="337" t="s">
        <v>928</v>
      </c>
      <c r="X41" s="325"/>
      <c r="Y41" s="325"/>
      <c r="Z41" s="338"/>
      <c r="AA41" s="339"/>
      <c r="AB41" s="339"/>
      <c r="AC41" s="339"/>
      <c r="AD41" s="340"/>
    </row>
    <row r="42" spans="1:30" s="306" customFormat="1" x14ac:dyDescent="0.2">
      <c r="A42" s="327">
        <v>17</v>
      </c>
      <c r="B42" s="334" t="s">
        <v>859</v>
      </c>
      <c r="C42" s="334" t="s">
        <v>37</v>
      </c>
      <c r="D42" s="334" t="s">
        <v>38</v>
      </c>
      <c r="E42" s="334" t="s">
        <v>859</v>
      </c>
      <c r="F42" s="334"/>
      <c r="G42" s="334" t="s">
        <v>859</v>
      </c>
      <c r="H42" s="328">
        <f>H40+F41</f>
        <v>6004.7060000000001</v>
      </c>
      <c r="I42" s="334">
        <v>411.28500000000003</v>
      </c>
      <c r="J42" s="334">
        <v>75.5</v>
      </c>
      <c r="K42" s="334">
        <f>F41+F43</f>
        <v>835</v>
      </c>
      <c r="L42" s="334">
        <f>K42/2</f>
        <v>417.5</v>
      </c>
      <c r="M42" s="334">
        <v>220</v>
      </c>
      <c r="N42" s="334">
        <v>223</v>
      </c>
      <c r="O42" s="334">
        <v>443</v>
      </c>
      <c r="P42" s="334">
        <v>216</v>
      </c>
      <c r="Q42" s="334">
        <v>219</v>
      </c>
      <c r="R42" s="334">
        <v>435</v>
      </c>
      <c r="S42" s="335" t="s">
        <v>929</v>
      </c>
      <c r="T42" s="335" t="s">
        <v>930</v>
      </c>
      <c r="U42" s="336">
        <v>522495.005</v>
      </c>
      <c r="V42" s="336">
        <v>2674789.5630000001</v>
      </c>
      <c r="W42" s="337"/>
      <c r="X42" s="341" t="s">
        <v>927</v>
      </c>
      <c r="Y42" s="341" t="s">
        <v>920</v>
      </c>
      <c r="Z42" s="338" t="s">
        <v>367</v>
      </c>
      <c r="AA42" s="339"/>
      <c r="AB42" s="339"/>
      <c r="AC42" s="339"/>
      <c r="AD42" s="340"/>
    </row>
    <row r="43" spans="1:30" s="306" customFormat="1" ht="25.5" x14ac:dyDescent="0.2">
      <c r="A43" s="321"/>
      <c r="B43" s="334"/>
      <c r="C43" s="334"/>
      <c r="D43" s="334"/>
      <c r="E43" s="334"/>
      <c r="F43" s="334">
        <v>422</v>
      </c>
      <c r="G43" s="334"/>
      <c r="H43" s="312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5"/>
      <c r="T43" s="335"/>
      <c r="U43" s="336"/>
      <c r="V43" s="336"/>
      <c r="W43" s="337" t="s">
        <v>931</v>
      </c>
      <c r="X43" s="325"/>
      <c r="Y43" s="325"/>
      <c r="Z43" s="338"/>
      <c r="AA43" s="339"/>
      <c r="AB43" s="339"/>
      <c r="AC43" s="339"/>
      <c r="AD43" s="340"/>
    </row>
    <row r="44" spans="1:30" s="306" customFormat="1" x14ac:dyDescent="0.2">
      <c r="A44" s="327">
        <v>18</v>
      </c>
      <c r="B44" s="334" t="s">
        <v>859</v>
      </c>
      <c r="C44" s="334" t="s">
        <v>39</v>
      </c>
      <c r="D44" s="334" t="s">
        <v>40</v>
      </c>
      <c r="E44" s="334" t="s">
        <v>859</v>
      </c>
      <c r="F44" s="334"/>
      <c r="G44" s="334" t="s">
        <v>859</v>
      </c>
      <c r="H44" s="328">
        <f>H42+F43</f>
        <v>6426.7060000000001</v>
      </c>
      <c r="I44" s="334">
        <v>410.54599999999999</v>
      </c>
      <c r="J44" s="334">
        <v>74</v>
      </c>
      <c r="K44" s="334">
        <f>F43+F45</f>
        <v>818</v>
      </c>
      <c r="L44" s="334">
        <f>K44/2</f>
        <v>409</v>
      </c>
      <c r="M44" s="334">
        <v>200</v>
      </c>
      <c r="N44" s="334">
        <v>210</v>
      </c>
      <c r="O44" s="334">
        <v>410</v>
      </c>
      <c r="P44" s="334">
        <v>204</v>
      </c>
      <c r="Q44" s="334">
        <v>206</v>
      </c>
      <c r="R44" s="334">
        <v>410</v>
      </c>
      <c r="S44" s="335" t="s">
        <v>932</v>
      </c>
      <c r="T44" s="335" t="s">
        <v>933</v>
      </c>
      <c r="U44" s="336">
        <v>522907.20699999999</v>
      </c>
      <c r="V44" s="336">
        <v>2674699.1529999999</v>
      </c>
      <c r="W44" s="337"/>
      <c r="X44" s="341" t="s">
        <v>927</v>
      </c>
      <c r="Y44" s="341" t="s">
        <v>920</v>
      </c>
      <c r="Z44" s="338" t="s">
        <v>367</v>
      </c>
      <c r="AA44" s="339"/>
      <c r="AB44" s="339"/>
      <c r="AC44" s="339"/>
      <c r="AD44" s="340"/>
    </row>
    <row r="45" spans="1:30" s="306" customFormat="1" ht="25.5" x14ac:dyDescent="0.2">
      <c r="A45" s="321"/>
      <c r="B45" s="334"/>
      <c r="C45" s="334"/>
      <c r="D45" s="334"/>
      <c r="E45" s="334"/>
      <c r="F45" s="334">
        <v>396</v>
      </c>
      <c r="G45" s="334"/>
      <c r="H45" s="312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5"/>
      <c r="T45" s="335"/>
      <c r="U45" s="336"/>
      <c r="V45" s="336"/>
      <c r="W45" s="337" t="s">
        <v>934</v>
      </c>
      <c r="X45" s="325"/>
      <c r="Y45" s="325"/>
      <c r="Z45" s="338"/>
      <c r="AA45" s="339"/>
      <c r="AB45" s="339"/>
      <c r="AC45" s="339"/>
      <c r="AD45" s="340"/>
    </row>
    <row r="46" spans="1:30" s="306" customFormat="1" x14ac:dyDescent="0.2">
      <c r="A46" s="327">
        <v>19</v>
      </c>
      <c r="B46" s="334" t="s">
        <v>859</v>
      </c>
      <c r="C46" s="334" t="s">
        <v>41</v>
      </c>
      <c r="D46" s="334" t="s">
        <v>36</v>
      </c>
      <c r="E46" s="334" t="s">
        <v>859</v>
      </c>
      <c r="F46" s="334"/>
      <c r="G46" s="334" t="s">
        <v>859</v>
      </c>
      <c r="H46" s="328">
        <f>H44+F45</f>
        <v>6822.7060000000001</v>
      </c>
      <c r="I46" s="342">
        <v>409.91</v>
      </c>
      <c r="J46" s="334">
        <v>72.5</v>
      </c>
      <c r="K46" s="334">
        <f>F45+F47</f>
        <v>781</v>
      </c>
      <c r="L46" s="334">
        <f>K46/2</f>
        <v>390.5</v>
      </c>
      <c r="M46" s="334">
        <v>186</v>
      </c>
      <c r="N46" s="334">
        <v>194</v>
      </c>
      <c r="O46" s="334">
        <v>380</v>
      </c>
      <c r="P46" s="334">
        <v>190</v>
      </c>
      <c r="Q46" s="334">
        <v>194</v>
      </c>
      <c r="R46" s="334">
        <v>384</v>
      </c>
      <c r="S46" s="335" t="s">
        <v>935</v>
      </c>
      <c r="T46" s="335" t="s">
        <v>936</v>
      </c>
      <c r="U46" s="336">
        <v>523294.01</v>
      </c>
      <c r="V46" s="336">
        <v>2674614.31</v>
      </c>
      <c r="W46" s="337"/>
      <c r="X46" s="341" t="s">
        <v>927</v>
      </c>
      <c r="Y46" s="341" t="s">
        <v>920</v>
      </c>
      <c r="Z46" s="338" t="s">
        <v>367</v>
      </c>
      <c r="AA46" s="339"/>
      <c r="AB46" s="339"/>
      <c r="AC46" s="339"/>
      <c r="AD46" s="340"/>
    </row>
    <row r="47" spans="1:30" s="306" customFormat="1" ht="25.5" x14ac:dyDescent="0.2">
      <c r="A47" s="321"/>
      <c r="B47" s="334"/>
      <c r="C47" s="334"/>
      <c r="D47" s="334"/>
      <c r="E47" s="334"/>
      <c r="F47" s="334">
        <v>385</v>
      </c>
      <c r="G47" s="334"/>
      <c r="H47" s="312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5"/>
      <c r="T47" s="335"/>
      <c r="U47" s="336"/>
      <c r="V47" s="336"/>
      <c r="W47" s="337" t="s">
        <v>937</v>
      </c>
      <c r="X47" s="325"/>
      <c r="Y47" s="325"/>
      <c r="Z47" s="338"/>
      <c r="AA47" s="339"/>
      <c r="AB47" s="339"/>
      <c r="AC47" s="339"/>
      <c r="AD47" s="340"/>
    </row>
    <row r="48" spans="1:30" s="306" customFormat="1" x14ac:dyDescent="0.2">
      <c r="A48" s="327">
        <v>20</v>
      </c>
      <c r="B48" s="334" t="s">
        <v>859</v>
      </c>
      <c r="C48" s="334" t="s">
        <v>42</v>
      </c>
      <c r="D48" s="334" t="s">
        <v>36</v>
      </c>
      <c r="E48" s="334" t="s">
        <v>859</v>
      </c>
      <c r="F48" s="334"/>
      <c r="G48" s="334" t="s">
        <v>859</v>
      </c>
      <c r="H48" s="328">
        <f>H46+F47</f>
        <v>7207.7060000000001</v>
      </c>
      <c r="I48" s="342">
        <v>409.51400000000001</v>
      </c>
      <c r="J48" s="334">
        <v>72.5</v>
      </c>
      <c r="K48" s="334">
        <f>F47+F49</f>
        <v>723</v>
      </c>
      <c r="L48" s="334">
        <f>K48/2</f>
        <v>361.5</v>
      </c>
      <c r="M48" s="334">
        <v>191</v>
      </c>
      <c r="N48" s="334">
        <v>188</v>
      </c>
      <c r="O48" s="334">
        <v>379</v>
      </c>
      <c r="P48" s="334">
        <v>191</v>
      </c>
      <c r="Q48" s="334">
        <v>182</v>
      </c>
      <c r="R48" s="334">
        <v>373</v>
      </c>
      <c r="S48" s="335" t="s">
        <v>938</v>
      </c>
      <c r="T48" s="335" t="s">
        <v>939</v>
      </c>
      <c r="U48" s="336">
        <v>523670.07299999997</v>
      </c>
      <c r="V48" s="336">
        <v>2674531.8309999998</v>
      </c>
      <c r="W48" s="337"/>
      <c r="X48" s="341" t="s">
        <v>927</v>
      </c>
      <c r="Y48" s="341" t="s">
        <v>920</v>
      </c>
      <c r="Z48" s="338" t="s">
        <v>367</v>
      </c>
      <c r="AA48" s="339"/>
      <c r="AB48" s="339"/>
      <c r="AC48" s="339"/>
      <c r="AD48" s="340"/>
    </row>
    <row r="49" spans="1:30" s="306" customFormat="1" x14ac:dyDescent="0.2">
      <c r="A49" s="321"/>
      <c r="B49" s="334"/>
      <c r="C49" s="334"/>
      <c r="D49" s="334"/>
      <c r="E49" s="334"/>
      <c r="F49" s="334">
        <v>338</v>
      </c>
      <c r="G49" s="334"/>
      <c r="H49" s="312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5"/>
      <c r="T49" s="335"/>
      <c r="U49" s="336"/>
      <c r="V49" s="336"/>
      <c r="W49" s="337" t="s">
        <v>940</v>
      </c>
      <c r="X49" s="325"/>
      <c r="Y49" s="325"/>
      <c r="Z49" s="338"/>
      <c r="AA49" s="339"/>
      <c r="AB49" s="339"/>
      <c r="AC49" s="339"/>
      <c r="AD49" s="340"/>
    </row>
    <row r="50" spans="1:30" s="306" customFormat="1" x14ac:dyDescent="0.2">
      <c r="A50" s="327">
        <v>21</v>
      </c>
      <c r="B50" s="334" t="s">
        <v>859</v>
      </c>
      <c r="C50" s="334" t="s">
        <v>43</v>
      </c>
      <c r="D50" s="334" t="s">
        <v>28</v>
      </c>
      <c r="E50" s="334" t="s">
        <v>859</v>
      </c>
      <c r="F50" s="334"/>
      <c r="G50" s="334" t="s">
        <v>859</v>
      </c>
      <c r="H50" s="328">
        <f>H48+F49</f>
        <v>7545.7060000000001</v>
      </c>
      <c r="I50" s="334">
        <v>409.625</v>
      </c>
      <c r="J50" s="334">
        <v>69.5</v>
      </c>
      <c r="K50" s="334">
        <f>F49+F51</f>
        <v>662</v>
      </c>
      <c r="L50" s="334">
        <f>K50/2</f>
        <v>331</v>
      </c>
      <c r="M50" s="334">
        <v>151</v>
      </c>
      <c r="N50" s="334">
        <v>146</v>
      </c>
      <c r="O50" s="334">
        <v>297</v>
      </c>
      <c r="P50" s="334">
        <v>157</v>
      </c>
      <c r="Q50" s="334">
        <v>152</v>
      </c>
      <c r="R50" s="334">
        <v>309</v>
      </c>
      <c r="S50" s="335" t="s">
        <v>941</v>
      </c>
      <c r="T50" s="335" t="s">
        <v>942</v>
      </c>
      <c r="U50" s="336">
        <v>524000.22399999999</v>
      </c>
      <c r="V50" s="336">
        <v>2674459.4180000001</v>
      </c>
      <c r="W50" s="337"/>
      <c r="X50" s="341" t="s">
        <v>927</v>
      </c>
      <c r="Y50" s="341" t="s">
        <v>920</v>
      </c>
      <c r="Z50" s="338" t="s">
        <v>367</v>
      </c>
      <c r="AA50" s="339"/>
      <c r="AB50" s="339"/>
      <c r="AC50" s="339"/>
      <c r="AD50" s="340"/>
    </row>
    <row r="51" spans="1:30" s="306" customFormat="1" x14ac:dyDescent="0.2">
      <c r="A51" s="321"/>
      <c r="B51" s="334"/>
      <c r="C51" s="334"/>
      <c r="D51" s="334"/>
      <c r="E51" s="334"/>
      <c r="F51" s="334">
        <v>324</v>
      </c>
      <c r="G51" s="334"/>
      <c r="H51" s="312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5"/>
      <c r="T51" s="335"/>
      <c r="U51" s="336"/>
      <c r="V51" s="336"/>
      <c r="W51" s="337" t="s">
        <v>943</v>
      </c>
      <c r="X51" s="325"/>
      <c r="Y51" s="325"/>
      <c r="Z51" s="338"/>
      <c r="AA51" s="339"/>
      <c r="AB51" s="339"/>
      <c r="AC51" s="339"/>
      <c r="AD51" s="340"/>
    </row>
    <row r="52" spans="1:30" s="306" customFormat="1" x14ac:dyDescent="0.2">
      <c r="A52" s="327">
        <v>22</v>
      </c>
      <c r="B52" s="334" t="s">
        <v>944</v>
      </c>
      <c r="C52" s="334" t="s">
        <v>44</v>
      </c>
      <c r="D52" s="334" t="s">
        <v>45</v>
      </c>
      <c r="E52" s="334" t="s">
        <v>945</v>
      </c>
      <c r="F52" s="334"/>
      <c r="G52" s="334">
        <f>SUM(F37:F51)</f>
        <v>3009</v>
      </c>
      <c r="H52" s="328">
        <f>H50+F51</f>
        <v>7869.7060000000001</v>
      </c>
      <c r="I52" s="334">
        <v>408.99</v>
      </c>
      <c r="J52" s="343">
        <v>70.72</v>
      </c>
      <c r="K52" s="334">
        <f>F51+F53</f>
        <v>704</v>
      </c>
      <c r="L52" s="334">
        <f>K52/2</f>
        <v>352</v>
      </c>
      <c r="M52" s="334">
        <v>178</v>
      </c>
      <c r="N52" s="334">
        <v>203</v>
      </c>
      <c r="O52" s="334">
        <v>381</v>
      </c>
      <c r="P52" s="334">
        <v>173</v>
      </c>
      <c r="Q52" s="334">
        <v>199</v>
      </c>
      <c r="R52" s="334">
        <v>372</v>
      </c>
      <c r="S52" s="335" t="s">
        <v>946</v>
      </c>
      <c r="T52" s="335" t="s">
        <v>947</v>
      </c>
      <c r="U52" s="336">
        <v>524316.57999999996</v>
      </c>
      <c r="V52" s="336">
        <v>2674390.0299999998</v>
      </c>
      <c r="W52" s="337"/>
      <c r="X52" s="341" t="s">
        <v>927</v>
      </c>
      <c r="Y52" s="341" t="s">
        <v>920</v>
      </c>
      <c r="Z52" s="338" t="s">
        <v>367</v>
      </c>
      <c r="AA52" s="339"/>
      <c r="AB52" s="339"/>
      <c r="AC52" s="339"/>
      <c r="AD52" s="340"/>
    </row>
    <row r="53" spans="1:30" s="306" customFormat="1" x14ac:dyDescent="0.2">
      <c r="A53" s="321"/>
      <c r="B53" s="334"/>
      <c r="C53" s="334"/>
      <c r="D53" s="334"/>
      <c r="E53" s="334"/>
      <c r="F53" s="334">
        <v>380</v>
      </c>
      <c r="G53" s="334"/>
      <c r="H53" s="312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5"/>
      <c r="T53" s="335"/>
      <c r="U53" s="336"/>
      <c r="V53" s="336"/>
      <c r="W53" s="337" t="s">
        <v>948</v>
      </c>
      <c r="X53" s="325"/>
      <c r="Y53" s="325"/>
      <c r="Z53" s="338"/>
      <c r="AA53" s="339"/>
      <c r="AB53" s="339"/>
      <c r="AC53" s="339"/>
      <c r="AD53" s="340"/>
    </row>
    <row r="54" spans="1:30" s="306" customFormat="1" x14ac:dyDescent="0.2">
      <c r="A54" s="327">
        <v>23</v>
      </c>
      <c r="B54" s="334" t="s">
        <v>859</v>
      </c>
      <c r="C54" s="334" t="s">
        <v>46</v>
      </c>
      <c r="D54" s="334" t="s">
        <v>19</v>
      </c>
      <c r="E54" s="334" t="s">
        <v>859</v>
      </c>
      <c r="F54" s="334"/>
      <c r="G54" s="334" t="s">
        <v>859</v>
      </c>
      <c r="H54" s="328">
        <f>H52+F53</f>
        <v>8249.7060000000001</v>
      </c>
      <c r="I54" s="334">
        <v>408.32600000000002</v>
      </c>
      <c r="J54" s="334">
        <v>71</v>
      </c>
      <c r="K54" s="334">
        <f>F53+F55</f>
        <v>754</v>
      </c>
      <c r="L54" s="334">
        <f>K54/2</f>
        <v>377</v>
      </c>
      <c r="M54" s="334">
        <v>178</v>
      </c>
      <c r="N54" s="334">
        <v>161</v>
      </c>
      <c r="O54" s="334">
        <v>339</v>
      </c>
      <c r="P54" s="334">
        <v>182</v>
      </c>
      <c r="Q54" s="334">
        <v>169</v>
      </c>
      <c r="R54" s="334">
        <v>351</v>
      </c>
      <c r="S54" s="335" t="s">
        <v>949</v>
      </c>
      <c r="T54" s="335" t="s">
        <v>950</v>
      </c>
      <c r="U54" s="336">
        <v>524602.22400000005</v>
      </c>
      <c r="V54" s="336">
        <v>2674139.4160000002</v>
      </c>
      <c r="W54" s="337"/>
      <c r="X54" s="341" t="s">
        <v>927</v>
      </c>
      <c r="Y54" s="341" t="s">
        <v>920</v>
      </c>
      <c r="Z54" s="338" t="s">
        <v>367</v>
      </c>
      <c r="AA54" s="339"/>
      <c r="AB54" s="339"/>
      <c r="AC54" s="339"/>
      <c r="AD54" s="340"/>
    </row>
    <row r="55" spans="1:30" s="306" customFormat="1" ht="38.25" x14ac:dyDescent="0.2">
      <c r="A55" s="321"/>
      <c r="B55" s="334"/>
      <c r="C55" s="334"/>
      <c r="D55" s="334"/>
      <c r="E55" s="334"/>
      <c r="F55" s="334">
        <v>374</v>
      </c>
      <c r="G55" s="334"/>
      <c r="H55" s="312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5"/>
      <c r="T55" s="335"/>
      <c r="U55" s="336"/>
      <c r="V55" s="336"/>
      <c r="W55" s="337" t="s">
        <v>951</v>
      </c>
      <c r="X55" s="325"/>
      <c r="Y55" s="325"/>
      <c r="Z55" s="338"/>
      <c r="AA55" s="339"/>
      <c r="AB55" s="339"/>
      <c r="AC55" s="339"/>
      <c r="AD55" s="340"/>
    </row>
    <row r="56" spans="1:30" s="306" customFormat="1" x14ac:dyDescent="0.2">
      <c r="A56" s="327">
        <v>24</v>
      </c>
      <c r="B56" s="334" t="s">
        <v>859</v>
      </c>
      <c r="C56" s="334" t="s">
        <v>47</v>
      </c>
      <c r="D56" s="334" t="s">
        <v>40</v>
      </c>
      <c r="E56" s="334" t="s">
        <v>859</v>
      </c>
      <c r="F56" s="334"/>
      <c r="G56" s="334" t="s">
        <v>859</v>
      </c>
      <c r="H56" s="328">
        <f>H54+F55</f>
        <v>8623.7060000000001</v>
      </c>
      <c r="I56" s="334">
        <v>409.89499999999998</v>
      </c>
      <c r="J56" s="334">
        <v>74</v>
      </c>
      <c r="K56" s="334">
        <f>F55+F57</f>
        <v>789</v>
      </c>
      <c r="L56" s="334">
        <f>K56/2</f>
        <v>394.5</v>
      </c>
      <c r="M56" s="334">
        <v>213</v>
      </c>
      <c r="N56" s="334">
        <v>196</v>
      </c>
      <c r="O56" s="334">
        <v>409</v>
      </c>
      <c r="P56" s="334">
        <v>205</v>
      </c>
      <c r="Q56" s="334">
        <v>200</v>
      </c>
      <c r="R56" s="334">
        <v>405</v>
      </c>
      <c r="S56" s="335" t="s">
        <v>952</v>
      </c>
      <c r="T56" s="335" t="s">
        <v>953</v>
      </c>
      <c r="U56" s="336">
        <v>524883.36</v>
      </c>
      <c r="V56" s="336">
        <v>2673892.7599999998</v>
      </c>
      <c r="W56" s="337"/>
      <c r="X56" s="341" t="s">
        <v>927</v>
      </c>
      <c r="Y56" s="341" t="s">
        <v>920</v>
      </c>
      <c r="Z56" s="338" t="s">
        <v>367</v>
      </c>
      <c r="AA56" s="339"/>
      <c r="AB56" s="339"/>
      <c r="AC56" s="339"/>
      <c r="AD56" s="340"/>
    </row>
    <row r="57" spans="1:30" s="306" customFormat="1" x14ac:dyDescent="0.2">
      <c r="A57" s="321"/>
      <c r="B57" s="334"/>
      <c r="C57" s="334"/>
      <c r="D57" s="334"/>
      <c r="E57" s="334"/>
      <c r="F57" s="334">
        <v>415</v>
      </c>
      <c r="G57" s="334"/>
      <c r="H57" s="312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5"/>
      <c r="T57" s="335"/>
      <c r="U57" s="336"/>
      <c r="V57" s="336"/>
      <c r="W57" s="337" t="s">
        <v>954</v>
      </c>
      <c r="X57" s="325"/>
      <c r="Y57" s="325"/>
      <c r="Z57" s="338"/>
      <c r="AA57" s="339"/>
      <c r="AB57" s="339"/>
      <c r="AC57" s="339"/>
      <c r="AD57" s="340"/>
    </row>
    <row r="58" spans="1:30" s="306" customFormat="1" x14ac:dyDescent="0.2">
      <c r="A58" s="327">
        <v>25</v>
      </c>
      <c r="B58" s="334" t="s">
        <v>859</v>
      </c>
      <c r="C58" s="334" t="s">
        <v>48</v>
      </c>
      <c r="D58" s="334" t="s">
        <v>40</v>
      </c>
      <c r="E58" s="334" t="s">
        <v>859</v>
      </c>
      <c r="F58" s="334"/>
      <c r="G58" s="334" t="s">
        <v>859</v>
      </c>
      <c r="H58" s="328">
        <f>H56+F57</f>
        <v>9038.7060000000001</v>
      </c>
      <c r="I58" s="334">
        <v>412.13200000000001</v>
      </c>
      <c r="J58" s="334">
        <v>74</v>
      </c>
      <c r="K58" s="334">
        <f>F57+F59</f>
        <v>801</v>
      </c>
      <c r="L58" s="334">
        <f>K58/2</f>
        <v>400.5</v>
      </c>
      <c r="M58" s="334">
        <v>219</v>
      </c>
      <c r="N58" s="334">
        <v>192</v>
      </c>
      <c r="O58" s="334">
        <v>411</v>
      </c>
      <c r="P58" s="334">
        <v>215</v>
      </c>
      <c r="Q58" s="334">
        <v>192</v>
      </c>
      <c r="R58" s="334">
        <v>407</v>
      </c>
      <c r="S58" s="335" t="s">
        <v>955</v>
      </c>
      <c r="T58" s="335" t="s">
        <v>956</v>
      </c>
      <c r="U58" s="336">
        <v>525195.31299999997</v>
      </c>
      <c r="V58" s="336">
        <v>2673619.0630000001</v>
      </c>
      <c r="W58" s="337"/>
      <c r="X58" s="341" t="s">
        <v>927</v>
      </c>
      <c r="Y58" s="341" t="s">
        <v>920</v>
      </c>
      <c r="Z58" s="338" t="s">
        <v>367</v>
      </c>
      <c r="AA58" s="339"/>
      <c r="AB58" s="339"/>
      <c r="AC58" s="339"/>
      <c r="AD58" s="340"/>
    </row>
    <row r="59" spans="1:30" s="306" customFormat="1" ht="25.5" x14ac:dyDescent="0.2">
      <c r="A59" s="321"/>
      <c r="B59" s="334"/>
      <c r="C59" s="334"/>
      <c r="D59" s="334"/>
      <c r="E59" s="334"/>
      <c r="F59" s="334">
        <v>386</v>
      </c>
      <c r="G59" s="334"/>
      <c r="H59" s="312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5"/>
      <c r="T59" s="335"/>
      <c r="U59" s="336"/>
      <c r="V59" s="336"/>
      <c r="W59" s="337" t="s">
        <v>957</v>
      </c>
      <c r="X59" s="325"/>
      <c r="Y59" s="325"/>
      <c r="Z59" s="338"/>
      <c r="AA59" s="339"/>
      <c r="AB59" s="339"/>
      <c r="AC59" s="339"/>
      <c r="AD59" s="340"/>
    </row>
    <row r="60" spans="1:30" s="306" customFormat="1" x14ac:dyDescent="0.2">
      <c r="A60" s="327">
        <v>26</v>
      </c>
      <c r="B60" s="334" t="s">
        <v>958</v>
      </c>
      <c r="C60" s="334" t="s">
        <v>49</v>
      </c>
      <c r="D60" s="334" t="s">
        <v>45</v>
      </c>
      <c r="E60" s="334" t="s">
        <v>959</v>
      </c>
      <c r="F60" s="334"/>
      <c r="G60" s="334">
        <f>SUM(F53:F59)</f>
        <v>1555</v>
      </c>
      <c r="H60" s="328">
        <f>H58+F59</f>
        <v>9424.7060000000001</v>
      </c>
      <c r="I60" s="334">
        <v>413.89</v>
      </c>
      <c r="J60" s="343">
        <v>70.72</v>
      </c>
      <c r="K60" s="334">
        <f>F59+F61</f>
        <v>738</v>
      </c>
      <c r="L60" s="334">
        <f>K60/2</f>
        <v>369</v>
      </c>
      <c r="M60" s="334"/>
      <c r="N60" s="334">
        <v>178</v>
      </c>
      <c r="O60" s="334">
        <v>178</v>
      </c>
      <c r="P60" s="334"/>
      <c r="Q60" s="334">
        <v>179</v>
      </c>
      <c r="R60" s="334">
        <v>179</v>
      </c>
      <c r="S60" s="335" t="s">
        <v>960</v>
      </c>
      <c r="T60" s="335" t="s">
        <v>961</v>
      </c>
      <c r="U60" s="336">
        <v>525485.46200000006</v>
      </c>
      <c r="V60" s="336">
        <v>2673364.497</v>
      </c>
      <c r="W60" s="337"/>
      <c r="X60" s="341" t="s">
        <v>962</v>
      </c>
      <c r="Y60" s="341" t="s">
        <v>920</v>
      </c>
      <c r="Z60" s="338" t="s">
        <v>367</v>
      </c>
      <c r="AA60" s="339"/>
      <c r="AB60" s="339"/>
      <c r="AC60" s="339"/>
      <c r="AD60" s="340"/>
    </row>
    <row r="61" spans="1:30" s="306" customFormat="1" x14ac:dyDescent="0.2">
      <c r="A61" s="321"/>
      <c r="B61" s="334"/>
      <c r="C61" s="334"/>
      <c r="D61" s="334"/>
      <c r="E61" s="334"/>
      <c r="F61" s="334">
        <v>352</v>
      </c>
      <c r="G61" s="334"/>
      <c r="H61" s="312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 t="s">
        <v>963</v>
      </c>
      <c r="X61" s="325"/>
      <c r="Y61" s="325"/>
      <c r="Z61" s="338"/>
      <c r="AA61" s="339"/>
      <c r="AB61" s="339"/>
      <c r="AC61" s="339"/>
      <c r="AD61" s="340"/>
    </row>
    <row r="62" spans="1:30" s="306" customFormat="1" x14ac:dyDescent="0.2">
      <c r="A62" s="327">
        <v>27</v>
      </c>
      <c r="B62" s="334" t="s">
        <v>859</v>
      </c>
      <c r="C62" s="334" t="s">
        <v>50</v>
      </c>
      <c r="D62" s="334" t="s">
        <v>36</v>
      </c>
      <c r="E62" s="334" t="s">
        <v>859</v>
      </c>
      <c r="F62" s="334"/>
      <c r="G62" s="334"/>
      <c r="H62" s="328">
        <f>H60+F61</f>
        <v>9776.7060000000001</v>
      </c>
      <c r="I62" s="342">
        <v>413.39</v>
      </c>
      <c r="J62" s="334">
        <v>72.5</v>
      </c>
      <c r="K62" s="334">
        <f>F61+F63</f>
        <v>744</v>
      </c>
      <c r="L62" s="334">
        <f>K62/2</f>
        <v>372</v>
      </c>
      <c r="M62" s="334">
        <v>174</v>
      </c>
      <c r="N62" s="334">
        <v>200</v>
      </c>
      <c r="O62" s="334">
        <v>374</v>
      </c>
      <c r="P62" s="334">
        <v>173</v>
      </c>
      <c r="Q62" s="334">
        <v>202</v>
      </c>
      <c r="R62" s="334">
        <v>375</v>
      </c>
      <c r="S62" s="334" t="s">
        <v>964</v>
      </c>
      <c r="T62" s="334" t="s">
        <v>965</v>
      </c>
      <c r="U62" s="334">
        <v>525817.81000000006</v>
      </c>
      <c r="V62" s="334">
        <v>2673248.52</v>
      </c>
      <c r="W62" s="334"/>
      <c r="X62" s="341" t="s">
        <v>962</v>
      </c>
      <c r="Y62" s="341" t="s">
        <v>920</v>
      </c>
      <c r="Z62" s="338" t="s">
        <v>367</v>
      </c>
      <c r="AA62" s="339"/>
      <c r="AB62" s="339"/>
      <c r="AC62" s="339"/>
      <c r="AD62" s="340"/>
    </row>
    <row r="63" spans="1:30" s="306" customFormat="1" x14ac:dyDescent="0.2">
      <c r="A63" s="321"/>
      <c r="B63" s="334"/>
      <c r="C63" s="334"/>
      <c r="D63" s="334"/>
      <c r="E63" s="334"/>
      <c r="F63" s="334">
        <v>392</v>
      </c>
      <c r="G63" s="334"/>
      <c r="H63" s="312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 t="s">
        <v>966</v>
      </c>
      <c r="X63" s="325"/>
      <c r="Y63" s="325"/>
      <c r="Z63" s="338"/>
      <c r="AA63" s="339"/>
      <c r="AB63" s="339"/>
      <c r="AC63" s="339"/>
      <c r="AD63" s="340"/>
    </row>
    <row r="64" spans="1:30" s="306" customFormat="1" x14ac:dyDescent="0.2">
      <c r="A64" s="327">
        <v>28</v>
      </c>
      <c r="B64" s="334" t="s">
        <v>859</v>
      </c>
      <c r="C64" s="334" t="s">
        <v>51</v>
      </c>
      <c r="D64" s="334" t="s">
        <v>36</v>
      </c>
      <c r="E64" s="334" t="s">
        <v>859</v>
      </c>
      <c r="F64" s="334"/>
      <c r="G64" s="334"/>
      <c r="H64" s="328">
        <f>H62+F63</f>
        <v>10168.706</v>
      </c>
      <c r="I64" s="342">
        <v>412.24</v>
      </c>
      <c r="J64" s="334">
        <v>72.5</v>
      </c>
      <c r="K64" s="334">
        <f>F63+F65</f>
        <v>773</v>
      </c>
      <c r="L64" s="334">
        <f>K64/2</f>
        <v>386.5</v>
      </c>
      <c r="M64" s="334">
        <v>192</v>
      </c>
      <c r="N64" s="334">
        <v>195</v>
      </c>
      <c r="O64" s="334">
        <v>387</v>
      </c>
      <c r="P64" s="334">
        <v>190</v>
      </c>
      <c r="Q64" s="334">
        <v>198</v>
      </c>
      <c r="R64" s="334">
        <v>388</v>
      </c>
      <c r="S64" s="334" t="s">
        <v>967</v>
      </c>
      <c r="T64" s="334" t="s">
        <v>968</v>
      </c>
      <c r="U64" s="334">
        <v>526187.92000000004</v>
      </c>
      <c r="V64" s="334">
        <v>2673119.37</v>
      </c>
      <c r="W64" s="334"/>
      <c r="X64" s="341" t="s">
        <v>962</v>
      </c>
      <c r="Y64" s="341" t="s">
        <v>920</v>
      </c>
      <c r="Z64" s="338" t="s">
        <v>367</v>
      </c>
      <c r="AA64" s="339"/>
      <c r="AB64" s="339"/>
      <c r="AC64" s="339"/>
      <c r="AD64" s="340"/>
    </row>
    <row r="65" spans="1:30" s="306" customFormat="1" x14ac:dyDescent="0.2">
      <c r="A65" s="321"/>
      <c r="B65" s="334"/>
      <c r="C65" s="334"/>
      <c r="D65" s="334"/>
      <c r="E65" s="334"/>
      <c r="F65" s="334">
        <v>381</v>
      </c>
      <c r="G65" s="334"/>
      <c r="H65" s="312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 t="s">
        <v>969</v>
      </c>
      <c r="X65" s="325"/>
      <c r="Y65" s="325"/>
      <c r="Z65" s="338"/>
      <c r="AA65" s="339"/>
      <c r="AB65" s="339"/>
      <c r="AC65" s="339"/>
      <c r="AD65" s="340"/>
    </row>
    <row r="66" spans="1:30" s="306" customFormat="1" x14ac:dyDescent="0.2">
      <c r="A66" s="327">
        <v>29</v>
      </c>
      <c r="B66" s="334" t="s">
        <v>859</v>
      </c>
      <c r="C66" s="334" t="s">
        <v>52</v>
      </c>
      <c r="D66" s="334" t="s">
        <v>36</v>
      </c>
      <c r="E66" s="334" t="s">
        <v>859</v>
      </c>
      <c r="F66" s="334"/>
      <c r="G66" s="334"/>
      <c r="H66" s="328">
        <f>H64+F65</f>
        <v>10549.706</v>
      </c>
      <c r="I66" s="342">
        <v>410.96</v>
      </c>
      <c r="J66" s="334">
        <v>72.5</v>
      </c>
      <c r="K66" s="334">
        <f>F65+F67</f>
        <v>771</v>
      </c>
      <c r="L66" s="334">
        <f>K66/2</f>
        <v>385.5</v>
      </c>
      <c r="M66" s="334">
        <v>186</v>
      </c>
      <c r="N66" s="334">
        <v>190</v>
      </c>
      <c r="O66" s="334">
        <v>376</v>
      </c>
      <c r="P66" s="334">
        <v>183</v>
      </c>
      <c r="Q66" s="334">
        <v>187</v>
      </c>
      <c r="R66" s="334">
        <v>370</v>
      </c>
      <c r="S66" s="334" t="s">
        <v>970</v>
      </c>
      <c r="T66" s="334" t="s">
        <v>971</v>
      </c>
      <c r="U66" s="334">
        <v>526547.65</v>
      </c>
      <c r="V66" s="334">
        <v>2672993.84</v>
      </c>
      <c r="W66" s="334"/>
      <c r="X66" s="341" t="s">
        <v>962</v>
      </c>
      <c r="Y66" s="341" t="s">
        <v>920</v>
      </c>
      <c r="Z66" s="338" t="s">
        <v>367</v>
      </c>
      <c r="AA66" s="339"/>
      <c r="AB66" s="339"/>
      <c r="AC66" s="339"/>
      <c r="AD66" s="340"/>
    </row>
    <row r="67" spans="1:30" s="306" customFormat="1" x14ac:dyDescent="0.2">
      <c r="A67" s="321"/>
      <c r="B67" s="334"/>
      <c r="C67" s="334"/>
      <c r="D67" s="334"/>
      <c r="E67" s="334"/>
      <c r="F67" s="334">
        <v>390</v>
      </c>
      <c r="G67" s="334"/>
      <c r="H67" s="312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 t="s">
        <v>972</v>
      </c>
      <c r="X67" s="325"/>
      <c r="Y67" s="325"/>
      <c r="Z67" s="338"/>
      <c r="AA67" s="339"/>
      <c r="AB67" s="339"/>
      <c r="AC67" s="339"/>
      <c r="AD67" s="340"/>
    </row>
    <row r="68" spans="1:30" s="306" customFormat="1" x14ac:dyDescent="0.2">
      <c r="A68" s="327">
        <v>30</v>
      </c>
      <c r="B68" s="334" t="s">
        <v>859</v>
      </c>
      <c r="C68" s="334" t="s">
        <v>53</v>
      </c>
      <c r="D68" s="334" t="s">
        <v>36</v>
      </c>
      <c r="E68" s="334" t="s">
        <v>859</v>
      </c>
      <c r="F68" s="334"/>
      <c r="G68" s="334"/>
      <c r="H68" s="328">
        <f>H66+F67</f>
        <v>10939.706</v>
      </c>
      <c r="I68" s="342">
        <v>412.34</v>
      </c>
      <c r="J68" s="334">
        <v>72.5</v>
      </c>
      <c r="K68" s="334">
        <f>F67+F69</f>
        <v>781</v>
      </c>
      <c r="L68" s="334">
        <f>K68/2</f>
        <v>390.5</v>
      </c>
      <c r="M68" s="334">
        <v>200</v>
      </c>
      <c r="N68" s="334">
        <v>188</v>
      </c>
      <c r="O68" s="334">
        <v>388</v>
      </c>
      <c r="P68" s="334">
        <v>203</v>
      </c>
      <c r="Q68" s="334">
        <v>185</v>
      </c>
      <c r="R68" s="334">
        <v>388</v>
      </c>
      <c r="S68" s="334" t="s">
        <v>973</v>
      </c>
      <c r="T68" s="334" t="s">
        <v>974</v>
      </c>
      <c r="U68" s="334">
        <v>526915.87</v>
      </c>
      <c r="V68" s="334">
        <v>2672865.34</v>
      </c>
      <c r="W68" s="334"/>
      <c r="X68" s="341" t="s">
        <v>962</v>
      </c>
      <c r="Y68" s="341" t="s">
        <v>920</v>
      </c>
      <c r="Z68" s="338" t="s">
        <v>367</v>
      </c>
      <c r="AA68" s="339"/>
      <c r="AB68" s="339"/>
      <c r="AC68" s="339"/>
      <c r="AD68" s="340"/>
    </row>
    <row r="69" spans="1:30" s="306" customFormat="1" x14ac:dyDescent="0.2">
      <c r="A69" s="321"/>
      <c r="B69" s="334"/>
      <c r="C69" s="334"/>
      <c r="D69" s="334"/>
      <c r="E69" s="334"/>
      <c r="F69" s="334">
        <v>391</v>
      </c>
      <c r="G69" s="334"/>
      <c r="H69" s="312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 t="s">
        <v>975</v>
      </c>
      <c r="X69" s="325"/>
      <c r="Y69" s="325"/>
      <c r="Z69" s="338"/>
      <c r="AA69" s="339"/>
      <c r="AB69" s="339"/>
      <c r="AC69" s="339"/>
      <c r="AD69" s="340"/>
    </row>
    <row r="70" spans="1:30" s="306" customFormat="1" x14ac:dyDescent="0.2">
      <c r="A70" s="327">
        <v>31</v>
      </c>
      <c r="B70" s="334" t="s">
        <v>976</v>
      </c>
      <c r="C70" s="334" t="s">
        <v>54</v>
      </c>
      <c r="D70" s="334" t="s">
        <v>33</v>
      </c>
      <c r="E70" s="334" t="s">
        <v>977</v>
      </c>
      <c r="F70" s="334"/>
      <c r="G70" s="334">
        <f>SUM(F61:F69)</f>
        <v>1906</v>
      </c>
      <c r="H70" s="328">
        <f>H68+F69</f>
        <v>11330.706</v>
      </c>
      <c r="I70" s="334">
        <v>414.33</v>
      </c>
      <c r="J70" s="343">
        <v>70.72</v>
      </c>
      <c r="K70" s="334">
        <f>F69+F71</f>
        <v>722</v>
      </c>
      <c r="L70" s="334">
        <f>K70/2</f>
        <v>361</v>
      </c>
      <c r="M70" s="334">
        <v>203</v>
      </c>
      <c r="N70" s="334">
        <v>155</v>
      </c>
      <c r="O70" s="334">
        <v>358</v>
      </c>
      <c r="P70" s="334">
        <v>206</v>
      </c>
      <c r="Q70" s="334">
        <v>150</v>
      </c>
      <c r="R70" s="334">
        <v>356</v>
      </c>
      <c r="S70" s="334" t="s">
        <v>978</v>
      </c>
      <c r="T70" s="334" t="s">
        <v>979</v>
      </c>
      <c r="U70" s="334">
        <v>527284.93999999994</v>
      </c>
      <c r="V70" s="334">
        <v>2672736.5499999998</v>
      </c>
      <c r="W70" s="334"/>
      <c r="X70" s="341" t="s">
        <v>962</v>
      </c>
      <c r="Y70" s="341" t="s">
        <v>920</v>
      </c>
      <c r="Z70" s="338" t="s">
        <v>367</v>
      </c>
      <c r="AA70" s="339"/>
      <c r="AB70" s="339"/>
      <c r="AC70" s="339"/>
      <c r="AD70" s="340"/>
    </row>
    <row r="71" spans="1:30" s="306" customFormat="1" x14ac:dyDescent="0.2">
      <c r="A71" s="321"/>
      <c r="B71" s="334"/>
      <c r="C71" s="334"/>
      <c r="D71" s="334"/>
      <c r="E71" s="334"/>
      <c r="F71" s="334">
        <v>331</v>
      </c>
      <c r="G71" s="334"/>
      <c r="H71" s="312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 t="s">
        <v>980</v>
      </c>
      <c r="X71" s="325"/>
      <c r="Y71" s="325"/>
      <c r="Z71" s="338"/>
      <c r="AA71" s="339"/>
      <c r="AB71" s="339"/>
      <c r="AC71" s="339"/>
      <c r="AD71" s="340"/>
    </row>
    <row r="72" spans="1:30" s="306" customFormat="1" x14ac:dyDescent="0.2">
      <c r="A72" s="327">
        <v>32</v>
      </c>
      <c r="B72" s="334" t="s">
        <v>859</v>
      </c>
      <c r="C72" s="334" t="s">
        <v>55</v>
      </c>
      <c r="D72" s="334" t="s">
        <v>36</v>
      </c>
      <c r="E72" s="334" t="s">
        <v>859</v>
      </c>
      <c r="F72" s="334"/>
      <c r="G72" s="334"/>
      <c r="H72" s="328">
        <f>H70+F71</f>
        <v>11661.706</v>
      </c>
      <c r="I72" s="342">
        <v>416.74</v>
      </c>
      <c r="J72" s="334">
        <v>72.5</v>
      </c>
      <c r="K72" s="334">
        <f>F71+F73</f>
        <v>735</v>
      </c>
      <c r="L72" s="334">
        <f>K72/2</f>
        <v>367.5</v>
      </c>
      <c r="M72" s="334">
        <v>176</v>
      </c>
      <c r="N72" s="334">
        <v>177</v>
      </c>
      <c r="O72" s="334">
        <v>353</v>
      </c>
      <c r="P72" s="334">
        <v>181</v>
      </c>
      <c r="Q72" s="334">
        <v>165</v>
      </c>
      <c r="R72" s="334">
        <v>346</v>
      </c>
      <c r="S72" s="334" t="s">
        <v>981</v>
      </c>
      <c r="T72" s="334" t="s">
        <v>982</v>
      </c>
      <c r="U72" s="334">
        <v>527593.43999999994</v>
      </c>
      <c r="V72" s="334">
        <v>2672616.6</v>
      </c>
      <c r="W72" s="334"/>
      <c r="X72" s="341" t="s">
        <v>962</v>
      </c>
      <c r="Y72" s="341" t="s">
        <v>920</v>
      </c>
      <c r="Z72" s="338" t="s">
        <v>367</v>
      </c>
      <c r="AA72" s="339"/>
      <c r="AB72" s="339"/>
      <c r="AC72" s="339"/>
      <c r="AD72" s="340"/>
    </row>
    <row r="73" spans="1:30" s="306" customFormat="1" x14ac:dyDescent="0.2">
      <c r="A73" s="321"/>
      <c r="B73" s="334"/>
      <c r="C73" s="334"/>
      <c r="D73" s="334"/>
      <c r="E73" s="334"/>
      <c r="F73" s="334">
        <v>404</v>
      </c>
      <c r="G73" s="334"/>
      <c r="H73" s="312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 t="s">
        <v>963</v>
      </c>
      <c r="X73" s="325"/>
      <c r="Y73" s="325"/>
      <c r="Z73" s="338"/>
      <c r="AA73" s="339"/>
      <c r="AB73" s="339"/>
      <c r="AC73" s="339"/>
      <c r="AD73" s="340"/>
    </row>
    <row r="74" spans="1:30" s="306" customFormat="1" x14ac:dyDescent="0.2">
      <c r="A74" s="327">
        <v>33</v>
      </c>
      <c r="B74" s="334" t="s">
        <v>859</v>
      </c>
      <c r="C74" s="334" t="s">
        <v>56</v>
      </c>
      <c r="D74" s="334" t="s">
        <v>38</v>
      </c>
      <c r="E74" s="334" t="s">
        <v>859</v>
      </c>
      <c r="F74" s="334"/>
      <c r="G74" s="334"/>
      <c r="H74" s="328">
        <f>H72+F73</f>
        <v>12065.706</v>
      </c>
      <c r="I74" s="334">
        <v>420.745</v>
      </c>
      <c r="J74" s="334">
        <v>75.5</v>
      </c>
      <c r="K74" s="334">
        <f>F73+F75</f>
        <v>814</v>
      </c>
      <c r="L74" s="334">
        <f>K74/2</f>
        <v>407</v>
      </c>
      <c r="M74" s="334">
        <v>227</v>
      </c>
      <c r="N74" s="334">
        <v>195</v>
      </c>
      <c r="O74" s="334">
        <v>422</v>
      </c>
      <c r="P74" s="334">
        <v>239</v>
      </c>
      <c r="Q74" s="334">
        <v>190</v>
      </c>
      <c r="R74" s="334">
        <v>429</v>
      </c>
      <c r="S74" s="334" t="s">
        <v>983</v>
      </c>
      <c r="T74" s="334" t="s">
        <v>984</v>
      </c>
      <c r="U74" s="334">
        <v>527969.98</v>
      </c>
      <c r="V74" s="334">
        <v>2672470.2000000002</v>
      </c>
      <c r="W74" s="334"/>
      <c r="X74" s="341" t="s">
        <v>962</v>
      </c>
      <c r="Y74" s="341" t="s">
        <v>920</v>
      </c>
      <c r="Z74" s="338" t="s">
        <v>367</v>
      </c>
      <c r="AA74" s="339"/>
      <c r="AB74" s="339"/>
      <c r="AC74" s="339"/>
      <c r="AD74" s="340"/>
    </row>
    <row r="75" spans="1:30" s="306" customFormat="1" x14ac:dyDescent="0.2">
      <c r="A75" s="321"/>
      <c r="B75" s="334"/>
      <c r="C75" s="334"/>
      <c r="D75" s="334"/>
      <c r="E75" s="334"/>
      <c r="F75" s="334">
        <v>410</v>
      </c>
      <c r="G75" s="334"/>
      <c r="H75" s="312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 t="s">
        <v>975</v>
      </c>
      <c r="X75" s="325"/>
      <c r="Y75" s="325"/>
      <c r="Z75" s="338"/>
      <c r="AA75" s="339"/>
      <c r="AB75" s="339"/>
      <c r="AC75" s="339"/>
      <c r="AD75" s="340"/>
    </row>
    <row r="76" spans="1:30" s="306" customFormat="1" x14ac:dyDescent="0.2">
      <c r="A76" s="327">
        <v>34</v>
      </c>
      <c r="B76" s="334" t="s">
        <v>859</v>
      </c>
      <c r="C76" s="334" t="s">
        <v>57</v>
      </c>
      <c r="D76" s="334" t="s">
        <v>38</v>
      </c>
      <c r="E76" s="334" t="s">
        <v>859</v>
      </c>
      <c r="F76" s="334"/>
      <c r="G76" s="334"/>
      <c r="H76" s="328">
        <f>H74+F75</f>
        <v>12475.706</v>
      </c>
      <c r="I76" s="334">
        <v>423.53</v>
      </c>
      <c r="J76" s="334">
        <v>75.5</v>
      </c>
      <c r="K76" s="334">
        <f>F75+F77</f>
        <v>808</v>
      </c>
      <c r="L76" s="334">
        <f>K76/2</f>
        <v>404</v>
      </c>
      <c r="M76" s="334">
        <v>215</v>
      </c>
      <c r="N76" s="334">
        <v>203</v>
      </c>
      <c r="O76" s="334">
        <v>418</v>
      </c>
      <c r="P76" s="334">
        <v>220</v>
      </c>
      <c r="Q76" s="334">
        <v>205</v>
      </c>
      <c r="R76" s="334">
        <v>425</v>
      </c>
      <c r="S76" s="334" t="s">
        <v>985</v>
      </c>
      <c r="T76" s="334" t="s">
        <v>986</v>
      </c>
      <c r="U76" s="334">
        <v>528352.12</v>
      </c>
      <c r="V76" s="334">
        <v>2672321.62</v>
      </c>
      <c r="W76" s="334"/>
      <c r="X76" s="341" t="s">
        <v>962</v>
      </c>
      <c r="Y76" s="341" t="s">
        <v>920</v>
      </c>
      <c r="Z76" s="338" t="s">
        <v>367</v>
      </c>
      <c r="AA76" s="339"/>
      <c r="AB76" s="339"/>
      <c r="AC76" s="339"/>
      <c r="AD76" s="340"/>
    </row>
    <row r="77" spans="1:30" s="306" customFormat="1" x14ac:dyDescent="0.2">
      <c r="A77" s="321"/>
      <c r="B77" s="334"/>
      <c r="C77" s="334"/>
      <c r="D77" s="334"/>
      <c r="E77" s="334"/>
      <c r="F77" s="334">
        <v>398</v>
      </c>
      <c r="G77" s="334"/>
      <c r="H77" s="312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 t="s">
        <v>963</v>
      </c>
      <c r="X77" s="325"/>
      <c r="Y77" s="325"/>
      <c r="Z77" s="338"/>
      <c r="AA77" s="339"/>
      <c r="AB77" s="339"/>
      <c r="AC77" s="339"/>
      <c r="AD77" s="340"/>
    </row>
    <row r="78" spans="1:30" s="306" customFormat="1" x14ac:dyDescent="0.2">
      <c r="A78" s="327">
        <v>35</v>
      </c>
      <c r="B78" s="334" t="s">
        <v>859</v>
      </c>
      <c r="C78" s="334" t="s">
        <v>58</v>
      </c>
      <c r="D78" s="334" t="s">
        <v>38</v>
      </c>
      <c r="E78" s="334" t="s">
        <v>859</v>
      </c>
      <c r="F78" s="334"/>
      <c r="G78" s="334"/>
      <c r="H78" s="328">
        <f>H76+F77</f>
        <v>12873.706</v>
      </c>
      <c r="I78" s="334">
        <v>422.4</v>
      </c>
      <c r="J78" s="334">
        <v>75.5</v>
      </c>
      <c r="K78" s="334">
        <f>F77+F79</f>
        <v>830</v>
      </c>
      <c r="L78" s="334">
        <f>K78/2</f>
        <v>415</v>
      </c>
      <c r="M78" s="334">
        <v>195</v>
      </c>
      <c r="N78" s="334">
        <v>242</v>
      </c>
      <c r="O78" s="334">
        <v>437</v>
      </c>
      <c r="P78" s="334">
        <v>193</v>
      </c>
      <c r="Q78" s="334">
        <v>254</v>
      </c>
      <c r="R78" s="334">
        <v>447</v>
      </c>
      <c r="S78" s="334" t="s">
        <v>987</v>
      </c>
      <c r="T78" s="334" t="s">
        <v>988</v>
      </c>
      <c r="U78" s="334">
        <v>528723.06000000006</v>
      </c>
      <c r="V78" s="334">
        <v>2672177.4</v>
      </c>
      <c r="W78" s="334"/>
      <c r="X78" s="341" t="s">
        <v>962</v>
      </c>
      <c r="Y78" s="341" t="s">
        <v>920</v>
      </c>
      <c r="Z78" s="338" t="s">
        <v>367</v>
      </c>
      <c r="AA78" s="339"/>
      <c r="AB78" s="339"/>
      <c r="AC78" s="339"/>
      <c r="AD78" s="340"/>
    </row>
    <row r="79" spans="1:30" s="306" customFormat="1" ht="25.5" x14ac:dyDescent="0.2">
      <c r="A79" s="321"/>
      <c r="B79" s="334"/>
      <c r="C79" s="334"/>
      <c r="D79" s="334"/>
      <c r="E79" s="334"/>
      <c r="F79" s="334">
        <v>432</v>
      </c>
      <c r="G79" s="334"/>
      <c r="H79" s="312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 t="s">
        <v>989</v>
      </c>
      <c r="X79" s="325"/>
      <c r="Y79" s="325"/>
      <c r="Z79" s="338"/>
      <c r="AA79" s="339"/>
      <c r="AB79" s="339"/>
      <c r="AC79" s="339"/>
      <c r="AD79" s="340"/>
    </row>
    <row r="80" spans="1:30" s="306" customFormat="1" x14ac:dyDescent="0.2">
      <c r="A80" s="327">
        <v>36</v>
      </c>
      <c r="B80" s="334" t="s">
        <v>859</v>
      </c>
      <c r="C80" s="334" t="s">
        <v>59</v>
      </c>
      <c r="D80" s="334" t="s">
        <v>36</v>
      </c>
      <c r="E80" s="334" t="s">
        <v>859</v>
      </c>
      <c r="F80" s="334"/>
      <c r="G80" s="334"/>
      <c r="H80" s="328">
        <f>H78+F79</f>
        <v>13305.706</v>
      </c>
      <c r="I80" s="342">
        <v>417.72</v>
      </c>
      <c r="J80" s="334">
        <v>72.5</v>
      </c>
      <c r="K80" s="334">
        <f>F79+F81</f>
        <v>788</v>
      </c>
      <c r="L80" s="334">
        <f>K80/2</f>
        <v>394</v>
      </c>
      <c r="M80" s="334">
        <v>190</v>
      </c>
      <c r="N80" s="334">
        <v>174</v>
      </c>
      <c r="O80" s="334">
        <v>364</v>
      </c>
      <c r="P80" s="334">
        <v>178</v>
      </c>
      <c r="Q80" s="334">
        <v>173</v>
      </c>
      <c r="R80" s="334">
        <v>351</v>
      </c>
      <c r="S80" s="334" t="s">
        <v>990</v>
      </c>
      <c r="T80" s="334" t="s">
        <v>991</v>
      </c>
      <c r="U80" s="334">
        <v>529125.69999999995</v>
      </c>
      <c r="V80" s="334">
        <v>2672020.85</v>
      </c>
      <c r="W80" s="334"/>
      <c r="X80" s="341" t="s">
        <v>992</v>
      </c>
      <c r="Y80" s="341" t="s">
        <v>920</v>
      </c>
      <c r="Z80" s="338" t="s">
        <v>367</v>
      </c>
      <c r="AA80" s="339"/>
      <c r="AB80" s="339"/>
      <c r="AC80" s="339"/>
      <c r="AD80" s="340"/>
    </row>
    <row r="81" spans="1:30" s="306" customFormat="1" x14ac:dyDescent="0.2">
      <c r="A81" s="321"/>
      <c r="B81" s="334"/>
      <c r="C81" s="334"/>
      <c r="D81" s="334"/>
      <c r="E81" s="334"/>
      <c r="F81" s="334">
        <v>356</v>
      </c>
      <c r="G81" s="334"/>
      <c r="H81" s="312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 t="s">
        <v>969</v>
      </c>
      <c r="X81" s="325"/>
      <c r="Y81" s="325"/>
      <c r="Z81" s="338"/>
      <c r="AA81" s="339"/>
      <c r="AB81" s="339"/>
      <c r="AC81" s="339"/>
      <c r="AD81" s="340"/>
    </row>
    <row r="82" spans="1:30" s="306" customFormat="1" x14ac:dyDescent="0.2">
      <c r="A82" s="327">
        <v>37</v>
      </c>
      <c r="B82" s="334" t="s">
        <v>859</v>
      </c>
      <c r="C82" s="334" t="s">
        <v>60</v>
      </c>
      <c r="D82" s="334" t="s">
        <v>36</v>
      </c>
      <c r="E82" s="334" t="s">
        <v>859</v>
      </c>
      <c r="F82" s="334"/>
      <c r="G82" s="334"/>
      <c r="H82" s="328">
        <f>H80+F81</f>
        <v>13661.706</v>
      </c>
      <c r="I82" s="342">
        <v>418.57</v>
      </c>
      <c r="J82" s="334">
        <v>72.5</v>
      </c>
      <c r="K82" s="334">
        <f>F81+F83</f>
        <v>764</v>
      </c>
      <c r="L82" s="334">
        <f>K82/2</f>
        <v>382</v>
      </c>
      <c r="M82" s="334">
        <v>182</v>
      </c>
      <c r="N82" s="334">
        <v>228</v>
      </c>
      <c r="O82" s="334">
        <v>410</v>
      </c>
      <c r="P82" s="334">
        <v>183</v>
      </c>
      <c r="Q82" s="334">
        <v>238</v>
      </c>
      <c r="R82" s="334">
        <v>421</v>
      </c>
      <c r="S82" s="334" t="s">
        <v>993</v>
      </c>
      <c r="T82" s="334" t="s">
        <v>994</v>
      </c>
      <c r="U82" s="334">
        <v>529457.5</v>
      </c>
      <c r="V82" s="334">
        <v>2671891.84</v>
      </c>
      <c r="W82" s="334"/>
      <c r="X82" s="335" t="s">
        <v>995</v>
      </c>
      <c r="Y82" s="341" t="s">
        <v>920</v>
      </c>
      <c r="Z82" s="338" t="s">
        <v>367</v>
      </c>
      <c r="AA82" s="339"/>
      <c r="AB82" s="339"/>
      <c r="AC82" s="339"/>
      <c r="AD82" s="340"/>
    </row>
    <row r="83" spans="1:30" s="306" customFormat="1" x14ac:dyDescent="0.2">
      <c r="A83" s="321"/>
      <c r="B83" s="334"/>
      <c r="C83" s="334"/>
      <c r="D83" s="334"/>
      <c r="E83" s="334"/>
      <c r="F83" s="334">
        <v>408</v>
      </c>
      <c r="G83" s="334"/>
      <c r="H83" s="312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 t="s">
        <v>966</v>
      </c>
      <c r="X83" s="325"/>
      <c r="Y83" s="325"/>
      <c r="Z83" s="338"/>
      <c r="AA83" s="339"/>
      <c r="AB83" s="339"/>
      <c r="AC83" s="339"/>
      <c r="AD83" s="340"/>
    </row>
    <row r="84" spans="1:30" s="306" customFormat="1" x14ac:dyDescent="0.2">
      <c r="A84" s="327">
        <v>38</v>
      </c>
      <c r="B84" s="334" t="s">
        <v>859</v>
      </c>
      <c r="C84" s="334" t="s">
        <v>61</v>
      </c>
      <c r="D84" s="334" t="s">
        <v>36</v>
      </c>
      <c r="E84" s="334" t="s">
        <v>859</v>
      </c>
      <c r="F84" s="334"/>
      <c r="G84" s="334"/>
      <c r="H84" s="328">
        <f>H82+F83</f>
        <v>14069.706</v>
      </c>
      <c r="I84" s="342">
        <v>412</v>
      </c>
      <c r="J84" s="334">
        <v>72.5</v>
      </c>
      <c r="K84" s="334">
        <f>F83+F85</f>
        <v>823</v>
      </c>
      <c r="L84" s="334">
        <f>K84/2</f>
        <v>411.5</v>
      </c>
      <c r="M84" s="334">
        <v>180</v>
      </c>
      <c r="N84" s="334">
        <v>208</v>
      </c>
      <c r="O84" s="334">
        <v>388</v>
      </c>
      <c r="P84" s="334">
        <v>170</v>
      </c>
      <c r="Q84" s="334">
        <v>208</v>
      </c>
      <c r="R84" s="334">
        <v>378</v>
      </c>
      <c r="S84" s="334" t="s">
        <v>996</v>
      </c>
      <c r="T84" s="334" t="s">
        <v>997</v>
      </c>
      <c r="U84" s="334">
        <v>529837.77</v>
      </c>
      <c r="V84" s="334">
        <v>2671743.9900000002</v>
      </c>
      <c r="W84" s="334"/>
      <c r="X84" s="335" t="s">
        <v>995</v>
      </c>
      <c r="Y84" s="341" t="s">
        <v>920</v>
      </c>
      <c r="Z84" s="338" t="s">
        <v>367</v>
      </c>
      <c r="AA84" s="339"/>
      <c r="AB84" s="339"/>
      <c r="AC84" s="339"/>
      <c r="AD84" s="340"/>
    </row>
    <row r="85" spans="1:30" s="306" customFormat="1" x14ac:dyDescent="0.2">
      <c r="A85" s="321"/>
      <c r="B85" s="334"/>
      <c r="C85" s="334"/>
      <c r="D85" s="334"/>
      <c r="E85" s="334"/>
      <c r="F85" s="334">
        <v>415</v>
      </c>
      <c r="G85" s="334"/>
      <c r="H85" s="312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 t="s">
        <v>998</v>
      </c>
      <c r="X85" s="325"/>
      <c r="Y85" s="325"/>
      <c r="Z85" s="338"/>
      <c r="AA85" s="339"/>
      <c r="AB85" s="339"/>
      <c r="AC85" s="339"/>
      <c r="AD85" s="340"/>
    </row>
    <row r="86" spans="1:30" s="306" customFormat="1" x14ac:dyDescent="0.2">
      <c r="A86" s="327">
        <v>39</v>
      </c>
      <c r="B86" s="334" t="s">
        <v>859</v>
      </c>
      <c r="C86" s="334" t="s">
        <v>62</v>
      </c>
      <c r="D86" s="334" t="s">
        <v>38</v>
      </c>
      <c r="E86" s="334" t="s">
        <v>859</v>
      </c>
      <c r="F86" s="334"/>
      <c r="G86" s="334"/>
      <c r="H86" s="328">
        <f>H84+F85</f>
        <v>14484.706</v>
      </c>
      <c r="I86" s="334">
        <v>408.97500000000002</v>
      </c>
      <c r="J86" s="334">
        <v>75.5</v>
      </c>
      <c r="K86" s="334">
        <f>F85+F87</f>
        <v>786</v>
      </c>
      <c r="L86" s="334">
        <f>K86/2</f>
        <v>393</v>
      </c>
      <c r="M86" s="334">
        <v>207</v>
      </c>
      <c r="N86" s="334">
        <v>216</v>
      </c>
      <c r="O86" s="334">
        <v>423</v>
      </c>
      <c r="P86" s="334">
        <v>207</v>
      </c>
      <c r="Q86" s="334">
        <v>230</v>
      </c>
      <c r="R86" s="334">
        <v>437</v>
      </c>
      <c r="S86" s="334" t="s">
        <v>999</v>
      </c>
      <c r="T86" s="334" t="s">
        <v>1000</v>
      </c>
      <c r="U86" s="334">
        <v>530224.56999999995</v>
      </c>
      <c r="V86" s="334">
        <v>2671593.6</v>
      </c>
      <c r="W86" s="334"/>
      <c r="X86" s="335" t="s">
        <v>995</v>
      </c>
      <c r="Y86" s="341" t="s">
        <v>920</v>
      </c>
      <c r="Z86" s="338" t="s">
        <v>367</v>
      </c>
      <c r="AA86" s="339"/>
      <c r="AB86" s="339"/>
      <c r="AC86" s="339"/>
      <c r="AD86" s="340"/>
    </row>
    <row r="87" spans="1:30" s="306" customFormat="1" x14ac:dyDescent="0.2">
      <c r="A87" s="321"/>
      <c r="B87" s="334"/>
      <c r="C87" s="334"/>
      <c r="D87" s="334"/>
      <c r="E87" s="334"/>
      <c r="F87" s="334">
        <v>371</v>
      </c>
      <c r="G87" s="334"/>
      <c r="H87" s="312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 t="s">
        <v>1001</v>
      </c>
      <c r="X87" s="325"/>
      <c r="Y87" s="325"/>
      <c r="Z87" s="338"/>
      <c r="AA87" s="339"/>
      <c r="AB87" s="339"/>
      <c r="AC87" s="339"/>
      <c r="AD87" s="340"/>
    </row>
    <row r="88" spans="1:30" s="306" customFormat="1" x14ac:dyDescent="0.2">
      <c r="A88" s="327">
        <v>40</v>
      </c>
      <c r="B88" s="334" t="s">
        <v>859</v>
      </c>
      <c r="C88" s="334" t="s">
        <v>63</v>
      </c>
      <c r="D88" s="334" t="s">
        <v>28</v>
      </c>
      <c r="E88" s="334" t="s">
        <v>859</v>
      </c>
      <c r="F88" s="334"/>
      <c r="G88" s="334"/>
      <c r="H88" s="328">
        <f>H86+F87</f>
        <v>14855.706</v>
      </c>
      <c r="I88" s="334">
        <v>407.29</v>
      </c>
      <c r="J88" s="334">
        <v>69.5</v>
      </c>
      <c r="K88" s="334">
        <f>F87+F89</f>
        <v>735</v>
      </c>
      <c r="L88" s="334">
        <f>K88/2</f>
        <v>367.5</v>
      </c>
      <c r="M88" s="334">
        <v>155</v>
      </c>
      <c r="N88" s="334">
        <v>162</v>
      </c>
      <c r="O88" s="334">
        <v>317</v>
      </c>
      <c r="P88" s="334">
        <v>141</v>
      </c>
      <c r="Q88" s="334">
        <v>153</v>
      </c>
      <c r="R88" s="334">
        <v>294</v>
      </c>
      <c r="S88" s="334" t="s">
        <v>1002</v>
      </c>
      <c r="T88" s="334" t="s">
        <v>1003</v>
      </c>
      <c r="U88" s="334">
        <v>530570.35</v>
      </c>
      <c r="V88" s="334">
        <v>2671459.16</v>
      </c>
      <c r="W88" s="334"/>
      <c r="X88" s="335" t="s">
        <v>995</v>
      </c>
      <c r="Y88" s="341" t="s">
        <v>920</v>
      </c>
      <c r="Z88" s="338" t="s">
        <v>367</v>
      </c>
      <c r="AA88" s="339"/>
      <c r="AB88" s="339"/>
      <c r="AC88" s="339"/>
      <c r="AD88" s="340"/>
    </row>
    <row r="89" spans="1:30" s="306" customFormat="1" x14ac:dyDescent="0.2">
      <c r="A89" s="321"/>
      <c r="B89" s="334"/>
      <c r="C89" s="334"/>
      <c r="D89" s="334"/>
      <c r="E89" s="334"/>
      <c r="F89" s="334">
        <v>364</v>
      </c>
      <c r="G89" s="334"/>
      <c r="H89" s="312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 t="s">
        <v>966</v>
      </c>
      <c r="X89" s="325"/>
      <c r="Y89" s="325"/>
      <c r="Z89" s="338"/>
      <c r="AA89" s="339"/>
      <c r="AB89" s="339"/>
      <c r="AC89" s="339"/>
      <c r="AD89" s="340"/>
    </row>
    <row r="90" spans="1:30" s="306" customFormat="1" x14ac:dyDescent="0.2">
      <c r="A90" s="327">
        <v>41</v>
      </c>
      <c r="B90" s="334" t="s">
        <v>859</v>
      </c>
      <c r="C90" s="334" t="s">
        <v>64</v>
      </c>
      <c r="D90" s="334" t="s">
        <v>36</v>
      </c>
      <c r="E90" s="334" t="s">
        <v>859</v>
      </c>
      <c r="F90" s="334"/>
      <c r="G90" s="334"/>
      <c r="H90" s="328">
        <f>H88+F89</f>
        <v>15219.706</v>
      </c>
      <c r="I90" s="342">
        <v>409.2</v>
      </c>
      <c r="J90" s="334">
        <v>72.5</v>
      </c>
      <c r="K90" s="334">
        <f>F89+F91</f>
        <v>779</v>
      </c>
      <c r="L90" s="334">
        <f>K90/2</f>
        <v>389.5</v>
      </c>
      <c r="M90" s="334">
        <v>202</v>
      </c>
      <c r="N90" s="334">
        <v>205</v>
      </c>
      <c r="O90" s="334">
        <v>407</v>
      </c>
      <c r="P90" s="334">
        <v>211</v>
      </c>
      <c r="Q90" s="334">
        <v>204</v>
      </c>
      <c r="R90" s="334">
        <v>415</v>
      </c>
      <c r="S90" s="334" t="s">
        <v>1004</v>
      </c>
      <c r="T90" s="334" t="s">
        <v>1005</v>
      </c>
      <c r="U90" s="334">
        <v>530909.61</v>
      </c>
      <c r="V90" s="334">
        <v>2671327.25</v>
      </c>
      <c r="W90" s="334"/>
      <c r="X90" s="335" t="s">
        <v>995</v>
      </c>
      <c r="Y90" s="341" t="s">
        <v>920</v>
      </c>
      <c r="Z90" s="338" t="s">
        <v>367</v>
      </c>
      <c r="AA90" s="339"/>
      <c r="AB90" s="339"/>
      <c r="AC90" s="339"/>
      <c r="AD90" s="340"/>
    </row>
    <row r="91" spans="1:30" s="306" customFormat="1" x14ac:dyDescent="0.2">
      <c r="A91" s="321"/>
      <c r="B91" s="334"/>
      <c r="C91" s="334"/>
      <c r="D91" s="334"/>
      <c r="E91" s="334"/>
      <c r="F91" s="334">
        <v>415</v>
      </c>
      <c r="G91" s="334"/>
      <c r="H91" s="312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 t="s">
        <v>1006</v>
      </c>
      <c r="X91" s="325"/>
      <c r="Y91" s="325"/>
      <c r="Z91" s="338"/>
      <c r="AA91" s="339"/>
      <c r="AB91" s="339"/>
      <c r="AC91" s="339"/>
      <c r="AD91" s="340"/>
    </row>
    <row r="92" spans="1:30" s="306" customFormat="1" x14ac:dyDescent="0.2">
      <c r="A92" s="327">
        <v>42</v>
      </c>
      <c r="B92" s="334" t="s">
        <v>1007</v>
      </c>
      <c r="C92" s="334" t="s">
        <v>65</v>
      </c>
      <c r="D92" s="334" t="s">
        <v>66</v>
      </c>
      <c r="E92" s="334" t="s">
        <v>1008</v>
      </c>
      <c r="F92" s="334"/>
      <c r="G92" s="334">
        <f>SUM(F71:F91)</f>
        <v>4304</v>
      </c>
      <c r="H92" s="328">
        <f>H90+F91</f>
        <v>15634.706</v>
      </c>
      <c r="I92" s="334">
        <v>409.93</v>
      </c>
      <c r="J92" s="343">
        <v>70.72</v>
      </c>
      <c r="K92" s="334">
        <f>F91+F93</f>
        <v>804</v>
      </c>
      <c r="L92" s="334">
        <f>K92/2</f>
        <v>402</v>
      </c>
      <c r="M92" s="334">
        <v>210</v>
      </c>
      <c r="N92" s="334">
        <v>181</v>
      </c>
      <c r="O92" s="334">
        <v>391</v>
      </c>
      <c r="P92" s="334">
        <v>211</v>
      </c>
      <c r="Q92" s="334">
        <v>175</v>
      </c>
      <c r="R92" s="334">
        <v>386</v>
      </c>
      <c r="S92" s="334" t="s">
        <v>1009</v>
      </c>
      <c r="T92" s="334" t="s">
        <v>1010</v>
      </c>
      <c r="U92" s="334">
        <v>531296.31000000006</v>
      </c>
      <c r="V92" s="334">
        <v>2671176.9</v>
      </c>
      <c r="W92" s="334"/>
      <c r="X92" s="341" t="s">
        <v>1011</v>
      </c>
      <c r="Y92" s="341" t="s">
        <v>920</v>
      </c>
      <c r="Z92" s="338" t="s">
        <v>367</v>
      </c>
      <c r="AA92" s="339"/>
      <c r="AB92" s="339"/>
      <c r="AC92" s="339"/>
      <c r="AD92" s="340"/>
    </row>
    <row r="93" spans="1:30" s="306" customFormat="1" x14ac:dyDescent="0.2">
      <c r="A93" s="321"/>
      <c r="B93" s="334"/>
      <c r="C93" s="334"/>
      <c r="D93" s="334"/>
      <c r="E93" s="334"/>
      <c r="F93" s="334">
        <v>389</v>
      </c>
      <c r="G93" s="334"/>
      <c r="H93" s="312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 t="s">
        <v>1012</v>
      </c>
      <c r="X93" s="325"/>
      <c r="Y93" s="325"/>
      <c r="Z93" s="338"/>
      <c r="AA93" s="339"/>
      <c r="AB93" s="339"/>
      <c r="AC93" s="339"/>
      <c r="AD93" s="340"/>
    </row>
    <row r="94" spans="1:30" s="306" customFormat="1" x14ac:dyDescent="0.2">
      <c r="A94" s="327">
        <v>43</v>
      </c>
      <c r="B94" s="334" t="s">
        <v>859</v>
      </c>
      <c r="C94" s="334" t="s">
        <v>67</v>
      </c>
      <c r="D94" s="334" t="s">
        <v>38</v>
      </c>
      <c r="E94" s="334" t="s">
        <v>859</v>
      </c>
      <c r="F94" s="334"/>
      <c r="G94" s="334"/>
      <c r="H94" s="328">
        <f>H92+F93</f>
        <v>16023.706</v>
      </c>
      <c r="I94" s="334">
        <v>410.47</v>
      </c>
      <c r="J94" s="334">
        <v>75.5</v>
      </c>
      <c r="K94" s="334">
        <f>F93+F95</f>
        <v>785</v>
      </c>
      <c r="L94" s="334">
        <f>K94/2</f>
        <v>392.5</v>
      </c>
      <c r="M94" s="334">
        <v>208</v>
      </c>
      <c r="N94" s="334">
        <v>205</v>
      </c>
      <c r="O94" s="334">
        <v>413</v>
      </c>
      <c r="P94" s="334">
        <v>214</v>
      </c>
      <c r="Q94" s="334">
        <v>209</v>
      </c>
      <c r="R94" s="334">
        <v>423</v>
      </c>
      <c r="S94" s="334" t="s">
        <v>1013</v>
      </c>
      <c r="T94" s="334" t="s">
        <v>1014</v>
      </c>
      <c r="U94" s="334">
        <v>531677.04</v>
      </c>
      <c r="V94" s="334">
        <v>2671097.15</v>
      </c>
      <c r="W94" s="334"/>
      <c r="X94" s="341" t="s">
        <v>1011</v>
      </c>
      <c r="Y94" s="341" t="s">
        <v>920</v>
      </c>
      <c r="Z94" s="338" t="s">
        <v>367</v>
      </c>
      <c r="AA94" s="339"/>
      <c r="AB94" s="339"/>
      <c r="AC94" s="339"/>
      <c r="AD94" s="340"/>
    </row>
    <row r="95" spans="1:30" s="306" customFormat="1" x14ac:dyDescent="0.2">
      <c r="A95" s="321"/>
      <c r="B95" s="334"/>
      <c r="C95" s="334"/>
      <c r="D95" s="334"/>
      <c r="E95" s="334"/>
      <c r="F95" s="334">
        <v>396</v>
      </c>
      <c r="G95" s="334"/>
      <c r="H95" s="312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 t="s">
        <v>1001</v>
      </c>
      <c r="X95" s="325"/>
      <c r="Y95" s="325"/>
      <c r="Z95" s="338"/>
      <c r="AA95" s="339"/>
      <c r="AB95" s="339"/>
      <c r="AC95" s="339"/>
      <c r="AD95" s="340"/>
    </row>
    <row r="96" spans="1:30" s="306" customFormat="1" x14ac:dyDescent="0.2">
      <c r="A96" s="327">
        <v>44</v>
      </c>
      <c r="B96" s="334" t="s">
        <v>859</v>
      </c>
      <c r="C96" s="334" t="s">
        <v>68</v>
      </c>
      <c r="D96" s="334" t="s">
        <v>36</v>
      </c>
      <c r="E96" s="334" t="s">
        <v>859</v>
      </c>
      <c r="F96" s="334"/>
      <c r="G96" s="334"/>
      <c r="H96" s="328">
        <f>H94+F95</f>
        <v>16419.705999999998</v>
      </c>
      <c r="I96" s="342">
        <v>411.48</v>
      </c>
      <c r="J96" s="334">
        <v>72.5</v>
      </c>
      <c r="K96" s="334">
        <f>F95+F97</f>
        <v>835</v>
      </c>
      <c r="L96" s="334">
        <f>K96/2</f>
        <v>417.5</v>
      </c>
      <c r="M96" s="334">
        <v>191</v>
      </c>
      <c r="N96" s="334">
        <v>190</v>
      </c>
      <c r="O96" s="334">
        <v>381</v>
      </c>
      <c r="P96" s="334">
        <v>187</v>
      </c>
      <c r="Q96" s="334">
        <v>176</v>
      </c>
      <c r="R96" s="334">
        <v>363</v>
      </c>
      <c r="S96" s="334" t="s">
        <v>1015</v>
      </c>
      <c r="T96" s="334" t="s">
        <v>1016</v>
      </c>
      <c r="U96" s="334">
        <v>532064.63</v>
      </c>
      <c r="V96" s="334">
        <v>2671015.96</v>
      </c>
      <c r="W96" s="334"/>
      <c r="X96" s="341" t="s">
        <v>1011</v>
      </c>
      <c r="Y96" s="341" t="s">
        <v>920</v>
      </c>
      <c r="Z96" s="338" t="s">
        <v>367</v>
      </c>
      <c r="AA96" s="339"/>
      <c r="AB96" s="339"/>
      <c r="AC96" s="339"/>
      <c r="AD96" s="340"/>
    </row>
    <row r="97" spans="1:31" s="306" customFormat="1" x14ac:dyDescent="0.2">
      <c r="A97" s="321"/>
      <c r="B97" s="334"/>
      <c r="C97" s="334"/>
      <c r="D97" s="334"/>
      <c r="E97" s="334"/>
      <c r="F97" s="334">
        <v>439</v>
      </c>
      <c r="G97" s="334"/>
      <c r="H97" s="312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 t="s">
        <v>1017</v>
      </c>
      <c r="X97" s="325"/>
      <c r="Y97" s="325"/>
      <c r="Z97" s="338"/>
      <c r="AA97" s="339"/>
      <c r="AB97" s="339"/>
      <c r="AC97" s="339"/>
      <c r="AD97" s="340"/>
    </row>
    <row r="98" spans="1:31" s="306" customFormat="1" x14ac:dyDescent="0.2">
      <c r="A98" s="327">
        <v>45</v>
      </c>
      <c r="B98" s="334" t="s">
        <v>859</v>
      </c>
      <c r="C98" s="334" t="s">
        <v>69</v>
      </c>
      <c r="D98" s="334" t="s">
        <v>21</v>
      </c>
      <c r="E98" s="334" t="s">
        <v>859</v>
      </c>
      <c r="F98" s="334"/>
      <c r="G98" s="334"/>
      <c r="H98" s="328">
        <f>H96+F97</f>
        <v>16858.705999999998</v>
      </c>
      <c r="I98" s="334">
        <v>414.42</v>
      </c>
      <c r="J98" s="334">
        <v>78.5</v>
      </c>
      <c r="K98" s="334">
        <f>F97+F99</f>
        <v>820</v>
      </c>
      <c r="L98" s="334">
        <f>K98/2</f>
        <v>410</v>
      </c>
      <c r="M98" s="334">
        <v>249</v>
      </c>
      <c r="N98" s="334">
        <v>204</v>
      </c>
      <c r="O98" s="334">
        <v>453</v>
      </c>
      <c r="P98" s="334">
        <v>263</v>
      </c>
      <c r="Q98" s="334">
        <v>210</v>
      </c>
      <c r="R98" s="334">
        <v>473</v>
      </c>
      <c r="S98" s="334" t="s">
        <v>1018</v>
      </c>
      <c r="T98" s="334" t="s">
        <v>1019</v>
      </c>
      <c r="U98" s="334">
        <v>532494.30000000005</v>
      </c>
      <c r="V98" s="334">
        <v>2670925.96</v>
      </c>
      <c r="W98" s="334"/>
      <c r="X98" s="341" t="s">
        <v>1020</v>
      </c>
      <c r="Y98" s="341" t="s">
        <v>920</v>
      </c>
      <c r="Z98" s="338" t="s">
        <v>367</v>
      </c>
      <c r="AA98" s="339"/>
      <c r="AB98" s="339"/>
      <c r="AC98" s="339"/>
      <c r="AD98" s="340"/>
    </row>
    <row r="99" spans="1:31" s="306" customFormat="1" x14ac:dyDescent="0.2">
      <c r="A99" s="321"/>
      <c r="B99" s="334"/>
      <c r="C99" s="334"/>
      <c r="D99" s="334"/>
      <c r="E99" s="334"/>
      <c r="F99" s="334">
        <v>381</v>
      </c>
      <c r="G99" s="334"/>
      <c r="H99" s="312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 t="s">
        <v>1017</v>
      </c>
      <c r="X99" s="325"/>
      <c r="Y99" s="325"/>
      <c r="Z99" s="338"/>
      <c r="AA99" s="339"/>
      <c r="AB99" s="339"/>
      <c r="AC99" s="339"/>
      <c r="AD99" s="340"/>
    </row>
    <row r="100" spans="1:31" s="306" customFormat="1" x14ac:dyDescent="0.2">
      <c r="A100" s="327">
        <v>46</v>
      </c>
      <c r="B100" s="334" t="s">
        <v>1021</v>
      </c>
      <c r="C100" s="334" t="s">
        <v>70</v>
      </c>
      <c r="D100" s="334" t="s">
        <v>33</v>
      </c>
      <c r="E100" s="334" t="s">
        <v>1022</v>
      </c>
      <c r="F100" s="334"/>
      <c r="G100" s="334">
        <f>SUM(F93:F99)</f>
        <v>1605</v>
      </c>
      <c r="H100" s="328">
        <f>H98+F99</f>
        <v>17239.705999999998</v>
      </c>
      <c r="I100" s="334">
        <v>416.97500000000002</v>
      </c>
      <c r="J100" s="343">
        <v>70.72</v>
      </c>
      <c r="K100" s="334">
        <f>F99+F101</f>
        <v>767</v>
      </c>
      <c r="L100" s="334">
        <f>K100/2</f>
        <v>383.5</v>
      </c>
      <c r="M100" s="334">
        <v>220</v>
      </c>
      <c r="N100" s="334">
        <v>188</v>
      </c>
      <c r="O100" s="334">
        <v>408</v>
      </c>
      <c r="P100" s="334">
        <v>210</v>
      </c>
      <c r="Q100" s="334">
        <v>190</v>
      </c>
      <c r="R100" s="334">
        <v>400</v>
      </c>
      <c r="S100" s="334" t="s">
        <v>1023</v>
      </c>
      <c r="T100" s="334" t="s">
        <v>1024</v>
      </c>
      <c r="U100" s="334">
        <v>532867.52399999998</v>
      </c>
      <c r="V100" s="334">
        <v>2670847.7790000001</v>
      </c>
      <c r="W100" s="334"/>
      <c r="X100" s="341" t="s">
        <v>1020</v>
      </c>
      <c r="Y100" s="341" t="s">
        <v>920</v>
      </c>
      <c r="Z100" s="338" t="s">
        <v>367</v>
      </c>
      <c r="AA100" s="339"/>
      <c r="AB100" s="339"/>
      <c r="AC100" s="339"/>
      <c r="AD100" s="340"/>
    </row>
    <row r="101" spans="1:31" s="306" customFormat="1" ht="25.5" x14ac:dyDescent="0.2">
      <c r="A101" s="321"/>
      <c r="B101" s="334"/>
      <c r="C101" s="334"/>
      <c r="D101" s="334"/>
      <c r="E101" s="334"/>
      <c r="F101" s="334">
        <v>386</v>
      </c>
      <c r="G101" s="334"/>
      <c r="H101" s="312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 t="s">
        <v>1025</v>
      </c>
      <c r="X101" s="325"/>
      <c r="Y101" s="325"/>
      <c r="Z101" s="338"/>
      <c r="AA101" s="339"/>
      <c r="AB101" s="339"/>
      <c r="AC101" s="339"/>
      <c r="AD101" s="340"/>
    </row>
    <row r="102" spans="1:31" s="306" customFormat="1" x14ac:dyDescent="0.2">
      <c r="A102" s="327">
        <v>47</v>
      </c>
      <c r="B102" s="334" t="s">
        <v>859</v>
      </c>
      <c r="C102" s="334" t="s">
        <v>71</v>
      </c>
      <c r="D102" s="334" t="s">
        <v>36</v>
      </c>
      <c r="E102" s="334" t="s">
        <v>859</v>
      </c>
      <c r="F102" s="334"/>
      <c r="G102" s="334"/>
      <c r="H102" s="328">
        <f>H100+F101</f>
        <v>17625.705999999998</v>
      </c>
      <c r="I102" s="342">
        <v>418.01799999999997</v>
      </c>
      <c r="J102" s="334">
        <v>72.5</v>
      </c>
      <c r="K102" s="334">
        <f>F101+F103</f>
        <v>742</v>
      </c>
      <c r="L102" s="334">
        <f>K102/2</f>
        <v>371</v>
      </c>
      <c r="M102" s="334">
        <v>199</v>
      </c>
      <c r="N102" s="334">
        <v>176</v>
      </c>
      <c r="O102" s="334">
        <v>375</v>
      </c>
      <c r="P102" s="334">
        <v>198</v>
      </c>
      <c r="Q102" s="334">
        <v>177</v>
      </c>
      <c r="R102" s="334">
        <v>375</v>
      </c>
      <c r="S102" s="334" t="s">
        <v>1026</v>
      </c>
      <c r="T102" s="334" t="s">
        <v>1027</v>
      </c>
      <c r="U102" s="334">
        <v>533237.91599999997</v>
      </c>
      <c r="V102" s="334">
        <v>2670739.1230000001</v>
      </c>
      <c r="W102" s="334"/>
      <c r="X102" s="341" t="s">
        <v>1020</v>
      </c>
      <c r="Y102" s="341" t="s">
        <v>920</v>
      </c>
      <c r="Z102" s="338" t="s">
        <v>367</v>
      </c>
      <c r="AA102" s="339"/>
      <c r="AB102" s="339"/>
      <c r="AC102" s="339"/>
      <c r="AD102" s="340"/>
    </row>
    <row r="103" spans="1:31" s="306" customFormat="1" x14ac:dyDescent="0.2">
      <c r="A103" s="321"/>
      <c r="B103" s="334"/>
      <c r="C103" s="334"/>
      <c r="D103" s="334"/>
      <c r="E103" s="334"/>
      <c r="F103" s="334">
        <v>356</v>
      </c>
      <c r="G103" s="334"/>
      <c r="H103" s="312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 t="s">
        <v>1028</v>
      </c>
      <c r="X103" s="325"/>
      <c r="Y103" s="325"/>
      <c r="Z103" s="338"/>
      <c r="AA103" s="339"/>
      <c r="AB103" s="339"/>
      <c r="AC103" s="339"/>
      <c r="AD103" s="340"/>
    </row>
    <row r="104" spans="1:31" s="306" customFormat="1" x14ac:dyDescent="0.2">
      <c r="A104" s="327">
        <v>48</v>
      </c>
      <c r="B104" s="334" t="s">
        <v>859</v>
      </c>
      <c r="C104" s="334" t="s">
        <v>72</v>
      </c>
      <c r="D104" s="334" t="s">
        <v>28</v>
      </c>
      <c r="E104" s="334" t="s">
        <v>859</v>
      </c>
      <c r="F104" s="334"/>
      <c r="G104" s="334"/>
      <c r="H104" s="328">
        <f>H102+F103</f>
        <v>17981.705999999998</v>
      </c>
      <c r="I104" s="334">
        <v>421.41199999999998</v>
      </c>
      <c r="J104" s="334">
        <v>69.5</v>
      </c>
      <c r="K104" s="334">
        <f>F103+F105</f>
        <v>721</v>
      </c>
      <c r="L104" s="334">
        <f>K104/2</f>
        <v>360.5</v>
      </c>
      <c r="M104" s="334">
        <v>181</v>
      </c>
      <c r="N104" s="334">
        <v>129</v>
      </c>
      <c r="O104" s="334">
        <v>310</v>
      </c>
      <c r="P104" s="334">
        <v>180</v>
      </c>
      <c r="Q104" s="334">
        <v>146</v>
      </c>
      <c r="R104" s="334">
        <v>326</v>
      </c>
      <c r="S104" s="334" t="s">
        <v>1029</v>
      </c>
      <c r="T104" s="334" t="s">
        <v>1030</v>
      </c>
      <c r="U104" s="334">
        <v>533579.52000000002</v>
      </c>
      <c r="V104" s="334">
        <v>2670638.912</v>
      </c>
      <c r="W104" s="334"/>
      <c r="X104" s="341" t="s">
        <v>1020</v>
      </c>
      <c r="Y104" s="341" t="s">
        <v>920</v>
      </c>
      <c r="Z104" s="338" t="s">
        <v>367</v>
      </c>
      <c r="AA104" s="339"/>
      <c r="AB104" s="339"/>
      <c r="AC104" s="339"/>
      <c r="AD104" s="340"/>
    </row>
    <row r="105" spans="1:31" s="306" customFormat="1" x14ac:dyDescent="0.2">
      <c r="A105" s="321"/>
      <c r="B105" s="334"/>
      <c r="C105" s="334"/>
      <c r="D105" s="334"/>
      <c r="E105" s="334"/>
      <c r="F105" s="334">
        <v>365</v>
      </c>
      <c r="G105" s="334"/>
      <c r="H105" s="312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 t="s">
        <v>1031</v>
      </c>
      <c r="X105" s="325"/>
      <c r="Y105" s="325"/>
      <c r="Z105" s="338"/>
      <c r="AA105" s="339"/>
      <c r="AB105" s="339"/>
      <c r="AC105" s="339"/>
      <c r="AD105" s="340"/>
    </row>
    <row r="106" spans="1:31" s="306" customFormat="1" x14ac:dyDescent="0.2">
      <c r="A106" s="327">
        <v>49</v>
      </c>
      <c r="B106" s="334" t="s">
        <v>859</v>
      </c>
      <c r="C106" s="334" t="s">
        <v>73</v>
      </c>
      <c r="D106" s="334" t="s">
        <v>38</v>
      </c>
      <c r="E106" s="334" t="s">
        <v>859</v>
      </c>
      <c r="F106" s="334"/>
      <c r="G106" s="334"/>
      <c r="H106" s="328">
        <f>H104+F105</f>
        <v>18346.705999999998</v>
      </c>
      <c r="I106" s="334">
        <v>424.56200000000001</v>
      </c>
      <c r="J106" s="334">
        <v>75.5</v>
      </c>
      <c r="K106" s="334">
        <f>F105+F107</f>
        <v>840</v>
      </c>
      <c r="L106" s="334">
        <f>K106/2</f>
        <v>420</v>
      </c>
      <c r="M106" s="334">
        <v>236</v>
      </c>
      <c r="N106" s="334">
        <v>118</v>
      </c>
      <c r="O106" s="334">
        <v>354</v>
      </c>
      <c r="P106" s="334">
        <v>220</v>
      </c>
      <c r="Q106" s="334">
        <v>155</v>
      </c>
      <c r="R106" s="334">
        <v>375</v>
      </c>
      <c r="S106" s="334" t="s">
        <v>1032</v>
      </c>
      <c r="T106" s="334" t="s">
        <v>1033</v>
      </c>
      <c r="U106" s="334">
        <v>533929.76100000006</v>
      </c>
      <c r="V106" s="334">
        <v>2670536.1669999999</v>
      </c>
      <c r="W106" s="334"/>
      <c r="X106" s="341" t="s">
        <v>1034</v>
      </c>
      <c r="Y106" s="341" t="s">
        <v>920</v>
      </c>
      <c r="Z106" s="338" t="s">
        <v>367</v>
      </c>
      <c r="AA106" s="339"/>
      <c r="AB106" s="339"/>
      <c r="AC106" s="339"/>
      <c r="AD106" s="340"/>
    </row>
    <row r="107" spans="1:31" s="306" customFormat="1" x14ac:dyDescent="0.2">
      <c r="A107" s="321"/>
      <c r="B107" s="334"/>
      <c r="C107" s="334"/>
      <c r="D107" s="334"/>
      <c r="E107" s="334"/>
      <c r="F107" s="334">
        <v>475</v>
      </c>
      <c r="G107" s="334"/>
      <c r="H107" s="312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 t="s">
        <v>1035</v>
      </c>
      <c r="X107" s="325"/>
      <c r="Y107" s="325"/>
      <c r="Z107" s="338"/>
      <c r="AA107" s="339"/>
      <c r="AB107" s="339"/>
      <c r="AC107" s="339"/>
      <c r="AD107" s="340"/>
    </row>
    <row r="108" spans="1:31" s="306" customFormat="1" x14ac:dyDescent="0.2">
      <c r="A108" s="327">
        <v>50</v>
      </c>
      <c r="B108" s="334" t="s">
        <v>1036</v>
      </c>
      <c r="C108" s="334" t="s">
        <v>74</v>
      </c>
      <c r="D108" s="334" t="s">
        <v>75</v>
      </c>
      <c r="E108" s="334" t="s">
        <v>1037</v>
      </c>
      <c r="F108" s="334"/>
      <c r="G108" s="334">
        <f>SUM(F101:F107)</f>
        <v>1582</v>
      </c>
      <c r="H108" s="328">
        <f>H106+F107</f>
        <v>18821.705999999998</v>
      </c>
      <c r="I108" s="334">
        <v>429.48599999999999</v>
      </c>
      <c r="J108" s="334">
        <v>95.72</v>
      </c>
      <c r="K108" s="334">
        <f>F107+F109</f>
        <v>671</v>
      </c>
      <c r="L108" s="334">
        <f>K108/2</f>
        <v>335.5</v>
      </c>
      <c r="M108" s="334">
        <v>359</v>
      </c>
      <c r="N108" s="334">
        <v>75</v>
      </c>
      <c r="O108" s="334">
        <v>434</v>
      </c>
      <c r="P108" s="334">
        <v>323</v>
      </c>
      <c r="Q108" s="334">
        <v>89</v>
      </c>
      <c r="R108" s="334">
        <v>412</v>
      </c>
      <c r="S108" s="334" t="s">
        <v>1038</v>
      </c>
      <c r="T108" s="334" t="s">
        <v>1039</v>
      </c>
      <c r="U108" s="334">
        <v>534385.65099999995</v>
      </c>
      <c r="V108" s="334">
        <v>2670402.4300000002</v>
      </c>
      <c r="W108" s="334"/>
      <c r="X108" s="341" t="s">
        <v>1034</v>
      </c>
      <c r="Y108" s="341" t="s">
        <v>920</v>
      </c>
      <c r="Z108" s="338" t="s">
        <v>367</v>
      </c>
      <c r="AA108" s="339"/>
      <c r="AB108" s="339"/>
      <c r="AC108" s="339"/>
      <c r="AD108" s="340"/>
    </row>
    <row r="109" spans="1:31" s="306" customFormat="1" ht="25.5" x14ac:dyDescent="0.2">
      <c r="A109" s="321"/>
      <c r="B109" s="334"/>
      <c r="C109" s="334"/>
      <c r="D109" s="334"/>
      <c r="E109" s="334"/>
      <c r="F109" s="334">
        <v>196</v>
      </c>
      <c r="G109" s="334"/>
      <c r="H109" s="312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44" t="s">
        <v>1040</v>
      </c>
      <c r="X109" s="325"/>
      <c r="Y109" s="325"/>
      <c r="Z109" s="338"/>
      <c r="AA109" s="339"/>
      <c r="AB109" s="339"/>
      <c r="AC109" s="339"/>
      <c r="AD109" s="340"/>
    </row>
    <row r="110" spans="1:31" s="306" customFormat="1" x14ac:dyDescent="0.2">
      <c r="A110" s="327">
        <v>51</v>
      </c>
      <c r="B110" s="334" t="s">
        <v>1041</v>
      </c>
      <c r="C110" s="334" t="s">
        <v>396</v>
      </c>
      <c r="D110" s="334" t="s">
        <v>75</v>
      </c>
      <c r="E110" s="334" t="s">
        <v>1042</v>
      </c>
      <c r="F110" s="334"/>
      <c r="G110" s="334">
        <f>F109</f>
        <v>196</v>
      </c>
      <c r="H110" s="328">
        <f>H108+F109</f>
        <v>19017.705999999998</v>
      </c>
      <c r="I110" s="334">
        <v>430.03699999999998</v>
      </c>
      <c r="J110" s="334">
        <v>95.72</v>
      </c>
      <c r="K110" s="334">
        <f>F109+F111</f>
        <v>673</v>
      </c>
      <c r="L110" s="334">
        <f>K110/2</f>
        <v>336.5</v>
      </c>
      <c r="M110" s="334">
        <v>121</v>
      </c>
      <c r="N110" s="334">
        <v>349</v>
      </c>
      <c r="O110" s="334">
        <v>470</v>
      </c>
      <c r="P110" s="334">
        <v>107</v>
      </c>
      <c r="Q110" s="334">
        <v>315</v>
      </c>
      <c r="R110" s="334">
        <v>422</v>
      </c>
      <c r="S110" s="334" t="s">
        <v>1043</v>
      </c>
      <c r="T110" s="334" t="s">
        <v>1044</v>
      </c>
      <c r="U110" s="334">
        <v>534579.16299999994</v>
      </c>
      <c r="V110" s="334">
        <v>2670433.5060000001</v>
      </c>
      <c r="W110" s="344" t="s">
        <v>1045</v>
      </c>
      <c r="X110" s="341" t="s">
        <v>1034</v>
      </c>
      <c r="Y110" s="341" t="s">
        <v>920</v>
      </c>
      <c r="Z110" s="338" t="s">
        <v>367</v>
      </c>
      <c r="AA110" s="344">
        <v>1</v>
      </c>
      <c r="AB110" s="344">
        <v>1</v>
      </c>
      <c r="AC110" s="344">
        <v>1</v>
      </c>
      <c r="AD110" s="345">
        <v>1</v>
      </c>
      <c r="AE110" s="306" t="s">
        <v>1046</v>
      </c>
    </row>
    <row r="111" spans="1:31" s="306" customFormat="1" x14ac:dyDescent="0.2">
      <c r="A111" s="321"/>
      <c r="B111" s="334"/>
      <c r="C111" s="334"/>
      <c r="D111" s="334"/>
      <c r="E111" s="334"/>
      <c r="F111" s="334">
        <v>477</v>
      </c>
      <c r="G111" s="334"/>
      <c r="H111" s="312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 t="s">
        <v>1031</v>
      </c>
      <c r="X111" s="325"/>
      <c r="Y111" s="325"/>
      <c r="Z111" s="338"/>
      <c r="AA111" s="339"/>
      <c r="AB111" s="339"/>
      <c r="AC111" s="339"/>
      <c r="AD111" s="340"/>
    </row>
    <row r="112" spans="1:31" s="306" customFormat="1" x14ac:dyDescent="0.2">
      <c r="A112" s="327">
        <v>52</v>
      </c>
      <c r="B112" s="334" t="s">
        <v>859</v>
      </c>
      <c r="C112" s="334" t="s">
        <v>76</v>
      </c>
      <c r="D112" s="334" t="s">
        <v>38</v>
      </c>
      <c r="E112" s="334" t="s">
        <v>859</v>
      </c>
      <c r="F112" s="334"/>
      <c r="G112" s="334"/>
      <c r="H112" s="328">
        <f>H110+F111</f>
        <v>19494.705999999998</v>
      </c>
      <c r="I112" s="334">
        <v>428.71300000000002</v>
      </c>
      <c r="J112" s="334">
        <v>75.5</v>
      </c>
      <c r="K112" s="334">
        <f>F111+F113</f>
        <v>840</v>
      </c>
      <c r="L112" s="334">
        <f>K112/2</f>
        <v>420</v>
      </c>
      <c r="M112" s="334">
        <v>129</v>
      </c>
      <c r="N112" s="334">
        <v>219</v>
      </c>
      <c r="O112" s="334">
        <v>348</v>
      </c>
      <c r="P112" s="334">
        <v>165</v>
      </c>
      <c r="Q112" s="334">
        <v>207</v>
      </c>
      <c r="R112" s="334">
        <v>372</v>
      </c>
      <c r="S112" s="334" t="s">
        <v>1047</v>
      </c>
      <c r="T112" s="334" t="s">
        <v>1048</v>
      </c>
      <c r="U112" s="334">
        <v>535032.75800000003</v>
      </c>
      <c r="V112" s="334">
        <v>2670285.9219999998</v>
      </c>
      <c r="W112" s="334"/>
      <c r="X112" s="341" t="s">
        <v>1034</v>
      </c>
      <c r="Y112" s="341" t="s">
        <v>920</v>
      </c>
      <c r="Z112" s="338" t="s">
        <v>367</v>
      </c>
      <c r="AA112" s="339"/>
      <c r="AB112" s="339"/>
      <c r="AC112" s="339"/>
      <c r="AD112" s="340"/>
    </row>
    <row r="113" spans="1:30" s="306" customFormat="1" x14ac:dyDescent="0.2">
      <c r="A113" s="321"/>
      <c r="B113" s="334"/>
      <c r="C113" s="334"/>
      <c r="D113" s="334"/>
      <c r="E113" s="334"/>
      <c r="F113" s="334">
        <v>363</v>
      </c>
      <c r="G113" s="334"/>
      <c r="H113" s="312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 t="s">
        <v>998</v>
      </c>
      <c r="X113" s="325"/>
      <c r="Y113" s="325"/>
      <c r="Z113" s="338"/>
      <c r="AA113" s="339"/>
      <c r="AB113" s="339"/>
      <c r="AC113" s="339"/>
      <c r="AD113" s="340"/>
    </row>
    <row r="114" spans="1:30" s="306" customFormat="1" x14ac:dyDescent="0.2">
      <c r="A114" s="327">
        <v>53</v>
      </c>
      <c r="B114" s="334" t="s">
        <v>859</v>
      </c>
      <c r="C114" s="334" t="s">
        <v>77</v>
      </c>
      <c r="D114" s="334" t="s">
        <v>28</v>
      </c>
      <c r="E114" s="334" t="s">
        <v>859</v>
      </c>
      <c r="F114" s="334"/>
      <c r="G114" s="334"/>
      <c r="H114" s="328">
        <f>H112+F113</f>
        <v>19857.705999999998</v>
      </c>
      <c r="I114" s="334">
        <v>428.43400000000003</v>
      </c>
      <c r="J114" s="334">
        <v>69.5</v>
      </c>
      <c r="K114" s="334">
        <f>F113+F115</f>
        <v>691</v>
      </c>
      <c r="L114" s="334">
        <f>K114/2</f>
        <v>345.5</v>
      </c>
      <c r="M114" s="334">
        <v>145</v>
      </c>
      <c r="N114" s="334">
        <v>156</v>
      </c>
      <c r="O114" s="334">
        <v>301</v>
      </c>
      <c r="P114" s="334">
        <v>157</v>
      </c>
      <c r="Q114" s="334">
        <v>159</v>
      </c>
      <c r="R114" s="334">
        <v>316</v>
      </c>
      <c r="S114" s="334" t="s">
        <v>1049</v>
      </c>
      <c r="T114" s="334" t="s">
        <v>1050</v>
      </c>
      <c r="U114" s="334">
        <v>535377.946</v>
      </c>
      <c r="V114" s="334">
        <v>2670173.61</v>
      </c>
      <c r="W114" s="334"/>
      <c r="X114" s="341" t="s">
        <v>1034</v>
      </c>
      <c r="Y114" s="341" t="s">
        <v>920</v>
      </c>
      <c r="Z114" s="338" t="s">
        <v>367</v>
      </c>
      <c r="AA114" s="339"/>
      <c r="AB114" s="339"/>
      <c r="AC114" s="339"/>
      <c r="AD114" s="340"/>
    </row>
    <row r="115" spans="1:30" s="306" customFormat="1" x14ac:dyDescent="0.2">
      <c r="A115" s="321"/>
      <c r="B115" s="334"/>
      <c r="C115" s="334"/>
      <c r="D115" s="334"/>
      <c r="E115" s="334"/>
      <c r="F115" s="334">
        <v>328</v>
      </c>
      <c r="G115" s="334"/>
      <c r="H115" s="312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25"/>
      <c r="Y115" s="325"/>
      <c r="Z115" s="338"/>
      <c r="AA115" s="339"/>
      <c r="AB115" s="339"/>
      <c r="AC115" s="339"/>
      <c r="AD115" s="340"/>
    </row>
    <row r="116" spans="1:30" s="306" customFormat="1" x14ac:dyDescent="0.2">
      <c r="A116" s="327">
        <v>54</v>
      </c>
      <c r="B116" s="334" t="s">
        <v>859</v>
      </c>
      <c r="C116" s="334" t="s">
        <v>78</v>
      </c>
      <c r="D116" s="334" t="s">
        <v>28</v>
      </c>
      <c r="E116" s="334" t="s">
        <v>859</v>
      </c>
      <c r="F116" s="334"/>
      <c r="G116" s="334"/>
      <c r="H116" s="328">
        <f>H114+F115</f>
        <v>20185.705999999998</v>
      </c>
      <c r="I116" s="334">
        <v>429.60700000000003</v>
      </c>
      <c r="J116" s="334">
        <v>69.5</v>
      </c>
      <c r="K116" s="334">
        <f>F115+F117</f>
        <v>704</v>
      </c>
      <c r="L116" s="334">
        <f>K116/2</f>
        <v>352</v>
      </c>
      <c r="M116" s="334">
        <v>172</v>
      </c>
      <c r="N116" s="334">
        <v>161</v>
      </c>
      <c r="O116" s="334">
        <v>333</v>
      </c>
      <c r="P116" s="334">
        <v>170</v>
      </c>
      <c r="Q116" s="334">
        <v>170</v>
      </c>
      <c r="R116" s="334">
        <v>340</v>
      </c>
      <c r="S116" s="334" t="s">
        <v>1051</v>
      </c>
      <c r="T116" s="334" t="s">
        <v>1052</v>
      </c>
      <c r="U116" s="334">
        <v>535689.85100000002</v>
      </c>
      <c r="V116" s="334">
        <v>2670072.1260000002</v>
      </c>
      <c r="W116" s="334"/>
      <c r="X116" s="341" t="s">
        <v>1034</v>
      </c>
      <c r="Y116" s="341" t="s">
        <v>920</v>
      </c>
      <c r="Z116" s="338" t="s">
        <v>367</v>
      </c>
      <c r="AA116" s="339"/>
      <c r="AB116" s="339"/>
      <c r="AC116" s="339"/>
      <c r="AD116" s="340"/>
    </row>
    <row r="117" spans="1:30" s="306" customFormat="1" x14ac:dyDescent="0.2">
      <c r="A117" s="321"/>
      <c r="B117" s="334"/>
      <c r="C117" s="334"/>
      <c r="D117" s="334"/>
      <c r="E117" s="334"/>
      <c r="F117" s="334">
        <v>376</v>
      </c>
      <c r="G117" s="334"/>
      <c r="H117" s="312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 t="s">
        <v>980</v>
      </c>
      <c r="X117" s="325"/>
      <c r="Y117" s="325"/>
      <c r="Z117" s="338"/>
      <c r="AA117" s="339"/>
      <c r="AB117" s="339"/>
      <c r="AC117" s="339"/>
      <c r="AD117" s="340"/>
    </row>
    <row r="118" spans="1:30" s="306" customFormat="1" x14ac:dyDescent="0.2">
      <c r="A118" s="327">
        <v>55</v>
      </c>
      <c r="B118" s="334" t="s">
        <v>859</v>
      </c>
      <c r="C118" s="334" t="s">
        <v>79</v>
      </c>
      <c r="D118" s="334" t="s">
        <v>36</v>
      </c>
      <c r="E118" s="334" t="s">
        <v>859</v>
      </c>
      <c r="F118" s="334"/>
      <c r="G118" s="334"/>
      <c r="H118" s="328">
        <f>H116+F117</f>
        <v>20561.705999999998</v>
      </c>
      <c r="I118" s="342">
        <v>431.43700000000001</v>
      </c>
      <c r="J118" s="334">
        <v>72.5</v>
      </c>
      <c r="K118" s="334">
        <f>F117+F119</f>
        <v>769</v>
      </c>
      <c r="L118" s="334">
        <f>K118/2</f>
        <v>384.5</v>
      </c>
      <c r="M118" s="334">
        <v>216</v>
      </c>
      <c r="N118" s="334">
        <v>180</v>
      </c>
      <c r="O118" s="334">
        <v>396</v>
      </c>
      <c r="P118" s="334">
        <v>207</v>
      </c>
      <c r="Q118" s="334">
        <v>185</v>
      </c>
      <c r="R118" s="334">
        <v>392</v>
      </c>
      <c r="S118" s="334" t="s">
        <v>1053</v>
      </c>
      <c r="T118" s="334" t="s">
        <v>1054</v>
      </c>
      <c r="U118" s="334">
        <v>536047.402</v>
      </c>
      <c r="V118" s="334">
        <v>2669955.7919999999</v>
      </c>
      <c r="W118" s="334"/>
      <c r="X118" s="341" t="s">
        <v>1034</v>
      </c>
      <c r="Y118" s="341" t="s">
        <v>920</v>
      </c>
      <c r="Z118" s="338" t="s">
        <v>367</v>
      </c>
      <c r="AA118" s="339"/>
      <c r="AB118" s="339"/>
      <c r="AC118" s="339"/>
      <c r="AD118" s="340"/>
    </row>
    <row r="119" spans="1:30" s="306" customFormat="1" x14ac:dyDescent="0.2">
      <c r="A119" s="321"/>
      <c r="B119" s="334"/>
      <c r="C119" s="334"/>
      <c r="D119" s="334"/>
      <c r="E119" s="334"/>
      <c r="F119" s="334">
        <v>393</v>
      </c>
      <c r="G119" s="334"/>
      <c r="H119" s="312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 t="s">
        <v>966</v>
      </c>
      <c r="X119" s="325"/>
      <c r="Y119" s="325"/>
      <c r="Z119" s="338"/>
      <c r="AA119" s="339"/>
      <c r="AB119" s="339"/>
      <c r="AC119" s="339"/>
      <c r="AD119" s="340"/>
    </row>
    <row r="120" spans="1:30" s="306" customFormat="1" x14ac:dyDescent="0.2">
      <c r="A120" s="327">
        <v>56</v>
      </c>
      <c r="B120" s="334" t="s">
        <v>859</v>
      </c>
      <c r="C120" s="334" t="s">
        <v>80</v>
      </c>
      <c r="D120" s="334" t="s">
        <v>40</v>
      </c>
      <c r="E120" s="334" t="s">
        <v>859</v>
      </c>
      <c r="F120" s="334"/>
      <c r="G120" s="334"/>
      <c r="H120" s="328">
        <f>H118+F119</f>
        <v>20954.705999999998</v>
      </c>
      <c r="I120" s="334">
        <v>433.06799999999998</v>
      </c>
      <c r="J120" s="334">
        <v>74</v>
      </c>
      <c r="K120" s="334">
        <f>F119+F121</f>
        <v>790</v>
      </c>
      <c r="L120" s="334">
        <f>K120/2</f>
        <v>395</v>
      </c>
      <c r="M120" s="334">
        <v>214</v>
      </c>
      <c r="N120" s="334">
        <v>209</v>
      </c>
      <c r="O120" s="334">
        <v>423</v>
      </c>
      <c r="P120" s="334">
        <v>209</v>
      </c>
      <c r="Q120" s="334">
        <v>206</v>
      </c>
      <c r="R120" s="334">
        <v>415</v>
      </c>
      <c r="S120" s="334" t="s">
        <v>1055</v>
      </c>
      <c r="T120" s="334" t="s">
        <v>1056</v>
      </c>
      <c r="U120" s="334">
        <v>536421.11800000002</v>
      </c>
      <c r="V120" s="334">
        <v>2669834.1970000002</v>
      </c>
      <c r="W120" s="334"/>
      <c r="X120" s="341" t="s">
        <v>1057</v>
      </c>
      <c r="Y120" s="341" t="s">
        <v>920</v>
      </c>
      <c r="Z120" s="338" t="s">
        <v>367</v>
      </c>
      <c r="AA120" s="339"/>
      <c r="AB120" s="339"/>
      <c r="AC120" s="339"/>
      <c r="AD120" s="340"/>
    </row>
    <row r="121" spans="1:30" s="306" customFormat="1" x14ac:dyDescent="0.2">
      <c r="A121" s="321"/>
      <c r="B121" s="334"/>
      <c r="C121" s="334"/>
      <c r="D121" s="334"/>
      <c r="E121" s="334"/>
      <c r="F121" s="334">
        <v>397</v>
      </c>
      <c r="G121" s="334"/>
      <c r="H121" s="312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 t="s">
        <v>1012</v>
      </c>
      <c r="X121" s="325"/>
      <c r="Y121" s="325"/>
      <c r="Z121" s="338"/>
      <c r="AA121" s="339"/>
      <c r="AB121" s="339"/>
      <c r="AC121" s="339"/>
      <c r="AD121" s="340"/>
    </row>
    <row r="122" spans="1:30" s="306" customFormat="1" x14ac:dyDescent="0.2">
      <c r="A122" s="327">
        <v>57</v>
      </c>
      <c r="B122" s="334" t="s">
        <v>859</v>
      </c>
      <c r="C122" s="334" t="s">
        <v>81</v>
      </c>
      <c r="D122" s="334" t="s">
        <v>36</v>
      </c>
      <c r="E122" s="334" t="s">
        <v>859</v>
      </c>
      <c r="F122" s="334"/>
      <c r="G122" s="334"/>
      <c r="H122" s="328">
        <f>H120+F121</f>
        <v>21351.705999999998</v>
      </c>
      <c r="I122" s="342">
        <v>432.71</v>
      </c>
      <c r="J122" s="334">
        <v>72.5</v>
      </c>
      <c r="K122" s="334">
        <f>F121+F123</f>
        <v>791</v>
      </c>
      <c r="L122" s="334">
        <f>K122/2</f>
        <v>395.5</v>
      </c>
      <c r="M122" s="334">
        <v>189</v>
      </c>
      <c r="N122" s="334">
        <v>199</v>
      </c>
      <c r="O122" s="334">
        <v>388</v>
      </c>
      <c r="P122" s="334">
        <v>192</v>
      </c>
      <c r="Q122" s="334">
        <v>199</v>
      </c>
      <c r="R122" s="334">
        <v>391</v>
      </c>
      <c r="S122" s="334" t="s">
        <v>1058</v>
      </c>
      <c r="T122" s="334" t="s">
        <v>1059</v>
      </c>
      <c r="U122" s="334">
        <v>536798.63800000004</v>
      </c>
      <c r="V122" s="334">
        <v>2669711.3650000002</v>
      </c>
      <c r="W122" s="334"/>
      <c r="X122" s="341" t="s">
        <v>1057</v>
      </c>
      <c r="Y122" s="341" t="s">
        <v>920</v>
      </c>
      <c r="Z122" s="338" t="s">
        <v>367</v>
      </c>
      <c r="AA122" s="339"/>
      <c r="AB122" s="339"/>
      <c r="AC122" s="339"/>
      <c r="AD122" s="340"/>
    </row>
    <row r="123" spans="1:30" s="306" customFormat="1" x14ac:dyDescent="0.2">
      <c r="A123" s="321"/>
      <c r="B123" s="334"/>
      <c r="C123" s="334"/>
      <c r="D123" s="334"/>
      <c r="E123" s="334"/>
      <c r="F123" s="334">
        <v>394</v>
      </c>
      <c r="G123" s="334"/>
      <c r="H123" s="312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 t="s">
        <v>1060</v>
      </c>
      <c r="X123" s="325"/>
      <c r="Y123" s="325"/>
      <c r="Z123" s="338"/>
      <c r="AA123" s="339"/>
      <c r="AB123" s="339"/>
      <c r="AC123" s="339"/>
      <c r="AD123" s="340"/>
    </row>
    <row r="124" spans="1:30" s="306" customFormat="1" x14ac:dyDescent="0.2">
      <c r="A124" s="327">
        <v>58</v>
      </c>
      <c r="B124" s="334" t="s">
        <v>859</v>
      </c>
      <c r="C124" s="334" t="s">
        <v>82</v>
      </c>
      <c r="D124" s="334" t="s">
        <v>36</v>
      </c>
      <c r="E124" s="334" t="s">
        <v>859</v>
      </c>
      <c r="F124" s="334"/>
      <c r="G124" s="334"/>
      <c r="H124" s="328">
        <f>H122+F123</f>
        <v>21745.705999999998</v>
      </c>
      <c r="I124" s="342">
        <v>432.43700000000001</v>
      </c>
      <c r="J124" s="334">
        <v>72.5</v>
      </c>
      <c r="K124" s="334">
        <f>F123+F125</f>
        <v>767</v>
      </c>
      <c r="L124" s="334">
        <f>K124/2</f>
        <v>383.5</v>
      </c>
      <c r="M124" s="334">
        <v>196</v>
      </c>
      <c r="N124" s="334">
        <v>194</v>
      </c>
      <c r="O124" s="334">
        <v>390</v>
      </c>
      <c r="P124" s="334">
        <v>197</v>
      </c>
      <c r="Q124" s="334">
        <v>192</v>
      </c>
      <c r="R124" s="334">
        <v>389</v>
      </c>
      <c r="S124" s="334" t="s">
        <v>1061</v>
      </c>
      <c r="T124" s="334" t="s">
        <v>1062</v>
      </c>
      <c r="U124" s="334">
        <v>537173.30500000005</v>
      </c>
      <c r="V124" s="334">
        <v>2669589.4619999998</v>
      </c>
      <c r="W124" s="334"/>
      <c r="X124" s="341" t="s">
        <v>1057</v>
      </c>
      <c r="Y124" s="341" t="s">
        <v>920</v>
      </c>
      <c r="Z124" s="338" t="s">
        <v>367</v>
      </c>
      <c r="AA124" s="339"/>
      <c r="AB124" s="339"/>
      <c r="AC124" s="339"/>
      <c r="AD124" s="340"/>
    </row>
    <row r="125" spans="1:30" s="306" customFormat="1" x14ac:dyDescent="0.2">
      <c r="A125" s="321"/>
      <c r="B125" s="334"/>
      <c r="C125" s="334"/>
      <c r="D125" s="334"/>
      <c r="E125" s="334"/>
      <c r="F125" s="334">
        <v>373</v>
      </c>
      <c r="G125" s="334"/>
      <c r="H125" s="312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 t="s">
        <v>966</v>
      </c>
      <c r="X125" s="325"/>
      <c r="Y125" s="325"/>
      <c r="Z125" s="338"/>
      <c r="AA125" s="339"/>
      <c r="AB125" s="339"/>
      <c r="AC125" s="339"/>
      <c r="AD125" s="340"/>
    </row>
    <row r="126" spans="1:30" s="306" customFormat="1" x14ac:dyDescent="0.2">
      <c r="A126" s="327">
        <v>59</v>
      </c>
      <c r="B126" s="334" t="s">
        <v>1063</v>
      </c>
      <c r="C126" s="334" t="s">
        <v>83</v>
      </c>
      <c r="D126" s="334" t="s">
        <v>66</v>
      </c>
      <c r="E126" s="334" t="s">
        <v>1064</v>
      </c>
      <c r="F126" s="334"/>
      <c r="G126" s="334">
        <f>SUM(F111:F125)</f>
        <v>3101</v>
      </c>
      <c r="H126" s="328">
        <f>H124+F125</f>
        <v>22118.705999999998</v>
      </c>
      <c r="I126" s="334">
        <v>431.10700000000003</v>
      </c>
      <c r="J126" s="343">
        <v>70.72</v>
      </c>
      <c r="K126" s="334">
        <f>F125+F127</f>
        <v>730</v>
      </c>
      <c r="L126" s="334">
        <f>K126/2</f>
        <v>365</v>
      </c>
      <c r="M126" s="334">
        <v>179</v>
      </c>
      <c r="N126" s="334">
        <v>194</v>
      </c>
      <c r="O126" s="334">
        <v>373</v>
      </c>
      <c r="P126" s="334">
        <v>182</v>
      </c>
      <c r="Q126" s="334">
        <v>189</v>
      </c>
      <c r="R126" s="334">
        <v>371</v>
      </c>
      <c r="S126" s="334" t="s">
        <v>1065</v>
      </c>
      <c r="T126" s="334" t="s">
        <v>1066</v>
      </c>
      <c r="U126" s="334">
        <v>537527.99100000004</v>
      </c>
      <c r="V126" s="334">
        <v>2669474.0589999999</v>
      </c>
      <c r="W126" s="334"/>
      <c r="X126" s="341" t="s">
        <v>1057</v>
      </c>
      <c r="Y126" s="341" t="s">
        <v>920</v>
      </c>
      <c r="Z126" s="338" t="s">
        <v>367</v>
      </c>
      <c r="AA126" s="339"/>
      <c r="AB126" s="339"/>
      <c r="AC126" s="339"/>
      <c r="AD126" s="340"/>
    </row>
    <row r="127" spans="1:30" s="306" customFormat="1" x14ac:dyDescent="0.2">
      <c r="A127" s="321"/>
      <c r="B127" s="334"/>
      <c r="C127" s="334"/>
      <c r="D127" s="334"/>
      <c r="E127" s="334"/>
      <c r="F127" s="334">
        <v>357</v>
      </c>
      <c r="G127" s="334"/>
      <c r="H127" s="312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 t="s">
        <v>1067</v>
      </c>
      <c r="X127" s="325"/>
      <c r="Y127" s="325"/>
      <c r="Z127" s="338"/>
      <c r="AA127" s="339"/>
      <c r="AB127" s="339"/>
      <c r="AC127" s="339"/>
      <c r="AD127" s="340"/>
    </row>
    <row r="128" spans="1:30" s="306" customFormat="1" x14ac:dyDescent="0.2">
      <c r="A128" s="327">
        <v>60</v>
      </c>
      <c r="B128" s="334" t="s">
        <v>859</v>
      </c>
      <c r="C128" s="334" t="s">
        <v>84</v>
      </c>
      <c r="D128" s="334" t="s">
        <v>19</v>
      </c>
      <c r="E128" s="334" t="s">
        <v>859</v>
      </c>
      <c r="F128" s="334"/>
      <c r="G128" s="334"/>
      <c r="H128" s="328">
        <f>H126+F127</f>
        <v>22475.705999999998</v>
      </c>
      <c r="I128" s="334">
        <v>430.19299999999998</v>
      </c>
      <c r="J128" s="334">
        <v>71</v>
      </c>
      <c r="K128" s="334">
        <f>F127+F129</f>
        <v>731</v>
      </c>
      <c r="L128" s="334">
        <f>K128/2</f>
        <v>365.5</v>
      </c>
      <c r="M128" s="334">
        <v>164</v>
      </c>
      <c r="N128" s="334">
        <v>179</v>
      </c>
      <c r="O128" s="334">
        <v>343</v>
      </c>
      <c r="P128" s="334">
        <v>169</v>
      </c>
      <c r="Q128" s="334">
        <v>183</v>
      </c>
      <c r="R128" s="334">
        <v>352</v>
      </c>
      <c r="S128" s="334" t="s">
        <v>1068</v>
      </c>
      <c r="T128" s="334" t="s">
        <v>1069</v>
      </c>
      <c r="U128" s="334">
        <v>537844.80299999996</v>
      </c>
      <c r="V128" s="334">
        <v>2669309.4989999998</v>
      </c>
      <c r="W128" s="334"/>
      <c r="X128" s="341" t="s">
        <v>1057</v>
      </c>
      <c r="Y128" s="341" t="s">
        <v>920</v>
      </c>
      <c r="Z128" s="338" t="s">
        <v>367</v>
      </c>
      <c r="AA128" s="339"/>
      <c r="AB128" s="339"/>
      <c r="AC128" s="339"/>
      <c r="AD128" s="340"/>
    </row>
    <row r="129" spans="1:30" s="306" customFormat="1" x14ac:dyDescent="0.2">
      <c r="A129" s="321"/>
      <c r="B129" s="334"/>
      <c r="C129" s="334"/>
      <c r="D129" s="334"/>
      <c r="E129" s="334"/>
      <c r="F129" s="334">
        <v>374</v>
      </c>
      <c r="G129" s="334"/>
      <c r="H129" s="312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 t="s">
        <v>1070</v>
      </c>
      <c r="X129" s="325"/>
      <c r="Y129" s="325"/>
      <c r="Z129" s="338"/>
      <c r="AA129" s="339"/>
      <c r="AB129" s="339"/>
      <c r="AC129" s="339"/>
      <c r="AD129" s="340"/>
    </row>
    <row r="130" spans="1:30" s="306" customFormat="1" x14ac:dyDescent="0.2">
      <c r="A130" s="327">
        <v>61</v>
      </c>
      <c r="B130" s="334" t="s">
        <v>859</v>
      </c>
      <c r="C130" s="334" t="s">
        <v>85</v>
      </c>
      <c r="D130" s="334" t="s">
        <v>36</v>
      </c>
      <c r="E130" s="334" t="s">
        <v>859</v>
      </c>
      <c r="F130" s="334"/>
      <c r="G130" s="334"/>
      <c r="H130" s="328">
        <f>H128+F129</f>
        <v>22849.705999999998</v>
      </c>
      <c r="I130" s="342">
        <v>430.005</v>
      </c>
      <c r="J130" s="334">
        <v>72.5</v>
      </c>
      <c r="K130" s="334">
        <f>F129+F131</f>
        <v>754</v>
      </c>
      <c r="L130" s="334">
        <f>K130/2</f>
        <v>377</v>
      </c>
      <c r="M130" s="334">
        <v>195</v>
      </c>
      <c r="N130" s="334">
        <v>200</v>
      </c>
      <c r="O130" s="334">
        <v>395</v>
      </c>
      <c r="P130" s="334">
        <v>193</v>
      </c>
      <c r="Q130" s="334">
        <v>197</v>
      </c>
      <c r="R130" s="334">
        <v>390</v>
      </c>
      <c r="S130" s="334" t="s">
        <v>1071</v>
      </c>
      <c r="T130" s="334" t="s">
        <v>1072</v>
      </c>
      <c r="U130" s="334">
        <v>538176.69999999995</v>
      </c>
      <c r="V130" s="334">
        <v>2669137.1039999998</v>
      </c>
      <c r="W130" s="334"/>
      <c r="X130" s="341" t="s">
        <v>1073</v>
      </c>
      <c r="Y130" s="341" t="s">
        <v>920</v>
      </c>
      <c r="Z130" s="338" t="s">
        <v>367</v>
      </c>
      <c r="AA130" s="339"/>
      <c r="AB130" s="339"/>
      <c r="AC130" s="339"/>
      <c r="AD130" s="340"/>
    </row>
    <row r="131" spans="1:30" s="306" customFormat="1" x14ac:dyDescent="0.2">
      <c r="A131" s="321"/>
      <c r="B131" s="334"/>
      <c r="C131" s="334"/>
      <c r="D131" s="334"/>
      <c r="E131" s="334"/>
      <c r="F131" s="334">
        <v>380</v>
      </c>
      <c r="G131" s="334"/>
      <c r="H131" s="312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 t="s">
        <v>1074</v>
      </c>
      <c r="X131" s="325"/>
      <c r="Y131" s="325"/>
      <c r="Z131" s="338"/>
      <c r="AA131" s="339"/>
      <c r="AB131" s="339"/>
      <c r="AC131" s="339"/>
      <c r="AD131" s="340"/>
    </row>
    <row r="132" spans="1:30" s="306" customFormat="1" x14ac:dyDescent="0.2">
      <c r="A132" s="327">
        <v>62</v>
      </c>
      <c r="B132" s="334" t="s">
        <v>859</v>
      </c>
      <c r="C132" s="334" t="s">
        <v>86</v>
      </c>
      <c r="D132" s="334" t="s">
        <v>36</v>
      </c>
      <c r="E132" s="334" t="s">
        <v>859</v>
      </c>
      <c r="F132" s="334"/>
      <c r="G132" s="334"/>
      <c r="H132" s="328">
        <f>H130+F131</f>
        <v>23229.705999999998</v>
      </c>
      <c r="I132" s="342">
        <v>428.41300000000001</v>
      </c>
      <c r="J132" s="334">
        <v>72.5</v>
      </c>
      <c r="K132" s="334">
        <f>F131+F133</f>
        <v>724</v>
      </c>
      <c r="L132" s="334">
        <f>K132/2</f>
        <v>362</v>
      </c>
      <c r="M132" s="334">
        <v>181</v>
      </c>
      <c r="N132" s="334">
        <v>197</v>
      </c>
      <c r="O132" s="334">
        <v>378</v>
      </c>
      <c r="P132" s="334">
        <v>185</v>
      </c>
      <c r="Q132" s="334">
        <v>189</v>
      </c>
      <c r="R132" s="334">
        <v>374</v>
      </c>
      <c r="S132" s="334" t="s">
        <v>1075</v>
      </c>
      <c r="T132" s="334" t="s">
        <v>1076</v>
      </c>
      <c r="U132" s="334">
        <v>538513.92200000002</v>
      </c>
      <c r="V132" s="334">
        <v>2668961.943</v>
      </c>
      <c r="W132" s="334"/>
      <c r="X132" s="341" t="s">
        <v>1073</v>
      </c>
      <c r="Y132" s="341" t="s">
        <v>920</v>
      </c>
      <c r="Z132" s="338" t="s">
        <v>367</v>
      </c>
      <c r="AA132" s="339"/>
      <c r="AB132" s="339"/>
      <c r="AC132" s="339"/>
      <c r="AD132" s="340"/>
    </row>
    <row r="133" spans="1:30" s="306" customFormat="1" x14ac:dyDescent="0.2">
      <c r="A133" s="321"/>
      <c r="B133" s="334"/>
      <c r="C133" s="334"/>
      <c r="D133" s="334"/>
      <c r="E133" s="334"/>
      <c r="F133" s="334">
        <v>344</v>
      </c>
      <c r="G133" s="334"/>
      <c r="H133" s="312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 t="s">
        <v>980</v>
      </c>
      <c r="X133" s="325"/>
      <c r="Y133" s="325"/>
      <c r="Z133" s="338"/>
      <c r="AA133" s="339"/>
      <c r="AB133" s="339"/>
      <c r="AC133" s="339"/>
      <c r="AD133" s="340"/>
    </row>
    <row r="134" spans="1:30" s="306" customFormat="1" x14ac:dyDescent="0.2">
      <c r="A134" s="327">
        <v>63</v>
      </c>
      <c r="B134" s="334" t="s">
        <v>859</v>
      </c>
      <c r="C134" s="334" t="s">
        <v>87</v>
      </c>
      <c r="D134" s="334" t="s">
        <v>28</v>
      </c>
      <c r="E134" s="334" t="s">
        <v>859</v>
      </c>
      <c r="F134" s="334"/>
      <c r="G134" s="334"/>
      <c r="H134" s="328">
        <f>H132+F133</f>
        <v>23573.705999999998</v>
      </c>
      <c r="I134" s="334">
        <v>427.52600000000001</v>
      </c>
      <c r="J134" s="334">
        <v>69.5</v>
      </c>
      <c r="K134" s="334">
        <f>F133+F135</f>
        <v>674</v>
      </c>
      <c r="L134" s="334">
        <f>K134/2</f>
        <v>337</v>
      </c>
      <c r="M134" s="334">
        <v>147</v>
      </c>
      <c r="N134" s="334">
        <v>159</v>
      </c>
      <c r="O134" s="334">
        <v>306</v>
      </c>
      <c r="P134" s="334">
        <v>156</v>
      </c>
      <c r="Q134" s="334">
        <v>161</v>
      </c>
      <c r="R134" s="334">
        <v>317</v>
      </c>
      <c r="S134" s="334" t="s">
        <v>1077</v>
      </c>
      <c r="T134" s="334" t="s">
        <v>1078</v>
      </c>
      <c r="U134" s="334">
        <v>538819.19700000004</v>
      </c>
      <c r="V134" s="334">
        <v>2668803.3760000002</v>
      </c>
      <c r="W134" s="334"/>
      <c r="X134" s="341" t="s">
        <v>1073</v>
      </c>
      <c r="Y134" s="341" t="s">
        <v>920</v>
      </c>
      <c r="Z134" s="338" t="s">
        <v>367</v>
      </c>
      <c r="AA134" s="339"/>
      <c r="AB134" s="339"/>
      <c r="AC134" s="339"/>
      <c r="AD134" s="340"/>
    </row>
    <row r="135" spans="1:30" s="306" customFormat="1" x14ac:dyDescent="0.2">
      <c r="A135" s="321"/>
      <c r="B135" s="334"/>
      <c r="C135" s="334"/>
      <c r="D135" s="334"/>
      <c r="E135" s="334"/>
      <c r="F135" s="334">
        <v>330</v>
      </c>
      <c r="G135" s="334"/>
      <c r="H135" s="312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 t="s">
        <v>966</v>
      </c>
      <c r="X135" s="325"/>
      <c r="Y135" s="325"/>
      <c r="Z135" s="338"/>
      <c r="AA135" s="339"/>
      <c r="AB135" s="339"/>
      <c r="AC135" s="339"/>
      <c r="AD135" s="340"/>
    </row>
    <row r="136" spans="1:30" s="306" customFormat="1" x14ac:dyDescent="0.2">
      <c r="A136" s="327">
        <v>64</v>
      </c>
      <c r="B136" s="334" t="s">
        <v>859</v>
      </c>
      <c r="C136" s="334" t="s">
        <v>88</v>
      </c>
      <c r="D136" s="334" t="s">
        <v>36</v>
      </c>
      <c r="E136" s="334" t="s">
        <v>859</v>
      </c>
      <c r="F136" s="334"/>
      <c r="G136" s="334"/>
      <c r="H136" s="328">
        <f>H134+F135</f>
        <v>23903.705999999998</v>
      </c>
      <c r="I136" s="342">
        <v>425.49799999999999</v>
      </c>
      <c r="J136" s="334">
        <v>72.5</v>
      </c>
      <c r="K136" s="334">
        <f>F135+F137</f>
        <v>697</v>
      </c>
      <c r="L136" s="334">
        <f>K136/2</f>
        <v>348.5</v>
      </c>
      <c r="M136" s="334">
        <v>172</v>
      </c>
      <c r="N136" s="334">
        <v>208</v>
      </c>
      <c r="O136" s="334">
        <v>380</v>
      </c>
      <c r="P136" s="334">
        <v>170</v>
      </c>
      <c r="Q136" s="334">
        <v>200</v>
      </c>
      <c r="R136" s="334">
        <v>370</v>
      </c>
      <c r="S136" s="334" t="s">
        <v>1079</v>
      </c>
      <c r="T136" s="334" t="s">
        <v>1080</v>
      </c>
      <c r="U136" s="334">
        <v>539112.04700000002</v>
      </c>
      <c r="V136" s="334">
        <v>2668651.2620000001</v>
      </c>
      <c r="W136" s="334"/>
      <c r="X136" s="341" t="s">
        <v>1073</v>
      </c>
      <c r="Y136" s="341" t="s">
        <v>920</v>
      </c>
      <c r="Z136" s="338" t="s">
        <v>367</v>
      </c>
      <c r="AA136" s="339"/>
      <c r="AB136" s="339"/>
      <c r="AC136" s="339"/>
      <c r="AD136" s="340"/>
    </row>
    <row r="137" spans="1:30" s="306" customFormat="1" x14ac:dyDescent="0.2">
      <c r="A137" s="321"/>
      <c r="B137" s="334"/>
      <c r="C137" s="334"/>
      <c r="D137" s="334"/>
      <c r="E137" s="334"/>
      <c r="F137" s="334">
        <v>367</v>
      </c>
      <c r="G137" s="334"/>
      <c r="H137" s="312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 t="s">
        <v>969</v>
      </c>
      <c r="X137" s="325"/>
      <c r="Y137" s="325"/>
      <c r="Z137" s="338"/>
      <c r="AA137" s="339"/>
      <c r="AB137" s="339"/>
      <c r="AC137" s="339"/>
      <c r="AD137" s="340"/>
    </row>
    <row r="138" spans="1:30" s="306" customFormat="1" x14ac:dyDescent="0.2">
      <c r="A138" s="327">
        <v>65</v>
      </c>
      <c r="B138" s="334" t="s">
        <v>1081</v>
      </c>
      <c r="C138" s="334" t="s">
        <v>89</v>
      </c>
      <c r="D138" s="334" t="s">
        <v>23</v>
      </c>
      <c r="E138" s="334" t="s">
        <v>1082</v>
      </c>
      <c r="F138" s="334"/>
      <c r="G138" s="334">
        <f>SUM(F127:F137)</f>
        <v>2152</v>
      </c>
      <c r="H138" s="328">
        <f>H136+F137</f>
        <v>24270.705999999998</v>
      </c>
      <c r="I138" s="334">
        <v>421.50900000000001</v>
      </c>
      <c r="J138" s="343">
        <v>70.72</v>
      </c>
      <c r="K138" s="334">
        <f>F137+F139</f>
        <v>752</v>
      </c>
      <c r="L138" s="334">
        <f>K138/2</f>
        <v>376</v>
      </c>
      <c r="M138" s="334">
        <v>160</v>
      </c>
      <c r="N138" s="334">
        <v>173</v>
      </c>
      <c r="O138" s="334">
        <v>333</v>
      </c>
      <c r="P138" s="334">
        <v>169</v>
      </c>
      <c r="Q138" s="334">
        <v>180</v>
      </c>
      <c r="R138" s="334">
        <v>349</v>
      </c>
      <c r="S138" s="334" t="s">
        <v>1083</v>
      </c>
      <c r="T138" s="334" t="s">
        <v>1084</v>
      </c>
      <c r="U138" s="334">
        <v>539437.951</v>
      </c>
      <c r="V138" s="334">
        <v>2668481.98</v>
      </c>
      <c r="W138" s="334"/>
      <c r="X138" s="341" t="s">
        <v>1073</v>
      </c>
      <c r="Y138" s="341" t="s">
        <v>920</v>
      </c>
      <c r="Z138" s="338" t="s">
        <v>367</v>
      </c>
      <c r="AA138" s="339"/>
      <c r="AB138" s="339"/>
      <c r="AC138" s="339"/>
      <c r="AD138" s="340"/>
    </row>
    <row r="139" spans="1:30" s="306" customFormat="1" ht="25.5" x14ac:dyDescent="0.2">
      <c r="A139" s="321"/>
      <c r="B139" s="334"/>
      <c r="C139" s="334"/>
      <c r="D139" s="334"/>
      <c r="E139" s="334"/>
      <c r="F139" s="334">
        <v>385</v>
      </c>
      <c r="G139" s="334"/>
      <c r="H139" s="312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 t="s">
        <v>1085</v>
      </c>
      <c r="X139" s="325"/>
      <c r="Y139" s="325"/>
      <c r="Z139" s="338"/>
      <c r="AA139" s="339"/>
      <c r="AB139" s="339"/>
      <c r="AC139" s="339"/>
      <c r="AD139" s="340"/>
    </row>
    <row r="140" spans="1:30" s="306" customFormat="1" x14ac:dyDescent="0.2">
      <c r="A140" s="327">
        <v>66</v>
      </c>
      <c r="B140" s="334" t="s">
        <v>859</v>
      </c>
      <c r="C140" s="334" t="s">
        <v>90</v>
      </c>
      <c r="D140" s="334" t="s">
        <v>36</v>
      </c>
      <c r="E140" s="334" t="s">
        <v>859</v>
      </c>
      <c r="F140" s="334"/>
      <c r="G140" s="334"/>
      <c r="H140" s="328">
        <f>H138+F139</f>
        <v>24655.705999999998</v>
      </c>
      <c r="I140" s="342">
        <v>425.07299999999998</v>
      </c>
      <c r="J140" s="334">
        <v>72.5</v>
      </c>
      <c r="K140" s="334">
        <f>F139+F141</f>
        <v>740</v>
      </c>
      <c r="L140" s="334">
        <f>K140/2</f>
        <v>370</v>
      </c>
      <c r="M140" s="334">
        <v>213</v>
      </c>
      <c r="N140" s="334">
        <v>170</v>
      </c>
      <c r="O140" s="334">
        <v>383</v>
      </c>
      <c r="P140" s="334">
        <v>206</v>
      </c>
      <c r="Q140" s="334">
        <v>173</v>
      </c>
      <c r="R140" s="334">
        <v>379</v>
      </c>
      <c r="S140" s="334" t="s">
        <v>1086</v>
      </c>
      <c r="T140" s="334" t="s">
        <v>1087</v>
      </c>
      <c r="U140" s="334">
        <v>539818.51899999997</v>
      </c>
      <c r="V140" s="334">
        <v>2668423.73</v>
      </c>
      <c r="W140" s="334"/>
      <c r="X140" s="341" t="s">
        <v>1073</v>
      </c>
      <c r="Y140" s="341" t="s">
        <v>920</v>
      </c>
      <c r="Z140" s="338" t="s">
        <v>367</v>
      </c>
      <c r="AA140" s="339"/>
      <c r="AB140" s="339"/>
      <c r="AC140" s="339"/>
      <c r="AD140" s="340"/>
    </row>
    <row r="141" spans="1:30" s="306" customFormat="1" x14ac:dyDescent="0.2">
      <c r="A141" s="321"/>
      <c r="B141" s="334"/>
      <c r="C141" s="334"/>
      <c r="D141" s="334"/>
      <c r="E141" s="334"/>
      <c r="F141" s="334">
        <v>355</v>
      </c>
      <c r="G141" s="334"/>
      <c r="H141" s="312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 t="s">
        <v>969</v>
      </c>
      <c r="X141" s="325"/>
      <c r="Y141" s="325"/>
      <c r="Z141" s="338"/>
      <c r="AA141" s="339"/>
      <c r="AB141" s="339"/>
      <c r="AC141" s="339"/>
      <c r="AD141" s="340"/>
    </row>
    <row r="142" spans="1:30" s="306" customFormat="1" x14ac:dyDescent="0.2">
      <c r="A142" s="327">
        <v>67</v>
      </c>
      <c r="B142" s="334" t="s">
        <v>859</v>
      </c>
      <c r="C142" s="334" t="s">
        <v>91</v>
      </c>
      <c r="D142" s="334" t="s">
        <v>36</v>
      </c>
      <c r="E142" s="334" t="s">
        <v>859</v>
      </c>
      <c r="F142" s="334"/>
      <c r="G142" s="334"/>
      <c r="H142" s="328">
        <f>H140+F141</f>
        <v>25010.705999999998</v>
      </c>
      <c r="I142" s="342">
        <v>426.38299999999998</v>
      </c>
      <c r="J142" s="334">
        <v>72.5</v>
      </c>
      <c r="K142" s="334">
        <f>F141+F143</f>
        <v>712</v>
      </c>
      <c r="L142" s="334">
        <f>K142/2</f>
        <v>356</v>
      </c>
      <c r="M142" s="334">
        <v>186</v>
      </c>
      <c r="N142" s="334">
        <v>179</v>
      </c>
      <c r="O142" s="334">
        <v>365</v>
      </c>
      <c r="P142" s="334">
        <v>183</v>
      </c>
      <c r="Q142" s="334">
        <v>179</v>
      </c>
      <c r="R142" s="334">
        <v>362</v>
      </c>
      <c r="S142" s="334" t="s">
        <v>1088</v>
      </c>
      <c r="T142" s="334" t="s">
        <v>1089</v>
      </c>
      <c r="U142" s="334">
        <v>540169.43200000003</v>
      </c>
      <c r="V142" s="334">
        <v>2668370.02</v>
      </c>
      <c r="W142" s="334"/>
      <c r="X142" s="341" t="s">
        <v>1073</v>
      </c>
      <c r="Y142" s="341" t="s">
        <v>920</v>
      </c>
      <c r="Z142" s="338" t="s">
        <v>367</v>
      </c>
      <c r="AA142" s="339"/>
      <c r="AB142" s="339"/>
      <c r="AC142" s="339"/>
      <c r="AD142" s="340"/>
    </row>
    <row r="143" spans="1:30" s="306" customFormat="1" x14ac:dyDescent="0.2">
      <c r="A143" s="321"/>
      <c r="B143" s="334"/>
      <c r="C143" s="334"/>
      <c r="D143" s="334"/>
      <c r="E143" s="334"/>
      <c r="F143" s="334">
        <v>357</v>
      </c>
      <c r="G143" s="334"/>
      <c r="H143" s="312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 t="s">
        <v>1090</v>
      </c>
      <c r="X143" s="325"/>
      <c r="Y143" s="325"/>
      <c r="Z143" s="338"/>
      <c r="AA143" s="339"/>
      <c r="AB143" s="339"/>
      <c r="AC143" s="339"/>
      <c r="AD143" s="340"/>
    </row>
    <row r="144" spans="1:30" s="306" customFormat="1" x14ac:dyDescent="0.2">
      <c r="A144" s="327">
        <v>68</v>
      </c>
      <c r="B144" s="334" t="s">
        <v>859</v>
      </c>
      <c r="C144" s="334" t="s">
        <v>92</v>
      </c>
      <c r="D144" s="334" t="s">
        <v>28</v>
      </c>
      <c r="E144" s="334" t="s">
        <v>859</v>
      </c>
      <c r="F144" s="334"/>
      <c r="G144" s="334"/>
      <c r="H144" s="328">
        <f>H142+F143</f>
        <v>25367.705999999998</v>
      </c>
      <c r="I144" s="334">
        <v>429.339</v>
      </c>
      <c r="J144" s="334">
        <v>69.5</v>
      </c>
      <c r="K144" s="334">
        <f>F143+F145</f>
        <v>750</v>
      </c>
      <c r="L144" s="334">
        <f>K144/2</f>
        <v>375</v>
      </c>
      <c r="M144" s="334">
        <v>178</v>
      </c>
      <c r="N144" s="334">
        <v>169</v>
      </c>
      <c r="O144" s="334">
        <v>347</v>
      </c>
      <c r="P144" s="334">
        <v>179</v>
      </c>
      <c r="Q144" s="334">
        <v>179</v>
      </c>
      <c r="R144" s="334">
        <v>358</v>
      </c>
      <c r="S144" s="334" t="s">
        <v>1091</v>
      </c>
      <c r="T144" s="334" t="s">
        <v>1092</v>
      </c>
      <c r="U144" s="334">
        <v>540522.32299999997</v>
      </c>
      <c r="V144" s="334">
        <v>2668316.0060000001</v>
      </c>
      <c r="W144" s="334"/>
      <c r="X144" s="341" t="s">
        <v>1093</v>
      </c>
      <c r="Y144" s="341" t="s">
        <v>920</v>
      </c>
      <c r="Z144" s="338" t="s">
        <v>367</v>
      </c>
      <c r="AA144" s="339"/>
      <c r="AB144" s="339"/>
      <c r="AC144" s="339"/>
      <c r="AD144" s="340"/>
    </row>
    <row r="145" spans="1:30" s="306" customFormat="1" x14ac:dyDescent="0.2">
      <c r="A145" s="321"/>
      <c r="B145" s="334"/>
      <c r="C145" s="334"/>
      <c r="D145" s="334"/>
      <c r="E145" s="334"/>
      <c r="F145" s="334">
        <v>393</v>
      </c>
      <c r="G145" s="334"/>
      <c r="H145" s="312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 t="s">
        <v>966</v>
      </c>
      <c r="X145" s="325"/>
      <c r="Y145" s="325"/>
      <c r="Z145" s="338"/>
      <c r="AA145" s="339"/>
      <c r="AB145" s="339"/>
      <c r="AC145" s="339"/>
      <c r="AD145" s="340"/>
    </row>
    <row r="146" spans="1:30" s="306" customFormat="1" x14ac:dyDescent="0.2">
      <c r="A146" s="327">
        <v>69</v>
      </c>
      <c r="B146" s="334" t="s">
        <v>859</v>
      </c>
      <c r="C146" s="334" t="s">
        <v>93</v>
      </c>
      <c r="D146" s="334" t="s">
        <v>38</v>
      </c>
      <c r="E146" s="334" t="s">
        <v>859</v>
      </c>
      <c r="F146" s="334"/>
      <c r="G146" s="334"/>
      <c r="H146" s="328">
        <f>H144+F145</f>
        <v>25760.705999999998</v>
      </c>
      <c r="I146" s="334">
        <v>428.34899999999999</v>
      </c>
      <c r="J146" s="334">
        <v>75.5</v>
      </c>
      <c r="K146" s="334">
        <f>F145+F147</f>
        <v>776</v>
      </c>
      <c r="L146" s="334">
        <f>K146/2</f>
        <v>388</v>
      </c>
      <c r="M146" s="334">
        <v>225</v>
      </c>
      <c r="N146" s="334">
        <v>239</v>
      </c>
      <c r="O146" s="334">
        <v>464</v>
      </c>
      <c r="P146" s="334">
        <v>216</v>
      </c>
      <c r="Q146" s="334">
        <v>223</v>
      </c>
      <c r="R146" s="334">
        <v>439</v>
      </c>
      <c r="S146" s="334" t="s">
        <v>1094</v>
      </c>
      <c r="T146" s="334" t="s">
        <v>1095</v>
      </c>
      <c r="U146" s="334">
        <v>540910.79799999995</v>
      </c>
      <c r="V146" s="334">
        <v>2668256.5460000001</v>
      </c>
      <c r="W146" s="334"/>
      <c r="X146" s="341" t="s">
        <v>1093</v>
      </c>
      <c r="Y146" s="341" t="s">
        <v>920</v>
      </c>
      <c r="Z146" s="338" t="s">
        <v>367</v>
      </c>
      <c r="AA146" s="339"/>
      <c r="AB146" s="339"/>
      <c r="AC146" s="339"/>
      <c r="AD146" s="340"/>
    </row>
    <row r="147" spans="1:30" s="306" customFormat="1" x14ac:dyDescent="0.2">
      <c r="A147" s="321"/>
      <c r="B147" s="334"/>
      <c r="C147" s="334"/>
      <c r="D147" s="334"/>
      <c r="E147" s="334"/>
      <c r="F147" s="334">
        <v>383</v>
      </c>
      <c r="G147" s="334"/>
      <c r="H147" s="312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 t="s">
        <v>963</v>
      </c>
      <c r="X147" s="325"/>
      <c r="Y147" s="325"/>
      <c r="Z147" s="338"/>
      <c r="AA147" s="339"/>
      <c r="AB147" s="339"/>
      <c r="AC147" s="339"/>
      <c r="AD147" s="340"/>
    </row>
    <row r="148" spans="1:30" s="306" customFormat="1" x14ac:dyDescent="0.2">
      <c r="A148" s="327">
        <v>70</v>
      </c>
      <c r="B148" s="334" t="s">
        <v>859</v>
      </c>
      <c r="C148" s="334" t="s">
        <v>94</v>
      </c>
      <c r="D148" s="334" t="s">
        <v>36</v>
      </c>
      <c r="E148" s="334" t="s">
        <v>859</v>
      </c>
      <c r="F148" s="334"/>
      <c r="G148" s="334"/>
      <c r="H148" s="328">
        <f>H146+F147</f>
        <v>26143.705999999998</v>
      </c>
      <c r="I148" s="342">
        <v>423.12200000000001</v>
      </c>
      <c r="J148" s="334">
        <v>72.5</v>
      </c>
      <c r="K148" s="334">
        <f>F147+F149</f>
        <v>771</v>
      </c>
      <c r="L148" s="334">
        <f>K148/2</f>
        <v>385.5</v>
      </c>
      <c r="M148" s="334">
        <v>145</v>
      </c>
      <c r="N148" s="334">
        <v>218</v>
      </c>
      <c r="O148" s="334">
        <v>363</v>
      </c>
      <c r="P148" s="334">
        <v>161</v>
      </c>
      <c r="Q148" s="334">
        <v>211</v>
      </c>
      <c r="R148" s="334">
        <v>372</v>
      </c>
      <c r="S148" s="334" t="s">
        <v>1096</v>
      </c>
      <c r="T148" s="334" t="s">
        <v>1097</v>
      </c>
      <c r="U148" s="334">
        <v>541289.38899999997</v>
      </c>
      <c r="V148" s="334">
        <v>2668198.5989999999</v>
      </c>
      <c r="W148" s="334"/>
      <c r="X148" s="341" t="s">
        <v>1093</v>
      </c>
      <c r="Y148" s="341" t="s">
        <v>920</v>
      </c>
      <c r="Z148" s="338" t="s">
        <v>367</v>
      </c>
      <c r="AA148" s="339"/>
      <c r="AB148" s="339"/>
      <c r="AC148" s="339"/>
      <c r="AD148" s="340"/>
    </row>
    <row r="149" spans="1:30" s="306" customFormat="1" ht="25.5" x14ac:dyDescent="0.2">
      <c r="A149" s="321"/>
      <c r="B149" s="334"/>
      <c r="C149" s="334"/>
      <c r="D149" s="334"/>
      <c r="E149" s="334"/>
      <c r="F149" s="334">
        <v>388</v>
      </c>
      <c r="G149" s="334"/>
      <c r="H149" s="312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 t="s">
        <v>1098</v>
      </c>
      <c r="X149" s="325"/>
      <c r="Y149" s="325"/>
      <c r="Z149" s="338"/>
      <c r="AA149" s="339"/>
      <c r="AB149" s="339"/>
      <c r="AC149" s="339"/>
      <c r="AD149" s="340"/>
    </row>
    <row r="150" spans="1:30" s="306" customFormat="1" x14ac:dyDescent="0.2">
      <c r="A150" s="327">
        <v>71</v>
      </c>
      <c r="B150" s="334" t="s">
        <v>1099</v>
      </c>
      <c r="C150" s="334" t="s">
        <v>95</v>
      </c>
      <c r="D150" s="334" t="s">
        <v>66</v>
      </c>
      <c r="E150" s="334" t="s">
        <v>1100</v>
      </c>
      <c r="F150" s="334"/>
      <c r="G150" s="334">
        <f>SUM(F139:F149)</f>
        <v>2261</v>
      </c>
      <c r="H150" s="328">
        <f>H148+F149</f>
        <v>26531.705999999998</v>
      </c>
      <c r="I150" s="334">
        <v>418.85399999999998</v>
      </c>
      <c r="J150" s="343">
        <v>70.72</v>
      </c>
      <c r="K150" s="334">
        <f>F149+F151</f>
        <v>756</v>
      </c>
      <c r="L150" s="334">
        <f>K150/2</f>
        <v>378</v>
      </c>
      <c r="M150" s="334">
        <v>170</v>
      </c>
      <c r="N150" s="334">
        <v>193</v>
      </c>
      <c r="O150" s="334">
        <v>363</v>
      </c>
      <c r="P150" s="334">
        <v>179</v>
      </c>
      <c r="Q150" s="334">
        <v>190</v>
      </c>
      <c r="R150" s="334">
        <v>369</v>
      </c>
      <c r="S150" s="334" t="s">
        <v>1101</v>
      </c>
      <c r="T150" s="334" t="s">
        <v>1102</v>
      </c>
      <c r="U150" s="334">
        <v>541673.01</v>
      </c>
      <c r="V150" s="334">
        <v>2668139.8820000002</v>
      </c>
      <c r="W150" s="334"/>
      <c r="X150" s="341" t="s">
        <v>1093</v>
      </c>
      <c r="Y150" s="341" t="s">
        <v>920</v>
      </c>
      <c r="Z150" s="338" t="s">
        <v>367</v>
      </c>
      <c r="AA150" s="339"/>
      <c r="AB150" s="339"/>
      <c r="AC150" s="339"/>
      <c r="AD150" s="340"/>
    </row>
    <row r="151" spans="1:30" s="306" customFormat="1" x14ac:dyDescent="0.2">
      <c r="A151" s="321"/>
      <c r="B151" s="334"/>
      <c r="C151" s="334"/>
      <c r="D151" s="334"/>
      <c r="E151" s="334"/>
      <c r="F151" s="334">
        <v>368</v>
      </c>
      <c r="G151" s="334"/>
      <c r="H151" s="312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 t="s">
        <v>1001</v>
      </c>
      <c r="X151" s="325"/>
      <c r="Y151" s="325"/>
      <c r="Z151" s="338"/>
      <c r="AA151" s="339"/>
      <c r="AB151" s="339"/>
      <c r="AC151" s="339"/>
      <c r="AD151" s="340"/>
    </row>
    <row r="152" spans="1:30" s="306" customFormat="1" x14ac:dyDescent="0.2">
      <c r="A152" s="327">
        <v>72</v>
      </c>
      <c r="B152" s="334" t="s">
        <v>859</v>
      </c>
      <c r="C152" s="334" t="s">
        <v>96</v>
      </c>
      <c r="D152" s="334" t="s">
        <v>36</v>
      </c>
      <c r="E152" s="334" t="s">
        <v>859</v>
      </c>
      <c r="F152" s="334"/>
      <c r="G152" s="334"/>
      <c r="H152" s="328">
        <f>H150+F151</f>
        <v>26899.705999999998</v>
      </c>
      <c r="I152" s="342">
        <v>417.37299999999999</v>
      </c>
      <c r="J152" s="334">
        <v>72.5</v>
      </c>
      <c r="K152" s="334">
        <f>F151+F153</f>
        <v>780</v>
      </c>
      <c r="L152" s="334">
        <f>K152/2</f>
        <v>390</v>
      </c>
      <c r="M152" s="334">
        <v>176</v>
      </c>
      <c r="N152" s="334">
        <v>175</v>
      </c>
      <c r="O152" s="334">
        <v>351</v>
      </c>
      <c r="P152" s="334">
        <v>179</v>
      </c>
      <c r="Q152" s="334">
        <v>185</v>
      </c>
      <c r="R152" s="334">
        <v>364</v>
      </c>
      <c r="S152" s="334" t="s">
        <v>1103</v>
      </c>
      <c r="T152" s="334" t="s">
        <v>1104</v>
      </c>
      <c r="U152" s="334">
        <v>542016.86499999999</v>
      </c>
      <c r="V152" s="334">
        <v>2668008.781</v>
      </c>
      <c r="W152" s="334"/>
      <c r="X152" s="341" t="s">
        <v>1093</v>
      </c>
      <c r="Y152" s="341" t="s">
        <v>920</v>
      </c>
      <c r="Z152" s="338" t="s">
        <v>367</v>
      </c>
      <c r="AA152" s="339"/>
      <c r="AB152" s="339"/>
      <c r="AC152" s="339"/>
      <c r="AD152" s="340"/>
    </row>
    <row r="153" spans="1:30" s="306" customFormat="1" x14ac:dyDescent="0.2">
      <c r="A153" s="321"/>
      <c r="B153" s="334"/>
      <c r="C153" s="334"/>
      <c r="D153" s="334"/>
      <c r="E153" s="334"/>
      <c r="F153" s="334">
        <v>412</v>
      </c>
      <c r="G153" s="334"/>
      <c r="H153" s="312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 t="s">
        <v>1031</v>
      </c>
      <c r="X153" s="325"/>
      <c r="Y153" s="325"/>
      <c r="Z153" s="338"/>
      <c r="AA153" s="339"/>
      <c r="AB153" s="339"/>
      <c r="AC153" s="339"/>
      <c r="AD153" s="340"/>
    </row>
    <row r="154" spans="1:30" s="306" customFormat="1" x14ac:dyDescent="0.2">
      <c r="A154" s="327">
        <v>73</v>
      </c>
      <c r="B154" s="334" t="s">
        <v>859</v>
      </c>
      <c r="C154" s="334" t="s">
        <v>97</v>
      </c>
      <c r="D154" s="334" t="s">
        <v>38</v>
      </c>
      <c r="E154" s="334" t="s">
        <v>859</v>
      </c>
      <c r="F154" s="334"/>
      <c r="G154" s="334"/>
      <c r="H154" s="328">
        <f>H152+F153</f>
        <v>27311.705999999998</v>
      </c>
      <c r="I154" s="334">
        <v>420.33</v>
      </c>
      <c r="J154" s="334">
        <v>75.5</v>
      </c>
      <c r="K154" s="334">
        <f>F153+F155</f>
        <v>828</v>
      </c>
      <c r="L154" s="334">
        <f>K154/2</f>
        <v>414</v>
      </c>
      <c r="M154" s="334">
        <v>237</v>
      </c>
      <c r="N154" s="334">
        <v>221</v>
      </c>
      <c r="O154" s="334">
        <v>458</v>
      </c>
      <c r="P154" s="334">
        <v>228</v>
      </c>
      <c r="Q154" s="334">
        <v>217</v>
      </c>
      <c r="R154" s="334">
        <v>445</v>
      </c>
      <c r="S154" s="334" t="s">
        <v>1105</v>
      </c>
      <c r="T154" s="334" t="s">
        <v>1106</v>
      </c>
      <c r="U154" s="334">
        <v>542401.83400000003</v>
      </c>
      <c r="V154" s="334">
        <v>2667862.0049999999</v>
      </c>
      <c r="W154" s="334"/>
      <c r="X154" s="341" t="s">
        <v>1093</v>
      </c>
      <c r="Y154" s="341" t="s">
        <v>920</v>
      </c>
      <c r="Z154" s="338" t="s">
        <v>367</v>
      </c>
      <c r="AA154" s="339"/>
      <c r="AB154" s="339"/>
      <c r="AC154" s="339"/>
      <c r="AD154" s="340"/>
    </row>
    <row r="155" spans="1:30" s="306" customFormat="1" x14ac:dyDescent="0.2">
      <c r="A155" s="321"/>
      <c r="B155" s="334"/>
      <c r="C155" s="334"/>
      <c r="D155" s="334"/>
      <c r="E155" s="334"/>
      <c r="F155" s="334">
        <v>416</v>
      </c>
      <c r="G155" s="334"/>
      <c r="H155" s="312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25"/>
      <c r="Y155" s="325"/>
      <c r="Z155" s="338"/>
      <c r="AA155" s="339"/>
      <c r="AB155" s="339"/>
      <c r="AC155" s="339"/>
      <c r="AD155" s="340"/>
    </row>
    <row r="156" spans="1:30" s="306" customFormat="1" x14ac:dyDescent="0.2">
      <c r="A156" s="327">
        <v>74</v>
      </c>
      <c r="B156" s="334" t="s">
        <v>859</v>
      </c>
      <c r="C156" s="334" t="s">
        <v>98</v>
      </c>
      <c r="D156" s="334" t="s">
        <v>36</v>
      </c>
      <c r="E156" s="334" t="s">
        <v>859</v>
      </c>
      <c r="F156" s="334"/>
      <c r="G156" s="334"/>
      <c r="H156" s="328">
        <f>H154+F155</f>
        <v>27727.705999999998</v>
      </c>
      <c r="I156" s="342">
        <v>420.87599999999998</v>
      </c>
      <c r="J156" s="334">
        <v>72.5</v>
      </c>
      <c r="K156" s="334">
        <f>F155+F157</f>
        <v>823</v>
      </c>
      <c r="L156" s="334">
        <f>K156/2</f>
        <v>411.5</v>
      </c>
      <c r="M156" s="334">
        <v>196</v>
      </c>
      <c r="N156" s="334">
        <v>167</v>
      </c>
      <c r="O156" s="334">
        <v>363</v>
      </c>
      <c r="P156" s="334">
        <v>200</v>
      </c>
      <c r="Q156" s="334">
        <v>179</v>
      </c>
      <c r="R156" s="334">
        <v>379</v>
      </c>
      <c r="S156" s="334" t="s">
        <v>1107</v>
      </c>
      <c r="T156" s="334" t="s">
        <v>1108</v>
      </c>
      <c r="U156" s="334">
        <v>542790.54</v>
      </c>
      <c r="V156" s="334">
        <v>2667713.804</v>
      </c>
      <c r="W156" s="334"/>
      <c r="X156" s="341" t="s">
        <v>1093</v>
      </c>
      <c r="Y156" s="341" t="s">
        <v>920</v>
      </c>
      <c r="Z156" s="338" t="s">
        <v>367</v>
      </c>
      <c r="AA156" s="339"/>
      <c r="AB156" s="339"/>
      <c r="AC156" s="339"/>
      <c r="AD156" s="340"/>
    </row>
    <row r="157" spans="1:30" s="306" customFormat="1" x14ac:dyDescent="0.2">
      <c r="A157" s="321"/>
      <c r="B157" s="334"/>
      <c r="C157" s="334"/>
      <c r="D157" s="334"/>
      <c r="E157" s="334"/>
      <c r="F157" s="334">
        <v>407</v>
      </c>
      <c r="G157" s="334"/>
      <c r="H157" s="312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 t="s">
        <v>969</v>
      </c>
      <c r="X157" s="325"/>
      <c r="Y157" s="325"/>
      <c r="Z157" s="338"/>
      <c r="AA157" s="339"/>
      <c r="AB157" s="339"/>
      <c r="AC157" s="339"/>
      <c r="AD157" s="340"/>
    </row>
    <row r="158" spans="1:30" s="306" customFormat="1" x14ac:dyDescent="0.2">
      <c r="A158" s="327">
        <v>75</v>
      </c>
      <c r="B158" s="334" t="s">
        <v>859</v>
      </c>
      <c r="C158" s="334" t="s">
        <v>99</v>
      </c>
      <c r="D158" s="334" t="s">
        <v>21</v>
      </c>
      <c r="E158" s="334" t="s">
        <v>859</v>
      </c>
      <c r="F158" s="334"/>
      <c r="G158" s="334"/>
      <c r="H158" s="328">
        <f>H156+F157</f>
        <v>28134.705999999998</v>
      </c>
      <c r="I158" s="334">
        <v>421.79300000000001</v>
      </c>
      <c r="J158" s="334">
        <v>78.5</v>
      </c>
      <c r="K158" s="334">
        <f>F157+F159</f>
        <v>832</v>
      </c>
      <c r="L158" s="334">
        <f>K158/2</f>
        <v>416</v>
      </c>
      <c r="M158" s="334">
        <v>240</v>
      </c>
      <c r="N158" s="334">
        <v>318</v>
      </c>
      <c r="O158" s="334">
        <v>558</v>
      </c>
      <c r="P158" s="334">
        <v>229</v>
      </c>
      <c r="Q158" s="334">
        <v>285</v>
      </c>
      <c r="R158" s="334">
        <v>514</v>
      </c>
      <c r="S158" s="334" t="s">
        <v>1109</v>
      </c>
      <c r="T158" s="334" t="s">
        <v>1110</v>
      </c>
      <c r="U158" s="334">
        <v>543170.83700000006</v>
      </c>
      <c r="V158" s="334">
        <v>2667568.81</v>
      </c>
      <c r="W158" s="334"/>
      <c r="X158" s="341" t="s">
        <v>1093</v>
      </c>
      <c r="Y158" s="341" t="s">
        <v>920</v>
      </c>
      <c r="Z158" s="338" t="s">
        <v>367</v>
      </c>
      <c r="AA158" s="339"/>
      <c r="AB158" s="339"/>
      <c r="AC158" s="339"/>
      <c r="AD158" s="340"/>
    </row>
    <row r="159" spans="1:30" s="306" customFormat="1" x14ac:dyDescent="0.2">
      <c r="A159" s="321"/>
      <c r="B159" s="334"/>
      <c r="C159" s="334"/>
      <c r="D159" s="334"/>
      <c r="E159" s="334"/>
      <c r="F159" s="334">
        <v>425</v>
      </c>
      <c r="G159" s="334"/>
      <c r="H159" s="312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 t="s">
        <v>1001</v>
      </c>
      <c r="X159" s="325"/>
      <c r="Y159" s="325"/>
      <c r="Z159" s="338"/>
      <c r="AA159" s="339"/>
      <c r="AB159" s="339"/>
      <c r="AC159" s="339"/>
      <c r="AD159" s="340"/>
    </row>
    <row r="160" spans="1:30" s="306" customFormat="1" x14ac:dyDescent="0.2">
      <c r="A160" s="327">
        <v>76</v>
      </c>
      <c r="B160" s="334" t="s">
        <v>859</v>
      </c>
      <c r="C160" s="334" t="s">
        <v>100</v>
      </c>
      <c r="D160" s="334" t="s">
        <v>28</v>
      </c>
      <c r="E160" s="334" t="s">
        <v>859</v>
      </c>
      <c r="F160" s="334"/>
      <c r="G160" s="334"/>
      <c r="H160" s="328">
        <f>H158+F159</f>
        <v>28559.705999999998</v>
      </c>
      <c r="I160" s="334">
        <v>410.07799999999997</v>
      </c>
      <c r="J160" s="334">
        <v>69.5</v>
      </c>
      <c r="K160" s="334">
        <f>F159+F161</f>
        <v>811</v>
      </c>
      <c r="L160" s="334">
        <f>K160/2</f>
        <v>405.5</v>
      </c>
      <c r="M160" s="334">
        <v>108</v>
      </c>
      <c r="N160" s="334">
        <v>150</v>
      </c>
      <c r="O160" s="334">
        <v>258</v>
      </c>
      <c r="P160" s="334">
        <v>142</v>
      </c>
      <c r="Q160" s="334">
        <v>164</v>
      </c>
      <c r="R160" s="334">
        <v>306</v>
      </c>
      <c r="S160" s="334" t="s">
        <v>1111</v>
      </c>
      <c r="T160" s="334" t="s">
        <v>1112</v>
      </c>
      <c r="U160" s="334">
        <v>543567.95299999998</v>
      </c>
      <c r="V160" s="334">
        <v>2667417.4029999999</v>
      </c>
      <c r="W160" s="334"/>
      <c r="X160" s="341" t="s">
        <v>1113</v>
      </c>
      <c r="Y160" s="341" t="s">
        <v>920</v>
      </c>
      <c r="Z160" s="338" t="s">
        <v>367</v>
      </c>
      <c r="AA160" s="339"/>
      <c r="AB160" s="339"/>
      <c r="AC160" s="339"/>
      <c r="AD160" s="340"/>
    </row>
    <row r="161" spans="1:31" s="306" customFormat="1" x14ac:dyDescent="0.2">
      <c r="A161" s="321"/>
      <c r="B161" s="334"/>
      <c r="C161" s="334"/>
      <c r="D161" s="334"/>
      <c r="E161" s="334"/>
      <c r="F161" s="334">
        <v>386</v>
      </c>
      <c r="G161" s="334"/>
      <c r="H161" s="312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 t="s">
        <v>1031</v>
      </c>
      <c r="X161" s="325"/>
      <c r="Y161" s="325"/>
      <c r="Z161" s="338"/>
      <c r="AA161" s="339"/>
      <c r="AB161" s="339"/>
      <c r="AC161" s="339"/>
      <c r="AD161" s="340"/>
    </row>
    <row r="162" spans="1:31" s="306" customFormat="1" x14ac:dyDescent="0.2">
      <c r="A162" s="327">
        <v>77</v>
      </c>
      <c r="B162" s="334" t="s">
        <v>859</v>
      </c>
      <c r="C162" s="337" t="s">
        <v>101</v>
      </c>
      <c r="D162" s="334" t="s">
        <v>36</v>
      </c>
      <c r="E162" s="334" t="s">
        <v>859</v>
      </c>
      <c r="F162" s="334"/>
      <c r="G162" s="334"/>
      <c r="H162" s="328">
        <f>H160+F161</f>
        <v>28945.705999999998</v>
      </c>
      <c r="I162" s="342">
        <v>414.87400000000002</v>
      </c>
      <c r="J162" s="334">
        <v>72.5</v>
      </c>
      <c r="K162" s="334">
        <f>F161+F163</f>
        <v>745</v>
      </c>
      <c r="L162" s="334">
        <f>K162/2</f>
        <v>372.5</v>
      </c>
      <c r="M162" s="334">
        <v>237</v>
      </c>
      <c r="N162" s="334">
        <v>128</v>
      </c>
      <c r="O162" s="334">
        <v>365</v>
      </c>
      <c r="P162" s="334">
        <v>223</v>
      </c>
      <c r="Q162" s="334">
        <v>144</v>
      </c>
      <c r="R162" s="334">
        <v>367</v>
      </c>
      <c r="S162" s="334" t="s">
        <v>1114</v>
      </c>
      <c r="T162" s="334" t="s">
        <v>1115</v>
      </c>
      <c r="U162" s="334">
        <v>543928.62699999998</v>
      </c>
      <c r="V162" s="334">
        <v>2667279.889</v>
      </c>
      <c r="W162" s="346" t="s">
        <v>1116</v>
      </c>
      <c r="X162" s="341" t="s">
        <v>1113</v>
      </c>
      <c r="Y162" s="341" t="s">
        <v>920</v>
      </c>
      <c r="Z162" s="338" t="s">
        <v>367</v>
      </c>
      <c r="AA162" s="347">
        <v>2</v>
      </c>
      <c r="AB162" s="347">
        <v>2</v>
      </c>
      <c r="AC162" s="348">
        <v>0</v>
      </c>
      <c r="AD162" s="349">
        <v>0</v>
      </c>
      <c r="AE162" s="306" t="s">
        <v>1046</v>
      </c>
    </row>
    <row r="163" spans="1:31" s="306" customFormat="1" x14ac:dyDescent="0.2">
      <c r="A163" s="321"/>
      <c r="B163" s="334"/>
      <c r="C163" s="334"/>
      <c r="D163" s="334"/>
      <c r="E163" s="334"/>
      <c r="F163" s="334">
        <v>359</v>
      </c>
      <c r="G163" s="334"/>
      <c r="H163" s="312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 t="s">
        <v>969</v>
      </c>
      <c r="X163" s="325"/>
      <c r="Y163" s="325"/>
      <c r="Z163" s="338"/>
      <c r="AA163" s="339"/>
      <c r="AB163" s="339"/>
      <c r="AC163" s="339"/>
      <c r="AD163" s="340"/>
    </row>
    <row r="164" spans="1:31" s="306" customFormat="1" x14ac:dyDescent="0.2">
      <c r="A164" s="327">
        <v>78</v>
      </c>
      <c r="B164" s="334" t="s">
        <v>859</v>
      </c>
      <c r="C164" s="334" t="s">
        <v>102</v>
      </c>
      <c r="D164" s="334" t="s">
        <v>36</v>
      </c>
      <c r="E164" s="334" t="s">
        <v>859</v>
      </c>
      <c r="F164" s="334"/>
      <c r="G164" s="334"/>
      <c r="H164" s="328">
        <f>H162+F163</f>
        <v>29304.705999999998</v>
      </c>
      <c r="I164" s="342">
        <v>423.54399999999998</v>
      </c>
      <c r="J164" s="334">
        <v>72.5</v>
      </c>
      <c r="K164" s="334">
        <f>F163+F165</f>
        <v>727</v>
      </c>
      <c r="L164" s="334">
        <f>K164/2</f>
        <v>363.5</v>
      </c>
      <c r="M164" s="334">
        <v>232</v>
      </c>
      <c r="N164" s="334">
        <v>157</v>
      </c>
      <c r="O164" s="334">
        <v>389</v>
      </c>
      <c r="P164" s="334">
        <v>216</v>
      </c>
      <c r="Q164" s="334">
        <v>166</v>
      </c>
      <c r="R164" s="334">
        <v>382</v>
      </c>
      <c r="S164" s="334" t="s">
        <v>1117</v>
      </c>
      <c r="T164" s="334" t="s">
        <v>1118</v>
      </c>
      <c r="U164" s="334">
        <v>544264.07299999997</v>
      </c>
      <c r="V164" s="334">
        <v>2667151.9950000001</v>
      </c>
      <c r="W164" s="334"/>
      <c r="X164" s="341" t="s">
        <v>1113</v>
      </c>
      <c r="Y164" s="341" t="s">
        <v>920</v>
      </c>
      <c r="Z164" s="338" t="s">
        <v>367</v>
      </c>
      <c r="AA164" s="339"/>
      <c r="AB164" s="339"/>
      <c r="AC164" s="339"/>
      <c r="AD164" s="340"/>
    </row>
    <row r="165" spans="1:31" s="306" customFormat="1" x14ac:dyDescent="0.2">
      <c r="A165" s="321"/>
      <c r="B165" s="334"/>
      <c r="C165" s="334"/>
      <c r="D165" s="334"/>
      <c r="E165" s="334"/>
      <c r="F165" s="334">
        <v>368</v>
      </c>
      <c r="G165" s="334"/>
      <c r="H165" s="312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 t="s">
        <v>969</v>
      </c>
      <c r="X165" s="325"/>
      <c r="Y165" s="325"/>
      <c r="Z165" s="338"/>
      <c r="AA165" s="339"/>
      <c r="AB165" s="339"/>
      <c r="AC165" s="339"/>
      <c r="AD165" s="340"/>
    </row>
    <row r="166" spans="1:31" s="306" customFormat="1" x14ac:dyDescent="0.2">
      <c r="A166" s="327">
        <v>79</v>
      </c>
      <c r="B166" s="334" t="s">
        <v>859</v>
      </c>
      <c r="C166" s="334" t="s">
        <v>103</v>
      </c>
      <c r="D166" s="334" t="s">
        <v>36</v>
      </c>
      <c r="E166" s="334" t="s">
        <v>859</v>
      </c>
      <c r="F166" s="334"/>
      <c r="G166" s="334"/>
      <c r="H166" s="328">
        <f>H164+F165</f>
        <v>29672.705999999998</v>
      </c>
      <c r="I166" s="342">
        <v>428.19299999999998</v>
      </c>
      <c r="J166" s="334">
        <v>72.5</v>
      </c>
      <c r="K166" s="334">
        <f>F165+F167</f>
        <v>758</v>
      </c>
      <c r="L166" s="334">
        <f>K166/2</f>
        <v>379</v>
      </c>
      <c r="M166" s="334">
        <v>211</v>
      </c>
      <c r="N166" s="334">
        <v>178</v>
      </c>
      <c r="O166" s="334">
        <v>389</v>
      </c>
      <c r="P166" s="334">
        <v>203</v>
      </c>
      <c r="Q166" s="334">
        <v>183</v>
      </c>
      <c r="R166" s="334">
        <v>386</v>
      </c>
      <c r="S166" s="334" t="s">
        <v>1119</v>
      </c>
      <c r="T166" s="334" t="s">
        <v>1120</v>
      </c>
      <c r="U166" s="334">
        <v>544607.929</v>
      </c>
      <c r="V166" s="334">
        <v>2667020.8939999999</v>
      </c>
      <c r="W166" s="334"/>
      <c r="X166" s="341" t="s">
        <v>1113</v>
      </c>
      <c r="Y166" s="341" t="s">
        <v>920</v>
      </c>
      <c r="Z166" s="338" t="s">
        <v>367</v>
      </c>
      <c r="AA166" s="339"/>
      <c r="AB166" s="339"/>
      <c r="AC166" s="339"/>
      <c r="AD166" s="340"/>
    </row>
    <row r="167" spans="1:31" s="306" customFormat="1" x14ac:dyDescent="0.2">
      <c r="A167" s="321"/>
      <c r="B167" s="334"/>
      <c r="C167" s="334"/>
      <c r="D167" s="334"/>
      <c r="E167" s="334"/>
      <c r="F167" s="334">
        <v>390</v>
      </c>
      <c r="G167" s="334"/>
      <c r="H167" s="312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 t="s">
        <v>969</v>
      </c>
      <c r="X167" s="325"/>
      <c r="Y167" s="325"/>
      <c r="Z167" s="338"/>
      <c r="AA167" s="339"/>
      <c r="AB167" s="339"/>
      <c r="AC167" s="339"/>
      <c r="AD167" s="340"/>
    </row>
    <row r="168" spans="1:31" s="306" customFormat="1" x14ac:dyDescent="0.2">
      <c r="A168" s="327">
        <v>80</v>
      </c>
      <c r="B168" s="334" t="s">
        <v>859</v>
      </c>
      <c r="C168" s="334" t="s">
        <v>104</v>
      </c>
      <c r="D168" s="334" t="s">
        <v>38</v>
      </c>
      <c r="E168" s="334" t="s">
        <v>859</v>
      </c>
      <c r="F168" s="334"/>
      <c r="G168" s="334"/>
      <c r="H168" s="328">
        <f>H166+F167</f>
        <v>30062.705999999998</v>
      </c>
      <c r="I168" s="334">
        <v>428.40300000000002</v>
      </c>
      <c r="J168" s="334">
        <v>75.5</v>
      </c>
      <c r="K168" s="334">
        <f>F167+F169</f>
        <v>800</v>
      </c>
      <c r="L168" s="334">
        <f>K168/2</f>
        <v>400</v>
      </c>
      <c r="M168" s="334">
        <v>213</v>
      </c>
      <c r="N168" s="334">
        <v>234</v>
      </c>
      <c r="O168" s="334">
        <v>447</v>
      </c>
      <c r="P168" s="334">
        <v>208</v>
      </c>
      <c r="Q168" s="334">
        <v>225</v>
      </c>
      <c r="R168" s="334">
        <v>433</v>
      </c>
      <c r="S168" s="334" t="s">
        <v>1121</v>
      </c>
      <c r="T168" s="334" t="s">
        <v>1122</v>
      </c>
      <c r="U168" s="334">
        <v>544972.34100000001</v>
      </c>
      <c r="V168" s="334">
        <v>2666881.9559999998</v>
      </c>
      <c r="W168" s="334"/>
      <c r="X168" s="341" t="s">
        <v>1123</v>
      </c>
      <c r="Y168" s="341" t="s">
        <v>920</v>
      </c>
      <c r="Z168" s="338" t="s">
        <v>367</v>
      </c>
      <c r="AA168" s="339"/>
      <c r="AB168" s="339"/>
      <c r="AC168" s="339"/>
      <c r="AD168" s="340"/>
    </row>
    <row r="169" spans="1:31" s="306" customFormat="1" x14ac:dyDescent="0.2">
      <c r="A169" s="321"/>
      <c r="B169" s="334"/>
      <c r="C169" s="334"/>
      <c r="D169" s="334"/>
      <c r="E169" s="334"/>
      <c r="F169" s="334">
        <v>410</v>
      </c>
      <c r="G169" s="334"/>
      <c r="H169" s="312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 t="s">
        <v>969</v>
      </c>
      <c r="X169" s="325"/>
      <c r="Y169" s="325"/>
      <c r="Z169" s="338"/>
      <c r="AA169" s="339"/>
      <c r="AB169" s="339"/>
      <c r="AC169" s="339"/>
      <c r="AD169" s="340"/>
    </row>
    <row r="170" spans="1:31" s="306" customFormat="1" x14ac:dyDescent="0.2">
      <c r="A170" s="327">
        <v>81</v>
      </c>
      <c r="B170" s="334" t="s">
        <v>1124</v>
      </c>
      <c r="C170" s="334" t="s">
        <v>105</v>
      </c>
      <c r="D170" s="334" t="s">
        <v>33</v>
      </c>
      <c r="E170" s="334" t="s">
        <v>1125</v>
      </c>
      <c r="F170" s="334"/>
      <c r="G170" s="334">
        <f>SUM(F151:F169)</f>
        <v>3941</v>
      </c>
      <c r="H170" s="328">
        <f>H168+F169</f>
        <v>30472.705999999998</v>
      </c>
      <c r="I170" s="334">
        <v>425.94900000000001</v>
      </c>
      <c r="J170" s="343">
        <v>70.72</v>
      </c>
      <c r="K170" s="334">
        <f>F169+F171</f>
        <v>790</v>
      </c>
      <c r="L170" s="334">
        <f>K170/2</f>
        <v>395</v>
      </c>
      <c r="M170" s="334">
        <v>177</v>
      </c>
      <c r="N170" s="334">
        <v>208</v>
      </c>
      <c r="O170" s="334">
        <f>M170+N170</f>
        <v>385</v>
      </c>
      <c r="P170" s="334">
        <v>186</v>
      </c>
      <c r="Q170" s="334">
        <v>216</v>
      </c>
      <c r="R170" s="334">
        <f>P170+Q170</f>
        <v>402</v>
      </c>
      <c r="S170" s="334" t="s">
        <v>1126</v>
      </c>
      <c r="T170" s="334" t="s">
        <v>1127</v>
      </c>
      <c r="U170" s="334">
        <v>545355.05000000005</v>
      </c>
      <c r="V170" s="334">
        <v>2666736.04</v>
      </c>
      <c r="W170" s="334"/>
      <c r="X170" s="341" t="s">
        <v>1123</v>
      </c>
      <c r="Y170" s="341" t="s">
        <v>920</v>
      </c>
      <c r="Z170" s="338" t="s">
        <v>367</v>
      </c>
      <c r="AA170" s="339"/>
      <c r="AB170" s="339"/>
      <c r="AC170" s="339"/>
      <c r="AD170" s="340"/>
    </row>
    <row r="171" spans="1:31" s="306" customFormat="1" x14ac:dyDescent="0.2">
      <c r="A171" s="321"/>
      <c r="B171" s="334"/>
      <c r="C171" s="334"/>
      <c r="D171" s="334"/>
      <c r="E171" s="334"/>
      <c r="F171" s="334">
        <v>380</v>
      </c>
      <c r="G171" s="334"/>
      <c r="H171" s="312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25"/>
      <c r="Y171" s="325"/>
      <c r="Z171" s="338"/>
      <c r="AA171" s="339"/>
      <c r="AB171" s="339"/>
      <c r="AC171" s="339"/>
      <c r="AD171" s="340"/>
    </row>
    <row r="172" spans="1:31" s="306" customFormat="1" x14ac:dyDescent="0.2">
      <c r="A172" s="327">
        <v>82</v>
      </c>
      <c r="B172" s="334"/>
      <c r="C172" s="334" t="s">
        <v>106</v>
      </c>
      <c r="D172" s="334" t="s">
        <v>36</v>
      </c>
      <c r="E172" s="334"/>
      <c r="F172" s="334"/>
      <c r="G172" s="334"/>
      <c r="H172" s="328">
        <f>H170+F171</f>
        <v>30852.705999999998</v>
      </c>
      <c r="I172" s="342">
        <v>421.3</v>
      </c>
      <c r="J172" s="334">
        <v>72.5</v>
      </c>
      <c r="K172" s="334">
        <f>F171+F173</f>
        <v>747</v>
      </c>
      <c r="L172" s="334">
        <f>K172/2</f>
        <v>373.5</v>
      </c>
      <c r="M172" s="334">
        <v>171</v>
      </c>
      <c r="N172" s="334">
        <v>235</v>
      </c>
      <c r="O172" s="334">
        <v>406</v>
      </c>
      <c r="P172" s="334">
        <v>164</v>
      </c>
      <c r="Q172" s="334">
        <v>252</v>
      </c>
      <c r="R172" s="334">
        <v>416</v>
      </c>
      <c r="S172" s="334" t="s">
        <v>1128</v>
      </c>
      <c r="T172" s="334" t="s">
        <v>1129</v>
      </c>
      <c r="U172" s="334">
        <v>545711</v>
      </c>
      <c r="V172" s="334">
        <v>2666603</v>
      </c>
      <c r="W172" s="334"/>
      <c r="X172" s="341" t="s">
        <v>1123</v>
      </c>
      <c r="Y172" s="341" t="s">
        <v>920</v>
      </c>
      <c r="Z172" s="338" t="s">
        <v>367</v>
      </c>
      <c r="AA172" s="339"/>
      <c r="AB172" s="339"/>
      <c r="AC172" s="339"/>
      <c r="AD172" s="340"/>
    </row>
    <row r="173" spans="1:31" s="306" customFormat="1" x14ac:dyDescent="0.2">
      <c r="A173" s="321"/>
      <c r="B173" s="334"/>
      <c r="C173" s="334"/>
      <c r="D173" s="334"/>
      <c r="E173" s="334"/>
      <c r="F173" s="334">
        <v>367</v>
      </c>
      <c r="G173" s="334"/>
      <c r="H173" s="312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 t="s">
        <v>1130</v>
      </c>
      <c r="X173" s="325"/>
      <c r="Y173" s="325"/>
      <c r="Z173" s="338"/>
      <c r="AA173" s="339"/>
      <c r="AB173" s="339"/>
      <c r="AC173" s="339"/>
      <c r="AD173" s="340"/>
    </row>
    <row r="174" spans="1:31" s="306" customFormat="1" x14ac:dyDescent="0.2">
      <c r="A174" s="327">
        <v>83</v>
      </c>
      <c r="B174" s="334"/>
      <c r="C174" s="334" t="s">
        <v>107</v>
      </c>
      <c r="D174" s="334" t="s">
        <v>36</v>
      </c>
      <c r="E174" s="334"/>
      <c r="F174" s="334"/>
      <c r="G174" s="334"/>
      <c r="H174" s="328">
        <f>H172+F173</f>
        <v>31219.705999999998</v>
      </c>
      <c r="I174" s="342">
        <v>409.5</v>
      </c>
      <c r="J174" s="334">
        <v>72.5</v>
      </c>
      <c r="K174" s="334">
        <f>F173+F175</f>
        <v>800</v>
      </c>
      <c r="L174" s="334">
        <f>K174/2</f>
        <v>400</v>
      </c>
      <c r="M174" s="334">
        <v>132</v>
      </c>
      <c r="N174" s="334">
        <v>187</v>
      </c>
      <c r="O174" s="334">
        <v>319</v>
      </c>
      <c r="P174" s="334">
        <v>115</v>
      </c>
      <c r="Q174" s="334">
        <v>177</v>
      </c>
      <c r="R174" s="334">
        <v>292</v>
      </c>
      <c r="S174" s="334" t="s">
        <v>1131</v>
      </c>
      <c r="T174" s="334" t="s">
        <v>1132</v>
      </c>
      <c r="U174" s="334">
        <v>546054.77</v>
      </c>
      <c r="V174" s="334">
        <v>2666474.5099999998</v>
      </c>
      <c r="W174" s="334"/>
      <c r="X174" s="341" t="s">
        <v>1123</v>
      </c>
      <c r="Y174" s="341" t="s">
        <v>920</v>
      </c>
      <c r="Z174" s="338" t="s">
        <v>367</v>
      </c>
      <c r="AA174" s="339"/>
      <c r="AB174" s="339"/>
      <c r="AC174" s="339"/>
      <c r="AD174" s="340"/>
    </row>
    <row r="175" spans="1:31" s="306" customFormat="1" x14ac:dyDescent="0.2">
      <c r="A175" s="321"/>
      <c r="B175" s="334"/>
      <c r="C175" s="334"/>
      <c r="D175" s="334"/>
      <c r="E175" s="334"/>
      <c r="F175" s="334">
        <v>433</v>
      </c>
      <c r="G175" s="334"/>
      <c r="H175" s="312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 t="s">
        <v>1133</v>
      </c>
      <c r="X175" s="325"/>
      <c r="Y175" s="325"/>
      <c r="Z175" s="338"/>
      <c r="AA175" s="339"/>
      <c r="AB175" s="339"/>
      <c r="AC175" s="339"/>
      <c r="AD175" s="340"/>
    </row>
    <row r="176" spans="1:31" s="306" customFormat="1" x14ac:dyDescent="0.2">
      <c r="A176" s="327">
        <v>84</v>
      </c>
      <c r="B176" s="334"/>
      <c r="C176" s="334" t="s">
        <v>108</v>
      </c>
      <c r="D176" s="334" t="s">
        <v>25</v>
      </c>
      <c r="E176" s="334"/>
      <c r="F176" s="334"/>
      <c r="G176" s="334"/>
      <c r="H176" s="328">
        <f>H174+F175</f>
        <v>31652.705999999998</v>
      </c>
      <c r="I176" s="334">
        <v>408.51100000000002</v>
      </c>
      <c r="J176" s="334">
        <v>81.5</v>
      </c>
      <c r="K176" s="334">
        <f>F175+F177</f>
        <v>833</v>
      </c>
      <c r="L176" s="334">
        <f>K176/2</f>
        <v>416.5</v>
      </c>
      <c r="M176" s="334">
        <v>246</v>
      </c>
      <c r="N176" s="334">
        <v>184</v>
      </c>
      <c r="O176" s="334">
        <v>430</v>
      </c>
      <c r="P176" s="334">
        <v>256</v>
      </c>
      <c r="Q176" s="334">
        <v>178</v>
      </c>
      <c r="R176" s="334">
        <v>434</v>
      </c>
      <c r="S176" s="334" t="s">
        <v>1134</v>
      </c>
      <c r="T176" s="334" t="s">
        <v>1135</v>
      </c>
      <c r="U176" s="334">
        <v>546460.37</v>
      </c>
      <c r="V176" s="334">
        <v>2666322.91</v>
      </c>
      <c r="W176" s="334"/>
      <c r="X176" s="341" t="s">
        <v>1123</v>
      </c>
      <c r="Y176" s="341" t="s">
        <v>920</v>
      </c>
      <c r="Z176" s="338" t="s">
        <v>367</v>
      </c>
      <c r="AA176" s="339"/>
      <c r="AB176" s="339"/>
      <c r="AC176" s="339"/>
      <c r="AD176" s="340"/>
    </row>
    <row r="177" spans="1:30" s="306" customFormat="1" x14ac:dyDescent="0.2">
      <c r="A177" s="321"/>
      <c r="B177" s="334"/>
      <c r="C177" s="334"/>
      <c r="D177" s="334"/>
      <c r="E177" s="334"/>
      <c r="F177" s="334">
        <v>400</v>
      </c>
      <c r="G177" s="334"/>
      <c r="H177" s="312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 t="s">
        <v>1136</v>
      </c>
      <c r="X177" s="325"/>
      <c r="Y177" s="325"/>
      <c r="Z177" s="338"/>
      <c r="AA177" s="339"/>
      <c r="AB177" s="339"/>
      <c r="AC177" s="339"/>
      <c r="AD177" s="340"/>
    </row>
    <row r="178" spans="1:30" s="306" customFormat="1" x14ac:dyDescent="0.2">
      <c r="A178" s="327">
        <v>85</v>
      </c>
      <c r="B178" s="334"/>
      <c r="C178" s="334" t="s">
        <v>109</v>
      </c>
      <c r="D178" s="334" t="s">
        <v>36</v>
      </c>
      <c r="E178" s="334"/>
      <c r="F178" s="334"/>
      <c r="G178" s="334"/>
      <c r="H178" s="328">
        <f>H176+F177</f>
        <v>32052.705999999998</v>
      </c>
      <c r="I178" s="342">
        <v>421.58</v>
      </c>
      <c r="J178" s="334">
        <v>72.5</v>
      </c>
      <c r="K178" s="334">
        <f>F177+F179</f>
        <v>796</v>
      </c>
      <c r="L178" s="334">
        <f>K178/2</f>
        <v>398</v>
      </c>
      <c r="M178" s="334">
        <v>216</v>
      </c>
      <c r="N178" s="334">
        <v>155</v>
      </c>
      <c r="O178" s="334">
        <v>371</v>
      </c>
      <c r="P178" s="334">
        <v>222</v>
      </c>
      <c r="Q178" s="334">
        <v>140</v>
      </c>
      <c r="R178" s="334">
        <v>362</v>
      </c>
      <c r="S178" s="334" t="s">
        <v>1137</v>
      </c>
      <c r="T178" s="334" t="s">
        <v>1138</v>
      </c>
      <c r="U178" s="334">
        <v>546835.05000000005</v>
      </c>
      <c r="V178" s="334">
        <v>2666182.87</v>
      </c>
      <c r="W178" s="334"/>
      <c r="X178" s="341" t="s">
        <v>1123</v>
      </c>
      <c r="Y178" s="341" t="s">
        <v>920</v>
      </c>
      <c r="Z178" s="338" t="s">
        <v>367</v>
      </c>
      <c r="AA178" s="339"/>
      <c r="AB178" s="339"/>
      <c r="AC178" s="339"/>
      <c r="AD178" s="340"/>
    </row>
    <row r="179" spans="1:30" s="306" customFormat="1" x14ac:dyDescent="0.2">
      <c r="A179" s="321"/>
      <c r="B179" s="334"/>
      <c r="C179" s="334"/>
      <c r="D179" s="334"/>
      <c r="E179" s="334"/>
      <c r="F179" s="334">
        <v>396</v>
      </c>
      <c r="G179" s="334"/>
      <c r="H179" s="312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 t="s">
        <v>1139</v>
      </c>
      <c r="X179" s="325"/>
      <c r="Y179" s="325"/>
      <c r="Z179" s="338"/>
      <c r="AA179" s="339"/>
      <c r="AB179" s="339"/>
      <c r="AC179" s="339"/>
      <c r="AD179" s="340"/>
    </row>
    <row r="180" spans="1:30" s="306" customFormat="1" x14ac:dyDescent="0.2">
      <c r="A180" s="327">
        <v>86</v>
      </c>
      <c r="B180" s="334"/>
      <c r="C180" s="334" t="s">
        <v>110</v>
      </c>
      <c r="D180" s="334" t="s">
        <v>21</v>
      </c>
      <c r="E180" s="334"/>
      <c r="F180" s="334"/>
      <c r="G180" s="334"/>
      <c r="H180" s="328">
        <f>H178+F179</f>
        <v>32448.705999999998</v>
      </c>
      <c r="I180" s="334">
        <v>426.24700000000001</v>
      </c>
      <c r="J180" s="334">
        <v>78.5</v>
      </c>
      <c r="K180" s="334">
        <f>F179+F181</f>
        <v>816</v>
      </c>
      <c r="L180" s="334">
        <f>K180/2</f>
        <v>408</v>
      </c>
      <c r="M180" s="334">
        <v>241</v>
      </c>
      <c r="N180" s="334">
        <v>255</v>
      </c>
      <c r="O180" s="334">
        <v>496</v>
      </c>
      <c r="P180" s="334">
        <v>256</v>
      </c>
      <c r="Q180" s="334">
        <v>270</v>
      </c>
      <c r="R180" s="334">
        <v>526</v>
      </c>
      <c r="S180" s="334" t="s">
        <v>1140</v>
      </c>
      <c r="T180" s="334" t="s">
        <v>1141</v>
      </c>
      <c r="U180" s="334">
        <v>547205.99</v>
      </c>
      <c r="V180" s="334">
        <v>2666044.23</v>
      </c>
      <c r="W180" s="334"/>
      <c r="X180" s="341" t="s">
        <v>1123</v>
      </c>
      <c r="Y180" s="341" t="s">
        <v>920</v>
      </c>
      <c r="Z180" s="338" t="s">
        <v>367</v>
      </c>
      <c r="AA180" s="339"/>
      <c r="AB180" s="339"/>
      <c r="AC180" s="339"/>
      <c r="AD180" s="340"/>
    </row>
    <row r="181" spans="1:30" s="306" customFormat="1" x14ac:dyDescent="0.2">
      <c r="A181" s="321"/>
      <c r="B181" s="334"/>
      <c r="C181" s="334"/>
      <c r="D181" s="334"/>
      <c r="E181" s="334"/>
      <c r="F181" s="334">
        <v>420</v>
      </c>
      <c r="G181" s="334"/>
      <c r="H181" s="312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 t="s">
        <v>1142</v>
      </c>
      <c r="X181" s="325"/>
      <c r="Y181" s="325"/>
      <c r="Z181" s="338"/>
      <c r="AA181" s="339"/>
      <c r="AB181" s="339"/>
      <c r="AC181" s="339"/>
      <c r="AD181" s="340"/>
    </row>
    <row r="182" spans="1:30" s="306" customFormat="1" x14ac:dyDescent="0.2">
      <c r="A182" s="327">
        <v>87</v>
      </c>
      <c r="B182" s="334"/>
      <c r="C182" s="334" t="s">
        <v>111</v>
      </c>
      <c r="D182" s="334" t="s">
        <v>28</v>
      </c>
      <c r="E182" s="334"/>
      <c r="F182" s="334"/>
      <c r="G182" s="334"/>
      <c r="H182" s="328">
        <f>H180+F181</f>
        <v>32868.705999999998</v>
      </c>
      <c r="I182" s="334">
        <v>423.4</v>
      </c>
      <c r="J182" s="334">
        <v>69.5</v>
      </c>
      <c r="K182" s="334">
        <f>F181+F183</f>
        <v>774</v>
      </c>
      <c r="L182" s="334">
        <f>K182/2</f>
        <v>387</v>
      </c>
      <c r="M182" s="334">
        <v>165</v>
      </c>
      <c r="N182" s="334">
        <v>155</v>
      </c>
      <c r="O182" s="334">
        <v>320</v>
      </c>
      <c r="P182" s="334">
        <v>150</v>
      </c>
      <c r="Q182" s="334">
        <v>147</v>
      </c>
      <c r="R182" s="334">
        <v>297</v>
      </c>
      <c r="S182" s="334" t="s">
        <v>1143</v>
      </c>
      <c r="T182" s="334" t="s">
        <v>1144</v>
      </c>
      <c r="U182" s="334">
        <v>547599.4</v>
      </c>
      <c r="V182" s="334">
        <v>2665897.1800000002</v>
      </c>
      <c r="W182" s="334"/>
      <c r="X182" s="341" t="s">
        <v>1145</v>
      </c>
      <c r="Y182" s="341" t="s">
        <v>920</v>
      </c>
      <c r="Z182" s="338" t="s">
        <v>367</v>
      </c>
      <c r="AA182" s="339"/>
      <c r="AB182" s="339"/>
      <c r="AC182" s="339"/>
      <c r="AD182" s="340"/>
    </row>
    <row r="183" spans="1:30" s="306" customFormat="1" x14ac:dyDescent="0.2">
      <c r="A183" s="321"/>
      <c r="B183" s="334"/>
      <c r="C183" s="334"/>
      <c r="D183" s="334"/>
      <c r="E183" s="334"/>
      <c r="F183" s="334">
        <v>354</v>
      </c>
      <c r="G183" s="334"/>
      <c r="H183" s="312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 t="s">
        <v>1146</v>
      </c>
      <c r="X183" s="325"/>
      <c r="Y183" s="325"/>
      <c r="Z183" s="338"/>
      <c r="AA183" s="339"/>
      <c r="AB183" s="339"/>
      <c r="AC183" s="339"/>
      <c r="AD183" s="340"/>
    </row>
    <row r="184" spans="1:30" s="306" customFormat="1" x14ac:dyDescent="0.2">
      <c r="A184" s="327">
        <v>88</v>
      </c>
      <c r="B184" s="334"/>
      <c r="C184" s="334" t="s">
        <v>112</v>
      </c>
      <c r="D184" s="334" t="s">
        <v>36</v>
      </c>
      <c r="E184" s="334"/>
      <c r="F184" s="334"/>
      <c r="G184" s="334"/>
      <c r="H184" s="328">
        <f>H182+F183</f>
        <v>33222.705999999998</v>
      </c>
      <c r="I184" s="342">
        <v>425.32</v>
      </c>
      <c r="J184" s="334">
        <v>72.5</v>
      </c>
      <c r="K184" s="334">
        <f>F183+F185</f>
        <v>702</v>
      </c>
      <c r="L184" s="334">
        <f>K184/2</f>
        <v>351</v>
      </c>
      <c r="M184" s="334">
        <v>199</v>
      </c>
      <c r="N184" s="334">
        <v>214</v>
      </c>
      <c r="O184" s="334">
        <v>413</v>
      </c>
      <c r="P184" s="334">
        <v>207</v>
      </c>
      <c r="Q184" s="334">
        <v>228</v>
      </c>
      <c r="R184" s="334">
        <v>435</v>
      </c>
      <c r="S184" s="334" t="s">
        <v>1147</v>
      </c>
      <c r="T184" s="334" t="s">
        <v>1148</v>
      </c>
      <c r="U184" s="334">
        <v>547931</v>
      </c>
      <c r="V184" s="334">
        <v>2665773.25</v>
      </c>
      <c r="W184" s="334"/>
      <c r="X184" s="341" t="s">
        <v>1145</v>
      </c>
      <c r="Y184" s="341" t="s">
        <v>920</v>
      </c>
      <c r="Z184" s="338" t="s">
        <v>367</v>
      </c>
      <c r="AA184" s="339"/>
      <c r="AB184" s="339"/>
      <c r="AC184" s="339"/>
      <c r="AD184" s="340"/>
    </row>
    <row r="185" spans="1:30" s="306" customFormat="1" ht="25.5" x14ac:dyDescent="0.2">
      <c r="A185" s="321"/>
      <c r="B185" s="334"/>
      <c r="C185" s="334"/>
      <c r="D185" s="334"/>
      <c r="E185" s="334"/>
      <c r="F185" s="334">
        <v>348</v>
      </c>
      <c r="G185" s="334"/>
      <c r="H185" s="312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 t="s">
        <v>1149</v>
      </c>
      <c r="X185" s="325"/>
      <c r="Y185" s="325"/>
      <c r="Z185" s="338"/>
      <c r="AA185" s="339"/>
      <c r="AB185" s="339"/>
      <c r="AC185" s="339"/>
      <c r="AD185" s="340"/>
    </row>
    <row r="186" spans="1:30" s="306" customFormat="1" x14ac:dyDescent="0.2">
      <c r="A186" s="327">
        <v>89</v>
      </c>
      <c r="B186" s="334"/>
      <c r="C186" s="334" t="s">
        <v>113</v>
      </c>
      <c r="D186" s="334" t="s">
        <v>28</v>
      </c>
      <c r="E186" s="334"/>
      <c r="F186" s="334"/>
      <c r="G186" s="334"/>
      <c r="H186" s="328">
        <f>H184+F185</f>
        <v>33570.705999999998</v>
      </c>
      <c r="I186" s="334">
        <v>419.483</v>
      </c>
      <c r="J186" s="334">
        <v>69.5</v>
      </c>
      <c r="K186" s="334">
        <f>F185+F187</f>
        <v>667</v>
      </c>
      <c r="L186" s="334">
        <f>K186/2</f>
        <v>333.5</v>
      </c>
      <c r="M186" s="334">
        <v>134</v>
      </c>
      <c r="N186" s="334">
        <v>146</v>
      </c>
      <c r="O186" s="334">
        <v>280</v>
      </c>
      <c r="P186" s="334">
        <v>120</v>
      </c>
      <c r="Q186" s="334">
        <v>141</v>
      </c>
      <c r="R186" s="334">
        <v>261</v>
      </c>
      <c r="S186" s="334" t="s">
        <v>1150</v>
      </c>
      <c r="T186" s="334" t="s">
        <v>1151</v>
      </c>
      <c r="U186" s="334">
        <v>548256.97</v>
      </c>
      <c r="V186" s="334">
        <v>2665651.41</v>
      </c>
      <c r="W186" s="334"/>
      <c r="X186" s="341" t="s">
        <v>1145</v>
      </c>
      <c r="Y186" s="341" t="s">
        <v>920</v>
      </c>
      <c r="Z186" s="338" t="s">
        <v>367</v>
      </c>
      <c r="AA186" s="339"/>
      <c r="AB186" s="339"/>
      <c r="AC186" s="339"/>
      <c r="AD186" s="340"/>
    </row>
    <row r="187" spans="1:30" s="306" customFormat="1" x14ac:dyDescent="0.2">
      <c r="A187" s="321"/>
      <c r="B187" s="334"/>
      <c r="C187" s="334"/>
      <c r="D187" s="334"/>
      <c r="E187" s="334"/>
      <c r="F187" s="334">
        <v>319</v>
      </c>
      <c r="G187" s="334"/>
      <c r="H187" s="312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 t="s">
        <v>1146</v>
      </c>
      <c r="X187" s="325"/>
      <c r="Y187" s="325"/>
      <c r="Z187" s="338"/>
      <c r="AA187" s="339"/>
      <c r="AB187" s="339"/>
      <c r="AC187" s="339"/>
      <c r="AD187" s="340"/>
    </row>
    <row r="188" spans="1:30" s="306" customFormat="1" x14ac:dyDescent="0.2">
      <c r="A188" s="327">
        <v>90</v>
      </c>
      <c r="B188" s="334"/>
      <c r="C188" s="334" t="s">
        <v>114</v>
      </c>
      <c r="D188" s="334" t="s">
        <v>36</v>
      </c>
      <c r="E188" s="334"/>
      <c r="F188" s="334"/>
      <c r="G188" s="334"/>
      <c r="H188" s="328">
        <f>H186+F187</f>
        <v>33889.705999999998</v>
      </c>
      <c r="I188" s="342">
        <v>419.25</v>
      </c>
      <c r="J188" s="334">
        <v>72.5</v>
      </c>
      <c r="K188" s="334">
        <f>F187+F189</f>
        <v>698</v>
      </c>
      <c r="L188" s="334">
        <f>K188/2</f>
        <v>349</v>
      </c>
      <c r="M188" s="334">
        <v>173</v>
      </c>
      <c r="N188" s="334">
        <v>199</v>
      </c>
      <c r="O188" s="334">
        <v>372</v>
      </c>
      <c r="P188" s="334">
        <v>178</v>
      </c>
      <c r="Q188" s="334">
        <v>202</v>
      </c>
      <c r="R188" s="334">
        <v>380</v>
      </c>
      <c r="S188" s="334" t="s">
        <v>1152</v>
      </c>
      <c r="T188" s="334" t="s">
        <v>1153</v>
      </c>
      <c r="U188" s="334">
        <v>548555.78</v>
      </c>
      <c r="V188" s="334">
        <v>2665539.7200000002</v>
      </c>
      <c r="W188" s="334"/>
      <c r="X188" s="341" t="s">
        <v>1145</v>
      </c>
      <c r="Y188" s="341" t="s">
        <v>920</v>
      </c>
      <c r="Z188" s="338" t="s">
        <v>367</v>
      </c>
      <c r="AA188" s="339"/>
      <c r="AB188" s="339"/>
      <c r="AC188" s="339"/>
      <c r="AD188" s="340"/>
    </row>
    <row r="189" spans="1:30" s="306" customFormat="1" ht="25.5" x14ac:dyDescent="0.2">
      <c r="A189" s="321"/>
      <c r="B189" s="334"/>
      <c r="C189" s="334"/>
      <c r="D189" s="334"/>
      <c r="E189" s="334"/>
      <c r="F189" s="334">
        <v>379</v>
      </c>
      <c r="G189" s="334"/>
      <c r="H189" s="312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 t="s">
        <v>1154</v>
      </c>
      <c r="X189" s="325"/>
      <c r="Y189" s="325"/>
      <c r="Z189" s="338"/>
      <c r="AA189" s="339"/>
      <c r="AB189" s="339"/>
      <c r="AC189" s="339"/>
      <c r="AD189" s="340"/>
    </row>
    <row r="190" spans="1:30" s="306" customFormat="1" x14ac:dyDescent="0.2">
      <c r="A190" s="327">
        <v>91</v>
      </c>
      <c r="B190" s="334"/>
      <c r="C190" s="334" t="s">
        <v>115</v>
      </c>
      <c r="D190" s="334" t="s">
        <v>21</v>
      </c>
      <c r="E190" s="334"/>
      <c r="F190" s="334"/>
      <c r="G190" s="334"/>
      <c r="H190" s="328">
        <f>H188+F189</f>
        <v>34268.705999999998</v>
      </c>
      <c r="I190" s="334">
        <v>411.1</v>
      </c>
      <c r="J190" s="334">
        <v>78.5</v>
      </c>
      <c r="K190" s="334">
        <f>F189+F191</f>
        <v>807</v>
      </c>
      <c r="L190" s="334">
        <f>K190/2</f>
        <v>403.5</v>
      </c>
      <c r="M190" s="334">
        <v>180</v>
      </c>
      <c r="N190" s="334">
        <v>213</v>
      </c>
      <c r="O190" s="334">
        <v>393</v>
      </c>
      <c r="P190" s="334">
        <v>177</v>
      </c>
      <c r="Q190" s="334">
        <v>212</v>
      </c>
      <c r="R190" s="334">
        <v>389</v>
      </c>
      <c r="S190" s="334" t="s">
        <v>1155</v>
      </c>
      <c r="T190" s="334" t="s">
        <v>1156</v>
      </c>
      <c r="U190" s="334">
        <v>548910.80000000005</v>
      </c>
      <c r="V190" s="334">
        <v>2665407.0299999998</v>
      </c>
      <c r="W190" s="334"/>
      <c r="X190" s="341" t="s">
        <v>1145</v>
      </c>
      <c r="Y190" s="341" t="s">
        <v>920</v>
      </c>
      <c r="Z190" s="338" t="s">
        <v>367</v>
      </c>
      <c r="AA190" s="339"/>
      <c r="AB190" s="339"/>
      <c r="AC190" s="339"/>
      <c r="AD190" s="340"/>
    </row>
    <row r="191" spans="1:30" s="306" customFormat="1" x14ac:dyDescent="0.2">
      <c r="A191" s="321"/>
      <c r="B191" s="334"/>
      <c r="C191" s="334"/>
      <c r="D191" s="334"/>
      <c r="E191" s="334"/>
      <c r="F191" s="334">
        <v>428</v>
      </c>
      <c r="G191" s="334"/>
      <c r="H191" s="312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 t="s">
        <v>1157</v>
      </c>
      <c r="X191" s="325"/>
      <c r="Y191" s="325"/>
      <c r="Z191" s="338"/>
      <c r="AA191" s="339"/>
      <c r="AB191" s="339"/>
      <c r="AC191" s="339"/>
      <c r="AD191" s="340"/>
    </row>
    <row r="192" spans="1:30" s="306" customFormat="1" x14ac:dyDescent="0.2">
      <c r="A192" s="327">
        <v>92</v>
      </c>
      <c r="B192" s="334"/>
      <c r="C192" s="334" t="s">
        <v>116</v>
      </c>
      <c r="D192" s="334" t="s">
        <v>36</v>
      </c>
      <c r="E192" s="334"/>
      <c r="F192" s="334"/>
      <c r="G192" s="334"/>
      <c r="H192" s="328">
        <f>H190+F191</f>
        <v>34696.705999999998</v>
      </c>
      <c r="I192" s="342">
        <v>417.45</v>
      </c>
      <c r="J192" s="334">
        <v>72.5</v>
      </c>
      <c r="K192" s="334">
        <f>F191+F193</f>
        <v>825</v>
      </c>
      <c r="L192" s="334">
        <f>K192/2</f>
        <v>412.5</v>
      </c>
      <c r="M192" s="334">
        <v>215</v>
      </c>
      <c r="N192" s="334">
        <v>185</v>
      </c>
      <c r="O192" s="334">
        <v>400</v>
      </c>
      <c r="P192" s="334">
        <v>216</v>
      </c>
      <c r="Q192" s="334">
        <v>181</v>
      </c>
      <c r="R192" s="334">
        <v>397</v>
      </c>
      <c r="S192" s="334" t="s">
        <v>1158</v>
      </c>
      <c r="T192" s="334" t="s">
        <v>1159</v>
      </c>
      <c r="U192" s="334">
        <v>549311.71</v>
      </c>
      <c r="V192" s="334">
        <v>2665257.19</v>
      </c>
      <c r="W192" s="334"/>
      <c r="X192" s="341" t="s">
        <v>1145</v>
      </c>
      <c r="Y192" s="341" t="s">
        <v>920</v>
      </c>
      <c r="Z192" s="338" t="s">
        <v>367</v>
      </c>
      <c r="AA192" s="339"/>
      <c r="AB192" s="339"/>
      <c r="AC192" s="339"/>
      <c r="AD192" s="340"/>
    </row>
    <row r="193" spans="1:31" s="306" customFormat="1" x14ac:dyDescent="0.2">
      <c r="A193" s="321"/>
      <c r="B193" s="334"/>
      <c r="C193" s="334"/>
      <c r="D193" s="334"/>
      <c r="E193" s="334"/>
      <c r="F193" s="334">
        <v>397</v>
      </c>
      <c r="G193" s="334"/>
      <c r="H193" s="312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 t="s">
        <v>1160</v>
      </c>
      <c r="X193" s="325"/>
      <c r="Y193" s="325"/>
      <c r="Z193" s="338"/>
      <c r="AA193" s="339"/>
      <c r="AB193" s="339"/>
      <c r="AC193" s="339"/>
      <c r="AD193" s="340"/>
    </row>
    <row r="194" spans="1:31" s="306" customFormat="1" x14ac:dyDescent="0.2">
      <c r="A194" s="327">
        <v>93</v>
      </c>
      <c r="B194" s="334" t="s">
        <v>1161</v>
      </c>
      <c r="C194" s="334" t="s">
        <v>117</v>
      </c>
      <c r="D194" s="334" t="s">
        <v>118</v>
      </c>
      <c r="E194" s="334" t="s">
        <v>1162</v>
      </c>
      <c r="F194" s="334"/>
      <c r="G194" s="334">
        <f>SUM(F171:F193)</f>
        <v>4621</v>
      </c>
      <c r="H194" s="328">
        <f>H192+F193</f>
        <v>35093.705999999998</v>
      </c>
      <c r="I194" s="334">
        <v>417.72</v>
      </c>
      <c r="J194" s="334">
        <v>73.72</v>
      </c>
      <c r="K194" s="334">
        <f>F193+F195</f>
        <v>644</v>
      </c>
      <c r="L194" s="334">
        <f>K194/2</f>
        <v>322</v>
      </c>
      <c r="M194" s="334">
        <v>212</v>
      </c>
      <c r="N194" s="334">
        <v>150</v>
      </c>
      <c r="O194" s="334">
        <v>362</v>
      </c>
      <c r="P194" s="334">
        <v>216</v>
      </c>
      <c r="Q194" s="334">
        <v>159</v>
      </c>
      <c r="R194" s="334">
        <v>375</v>
      </c>
      <c r="S194" s="334" t="s">
        <v>1163</v>
      </c>
      <c r="T194" s="334" t="s">
        <v>1164</v>
      </c>
      <c r="U194" s="334">
        <v>549683.4</v>
      </c>
      <c r="V194" s="334">
        <v>2665118.2599999998</v>
      </c>
      <c r="W194" s="334"/>
      <c r="X194" s="341" t="s">
        <v>1165</v>
      </c>
      <c r="Y194" s="341" t="s">
        <v>920</v>
      </c>
      <c r="Z194" s="338" t="s">
        <v>367</v>
      </c>
      <c r="AA194" s="339"/>
      <c r="AB194" s="339"/>
      <c r="AC194" s="339"/>
      <c r="AD194" s="340"/>
    </row>
    <row r="195" spans="1:31" s="306" customFormat="1" ht="30.6" customHeight="1" x14ac:dyDescent="0.2">
      <c r="A195" s="321"/>
      <c r="B195" s="334"/>
      <c r="C195" s="334"/>
      <c r="D195" s="334"/>
      <c r="E195" s="334"/>
      <c r="F195" s="334">
        <v>247</v>
      </c>
      <c r="G195" s="334"/>
      <c r="H195" s="312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 t="s">
        <v>1166</v>
      </c>
      <c r="X195" s="325"/>
      <c r="Y195" s="325"/>
      <c r="Z195" s="338"/>
      <c r="AA195" s="339"/>
      <c r="AB195" s="339"/>
      <c r="AC195" s="339"/>
      <c r="AD195" s="340"/>
    </row>
    <row r="196" spans="1:31" x14ac:dyDescent="0.2">
      <c r="A196" s="327">
        <v>94</v>
      </c>
      <c r="B196" s="334" t="s">
        <v>1167</v>
      </c>
      <c r="C196" s="334" t="s">
        <v>119</v>
      </c>
      <c r="D196" s="334" t="s">
        <v>120</v>
      </c>
      <c r="E196" s="334" t="s">
        <v>1168</v>
      </c>
      <c r="F196" s="334"/>
      <c r="G196" s="334">
        <f>F195</f>
        <v>247</v>
      </c>
      <c r="H196" s="328">
        <f>H194+F195</f>
        <v>35340.705999999998</v>
      </c>
      <c r="I196" s="334">
        <v>416.65800000000002</v>
      </c>
      <c r="J196" s="343">
        <v>70.72</v>
      </c>
      <c r="K196" s="334">
        <f>F195+F197</f>
        <v>670</v>
      </c>
      <c r="L196" s="334">
        <f>K196/2</f>
        <v>335</v>
      </c>
      <c r="M196" s="334">
        <v>82</v>
      </c>
      <c r="N196" s="334">
        <v>261</v>
      </c>
      <c r="O196" s="334">
        <v>343</v>
      </c>
      <c r="P196" s="334">
        <v>104</v>
      </c>
      <c r="Q196" s="334">
        <v>247</v>
      </c>
      <c r="R196" s="334">
        <v>351</v>
      </c>
      <c r="S196" s="334" t="s">
        <v>1169</v>
      </c>
      <c r="T196" s="334" t="s">
        <v>1170</v>
      </c>
      <c r="U196" s="334">
        <v>549890.06999999995</v>
      </c>
      <c r="V196" s="334">
        <v>2664983.1120000002</v>
      </c>
      <c r="W196" s="334"/>
      <c r="X196" s="341" t="s">
        <v>1165</v>
      </c>
      <c r="Y196" s="341" t="s">
        <v>920</v>
      </c>
      <c r="Z196" s="338" t="s">
        <v>367</v>
      </c>
      <c r="AA196" s="350"/>
      <c r="AB196" s="350"/>
      <c r="AC196" s="350"/>
      <c r="AD196" s="351"/>
    </row>
    <row r="197" spans="1:31" x14ac:dyDescent="0.2">
      <c r="A197" s="321"/>
      <c r="B197" s="334"/>
      <c r="C197" s="334"/>
      <c r="D197" s="334"/>
      <c r="E197" s="334"/>
      <c r="F197" s="334">
        <v>423</v>
      </c>
      <c r="G197" s="334"/>
      <c r="H197" s="312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25"/>
      <c r="Y197" s="325"/>
      <c r="Z197" s="338"/>
      <c r="AA197" s="350"/>
      <c r="AB197" s="350"/>
      <c r="AC197" s="350"/>
      <c r="AD197" s="351"/>
    </row>
    <row r="198" spans="1:31" x14ac:dyDescent="0.2">
      <c r="A198" s="327">
        <v>95</v>
      </c>
      <c r="B198" s="334" t="s">
        <v>859</v>
      </c>
      <c r="C198" s="334" t="s">
        <v>121</v>
      </c>
      <c r="D198" s="334" t="s">
        <v>21</v>
      </c>
      <c r="E198" s="334" t="s">
        <v>859</v>
      </c>
      <c r="F198" s="334"/>
      <c r="G198" s="334"/>
      <c r="H198" s="328">
        <f>H196+F197</f>
        <v>35763.705999999998</v>
      </c>
      <c r="I198" s="334">
        <v>400.69099999999997</v>
      </c>
      <c r="J198" s="334">
        <v>78.5</v>
      </c>
      <c r="K198" s="334">
        <f>F197+F199</f>
        <v>818</v>
      </c>
      <c r="L198" s="334">
        <f>K198/2</f>
        <v>409</v>
      </c>
      <c r="M198" s="334">
        <v>162</v>
      </c>
      <c r="N198" s="334">
        <v>171</v>
      </c>
      <c r="O198" s="334">
        <v>333</v>
      </c>
      <c r="P198" s="334">
        <v>177</v>
      </c>
      <c r="Q198" s="334">
        <v>179</v>
      </c>
      <c r="R198" s="334">
        <v>356</v>
      </c>
      <c r="S198" s="334" t="s">
        <v>1171</v>
      </c>
      <c r="T198" s="334" t="s">
        <v>1172</v>
      </c>
      <c r="U198" s="334">
        <v>550312.69499999995</v>
      </c>
      <c r="V198" s="334">
        <v>2665000.909</v>
      </c>
      <c r="W198" s="334"/>
      <c r="X198" s="341" t="s">
        <v>1165</v>
      </c>
      <c r="Y198" s="341" t="s">
        <v>920</v>
      </c>
      <c r="Z198" s="338" t="s">
        <v>367</v>
      </c>
      <c r="AA198" s="350"/>
      <c r="AB198" s="350"/>
      <c r="AC198" s="350"/>
      <c r="AD198" s="351"/>
    </row>
    <row r="199" spans="1:31" x14ac:dyDescent="0.2">
      <c r="A199" s="321"/>
      <c r="B199" s="334"/>
      <c r="C199" s="334"/>
      <c r="D199" s="334"/>
      <c r="E199" s="334"/>
      <c r="F199" s="334">
        <v>395</v>
      </c>
      <c r="G199" s="334"/>
      <c r="H199" s="312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 t="s">
        <v>1173</v>
      </c>
      <c r="X199" s="325"/>
      <c r="Y199" s="325"/>
      <c r="Z199" s="338"/>
      <c r="AA199" s="350"/>
      <c r="AB199" s="350"/>
      <c r="AC199" s="350"/>
      <c r="AD199" s="351"/>
    </row>
    <row r="200" spans="1:31" x14ac:dyDescent="0.2">
      <c r="A200" s="327">
        <v>96</v>
      </c>
      <c r="B200" s="334" t="s">
        <v>1174</v>
      </c>
      <c r="C200" s="334" t="s">
        <v>122</v>
      </c>
      <c r="D200" s="334" t="s">
        <v>123</v>
      </c>
      <c r="E200" s="334" t="s">
        <v>1175</v>
      </c>
      <c r="F200" s="334"/>
      <c r="G200" s="334">
        <f>SUM(F197:F199)</f>
        <v>818</v>
      </c>
      <c r="H200" s="328">
        <f>H198+F199</f>
        <v>36158.705999999998</v>
      </c>
      <c r="I200" s="334">
        <v>402.673</v>
      </c>
      <c r="J200" s="334">
        <v>79.72</v>
      </c>
      <c r="K200" s="334">
        <f>F199+F201</f>
        <v>894</v>
      </c>
      <c r="L200" s="334">
        <f>K200/2</f>
        <v>447</v>
      </c>
      <c r="M200" s="334">
        <v>224</v>
      </c>
      <c r="N200" s="334">
        <v>246</v>
      </c>
      <c r="O200" s="334">
        <v>470</v>
      </c>
      <c r="P200" s="334">
        <v>218</v>
      </c>
      <c r="Q200" s="334">
        <v>247</v>
      </c>
      <c r="R200" s="334">
        <v>465</v>
      </c>
      <c r="S200" s="334" t="s">
        <v>1176</v>
      </c>
      <c r="T200" s="334" t="s">
        <v>1177</v>
      </c>
      <c r="U200" s="334">
        <v>550707.29299999995</v>
      </c>
      <c r="V200" s="334">
        <v>2665017.5249999999</v>
      </c>
      <c r="W200" s="334" t="s">
        <v>1178</v>
      </c>
      <c r="X200" s="341" t="s">
        <v>1165</v>
      </c>
      <c r="Y200" s="341" t="s">
        <v>920</v>
      </c>
      <c r="Z200" s="338" t="s">
        <v>367</v>
      </c>
      <c r="AA200" s="350"/>
      <c r="AB200" s="350"/>
      <c r="AC200" s="350"/>
      <c r="AD200" s="351"/>
      <c r="AE200" s="352" t="s">
        <v>899</v>
      </c>
    </row>
    <row r="201" spans="1:31" x14ac:dyDescent="0.2">
      <c r="A201" s="321"/>
      <c r="B201" s="334"/>
      <c r="C201" s="334"/>
      <c r="D201" s="334"/>
      <c r="E201" s="334"/>
      <c r="F201" s="334">
        <v>499</v>
      </c>
      <c r="G201" s="334"/>
      <c r="H201" s="312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 t="s">
        <v>1179</v>
      </c>
      <c r="X201" s="325"/>
      <c r="Y201" s="325"/>
      <c r="Z201" s="338"/>
      <c r="AA201" s="350"/>
      <c r="AB201" s="350"/>
      <c r="AC201" s="350"/>
      <c r="AD201" s="351"/>
    </row>
    <row r="202" spans="1:31" x14ac:dyDescent="0.2">
      <c r="A202" s="327">
        <v>97</v>
      </c>
      <c r="B202" s="334" t="s">
        <v>1180</v>
      </c>
      <c r="C202" s="334" t="s">
        <v>124</v>
      </c>
      <c r="D202" s="334" t="s">
        <v>125</v>
      </c>
      <c r="E202" s="334" t="s">
        <v>1181</v>
      </c>
      <c r="F202" s="334"/>
      <c r="G202" s="334">
        <f>F201</f>
        <v>499</v>
      </c>
      <c r="H202" s="328">
        <f>H200+F201</f>
        <v>36657.705999999998</v>
      </c>
      <c r="I202" s="334">
        <v>406.4</v>
      </c>
      <c r="J202" s="334">
        <v>76.72</v>
      </c>
      <c r="K202" s="334">
        <f>F201+F203</f>
        <v>876</v>
      </c>
      <c r="L202" s="334">
        <f>K202/2</f>
        <v>438</v>
      </c>
      <c r="M202" s="334">
        <v>253</v>
      </c>
      <c r="N202" s="334">
        <v>182</v>
      </c>
      <c r="O202" s="334">
        <v>435</v>
      </c>
      <c r="P202" s="334">
        <v>252</v>
      </c>
      <c r="Q202" s="334">
        <v>183</v>
      </c>
      <c r="R202" s="334">
        <v>435</v>
      </c>
      <c r="S202" s="334" t="s">
        <v>1182</v>
      </c>
      <c r="T202" s="334" t="s">
        <v>1183</v>
      </c>
      <c r="U202" s="334">
        <v>551091.52</v>
      </c>
      <c r="V202" s="334">
        <v>2665336.02</v>
      </c>
      <c r="W202" s="346" t="s">
        <v>1116</v>
      </c>
      <c r="X202" s="341" t="s">
        <v>1184</v>
      </c>
      <c r="Y202" s="341" t="s">
        <v>1185</v>
      </c>
      <c r="Z202" s="338" t="s">
        <v>367</v>
      </c>
      <c r="AA202" s="353">
        <v>2.5</v>
      </c>
      <c r="AB202" s="353">
        <v>1</v>
      </c>
      <c r="AC202" s="353">
        <v>0</v>
      </c>
      <c r="AD202" s="354">
        <v>1.5</v>
      </c>
      <c r="AE202" s="352" t="s">
        <v>1046</v>
      </c>
    </row>
    <row r="203" spans="1:31" x14ac:dyDescent="0.2">
      <c r="A203" s="321"/>
      <c r="B203" s="334"/>
      <c r="C203" s="334"/>
      <c r="D203" s="334"/>
      <c r="E203" s="334"/>
      <c r="F203" s="334">
        <v>377</v>
      </c>
      <c r="G203" s="334"/>
      <c r="H203" s="312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 t="s">
        <v>1186</v>
      </c>
      <c r="X203" s="325"/>
      <c r="Y203" s="325"/>
      <c r="Z203" s="338"/>
      <c r="AA203" s="350"/>
      <c r="AB203" s="350"/>
      <c r="AC203" s="350"/>
      <c r="AD203" s="351"/>
    </row>
    <row r="204" spans="1:31" x14ac:dyDescent="0.2">
      <c r="A204" s="327">
        <v>98</v>
      </c>
      <c r="B204" s="334" t="s">
        <v>859</v>
      </c>
      <c r="C204" s="334" t="s">
        <v>126</v>
      </c>
      <c r="D204" s="334" t="s">
        <v>28</v>
      </c>
      <c r="E204" s="334" t="s">
        <v>859</v>
      </c>
      <c r="F204" s="334"/>
      <c r="G204" s="334"/>
      <c r="H204" s="328">
        <f>H202+F203</f>
        <v>37034.705999999998</v>
      </c>
      <c r="I204" s="334">
        <v>416.61</v>
      </c>
      <c r="J204" s="334">
        <v>69.5</v>
      </c>
      <c r="K204" s="334">
        <f>F203+F205</f>
        <v>820</v>
      </c>
      <c r="L204" s="334">
        <f>K204/2</f>
        <v>410</v>
      </c>
      <c r="M204" s="334">
        <v>195</v>
      </c>
      <c r="N204" s="334">
        <v>214</v>
      </c>
      <c r="O204" s="334">
        <v>409</v>
      </c>
      <c r="P204" s="334">
        <v>194</v>
      </c>
      <c r="Q204" s="334">
        <v>216</v>
      </c>
      <c r="R204" s="334">
        <v>410</v>
      </c>
      <c r="S204" s="334" t="s">
        <v>1187</v>
      </c>
      <c r="T204" s="334" t="s">
        <v>1188</v>
      </c>
      <c r="U204" s="334">
        <v>551459.57999999996</v>
      </c>
      <c r="V204" s="334">
        <v>2665254.4300000002</v>
      </c>
      <c r="W204" s="334"/>
      <c r="X204" s="341" t="s">
        <v>1184</v>
      </c>
      <c r="Y204" s="341" t="s">
        <v>1185</v>
      </c>
      <c r="Z204" s="338" t="s">
        <v>367</v>
      </c>
      <c r="AA204" s="350"/>
      <c r="AB204" s="350"/>
      <c r="AC204" s="350"/>
      <c r="AD204" s="351"/>
    </row>
    <row r="205" spans="1:31" x14ac:dyDescent="0.2">
      <c r="A205" s="321"/>
      <c r="B205" s="334"/>
      <c r="C205" s="334"/>
      <c r="D205" s="334"/>
      <c r="E205" s="334"/>
      <c r="F205" s="334">
        <v>443</v>
      </c>
      <c r="G205" s="334"/>
      <c r="H205" s="312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 t="s">
        <v>1189</v>
      </c>
      <c r="X205" s="325"/>
      <c r="Y205" s="325"/>
      <c r="Z205" s="338"/>
      <c r="AA205" s="350"/>
      <c r="AB205" s="350"/>
      <c r="AC205" s="350"/>
      <c r="AD205" s="351"/>
    </row>
    <row r="206" spans="1:31" x14ac:dyDescent="0.2">
      <c r="A206" s="327">
        <v>99</v>
      </c>
      <c r="B206" s="334" t="s">
        <v>859</v>
      </c>
      <c r="C206" s="334" t="s">
        <v>127</v>
      </c>
      <c r="D206" s="334" t="s">
        <v>28</v>
      </c>
      <c r="E206" s="334" t="s">
        <v>859</v>
      </c>
      <c r="F206" s="334"/>
      <c r="G206" s="334"/>
      <c r="H206" s="328">
        <f>H204+F205</f>
        <v>37477.705999999998</v>
      </c>
      <c r="I206" s="334">
        <v>418.16899999999998</v>
      </c>
      <c r="J206" s="334">
        <v>69.5</v>
      </c>
      <c r="K206" s="334">
        <f>F205+F207</f>
        <v>787</v>
      </c>
      <c r="L206" s="334">
        <f>K206/2</f>
        <v>393.5</v>
      </c>
      <c r="M206" s="334">
        <v>229</v>
      </c>
      <c r="N206" s="334">
        <v>161</v>
      </c>
      <c r="O206" s="334">
        <v>390</v>
      </c>
      <c r="P206" s="334">
        <v>227</v>
      </c>
      <c r="Q206" s="334">
        <v>164</v>
      </c>
      <c r="R206" s="334">
        <v>391</v>
      </c>
      <c r="S206" s="334" t="s">
        <v>1190</v>
      </c>
      <c r="T206" s="334" t="s">
        <v>1191</v>
      </c>
      <c r="U206" s="334">
        <v>551892.07999999996</v>
      </c>
      <c r="V206" s="334">
        <v>2665158.56</v>
      </c>
      <c r="W206" s="334"/>
      <c r="X206" s="341" t="s">
        <v>1184</v>
      </c>
      <c r="Y206" s="341" t="s">
        <v>1185</v>
      </c>
      <c r="Z206" s="338" t="s">
        <v>367</v>
      </c>
      <c r="AA206" s="350"/>
      <c r="AB206" s="350"/>
      <c r="AC206" s="350"/>
      <c r="AD206" s="351"/>
    </row>
    <row r="207" spans="1:31" x14ac:dyDescent="0.2">
      <c r="A207" s="321"/>
      <c r="B207" s="334"/>
      <c r="C207" s="334"/>
      <c r="D207" s="334"/>
      <c r="E207" s="334"/>
      <c r="F207" s="334">
        <v>344</v>
      </c>
      <c r="G207" s="334"/>
      <c r="H207" s="312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 t="s">
        <v>1192</v>
      </c>
      <c r="X207" s="325"/>
      <c r="Y207" s="325"/>
      <c r="Z207" s="338"/>
      <c r="AA207" s="350"/>
      <c r="AB207" s="350"/>
      <c r="AC207" s="350"/>
      <c r="AD207" s="351"/>
    </row>
    <row r="208" spans="1:31" x14ac:dyDescent="0.2">
      <c r="A208" s="327">
        <v>100</v>
      </c>
      <c r="B208" s="334" t="s">
        <v>1193</v>
      </c>
      <c r="C208" s="334" t="s">
        <v>128</v>
      </c>
      <c r="D208" s="334" t="s">
        <v>45</v>
      </c>
      <c r="E208" s="334" t="s">
        <v>1194</v>
      </c>
      <c r="F208" s="334"/>
      <c r="G208" s="334">
        <f>SUM(F203:F207)</f>
        <v>1164</v>
      </c>
      <c r="H208" s="328">
        <f>H206+F207</f>
        <v>37821.705999999998</v>
      </c>
      <c r="I208" s="334">
        <v>416.971</v>
      </c>
      <c r="J208" s="343">
        <v>70.72</v>
      </c>
      <c r="K208" s="334">
        <f>F207+F209</f>
        <v>734</v>
      </c>
      <c r="L208" s="334">
        <f>K208/2</f>
        <v>367</v>
      </c>
      <c r="M208" s="334">
        <v>184</v>
      </c>
      <c r="N208" s="334">
        <v>250</v>
      </c>
      <c r="O208" s="334">
        <v>434</v>
      </c>
      <c r="P208" s="334">
        <v>180</v>
      </c>
      <c r="Q208" s="334">
        <v>233</v>
      </c>
      <c r="R208" s="334">
        <v>413</v>
      </c>
      <c r="S208" s="334" t="s">
        <v>1195</v>
      </c>
      <c r="T208" s="334" t="s">
        <v>1196</v>
      </c>
      <c r="U208" s="334">
        <v>552227.86399999994</v>
      </c>
      <c r="V208" s="334">
        <v>2665084.1209999998</v>
      </c>
      <c r="W208" s="334"/>
      <c r="X208" s="341" t="s">
        <v>1184</v>
      </c>
      <c r="Y208" s="341" t="s">
        <v>1185</v>
      </c>
      <c r="Z208" s="338" t="s">
        <v>367</v>
      </c>
      <c r="AA208" s="350"/>
      <c r="AB208" s="350"/>
      <c r="AC208" s="350"/>
      <c r="AD208" s="351"/>
    </row>
    <row r="209" spans="1:31" x14ac:dyDescent="0.2">
      <c r="A209" s="321"/>
      <c r="B209" s="334"/>
      <c r="C209" s="334"/>
      <c r="D209" s="334"/>
      <c r="E209" s="334"/>
      <c r="F209" s="334">
        <v>390</v>
      </c>
      <c r="G209" s="334"/>
      <c r="H209" s="312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 t="s">
        <v>1197</v>
      </c>
      <c r="X209" s="325"/>
      <c r="Y209" s="325"/>
      <c r="Z209" s="338"/>
      <c r="AA209" s="350"/>
      <c r="AB209" s="350"/>
      <c r="AC209" s="350"/>
      <c r="AD209" s="351"/>
    </row>
    <row r="210" spans="1:31" x14ac:dyDescent="0.2">
      <c r="A210" s="327">
        <v>101</v>
      </c>
      <c r="B210" s="334" t="s">
        <v>859</v>
      </c>
      <c r="C210" s="334" t="s">
        <v>129</v>
      </c>
      <c r="D210" s="334" t="s">
        <v>28</v>
      </c>
      <c r="E210" s="334" t="s">
        <v>859</v>
      </c>
      <c r="F210" s="334"/>
      <c r="G210" s="334"/>
      <c r="H210" s="328">
        <f>H208+F209</f>
        <v>38211.705999999998</v>
      </c>
      <c r="I210" s="334">
        <v>410.11399999999998</v>
      </c>
      <c r="J210" s="334">
        <v>69.5</v>
      </c>
      <c r="K210" s="334">
        <f>F209+F211</f>
        <v>742</v>
      </c>
      <c r="L210" s="334">
        <f>K210/2</f>
        <v>371</v>
      </c>
      <c r="M210" s="334">
        <v>141</v>
      </c>
      <c r="N210" s="334">
        <v>160</v>
      </c>
      <c r="O210" s="334">
        <v>301</v>
      </c>
      <c r="P210" s="334">
        <v>159</v>
      </c>
      <c r="Q210" s="334">
        <v>165</v>
      </c>
      <c r="R210" s="334">
        <v>324</v>
      </c>
      <c r="S210" s="334" t="s">
        <v>1198</v>
      </c>
      <c r="T210" s="334" t="s">
        <v>1199</v>
      </c>
      <c r="U210" s="334">
        <v>552537.73</v>
      </c>
      <c r="V210" s="334">
        <v>2664847.3020000001</v>
      </c>
      <c r="W210" s="334"/>
      <c r="X210" s="341" t="s">
        <v>1200</v>
      </c>
      <c r="Y210" s="341" t="s">
        <v>1185</v>
      </c>
      <c r="Z210" s="338" t="s">
        <v>367</v>
      </c>
      <c r="AA210" s="350"/>
      <c r="AB210" s="350"/>
      <c r="AC210" s="350"/>
      <c r="AD210" s="351"/>
    </row>
    <row r="211" spans="1:31" x14ac:dyDescent="0.2">
      <c r="A211" s="321"/>
      <c r="B211" s="334"/>
      <c r="C211" s="334"/>
      <c r="D211" s="334"/>
      <c r="E211" s="334"/>
      <c r="F211" s="334">
        <v>352</v>
      </c>
      <c r="G211" s="334"/>
      <c r="H211" s="312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 t="s">
        <v>900</v>
      </c>
      <c r="X211" s="325"/>
      <c r="Y211" s="325"/>
      <c r="Z211" s="338"/>
      <c r="AA211" s="350"/>
      <c r="AB211" s="350"/>
      <c r="AC211" s="350"/>
      <c r="AD211" s="351"/>
    </row>
    <row r="212" spans="1:31" x14ac:dyDescent="0.2">
      <c r="A212" s="327">
        <v>102</v>
      </c>
      <c r="B212" s="334" t="s">
        <v>859</v>
      </c>
      <c r="C212" s="334" t="s">
        <v>130</v>
      </c>
      <c r="D212" s="334" t="s">
        <v>36</v>
      </c>
      <c r="E212" s="334" t="s">
        <v>859</v>
      </c>
      <c r="F212" s="334"/>
      <c r="G212" s="334"/>
      <c r="H212" s="328">
        <f>H210+F211</f>
        <v>38563.705999999998</v>
      </c>
      <c r="I212" s="342">
        <v>409.76799999999997</v>
      </c>
      <c r="J212" s="334">
        <v>72.5</v>
      </c>
      <c r="K212" s="334">
        <f>F211+F213</f>
        <v>778</v>
      </c>
      <c r="L212" s="334">
        <f>K212/2</f>
        <v>389</v>
      </c>
      <c r="M212" s="334">
        <v>192</v>
      </c>
      <c r="N212" s="334">
        <v>204</v>
      </c>
      <c r="O212" s="334">
        <v>396</v>
      </c>
      <c r="P212" s="334">
        <v>188</v>
      </c>
      <c r="Q212" s="334">
        <v>207</v>
      </c>
      <c r="R212" s="334">
        <v>395</v>
      </c>
      <c r="S212" s="334" t="s">
        <v>1201</v>
      </c>
      <c r="T212" s="334" t="s">
        <v>1202</v>
      </c>
      <c r="U212" s="334">
        <v>552817.40399999998</v>
      </c>
      <c r="V212" s="334">
        <v>2664633.5580000002</v>
      </c>
      <c r="W212" s="334"/>
      <c r="X212" s="341" t="s">
        <v>1200</v>
      </c>
      <c r="Y212" s="341" t="s">
        <v>1185</v>
      </c>
      <c r="Z212" s="338" t="s">
        <v>367</v>
      </c>
      <c r="AA212" s="350"/>
      <c r="AB212" s="350"/>
      <c r="AC212" s="350"/>
      <c r="AD212" s="351"/>
    </row>
    <row r="213" spans="1:31" x14ac:dyDescent="0.2">
      <c r="A213" s="321"/>
      <c r="B213" s="334"/>
      <c r="C213" s="334"/>
      <c r="D213" s="334"/>
      <c r="E213" s="334"/>
      <c r="F213" s="334">
        <v>426</v>
      </c>
      <c r="G213" s="334"/>
      <c r="H213" s="312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 t="s">
        <v>1146</v>
      </c>
      <c r="X213" s="325"/>
      <c r="Y213" s="325"/>
      <c r="Z213" s="338"/>
      <c r="AA213" s="350"/>
      <c r="AB213" s="350"/>
      <c r="AC213" s="350"/>
      <c r="AD213" s="351"/>
    </row>
    <row r="214" spans="1:31" x14ac:dyDescent="0.2">
      <c r="A214" s="327">
        <v>103</v>
      </c>
      <c r="B214" s="334" t="s">
        <v>859</v>
      </c>
      <c r="C214" s="334" t="s">
        <v>131</v>
      </c>
      <c r="D214" s="334" t="s">
        <v>36</v>
      </c>
      <c r="E214" s="334" t="s">
        <v>859</v>
      </c>
      <c r="F214" s="334"/>
      <c r="G214" s="334"/>
      <c r="H214" s="328">
        <f>H212+F213</f>
        <v>38989.705999999998</v>
      </c>
      <c r="I214" s="342">
        <v>411.60399999999998</v>
      </c>
      <c r="J214" s="334">
        <v>72.5</v>
      </c>
      <c r="K214" s="334">
        <f>F213+F215</f>
        <v>820</v>
      </c>
      <c r="L214" s="334">
        <f>K214/2</f>
        <v>410</v>
      </c>
      <c r="M214" s="334">
        <v>223</v>
      </c>
      <c r="N214" s="334">
        <v>118</v>
      </c>
      <c r="O214" s="334">
        <v>341</v>
      </c>
      <c r="P214" s="334">
        <v>220</v>
      </c>
      <c r="Q214" s="334">
        <v>143</v>
      </c>
      <c r="R214" s="334">
        <v>363</v>
      </c>
      <c r="S214" s="334" t="s">
        <v>1203</v>
      </c>
      <c r="T214" s="334" t="s">
        <v>1204</v>
      </c>
      <c r="U214" s="334">
        <v>553155.87300000002</v>
      </c>
      <c r="V214" s="334">
        <v>2664374.8790000002</v>
      </c>
      <c r="W214" s="334"/>
      <c r="X214" s="341" t="s">
        <v>1200</v>
      </c>
      <c r="Y214" s="341" t="s">
        <v>1185</v>
      </c>
      <c r="Z214" s="338" t="s">
        <v>367</v>
      </c>
      <c r="AA214" s="350"/>
      <c r="AB214" s="350"/>
      <c r="AC214" s="350"/>
      <c r="AD214" s="351"/>
    </row>
    <row r="215" spans="1:31" x14ac:dyDescent="0.2">
      <c r="A215" s="321"/>
      <c r="B215" s="334"/>
      <c r="C215" s="334"/>
      <c r="D215" s="334"/>
      <c r="E215" s="334"/>
      <c r="F215" s="334">
        <v>394</v>
      </c>
      <c r="G215" s="334"/>
      <c r="H215" s="312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 t="s">
        <v>900</v>
      </c>
      <c r="X215" s="325"/>
      <c r="Y215" s="325"/>
      <c r="Z215" s="338"/>
      <c r="AA215" s="350"/>
      <c r="AB215" s="350"/>
      <c r="AC215" s="350"/>
      <c r="AD215" s="351"/>
    </row>
    <row r="216" spans="1:31" x14ac:dyDescent="0.2">
      <c r="A216" s="327">
        <v>104</v>
      </c>
      <c r="B216" s="334" t="s">
        <v>859</v>
      </c>
      <c r="C216" s="334" t="s">
        <v>132</v>
      </c>
      <c r="D216" s="334" t="s">
        <v>38</v>
      </c>
      <c r="E216" s="334" t="s">
        <v>859</v>
      </c>
      <c r="F216" s="334"/>
      <c r="G216" s="334"/>
      <c r="H216" s="328">
        <f>H214+F215</f>
        <v>39383.705999999998</v>
      </c>
      <c r="I216" s="334">
        <v>423.21199999999999</v>
      </c>
      <c r="J216" s="334">
        <v>75.5</v>
      </c>
      <c r="K216" s="334">
        <f>F215+F217</f>
        <v>802</v>
      </c>
      <c r="L216" s="334">
        <f>K216/2</f>
        <v>401</v>
      </c>
      <c r="M216" s="334">
        <v>277</v>
      </c>
      <c r="N216" s="334">
        <v>206</v>
      </c>
      <c r="O216" s="334">
        <v>483</v>
      </c>
      <c r="P216" s="334">
        <v>252</v>
      </c>
      <c r="Q216" s="334">
        <v>206</v>
      </c>
      <c r="R216" s="334">
        <v>458</v>
      </c>
      <c r="S216" s="334" t="s">
        <v>1205</v>
      </c>
      <c r="T216" s="334" t="s">
        <v>1206</v>
      </c>
      <c r="U216" s="334">
        <v>553468.91700000002</v>
      </c>
      <c r="V216" s="334">
        <v>2664135.6320000002</v>
      </c>
      <c r="W216" s="334"/>
      <c r="X216" s="341" t="s">
        <v>1200</v>
      </c>
      <c r="Y216" s="341" t="s">
        <v>1185</v>
      </c>
      <c r="Z216" s="338" t="s">
        <v>367</v>
      </c>
      <c r="AA216" s="350"/>
      <c r="AB216" s="350"/>
      <c r="AC216" s="350"/>
      <c r="AD216" s="351"/>
    </row>
    <row r="217" spans="1:31" x14ac:dyDescent="0.2">
      <c r="A217" s="321"/>
      <c r="B217" s="334"/>
      <c r="C217" s="334"/>
      <c r="D217" s="334"/>
      <c r="E217" s="334"/>
      <c r="F217" s="334">
        <v>408</v>
      </c>
      <c r="G217" s="334"/>
      <c r="H217" s="312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 t="s">
        <v>900</v>
      </c>
      <c r="X217" s="325"/>
      <c r="Y217" s="325"/>
      <c r="Z217" s="338"/>
      <c r="AA217" s="350"/>
      <c r="AB217" s="350"/>
      <c r="AC217" s="350"/>
      <c r="AD217" s="351"/>
    </row>
    <row r="218" spans="1:31" x14ac:dyDescent="0.2">
      <c r="A218" s="327">
        <v>105</v>
      </c>
      <c r="B218" s="334" t="s">
        <v>1207</v>
      </c>
      <c r="C218" s="334" t="s">
        <v>133</v>
      </c>
      <c r="D218" s="334" t="s">
        <v>120</v>
      </c>
      <c r="E218" s="334" t="s">
        <v>1208</v>
      </c>
      <c r="F218" s="334"/>
      <c r="G218" s="334">
        <f>SUM(F209:F217)</f>
        <v>1970</v>
      </c>
      <c r="H218" s="328">
        <f>H216+F217</f>
        <v>39791.705999999998</v>
      </c>
      <c r="I218" s="334">
        <v>425.90699999999998</v>
      </c>
      <c r="J218" s="343">
        <v>70.72</v>
      </c>
      <c r="K218" s="334">
        <f>F217+F219</f>
        <v>781</v>
      </c>
      <c r="L218" s="334">
        <f>K218/2</f>
        <v>390.5</v>
      </c>
      <c r="M218" s="334">
        <v>203</v>
      </c>
      <c r="N218" s="334">
        <v>136</v>
      </c>
      <c r="O218" s="334">
        <v>339</v>
      </c>
      <c r="P218" s="334">
        <v>203</v>
      </c>
      <c r="Q218" s="334">
        <v>153</v>
      </c>
      <c r="R218" s="334">
        <v>356</v>
      </c>
      <c r="S218" s="334" t="s">
        <v>1209</v>
      </c>
      <c r="T218" s="334" t="s">
        <v>1210</v>
      </c>
      <c r="U218" s="334">
        <v>553792.88300000003</v>
      </c>
      <c r="V218" s="334">
        <v>2663888.037</v>
      </c>
      <c r="W218" s="346" t="s">
        <v>1116</v>
      </c>
      <c r="X218" s="341" t="s">
        <v>1200</v>
      </c>
      <c r="Y218" s="341" t="s">
        <v>1185</v>
      </c>
      <c r="Z218" s="338" t="s">
        <v>367</v>
      </c>
      <c r="AA218" s="353">
        <v>0</v>
      </c>
      <c r="AB218" s="353">
        <v>0</v>
      </c>
      <c r="AC218" s="353">
        <v>1</v>
      </c>
      <c r="AD218" s="354">
        <v>1</v>
      </c>
      <c r="AE218" s="352" t="s">
        <v>1046</v>
      </c>
    </row>
    <row r="219" spans="1:31" x14ac:dyDescent="0.2">
      <c r="A219" s="321"/>
      <c r="B219" s="334"/>
      <c r="C219" s="334"/>
      <c r="D219" s="334"/>
      <c r="E219" s="334"/>
      <c r="F219" s="334">
        <v>373</v>
      </c>
      <c r="G219" s="334"/>
      <c r="H219" s="312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 t="s">
        <v>1157</v>
      </c>
      <c r="X219" s="325"/>
      <c r="Y219" s="325"/>
      <c r="Z219" s="338"/>
      <c r="AA219" s="350"/>
      <c r="AB219" s="350"/>
      <c r="AC219" s="350"/>
      <c r="AD219" s="351"/>
    </row>
    <row r="220" spans="1:31" x14ac:dyDescent="0.2">
      <c r="A220" s="327">
        <v>106</v>
      </c>
      <c r="B220" s="334" t="s">
        <v>859</v>
      </c>
      <c r="C220" s="334" t="s">
        <v>134</v>
      </c>
      <c r="D220" s="334" t="s">
        <v>21</v>
      </c>
      <c r="E220" s="334" t="s">
        <v>859</v>
      </c>
      <c r="F220" s="334"/>
      <c r="G220" s="334"/>
      <c r="H220" s="328">
        <f>H218+F219</f>
        <v>40164.705999999998</v>
      </c>
      <c r="I220" s="334">
        <v>428.62099999999998</v>
      </c>
      <c r="J220" s="334">
        <v>78.5</v>
      </c>
      <c r="K220" s="334">
        <f>F219+F221</f>
        <v>781</v>
      </c>
      <c r="L220" s="334">
        <f>K220/2</f>
        <v>390.5</v>
      </c>
      <c r="M220" s="334">
        <v>237</v>
      </c>
      <c r="N220" s="334">
        <v>201</v>
      </c>
      <c r="O220" s="334">
        <v>438</v>
      </c>
      <c r="P220" s="334">
        <v>221</v>
      </c>
      <c r="Q220" s="334">
        <v>202</v>
      </c>
      <c r="R220" s="334">
        <v>423</v>
      </c>
      <c r="S220" s="334" t="s">
        <v>1211</v>
      </c>
      <c r="T220" s="334" t="s">
        <v>1212</v>
      </c>
      <c r="U220" s="334">
        <v>554165.63399999996</v>
      </c>
      <c r="V220" s="334">
        <v>2663874.4070000001</v>
      </c>
      <c r="W220" s="334"/>
      <c r="X220" s="341" t="s">
        <v>1200</v>
      </c>
      <c r="Y220" s="341" t="s">
        <v>1185</v>
      </c>
      <c r="Z220" s="338" t="s">
        <v>367</v>
      </c>
      <c r="AA220" s="350"/>
      <c r="AB220" s="350"/>
      <c r="AC220" s="350"/>
      <c r="AD220" s="351"/>
    </row>
    <row r="221" spans="1:31" x14ac:dyDescent="0.2">
      <c r="A221" s="321"/>
      <c r="B221" s="334"/>
      <c r="C221" s="334"/>
      <c r="D221" s="334"/>
      <c r="E221" s="334"/>
      <c r="F221" s="334">
        <v>408</v>
      </c>
      <c r="G221" s="334"/>
      <c r="H221" s="312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 t="s">
        <v>1213</v>
      </c>
      <c r="X221" s="325"/>
      <c r="Y221" s="325"/>
      <c r="Z221" s="338"/>
      <c r="AA221" s="350"/>
      <c r="AB221" s="350"/>
      <c r="AC221" s="350"/>
      <c r="AD221" s="351"/>
    </row>
    <row r="222" spans="1:31" x14ac:dyDescent="0.2">
      <c r="A222" s="327">
        <v>107</v>
      </c>
      <c r="B222" s="334" t="s">
        <v>1214</v>
      </c>
      <c r="C222" s="334" t="s">
        <v>135</v>
      </c>
      <c r="D222" s="334" t="s">
        <v>17</v>
      </c>
      <c r="E222" s="334" t="s">
        <v>1215</v>
      </c>
      <c r="F222" s="334"/>
      <c r="G222" s="334">
        <f>SUM(F219:F221)</f>
        <v>781</v>
      </c>
      <c r="H222" s="328">
        <f>H220+F221</f>
        <v>40572.705999999998</v>
      </c>
      <c r="I222" s="334">
        <v>432.286</v>
      </c>
      <c r="J222" s="334">
        <v>73.72</v>
      </c>
      <c r="K222" s="334">
        <f>F221+F223</f>
        <v>787</v>
      </c>
      <c r="L222" s="334">
        <f>K222/2</f>
        <v>393.5</v>
      </c>
      <c r="M222" s="334">
        <v>208</v>
      </c>
      <c r="N222" s="334">
        <v>183</v>
      </c>
      <c r="O222" s="334">
        <v>391</v>
      </c>
      <c r="P222" s="334">
        <v>207</v>
      </c>
      <c r="Q222" s="334">
        <v>185</v>
      </c>
      <c r="R222" s="334">
        <v>392</v>
      </c>
      <c r="S222" s="334" t="s">
        <v>1216</v>
      </c>
      <c r="T222" s="334" t="s">
        <v>1217</v>
      </c>
      <c r="U222" s="334">
        <v>554573.39300000004</v>
      </c>
      <c r="V222" s="334">
        <v>2663859.497</v>
      </c>
      <c r="W222" s="334"/>
      <c r="X222" s="341" t="s">
        <v>1200</v>
      </c>
      <c r="Y222" s="341" t="s">
        <v>1185</v>
      </c>
      <c r="Z222" s="338" t="s">
        <v>367</v>
      </c>
      <c r="AA222" s="350"/>
      <c r="AB222" s="350"/>
      <c r="AC222" s="350"/>
      <c r="AD222" s="351"/>
    </row>
    <row r="223" spans="1:31" x14ac:dyDescent="0.2">
      <c r="A223" s="321"/>
      <c r="B223" s="334"/>
      <c r="C223" s="334"/>
      <c r="D223" s="334"/>
      <c r="E223" s="334"/>
      <c r="F223" s="334">
        <v>379</v>
      </c>
      <c r="G223" s="334"/>
      <c r="H223" s="312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 t="s">
        <v>1218</v>
      </c>
      <c r="X223" s="325"/>
      <c r="Y223" s="325"/>
      <c r="Z223" s="338"/>
      <c r="AA223" s="350"/>
      <c r="AB223" s="350"/>
      <c r="AC223" s="350"/>
      <c r="AD223" s="351"/>
    </row>
    <row r="224" spans="1:31" x14ac:dyDescent="0.2">
      <c r="A224" s="327">
        <v>108</v>
      </c>
      <c r="B224" s="334" t="s">
        <v>859</v>
      </c>
      <c r="C224" s="334" t="s">
        <v>136</v>
      </c>
      <c r="D224" s="334" t="s">
        <v>38</v>
      </c>
      <c r="E224" s="334" t="s">
        <v>859</v>
      </c>
      <c r="F224" s="334"/>
      <c r="G224" s="334"/>
      <c r="H224" s="328">
        <f>H222+F223</f>
        <v>40951.705999999998</v>
      </c>
      <c r="I224" s="334">
        <v>433.57799999999997</v>
      </c>
      <c r="J224" s="334">
        <v>75.5</v>
      </c>
      <c r="K224" s="334">
        <f>F223+F225</f>
        <v>785</v>
      </c>
      <c r="L224" s="334">
        <f>K224/2</f>
        <v>392.5</v>
      </c>
      <c r="M224" s="334">
        <v>197</v>
      </c>
      <c r="N224" s="334">
        <v>205</v>
      </c>
      <c r="O224" s="334">
        <v>402</v>
      </c>
      <c r="P224" s="334">
        <v>195</v>
      </c>
      <c r="Q224" s="334">
        <v>205</v>
      </c>
      <c r="R224" s="334">
        <v>400</v>
      </c>
      <c r="S224" s="334" t="s">
        <v>1219</v>
      </c>
      <c r="T224" s="334" t="s">
        <v>1220</v>
      </c>
      <c r="U224" s="334">
        <v>554855.75</v>
      </c>
      <c r="V224" s="334">
        <v>2663606.682</v>
      </c>
      <c r="W224" s="334"/>
      <c r="X224" s="341" t="s">
        <v>1200</v>
      </c>
      <c r="Y224" s="341" t="s">
        <v>1185</v>
      </c>
      <c r="Z224" s="338" t="s">
        <v>367</v>
      </c>
      <c r="AA224" s="350"/>
      <c r="AB224" s="350"/>
      <c r="AC224" s="350"/>
      <c r="AD224" s="351"/>
    </row>
    <row r="225" spans="1:31" ht="38.25" x14ac:dyDescent="0.2">
      <c r="A225" s="321"/>
      <c r="B225" s="334"/>
      <c r="C225" s="334"/>
      <c r="D225" s="334"/>
      <c r="E225" s="334"/>
      <c r="F225" s="334">
        <v>406</v>
      </c>
      <c r="G225" s="334"/>
      <c r="H225" s="312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 t="s">
        <v>1221</v>
      </c>
      <c r="U225" s="334"/>
      <c r="V225" s="334"/>
      <c r="W225" s="334" t="s">
        <v>1222</v>
      </c>
      <c r="X225" s="325"/>
      <c r="Y225" s="325"/>
      <c r="Z225" s="338"/>
      <c r="AA225" s="350"/>
      <c r="AB225" s="350"/>
      <c r="AC225" s="350"/>
      <c r="AD225" s="351"/>
    </row>
    <row r="226" spans="1:31" x14ac:dyDescent="0.2">
      <c r="A226" s="327">
        <v>109</v>
      </c>
      <c r="B226" s="334" t="s">
        <v>1223</v>
      </c>
      <c r="C226" s="334" t="s">
        <v>137</v>
      </c>
      <c r="D226" s="334" t="s">
        <v>138</v>
      </c>
      <c r="E226" s="334" t="s">
        <v>1224</v>
      </c>
      <c r="F226" s="334"/>
      <c r="G226" s="334">
        <f>SUM(F223:F225)</f>
        <v>785</v>
      </c>
      <c r="H226" s="328">
        <f>H224+F225</f>
        <v>41357.705999999998</v>
      </c>
      <c r="I226" s="334">
        <v>433.22</v>
      </c>
      <c r="J226" s="334">
        <v>73.72</v>
      </c>
      <c r="K226" s="334">
        <f>F225+F227</f>
        <v>791</v>
      </c>
      <c r="L226" s="334">
        <f>K226/2</f>
        <v>395.5</v>
      </c>
      <c r="M226" s="334">
        <v>201</v>
      </c>
      <c r="N226" s="334">
        <v>195</v>
      </c>
      <c r="O226" s="334">
        <v>396</v>
      </c>
      <c r="P226" s="334">
        <v>202</v>
      </c>
      <c r="Q226" s="334">
        <v>195</v>
      </c>
      <c r="R226" s="334">
        <v>397</v>
      </c>
      <c r="S226" s="334" t="s">
        <v>1225</v>
      </c>
      <c r="T226" s="334" t="s">
        <v>1226</v>
      </c>
      <c r="U226" s="334">
        <v>555157.95799999998</v>
      </c>
      <c r="V226" s="334">
        <v>2663336.0920000002</v>
      </c>
      <c r="W226" s="346" t="s">
        <v>1116</v>
      </c>
      <c r="X226" s="341" t="s">
        <v>1200</v>
      </c>
      <c r="Y226" s="341" t="s">
        <v>1185</v>
      </c>
      <c r="Z226" s="338" t="s">
        <v>367</v>
      </c>
      <c r="AA226" s="353">
        <v>1</v>
      </c>
      <c r="AB226" s="353">
        <v>2</v>
      </c>
      <c r="AC226" s="353">
        <v>1</v>
      </c>
      <c r="AD226" s="354">
        <v>0</v>
      </c>
      <c r="AE226" s="352" t="s">
        <v>1046</v>
      </c>
    </row>
    <row r="227" spans="1:31" x14ac:dyDescent="0.2">
      <c r="A227" s="321"/>
      <c r="B227" s="334"/>
      <c r="C227" s="334"/>
      <c r="D227" s="334"/>
      <c r="E227" s="334"/>
      <c r="F227" s="334">
        <v>385</v>
      </c>
      <c r="G227" s="334"/>
      <c r="H227" s="312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 t="s">
        <v>1227</v>
      </c>
      <c r="X227" s="325"/>
      <c r="Y227" s="325"/>
      <c r="Z227" s="338"/>
      <c r="AA227" s="350"/>
      <c r="AB227" s="350"/>
      <c r="AC227" s="350"/>
      <c r="AD227" s="351"/>
    </row>
    <row r="228" spans="1:31" x14ac:dyDescent="0.2">
      <c r="A228" s="327">
        <v>110</v>
      </c>
      <c r="B228" s="334" t="s">
        <v>859</v>
      </c>
      <c r="C228" s="334" t="s">
        <v>139</v>
      </c>
      <c r="D228" s="334" t="s">
        <v>36</v>
      </c>
      <c r="E228" s="334" t="s">
        <v>859</v>
      </c>
      <c r="F228" s="334"/>
      <c r="G228" s="334"/>
      <c r="H228" s="328">
        <f>H226+F227</f>
        <v>41742.705999999998</v>
      </c>
      <c r="I228" s="342">
        <v>435.75099999999998</v>
      </c>
      <c r="J228" s="334">
        <v>72.5</v>
      </c>
      <c r="K228" s="334">
        <f>F227+F229</f>
        <v>785</v>
      </c>
      <c r="L228" s="334">
        <f>K228/2</f>
        <v>392.5</v>
      </c>
      <c r="M228" s="334">
        <v>190</v>
      </c>
      <c r="N228" s="334">
        <v>190</v>
      </c>
      <c r="O228" s="334">
        <v>380</v>
      </c>
      <c r="P228" s="334">
        <v>191</v>
      </c>
      <c r="Q228" s="334">
        <v>194</v>
      </c>
      <c r="R228" s="334">
        <v>385</v>
      </c>
      <c r="S228" s="334" t="s">
        <v>1228</v>
      </c>
      <c r="T228" s="334" t="s">
        <v>1229</v>
      </c>
      <c r="U228" s="334">
        <v>555522.41099999996</v>
      </c>
      <c r="V228" s="334">
        <v>2663211.9980000001</v>
      </c>
      <c r="W228" s="334"/>
      <c r="X228" s="341" t="s">
        <v>1200</v>
      </c>
      <c r="Y228" s="341" t="s">
        <v>1185</v>
      </c>
      <c r="Z228" s="338" t="s">
        <v>367</v>
      </c>
      <c r="AA228" s="350"/>
      <c r="AB228" s="350"/>
      <c r="AC228" s="350"/>
      <c r="AD228" s="351"/>
    </row>
    <row r="229" spans="1:31" x14ac:dyDescent="0.2">
      <c r="A229" s="321"/>
      <c r="B229" s="334"/>
      <c r="C229" s="334"/>
      <c r="D229" s="334"/>
      <c r="E229" s="334"/>
      <c r="F229" s="334">
        <v>400</v>
      </c>
      <c r="G229" s="334"/>
      <c r="H229" s="312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 t="s">
        <v>1230</v>
      </c>
      <c r="X229" s="325"/>
      <c r="Y229" s="325"/>
      <c r="Z229" s="338"/>
      <c r="AA229" s="350"/>
      <c r="AB229" s="350"/>
      <c r="AC229" s="350"/>
      <c r="AD229" s="351"/>
    </row>
    <row r="230" spans="1:31" x14ac:dyDescent="0.2">
      <c r="A230" s="327">
        <v>111</v>
      </c>
      <c r="B230" s="334" t="s">
        <v>859</v>
      </c>
      <c r="C230" s="334" t="s">
        <v>140</v>
      </c>
      <c r="D230" s="334" t="s">
        <v>36</v>
      </c>
      <c r="E230" s="334" t="s">
        <v>859</v>
      </c>
      <c r="F230" s="334"/>
      <c r="G230" s="334"/>
      <c r="H230" s="328">
        <f>H228+F229</f>
        <v>42142.705999999998</v>
      </c>
      <c r="I230" s="342">
        <v>437.64800000000002</v>
      </c>
      <c r="J230" s="334">
        <v>72.5</v>
      </c>
      <c r="K230" s="334">
        <f>F229+F231</f>
        <v>839</v>
      </c>
      <c r="L230" s="334">
        <f>K230/2</f>
        <v>419.5</v>
      </c>
      <c r="M230" s="334">
        <v>210</v>
      </c>
      <c r="N230" s="334">
        <v>174</v>
      </c>
      <c r="O230" s="334">
        <v>384</v>
      </c>
      <c r="P230" s="334">
        <v>208</v>
      </c>
      <c r="Q230" s="334">
        <v>188</v>
      </c>
      <c r="R230" s="334">
        <v>396</v>
      </c>
      <c r="S230" s="334" t="s">
        <v>1231</v>
      </c>
      <c r="T230" s="334" t="s">
        <v>1232</v>
      </c>
      <c r="U230" s="334">
        <v>555901.06299999997</v>
      </c>
      <c r="V230" s="334">
        <v>2663083.0690000001</v>
      </c>
      <c r="W230" s="334"/>
      <c r="X230" s="341" t="s">
        <v>1200</v>
      </c>
      <c r="Y230" s="341" t="s">
        <v>1185</v>
      </c>
      <c r="Z230" s="338" t="s">
        <v>367</v>
      </c>
      <c r="AA230" s="350"/>
      <c r="AB230" s="350"/>
      <c r="AC230" s="350"/>
      <c r="AD230" s="351"/>
    </row>
    <row r="231" spans="1:31" x14ac:dyDescent="0.2">
      <c r="A231" s="321"/>
      <c r="B231" s="334"/>
      <c r="C231" s="334"/>
      <c r="D231" s="334"/>
      <c r="E231" s="334"/>
      <c r="F231" s="334">
        <v>439</v>
      </c>
      <c r="G231" s="334"/>
      <c r="H231" s="312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 t="s">
        <v>1233</v>
      </c>
      <c r="X231" s="325"/>
      <c r="Y231" s="325"/>
      <c r="Z231" s="338"/>
      <c r="AA231" s="350"/>
      <c r="AB231" s="350"/>
      <c r="AC231" s="350"/>
      <c r="AD231" s="351"/>
    </row>
    <row r="232" spans="1:31" x14ac:dyDescent="0.2">
      <c r="A232" s="327">
        <v>112</v>
      </c>
      <c r="B232" s="334" t="s">
        <v>859</v>
      </c>
      <c r="C232" s="334" t="s">
        <v>141</v>
      </c>
      <c r="D232" s="334" t="s">
        <v>21</v>
      </c>
      <c r="E232" s="334" t="s">
        <v>859</v>
      </c>
      <c r="F232" s="334"/>
      <c r="G232" s="334"/>
      <c r="H232" s="328">
        <f>H230+F231</f>
        <v>42581.705999999998</v>
      </c>
      <c r="I232" s="334">
        <v>441.10899999999998</v>
      </c>
      <c r="J232" s="334">
        <v>78.5</v>
      </c>
      <c r="K232" s="334">
        <f>F231+F233</f>
        <v>839</v>
      </c>
      <c r="L232" s="334">
        <f>K232/2</f>
        <v>419.5</v>
      </c>
      <c r="M232" s="334">
        <v>266</v>
      </c>
      <c r="N232" s="334">
        <v>224</v>
      </c>
      <c r="O232" s="334">
        <v>490</v>
      </c>
      <c r="P232" s="334">
        <v>252</v>
      </c>
      <c r="Q232" s="334">
        <v>217</v>
      </c>
      <c r="R232" s="334">
        <v>469</v>
      </c>
      <c r="S232" s="334" t="s">
        <v>1234</v>
      </c>
      <c r="T232" s="334" t="s">
        <v>1235</v>
      </c>
      <c r="U232" s="334">
        <v>556316.63300000003</v>
      </c>
      <c r="V232" s="334">
        <v>2662941.5690000001</v>
      </c>
      <c r="W232" s="334"/>
      <c r="X232" s="341" t="s">
        <v>1200</v>
      </c>
      <c r="Y232" s="341" t="s">
        <v>1185</v>
      </c>
      <c r="Z232" s="338" t="s">
        <v>367</v>
      </c>
      <c r="AA232" s="350"/>
      <c r="AB232" s="350"/>
      <c r="AC232" s="350"/>
      <c r="AD232" s="351"/>
    </row>
    <row r="233" spans="1:31" x14ac:dyDescent="0.2">
      <c r="A233" s="321"/>
      <c r="B233" s="334"/>
      <c r="C233" s="334"/>
      <c r="D233" s="334"/>
      <c r="E233" s="334"/>
      <c r="F233" s="334">
        <v>400</v>
      </c>
      <c r="G233" s="334"/>
      <c r="H233" s="312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 t="s">
        <v>1236</v>
      </c>
      <c r="X233" s="325"/>
      <c r="Y233" s="325"/>
      <c r="Z233" s="338"/>
      <c r="AA233" s="350"/>
      <c r="AB233" s="350"/>
      <c r="AC233" s="350"/>
      <c r="AD233" s="351"/>
    </row>
    <row r="234" spans="1:31" x14ac:dyDescent="0.2">
      <c r="A234" s="327">
        <v>113</v>
      </c>
      <c r="B234" s="334" t="s">
        <v>859</v>
      </c>
      <c r="C234" s="334" t="s">
        <v>142</v>
      </c>
      <c r="D234" s="334" t="s">
        <v>28</v>
      </c>
      <c r="E234" s="334" t="s">
        <v>859</v>
      </c>
      <c r="F234" s="334"/>
      <c r="G234" s="334"/>
      <c r="H234" s="328">
        <f>H232+F233</f>
        <v>42981.705999999998</v>
      </c>
      <c r="I234" s="334">
        <v>445.75</v>
      </c>
      <c r="J234" s="334">
        <v>69.5</v>
      </c>
      <c r="K234" s="334">
        <f>F233+F235</f>
        <v>691</v>
      </c>
      <c r="L234" s="334">
        <f>K234/2</f>
        <v>345.5</v>
      </c>
      <c r="M234" s="334">
        <v>177</v>
      </c>
      <c r="N234" s="334">
        <v>174</v>
      </c>
      <c r="O234" s="334">
        <v>351</v>
      </c>
      <c r="P234" s="334">
        <v>185</v>
      </c>
      <c r="Q234" s="334">
        <v>166</v>
      </c>
      <c r="R234" s="334">
        <v>351</v>
      </c>
      <c r="S234" s="334" t="s">
        <v>1237</v>
      </c>
      <c r="T234" s="334" t="s">
        <v>1238</v>
      </c>
      <c r="U234" s="334">
        <v>556695.28500000003</v>
      </c>
      <c r="V234" s="334">
        <v>2662812.64</v>
      </c>
      <c r="W234" s="334"/>
      <c r="X234" s="341" t="s">
        <v>1200</v>
      </c>
      <c r="Y234" s="341" t="s">
        <v>1185</v>
      </c>
      <c r="Z234" s="338" t="s">
        <v>367</v>
      </c>
      <c r="AA234" s="350"/>
      <c r="AB234" s="350"/>
      <c r="AC234" s="350"/>
      <c r="AD234" s="351"/>
    </row>
    <row r="235" spans="1:31" x14ac:dyDescent="0.2">
      <c r="A235" s="321"/>
      <c r="B235" s="334"/>
      <c r="C235" s="334"/>
      <c r="D235" s="334"/>
      <c r="E235" s="334"/>
      <c r="F235" s="334">
        <v>291</v>
      </c>
      <c r="G235" s="334"/>
      <c r="H235" s="312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 t="s">
        <v>1239</v>
      </c>
      <c r="X235" s="325"/>
      <c r="Y235" s="325"/>
      <c r="Z235" s="338"/>
      <c r="AA235" s="350"/>
      <c r="AB235" s="350"/>
      <c r="AC235" s="350"/>
      <c r="AD235" s="351"/>
    </row>
    <row r="236" spans="1:31" x14ac:dyDescent="0.2">
      <c r="A236" s="327">
        <v>114</v>
      </c>
      <c r="B236" s="334" t="s">
        <v>859</v>
      </c>
      <c r="C236" s="334" t="s">
        <v>143</v>
      </c>
      <c r="D236" s="334" t="s">
        <v>28</v>
      </c>
      <c r="E236" s="334" t="s">
        <v>859</v>
      </c>
      <c r="F236" s="334"/>
      <c r="G236" s="334"/>
      <c r="H236" s="328">
        <f>H234+F235</f>
        <v>43272.705999999998</v>
      </c>
      <c r="I236" s="334">
        <v>441.82600000000002</v>
      </c>
      <c r="J236" s="334">
        <v>69.5</v>
      </c>
      <c r="K236" s="334">
        <f>F235+F237</f>
        <v>681</v>
      </c>
      <c r="L236" s="334">
        <f>K236/2</f>
        <v>340.5</v>
      </c>
      <c r="M236" s="334">
        <v>117</v>
      </c>
      <c r="N236" s="334">
        <v>172</v>
      </c>
      <c r="O236" s="334">
        <v>289</v>
      </c>
      <c r="P236" s="334">
        <v>126</v>
      </c>
      <c r="Q236" s="334">
        <v>179</v>
      </c>
      <c r="R236" s="334">
        <v>305</v>
      </c>
      <c r="S236" s="334" t="s">
        <v>1240</v>
      </c>
      <c r="T236" s="334" t="s">
        <v>1241</v>
      </c>
      <c r="U236" s="334">
        <v>556970.75399999996</v>
      </c>
      <c r="V236" s="334">
        <v>2662718.844</v>
      </c>
      <c r="W236" s="334"/>
      <c r="X236" s="341" t="s">
        <v>1200</v>
      </c>
      <c r="Y236" s="341" t="s">
        <v>1185</v>
      </c>
      <c r="Z236" s="338" t="s">
        <v>367</v>
      </c>
      <c r="AA236" s="350"/>
      <c r="AB236" s="350"/>
      <c r="AC236" s="350"/>
      <c r="AD236" s="351"/>
    </row>
    <row r="237" spans="1:31" x14ac:dyDescent="0.2">
      <c r="A237" s="321"/>
      <c r="B237" s="334"/>
      <c r="C237" s="334"/>
      <c r="D237" s="334"/>
      <c r="E237" s="334"/>
      <c r="F237" s="334">
        <v>390</v>
      </c>
      <c r="G237" s="334"/>
      <c r="H237" s="312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 t="s">
        <v>1242</v>
      </c>
      <c r="X237" s="325"/>
      <c r="Y237" s="325"/>
      <c r="Z237" s="338"/>
      <c r="AA237" s="350"/>
      <c r="AB237" s="350"/>
      <c r="AC237" s="350"/>
      <c r="AD237" s="351"/>
    </row>
    <row r="238" spans="1:31" x14ac:dyDescent="0.2">
      <c r="A238" s="327">
        <v>115</v>
      </c>
      <c r="B238" s="334" t="s">
        <v>859</v>
      </c>
      <c r="C238" s="334" t="s">
        <v>144</v>
      </c>
      <c r="D238" s="334" t="s">
        <v>38</v>
      </c>
      <c r="E238" s="334" t="s">
        <v>859</v>
      </c>
      <c r="F238" s="334"/>
      <c r="G238" s="334"/>
      <c r="H238" s="328">
        <f>H236+F237</f>
        <v>43662.705999999998</v>
      </c>
      <c r="I238" s="334">
        <v>440.11599999999999</v>
      </c>
      <c r="J238" s="334">
        <v>75.5</v>
      </c>
      <c r="K238" s="334">
        <f>F237+F239</f>
        <v>793</v>
      </c>
      <c r="L238" s="334">
        <f>K238/2</f>
        <v>396.5</v>
      </c>
      <c r="M238" s="334">
        <v>219</v>
      </c>
      <c r="N238" s="334">
        <v>223</v>
      </c>
      <c r="O238" s="334">
        <v>442</v>
      </c>
      <c r="P238" s="334">
        <v>212</v>
      </c>
      <c r="Q238" s="334">
        <v>217</v>
      </c>
      <c r="R238" s="334">
        <v>429</v>
      </c>
      <c r="S238" s="334" t="s">
        <v>1243</v>
      </c>
      <c r="T238" s="334" t="s">
        <v>1244</v>
      </c>
      <c r="U238" s="334">
        <v>557339.93999999994</v>
      </c>
      <c r="V238" s="334">
        <v>2662593.1379999998</v>
      </c>
      <c r="W238" s="334"/>
      <c r="X238" s="341" t="s">
        <v>1200</v>
      </c>
      <c r="Y238" s="341" t="s">
        <v>1185</v>
      </c>
      <c r="Z238" s="338" t="s">
        <v>367</v>
      </c>
      <c r="AA238" s="350"/>
      <c r="AB238" s="350"/>
      <c r="AC238" s="350"/>
      <c r="AD238" s="351"/>
    </row>
    <row r="239" spans="1:31" x14ac:dyDescent="0.2">
      <c r="A239" s="321"/>
      <c r="B239" s="334"/>
      <c r="C239" s="334"/>
      <c r="D239" s="334"/>
      <c r="E239" s="334"/>
      <c r="F239" s="334">
        <v>403</v>
      </c>
      <c r="G239" s="334"/>
      <c r="H239" s="312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 t="s">
        <v>1245</v>
      </c>
      <c r="X239" s="325"/>
      <c r="Y239" s="325"/>
      <c r="Z239" s="338"/>
      <c r="AA239" s="350"/>
      <c r="AB239" s="350"/>
      <c r="AC239" s="350"/>
      <c r="AD239" s="351"/>
    </row>
    <row r="240" spans="1:31" x14ac:dyDescent="0.2">
      <c r="A240" s="327">
        <v>116</v>
      </c>
      <c r="B240" s="334" t="s">
        <v>859</v>
      </c>
      <c r="C240" s="334" t="s">
        <v>145</v>
      </c>
      <c r="D240" s="334" t="s">
        <v>36</v>
      </c>
      <c r="E240" s="334" t="s">
        <v>859</v>
      </c>
      <c r="F240" s="334"/>
      <c r="G240" s="334"/>
      <c r="H240" s="328">
        <f>H238+F239</f>
        <v>44065.705999999998</v>
      </c>
      <c r="I240" s="342">
        <v>439.02300000000002</v>
      </c>
      <c r="J240" s="334">
        <v>72.5</v>
      </c>
      <c r="K240" s="334">
        <f>F239+F241</f>
        <v>825</v>
      </c>
      <c r="L240" s="334">
        <f>K240/2</f>
        <v>412.5</v>
      </c>
      <c r="M240" s="334">
        <v>180</v>
      </c>
      <c r="N240" s="334">
        <v>180</v>
      </c>
      <c r="O240" s="334">
        <v>360</v>
      </c>
      <c r="P240" s="334">
        <v>187</v>
      </c>
      <c r="Q240" s="334">
        <v>190</v>
      </c>
      <c r="R240" s="334">
        <v>377</v>
      </c>
      <c r="S240" s="334" t="s">
        <v>1246</v>
      </c>
      <c r="T240" s="334" t="s">
        <v>1247</v>
      </c>
      <c r="U240" s="334">
        <v>557721.43200000003</v>
      </c>
      <c r="V240" s="334">
        <v>2662463.2420000001</v>
      </c>
      <c r="W240" s="334"/>
      <c r="X240" s="341" t="s">
        <v>1200</v>
      </c>
      <c r="Y240" s="341" t="s">
        <v>1185</v>
      </c>
      <c r="Z240" s="338" t="s">
        <v>367</v>
      </c>
      <c r="AA240" s="350"/>
      <c r="AB240" s="350"/>
      <c r="AC240" s="350"/>
      <c r="AD240" s="351"/>
    </row>
    <row r="241" spans="1:30" x14ac:dyDescent="0.2">
      <c r="A241" s="321"/>
      <c r="B241" s="334"/>
      <c r="C241" s="334"/>
      <c r="D241" s="334"/>
      <c r="E241" s="334"/>
      <c r="F241" s="334">
        <v>422</v>
      </c>
      <c r="G241" s="334"/>
      <c r="H241" s="312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 t="s">
        <v>1248</v>
      </c>
      <c r="X241" s="325"/>
      <c r="Y241" s="325"/>
      <c r="Z241" s="338"/>
      <c r="AA241" s="350"/>
      <c r="AB241" s="350"/>
      <c r="AC241" s="350"/>
      <c r="AD241" s="351"/>
    </row>
    <row r="242" spans="1:30" x14ac:dyDescent="0.2">
      <c r="A242" s="327">
        <v>117</v>
      </c>
      <c r="B242" s="334" t="s">
        <v>859</v>
      </c>
      <c r="C242" s="334" t="s">
        <v>146</v>
      </c>
      <c r="D242" s="334" t="s">
        <v>21</v>
      </c>
      <c r="E242" s="334" t="s">
        <v>859</v>
      </c>
      <c r="F242" s="334"/>
      <c r="G242" s="334"/>
      <c r="H242" s="328">
        <f>H240+F241</f>
        <v>44487.705999999998</v>
      </c>
      <c r="I242" s="334">
        <v>439.161</v>
      </c>
      <c r="J242" s="334">
        <v>78.5</v>
      </c>
      <c r="K242" s="334">
        <f>F241+F243</f>
        <v>811</v>
      </c>
      <c r="L242" s="334">
        <f>K242/2</f>
        <v>405.5</v>
      </c>
      <c r="M242" s="334">
        <v>242</v>
      </c>
      <c r="N242" s="334">
        <v>257</v>
      </c>
      <c r="O242" s="334">
        <v>499</v>
      </c>
      <c r="P242" s="334">
        <v>233</v>
      </c>
      <c r="Q242" s="334">
        <v>238</v>
      </c>
      <c r="R242" s="334">
        <v>471</v>
      </c>
      <c r="S242" s="334" t="s">
        <v>1249</v>
      </c>
      <c r="T242" s="334" t="s">
        <v>1250</v>
      </c>
      <c r="U242" s="334">
        <v>558120.91</v>
      </c>
      <c r="V242" s="334">
        <v>2662327.2220000001</v>
      </c>
      <c r="W242" s="334"/>
      <c r="X242" s="341" t="s">
        <v>1251</v>
      </c>
      <c r="Y242" s="341" t="s">
        <v>1185</v>
      </c>
      <c r="Z242" s="338" t="s">
        <v>367</v>
      </c>
      <c r="AA242" s="350"/>
      <c r="AB242" s="350"/>
      <c r="AC242" s="350"/>
      <c r="AD242" s="351"/>
    </row>
    <row r="243" spans="1:30" x14ac:dyDescent="0.2">
      <c r="A243" s="321"/>
      <c r="B243" s="334"/>
      <c r="C243" s="334"/>
      <c r="D243" s="334"/>
      <c r="E243" s="334"/>
      <c r="F243" s="334">
        <v>389</v>
      </c>
      <c r="G243" s="334"/>
      <c r="H243" s="312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 t="s">
        <v>1252</v>
      </c>
      <c r="X243" s="325"/>
      <c r="Y243" s="325"/>
      <c r="Z243" s="338"/>
      <c r="AA243" s="350"/>
      <c r="AB243" s="350"/>
      <c r="AC243" s="350"/>
      <c r="AD243" s="351"/>
    </row>
    <row r="244" spans="1:30" x14ac:dyDescent="0.2">
      <c r="A244" s="327">
        <v>118</v>
      </c>
      <c r="B244" s="334" t="s">
        <v>859</v>
      </c>
      <c r="C244" s="334" t="s">
        <v>147</v>
      </c>
      <c r="D244" s="334" t="s">
        <v>19</v>
      </c>
      <c r="E244" s="334" t="s">
        <v>859</v>
      </c>
      <c r="F244" s="334"/>
      <c r="G244" s="334"/>
      <c r="H244" s="328">
        <f>H242+F243</f>
        <v>44876.705999999998</v>
      </c>
      <c r="I244" s="334">
        <v>435.35500000000002</v>
      </c>
      <c r="J244" s="334">
        <v>71</v>
      </c>
      <c r="K244" s="334">
        <f>F243+F245</f>
        <v>825</v>
      </c>
      <c r="L244" s="334">
        <f>K244/2</f>
        <v>412.5</v>
      </c>
      <c r="M244" s="334">
        <v>133</v>
      </c>
      <c r="N244" s="334">
        <v>206</v>
      </c>
      <c r="O244" s="334">
        <v>339</v>
      </c>
      <c r="P244" s="334">
        <v>152</v>
      </c>
      <c r="Q244" s="334">
        <v>210</v>
      </c>
      <c r="R244" s="334">
        <v>362</v>
      </c>
      <c r="S244" s="334" t="s">
        <v>1253</v>
      </c>
      <c r="T244" s="334" t="s">
        <v>1254</v>
      </c>
      <c r="U244" s="334">
        <v>558489.14899999998</v>
      </c>
      <c r="V244" s="334">
        <v>2662201.8390000002</v>
      </c>
      <c r="W244" s="334"/>
      <c r="X244" s="341" t="s">
        <v>1251</v>
      </c>
      <c r="Y244" s="341" t="s">
        <v>1185</v>
      </c>
      <c r="Z244" s="338" t="s">
        <v>367</v>
      </c>
      <c r="AA244" s="350"/>
      <c r="AB244" s="350"/>
      <c r="AC244" s="350"/>
      <c r="AD244" s="351"/>
    </row>
    <row r="245" spans="1:30" x14ac:dyDescent="0.2">
      <c r="A245" s="321"/>
      <c r="B245" s="334"/>
      <c r="C245" s="334"/>
      <c r="D245" s="334"/>
      <c r="E245" s="334"/>
      <c r="F245" s="334">
        <v>436</v>
      </c>
      <c r="G245" s="334"/>
      <c r="H245" s="312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 t="s">
        <v>1255</v>
      </c>
      <c r="X245" s="325"/>
      <c r="Y245" s="325"/>
      <c r="Z245" s="338"/>
      <c r="AA245" s="350"/>
      <c r="AB245" s="350"/>
      <c r="AC245" s="350"/>
      <c r="AD245" s="351"/>
    </row>
    <row r="246" spans="1:30" x14ac:dyDescent="0.2">
      <c r="A246" s="327">
        <v>119</v>
      </c>
      <c r="B246" s="334" t="s">
        <v>859</v>
      </c>
      <c r="C246" s="334" t="s">
        <v>148</v>
      </c>
      <c r="D246" s="334" t="s">
        <v>40</v>
      </c>
      <c r="E246" s="334" t="s">
        <v>859</v>
      </c>
      <c r="F246" s="334"/>
      <c r="G246" s="334"/>
      <c r="H246" s="328">
        <f>H244+F245</f>
        <v>45312.705999999998</v>
      </c>
      <c r="I246" s="334">
        <v>434.97</v>
      </c>
      <c r="J246" s="334">
        <v>74</v>
      </c>
      <c r="K246" s="334">
        <f>F245+F247</f>
        <v>816</v>
      </c>
      <c r="L246" s="334">
        <f>K246/2</f>
        <v>408</v>
      </c>
      <c r="M246" s="334">
        <v>231</v>
      </c>
      <c r="N246" s="334">
        <v>183</v>
      </c>
      <c r="O246" s="334">
        <v>414</v>
      </c>
      <c r="P246" s="334">
        <v>228</v>
      </c>
      <c r="Q246" s="334">
        <v>185</v>
      </c>
      <c r="R246" s="334">
        <v>413</v>
      </c>
      <c r="S246" s="334" t="s">
        <v>1256</v>
      </c>
      <c r="T246" s="334" t="s">
        <v>1257</v>
      </c>
      <c r="U246" s="334">
        <v>558901.87899999996</v>
      </c>
      <c r="V246" s="334">
        <v>2662061.3059999999</v>
      </c>
      <c r="W246" s="334"/>
      <c r="X246" s="341" t="s">
        <v>1251</v>
      </c>
      <c r="Y246" s="341" t="s">
        <v>1185</v>
      </c>
      <c r="Z246" s="338" t="s">
        <v>367</v>
      </c>
      <c r="AA246" s="350"/>
      <c r="AB246" s="350"/>
      <c r="AC246" s="350"/>
      <c r="AD246" s="351"/>
    </row>
    <row r="247" spans="1:30" x14ac:dyDescent="0.2">
      <c r="A247" s="321"/>
      <c r="B247" s="334"/>
      <c r="C247" s="334"/>
      <c r="D247" s="334"/>
      <c r="E247" s="334"/>
      <c r="F247" s="334">
        <v>380</v>
      </c>
      <c r="G247" s="334"/>
      <c r="H247" s="312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 t="s">
        <v>1258</v>
      </c>
      <c r="X247" s="325"/>
      <c r="Y247" s="325"/>
      <c r="Z247" s="338"/>
      <c r="AA247" s="350"/>
      <c r="AB247" s="350"/>
      <c r="AC247" s="350"/>
      <c r="AD247" s="351"/>
    </row>
    <row r="248" spans="1:30" x14ac:dyDescent="0.2">
      <c r="A248" s="327">
        <v>120</v>
      </c>
      <c r="B248" s="334" t="s">
        <v>859</v>
      </c>
      <c r="C248" s="334" t="s">
        <v>149</v>
      </c>
      <c r="D248" s="334" t="s">
        <v>36</v>
      </c>
      <c r="E248" s="334" t="s">
        <v>859</v>
      </c>
      <c r="F248" s="334"/>
      <c r="G248" s="334"/>
      <c r="H248" s="328">
        <f>H246+F247</f>
        <v>45692.705999999998</v>
      </c>
      <c r="I248" s="342">
        <v>437.85500000000002</v>
      </c>
      <c r="J248" s="334">
        <v>72.5</v>
      </c>
      <c r="K248" s="334">
        <f>F247+F249</f>
        <v>825</v>
      </c>
      <c r="L248" s="334">
        <f>K248/2</f>
        <v>412.5</v>
      </c>
      <c r="M248" s="334">
        <v>198</v>
      </c>
      <c r="N248" s="334">
        <v>154</v>
      </c>
      <c r="O248" s="334">
        <v>352</v>
      </c>
      <c r="P248" s="334">
        <v>196</v>
      </c>
      <c r="Q248" s="334">
        <v>175</v>
      </c>
      <c r="R248" s="334">
        <v>371</v>
      </c>
      <c r="S248" s="334" t="s">
        <v>1259</v>
      </c>
      <c r="T248" s="334" t="s">
        <v>1260</v>
      </c>
      <c r="U248" s="334">
        <v>559261.59900000005</v>
      </c>
      <c r="V248" s="334">
        <v>2661938.8229999999</v>
      </c>
      <c r="W248" s="334"/>
      <c r="X248" s="341" t="s">
        <v>1251</v>
      </c>
      <c r="Y248" s="341" t="s">
        <v>1185</v>
      </c>
      <c r="Z248" s="338" t="s">
        <v>367</v>
      </c>
      <c r="AA248" s="350"/>
      <c r="AB248" s="350"/>
      <c r="AC248" s="350"/>
      <c r="AD248" s="351"/>
    </row>
    <row r="249" spans="1:30" x14ac:dyDescent="0.2">
      <c r="A249" s="321"/>
      <c r="B249" s="334"/>
      <c r="C249" s="334"/>
      <c r="D249" s="334"/>
      <c r="E249" s="334"/>
      <c r="F249" s="334">
        <v>445</v>
      </c>
      <c r="G249" s="334"/>
      <c r="H249" s="312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 t="s">
        <v>1261</v>
      </c>
      <c r="X249" s="325"/>
      <c r="Y249" s="325"/>
      <c r="Z249" s="338"/>
      <c r="AA249" s="350"/>
      <c r="AB249" s="350"/>
      <c r="AC249" s="350"/>
      <c r="AD249" s="351"/>
    </row>
    <row r="250" spans="1:30" x14ac:dyDescent="0.2">
      <c r="A250" s="327">
        <v>121</v>
      </c>
      <c r="B250" s="334" t="s">
        <v>1262</v>
      </c>
      <c r="C250" s="334" t="s">
        <v>150</v>
      </c>
      <c r="D250" s="334" t="s">
        <v>151</v>
      </c>
      <c r="E250" s="334" t="s">
        <v>1263</v>
      </c>
      <c r="F250" s="334"/>
      <c r="G250" s="334">
        <f>SUM(F227:F249)</f>
        <v>4780</v>
      </c>
      <c r="H250" s="328">
        <f>H248+F249</f>
        <v>46137.705999999998</v>
      </c>
      <c r="I250" s="334">
        <v>434.42399999999998</v>
      </c>
      <c r="J250" s="334">
        <v>88.72</v>
      </c>
      <c r="K250" s="334">
        <f>F249+F251</f>
        <v>665</v>
      </c>
      <c r="L250" s="334">
        <f>K250/2</f>
        <v>332.5</v>
      </c>
      <c r="M250" s="334">
        <v>293</v>
      </c>
      <c r="N250" s="334">
        <v>140</v>
      </c>
      <c r="O250" s="334">
        <v>433</v>
      </c>
      <c r="P250" s="334">
        <v>272</v>
      </c>
      <c r="Q250" s="334">
        <v>123</v>
      </c>
      <c r="R250" s="334">
        <v>395</v>
      </c>
      <c r="S250" s="334" t="s">
        <v>1264</v>
      </c>
      <c r="T250" s="334" t="s">
        <v>1265</v>
      </c>
      <c r="U250" s="334">
        <v>559683.14800000004</v>
      </c>
      <c r="V250" s="334">
        <v>2661795.2880000002</v>
      </c>
      <c r="W250" s="334"/>
      <c r="X250" s="341" t="s">
        <v>1251</v>
      </c>
      <c r="Y250" s="341" t="s">
        <v>1185</v>
      </c>
      <c r="Z250" s="338" t="s">
        <v>367</v>
      </c>
      <c r="AA250" s="350"/>
      <c r="AB250" s="350"/>
      <c r="AC250" s="350"/>
      <c r="AD250" s="351"/>
    </row>
    <row r="251" spans="1:30" ht="25.5" x14ac:dyDescent="0.2">
      <c r="A251" s="321"/>
      <c r="B251" s="334"/>
      <c r="C251" s="334"/>
      <c r="D251" s="334"/>
      <c r="E251" s="334"/>
      <c r="F251" s="334">
        <v>220</v>
      </c>
      <c r="G251" s="334"/>
      <c r="H251" s="312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44" t="s">
        <v>1266</v>
      </c>
      <c r="X251" s="325"/>
      <c r="Y251" s="325"/>
      <c r="Z251" s="338"/>
      <c r="AA251" s="350"/>
      <c r="AB251" s="350"/>
      <c r="AC251" s="350"/>
      <c r="AD251" s="351"/>
    </row>
    <row r="252" spans="1:30" x14ac:dyDescent="0.2">
      <c r="A252" s="327">
        <v>122</v>
      </c>
      <c r="B252" s="334" t="s">
        <v>1267</v>
      </c>
      <c r="C252" s="334" t="s">
        <v>152</v>
      </c>
      <c r="D252" s="334" t="s">
        <v>153</v>
      </c>
      <c r="E252" s="334" t="s">
        <v>1268</v>
      </c>
      <c r="F252" s="334"/>
      <c r="G252" s="334">
        <f>F251</f>
        <v>220</v>
      </c>
      <c r="H252" s="328">
        <f>H250+F251</f>
        <v>46357.705999999998</v>
      </c>
      <c r="I252" s="334">
        <v>438.09100000000001</v>
      </c>
      <c r="J252" s="334">
        <v>82.72</v>
      </c>
      <c r="K252" s="334">
        <f>F251+F253</f>
        <v>655</v>
      </c>
      <c r="L252" s="334">
        <f>K252/2</f>
        <v>327.5</v>
      </c>
      <c r="M252" s="334">
        <v>80</v>
      </c>
      <c r="N252" s="334">
        <v>252</v>
      </c>
      <c r="O252" s="334">
        <v>332</v>
      </c>
      <c r="P252" s="334">
        <v>97</v>
      </c>
      <c r="Q252" s="334">
        <v>244</v>
      </c>
      <c r="R252" s="334">
        <v>341</v>
      </c>
      <c r="S252" s="334" t="s">
        <v>1269</v>
      </c>
      <c r="T252" s="334" t="s">
        <v>1270</v>
      </c>
      <c r="U252" s="334">
        <v>559871.04500000004</v>
      </c>
      <c r="V252" s="334">
        <v>2661681.2519999999</v>
      </c>
      <c r="W252" s="334"/>
      <c r="X252" s="341" t="s">
        <v>1251</v>
      </c>
      <c r="Y252" s="341" t="s">
        <v>1185</v>
      </c>
      <c r="Z252" s="338" t="s">
        <v>367</v>
      </c>
      <c r="AA252" s="350"/>
      <c r="AB252" s="350"/>
      <c r="AC252" s="350"/>
      <c r="AD252" s="351"/>
    </row>
    <row r="253" spans="1:30" x14ac:dyDescent="0.2">
      <c r="A253" s="321"/>
      <c r="B253" s="334"/>
      <c r="C253" s="334"/>
      <c r="D253" s="334"/>
      <c r="E253" s="334"/>
      <c r="F253" s="334">
        <v>435</v>
      </c>
      <c r="G253" s="334"/>
      <c r="H253" s="312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 t="s">
        <v>1271</v>
      </c>
      <c r="X253" s="325"/>
      <c r="Y253" s="325"/>
      <c r="Z253" s="338"/>
      <c r="AA253" s="350"/>
      <c r="AB253" s="350"/>
      <c r="AC253" s="350"/>
      <c r="AD253" s="351"/>
    </row>
    <row r="254" spans="1:30" x14ac:dyDescent="0.2">
      <c r="A254" s="327">
        <v>123</v>
      </c>
      <c r="B254" s="334" t="s">
        <v>859</v>
      </c>
      <c r="C254" s="334" t="s">
        <v>154</v>
      </c>
      <c r="D254" s="334" t="s">
        <v>40</v>
      </c>
      <c r="E254" s="334" t="s">
        <v>859</v>
      </c>
      <c r="F254" s="334"/>
      <c r="G254" s="334"/>
      <c r="H254" s="328">
        <f>H252+F253</f>
        <v>46792.705999999998</v>
      </c>
      <c r="I254" s="334">
        <v>440.005</v>
      </c>
      <c r="J254" s="334">
        <v>74</v>
      </c>
      <c r="K254" s="334">
        <f>F253+F255</f>
        <v>840</v>
      </c>
      <c r="L254" s="334">
        <f>K254/2</f>
        <v>420</v>
      </c>
      <c r="M254" s="334">
        <v>184</v>
      </c>
      <c r="N254" s="334">
        <v>187</v>
      </c>
      <c r="O254" s="334">
        <v>371</v>
      </c>
      <c r="P254" s="334">
        <v>193</v>
      </c>
      <c r="Q254" s="334">
        <v>191</v>
      </c>
      <c r="R254" s="334">
        <v>384</v>
      </c>
      <c r="S254" s="334" t="s">
        <v>1272</v>
      </c>
      <c r="T254" s="334" t="s">
        <v>1273</v>
      </c>
      <c r="U254" s="334">
        <v>560297.29799999995</v>
      </c>
      <c r="V254" s="334">
        <v>2661594.4559999998</v>
      </c>
      <c r="W254" s="334"/>
      <c r="X254" s="341" t="s">
        <v>1274</v>
      </c>
      <c r="Y254" s="341" t="s">
        <v>1185</v>
      </c>
      <c r="Z254" s="338" t="s">
        <v>367</v>
      </c>
      <c r="AA254" s="350"/>
      <c r="AB254" s="350"/>
      <c r="AC254" s="350"/>
      <c r="AD254" s="351"/>
    </row>
    <row r="255" spans="1:30" x14ac:dyDescent="0.2">
      <c r="A255" s="321"/>
      <c r="B255" s="334"/>
      <c r="C255" s="334"/>
      <c r="D255" s="334"/>
      <c r="E255" s="334"/>
      <c r="F255" s="334">
        <v>405</v>
      </c>
      <c r="G255" s="334"/>
      <c r="H255" s="312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 t="s">
        <v>1275</v>
      </c>
      <c r="X255" s="325"/>
      <c r="Y255" s="325"/>
      <c r="Z255" s="338"/>
      <c r="AA255" s="350"/>
      <c r="AB255" s="350"/>
      <c r="AC255" s="350"/>
      <c r="AD255" s="351"/>
    </row>
    <row r="256" spans="1:30" x14ac:dyDescent="0.2">
      <c r="A256" s="327">
        <v>124</v>
      </c>
      <c r="B256" s="334" t="s">
        <v>859</v>
      </c>
      <c r="C256" s="334" t="s">
        <v>155</v>
      </c>
      <c r="D256" s="334" t="s">
        <v>21</v>
      </c>
      <c r="E256" s="334" t="s">
        <v>859</v>
      </c>
      <c r="F256" s="334"/>
      <c r="G256" s="334"/>
      <c r="H256" s="328">
        <f>H254+F255</f>
        <v>47197.705999999998</v>
      </c>
      <c r="I256" s="334">
        <v>439.35399999999998</v>
      </c>
      <c r="J256" s="334">
        <v>78.5</v>
      </c>
      <c r="K256" s="334">
        <f>F255+F257</f>
        <v>839</v>
      </c>
      <c r="L256" s="334">
        <f>K256/2</f>
        <v>419.5</v>
      </c>
      <c r="M256" s="334">
        <v>219</v>
      </c>
      <c r="N256" s="334">
        <v>235</v>
      </c>
      <c r="O256" s="334">
        <v>454</v>
      </c>
      <c r="P256" s="334">
        <v>216</v>
      </c>
      <c r="Q256" s="334">
        <v>231</v>
      </c>
      <c r="R256" s="334">
        <v>447</v>
      </c>
      <c r="S256" s="334" t="s">
        <v>1276</v>
      </c>
      <c r="T256" s="334" t="s">
        <v>1277</v>
      </c>
      <c r="U256" s="334">
        <v>560694.15399999998</v>
      </c>
      <c r="V256" s="334">
        <v>2661513.645</v>
      </c>
      <c r="W256" s="334"/>
      <c r="X256" s="341" t="s">
        <v>1274</v>
      </c>
      <c r="Y256" s="341" t="s">
        <v>1185</v>
      </c>
      <c r="Z256" s="338" t="s">
        <v>367</v>
      </c>
      <c r="AA256" s="350"/>
      <c r="AB256" s="350"/>
      <c r="AC256" s="350"/>
      <c r="AD256" s="351"/>
    </row>
    <row r="257" spans="1:30" x14ac:dyDescent="0.2">
      <c r="A257" s="321"/>
      <c r="B257" s="334"/>
      <c r="C257" s="334"/>
      <c r="D257" s="334"/>
      <c r="E257" s="334"/>
      <c r="F257" s="334">
        <v>434</v>
      </c>
      <c r="G257" s="334"/>
      <c r="H257" s="312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 t="s">
        <v>1278</v>
      </c>
      <c r="X257" s="325"/>
      <c r="Y257" s="325"/>
      <c r="Z257" s="338"/>
      <c r="AA257" s="350"/>
      <c r="AB257" s="350"/>
      <c r="AC257" s="350"/>
      <c r="AD257" s="351"/>
    </row>
    <row r="258" spans="1:30" x14ac:dyDescent="0.2">
      <c r="A258" s="327">
        <v>125</v>
      </c>
      <c r="B258" s="334" t="s">
        <v>859</v>
      </c>
      <c r="C258" s="334" t="s">
        <v>156</v>
      </c>
      <c r="D258" s="334" t="s">
        <v>21</v>
      </c>
      <c r="E258" s="334" t="s">
        <v>859</v>
      </c>
      <c r="F258" s="334"/>
      <c r="G258" s="334"/>
      <c r="H258" s="328">
        <f>H256+F257</f>
        <v>47631.705999999998</v>
      </c>
      <c r="I258" s="334">
        <v>434.87099999999998</v>
      </c>
      <c r="J258" s="334">
        <v>78.5</v>
      </c>
      <c r="K258" s="334">
        <f>F257+F259</f>
        <v>814</v>
      </c>
      <c r="L258" s="334">
        <f>K258/2</f>
        <v>407</v>
      </c>
      <c r="M258" s="334">
        <v>200</v>
      </c>
      <c r="N258" s="334">
        <v>216</v>
      </c>
      <c r="O258" s="334">
        <v>416</v>
      </c>
      <c r="P258" s="334">
        <v>205</v>
      </c>
      <c r="Q258" s="334">
        <v>210</v>
      </c>
      <c r="R258" s="334">
        <v>415</v>
      </c>
      <c r="S258" s="334" t="s">
        <v>1279</v>
      </c>
      <c r="T258" s="334" t="s">
        <v>1280</v>
      </c>
      <c r="U258" s="334">
        <v>561119.42700000003</v>
      </c>
      <c r="V258" s="334">
        <v>2661427.0490000001</v>
      </c>
      <c r="W258" s="334"/>
      <c r="X258" s="341" t="s">
        <v>1274</v>
      </c>
      <c r="Y258" s="341" t="s">
        <v>1185</v>
      </c>
      <c r="Z258" s="338" t="s">
        <v>367</v>
      </c>
      <c r="AA258" s="350"/>
      <c r="AB258" s="350"/>
      <c r="AC258" s="350"/>
      <c r="AD258" s="351"/>
    </row>
    <row r="259" spans="1:30" x14ac:dyDescent="0.2">
      <c r="A259" s="321"/>
      <c r="B259" s="334"/>
      <c r="C259" s="334"/>
      <c r="D259" s="334"/>
      <c r="E259" s="334"/>
      <c r="F259" s="334">
        <v>380</v>
      </c>
      <c r="G259" s="334"/>
      <c r="H259" s="312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 t="s">
        <v>1281</v>
      </c>
      <c r="X259" s="325"/>
      <c r="Y259" s="325"/>
      <c r="Z259" s="338"/>
      <c r="AA259" s="350"/>
      <c r="AB259" s="350"/>
      <c r="AC259" s="350"/>
      <c r="AD259" s="351"/>
    </row>
    <row r="260" spans="1:30" x14ac:dyDescent="0.2">
      <c r="A260" s="327">
        <v>126</v>
      </c>
      <c r="B260" s="334" t="s">
        <v>859</v>
      </c>
      <c r="C260" s="334" t="s">
        <v>157</v>
      </c>
      <c r="D260" s="334" t="s">
        <v>28</v>
      </c>
      <c r="E260" s="334" t="s">
        <v>859</v>
      </c>
      <c r="F260" s="334"/>
      <c r="G260" s="334"/>
      <c r="H260" s="328">
        <f>H258+F259</f>
        <v>48011.705999999998</v>
      </c>
      <c r="I260" s="334">
        <v>438.149</v>
      </c>
      <c r="J260" s="334">
        <v>69.5</v>
      </c>
      <c r="K260" s="334">
        <f>F259+F261</f>
        <v>759</v>
      </c>
      <c r="L260" s="334">
        <f>K260/2</f>
        <v>379.5</v>
      </c>
      <c r="M260" s="334">
        <v>165</v>
      </c>
      <c r="N260" s="334">
        <v>121</v>
      </c>
      <c r="O260" s="334">
        <v>286</v>
      </c>
      <c r="P260" s="334">
        <v>171</v>
      </c>
      <c r="Q260" s="334">
        <v>138</v>
      </c>
      <c r="R260" s="334">
        <v>309</v>
      </c>
      <c r="S260" s="334" t="s">
        <v>1282</v>
      </c>
      <c r="T260" s="334" t="s">
        <v>1283</v>
      </c>
      <c r="U260" s="334">
        <v>561491.78500000003</v>
      </c>
      <c r="V260" s="334">
        <v>2661351.227</v>
      </c>
      <c r="W260" s="334"/>
      <c r="X260" s="341" t="s">
        <v>1274</v>
      </c>
      <c r="Y260" s="341" t="s">
        <v>1185</v>
      </c>
      <c r="Z260" s="338" t="s">
        <v>367</v>
      </c>
      <c r="AA260" s="350"/>
      <c r="AB260" s="350"/>
      <c r="AC260" s="350"/>
      <c r="AD260" s="351"/>
    </row>
    <row r="261" spans="1:30" x14ac:dyDescent="0.2">
      <c r="A261" s="321"/>
      <c r="B261" s="334"/>
      <c r="C261" s="334"/>
      <c r="D261" s="334"/>
      <c r="E261" s="334"/>
      <c r="F261" s="334">
        <v>379</v>
      </c>
      <c r="G261" s="334"/>
      <c r="H261" s="312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25"/>
      <c r="Y261" s="325"/>
      <c r="Z261" s="338"/>
      <c r="AA261" s="350"/>
      <c r="AB261" s="350"/>
      <c r="AC261" s="350"/>
      <c r="AD261" s="351"/>
    </row>
    <row r="262" spans="1:30" x14ac:dyDescent="0.2">
      <c r="A262" s="327">
        <v>127</v>
      </c>
      <c r="B262" s="334" t="s">
        <v>1284</v>
      </c>
      <c r="C262" s="334" t="s">
        <v>158</v>
      </c>
      <c r="D262" s="334" t="s">
        <v>159</v>
      </c>
      <c r="E262" s="334" t="s">
        <v>1285</v>
      </c>
      <c r="F262" s="334"/>
      <c r="G262" s="334">
        <f>SUM(F253:F261)</f>
        <v>2033</v>
      </c>
      <c r="H262" s="328">
        <f>H260+F261</f>
        <v>48390.705999999998</v>
      </c>
      <c r="I262" s="334">
        <v>441.41800000000001</v>
      </c>
      <c r="J262" s="334">
        <v>79.72</v>
      </c>
      <c r="K262" s="334">
        <f>F261+F263</f>
        <v>870</v>
      </c>
      <c r="L262" s="334">
        <f>K262/2</f>
        <v>435</v>
      </c>
      <c r="M262" s="334">
        <v>259</v>
      </c>
      <c r="N262" s="334">
        <v>268</v>
      </c>
      <c r="O262" s="334">
        <v>527</v>
      </c>
      <c r="P262" s="334">
        <v>243</v>
      </c>
      <c r="Q262" s="334">
        <v>264</v>
      </c>
      <c r="R262" s="334">
        <v>507</v>
      </c>
      <c r="S262" s="334" t="s">
        <v>1286</v>
      </c>
      <c r="T262" s="334" t="s">
        <v>1287</v>
      </c>
      <c r="U262" s="334">
        <v>561863.01699999999</v>
      </c>
      <c r="V262" s="334">
        <v>2661275.6340000001</v>
      </c>
      <c r="W262" s="334"/>
      <c r="X262" s="341" t="s">
        <v>1288</v>
      </c>
      <c r="Y262" s="341" t="s">
        <v>1185</v>
      </c>
      <c r="Z262" s="338" t="s">
        <v>367</v>
      </c>
      <c r="AA262" s="350"/>
      <c r="AB262" s="350"/>
      <c r="AC262" s="350"/>
      <c r="AD262" s="351"/>
    </row>
    <row r="263" spans="1:30" x14ac:dyDescent="0.2">
      <c r="A263" s="321"/>
      <c r="B263" s="334"/>
      <c r="C263" s="334"/>
      <c r="D263" s="334"/>
      <c r="E263" s="334"/>
      <c r="F263" s="334">
        <v>491</v>
      </c>
      <c r="G263" s="334"/>
      <c r="H263" s="312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 t="s">
        <v>1289</v>
      </c>
      <c r="X263" s="325"/>
      <c r="Y263" s="325"/>
      <c r="Z263" s="338"/>
      <c r="AA263" s="350"/>
      <c r="AB263" s="350"/>
      <c r="AC263" s="350"/>
      <c r="AD263" s="351"/>
    </row>
    <row r="264" spans="1:30" x14ac:dyDescent="0.2">
      <c r="A264" s="327">
        <v>128</v>
      </c>
      <c r="B264" s="334" t="s">
        <v>859</v>
      </c>
      <c r="C264" s="334" t="s">
        <v>160</v>
      </c>
      <c r="D264" s="334" t="s">
        <v>161</v>
      </c>
      <c r="E264" s="334" t="s">
        <v>859</v>
      </c>
      <c r="F264" s="334"/>
      <c r="G264" s="334">
        <f>F263</f>
        <v>491</v>
      </c>
      <c r="H264" s="328">
        <f>H262+F263</f>
        <v>48881.705999999998</v>
      </c>
      <c r="I264" s="334">
        <v>435.38299999999998</v>
      </c>
      <c r="J264" s="334">
        <v>79.72</v>
      </c>
      <c r="K264" s="334">
        <f>F263+F265</f>
        <v>942</v>
      </c>
      <c r="L264" s="334">
        <f>K264/2</f>
        <v>471</v>
      </c>
      <c r="M264" s="334">
        <v>225</v>
      </c>
      <c r="N264" s="334">
        <v>256</v>
      </c>
      <c r="O264" s="334">
        <v>481</v>
      </c>
      <c r="P264" s="334">
        <v>229</v>
      </c>
      <c r="Q264" s="334">
        <v>247</v>
      </c>
      <c r="R264" s="334">
        <v>476</v>
      </c>
      <c r="S264" s="334" t="s">
        <v>1290</v>
      </c>
      <c r="T264" s="334" t="s">
        <v>1291</v>
      </c>
      <c r="U264" s="334">
        <v>562308.58200000005</v>
      </c>
      <c r="V264" s="334">
        <v>2661069.3509999998</v>
      </c>
      <c r="W264" s="334"/>
      <c r="X264" s="341" t="s">
        <v>1288</v>
      </c>
      <c r="Y264" s="341" t="s">
        <v>1185</v>
      </c>
      <c r="Z264" s="338" t="s">
        <v>367</v>
      </c>
      <c r="AA264" s="350"/>
      <c r="AB264" s="350"/>
      <c r="AC264" s="350"/>
      <c r="AD264" s="351"/>
    </row>
    <row r="265" spans="1:30" x14ac:dyDescent="0.2">
      <c r="A265" s="321"/>
      <c r="B265" s="334"/>
      <c r="C265" s="334"/>
      <c r="D265" s="334"/>
      <c r="E265" s="334"/>
      <c r="F265" s="334">
        <v>451</v>
      </c>
      <c r="G265" s="334"/>
      <c r="H265" s="312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 t="s">
        <v>1292</v>
      </c>
      <c r="X265" s="325"/>
      <c r="Y265" s="325"/>
      <c r="Z265" s="338"/>
      <c r="AA265" s="350"/>
      <c r="AB265" s="350"/>
      <c r="AC265" s="350"/>
      <c r="AD265" s="351"/>
    </row>
    <row r="266" spans="1:30" x14ac:dyDescent="0.2">
      <c r="A266" s="327">
        <v>129</v>
      </c>
      <c r="B266" s="334" t="s">
        <v>859</v>
      </c>
      <c r="C266" s="334" t="s">
        <v>162</v>
      </c>
      <c r="D266" s="334" t="s">
        <v>36</v>
      </c>
      <c r="E266" s="334" t="s">
        <v>859</v>
      </c>
      <c r="F266" s="334"/>
      <c r="G266" s="334"/>
      <c r="H266" s="328">
        <f>H264+F265</f>
        <v>49332.705999999998</v>
      </c>
      <c r="I266" s="342">
        <v>438.024</v>
      </c>
      <c r="J266" s="334">
        <v>72.5</v>
      </c>
      <c r="K266" s="334">
        <f>F265+F267</f>
        <v>827</v>
      </c>
      <c r="L266" s="334">
        <f>K266/2</f>
        <v>413.5</v>
      </c>
      <c r="M266" s="334">
        <v>195</v>
      </c>
      <c r="N266" s="334">
        <v>171</v>
      </c>
      <c r="O266" s="334">
        <v>366</v>
      </c>
      <c r="P266" s="334">
        <v>206</v>
      </c>
      <c r="Q266" s="334">
        <v>177</v>
      </c>
      <c r="R266" s="334">
        <v>383</v>
      </c>
      <c r="S266" s="334" t="s">
        <v>1293</v>
      </c>
      <c r="T266" s="334" t="s">
        <v>1294</v>
      </c>
      <c r="U266" s="334">
        <v>562717.84900000005</v>
      </c>
      <c r="V266" s="334">
        <v>2660879.8739999998</v>
      </c>
      <c r="W266" s="334"/>
      <c r="X266" s="341" t="s">
        <v>1288</v>
      </c>
      <c r="Y266" s="341" t="s">
        <v>1185</v>
      </c>
      <c r="Z266" s="338" t="s">
        <v>367</v>
      </c>
      <c r="AA266" s="350"/>
      <c r="AB266" s="350"/>
      <c r="AC266" s="350"/>
      <c r="AD266" s="351"/>
    </row>
    <row r="267" spans="1:30" ht="38.25" x14ac:dyDescent="0.2">
      <c r="A267" s="321"/>
      <c r="B267" s="334"/>
      <c r="C267" s="334"/>
      <c r="D267" s="334"/>
      <c r="E267" s="334"/>
      <c r="F267" s="334">
        <v>376</v>
      </c>
      <c r="G267" s="334"/>
      <c r="H267" s="312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 t="s">
        <v>1295</v>
      </c>
      <c r="X267" s="325"/>
      <c r="Y267" s="325"/>
      <c r="Z267" s="338"/>
      <c r="AA267" s="350"/>
      <c r="AB267" s="350"/>
      <c r="AC267" s="350"/>
      <c r="AD267" s="351"/>
    </row>
    <row r="268" spans="1:30" x14ac:dyDescent="0.2">
      <c r="A268" s="327">
        <v>130</v>
      </c>
      <c r="B268" s="334" t="s">
        <v>859</v>
      </c>
      <c r="C268" s="334" t="s">
        <v>163</v>
      </c>
      <c r="D268" s="334" t="s">
        <v>40</v>
      </c>
      <c r="E268" s="334" t="s">
        <v>859</v>
      </c>
      <c r="F268" s="334"/>
      <c r="G268" s="334"/>
      <c r="H268" s="328">
        <f>H266+F267</f>
        <v>49708.705999999998</v>
      </c>
      <c r="I268" s="334">
        <v>439.55799999999999</v>
      </c>
      <c r="J268" s="334">
        <v>74</v>
      </c>
      <c r="K268" s="334">
        <f>F267+F269</f>
        <v>756</v>
      </c>
      <c r="L268" s="334">
        <f>K268/2</f>
        <v>378</v>
      </c>
      <c r="M268" s="334">
        <v>206</v>
      </c>
      <c r="N268" s="334">
        <v>202</v>
      </c>
      <c r="O268" s="334">
        <v>408</v>
      </c>
      <c r="P268" s="334">
        <v>200</v>
      </c>
      <c r="Q268" s="334">
        <v>199</v>
      </c>
      <c r="R268" s="334">
        <v>399</v>
      </c>
      <c r="S268" s="334" t="s">
        <v>1296</v>
      </c>
      <c r="T268" s="334" t="s">
        <v>1297</v>
      </c>
      <c r="U268" s="334">
        <v>563059.05599999998</v>
      </c>
      <c r="V268" s="334">
        <v>2660721.906</v>
      </c>
      <c r="W268" s="334"/>
      <c r="X268" s="341" t="s">
        <v>1288</v>
      </c>
      <c r="Y268" s="341" t="s">
        <v>1185</v>
      </c>
      <c r="Z268" s="338" t="s">
        <v>367</v>
      </c>
      <c r="AA268" s="350"/>
      <c r="AB268" s="350"/>
      <c r="AC268" s="350"/>
      <c r="AD268" s="351"/>
    </row>
    <row r="269" spans="1:30" ht="25.5" x14ac:dyDescent="0.2">
      <c r="A269" s="321"/>
      <c r="B269" s="334"/>
      <c r="C269" s="334"/>
      <c r="D269" s="334"/>
      <c r="E269" s="334"/>
      <c r="F269" s="334">
        <v>380</v>
      </c>
      <c r="G269" s="334"/>
      <c r="H269" s="312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 t="s">
        <v>1298</v>
      </c>
      <c r="X269" s="325"/>
      <c r="Y269" s="325"/>
      <c r="Z269" s="338"/>
      <c r="AA269" s="350"/>
      <c r="AB269" s="350"/>
      <c r="AC269" s="350"/>
      <c r="AD269" s="351"/>
    </row>
    <row r="270" spans="1:30" x14ac:dyDescent="0.2">
      <c r="A270" s="327">
        <v>131</v>
      </c>
      <c r="B270" s="334" t="s">
        <v>859</v>
      </c>
      <c r="C270" s="334" t="s">
        <v>164</v>
      </c>
      <c r="D270" s="334" t="s">
        <v>28</v>
      </c>
      <c r="E270" s="334" t="s">
        <v>859</v>
      </c>
      <c r="F270" s="334"/>
      <c r="G270" s="334"/>
      <c r="H270" s="328">
        <f>H268+F269</f>
        <v>50088.705999999998</v>
      </c>
      <c r="I270" s="334">
        <v>441.94</v>
      </c>
      <c r="J270" s="334">
        <v>69.5</v>
      </c>
      <c r="K270" s="334">
        <f>F269+F271</f>
        <v>732</v>
      </c>
      <c r="L270" s="334">
        <f>K270/2</f>
        <v>366</v>
      </c>
      <c r="M270" s="334">
        <v>178</v>
      </c>
      <c r="N270" s="334">
        <v>159</v>
      </c>
      <c r="O270" s="334">
        <v>337</v>
      </c>
      <c r="P270" s="334">
        <v>182</v>
      </c>
      <c r="Q270" s="334">
        <v>163</v>
      </c>
      <c r="R270" s="334">
        <v>345</v>
      </c>
      <c r="S270" s="334" t="s">
        <v>1299</v>
      </c>
      <c r="T270" s="334" t="s">
        <v>1300</v>
      </c>
      <c r="U270" s="334">
        <v>563403.89300000004</v>
      </c>
      <c r="V270" s="334">
        <v>2660562.2570000002</v>
      </c>
      <c r="W270" s="334"/>
      <c r="X270" s="341" t="s">
        <v>1288</v>
      </c>
      <c r="Y270" s="341" t="s">
        <v>1185</v>
      </c>
      <c r="Z270" s="338" t="s">
        <v>367</v>
      </c>
      <c r="AA270" s="350"/>
      <c r="AB270" s="350"/>
      <c r="AC270" s="350"/>
      <c r="AD270" s="351"/>
    </row>
    <row r="271" spans="1:30" x14ac:dyDescent="0.2">
      <c r="A271" s="321"/>
      <c r="B271" s="334"/>
      <c r="C271" s="334"/>
      <c r="D271" s="334"/>
      <c r="E271" s="334"/>
      <c r="F271" s="334">
        <v>352</v>
      </c>
      <c r="G271" s="334"/>
      <c r="H271" s="312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 t="s">
        <v>1301</v>
      </c>
      <c r="X271" s="325"/>
      <c r="Y271" s="325"/>
      <c r="Z271" s="338"/>
      <c r="AA271" s="350"/>
      <c r="AB271" s="350"/>
      <c r="AC271" s="350"/>
      <c r="AD271" s="351"/>
    </row>
    <row r="272" spans="1:30" x14ac:dyDescent="0.2">
      <c r="A272" s="327">
        <v>132</v>
      </c>
      <c r="B272" s="334" t="s">
        <v>859</v>
      </c>
      <c r="C272" s="334" t="s">
        <v>165</v>
      </c>
      <c r="D272" s="334" t="s">
        <v>19</v>
      </c>
      <c r="E272" s="334" t="s">
        <v>859</v>
      </c>
      <c r="F272" s="334"/>
      <c r="G272" s="334"/>
      <c r="H272" s="328">
        <f>H270+F271</f>
        <v>50440.705999999998</v>
      </c>
      <c r="I272" s="334">
        <v>443.32299999999998</v>
      </c>
      <c r="J272" s="334">
        <v>71</v>
      </c>
      <c r="K272" s="334">
        <f>F271+F273</f>
        <v>713</v>
      </c>
      <c r="L272" s="334">
        <f>K272/2</f>
        <v>356.5</v>
      </c>
      <c r="M272" s="334">
        <v>193</v>
      </c>
      <c r="N272" s="334">
        <v>122</v>
      </c>
      <c r="O272" s="334">
        <v>315</v>
      </c>
      <c r="P272" s="334">
        <v>189</v>
      </c>
      <c r="Q272" s="334">
        <v>137</v>
      </c>
      <c r="R272" s="334">
        <v>326</v>
      </c>
      <c r="S272" s="334" t="s">
        <v>1302</v>
      </c>
      <c r="T272" s="334" t="s">
        <v>1303</v>
      </c>
      <c r="U272" s="334">
        <v>563723.31999999995</v>
      </c>
      <c r="V272" s="334">
        <v>2660414.37</v>
      </c>
      <c r="W272" s="334"/>
      <c r="X272" s="341" t="s">
        <v>1288</v>
      </c>
      <c r="Y272" s="341" t="s">
        <v>1185</v>
      </c>
      <c r="Z272" s="338" t="s">
        <v>367</v>
      </c>
      <c r="AA272" s="350"/>
      <c r="AB272" s="350"/>
      <c r="AC272" s="350"/>
      <c r="AD272" s="351"/>
    </row>
    <row r="273" spans="1:30" ht="25.5" x14ac:dyDescent="0.2">
      <c r="A273" s="321"/>
      <c r="B273" s="334"/>
      <c r="C273" s="334"/>
      <c r="D273" s="334"/>
      <c r="E273" s="334"/>
      <c r="F273" s="334">
        <v>361</v>
      </c>
      <c r="G273" s="334"/>
      <c r="H273" s="312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 t="s">
        <v>1304</v>
      </c>
      <c r="X273" s="325"/>
      <c r="Y273" s="325"/>
      <c r="Z273" s="338"/>
      <c r="AA273" s="350"/>
      <c r="AB273" s="350"/>
      <c r="AC273" s="350"/>
      <c r="AD273" s="351"/>
    </row>
    <row r="274" spans="1:30" x14ac:dyDescent="0.2">
      <c r="A274" s="327">
        <v>133</v>
      </c>
      <c r="B274" s="355" t="s">
        <v>1305</v>
      </c>
      <c r="C274" s="355" t="s">
        <v>166</v>
      </c>
      <c r="D274" s="355" t="s">
        <v>167</v>
      </c>
      <c r="E274" s="355" t="s">
        <v>1306</v>
      </c>
      <c r="F274" s="356"/>
      <c r="G274" s="357">
        <f>SUM(F265:F273)</f>
        <v>1920</v>
      </c>
      <c r="H274" s="328">
        <f>H272+F273</f>
        <v>50801.705999999998</v>
      </c>
      <c r="I274" s="358">
        <v>445.74700000000001</v>
      </c>
      <c r="J274" s="358">
        <v>76.72</v>
      </c>
      <c r="K274" s="359">
        <f>F273+F275</f>
        <v>613</v>
      </c>
      <c r="L274" s="360">
        <f>K274/2</f>
        <v>306.5</v>
      </c>
      <c r="M274" s="355">
        <v>241</v>
      </c>
      <c r="N274" s="355">
        <v>-28</v>
      </c>
      <c r="O274" s="355">
        <v>213</v>
      </c>
      <c r="P274" s="355">
        <v>222</v>
      </c>
      <c r="Q274" s="355">
        <v>53</v>
      </c>
      <c r="R274" s="355">
        <v>275</v>
      </c>
      <c r="S274" s="355" t="s">
        <v>1307</v>
      </c>
      <c r="T274" s="355" t="s">
        <v>1308</v>
      </c>
      <c r="U274" s="358">
        <v>564050.78099999996</v>
      </c>
      <c r="V274" s="358">
        <v>2660262.7680000002</v>
      </c>
      <c r="W274" s="361"/>
      <c r="X274" s="341" t="s">
        <v>1288</v>
      </c>
      <c r="Y274" s="341" t="s">
        <v>1185</v>
      </c>
      <c r="Z274" s="338" t="s">
        <v>367</v>
      </c>
      <c r="AA274" s="350"/>
      <c r="AB274" s="350"/>
      <c r="AC274" s="350"/>
      <c r="AD274" s="351"/>
    </row>
    <row r="275" spans="1:30" ht="25.5" x14ac:dyDescent="0.2">
      <c r="A275" s="321"/>
      <c r="B275" s="355"/>
      <c r="C275" s="355"/>
      <c r="D275" s="355"/>
      <c r="E275" s="355"/>
      <c r="F275" s="362">
        <v>252</v>
      </c>
      <c r="G275" s="363"/>
      <c r="H275" s="312"/>
      <c r="I275" s="358"/>
      <c r="J275" s="358"/>
      <c r="K275" s="359"/>
      <c r="L275" s="360"/>
      <c r="M275" s="355"/>
      <c r="N275" s="355"/>
      <c r="O275" s="355"/>
      <c r="P275" s="355"/>
      <c r="Q275" s="355"/>
      <c r="R275" s="355"/>
      <c r="S275" s="355"/>
      <c r="T275" s="355"/>
      <c r="U275" s="358"/>
      <c r="V275" s="358"/>
      <c r="W275" s="344" t="s">
        <v>1309</v>
      </c>
      <c r="X275" s="325"/>
      <c r="Y275" s="325"/>
      <c r="Z275" s="338"/>
      <c r="AA275" s="350"/>
      <c r="AB275" s="350"/>
      <c r="AC275" s="350"/>
      <c r="AD275" s="351"/>
    </row>
    <row r="276" spans="1:30" x14ac:dyDescent="0.2">
      <c r="A276" s="327">
        <v>134</v>
      </c>
      <c r="B276" s="355" t="s">
        <v>1310</v>
      </c>
      <c r="C276" s="355" t="s">
        <v>168</v>
      </c>
      <c r="D276" s="355" t="s">
        <v>169</v>
      </c>
      <c r="E276" s="355" t="s">
        <v>1311</v>
      </c>
      <c r="F276" s="362"/>
      <c r="G276" s="357">
        <f>F275</f>
        <v>252</v>
      </c>
      <c r="H276" s="328">
        <f>H274+F275</f>
        <v>51053.705999999998</v>
      </c>
      <c r="I276" s="358">
        <v>448.05799999999999</v>
      </c>
      <c r="J276" s="358">
        <v>88.72</v>
      </c>
      <c r="K276" s="359">
        <f>F275+F277</f>
        <v>646</v>
      </c>
      <c r="L276" s="360">
        <f>K276/2</f>
        <v>323</v>
      </c>
      <c r="M276" s="355">
        <v>281</v>
      </c>
      <c r="N276" s="355">
        <v>265</v>
      </c>
      <c r="O276" s="355">
        <v>546</v>
      </c>
      <c r="P276" s="355">
        <v>199</v>
      </c>
      <c r="Q276" s="355">
        <v>244</v>
      </c>
      <c r="R276" s="355">
        <v>443</v>
      </c>
      <c r="S276" s="355" t="s">
        <v>1312</v>
      </c>
      <c r="T276" s="355" t="s">
        <v>1313</v>
      </c>
      <c r="U276" s="358">
        <v>564150.63199999998</v>
      </c>
      <c r="V276" s="358">
        <v>2660031.4900000002</v>
      </c>
      <c r="W276" s="361"/>
      <c r="X276" s="341" t="s">
        <v>1288</v>
      </c>
      <c r="Y276" s="341" t="s">
        <v>1185</v>
      </c>
      <c r="Z276" s="338" t="s">
        <v>367</v>
      </c>
      <c r="AA276" s="350"/>
      <c r="AB276" s="350"/>
      <c r="AC276" s="350"/>
      <c r="AD276" s="351"/>
    </row>
    <row r="277" spans="1:30" x14ac:dyDescent="0.2">
      <c r="A277" s="321"/>
      <c r="B277" s="355"/>
      <c r="C277" s="355"/>
      <c r="D277" s="355"/>
      <c r="E277" s="355"/>
      <c r="F277" s="362">
        <v>394</v>
      </c>
      <c r="G277" s="363"/>
      <c r="H277" s="312"/>
      <c r="I277" s="358"/>
      <c r="J277" s="358"/>
      <c r="K277" s="359"/>
      <c r="L277" s="360"/>
      <c r="M277" s="355"/>
      <c r="N277" s="355"/>
      <c r="O277" s="355"/>
      <c r="P277" s="355"/>
      <c r="Q277" s="355"/>
      <c r="R277" s="355"/>
      <c r="S277" s="355"/>
      <c r="T277" s="355"/>
      <c r="U277" s="358"/>
      <c r="V277" s="358"/>
      <c r="W277" s="337" t="s">
        <v>1314</v>
      </c>
      <c r="X277" s="325"/>
      <c r="Y277" s="325"/>
      <c r="Z277" s="338"/>
      <c r="AA277" s="350"/>
      <c r="AB277" s="350"/>
      <c r="AC277" s="350"/>
      <c r="AD277" s="351"/>
    </row>
    <row r="278" spans="1:30" x14ac:dyDescent="0.2">
      <c r="A278" s="327">
        <v>135</v>
      </c>
      <c r="B278" s="355" t="s">
        <v>859</v>
      </c>
      <c r="C278" s="355" t="s">
        <v>170</v>
      </c>
      <c r="D278" s="355" t="s">
        <v>40</v>
      </c>
      <c r="E278" s="355" t="s">
        <v>859</v>
      </c>
      <c r="F278" s="362"/>
      <c r="G278" s="363"/>
      <c r="H278" s="328">
        <f>H276+F277</f>
        <v>51447.705999999998</v>
      </c>
      <c r="I278" s="358">
        <v>452.24200000000002</v>
      </c>
      <c r="J278" s="334">
        <v>74</v>
      </c>
      <c r="K278" s="359">
        <f>F277+F279</f>
        <v>783</v>
      </c>
      <c r="L278" s="360">
        <f>K278/2</f>
        <v>391.5</v>
      </c>
      <c r="M278" s="355">
        <v>130</v>
      </c>
      <c r="N278" s="355">
        <v>180</v>
      </c>
      <c r="O278" s="355">
        <v>310</v>
      </c>
      <c r="P278" s="355">
        <v>152</v>
      </c>
      <c r="Q278" s="355">
        <v>185</v>
      </c>
      <c r="R278" s="355">
        <v>337</v>
      </c>
      <c r="S278" s="355" t="s">
        <v>1315</v>
      </c>
      <c r="T278" s="355" t="s">
        <v>1316</v>
      </c>
      <c r="U278" s="358">
        <v>564484.75600000005</v>
      </c>
      <c r="V278" s="358">
        <v>2659822.69</v>
      </c>
      <c r="W278" s="361"/>
      <c r="X278" s="341" t="s">
        <v>1288</v>
      </c>
      <c r="Y278" s="341" t="s">
        <v>1185</v>
      </c>
      <c r="Z278" s="338" t="s">
        <v>367</v>
      </c>
      <c r="AA278" s="350"/>
      <c r="AB278" s="350"/>
      <c r="AC278" s="350"/>
      <c r="AD278" s="351"/>
    </row>
    <row r="279" spans="1:30" ht="25.5" x14ac:dyDescent="0.2">
      <c r="A279" s="321"/>
      <c r="B279" s="355"/>
      <c r="C279" s="355"/>
      <c r="D279" s="355"/>
      <c r="E279" s="355"/>
      <c r="F279" s="362">
        <v>389</v>
      </c>
      <c r="G279" s="363"/>
      <c r="H279" s="312"/>
      <c r="I279" s="358"/>
      <c r="J279" s="358"/>
      <c r="K279" s="359"/>
      <c r="L279" s="360"/>
      <c r="M279" s="355"/>
      <c r="N279" s="355"/>
      <c r="O279" s="355"/>
      <c r="P279" s="355"/>
      <c r="Q279" s="355"/>
      <c r="R279" s="355"/>
      <c r="S279" s="355"/>
      <c r="T279" s="355"/>
      <c r="U279" s="358"/>
      <c r="V279" s="358"/>
      <c r="W279" s="337" t="s">
        <v>1317</v>
      </c>
      <c r="X279" s="325"/>
      <c r="Y279" s="325"/>
      <c r="Z279" s="338"/>
      <c r="AA279" s="350"/>
      <c r="AB279" s="350"/>
      <c r="AC279" s="350"/>
      <c r="AD279" s="351"/>
    </row>
    <row r="280" spans="1:30" x14ac:dyDescent="0.2">
      <c r="A280" s="327">
        <v>136</v>
      </c>
      <c r="B280" s="355" t="s">
        <v>859</v>
      </c>
      <c r="C280" s="355" t="s">
        <v>171</v>
      </c>
      <c r="D280" s="355" t="s">
        <v>40</v>
      </c>
      <c r="E280" s="355" t="s">
        <v>859</v>
      </c>
      <c r="F280" s="362"/>
      <c r="G280" s="363"/>
      <c r="H280" s="328">
        <f>H278+F279</f>
        <v>51836.705999999998</v>
      </c>
      <c r="I280" s="358">
        <v>454.84199999999998</v>
      </c>
      <c r="J280" s="334">
        <v>74</v>
      </c>
      <c r="K280" s="359">
        <f>F279+F281</f>
        <v>788</v>
      </c>
      <c r="L280" s="360">
        <f>K280/2</f>
        <v>394</v>
      </c>
      <c r="M280" s="355">
        <v>209</v>
      </c>
      <c r="N280" s="355">
        <v>220</v>
      </c>
      <c r="O280" s="355">
        <v>429</v>
      </c>
      <c r="P280" s="355">
        <v>205</v>
      </c>
      <c r="Q280" s="355">
        <v>214</v>
      </c>
      <c r="R280" s="355">
        <v>419</v>
      </c>
      <c r="S280" s="355" t="s">
        <v>1318</v>
      </c>
      <c r="T280" s="355" t="s">
        <v>1319</v>
      </c>
      <c r="U280" s="358">
        <v>564814.63899999997</v>
      </c>
      <c r="V280" s="358">
        <v>2659616.54</v>
      </c>
      <c r="W280" s="361"/>
      <c r="X280" s="341" t="s">
        <v>1320</v>
      </c>
      <c r="Y280" s="341" t="s">
        <v>1185</v>
      </c>
      <c r="Z280" s="338" t="s">
        <v>367</v>
      </c>
      <c r="AA280" s="350"/>
      <c r="AB280" s="350"/>
      <c r="AC280" s="350"/>
      <c r="AD280" s="351"/>
    </row>
    <row r="281" spans="1:30" ht="25.5" x14ac:dyDescent="0.2">
      <c r="A281" s="321"/>
      <c r="B281" s="355"/>
      <c r="C281" s="355"/>
      <c r="D281" s="355"/>
      <c r="E281" s="355"/>
      <c r="F281" s="362">
        <v>399</v>
      </c>
      <c r="G281" s="363"/>
      <c r="H281" s="312"/>
      <c r="I281" s="358"/>
      <c r="J281" s="358"/>
      <c r="K281" s="359"/>
      <c r="L281" s="360"/>
      <c r="M281" s="355"/>
      <c r="N281" s="355"/>
      <c r="O281" s="355"/>
      <c r="P281" s="355"/>
      <c r="Q281" s="355"/>
      <c r="R281" s="355"/>
      <c r="S281" s="355"/>
      <c r="T281" s="355"/>
      <c r="U281" s="358"/>
      <c r="V281" s="358"/>
      <c r="W281" s="337" t="s">
        <v>1321</v>
      </c>
      <c r="X281" s="325"/>
      <c r="Y281" s="325"/>
      <c r="Z281" s="338"/>
      <c r="AA281" s="350"/>
      <c r="AB281" s="350"/>
      <c r="AC281" s="350"/>
      <c r="AD281" s="351"/>
    </row>
    <row r="282" spans="1:30" x14ac:dyDescent="0.2">
      <c r="A282" s="327">
        <v>137</v>
      </c>
      <c r="B282" s="355" t="s">
        <v>1322</v>
      </c>
      <c r="C282" s="355" t="s">
        <v>172</v>
      </c>
      <c r="D282" s="355" t="s">
        <v>23</v>
      </c>
      <c r="E282" s="355" t="s">
        <v>1323</v>
      </c>
      <c r="F282" s="362"/>
      <c r="G282" s="357">
        <f>SUM(F277:F281)</f>
        <v>1182</v>
      </c>
      <c r="H282" s="328">
        <f>H280+F281</f>
        <v>52235.705999999998</v>
      </c>
      <c r="I282" s="358">
        <v>452.57</v>
      </c>
      <c r="J282" s="343">
        <v>70.72</v>
      </c>
      <c r="K282" s="359">
        <f>F281+F283</f>
        <v>791</v>
      </c>
      <c r="L282" s="360">
        <f>K282/2</f>
        <v>395.5</v>
      </c>
      <c r="M282" s="355">
        <v>179</v>
      </c>
      <c r="N282" s="355">
        <v>208</v>
      </c>
      <c r="O282" s="355">
        <v>387</v>
      </c>
      <c r="P282" s="355">
        <v>186</v>
      </c>
      <c r="Q282" s="355">
        <v>204</v>
      </c>
      <c r="R282" s="355">
        <v>390</v>
      </c>
      <c r="S282" s="355" t="s">
        <v>1324</v>
      </c>
      <c r="T282" s="355" t="s">
        <v>1325</v>
      </c>
      <c r="U282" s="358">
        <v>565152.81299999997</v>
      </c>
      <c r="V282" s="358">
        <v>2659405.21</v>
      </c>
      <c r="W282" s="361"/>
      <c r="X282" s="341" t="s">
        <v>1320</v>
      </c>
      <c r="Y282" s="341" t="s">
        <v>1185</v>
      </c>
      <c r="Z282" s="338" t="s">
        <v>367</v>
      </c>
      <c r="AA282" s="350"/>
      <c r="AB282" s="350"/>
      <c r="AC282" s="350"/>
      <c r="AD282" s="351"/>
    </row>
    <row r="283" spans="1:30" ht="25.5" x14ac:dyDescent="0.2">
      <c r="A283" s="321"/>
      <c r="B283" s="355"/>
      <c r="C283" s="355"/>
      <c r="D283" s="355"/>
      <c r="E283" s="355"/>
      <c r="F283" s="362">
        <v>392</v>
      </c>
      <c r="G283" s="363"/>
      <c r="H283" s="312"/>
      <c r="I283" s="358"/>
      <c r="J283" s="358"/>
      <c r="K283" s="359"/>
      <c r="L283" s="360"/>
      <c r="M283" s="355"/>
      <c r="N283" s="355"/>
      <c r="O283" s="355"/>
      <c r="P283" s="355"/>
      <c r="Q283" s="355"/>
      <c r="R283" s="355"/>
      <c r="S283" s="355"/>
      <c r="T283" s="355"/>
      <c r="U283" s="358"/>
      <c r="V283" s="358"/>
      <c r="W283" s="337" t="s">
        <v>1326</v>
      </c>
      <c r="X283" s="325"/>
      <c r="Y283" s="325"/>
      <c r="Z283" s="338"/>
      <c r="AA283" s="350"/>
      <c r="AB283" s="350"/>
      <c r="AC283" s="350"/>
      <c r="AD283" s="351"/>
    </row>
    <row r="284" spans="1:30" x14ac:dyDescent="0.2">
      <c r="A284" s="327">
        <v>138</v>
      </c>
      <c r="B284" s="355" t="s">
        <v>859</v>
      </c>
      <c r="C284" s="355" t="s">
        <v>173</v>
      </c>
      <c r="D284" s="355" t="s">
        <v>40</v>
      </c>
      <c r="E284" s="355" t="s">
        <v>859</v>
      </c>
      <c r="F284" s="362"/>
      <c r="G284" s="363"/>
      <c r="H284" s="328">
        <f>H282+F283</f>
        <v>52627.705999999998</v>
      </c>
      <c r="I284" s="358">
        <v>449.024</v>
      </c>
      <c r="J284" s="334">
        <v>74</v>
      </c>
      <c r="K284" s="359">
        <f>F283+F285</f>
        <v>737</v>
      </c>
      <c r="L284" s="360">
        <f>K284/2</f>
        <v>368.5</v>
      </c>
      <c r="M284" s="355">
        <v>185</v>
      </c>
      <c r="N284" s="355">
        <v>202</v>
      </c>
      <c r="O284" s="355">
        <v>387</v>
      </c>
      <c r="P284" s="355">
        <v>189</v>
      </c>
      <c r="Q284" s="355">
        <v>193</v>
      </c>
      <c r="R284" s="355">
        <v>382</v>
      </c>
      <c r="S284" s="355" t="s">
        <v>1327</v>
      </c>
      <c r="T284" s="355" t="s">
        <v>1328</v>
      </c>
      <c r="U284" s="358">
        <v>565418.73899999994</v>
      </c>
      <c r="V284" s="358">
        <v>2659117.2050000001</v>
      </c>
      <c r="W284" s="361"/>
      <c r="X284" s="341" t="s">
        <v>1320</v>
      </c>
      <c r="Y284" s="341" t="s">
        <v>1185</v>
      </c>
      <c r="Z284" s="338" t="s">
        <v>367</v>
      </c>
      <c r="AA284" s="350"/>
      <c r="AB284" s="350"/>
      <c r="AC284" s="350"/>
      <c r="AD284" s="351"/>
    </row>
    <row r="285" spans="1:30" x14ac:dyDescent="0.2">
      <c r="A285" s="321"/>
      <c r="B285" s="355"/>
      <c r="C285" s="355"/>
      <c r="D285" s="355"/>
      <c r="E285" s="355"/>
      <c r="F285" s="362">
        <v>345</v>
      </c>
      <c r="G285" s="363"/>
      <c r="H285" s="312"/>
      <c r="I285" s="358"/>
      <c r="J285" s="358"/>
      <c r="K285" s="359"/>
      <c r="L285" s="360"/>
      <c r="M285" s="355"/>
      <c r="N285" s="355"/>
      <c r="O285" s="355"/>
      <c r="P285" s="355"/>
      <c r="Q285" s="355"/>
      <c r="R285" s="355"/>
      <c r="S285" s="355"/>
      <c r="T285" s="355"/>
      <c r="U285" s="358"/>
      <c r="V285" s="358"/>
      <c r="W285" s="337" t="s">
        <v>1329</v>
      </c>
      <c r="X285" s="325"/>
      <c r="Y285" s="325"/>
      <c r="Z285" s="338"/>
      <c r="AA285" s="350"/>
      <c r="AB285" s="350"/>
      <c r="AC285" s="350"/>
      <c r="AD285" s="351"/>
    </row>
    <row r="286" spans="1:30" x14ac:dyDescent="0.2">
      <c r="A286" s="327">
        <v>139</v>
      </c>
      <c r="B286" s="355" t="s">
        <v>859</v>
      </c>
      <c r="C286" s="355" t="s">
        <v>174</v>
      </c>
      <c r="D286" s="355" t="s">
        <v>36</v>
      </c>
      <c r="E286" s="355" t="s">
        <v>859</v>
      </c>
      <c r="F286" s="362"/>
      <c r="G286" s="363"/>
      <c r="H286" s="328">
        <f>H284+F285</f>
        <v>52972.705999999998</v>
      </c>
      <c r="I286" s="358">
        <v>445.86399999999998</v>
      </c>
      <c r="J286" s="334">
        <v>72.5</v>
      </c>
      <c r="K286" s="359">
        <f>F285+F287</f>
        <v>742</v>
      </c>
      <c r="L286" s="360">
        <f>K286/2</f>
        <v>371</v>
      </c>
      <c r="M286" s="355">
        <v>143</v>
      </c>
      <c r="N286" s="355">
        <v>208</v>
      </c>
      <c r="O286" s="355">
        <v>351</v>
      </c>
      <c r="P286" s="355">
        <v>153</v>
      </c>
      <c r="Q286" s="355">
        <v>205</v>
      </c>
      <c r="R286" s="355">
        <v>358</v>
      </c>
      <c r="S286" s="355" t="s">
        <v>1330</v>
      </c>
      <c r="T286" s="355" t="s">
        <v>1331</v>
      </c>
      <c r="U286" s="358">
        <v>565652.78200000001</v>
      </c>
      <c r="V286" s="358">
        <v>2658863.7310000001</v>
      </c>
      <c r="W286" s="361"/>
      <c r="X286" s="341" t="s">
        <v>1320</v>
      </c>
      <c r="Y286" s="341" t="s">
        <v>1185</v>
      </c>
      <c r="Z286" s="338" t="s">
        <v>367</v>
      </c>
      <c r="AA286" s="350"/>
      <c r="AB286" s="350"/>
      <c r="AC286" s="350"/>
      <c r="AD286" s="351"/>
    </row>
    <row r="287" spans="1:30" x14ac:dyDescent="0.2">
      <c r="A287" s="321"/>
      <c r="B287" s="355"/>
      <c r="C287" s="355"/>
      <c r="D287" s="355"/>
      <c r="E287" s="355"/>
      <c r="F287" s="362">
        <v>397</v>
      </c>
      <c r="G287" s="363"/>
      <c r="H287" s="312"/>
      <c r="I287" s="358"/>
      <c r="J287" s="358"/>
      <c r="K287" s="359"/>
      <c r="L287" s="360"/>
      <c r="M287" s="355"/>
      <c r="N287" s="355"/>
      <c r="O287" s="355"/>
      <c r="P287" s="355"/>
      <c r="Q287" s="355"/>
      <c r="R287" s="355"/>
      <c r="S287" s="355"/>
      <c r="T287" s="355"/>
      <c r="U287" s="358"/>
      <c r="V287" s="358"/>
      <c r="W287" s="337" t="s">
        <v>1332</v>
      </c>
      <c r="X287" s="325"/>
      <c r="Y287" s="325"/>
      <c r="Z287" s="338"/>
      <c r="AA287" s="350"/>
      <c r="AB287" s="350"/>
      <c r="AC287" s="350"/>
      <c r="AD287" s="351"/>
    </row>
    <row r="288" spans="1:30" x14ac:dyDescent="0.2">
      <c r="A288" s="327">
        <v>140</v>
      </c>
      <c r="B288" s="355" t="s">
        <v>1333</v>
      </c>
      <c r="C288" s="355" t="s">
        <v>175</v>
      </c>
      <c r="D288" s="355" t="s">
        <v>14</v>
      </c>
      <c r="E288" s="355" t="s">
        <v>1334</v>
      </c>
      <c r="F288" s="362"/>
      <c r="G288" s="357">
        <f>SUM(F283:F287)</f>
        <v>1134</v>
      </c>
      <c r="H288" s="328">
        <f>H286+F287</f>
        <v>53369.705999999998</v>
      </c>
      <c r="I288" s="358">
        <v>444.125</v>
      </c>
      <c r="J288" s="343">
        <v>70.72</v>
      </c>
      <c r="K288" s="359">
        <f>F287+F289</f>
        <v>623</v>
      </c>
      <c r="L288" s="360">
        <f>K288/2</f>
        <v>311.5</v>
      </c>
      <c r="M288" s="355">
        <v>189</v>
      </c>
      <c r="N288" s="355">
        <v>-12</v>
      </c>
      <c r="O288" s="355">
        <v>177</v>
      </c>
      <c r="P288" s="355">
        <v>193</v>
      </c>
      <c r="Q288" s="355">
        <v>57</v>
      </c>
      <c r="R288" s="355">
        <v>250</v>
      </c>
      <c r="S288" s="355" t="s">
        <v>1335</v>
      </c>
      <c r="T288" s="355" t="s">
        <v>1336</v>
      </c>
      <c r="U288" s="358">
        <v>565921.93500000006</v>
      </c>
      <c r="V288" s="358">
        <v>2658572.2310000001</v>
      </c>
      <c r="W288" s="361"/>
      <c r="X288" s="341" t="s">
        <v>1320</v>
      </c>
      <c r="Y288" s="341" t="s">
        <v>1185</v>
      </c>
      <c r="Z288" s="338" t="s">
        <v>367</v>
      </c>
      <c r="AA288" s="350"/>
      <c r="AB288" s="350"/>
      <c r="AC288" s="350"/>
      <c r="AD288" s="351"/>
    </row>
    <row r="289" spans="1:30" ht="38.25" x14ac:dyDescent="0.2">
      <c r="A289" s="321"/>
      <c r="B289" s="355"/>
      <c r="C289" s="355"/>
      <c r="D289" s="355"/>
      <c r="E289" s="355"/>
      <c r="F289" s="362">
        <v>226</v>
      </c>
      <c r="G289" s="363"/>
      <c r="H289" s="312"/>
      <c r="I289" s="358"/>
      <c r="J289" s="358"/>
      <c r="K289" s="359"/>
      <c r="L289" s="360"/>
      <c r="M289" s="355"/>
      <c r="N289" s="355"/>
      <c r="O289" s="355"/>
      <c r="P289" s="355"/>
      <c r="Q289" s="355"/>
      <c r="R289" s="355"/>
      <c r="S289" s="355"/>
      <c r="T289" s="355"/>
      <c r="U289" s="358"/>
      <c r="V289" s="358"/>
      <c r="W289" s="344" t="s">
        <v>1337</v>
      </c>
      <c r="X289" s="325"/>
      <c r="Y289" s="325"/>
      <c r="Z289" s="338"/>
      <c r="AA289" s="350"/>
      <c r="AB289" s="350"/>
      <c r="AC289" s="350"/>
      <c r="AD289" s="351"/>
    </row>
    <row r="290" spans="1:30" x14ac:dyDescent="0.2">
      <c r="A290" s="327">
        <v>141</v>
      </c>
      <c r="B290" s="355" t="s">
        <v>1338</v>
      </c>
      <c r="C290" s="355" t="s">
        <v>176</v>
      </c>
      <c r="D290" s="355" t="s">
        <v>177</v>
      </c>
      <c r="E290" s="355" t="s">
        <v>1339</v>
      </c>
      <c r="F290" s="362"/>
      <c r="G290" s="357">
        <f>F289</f>
        <v>226</v>
      </c>
      <c r="H290" s="328">
        <f>H288+F289</f>
        <v>53595.705999999998</v>
      </c>
      <c r="I290" s="358">
        <v>445.94900000000001</v>
      </c>
      <c r="J290" s="358">
        <v>79.72</v>
      </c>
      <c r="K290" s="359">
        <f>F289+F291</f>
        <v>725</v>
      </c>
      <c r="L290" s="360">
        <f>K290/2</f>
        <v>362.5</v>
      </c>
      <c r="M290" s="355">
        <v>238</v>
      </c>
      <c r="N290" s="355">
        <v>237</v>
      </c>
      <c r="O290" s="355">
        <v>475</v>
      </c>
      <c r="P290" s="355">
        <v>169</v>
      </c>
      <c r="Q290" s="355">
        <v>240</v>
      </c>
      <c r="R290" s="355">
        <v>409</v>
      </c>
      <c r="S290" s="355" t="s">
        <v>1340</v>
      </c>
      <c r="T290" s="355" t="s">
        <v>1341</v>
      </c>
      <c r="U290" s="358">
        <v>566147.57999999996</v>
      </c>
      <c r="V290" s="358">
        <v>2658558.659</v>
      </c>
      <c r="W290" s="361"/>
      <c r="X290" s="341" t="s">
        <v>1320</v>
      </c>
      <c r="Y290" s="341" t="s">
        <v>1185</v>
      </c>
      <c r="Z290" s="338" t="s">
        <v>367</v>
      </c>
      <c r="AA290" s="350"/>
      <c r="AB290" s="350"/>
      <c r="AC290" s="350"/>
      <c r="AD290" s="351"/>
    </row>
    <row r="291" spans="1:30" x14ac:dyDescent="0.2">
      <c r="A291" s="321"/>
      <c r="B291" s="355"/>
      <c r="C291" s="355"/>
      <c r="D291" s="355"/>
      <c r="E291" s="355"/>
      <c r="F291" s="362">
        <v>499</v>
      </c>
      <c r="G291" s="363"/>
      <c r="H291" s="312"/>
      <c r="I291" s="358"/>
      <c r="J291" s="358"/>
      <c r="K291" s="359"/>
      <c r="L291" s="360"/>
      <c r="M291" s="355"/>
      <c r="N291" s="355"/>
      <c r="O291" s="355"/>
      <c r="P291" s="355"/>
      <c r="Q291" s="355"/>
      <c r="R291" s="355"/>
      <c r="S291" s="355"/>
      <c r="T291" s="355"/>
      <c r="U291" s="358"/>
      <c r="V291" s="358"/>
      <c r="W291" s="337" t="s">
        <v>1342</v>
      </c>
      <c r="X291" s="325"/>
      <c r="Y291" s="325"/>
      <c r="Z291" s="338"/>
      <c r="AA291" s="350"/>
      <c r="AB291" s="350"/>
      <c r="AC291" s="350"/>
      <c r="AD291" s="351"/>
    </row>
    <row r="292" spans="1:30" x14ac:dyDescent="0.2">
      <c r="A292" s="327">
        <v>142</v>
      </c>
      <c r="B292" s="355" t="s">
        <v>859</v>
      </c>
      <c r="C292" s="355" t="s">
        <v>178</v>
      </c>
      <c r="D292" s="355" t="s">
        <v>161</v>
      </c>
      <c r="E292" s="355" t="s">
        <v>859</v>
      </c>
      <c r="F292" s="362"/>
      <c r="G292" s="363">
        <f>F291</f>
        <v>499</v>
      </c>
      <c r="H292" s="328">
        <f>H290+F291</f>
        <v>54094.705999999998</v>
      </c>
      <c r="I292" s="358">
        <v>449.79</v>
      </c>
      <c r="J292" s="334">
        <v>79.72</v>
      </c>
      <c r="K292" s="359">
        <f>F291+F293</f>
        <v>945</v>
      </c>
      <c r="L292" s="360">
        <f>K292/2</f>
        <v>472.5</v>
      </c>
      <c r="M292" s="355">
        <v>264</v>
      </c>
      <c r="N292" s="355">
        <v>246</v>
      </c>
      <c r="O292" s="355">
        <v>510</v>
      </c>
      <c r="P292" s="355">
        <v>262</v>
      </c>
      <c r="Q292" s="355">
        <v>240</v>
      </c>
      <c r="R292" s="355">
        <v>502</v>
      </c>
      <c r="S292" s="355" t="s">
        <v>1343</v>
      </c>
      <c r="T292" s="355" t="s">
        <v>1344</v>
      </c>
      <c r="U292" s="358">
        <v>566596.71</v>
      </c>
      <c r="V292" s="358">
        <v>2658341.213</v>
      </c>
      <c r="W292" s="361"/>
      <c r="X292" s="341" t="s">
        <v>1345</v>
      </c>
      <c r="Y292" s="341" t="s">
        <v>1185</v>
      </c>
      <c r="Z292" s="338" t="s">
        <v>367</v>
      </c>
      <c r="AA292" s="350"/>
      <c r="AB292" s="350"/>
      <c r="AC292" s="350"/>
      <c r="AD292" s="351"/>
    </row>
    <row r="293" spans="1:30" ht="25.5" x14ac:dyDescent="0.2">
      <c r="A293" s="321"/>
      <c r="B293" s="355"/>
      <c r="C293" s="355"/>
      <c r="D293" s="355"/>
      <c r="E293" s="355"/>
      <c r="F293" s="362">
        <v>446</v>
      </c>
      <c r="G293" s="363"/>
      <c r="H293" s="312"/>
      <c r="I293" s="358"/>
      <c r="J293" s="358"/>
      <c r="K293" s="359"/>
      <c r="L293" s="360"/>
      <c r="M293" s="355"/>
      <c r="N293" s="355"/>
      <c r="O293" s="355"/>
      <c r="P293" s="355"/>
      <c r="Q293" s="355"/>
      <c r="R293" s="355"/>
      <c r="S293" s="355"/>
      <c r="T293" s="355"/>
      <c r="U293" s="358"/>
      <c r="V293" s="358"/>
      <c r="W293" s="337" t="s">
        <v>1346</v>
      </c>
      <c r="X293" s="325"/>
      <c r="Y293" s="325"/>
      <c r="Z293" s="338"/>
      <c r="AA293" s="350"/>
      <c r="AB293" s="350"/>
      <c r="AC293" s="350"/>
      <c r="AD293" s="351"/>
    </row>
    <row r="294" spans="1:30" x14ac:dyDescent="0.2">
      <c r="A294" s="327">
        <v>143</v>
      </c>
      <c r="B294" s="355" t="s">
        <v>859</v>
      </c>
      <c r="C294" s="355" t="s">
        <v>179</v>
      </c>
      <c r="D294" s="355" t="s">
        <v>40</v>
      </c>
      <c r="E294" s="355" t="s">
        <v>859</v>
      </c>
      <c r="F294" s="362"/>
      <c r="G294" s="363"/>
      <c r="H294" s="328">
        <f>H292+F293</f>
        <v>54540.705999999998</v>
      </c>
      <c r="I294" s="358">
        <v>452.46</v>
      </c>
      <c r="J294" s="334">
        <v>74</v>
      </c>
      <c r="K294" s="359">
        <f>F293+F295</f>
        <v>840</v>
      </c>
      <c r="L294" s="360">
        <f>K294/2</f>
        <v>420</v>
      </c>
      <c r="M294" s="355">
        <v>201</v>
      </c>
      <c r="N294" s="355">
        <v>207</v>
      </c>
      <c r="O294" s="355">
        <v>408</v>
      </c>
      <c r="P294" s="355">
        <v>208</v>
      </c>
      <c r="Q294" s="355">
        <v>204</v>
      </c>
      <c r="R294" s="355">
        <v>412</v>
      </c>
      <c r="S294" s="355" t="s">
        <v>1347</v>
      </c>
      <c r="T294" s="355" t="s">
        <v>1348</v>
      </c>
      <c r="U294" s="358">
        <v>566998.13800000004</v>
      </c>
      <c r="V294" s="358">
        <v>2658146.8629999999</v>
      </c>
      <c r="W294" s="361"/>
      <c r="X294" s="341" t="s">
        <v>1345</v>
      </c>
      <c r="Y294" s="341" t="s">
        <v>1185</v>
      </c>
      <c r="Z294" s="338" t="s">
        <v>367</v>
      </c>
      <c r="AA294" s="350"/>
      <c r="AB294" s="350"/>
      <c r="AC294" s="350"/>
      <c r="AD294" s="351"/>
    </row>
    <row r="295" spans="1:30" x14ac:dyDescent="0.2">
      <c r="A295" s="321"/>
      <c r="B295" s="355"/>
      <c r="C295" s="355"/>
      <c r="D295" s="355"/>
      <c r="E295" s="355"/>
      <c r="F295" s="362">
        <v>394</v>
      </c>
      <c r="G295" s="363"/>
      <c r="H295" s="312"/>
      <c r="I295" s="358"/>
      <c r="J295" s="358"/>
      <c r="K295" s="359"/>
      <c r="L295" s="360"/>
      <c r="M295" s="355"/>
      <c r="N295" s="355"/>
      <c r="O295" s="355"/>
      <c r="P295" s="355"/>
      <c r="Q295" s="355"/>
      <c r="R295" s="355"/>
      <c r="S295" s="355"/>
      <c r="T295" s="355"/>
      <c r="U295" s="358"/>
      <c r="V295" s="358"/>
      <c r="W295" s="337" t="s">
        <v>1349</v>
      </c>
      <c r="X295" s="325"/>
      <c r="Y295" s="325"/>
      <c r="Z295" s="338"/>
      <c r="AA295" s="350"/>
      <c r="AB295" s="350"/>
      <c r="AC295" s="350"/>
      <c r="AD295" s="351"/>
    </row>
    <row r="296" spans="1:30" x14ac:dyDescent="0.2">
      <c r="A296" s="327">
        <v>144</v>
      </c>
      <c r="B296" s="355" t="s">
        <v>859</v>
      </c>
      <c r="C296" s="355" t="s">
        <v>180</v>
      </c>
      <c r="D296" s="355" t="s">
        <v>40</v>
      </c>
      <c r="E296" s="355" t="s">
        <v>859</v>
      </c>
      <c r="F296" s="362"/>
      <c r="G296" s="363"/>
      <c r="H296" s="328">
        <f>H294+F295</f>
        <v>54934.705999999998</v>
      </c>
      <c r="I296" s="358">
        <v>450.685</v>
      </c>
      <c r="J296" s="334">
        <v>74</v>
      </c>
      <c r="K296" s="359">
        <f>F295+F297</f>
        <v>785</v>
      </c>
      <c r="L296" s="360">
        <f>K296/2</f>
        <v>392.5</v>
      </c>
      <c r="M296" s="355">
        <v>188</v>
      </c>
      <c r="N296" s="355">
        <v>218</v>
      </c>
      <c r="O296" s="355">
        <v>406</v>
      </c>
      <c r="P296" s="355">
        <v>191</v>
      </c>
      <c r="Q296" s="355">
        <v>212</v>
      </c>
      <c r="R296" s="355">
        <v>403</v>
      </c>
      <c r="S296" s="355" t="s">
        <v>1350</v>
      </c>
      <c r="T296" s="355" t="s">
        <v>1351</v>
      </c>
      <c r="U296" s="358">
        <v>567352.76199999999</v>
      </c>
      <c r="V296" s="358">
        <v>2657975.1719999998</v>
      </c>
      <c r="W296" s="361"/>
      <c r="X296" s="341" t="s">
        <v>1352</v>
      </c>
      <c r="Y296" s="341" t="s">
        <v>1185</v>
      </c>
      <c r="Z296" s="338" t="s">
        <v>367</v>
      </c>
      <c r="AA296" s="350"/>
      <c r="AB296" s="350"/>
      <c r="AC296" s="350"/>
      <c r="AD296" s="351"/>
    </row>
    <row r="297" spans="1:30" x14ac:dyDescent="0.2">
      <c r="A297" s="321"/>
      <c r="B297" s="355"/>
      <c r="C297" s="355"/>
      <c r="D297" s="355"/>
      <c r="E297" s="355"/>
      <c r="F297" s="362">
        <v>391</v>
      </c>
      <c r="G297" s="363"/>
      <c r="H297" s="312"/>
      <c r="I297" s="358"/>
      <c r="J297" s="358"/>
      <c r="K297" s="359"/>
      <c r="L297" s="360"/>
      <c r="M297" s="355"/>
      <c r="N297" s="355"/>
      <c r="O297" s="355"/>
      <c r="P297" s="355"/>
      <c r="Q297" s="355"/>
      <c r="R297" s="355"/>
      <c r="S297" s="355"/>
      <c r="T297" s="355"/>
      <c r="U297" s="358"/>
      <c r="V297" s="358"/>
      <c r="W297" s="337" t="s">
        <v>1353</v>
      </c>
      <c r="X297" s="325"/>
      <c r="Y297" s="325"/>
      <c r="Z297" s="338"/>
      <c r="AA297" s="350"/>
      <c r="AB297" s="350"/>
      <c r="AC297" s="350"/>
      <c r="AD297" s="351"/>
    </row>
    <row r="298" spans="1:30" x14ac:dyDescent="0.2">
      <c r="A298" s="327">
        <v>145</v>
      </c>
      <c r="B298" s="355" t="s">
        <v>859</v>
      </c>
      <c r="C298" s="355" t="s">
        <v>181</v>
      </c>
      <c r="D298" s="355" t="s">
        <v>36</v>
      </c>
      <c r="E298" s="355" t="s">
        <v>859</v>
      </c>
      <c r="F298" s="362"/>
      <c r="G298" s="363"/>
      <c r="H298" s="328">
        <f>H296+F297</f>
        <v>55325.705999999998</v>
      </c>
      <c r="I298" s="358">
        <v>447.98</v>
      </c>
      <c r="J298" s="334">
        <v>72.5</v>
      </c>
      <c r="K298" s="359">
        <f>F297+F299</f>
        <v>800</v>
      </c>
      <c r="L298" s="360">
        <f>K298/2</f>
        <v>400</v>
      </c>
      <c r="M298" s="355">
        <v>173</v>
      </c>
      <c r="N298" s="355">
        <v>210</v>
      </c>
      <c r="O298" s="355">
        <v>383</v>
      </c>
      <c r="P298" s="355">
        <v>180</v>
      </c>
      <c r="Q298" s="355">
        <v>209</v>
      </c>
      <c r="R298" s="355">
        <v>389</v>
      </c>
      <c r="S298" s="355" t="s">
        <v>1354</v>
      </c>
      <c r="T298" s="355" t="s">
        <v>1355</v>
      </c>
      <c r="U298" s="358">
        <v>567704.68599999999</v>
      </c>
      <c r="V298" s="358">
        <v>2657804.7889999999</v>
      </c>
      <c r="W298" s="361"/>
      <c r="X298" s="341" t="s">
        <v>1352</v>
      </c>
      <c r="Y298" s="341" t="s">
        <v>1185</v>
      </c>
      <c r="Z298" s="338" t="s">
        <v>367</v>
      </c>
      <c r="AA298" s="350"/>
      <c r="AB298" s="350"/>
      <c r="AC298" s="350"/>
      <c r="AD298" s="351"/>
    </row>
    <row r="299" spans="1:30" x14ac:dyDescent="0.2">
      <c r="A299" s="321"/>
      <c r="B299" s="355"/>
      <c r="C299" s="355"/>
      <c r="D299" s="355"/>
      <c r="E299" s="355"/>
      <c r="F299" s="362">
        <v>409</v>
      </c>
      <c r="G299" s="363"/>
      <c r="H299" s="312"/>
      <c r="I299" s="358"/>
      <c r="J299" s="358"/>
      <c r="K299" s="359"/>
      <c r="L299" s="360"/>
      <c r="M299" s="355"/>
      <c r="N299" s="355"/>
      <c r="O299" s="355"/>
      <c r="P299" s="355"/>
      <c r="Q299" s="355"/>
      <c r="R299" s="355"/>
      <c r="S299" s="355"/>
      <c r="T299" s="355"/>
      <c r="U299" s="358"/>
      <c r="V299" s="358"/>
      <c r="W299" s="337" t="s">
        <v>1356</v>
      </c>
      <c r="X299" s="325"/>
      <c r="Y299" s="325"/>
      <c r="Z299" s="338"/>
      <c r="AA299" s="350"/>
      <c r="AB299" s="350"/>
      <c r="AC299" s="350"/>
      <c r="AD299" s="351"/>
    </row>
    <row r="300" spans="1:30" x14ac:dyDescent="0.2">
      <c r="A300" s="327">
        <v>146</v>
      </c>
      <c r="B300" s="355" t="s">
        <v>859</v>
      </c>
      <c r="C300" s="355" t="s">
        <v>182</v>
      </c>
      <c r="D300" s="355" t="s">
        <v>40</v>
      </c>
      <c r="E300" s="355" t="s">
        <v>859</v>
      </c>
      <c r="F300" s="362"/>
      <c r="G300" s="363"/>
      <c r="H300" s="328">
        <f>H298+F299</f>
        <v>55734.705999999998</v>
      </c>
      <c r="I300" s="358">
        <v>445.435</v>
      </c>
      <c r="J300" s="334">
        <v>74</v>
      </c>
      <c r="K300" s="359">
        <f>F299+F301</f>
        <v>788</v>
      </c>
      <c r="L300" s="360">
        <f>K300/2</f>
        <v>394</v>
      </c>
      <c r="M300" s="355">
        <v>199</v>
      </c>
      <c r="N300" s="355">
        <v>187</v>
      </c>
      <c r="O300" s="355">
        <v>386</v>
      </c>
      <c r="P300" s="355">
        <v>201</v>
      </c>
      <c r="Q300" s="355">
        <v>188</v>
      </c>
      <c r="R300" s="355">
        <v>389</v>
      </c>
      <c r="S300" s="355" t="s">
        <v>1357</v>
      </c>
      <c r="T300" s="355" t="s">
        <v>1358</v>
      </c>
      <c r="U300" s="358">
        <v>568072.81099999999</v>
      </c>
      <c r="V300" s="358">
        <v>2657626.5619999999</v>
      </c>
      <c r="W300" s="361"/>
      <c r="X300" s="341" t="s">
        <v>1352</v>
      </c>
      <c r="Y300" s="341" t="s">
        <v>1185</v>
      </c>
      <c r="Z300" s="338" t="s">
        <v>367</v>
      </c>
      <c r="AA300" s="350"/>
      <c r="AB300" s="350"/>
      <c r="AC300" s="350"/>
      <c r="AD300" s="351"/>
    </row>
    <row r="301" spans="1:30" x14ac:dyDescent="0.2">
      <c r="A301" s="321"/>
      <c r="B301" s="355"/>
      <c r="C301" s="355"/>
      <c r="D301" s="355"/>
      <c r="E301" s="355"/>
      <c r="F301" s="362">
        <v>379</v>
      </c>
      <c r="G301" s="363"/>
      <c r="H301" s="312"/>
      <c r="I301" s="358"/>
      <c r="J301" s="358"/>
      <c r="K301" s="359"/>
      <c r="L301" s="360"/>
      <c r="M301" s="355"/>
      <c r="N301" s="355"/>
      <c r="O301" s="355"/>
      <c r="P301" s="355"/>
      <c r="Q301" s="355"/>
      <c r="R301" s="355"/>
      <c r="S301" s="355"/>
      <c r="T301" s="355"/>
      <c r="U301" s="358"/>
      <c r="V301" s="358"/>
      <c r="W301" s="337" t="s">
        <v>1359</v>
      </c>
      <c r="X301" s="325"/>
      <c r="Y301" s="325"/>
      <c r="Z301" s="338"/>
      <c r="AA301" s="350"/>
      <c r="AB301" s="350"/>
      <c r="AC301" s="350"/>
      <c r="AD301" s="351"/>
    </row>
    <row r="302" spans="1:30" x14ac:dyDescent="0.2">
      <c r="A302" s="327">
        <v>147</v>
      </c>
      <c r="B302" s="355" t="s">
        <v>859</v>
      </c>
      <c r="C302" s="355" t="s">
        <v>183</v>
      </c>
      <c r="D302" s="355" t="s">
        <v>36</v>
      </c>
      <c r="E302" s="355" t="s">
        <v>859</v>
      </c>
      <c r="F302" s="362"/>
      <c r="G302" s="363"/>
      <c r="H302" s="328">
        <f>H300+F301</f>
        <v>56113.705999999998</v>
      </c>
      <c r="I302" s="358">
        <v>447.45</v>
      </c>
      <c r="J302" s="334">
        <v>72.5</v>
      </c>
      <c r="K302" s="359">
        <f>F301+F303</f>
        <v>743</v>
      </c>
      <c r="L302" s="360">
        <f>K302/2</f>
        <v>371.5</v>
      </c>
      <c r="M302" s="355">
        <v>193</v>
      </c>
      <c r="N302" s="355">
        <v>209</v>
      </c>
      <c r="O302" s="355">
        <v>402</v>
      </c>
      <c r="P302" s="355">
        <v>192</v>
      </c>
      <c r="Q302" s="355">
        <v>201</v>
      </c>
      <c r="R302" s="355">
        <v>393</v>
      </c>
      <c r="S302" s="355" t="s">
        <v>1360</v>
      </c>
      <c r="T302" s="355" t="s">
        <v>1361</v>
      </c>
      <c r="U302" s="358">
        <v>568413.93400000001</v>
      </c>
      <c r="V302" s="358">
        <v>2657461.4070000001</v>
      </c>
      <c r="W302" s="361"/>
      <c r="X302" s="341" t="s">
        <v>1352</v>
      </c>
      <c r="Y302" s="341" t="s">
        <v>1185</v>
      </c>
      <c r="Z302" s="338" t="s">
        <v>367</v>
      </c>
      <c r="AA302" s="350"/>
      <c r="AB302" s="350"/>
      <c r="AC302" s="350"/>
      <c r="AD302" s="351"/>
    </row>
    <row r="303" spans="1:30" x14ac:dyDescent="0.2">
      <c r="A303" s="321"/>
      <c r="B303" s="355"/>
      <c r="C303" s="355"/>
      <c r="D303" s="355"/>
      <c r="E303" s="355"/>
      <c r="F303" s="362">
        <v>364</v>
      </c>
      <c r="G303" s="363"/>
      <c r="H303" s="312"/>
      <c r="I303" s="358"/>
      <c r="J303" s="358"/>
      <c r="K303" s="359"/>
      <c r="L303" s="360"/>
      <c r="M303" s="355"/>
      <c r="N303" s="355"/>
      <c r="O303" s="355"/>
      <c r="P303" s="355"/>
      <c r="Q303" s="355"/>
      <c r="R303" s="355"/>
      <c r="S303" s="355"/>
      <c r="T303" s="355"/>
      <c r="U303" s="358"/>
      <c r="V303" s="358"/>
      <c r="W303" s="337" t="s">
        <v>1362</v>
      </c>
      <c r="X303" s="325"/>
      <c r="Y303" s="325"/>
      <c r="Z303" s="338"/>
      <c r="AA303" s="350"/>
      <c r="AB303" s="350"/>
      <c r="AC303" s="350"/>
      <c r="AD303" s="351"/>
    </row>
    <row r="304" spans="1:30" x14ac:dyDescent="0.2">
      <c r="A304" s="327">
        <v>148</v>
      </c>
      <c r="B304" s="355" t="s">
        <v>859</v>
      </c>
      <c r="C304" s="355" t="s">
        <v>184</v>
      </c>
      <c r="D304" s="355" t="s">
        <v>19</v>
      </c>
      <c r="E304" s="355" t="s">
        <v>859</v>
      </c>
      <c r="F304" s="362"/>
      <c r="G304" s="363"/>
      <c r="H304" s="328">
        <f>H302+F303</f>
        <v>56477.705999999998</v>
      </c>
      <c r="I304" s="358">
        <v>444.33600000000001</v>
      </c>
      <c r="J304" s="334">
        <v>71</v>
      </c>
      <c r="K304" s="359">
        <f>F303+F305</f>
        <v>811</v>
      </c>
      <c r="L304" s="360">
        <f>K304/2</f>
        <v>405.5</v>
      </c>
      <c r="M304" s="355">
        <v>156</v>
      </c>
      <c r="N304" s="355">
        <v>187</v>
      </c>
      <c r="O304" s="355">
        <v>343</v>
      </c>
      <c r="P304" s="355">
        <v>164</v>
      </c>
      <c r="Q304" s="355">
        <v>199</v>
      </c>
      <c r="R304" s="355">
        <v>363</v>
      </c>
      <c r="S304" s="355" t="s">
        <v>1363</v>
      </c>
      <c r="T304" s="355" t="s">
        <v>1364</v>
      </c>
      <c r="U304" s="358">
        <v>568741.55700000003</v>
      </c>
      <c r="V304" s="358">
        <v>2657302.79</v>
      </c>
      <c r="W304" s="361"/>
      <c r="X304" s="341" t="s">
        <v>1352</v>
      </c>
      <c r="Y304" s="341" t="s">
        <v>1185</v>
      </c>
      <c r="Z304" s="338" t="s">
        <v>367</v>
      </c>
      <c r="AA304" s="350"/>
      <c r="AB304" s="350"/>
      <c r="AC304" s="350"/>
      <c r="AD304" s="351"/>
    </row>
    <row r="305" spans="1:30" x14ac:dyDescent="0.2">
      <c r="A305" s="321"/>
      <c r="B305" s="355"/>
      <c r="C305" s="355"/>
      <c r="D305" s="355"/>
      <c r="E305" s="355"/>
      <c r="F305" s="362">
        <v>447</v>
      </c>
      <c r="G305" s="363"/>
      <c r="H305" s="312"/>
      <c r="I305" s="358"/>
      <c r="J305" s="358"/>
      <c r="K305" s="359"/>
      <c r="L305" s="360"/>
      <c r="M305" s="355"/>
      <c r="N305" s="355"/>
      <c r="O305" s="355"/>
      <c r="P305" s="355"/>
      <c r="Q305" s="355"/>
      <c r="R305" s="355"/>
      <c r="S305" s="355"/>
      <c r="T305" s="355"/>
      <c r="U305" s="358"/>
      <c r="V305" s="358"/>
      <c r="W305" s="337" t="s">
        <v>1365</v>
      </c>
      <c r="X305" s="325"/>
      <c r="Y305" s="325"/>
      <c r="Z305" s="338"/>
      <c r="AA305" s="350"/>
      <c r="AB305" s="350"/>
      <c r="AC305" s="350"/>
      <c r="AD305" s="351"/>
    </row>
    <row r="306" spans="1:30" x14ac:dyDescent="0.2">
      <c r="A306" s="327">
        <v>149</v>
      </c>
      <c r="B306" s="355" t="s">
        <v>1366</v>
      </c>
      <c r="C306" s="355" t="s">
        <v>185</v>
      </c>
      <c r="D306" s="355" t="s">
        <v>123</v>
      </c>
      <c r="E306" s="355" t="s">
        <v>1367</v>
      </c>
      <c r="F306" s="362"/>
      <c r="G306" s="357">
        <f>SUM(F293:F305)</f>
        <v>2830</v>
      </c>
      <c r="H306" s="328">
        <f>H304+F305</f>
        <v>56924.705999999998</v>
      </c>
      <c r="I306" s="358">
        <v>441.52800000000002</v>
      </c>
      <c r="J306" s="334">
        <v>79.72</v>
      </c>
      <c r="K306" s="359">
        <f>F305+F307</f>
        <v>704</v>
      </c>
      <c r="L306" s="360">
        <f>K306/2</f>
        <v>352</v>
      </c>
      <c r="M306" s="355">
        <v>260</v>
      </c>
      <c r="N306" s="355">
        <v>171</v>
      </c>
      <c r="O306" s="355">
        <v>431</v>
      </c>
      <c r="P306" s="355">
        <v>250</v>
      </c>
      <c r="Q306" s="355">
        <v>150</v>
      </c>
      <c r="R306" s="355">
        <v>400</v>
      </c>
      <c r="S306" s="355" t="s">
        <v>1368</v>
      </c>
      <c r="T306" s="355" t="s">
        <v>1369</v>
      </c>
      <c r="U306" s="358">
        <v>569143.62300000002</v>
      </c>
      <c r="V306" s="358">
        <v>2657108.13</v>
      </c>
      <c r="W306" s="361"/>
      <c r="X306" s="341" t="s">
        <v>1370</v>
      </c>
      <c r="Y306" s="341" t="s">
        <v>1185</v>
      </c>
      <c r="Z306" s="338" t="s">
        <v>367</v>
      </c>
      <c r="AA306" s="350"/>
      <c r="AB306" s="350"/>
      <c r="AC306" s="350"/>
      <c r="AD306" s="351"/>
    </row>
    <row r="307" spans="1:30" ht="25.5" x14ac:dyDescent="0.2">
      <c r="A307" s="321"/>
      <c r="B307" s="355"/>
      <c r="C307" s="355"/>
      <c r="D307" s="355"/>
      <c r="E307" s="355"/>
      <c r="F307" s="362">
        <v>257</v>
      </c>
      <c r="G307" s="363"/>
      <c r="H307" s="312"/>
      <c r="I307" s="358"/>
      <c r="J307" s="358"/>
      <c r="K307" s="359"/>
      <c r="L307" s="360"/>
      <c r="M307" s="355"/>
      <c r="N307" s="355"/>
      <c r="O307" s="355"/>
      <c r="P307" s="355"/>
      <c r="Q307" s="355"/>
      <c r="R307" s="355"/>
      <c r="S307" s="355"/>
      <c r="T307" s="355"/>
      <c r="U307" s="358"/>
      <c r="V307" s="358"/>
      <c r="W307" s="344" t="s">
        <v>1371</v>
      </c>
      <c r="X307" s="325"/>
      <c r="Y307" s="325"/>
      <c r="Z307" s="338"/>
      <c r="AA307" s="350"/>
      <c r="AB307" s="350"/>
      <c r="AC307" s="350"/>
      <c r="AD307" s="351"/>
    </row>
    <row r="308" spans="1:30" x14ac:dyDescent="0.2">
      <c r="A308" s="327">
        <v>150</v>
      </c>
      <c r="B308" s="355" t="s">
        <v>1372</v>
      </c>
      <c r="C308" s="355" t="s">
        <v>186</v>
      </c>
      <c r="D308" s="355" t="s">
        <v>187</v>
      </c>
      <c r="E308" s="355" t="s">
        <v>1373</v>
      </c>
      <c r="F308" s="362"/>
      <c r="G308" s="357">
        <f>F307</f>
        <v>257</v>
      </c>
      <c r="H308" s="328">
        <f>H306+F307</f>
        <v>57181.705999999998</v>
      </c>
      <c r="I308" s="358">
        <v>443.161</v>
      </c>
      <c r="J308" s="334">
        <v>73.72</v>
      </c>
      <c r="K308" s="359">
        <f>F307+F309</f>
        <v>489</v>
      </c>
      <c r="L308" s="360">
        <f>K308/2</f>
        <v>244.5</v>
      </c>
      <c r="M308" s="355">
        <v>86</v>
      </c>
      <c r="N308" s="355">
        <v>127</v>
      </c>
      <c r="O308" s="355">
        <v>213</v>
      </c>
      <c r="P308" s="355">
        <v>108</v>
      </c>
      <c r="Q308" s="355">
        <v>123</v>
      </c>
      <c r="R308" s="355">
        <v>231</v>
      </c>
      <c r="S308" s="355" t="s">
        <v>1374</v>
      </c>
      <c r="T308" s="355" t="s">
        <v>1375</v>
      </c>
      <c r="U308" s="358">
        <v>569399.84600000002</v>
      </c>
      <c r="V308" s="358">
        <v>2657128.6910000001</v>
      </c>
      <c r="W308" s="361"/>
      <c r="X308" s="341" t="s">
        <v>1370</v>
      </c>
      <c r="Y308" s="341" t="s">
        <v>1185</v>
      </c>
      <c r="Z308" s="338" t="s">
        <v>367</v>
      </c>
      <c r="AA308" s="350"/>
      <c r="AB308" s="350"/>
      <c r="AC308" s="350"/>
      <c r="AD308" s="351"/>
    </row>
    <row r="309" spans="1:30" x14ac:dyDescent="0.2">
      <c r="A309" s="321"/>
      <c r="B309" s="355"/>
      <c r="C309" s="355"/>
      <c r="D309" s="355"/>
      <c r="E309" s="355"/>
      <c r="F309" s="362">
        <v>232</v>
      </c>
      <c r="G309" s="363"/>
      <c r="H309" s="312"/>
      <c r="I309" s="358"/>
      <c r="J309" s="358"/>
      <c r="K309" s="359"/>
      <c r="L309" s="360"/>
      <c r="M309" s="355"/>
      <c r="N309" s="355"/>
      <c r="O309" s="355"/>
      <c r="P309" s="355"/>
      <c r="Q309" s="355"/>
      <c r="R309" s="355"/>
      <c r="S309" s="355"/>
      <c r="T309" s="355"/>
      <c r="U309" s="358"/>
      <c r="V309" s="358"/>
      <c r="W309" s="337" t="s">
        <v>1376</v>
      </c>
      <c r="X309" s="325"/>
      <c r="Y309" s="325"/>
      <c r="Z309" s="338"/>
      <c r="AA309" s="350"/>
      <c r="AB309" s="350"/>
      <c r="AC309" s="350"/>
      <c r="AD309" s="351"/>
    </row>
    <row r="310" spans="1:30" x14ac:dyDescent="0.2">
      <c r="A310" s="327">
        <v>151</v>
      </c>
      <c r="B310" s="355" t="s">
        <v>859</v>
      </c>
      <c r="C310" s="355" t="s">
        <v>188</v>
      </c>
      <c r="D310" s="355" t="s">
        <v>38</v>
      </c>
      <c r="E310" s="355" t="s">
        <v>859</v>
      </c>
      <c r="F310" s="362"/>
      <c r="G310" s="363"/>
      <c r="H310" s="328">
        <f>H308+F309</f>
        <v>57413.705999999998</v>
      </c>
      <c r="I310" s="358">
        <v>442.05200000000002</v>
      </c>
      <c r="J310" s="334">
        <v>75.5</v>
      </c>
      <c r="K310" s="359">
        <f>F309+F311</f>
        <v>597</v>
      </c>
      <c r="L310" s="360">
        <f>K310/2</f>
        <v>298.5</v>
      </c>
      <c r="M310" s="355">
        <v>106</v>
      </c>
      <c r="N310" s="355">
        <v>214</v>
      </c>
      <c r="O310" s="355">
        <v>320</v>
      </c>
      <c r="P310" s="355">
        <v>109</v>
      </c>
      <c r="Q310" s="355">
        <v>204</v>
      </c>
      <c r="R310" s="355">
        <v>313</v>
      </c>
      <c r="S310" s="355" t="s">
        <v>1377</v>
      </c>
      <c r="T310" s="355" t="s">
        <v>1378</v>
      </c>
      <c r="U310" s="358">
        <v>569625.23499999999</v>
      </c>
      <c r="V310" s="358">
        <v>2657073.702</v>
      </c>
      <c r="W310" s="361"/>
      <c r="X310" s="341" t="s">
        <v>1370</v>
      </c>
      <c r="Y310" s="341" t="s">
        <v>1185</v>
      </c>
      <c r="Z310" s="338" t="s">
        <v>367</v>
      </c>
      <c r="AA310" s="350"/>
      <c r="AB310" s="350"/>
      <c r="AC310" s="350"/>
      <c r="AD310" s="351"/>
    </row>
    <row r="311" spans="1:30" x14ac:dyDescent="0.2">
      <c r="A311" s="321"/>
      <c r="B311" s="355"/>
      <c r="C311" s="355"/>
      <c r="D311" s="355"/>
      <c r="E311" s="355"/>
      <c r="F311" s="362">
        <v>365</v>
      </c>
      <c r="G311" s="363"/>
      <c r="H311" s="312"/>
      <c r="I311" s="358"/>
      <c r="J311" s="358"/>
      <c r="K311" s="359"/>
      <c r="L311" s="360"/>
      <c r="M311" s="355"/>
      <c r="N311" s="355"/>
      <c r="O311" s="355"/>
      <c r="P311" s="355"/>
      <c r="Q311" s="355"/>
      <c r="R311" s="355"/>
      <c r="S311" s="355"/>
      <c r="T311" s="355"/>
      <c r="U311" s="358"/>
      <c r="V311" s="358"/>
      <c r="W311" s="337" t="s">
        <v>1379</v>
      </c>
      <c r="X311" s="325"/>
      <c r="Y311" s="325"/>
      <c r="Z311" s="338"/>
      <c r="AA311" s="350"/>
      <c r="AB311" s="350"/>
      <c r="AC311" s="350"/>
      <c r="AD311" s="351"/>
    </row>
    <row r="312" spans="1:30" x14ac:dyDescent="0.2">
      <c r="A312" s="327">
        <v>152</v>
      </c>
      <c r="B312" s="355" t="s">
        <v>859</v>
      </c>
      <c r="C312" s="355" t="s">
        <v>189</v>
      </c>
      <c r="D312" s="355" t="s">
        <v>28</v>
      </c>
      <c r="E312" s="355" t="s">
        <v>859</v>
      </c>
      <c r="F312" s="362"/>
      <c r="G312" s="363"/>
      <c r="H312" s="328">
        <f>H310+F311</f>
        <v>57778.705999999998</v>
      </c>
      <c r="I312" s="358">
        <v>442.80500000000001</v>
      </c>
      <c r="J312" s="334">
        <v>69.5</v>
      </c>
      <c r="K312" s="359">
        <f>F311+F313</f>
        <v>744</v>
      </c>
      <c r="L312" s="360">
        <f>K312/2</f>
        <v>372</v>
      </c>
      <c r="M312" s="355">
        <v>151</v>
      </c>
      <c r="N312" s="355">
        <v>134</v>
      </c>
      <c r="O312" s="355">
        <v>285</v>
      </c>
      <c r="P312" s="355">
        <v>162</v>
      </c>
      <c r="Q312" s="355">
        <v>153</v>
      </c>
      <c r="R312" s="355">
        <v>315</v>
      </c>
      <c r="S312" s="355" t="s">
        <v>1380</v>
      </c>
      <c r="T312" s="355" t="s">
        <v>1381</v>
      </c>
      <c r="U312" s="358">
        <v>569979.83499999996</v>
      </c>
      <c r="V312" s="358">
        <v>2656987.1889999998</v>
      </c>
      <c r="W312" s="361"/>
      <c r="X312" s="341" t="s">
        <v>1370</v>
      </c>
      <c r="Y312" s="341" t="s">
        <v>1185</v>
      </c>
      <c r="Z312" s="338" t="s">
        <v>367</v>
      </c>
      <c r="AA312" s="350"/>
      <c r="AB312" s="350"/>
      <c r="AC312" s="350"/>
      <c r="AD312" s="351"/>
    </row>
    <row r="313" spans="1:30" x14ac:dyDescent="0.2">
      <c r="A313" s="321"/>
      <c r="B313" s="355"/>
      <c r="C313" s="355"/>
      <c r="D313" s="355"/>
      <c r="E313" s="355"/>
      <c r="F313" s="362">
        <v>379</v>
      </c>
      <c r="G313" s="363"/>
      <c r="H313" s="312"/>
      <c r="I313" s="358"/>
      <c r="J313" s="358"/>
      <c r="K313" s="359"/>
      <c r="L313" s="360"/>
      <c r="M313" s="355"/>
      <c r="N313" s="355"/>
      <c r="O313" s="355"/>
      <c r="P313" s="355"/>
      <c r="Q313" s="355"/>
      <c r="R313" s="355"/>
      <c r="S313" s="355"/>
      <c r="T313" s="355"/>
      <c r="U313" s="358"/>
      <c r="V313" s="358"/>
      <c r="W313" s="337" t="s">
        <v>1382</v>
      </c>
      <c r="X313" s="325"/>
      <c r="Y313" s="325"/>
      <c r="Z313" s="338"/>
      <c r="AA313" s="350"/>
      <c r="AB313" s="350"/>
      <c r="AC313" s="350"/>
      <c r="AD313" s="351"/>
    </row>
    <row r="314" spans="1:30" x14ac:dyDescent="0.2">
      <c r="A314" s="327">
        <v>153</v>
      </c>
      <c r="B314" s="355" t="s">
        <v>859</v>
      </c>
      <c r="C314" s="355" t="s">
        <v>190</v>
      </c>
      <c r="D314" s="355" t="s">
        <v>21</v>
      </c>
      <c r="E314" s="355" t="s">
        <v>859</v>
      </c>
      <c r="F314" s="362"/>
      <c r="G314" s="363"/>
      <c r="H314" s="328">
        <f>H312+F313</f>
        <v>58157.705999999998</v>
      </c>
      <c r="I314" s="358">
        <v>443.48099999999999</v>
      </c>
      <c r="J314" s="334">
        <v>78.5</v>
      </c>
      <c r="K314" s="359">
        <f>F313+F315</f>
        <v>819</v>
      </c>
      <c r="L314" s="360">
        <f>K314/2</f>
        <v>409.5</v>
      </c>
      <c r="M314" s="355">
        <v>246</v>
      </c>
      <c r="N314" s="355">
        <v>221</v>
      </c>
      <c r="O314" s="355">
        <v>467</v>
      </c>
      <c r="P314" s="355">
        <v>227</v>
      </c>
      <c r="Q314" s="355">
        <v>221</v>
      </c>
      <c r="R314" s="355">
        <v>448</v>
      </c>
      <c r="S314" s="355" t="s">
        <v>1383</v>
      </c>
      <c r="T314" s="355" t="s">
        <v>1384</v>
      </c>
      <c r="U314" s="358">
        <v>570348.03500000003</v>
      </c>
      <c r="V314" s="358">
        <v>2656897.3569999998</v>
      </c>
      <c r="W314" s="361"/>
      <c r="X314" s="341" t="s">
        <v>1370</v>
      </c>
      <c r="Y314" s="341" t="s">
        <v>1185</v>
      </c>
      <c r="Z314" s="338" t="s">
        <v>367</v>
      </c>
      <c r="AA314" s="350"/>
      <c r="AB314" s="350"/>
      <c r="AC314" s="350"/>
      <c r="AD314" s="351"/>
    </row>
    <row r="315" spans="1:30" x14ac:dyDescent="0.2">
      <c r="A315" s="321"/>
      <c r="B315" s="355"/>
      <c r="C315" s="355"/>
      <c r="D315" s="355"/>
      <c r="E315" s="355"/>
      <c r="F315" s="362">
        <v>440</v>
      </c>
      <c r="G315" s="363"/>
      <c r="H315" s="312"/>
      <c r="I315" s="358"/>
      <c r="J315" s="358"/>
      <c r="K315" s="359"/>
      <c r="L315" s="360"/>
      <c r="M315" s="355"/>
      <c r="N315" s="355"/>
      <c r="O315" s="355"/>
      <c r="P315" s="355"/>
      <c r="Q315" s="355"/>
      <c r="R315" s="355"/>
      <c r="S315" s="355"/>
      <c r="T315" s="355"/>
      <c r="U315" s="358"/>
      <c r="V315" s="358"/>
      <c r="W315" s="337" t="s">
        <v>1385</v>
      </c>
      <c r="X315" s="325"/>
      <c r="Y315" s="325"/>
      <c r="Z315" s="338"/>
      <c r="AA315" s="350"/>
      <c r="AB315" s="350"/>
      <c r="AC315" s="350"/>
      <c r="AD315" s="351"/>
    </row>
    <row r="316" spans="1:30" x14ac:dyDescent="0.2">
      <c r="A316" s="327">
        <v>154</v>
      </c>
      <c r="B316" s="355" t="s">
        <v>1386</v>
      </c>
      <c r="C316" s="355" t="s">
        <v>191</v>
      </c>
      <c r="D316" s="355" t="s">
        <v>118</v>
      </c>
      <c r="E316" s="355" t="s">
        <v>1387</v>
      </c>
      <c r="F316" s="364"/>
      <c r="G316" s="357">
        <f>SUM(F309:F315)</f>
        <v>1416</v>
      </c>
      <c r="H316" s="328">
        <f>H314+F315</f>
        <v>58597.705999999998</v>
      </c>
      <c r="I316" s="358">
        <v>446.279</v>
      </c>
      <c r="J316" s="334">
        <v>73.72</v>
      </c>
      <c r="K316" s="359">
        <f>F315+F317</f>
        <v>661</v>
      </c>
      <c r="L316" s="360">
        <f>K316/2</f>
        <v>330.5</v>
      </c>
      <c r="M316" s="355">
        <v>219</v>
      </c>
      <c r="N316" s="355">
        <v>155</v>
      </c>
      <c r="O316" s="355">
        <v>374</v>
      </c>
      <c r="P316" s="355">
        <v>220</v>
      </c>
      <c r="Q316" s="355">
        <v>130</v>
      </c>
      <c r="R316" s="355">
        <v>350</v>
      </c>
      <c r="S316" s="355" t="s">
        <v>1388</v>
      </c>
      <c r="T316" s="355" t="s">
        <v>1389</v>
      </c>
      <c r="U316" s="358">
        <v>570775.33100000001</v>
      </c>
      <c r="V316" s="358">
        <v>2656793.108</v>
      </c>
      <c r="W316" s="361"/>
      <c r="X316" s="341" t="s">
        <v>1390</v>
      </c>
      <c r="Y316" s="341" t="s">
        <v>1185</v>
      </c>
      <c r="Z316" s="338" t="s">
        <v>367</v>
      </c>
      <c r="AA316" s="350"/>
      <c r="AB316" s="350"/>
      <c r="AC316" s="350"/>
      <c r="AD316" s="351"/>
    </row>
    <row r="317" spans="1:30" x14ac:dyDescent="0.2">
      <c r="A317" s="321"/>
      <c r="B317" s="355"/>
      <c r="C317" s="355"/>
      <c r="D317" s="355"/>
      <c r="E317" s="355"/>
      <c r="F317" s="362">
        <v>221</v>
      </c>
      <c r="G317" s="363"/>
      <c r="H317" s="312"/>
      <c r="I317" s="358"/>
      <c r="J317" s="358"/>
      <c r="K317" s="359"/>
      <c r="L317" s="360"/>
      <c r="M317" s="355"/>
      <c r="N317" s="355"/>
      <c r="O317" s="355"/>
      <c r="P317" s="355"/>
      <c r="Q317" s="355"/>
      <c r="R317" s="355"/>
      <c r="S317" s="355"/>
      <c r="T317" s="355"/>
      <c r="U317" s="358"/>
      <c r="V317" s="358"/>
      <c r="W317" s="344" t="s">
        <v>1391</v>
      </c>
      <c r="X317" s="325"/>
      <c r="Y317" s="325"/>
      <c r="Z317" s="338"/>
      <c r="AA317" s="350"/>
      <c r="AB317" s="350"/>
      <c r="AC317" s="350"/>
      <c r="AD317" s="351"/>
    </row>
    <row r="318" spans="1:30" x14ac:dyDescent="0.2">
      <c r="A318" s="327">
        <v>155</v>
      </c>
      <c r="B318" s="355" t="s">
        <v>1392</v>
      </c>
      <c r="C318" s="355" t="s">
        <v>192</v>
      </c>
      <c r="D318" s="355" t="s">
        <v>45</v>
      </c>
      <c r="E318" s="355" t="s">
        <v>1393</v>
      </c>
      <c r="F318" s="335"/>
      <c r="G318" s="365">
        <f>F317</f>
        <v>221</v>
      </c>
      <c r="H318" s="328">
        <f>H316+F317</f>
        <v>58818.705999999998</v>
      </c>
      <c r="I318" s="355">
        <v>445.52</v>
      </c>
      <c r="J318" s="343">
        <v>70.72</v>
      </c>
      <c r="K318" s="359">
        <f>F317+F319</f>
        <v>616</v>
      </c>
      <c r="L318" s="360">
        <f>K318/2</f>
        <v>308</v>
      </c>
      <c r="M318" s="355">
        <v>77</v>
      </c>
      <c r="N318" s="355">
        <v>163</v>
      </c>
      <c r="O318" s="355">
        <f>N318+M318</f>
        <v>240</v>
      </c>
      <c r="P318" s="355">
        <v>89</v>
      </c>
      <c r="Q318" s="355">
        <v>173</v>
      </c>
      <c r="R318" s="355">
        <f>Q318+P318</f>
        <v>262</v>
      </c>
      <c r="S318" s="355" t="s">
        <v>1394</v>
      </c>
      <c r="T318" s="355" t="s">
        <v>1395</v>
      </c>
      <c r="U318" s="366">
        <v>570996.14</v>
      </c>
      <c r="V318" s="366">
        <v>2656783.42</v>
      </c>
      <c r="W318" s="337"/>
      <c r="X318" s="341" t="s">
        <v>1390</v>
      </c>
      <c r="Y318" s="341" t="s">
        <v>1185</v>
      </c>
      <c r="Z318" s="338" t="s">
        <v>367</v>
      </c>
      <c r="AA318" s="350"/>
      <c r="AB318" s="350"/>
      <c r="AC318" s="350"/>
      <c r="AD318" s="351"/>
    </row>
    <row r="319" spans="1:30" ht="25.5" x14ac:dyDescent="0.2">
      <c r="A319" s="321"/>
      <c r="B319" s="355"/>
      <c r="C319" s="355"/>
      <c r="D319" s="355"/>
      <c r="E319" s="355"/>
      <c r="F319" s="335">
        <v>395</v>
      </c>
      <c r="G319" s="355"/>
      <c r="H319" s="312"/>
      <c r="I319" s="355"/>
      <c r="J319" s="355"/>
      <c r="K319" s="334"/>
      <c r="L319" s="334"/>
      <c r="M319" s="355"/>
      <c r="N319" s="355"/>
      <c r="O319" s="355"/>
      <c r="P319" s="355"/>
      <c r="Q319" s="355"/>
      <c r="R319" s="355"/>
      <c r="S319" s="355"/>
      <c r="T319" s="355"/>
      <c r="U319" s="366"/>
      <c r="V319" s="366"/>
      <c r="W319" s="337" t="s">
        <v>1396</v>
      </c>
      <c r="X319" s="325"/>
      <c r="Y319" s="325"/>
      <c r="Z319" s="338"/>
      <c r="AA319" s="350"/>
      <c r="AB319" s="350"/>
      <c r="AC319" s="350"/>
      <c r="AD319" s="351"/>
    </row>
    <row r="320" spans="1:30" x14ac:dyDescent="0.2">
      <c r="A320" s="327">
        <v>156</v>
      </c>
      <c r="B320" s="355" t="s">
        <v>859</v>
      </c>
      <c r="C320" s="355" t="s">
        <v>193</v>
      </c>
      <c r="D320" s="355" t="s">
        <v>36</v>
      </c>
      <c r="E320" s="355" t="s">
        <v>859</v>
      </c>
      <c r="F320" s="335"/>
      <c r="G320" s="355"/>
      <c r="H320" s="328">
        <f>H318+F319</f>
        <v>59213.705999999998</v>
      </c>
      <c r="I320" s="358">
        <v>451.59100000000001</v>
      </c>
      <c r="J320" s="334">
        <v>72.5</v>
      </c>
      <c r="K320" s="334">
        <f>F319+F321</f>
        <v>751</v>
      </c>
      <c r="L320" s="334">
        <f>K320/2</f>
        <v>375.5</v>
      </c>
      <c r="M320" s="355">
        <v>232</v>
      </c>
      <c r="N320" s="355">
        <v>176</v>
      </c>
      <c r="O320" s="355">
        <f>N320+M320</f>
        <v>408</v>
      </c>
      <c r="P320" s="355">
        <v>222</v>
      </c>
      <c r="Q320" s="355">
        <v>177</v>
      </c>
      <c r="R320" s="355">
        <f>Q320+P320</f>
        <v>399</v>
      </c>
      <c r="S320" s="355" t="s">
        <v>1397</v>
      </c>
      <c r="T320" s="355" t="s">
        <v>1398</v>
      </c>
      <c r="U320" s="366">
        <v>571354.28700000001</v>
      </c>
      <c r="V320" s="366">
        <v>2656616.8080000002</v>
      </c>
      <c r="W320" s="337"/>
      <c r="X320" s="341" t="s">
        <v>1390</v>
      </c>
      <c r="Y320" s="341" t="s">
        <v>1185</v>
      </c>
      <c r="Z320" s="338" t="s">
        <v>367</v>
      </c>
      <c r="AA320" s="350"/>
      <c r="AB320" s="350"/>
      <c r="AC320" s="350"/>
      <c r="AD320" s="351"/>
    </row>
    <row r="321" spans="1:30" x14ac:dyDescent="0.2">
      <c r="A321" s="321"/>
      <c r="B321" s="355"/>
      <c r="C321" s="355"/>
      <c r="D321" s="355"/>
      <c r="E321" s="355"/>
      <c r="F321" s="335">
        <v>356</v>
      </c>
      <c r="G321" s="355"/>
      <c r="H321" s="312"/>
      <c r="I321" s="355"/>
      <c r="J321" s="355"/>
      <c r="K321" s="334"/>
      <c r="L321" s="334"/>
      <c r="M321" s="355"/>
      <c r="N321" s="355"/>
      <c r="O321" s="355"/>
      <c r="P321" s="355"/>
      <c r="Q321" s="355"/>
      <c r="R321" s="355"/>
      <c r="S321" s="355"/>
      <c r="T321" s="355"/>
      <c r="U321" s="366"/>
      <c r="V321" s="366"/>
      <c r="W321" s="337" t="s">
        <v>948</v>
      </c>
      <c r="X321" s="325"/>
      <c r="Y321" s="325"/>
      <c r="Z321" s="338"/>
      <c r="AA321" s="350"/>
      <c r="AB321" s="350"/>
      <c r="AC321" s="350"/>
      <c r="AD321" s="351"/>
    </row>
    <row r="322" spans="1:30" x14ac:dyDescent="0.2">
      <c r="A322" s="327">
        <v>157</v>
      </c>
      <c r="B322" s="355" t="s">
        <v>859</v>
      </c>
      <c r="C322" s="355" t="s">
        <v>194</v>
      </c>
      <c r="D322" s="355" t="s">
        <v>36</v>
      </c>
      <c r="E322" s="355" t="s">
        <v>859</v>
      </c>
      <c r="F322" s="335"/>
      <c r="G322" s="355"/>
      <c r="H322" s="328">
        <f>H320+F321</f>
        <v>59569.705999999998</v>
      </c>
      <c r="I322" s="358">
        <v>451.99299999999999</v>
      </c>
      <c r="J322" s="334">
        <v>72.5</v>
      </c>
      <c r="K322" s="334">
        <f>F321+F323</f>
        <v>760</v>
      </c>
      <c r="L322" s="334">
        <f>K322/2</f>
        <v>380</v>
      </c>
      <c r="M322" s="355">
        <v>181</v>
      </c>
      <c r="N322" s="355">
        <v>204</v>
      </c>
      <c r="O322" s="355">
        <v>385</v>
      </c>
      <c r="P322" s="355">
        <v>180</v>
      </c>
      <c r="Q322" s="355">
        <v>204</v>
      </c>
      <c r="R322" s="355">
        <v>384</v>
      </c>
      <c r="S322" s="355" t="s">
        <v>1399</v>
      </c>
      <c r="T322" s="355" t="s">
        <v>1400</v>
      </c>
      <c r="U322" s="366">
        <v>571677.06900000002</v>
      </c>
      <c r="V322" s="366">
        <v>2656466.6490000002</v>
      </c>
      <c r="W322" s="337"/>
      <c r="X322" s="341" t="s">
        <v>1401</v>
      </c>
      <c r="Y322" s="341" t="s">
        <v>1185</v>
      </c>
      <c r="Z322" s="338" t="s">
        <v>367</v>
      </c>
      <c r="AA322" s="350"/>
      <c r="AB322" s="350"/>
      <c r="AC322" s="350"/>
      <c r="AD322" s="351"/>
    </row>
    <row r="323" spans="1:30" ht="25.5" x14ac:dyDescent="0.2">
      <c r="A323" s="321"/>
      <c r="B323" s="355"/>
      <c r="C323" s="355"/>
      <c r="D323" s="355"/>
      <c r="E323" s="355"/>
      <c r="F323" s="335">
        <v>404</v>
      </c>
      <c r="G323" s="355"/>
      <c r="H323" s="312"/>
      <c r="I323" s="355"/>
      <c r="J323" s="355"/>
      <c r="K323" s="334"/>
      <c r="L323" s="334"/>
      <c r="M323" s="355"/>
      <c r="N323" s="355"/>
      <c r="O323" s="355"/>
      <c r="P323" s="355"/>
      <c r="Q323" s="355"/>
      <c r="R323" s="355"/>
      <c r="S323" s="355"/>
      <c r="T323" s="355"/>
      <c r="U323" s="366"/>
      <c r="V323" s="366"/>
      <c r="W323" s="337" t="s">
        <v>1402</v>
      </c>
      <c r="X323" s="325"/>
      <c r="Y323" s="325"/>
      <c r="Z323" s="338"/>
      <c r="AA323" s="350"/>
      <c r="AB323" s="350"/>
      <c r="AC323" s="350"/>
      <c r="AD323" s="351"/>
    </row>
    <row r="324" spans="1:30" x14ac:dyDescent="0.2">
      <c r="A324" s="327">
        <v>158</v>
      </c>
      <c r="B324" s="355" t="s">
        <v>859</v>
      </c>
      <c r="C324" s="355" t="s">
        <v>195</v>
      </c>
      <c r="D324" s="355" t="s">
        <v>36</v>
      </c>
      <c r="E324" s="355" t="s">
        <v>859</v>
      </c>
      <c r="F324" s="335"/>
      <c r="G324" s="355"/>
      <c r="H324" s="328">
        <f>H322+F323</f>
        <v>59973.705999999998</v>
      </c>
      <c r="I324" s="358">
        <v>451.70699999999999</v>
      </c>
      <c r="J324" s="334">
        <v>72.5</v>
      </c>
      <c r="K324" s="334">
        <f>F323+F325</f>
        <v>784</v>
      </c>
      <c r="L324" s="334">
        <f>K324/2</f>
        <v>392</v>
      </c>
      <c r="M324" s="355">
        <v>201</v>
      </c>
      <c r="N324" s="355">
        <v>163</v>
      </c>
      <c r="O324" s="355">
        <v>364</v>
      </c>
      <c r="P324" s="355">
        <v>202</v>
      </c>
      <c r="Q324" s="355">
        <v>171</v>
      </c>
      <c r="R324" s="355">
        <v>373</v>
      </c>
      <c r="S324" s="355" t="s">
        <v>1403</v>
      </c>
      <c r="T324" s="355" t="s">
        <v>1404</v>
      </c>
      <c r="U324" s="366">
        <v>572043.37300000002</v>
      </c>
      <c r="V324" s="366">
        <v>2656296.2450000001</v>
      </c>
      <c r="W324" s="337"/>
      <c r="X324" s="341" t="s">
        <v>1401</v>
      </c>
      <c r="Y324" s="341" t="s">
        <v>1185</v>
      </c>
      <c r="Z324" s="338" t="s">
        <v>367</v>
      </c>
      <c r="AA324" s="350"/>
      <c r="AB324" s="350"/>
      <c r="AC324" s="350"/>
      <c r="AD324" s="351"/>
    </row>
    <row r="325" spans="1:30" x14ac:dyDescent="0.2">
      <c r="A325" s="321"/>
      <c r="B325" s="355"/>
      <c r="C325" s="355"/>
      <c r="D325" s="355"/>
      <c r="E325" s="355"/>
      <c r="F325" s="335">
        <v>380</v>
      </c>
      <c r="G325" s="355"/>
      <c r="H325" s="312"/>
      <c r="I325" s="355"/>
      <c r="J325" s="355"/>
      <c r="K325" s="334"/>
      <c r="L325" s="334"/>
      <c r="M325" s="355"/>
      <c r="N325" s="355"/>
      <c r="O325" s="355"/>
      <c r="P325" s="355"/>
      <c r="Q325" s="355"/>
      <c r="R325" s="355"/>
      <c r="S325" s="355"/>
      <c r="T325" s="355"/>
      <c r="U325" s="366"/>
      <c r="V325" s="366"/>
      <c r="W325" s="337" t="s">
        <v>1405</v>
      </c>
      <c r="X325" s="325"/>
      <c r="Y325" s="325"/>
      <c r="Z325" s="338"/>
      <c r="AA325" s="350"/>
      <c r="AB325" s="350"/>
      <c r="AC325" s="350"/>
      <c r="AD325" s="351"/>
    </row>
    <row r="326" spans="1:30" x14ac:dyDescent="0.2">
      <c r="A326" s="327">
        <v>159</v>
      </c>
      <c r="B326" s="355" t="s">
        <v>859</v>
      </c>
      <c r="C326" s="355" t="s">
        <v>196</v>
      </c>
      <c r="D326" s="355" t="s">
        <v>38</v>
      </c>
      <c r="E326" s="355" t="s">
        <v>859</v>
      </c>
      <c r="F326" s="335"/>
      <c r="G326" s="355"/>
      <c r="H326" s="328">
        <f>H324+F325</f>
        <v>60353.705999999998</v>
      </c>
      <c r="I326" s="355">
        <v>453.65800000000002</v>
      </c>
      <c r="J326" s="334">
        <v>75.5</v>
      </c>
      <c r="K326" s="334">
        <f>F325+F327</f>
        <v>840</v>
      </c>
      <c r="L326" s="334">
        <f>K326/2</f>
        <v>420</v>
      </c>
      <c r="M326" s="355">
        <v>218</v>
      </c>
      <c r="N326" s="355">
        <v>211</v>
      </c>
      <c r="O326" s="355">
        <v>429</v>
      </c>
      <c r="P326" s="355">
        <v>210</v>
      </c>
      <c r="Q326" s="355">
        <v>218</v>
      </c>
      <c r="R326" s="355">
        <v>428</v>
      </c>
      <c r="S326" s="355" t="s">
        <v>1406</v>
      </c>
      <c r="T326" s="355" t="s">
        <v>1407</v>
      </c>
      <c r="U326" s="366">
        <v>572387.91599999997</v>
      </c>
      <c r="V326" s="366">
        <v>2656135.9640000002</v>
      </c>
      <c r="W326" s="337"/>
      <c r="X326" s="341" t="s">
        <v>1401</v>
      </c>
      <c r="Y326" s="341" t="s">
        <v>1185</v>
      </c>
      <c r="Z326" s="338" t="s">
        <v>367</v>
      </c>
      <c r="AA326" s="350"/>
      <c r="AB326" s="350"/>
      <c r="AC326" s="350"/>
      <c r="AD326" s="351"/>
    </row>
    <row r="327" spans="1:30" ht="25.5" x14ac:dyDescent="0.2">
      <c r="A327" s="321"/>
      <c r="B327" s="355"/>
      <c r="C327" s="355"/>
      <c r="D327" s="355"/>
      <c r="E327" s="355"/>
      <c r="F327" s="335">
        <v>460</v>
      </c>
      <c r="G327" s="355"/>
      <c r="H327" s="312"/>
      <c r="I327" s="355"/>
      <c r="J327" s="355"/>
      <c r="K327" s="334"/>
      <c r="L327" s="334"/>
      <c r="M327" s="355"/>
      <c r="N327" s="355"/>
      <c r="O327" s="355"/>
      <c r="P327" s="355"/>
      <c r="Q327" s="355"/>
      <c r="R327" s="355"/>
      <c r="S327" s="355"/>
      <c r="T327" s="355"/>
      <c r="U327" s="366"/>
      <c r="V327" s="366"/>
      <c r="W327" s="337" t="s">
        <v>1408</v>
      </c>
      <c r="X327" s="325"/>
      <c r="Y327" s="325"/>
      <c r="Z327" s="338"/>
      <c r="AA327" s="350"/>
      <c r="AB327" s="350"/>
      <c r="AC327" s="350"/>
      <c r="AD327" s="351"/>
    </row>
    <row r="328" spans="1:30" x14ac:dyDescent="0.2">
      <c r="A328" s="327">
        <v>160</v>
      </c>
      <c r="B328" s="355" t="s">
        <v>859</v>
      </c>
      <c r="C328" s="355" t="s">
        <v>197</v>
      </c>
      <c r="D328" s="355" t="s">
        <v>21</v>
      </c>
      <c r="E328" s="355" t="s">
        <v>859</v>
      </c>
      <c r="F328" s="335"/>
      <c r="G328" s="355"/>
      <c r="H328" s="328">
        <f>H326+F327</f>
        <v>60813.705999999998</v>
      </c>
      <c r="I328" s="355">
        <v>454.81400000000002</v>
      </c>
      <c r="J328" s="334">
        <v>78.5</v>
      </c>
      <c r="K328" s="334">
        <f>F327+F329</f>
        <v>840</v>
      </c>
      <c r="L328" s="334">
        <f>K328/2</f>
        <v>420</v>
      </c>
      <c r="M328" s="355">
        <v>250</v>
      </c>
      <c r="N328" s="355">
        <v>209</v>
      </c>
      <c r="O328" s="355">
        <v>459</v>
      </c>
      <c r="P328" s="355">
        <v>244</v>
      </c>
      <c r="Q328" s="355">
        <v>204</v>
      </c>
      <c r="R328" s="355">
        <v>448</v>
      </c>
      <c r="S328" s="355" t="s">
        <v>1409</v>
      </c>
      <c r="T328" s="355" t="s">
        <v>1410</v>
      </c>
      <c r="U328" s="366">
        <v>572804.995</v>
      </c>
      <c r="V328" s="366">
        <v>2655941.9389999998</v>
      </c>
      <c r="W328" s="337"/>
      <c r="X328" s="341" t="s">
        <v>1401</v>
      </c>
      <c r="Y328" s="341" t="s">
        <v>1185</v>
      </c>
      <c r="Z328" s="338" t="s">
        <v>367</v>
      </c>
      <c r="AA328" s="350"/>
      <c r="AB328" s="350"/>
      <c r="AC328" s="350"/>
      <c r="AD328" s="351"/>
    </row>
    <row r="329" spans="1:30" x14ac:dyDescent="0.2">
      <c r="A329" s="321"/>
      <c r="B329" s="355"/>
      <c r="C329" s="355"/>
      <c r="D329" s="355"/>
      <c r="E329" s="355"/>
      <c r="F329" s="335">
        <v>380</v>
      </c>
      <c r="G329" s="355"/>
      <c r="H329" s="312"/>
      <c r="I329" s="355"/>
      <c r="J329" s="355"/>
      <c r="K329" s="334"/>
      <c r="L329" s="334"/>
      <c r="M329" s="355"/>
      <c r="N329" s="355"/>
      <c r="O329" s="355"/>
      <c r="P329" s="355"/>
      <c r="Q329" s="355"/>
      <c r="R329" s="355"/>
      <c r="S329" s="355"/>
      <c r="T329" s="355"/>
      <c r="U329" s="366"/>
      <c r="V329" s="366"/>
      <c r="W329" s="337" t="s">
        <v>1157</v>
      </c>
      <c r="X329" s="325"/>
      <c r="Y329" s="325"/>
      <c r="Z329" s="338"/>
      <c r="AA329" s="350"/>
      <c r="AB329" s="350"/>
      <c r="AC329" s="350"/>
      <c r="AD329" s="351"/>
    </row>
    <row r="330" spans="1:30" x14ac:dyDescent="0.2">
      <c r="A330" s="327">
        <v>161</v>
      </c>
      <c r="B330" s="355" t="s">
        <v>859</v>
      </c>
      <c r="C330" s="355" t="s">
        <v>198</v>
      </c>
      <c r="D330" s="355" t="s">
        <v>19</v>
      </c>
      <c r="E330" s="355" t="s">
        <v>859</v>
      </c>
      <c r="F330" s="335"/>
      <c r="G330" s="355"/>
      <c r="H330" s="328">
        <f>H328+F329</f>
        <v>61193.705999999998</v>
      </c>
      <c r="I330" s="355">
        <v>458.85199999999998</v>
      </c>
      <c r="J330" s="334">
        <v>71</v>
      </c>
      <c r="K330" s="334">
        <f>F329+F331</f>
        <v>793</v>
      </c>
      <c r="L330" s="334">
        <f>K330/2</f>
        <v>396.5</v>
      </c>
      <c r="M330" s="355">
        <v>171</v>
      </c>
      <c r="N330" s="355">
        <v>155</v>
      </c>
      <c r="O330" s="355">
        <v>326</v>
      </c>
      <c r="P330" s="355">
        <v>177</v>
      </c>
      <c r="Q330" s="355">
        <v>171</v>
      </c>
      <c r="R330" s="355">
        <v>348</v>
      </c>
      <c r="S330" s="355" t="s">
        <v>1411</v>
      </c>
      <c r="T330" s="355" t="s">
        <v>1412</v>
      </c>
      <c r="U330" s="366">
        <v>573149.53799999994</v>
      </c>
      <c r="V330" s="366">
        <v>2655781.6579999998</v>
      </c>
      <c r="W330" s="337"/>
      <c r="X330" s="341" t="s">
        <v>1401</v>
      </c>
      <c r="Y330" s="341" t="s">
        <v>1185</v>
      </c>
      <c r="Z330" s="338" t="s">
        <v>367</v>
      </c>
      <c r="AA330" s="350"/>
      <c r="AB330" s="350"/>
      <c r="AC330" s="350"/>
      <c r="AD330" s="351"/>
    </row>
    <row r="331" spans="1:30" x14ac:dyDescent="0.2">
      <c r="A331" s="321"/>
      <c r="B331" s="355"/>
      <c r="C331" s="355"/>
      <c r="D331" s="355"/>
      <c r="E331" s="355"/>
      <c r="F331" s="335">
        <v>413</v>
      </c>
      <c r="G331" s="355"/>
      <c r="H331" s="312"/>
      <c r="I331" s="355"/>
      <c r="J331" s="355"/>
      <c r="K331" s="334"/>
      <c r="L331" s="334"/>
      <c r="M331" s="355"/>
      <c r="N331" s="355"/>
      <c r="O331" s="355"/>
      <c r="P331" s="355"/>
      <c r="Q331" s="355"/>
      <c r="R331" s="355"/>
      <c r="S331" s="355"/>
      <c r="T331" s="355"/>
      <c r="U331" s="366"/>
      <c r="V331" s="366"/>
      <c r="W331" s="337" t="s">
        <v>1413</v>
      </c>
      <c r="X331" s="325"/>
      <c r="Y331" s="325"/>
      <c r="Z331" s="338"/>
      <c r="AA331" s="350"/>
      <c r="AB331" s="350"/>
      <c r="AC331" s="350"/>
      <c r="AD331" s="351"/>
    </row>
    <row r="332" spans="1:30" x14ac:dyDescent="0.2">
      <c r="A332" s="327">
        <v>162</v>
      </c>
      <c r="B332" s="355" t="s">
        <v>859</v>
      </c>
      <c r="C332" s="355" t="s">
        <v>199</v>
      </c>
      <c r="D332" s="355" t="s">
        <v>38</v>
      </c>
      <c r="E332" s="355" t="s">
        <v>859</v>
      </c>
      <c r="F332" s="335"/>
      <c r="G332" s="355"/>
      <c r="H332" s="328">
        <f>H330+F331</f>
        <v>61606.705999999998</v>
      </c>
      <c r="I332" s="355">
        <v>464.541</v>
      </c>
      <c r="J332" s="334">
        <v>75.5</v>
      </c>
      <c r="K332" s="334">
        <f>F331+F333</f>
        <v>826</v>
      </c>
      <c r="L332" s="334">
        <f>K332/2</f>
        <v>413</v>
      </c>
      <c r="M332" s="355">
        <v>259</v>
      </c>
      <c r="N332" s="355">
        <v>221</v>
      </c>
      <c r="O332" s="355">
        <v>480</v>
      </c>
      <c r="P332" s="355">
        <v>244</v>
      </c>
      <c r="Q332" s="355">
        <v>217</v>
      </c>
      <c r="R332" s="355">
        <v>461</v>
      </c>
      <c r="S332" s="355" t="s">
        <v>1414</v>
      </c>
      <c r="T332" s="355" t="s">
        <v>1415</v>
      </c>
      <c r="U332" s="366">
        <v>573524.00199999998</v>
      </c>
      <c r="V332" s="366">
        <v>2655607.4580000001</v>
      </c>
      <c r="W332" s="337"/>
      <c r="X332" s="341" t="s">
        <v>1401</v>
      </c>
      <c r="Y332" s="341" t="s">
        <v>1185</v>
      </c>
      <c r="Z332" s="338" t="s">
        <v>367</v>
      </c>
      <c r="AA332" s="350"/>
      <c r="AB332" s="350"/>
      <c r="AC332" s="350"/>
      <c r="AD332" s="351"/>
    </row>
    <row r="333" spans="1:30" x14ac:dyDescent="0.2">
      <c r="A333" s="321"/>
      <c r="B333" s="355"/>
      <c r="C333" s="355"/>
      <c r="D333" s="355"/>
      <c r="E333" s="355"/>
      <c r="F333" s="335">
        <v>413</v>
      </c>
      <c r="G333" s="355"/>
      <c r="H333" s="312"/>
      <c r="I333" s="355"/>
      <c r="J333" s="355"/>
      <c r="K333" s="334"/>
      <c r="L333" s="334"/>
      <c r="M333" s="355"/>
      <c r="N333" s="355"/>
      <c r="O333" s="355"/>
      <c r="P333" s="355"/>
      <c r="Q333" s="355"/>
      <c r="R333" s="355"/>
      <c r="S333" s="355"/>
      <c r="T333" s="355"/>
      <c r="U333" s="366"/>
      <c r="V333" s="366"/>
      <c r="W333" s="337" t="s">
        <v>1157</v>
      </c>
      <c r="X333" s="325"/>
      <c r="Y333" s="325"/>
      <c r="Z333" s="338"/>
      <c r="AA333" s="350"/>
      <c r="AB333" s="350"/>
      <c r="AC333" s="350"/>
      <c r="AD333" s="351"/>
    </row>
    <row r="334" spans="1:30" x14ac:dyDescent="0.2">
      <c r="A334" s="327">
        <v>163</v>
      </c>
      <c r="B334" s="355" t="s">
        <v>859</v>
      </c>
      <c r="C334" s="355" t="s">
        <v>200</v>
      </c>
      <c r="D334" s="355" t="s">
        <v>36</v>
      </c>
      <c r="E334" s="355" t="s">
        <v>859</v>
      </c>
      <c r="F334" s="335"/>
      <c r="G334" s="355"/>
      <c r="H334" s="328">
        <f>H332+F333</f>
        <v>62019.705999999998</v>
      </c>
      <c r="I334" s="358">
        <v>464.78899999999999</v>
      </c>
      <c r="J334" s="334">
        <v>72.5</v>
      </c>
      <c r="K334" s="334">
        <f>F333+F335</f>
        <v>840</v>
      </c>
      <c r="L334" s="334">
        <f>K334/2</f>
        <v>420</v>
      </c>
      <c r="M334" s="355">
        <v>193</v>
      </c>
      <c r="N334" s="355">
        <v>136</v>
      </c>
      <c r="O334" s="355">
        <v>329</v>
      </c>
      <c r="P334" s="355">
        <v>197</v>
      </c>
      <c r="Q334" s="355">
        <v>160</v>
      </c>
      <c r="R334" s="355">
        <v>357</v>
      </c>
      <c r="S334" s="355" t="s">
        <v>1416</v>
      </c>
      <c r="T334" s="355" t="s">
        <v>1417</v>
      </c>
      <c r="U334" s="366">
        <v>573898.46600000001</v>
      </c>
      <c r="V334" s="366">
        <v>2655433.2570000002</v>
      </c>
      <c r="W334" s="337"/>
      <c r="X334" s="341" t="s">
        <v>1418</v>
      </c>
      <c r="Y334" s="341" t="s">
        <v>1185</v>
      </c>
      <c r="Z334" s="338" t="s">
        <v>367</v>
      </c>
      <c r="AA334" s="350"/>
      <c r="AB334" s="350"/>
      <c r="AC334" s="350"/>
      <c r="AD334" s="351"/>
    </row>
    <row r="335" spans="1:30" x14ac:dyDescent="0.2">
      <c r="A335" s="321"/>
      <c r="B335" s="355"/>
      <c r="C335" s="355"/>
      <c r="D335" s="355"/>
      <c r="E335" s="355"/>
      <c r="F335" s="335">
        <v>427</v>
      </c>
      <c r="G335" s="355"/>
      <c r="H335" s="312"/>
      <c r="I335" s="355"/>
      <c r="J335" s="355"/>
      <c r="K335" s="334"/>
      <c r="L335" s="334"/>
      <c r="M335" s="355"/>
      <c r="N335" s="355"/>
      <c r="O335" s="355"/>
      <c r="P335" s="355"/>
      <c r="Q335" s="355"/>
      <c r="R335" s="355"/>
      <c r="S335" s="355"/>
      <c r="T335" s="355"/>
      <c r="U335" s="366"/>
      <c r="V335" s="366"/>
      <c r="W335" s="337" t="s">
        <v>1419</v>
      </c>
      <c r="X335" s="325"/>
      <c r="Y335" s="325"/>
      <c r="Z335" s="338"/>
      <c r="AA335" s="350"/>
      <c r="AB335" s="350"/>
      <c r="AC335" s="350"/>
      <c r="AD335" s="351"/>
    </row>
    <row r="336" spans="1:30" x14ac:dyDescent="0.2">
      <c r="A336" s="327">
        <v>164</v>
      </c>
      <c r="B336" s="355" t="s">
        <v>1420</v>
      </c>
      <c r="C336" s="355" t="s">
        <v>201</v>
      </c>
      <c r="D336" s="355" t="s">
        <v>202</v>
      </c>
      <c r="E336" s="355" t="s">
        <v>1421</v>
      </c>
      <c r="F336" s="335"/>
      <c r="G336" s="355">
        <f>SUM(F319:F335)</f>
        <v>3628</v>
      </c>
      <c r="H336" s="328">
        <f>H334+F335</f>
        <v>62446.705999999998</v>
      </c>
      <c r="I336" s="355">
        <v>468.46</v>
      </c>
      <c r="J336" s="355">
        <v>82.72</v>
      </c>
      <c r="K336" s="334">
        <f>F335+F337</f>
        <v>647</v>
      </c>
      <c r="L336" s="334">
        <f>K336/2</f>
        <v>323.5</v>
      </c>
      <c r="M336" s="355">
        <v>291</v>
      </c>
      <c r="N336" s="355">
        <v>148</v>
      </c>
      <c r="O336" s="355">
        <v>439</v>
      </c>
      <c r="P336" s="355">
        <v>269</v>
      </c>
      <c r="Q336" s="355">
        <v>127</v>
      </c>
      <c r="R336" s="355">
        <v>396</v>
      </c>
      <c r="S336" s="355" t="s">
        <v>1422</v>
      </c>
      <c r="T336" s="355" t="s">
        <v>1423</v>
      </c>
      <c r="U336" s="366">
        <v>574285.62300000002</v>
      </c>
      <c r="V336" s="366">
        <v>2655253.1519999998</v>
      </c>
      <c r="W336" s="337"/>
      <c r="X336" s="341" t="s">
        <v>1418</v>
      </c>
      <c r="Y336" s="341" t="s">
        <v>1185</v>
      </c>
      <c r="Z336" s="338" t="s">
        <v>367</v>
      </c>
      <c r="AA336" s="350"/>
      <c r="AB336" s="350"/>
      <c r="AC336" s="350"/>
      <c r="AD336" s="351"/>
    </row>
    <row r="337" spans="1:31" ht="25.5" x14ac:dyDescent="0.2">
      <c r="A337" s="321"/>
      <c r="B337" s="355"/>
      <c r="C337" s="355"/>
      <c r="D337" s="355"/>
      <c r="E337" s="355"/>
      <c r="F337" s="335">
        <v>220</v>
      </c>
      <c r="G337" s="355"/>
      <c r="H337" s="312"/>
      <c r="I337" s="355"/>
      <c r="J337" s="355"/>
      <c r="K337" s="334"/>
      <c r="L337" s="334"/>
      <c r="M337" s="355"/>
      <c r="N337" s="355"/>
      <c r="O337" s="355"/>
      <c r="P337" s="355"/>
      <c r="Q337" s="355"/>
      <c r="R337" s="355"/>
      <c r="S337" s="355"/>
      <c r="T337" s="355"/>
      <c r="U337" s="366"/>
      <c r="V337" s="366"/>
      <c r="W337" s="344" t="s">
        <v>1424</v>
      </c>
      <c r="X337" s="325"/>
      <c r="Y337" s="325"/>
      <c r="Z337" s="338"/>
      <c r="AA337" s="350"/>
      <c r="AB337" s="350"/>
      <c r="AC337" s="350"/>
      <c r="AD337" s="351"/>
    </row>
    <row r="338" spans="1:31" x14ac:dyDescent="0.2">
      <c r="A338" s="327">
        <v>165</v>
      </c>
      <c r="B338" s="355" t="s">
        <v>1425</v>
      </c>
      <c r="C338" s="355" t="s">
        <v>203</v>
      </c>
      <c r="D338" s="355" t="s">
        <v>123</v>
      </c>
      <c r="E338" s="355" t="s">
        <v>1426</v>
      </c>
      <c r="F338" s="335"/>
      <c r="G338" s="355">
        <f>F337</f>
        <v>220</v>
      </c>
      <c r="H338" s="328">
        <f>H336+F337</f>
        <v>62666.705999999998</v>
      </c>
      <c r="I338" s="355">
        <v>468.33499999999998</v>
      </c>
      <c r="J338" s="334">
        <v>79.72</v>
      </c>
      <c r="K338" s="334">
        <f>F337+F339</f>
        <v>650</v>
      </c>
      <c r="L338" s="334">
        <f>K338/2</f>
        <v>325</v>
      </c>
      <c r="M338" s="355">
        <v>73</v>
      </c>
      <c r="N338" s="355">
        <v>273</v>
      </c>
      <c r="O338" s="355">
        <v>346</v>
      </c>
      <c r="P338" s="355">
        <v>94</v>
      </c>
      <c r="Q338" s="355">
        <v>255</v>
      </c>
      <c r="R338" s="355">
        <v>349</v>
      </c>
      <c r="S338" s="355" t="s">
        <v>1427</v>
      </c>
      <c r="T338" s="355" t="s">
        <v>1428</v>
      </c>
      <c r="U338" s="366">
        <v>574496.58499999996</v>
      </c>
      <c r="V338" s="366">
        <v>2655315.5630000001</v>
      </c>
      <c r="W338" s="337"/>
      <c r="X338" s="341" t="s">
        <v>1418</v>
      </c>
      <c r="Y338" s="341" t="s">
        <v>1185</v>
      </c>
      <c r="Z338" s="338" t="s">
        <v>367</v>
      </c>
      <c r="AA338" s="350"/>
      <c r="AB338" s="350"/>
      <c r="AC338" s="350"/>
      <c r="AD338" s="351"/>
    </row>
    <row r="339" spans="1:31" x14ac:dyDescent="0.2">
      <c r="A339" s="321"/>
      <c r="B339" s="355"/>
      <c r="C339" s="355"/>
      <c r="D339" s="355"/>
      <c r="E339" s="355"/>
      <c r="F339" s="335">
        <v>430</v>
      </c>
      <c r="G339" s="355"/>
      <c r="H339" s="312"/>
      <c r="I339" s="355"/>
      <c r="J339" s="355"/>
      <c r="K339" s="334"/>
      <c r="L339" s="334"/>
      <c r="M339" s="355"/>
      <c r="N339" s="355"/>
      <c r="O339" s="355"/>
      <c r="P339" s="355"/>
      <c r="Q339" s="355"/>
      <c r="R339" s="355"/>
      <c r="S339" s="355"/>
      <c r="T339" s="355"/>
      <c r="U339" s="366"/>
      <c r="V339" s="366"/>
      <c r="W339" s="337" t="s">
        <v>1429</v>
      </c>
      <c r="X339" s="325"/>
      <c r="Y339" s="325"/>
      <c r="Z339" s="338"/>
      <c r="AA339" s="350"/>
      <c r="AB339" s="350"/>
      <c r="AC339" s="350"/>
      <c r="AD339" s="351"/>
    </row>
    <row r="340" spans="1:31" x14ac:dyDescent="0.2">
      <c r="A340" s="327">
        <v>166</v>
      </c>
      <c r="B340" s="355" t="s">
        <v>859</v>
      </c>
      <c r="C340" s="355" t="s">
        <v>204</v>
      </c>
      <c r="D340" s="355" t="s">
        <v>28</v>
      </c>
      <c r="E340" s="355" t="s">
        <v>859</v>
      </c>
      <c r="F340" s="335"/>
      <c r="G340" s="355"/>
      <c r="H340" s="328">
        <f>H338+F339</f>
        <v>63096.705999999998</v>
      </c>
      <c r="I340" s="355">
        <v>468.90199999999999</v>
      </c>
      <c r="J340" s="334">
        <v>69.5</v>
      </c>
      <c r="K340" s="334">
        <f>F339+F341</f>
        <v>774</v>
      </c>
      <c r="L340" s="334">
        <f>K340/2</f>
        <v>387</v>
      </c>
      <c r="M340" s="355">
        <v>158</v>
      </c>
      <c r="N340" s="355">
        <v>149</v>
      </c>
      <c r="O340" s="355">
        <v>307</v>
      </c>
      <c r="P340" s="355">
        <v>177</v>
      </c>
      <c r="Q340" s="355">
        <v>157</v>
      </c>
      <c r="R340" s="355">
        <v>334</v>
      </c>
      <c r="S340" s="355" t="s">
        <v>1430</v>
      </c>
      <c r="T340" s="355" t="s">
        <v>1431</v>
      </c>
      <c r="U340" s="366">
        <v>574897.53500000003</v>
      </c>
      <c r="V340" s="366">
        <v>2655160.1940000001</v>
      </c>
      <c r="W340" s="337"/>
      <c r="X340" s="341" t="s">
        <v>1418</v>
      </c>
      <c r="Y340" s="341" t="s">
        <v>1185</v>
      </c>
      <c r="Z340" s="338" t="s">
        <v>367</v>
      </c>
      <c r="AA340" s="350"/>
      <c r="AB340" s="350"/>
      <c r="AC340" s="350"/>
      <c r="AD340" s="351"/>
    </row>
    <row r="341" spans="1:31" x14ac:dyDescent="0.2">
      <c r="A341" s="321"/>
      <c r="B341" s="355"/>
      <c r="C341" s="355"/>
      <c r="D341" s="355"/>
      <c r="E341" s="355"/>
      <c r="F341" s="335">
        <v>344</v>
      </c>
      <c r="G341" s="355"/>
      <c r="H341" s="312"/>
      <c r="I341" s="355"/>
      <c r="J341" s="355"/>
      <c r="K341" s="334"/>
      <c r="L341" s="334"/>
      <c r="M341" s="355"/>
      <c r="N341" s="355"/>
      <c r="O341" s="355"/>
      <c r="P341" s="355"/>
      <c r="Q341" s="355"/>
      <c r="R341" s="355"/>
      <c r="S341" s="355"/>
      <c r="T341" s="355"/>
      <c r="U341" s="366"/>
      <c r="V341" s="366"/>
      <c r="W341" s="337" t="s">
        <v>948</v>
      </c>
      <c r="X341" s="325"/>
      <c r="Y341" s="325"/>
      <c r="Z341" s="338"/>
      <c r="AA341" s="350"/>
      <c r="AB341" s="350"/>
      <c r="AC341" s="350"/>
      <c r="AD341" s="351"/>
    </row>
    <row r="342" spans="1:31" x14ac:dyDescent="0.2">
      <c r="A342" s="327">
        <v>167</v>
      </c>
      <c r="B342" s="355" t="s">
        <v>859</v>
      </c>
      <c r="C342" s="355" t="s">
        <v>205</v>
      </c>
      <c r="D342" s="355" t="s">
        <v>36</v>
      </c>
      <c r="E342" s="355" t="s">
        <v>859</v>
      </c>
      <c r="F342" s="335"/>
      <c r="G342" s="355"/>
      <c r="H342" s="328">
        <f>H340+F341</f>
        <v>63440.705999999998</v>
      </c>
      <c r="I342" s="358">
        <v>469.53</v>
      </c>
      <c r="J342" s="334">
        <v>72.5</v>
      </c>
      <c r="K342" s="334">
        <f>F341+F343</f>
        <v>717</v>
      </c>
      <c r="L342" s="334">
        <f>K342/2</f>
        <v>358.5</v>
      </c>
      <c r="M342" s="355">
        <v>195</v>
      </c>
      <c r="N342" s="355">
        <v>191</v>
      </c>
      <c r="O342" s="355">
        <v>386</v>
      </c>
      <c r="P342" s="355">
        <v>188</v>
      </c>
      <c r="Q342" s="355">
        <v>190</v>
      </c>
      <c r="R342" s="355">
        <v>378</v>
      </c>
      <c r="S342" s="355" t="s">
        <v>1432</v>
      </c>
      <c r="T342" s="355" t="s">
        <v>1433</v>
      </c>
      <c r="U342" s="366">
        <v>575218.29399999999</v>
      </c>
      <c r="V342" s="366">
        <v>2655035.8990000002</v>
      </c>
      <c r="W342" s="337"/>
      <c r="X342" s="341" t="s">
        <v>1434</v>
      </c>
      <c r="Y342" s="341" t="s">
        <v>1185</v>
      </c>
      <c r="Z342" s="338" t="s">
        <v>367</v>
      </c>
      <c r="AA342" s="350"/>
      <c r="AB342" s="350"/>
      <c r="AC342" s="350"/>
      <c r="AD342" s="351"/>
    </row>
    <row r="343" spans="1:31" x14ac:dyDescent="0.2">
      <c r="A343" s="321"/>
      <c r="B343" s="355"/>
      <c r="C343" s="355"/>
      <c r="D343" s="355"/>
      <c r="E343" s="355"/>
      <c r="F343" s="335">
        <v>373</v>
      </c>
      <c r="G343" s="355"/>
      <c r="H343" s="312"/>
      <c r="I343" s="355"/>
      <c r="J343" s="355"/>
      <c r="K343" s="334"/>
      <c r="L343" s="334"/>
      <c r="M343" s="355"/>
      <c r="N343" s="355"/>
      <c r="O343" s="355"/>
      <c r="P343" s="355"/>
      <c r="Q343" s="355"/>
      <c r="R343" s="355"/>
      <c r="S343" s="355"/>
      <c r="T343" s="355"/>
      <c r="U343" s="366"/>
      <c r="V343" s="366"/>
      <c r="W343" s="337" t="s">
        <v>1435</v>
      </c>
      <c r="X343" s="325"/>
      <c r="Y343" s="325"/>
      <c r="Z343" s="338"/>
      <c r="AA343" s="350"/>
      <c r="AB343" s="350"/>
      <c r="AC343" s="350"/>
      <c r="AD343" s="351"/>
    </row>
    <row r="344" spans="1:31" x14ac:dyDescent="0.2">
      <c r="A344" s="327">
        <v>168</v>
      </c>
      <c r="B344" s="355" t="s">
        <v>859</v>
      </c>
      <c r="C344" s="355" t="s">
        <v>206</v>
      </c>
      <c r="D344" s="355" t="s">
        <v>28</v>
      </c>
      <c r="E344" s="355" t="s">
        <v>859</v>
      </c>
      <c r="F344" s="335"/>
      <c r="G344" s="355"/>
      <c r="H344" s="328">
        <f>H342+F343</f>
        <v>63813.705999999998</v>
      </c>
      <c r="I344" s="355">
        <v>471.87</v>
      </c>
      <c r="J344" s="334">
        <v>69.5</v>
      </c>
      <c r="K344" s="334">
        <f>F343+F345</f>
        <v>762</v>
      </c>
      <c r="L344" s="334">
        <f>K344/2</f>
        <v>381</v>
      </c>
      <c r="M344" s="355">
        <v>183</v>
      </c>
      <c r="N344" s="355">
        <v>157</v>
      </c>
      <c r="O344" s="355">
        <v>340</v>
      </c>
      <c r="P344" s="355">
        <v>184</v>
      </c>
      <c r="Q344" s="355">
        <v>169</v>
      </c>
      <c r="R344" s="355">
        <v>353</v>
      </c>
      <c r="S344" s="355" t="s">
        <v>1436</v>
      </c>
      <c r="T344" s="355" t="s">
        <v>1437</v>
      </c>
      <c r="U344" s="366">
        <v>575566.09499999997</v>
      </c>
      <c r="V344" s="366">
        <v>2654901.1260000002</v>
      </c>
      <c r="W344" s="337"/>
      <c r="X344" s="341" t="s">
        <v>1434</v>
      </c>
      <c r="Y344" s="341" t="s">
        <v>1185</v>
      </c>
      <c r="Z344" s="338" t="s">
        <v>367</v>
      </c>
      <c r="AA344" s="350"/>
      <c r="AB344" s="350"/>
      <c r="AC344" s="350"/>
      <c r="AD344" s="351"/>
    </row>
    <row r="345" spans="1:31" x14ac:dyDescent="0.2">
      <c r="A345" s="321"/>
      <c r="B345" s="355"/>
      <c r="C345" s="355"/>
      <c r="D345" s="355"/>
      <c r="E345" s="355"/>
      <c r="F345" s="335">
        <v>389</v>
      </c>
      <c r="G345" s="355"/>
      <c r="H345" s="312"/>
      <c r="I345" s="355"/>
      <c r="J345" s="355"/>
      <c r="K345" s="334"/>
      <c r="L345" s="334"/>
      <c r="M345" s="355"/>
      <c r="N345" s="355"/>
      <c r="O345" s="355"/>
      <c r="P345" s="355"/>
      <c r="Q345" s="355"/>
      <c r="R345" s="355"/>
      <c r="S345" s="355"/>
      <c r="T345" s="355"/>
      <c r="U345" s="366"/>
      <c r="V345" s="366"/>
      <c r="W345" s="337" t="s">
        <v>1438</v>
      </c>
      <c r="X345" s="325"/>
      <c r="Y345" s="325"/>
      <c r="Z345" s="338"/>
      <c r="AA345" s="350"/>
      <c r="AB345" s="350"/>
      <c r="AC345" s="350"/>
      <c r="AD345" s="351"/>
    </row>
    <row r="346" spans="1:31" x14ac:dyDescent="0.2">
      <c r="A346" s="327">
        <v>169</v>
      </c>
      <c r="B346" s="355" t="s">
        <v>859</v>
      </c>
      <c r="C346" s="355" t="s">
        <v>207</v>
      </c>
      <c r="D346" s="355" t="s">
        <v>38</v>
      </c>
      <c r="E346" s="355" t="s">
        <v>859</v>
      </c>
      <c r="F346" s="335"/>
      <c r="G346" s="355"/>
      <c r="H346" s="328">
        <f>H344+F345</f>
        <v>64202.705999999998</v>
      </c>
      <c r="I346" s="355">
        <v>472.76100000000002</v>
      </c>
      <c r="J346" s="334">
        <v>75.5</v>
      </c>
      <c r="K346" s="334">
        <f>F345+F347</f>
        <v>833</v>
      </c>
      <c r="L346" s="334">
        <f>K346/2</f>
        <v>416.5</v>
      </c>
      <c r="M346" s="355">
        <v>233</v>
      </c>
      <c r="N346" s="355">
        <v>196</v>
      </c>
      <c r="O346" s="355">
        <v>429</v>
      </c>
      <c r="P346" s="355">
        <v>221</v>
      </c>
      <c r="Q346" s="355">
        <v>205</v>
      </c>
      <c r="R346" s="355">
        <v>426</v>
      </c>
      <c r="S346" s="355" t="s">
        <v>1439</v>
      </c>
      <c r="T346" s="355" t="s">
        <v>1440</v>
      </c>
      <c r="U346" s="366">
        <v>575928.81400000001</v>
      </c>
      <c r="V346" s="366">
        <v>2654760.571</v>
      </c>
      <c r="W346" s="337"/>
      <c r="X346" s="341" t="s">
        <v>1434</v>
      </c>
      <c r="Y346" s="341" t="s">
        <v>1185</v>
      </c>
      <c r="Z346" s="338" t="s">
        <v>367</v>
      </c>
      <c r="AA346" s="350"/>
      <c r="AB346" s="350"/>
      <c r="AC346" s="350"/>
      <c r="AD346" s="351"/>
    </row>
    <row r="347" spans="1:31" ht="25.5" x14ac:dyDescent="0.2">
      <c r="A347" s="321"/>
      <c r="B347" s="355"/>
      <c r="C347" s="355"/>
      <c r="D347" s="355"/>
      <c r="E347" s="355"/>
      <c r="F347" s="335">
        <v>444</v>
      </c>
      <c r="G347" s="355"/>
      <c r="H347" s="312"/>
      <c r="I347" s="355"/>
      <c r="J347" s="355"/>
      <c r="K347" s="334"/>
      <c r="L347" s="334"/>
      <c r="M347" s="355"/>
      <c r="N347" s="355"/>
      <c r="O347" s="355"/>
      <c r="P347" s="355"/>
      <c r="Q347" s="355"/>
      <c r="R347" s="355"/>
      <c r="S347" s="355"/>
      <c r="T347" s="355"/>
      <c r="U347" s="366"/>
      <c r="V347" s="366"/>
      <c r="W347" s="337" t="s">
        <v>1441</v>
      </c>
      <c r="X347" s="325"/>
      <c r="Y347" s="325"/>
      <c r="Z347" s="338"/>
      <c r="AA347" s="350"/>
      <c r="AB347" s="350"/>
      <c r="AC347" s="350"/>
      <c r="AD347" s="351"/>
    </row>
    <row r="348" spans="1:31" x14ac:dyDescent="0.2">
      <c r="A348" s="327">
        <v>170</v>
      </c>
      <c r="B348" s="355" t="s">
        <v>859</v>
      </c>
      <c r="C348" s="355" t="s">
        <v>208</v>
      </c>
      <c r="D348" s="355" t="s">
        <v>21</v>
      </c>
      <c r="E348" s="355" t="s">
        <v>859</v>
      </c>
      <c r="F348" s="335"/>
      <c r="G348" s="355"/>
      <c r="H348" s="328">
        <f>H346+F347</f>
        <v>64646.705999999998</v>
      </c>
      <c r="I348" s="355">
        <v>475.15699999999998</v>
      </c>
      <c r="J348" s="334">
        <v>78.5</v>
      </c>
      <c r="K348" s="334">
        <f>F347+F349</f>
        <v>752</v>
      </c>
      <c r="L348" s="334">
        <f>K348/2</f>
        <v>376</v>
      </c>
      <c r="M348" s="355">
        <v>249</v>
      </c>
      <c r="N348" s="355">
        <v>203</v>
      </c>
      <c r="O348" s="355">
        <v>452</v>
      </c>
      <c r="P348" s="355">
        <v>241</v>
      </c>
      <c r="Q348" s="355">
        <v>188</v>
      </c>
      <c r="R348" s="355">
        <v>429</v>
      </c>
      <c r="S348" s="355" t="s">
        <v>1442</v>
      </c>
      <c r="T348" s="355" t="s">
        <v>1443</v>
      </c>
      <c r="U348" s="366">
        <v>576342.81799999997</v>
      </c>
      <c r="V348" s="366">
        <v>2654600.1439999999</v>
      </c>
      <c r="W348" s="346" t="s">
        <v>1116</v>
      </c>
      <c r="X348" s="341" t="s">
        <v>1434</v>
      </c>
      <c r="Y348" s="341" t="s">
        <v>1185</v>
      </c>
      <c r="Z348" s="338" t="s">
        <v>367</v>
      </c>
      <c r="AA348" s="353">
        <v>2</v>
      </c>
      <c r="AB348" s="353">
        <v>1</v>
      </c>
      <c r="AC348" s="353">
        <v>0</v>
      </c>
      <c r="AD348" s="354">
        <v>1</v>
      </c>
      <c r="AE348" s="352" t="s">
        <v>1046</v>
      </c>
    </row>
    <row r="349" spans="1:31" ht="25.5" x14ac:dyDescent="0.2">
      <c r="A349" s="321"/>
      <c r="B349" s="355"/>
      <c r="C349" s="355"/>
      <c r="D349" s="355"/>
      <c r="E349" s="355"/>
      <c r="F349" s="335">
        <v>308</v>
      </c>
      <c r="G349" s="355"/>
      <c r="H349" s="312"/>
      <c r="I349" s="355"/>
      <c r="J349" s="355"/>
      <c r="K349" s="334"/>
      <c r="L349" s="334"/>
      <c r="M349" s="355"/>
      <c r="N349" s="355"/>
      <c r="O349" s="355"/>
      <c r="P349" s="355"/>
      <c r="Q349" s="355"/>
      <c r="R349" s="355"/>
      <c r="S349" s="355"/>
      <c r="T349" s="355"/>
      <c r="U349" s="366"/>
      <c r="V349" s="366"/>
      <c r="W349" s="337" t="s">
        <v>1444</v>
      </c>
      <c r="X349" s="325"/>
      <c r="Y349" s="325"/>
      <c r="Z349" s="338"/>
      <c r="AA349" s="350"/>
      <c r="AB349" s="350"/>
      <c r="AC349" s="350"/>
      <c r="AD349" s="351"/>
    </row>
    <row r="350" spans="1:31" x14ac:dyDescent="0.2">
      <c r="A350" s="327">
        <v>171</v>
      </c>
      <c r="B350" s="355" t="s">
        <v>859</v>
      </c>
      <c r="C350" s="355" t="s">
        <v>209</v>
      </c>
      <c r="D350" s="355" t="s">
        <v>28</v>
      </c>
      <c r="E350" s="355" t="s">
        <v>859</v>
      </c>
      <c r="F350" s="335"/>
      <c r="G350" s="355"/>
      <c r="H350" s="328">
        <f>H348+F349</f>
        <v>64954.705999999998</v>
      </c>
      <c r="I350" s="355">
        <v>477.11700000000002</v>
      </c>
      <c r="J350" s="334">
        <v>69.5</v>
      </c>
      <c r="K350" s="334">
        <f>F349+F351</f>
        <v>653</v>
      </c>
      <c r="L350" s="334">
        <f>K350/2</f>
        <v>326.5</v>
      </c>
      <c r="M350" s="355">
        <v>105</v>
      </c>
      <c r="N350" s="355">
        <v>133</v>
      </c>
      <c r="O350" s="355">
        <v>238</v>
      </c>
      <c r="P350" s="355">
        <v>121</v>
      </c>
      <c r="Q350" s="355">
        <v>146</v>
      </c>
      <c r="R350" s="355">
        <v>267</v>
      </c>
      <c r="S350" s="355" t="s">
        <v>1445</v>
      </c>
      <c r="T350" s="355" t="s">
        <v>1446</v>
      </c>
      <c r="U350" s="366">
        <v>576630.00899999996</v>
      </c>
      <c r="V350" s="366">
        <v>2654488.8560000001</v>
      </c>
      <c r="W350" s="337"/>
      <c r="X350" s="341" t="s">
        <v>1434</v>
      </c>
      <c r="Y350" s="341" t="s">
        <v>1185</v>
      </c>
      <c r="Z350" s="338" t="s">
        <v>367</v>
      </c>
      <c r="AA350" s="350"/>
      <c r="AB350" s="350"/>
      <c r="AC350" s="350"/>
      <c r="AD350" s="351"/>
    </row>
    <row r="351" spans="1:31" x14ac:dyDescent="0.2">
      <c r="A351" s="321"/>
      <c r="B351" s="355"/>
      <c r="C351" s="355"/>
      <c r="D351" s="355"/>
      <c r="E351" s="355"/>
      <c r="F351" s="335">
        <v>345</v>
      </c>
      <c r="G351" s="355"/>
      <c r="H351" s="312"/>
      <c r="I351" s="355"/>
      <c r="J351" s="355"/>
      <c r="K351" s="334"/>
      <c r="L351" s="334"/>
      <c r="M351" s="355"/>
      <c r="N351" s="355"/>
      <c r="O351" s="355"/>
      <c r="P351" s="355"/>
      <c r="Q351" s="355"/>
      <c r="R351" s="355"/>
      <c r="S351" s="355"/>
      <c r="T351" s="355"/>
      <c r="U351" s="366"/>
      <c r="V351" s="366"/>
      <c r="W351" s="337" t="s">
        <v>1447</v>
      </c>
      <c r="X351" s="325"/>
      <c r="Y351" s="325"/>
      <c r="Z351" s="338"/>
      <c r="AA351" s="350"/>
      <c r="AB351" s="350"/>
      <c r="AC351" s="350"/>
      <c r="AD351" s="351"/>
    </row>
    <row r="352" spans="1:31" x14ac:dyDescent="0.2">
      <c r="A352" s="327">
        <v>172</v>
      </c>
      <c r="B352" s="355" t="s">
        <v>859</v>
      </c>
      <c r="C352" s="355" t="s">
        <v>210</v>
      </c>
      <c r="D352" s="355" t="s">
        <v>36</v>
      </c>
      <c r="E352" s="355" t="s">
        <v>859</v>
      </c>
      <c r="F352" s="335"/>
      <c r="G352" s="355"/>
      <c r="H352" s="328">
        <f>H350+F351</f>
        <v>65299.705999999998</v>
      </c>
      <c r="I352" s="358">
        <v>480.41300000000001</v>
      </c>
      <c r="J352" s="334">
        <v>72.5</v>
      </c>
      <c r="K352" s="334">
        <f>F351+F353</f>
        <v>770</v>
      </c>
      <c r="L352" s="334">
        <f>K352/2</f>
        <v>385</v>
      </c>
      <c r="M352" s="355">
        <v>212</v>
      </c>
      <c r="N352" s="355">
        <v>173</v>
      </c>
      <c r="O352" s="355">
        <v>385</v>
      </c>
      <c r="P352" s="355">
        <v>200</v>
      </c>
      <c r="Q352" s="355">
        <v>186</v>
      </c>
      <c r="R352" s="355">
        <v>386</v>
      </c>
      <c r="S352" s="355" t="s">
        <v>1448</v>
      </c>
      <c r="T352" s="355" t="s">
        <v>1449</v>
      </c>
      <c r="U352" s="366">
        <v>576951.701</v>
      </c>
      <c r="V352" s="366">
        <v>2654364.2000000002</v>
      </c>
      <c r="W352" s="337"/>
      <c r="X352" s="341" t="s">
        <v>1434</v>
      </c>
      <c r="Y352" s="341" t="s">
        <v>1185</v>
      </c>
      <c r="Z352" s="338" t="s">
        <v>367</v>
      </c>
      <c r="AA352" s="350"/>
      <c r="AB352" s="350"/>
      <c r="AC352" s="350"/>
      <c r="AD352" s="351"/>
    </row>
    <row r="353" spans="1:30" x14ac:dyDescent="0.2">
      <c r="A353" s="321"/>
      <c r="B353" s="355"/>
      <c r="C353" s="355"/>
      <c r="D353" s="355"/>
      <c r="E353" s="355"/>
      <c r="F353" s="335">
        <v>425</v>
      </c>
      <c r="G353" s="355"/>
      <c r="H353" s="312"/>
      <c r="I353" s="355"/>
      <c r="J353" s="355"/>
      <c r="K353" s="334"/>
      <c r="L353" s="334"/>
      <c r="M353" s="355"/>
      <c r="N353" s="355"/>
      <c r="O353" s="355"/>
      <c r="P353" s="355"/>
      <c r="Q353" s="355"/>
      <c r="R353" s="355"/>
      <c r="S353" s="355"/>
      <c r="T353" s="355"/>
      <c r="U353" s="366"/>
      <c r="V353" s="366"/>
      <c r="W353" s="337" t="s">
        <v>1450</v>
      </c>
      <c r="X353" s="325"/>
      <c r="Y353" s="325"/>
      <c r="Z353" s="338"/>
      <c r="AA353" s="350"/>
      <c r="AB353" s="350"/>
      <c r="AC353" s="350"/>
      <c r="AD353" s="351"/>
    </row>
    <row r="354" spans="1:30" x14ac:dyDescent="0.2">
      <c r="A354" s="327">
        <v>173</v>
      </c>
      <c r="B354" s="355" t="s">
        <v>859</v>
      </c>
      <c r="C354" s="355" t="s">
        <v>211</v>
      </c>
      <c r="D354" s="355" t="s">
        <v>21</v>
      </c>
      <c r="E354" s="355" t="s">
        <v>859</v>
      </c>
      <c r="F354" s="335"/>
      <c r="G354" s="355"/>
      <c r="H354" s="328">
        <f>H352+F353</f>
        <v>65724.706000000006</v>
      </c>
      <c r="I354" s="355">
        <v>482.346</v>
      </c>
      <c r="J354" s="334">
        <v>78.5</v>
      </c>
      <c r="K354" s="334">
        <f>F353+F355</f>
        <v>837</v>
      </c>
      <c r="L354" s="334">
        <f>K354/2</f>
        <v>418.5</v>
      </c>
      <c r="M354" s="355">
        <v>253</v>
      </c>
      <c r="N354" s="355">
        <v>217</v>
      </c>
      <c r="O354" s="355">
        <v>470</v>
      </c>
      <c r="P354" s="355">
        <v>241</v>
      </c>
      <c r="Q354" s="355">
        <v>214</v>
      </c>
      <c r="R354" s="355">
        <v>455</v>
      </c>
      <c r="S354" s="355" t="s">
        <v>1451</v>
      </c>
      <c r="T354" s="355" t="s">
        <v>1452</v>
      </c>
      <c r="U354" s="366">
        <v>577347.98899999994</v>
      </c>
      <c r="V354" s="366">
        <v>2654210.6379999998</v>
      </c>
      <c r="W354" s="337"/>
      <c r="X354" s="341" t="s">
        <v>1434</v>
      </c>
      <c r="Y354" s="341" t="s">
        <v>1185</v>
      </c>
      <c r="Z354" s="338" t="s">
        <v>367</v>
      </c>
      <c r="AA354" s="350"/>
      <c r="AB354" s="350"/>
      <c r="AC354" s="350"/>
      <c r="AD354" s="351"/>
    </row>
    <row r="355" spans="1:30" x14ac:dyDescent="0.2">
      <c r="A355" s="321"/>
      <c r="B355" s="355"/>
      <c r="C355" s="355"/>
      <c r="D355" s="355"/>
      <c r="E355" s="355"/>
      <c r="F355" s="335">
        <v>412</v>
      </c>
      <c r="G355" s="355"/>
      <c r="H355" s="312"/>
      <c r="I355" s="355"/>
      <c r="J355" s="355"/>
      <c r="K355" s="334"/>
      <c r="L355" s="334"/>
      <c r="M355" s="355"/>
      <c r="N355" s="355"/>
      <c r="O355" s="355"/>
      <c r="P355" s="355"/>
      <c r="Q355" s="355"/>
      <c r="R355" s="355"/>
      <c r="S355" s="355"/>
      <c r="T355" s="355"/>
      <c r="U355" s="366"/>
      <c r="V355" s="366"/>
      <c r="W355" s="337" t="s">
        <v>1453</v>
      </c>
      <c r="X355" s="325"/>
      <c r="Y355" s="325"/>
      <c r="Z355" s="338"/>
      <c r="AA355" s="350"/>
      <c r="AB355" s="350"/>
      <c r="AC355" s="350"/>
      <c r="AD355" s="351"/>
    </row>
    <row r="356" spans="1:30" x14ac:dyDescent="0.2">
      <c r="A356" s="327">
        <v>174</v>
      </c>
      <c r="B356" s="355" t="s">
        <v>1454</v>
      </c>
      <c r="C356" s="355" t="s">
        <v>212</v>
      </c>
      <c r="D356" s="355" t="s">
        <v>23</v>
      </c>
      <c r="E356" s="355" t="s">
        <v>1455</v>
      </c>
      <c r="F356" s="335"/>
      <c r="G356" s="355">
        <f>SUM(F339:F355)</f>
        <v>3470</v>
      </c>
      <c r="H356" s="328">
        <f>H354+F355</f>
        <v>66136.706000000006</v>
      </c>
      <c r="I356" s="355">
        <v>486.32100000000003</v>
      </c>
      <c r="J356" s="343">
        <v>70.72</v>
      </c>
      <c r="K356" s="334">
        <f>F355+F357</f>
        <v>811</v>
      </c>
      <c r="L356" s="334">
        <f>K356/2</f>
        <v>405.5</v>
      </c>
      <c r="M356" s="355">
        <v>196</v>
      </c>
      <c r="N356" s="355">
        <v>156</v>
      </c>
      <c r="O356" s="355">
        <v>352</v>
      </c>
      <c r="P356" s="355">
        <v>200</v>
      </c>
      <c r="Q356" s="355">
        <v>170</v>
      </c>
      <c r="R356" s="355">
        <v>370</v>
      </c>
      <c r="S356" s="355" t="s">
        <v>1456</v>
      </c>
      <c r="T356" s="355" t="s">
        <v>1457</v>
      </c>
      <c r="U356" s="366">
        <v>577732.02399999998</v>
      </c>
      <c r="V356" s="366">
        <v>2654061.8229999999</v>
      </c>
      <c r="W356" s="337"/>
      <c r="X356" s="341" t="s">
        <v>1434</v>
      </c>
      <c r="Y356" s="341" t="s">
        <v>1185</v>
      </c>
      <c r="Z356" s="338" t="s">
        <v>367</v>
      </c>
      <c r="AA356" s="350"/>
      <c r="AB356" s="350"/>
      <c r="AC356" s="350"/>
      <c r="AD356" s="351"/>
    </row>
    <row r="357" spans="1:30" x14ac:dyDescent="0.2">
      <c r="A357" s="321"/>
      <c r="B357" s="334"/>
      <c r="C357" s="334"/>
      <c r="D357" s="355"/>
      <c r="E357" s="334"/>
      <c r="F357" s="334">
        <v>399</v>
      </c>
      <c r="G357" s="334"/>
      <c r="H357" s="312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 t="s">
        <v>1458</v>
      </c>
      <c r="X357" s="325"/>
      <c r="Y357" s="325"/>
      <c r="Z357" s="367"/>
      <c r="AA357" s="350"/>
      <c r="AB357" s="350"/>
      <c r="AC357" s="350"/>
      <c r="AD357" s="351"/>
    </row>
    <row r="358" spans="1:30" x14ac:dyDescent="0.2">
      <c r="A358" s="327">
        <v>175</v>
      </c>
      <c r="B358" s="334" t="s">
        <v>859</v>
      </c>
      <c r="C358" s="334" t="s">
        <v>213</v>
      </c>
      <c r="D358" s="355" t="s">
        <v>38</v>
      </c>
      <c r="E358" s="334" t="s">
        <v>859</v>
      </c>
      <c r="F358" s="334"/>
      <c r="G358" s="334" t="s">
        <v>859</v>
      </c>
      <c r="H358" s="328">
        <f>H356+F357</f>
        <v>66535.706000000006</v>
      </c>
      <c r="I358" s="334">
        <v>491.54300000000001</v>
      </c>
      <c r="J358" s="334">
        <v>75.5</v>
      </c>
      <c r="K358" s="334">
        <f>F357+F359</f>
        <v>819</v>
      </c>
      <c r="L358" s="334">
        <f>K358/2</f>
        <v>409.5</v>
      </c>
      <c r="M358" s="334">
        <v>244</v>
      </c>
      <c r="N358" s="334">
        <v>235</v>
      </c>
      <c r="O358" s="334">
        <v>479</v>
      </c>
      <c r="P358" s="334">
        <v>231</v>
      </c>
      <c r="Q358" s="334">
        <v>228</v>
      </c>
      <c r="R358" s="334">
        <v>459</v>
      </c>
      <c r="S358" s="334" t="s">
        <v>1459</v>
      </c>
      <c r="T358" s="334" t="s">
        <v>1460</v>
      </c>
      <c r="U358" s="334">
        <v>578043.28899999999</v>
      </c>
      <c r="V358" s="334">
        <v>2653812.193</v>
      </c>
      <c r="W358" s="334"/>
      <c r="X358" s="341" t="s">
        <v>1461</v>
      </c>
      <c r="Y358" s="341" t="s">
        <v>1462</v>
      </c>
      <c r="Z358" s="338" t="s">
        <v>1463</v>
      </c>
      <c r="AA358" s="350"/>
      <c r="AB358" s="350"/>
      <c r="AC358" s="350"/>
      <c r="AD358" s="351"/>
    </row>
    <row r="359" spans="1:30" x14ac:dyDescent="0.2">
      <c r="A359" s="321"/>
      <c r="B359" s="334"/>
      <c r="C359" s="334"/>
      <c r="D359" s="355"/>
      <c r="E359" s="334"/>
      <c r="F359" s="334">
        <v>420</v>
      </c>
      <c r="G359" s="334"/>
      <c r="H359" s="312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 t="s">
        <v>1464</v>
      </c>
      <c r="X359" s="325"/>
      <c r="Y359" s="325"/>
      <c r="Z359" s="367"/>
      <c r="AA359" s="350"/>
      <c r="AB359" s="350"/>
      <c r="AC359" s="350"/>
      <c r="AD359" s="351"/>
    </row>
    <row r="360" spans="1:30" x14ac:dyDescent="0.2">
      <c r="A360" s="327">
        <v>176</v>
      </c>
      <c r="B360" s="334" t="s">
        <v>859</v>
      </c>
      <c r="C360" s="334" t="s">
        <v>214</v>
      </c>
      <c r="D360" s="355" t="s">
        <v>36</v>
      </c>
      <c r="E360" s="334" t="s">
        <v>859</v>
      </c>
      <c r="F360" s="334"/>
      <c r="G360" s="334" t="s">
        <v>859</v>
      </c>
      <c r="H360" s="328">
        <f>H358+F359</f>
        <v>66955.706000000006</v>
      </c>
      <c r="I360" s="342">
        <v>489.733</v>
      </c>
      <c r="J360" s="334">
        <v>72.5</v>
      </c>
      <c r="K360" s="334">
        <f>F359+F361</f>
        <v>787</v>
      </c>
      <c r="L360" s="334">
        <f>K360/2</f>
        <v>393.5</v>
      </c>
      <c r="M360" s="334">
        <v>186</v>
      </c>
      <c r="N360" s="334">
        <v>175</v>
      </c>
      <c r="O360" s="334">
        <v>361</v>
      </c>
      <c r="P360" s="334">
        <v>194</v>
      </c>
      <c r="Q360" s="334">
        <v>178</v>
      </c>
      <c r="R360" s="334">
        <v>372</v>
      </c>
      <c r="S360" s="334" t="s">
        <v>1465</v>
      </c>
      <c r="T360" s="334" t="s">
        <v>1466</v>
      </c>
      <c r="U360" s="334">
        <v>578370.93599999999</v>
      </c>
      <c r="V360" s="334">
        <v>2653549.4240000001</v>
      </c>
      <c r="W360" s="334"/>
      <c r="X360" s="341" t="s">
        <v>1461</v>
      </c>
      <c r="Y360" s="341" t="s">
        <v>1462</v>
      </c>
      <c r="Z360" s="338" t="s">
        <v>1463</v>
      </c>
      <c r="AA360" s="350"/>
      <c r="AB360" s="350"/>
      <c r="AC360" s="350"/>
      <c r="AD360" s="351"/>
    </row>
    <row r="361" spans="1:30" x14ac:dyDescent="0.2">
      <c r="A361" s="321"/>
      <c r="B361" s="334"/>
      <c r="C361" s="334"/>
      <c r="D361" s="355"/>
      <c r="E361" s="334"/>
      <c r="F361" s="334">
        <v>367</v>
      </c>
      <c r="G361" s="334"/>
      <c r="H361" s="312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 t="s">
        <v>1001</v>
      </c>
      <c r="X361" s="325"/>
      <c r="Y361" s="325"/>
      <c r="Z361" s="367"/>
      <c r="AA361" s="350"/>
      <c r="AB361" s="350"/>
      <c r="AC361" s="350"/>
      <c r="AD361" s="351"/>
    </row>
    <row r="362" spans="1:30" x14ac:dyDescent="0.2">
      <c r="A362" s="327">
        <v>177</v>
      </c>
      <c r="B362" s="334" t="s">
        <v>859</v>
      </c>
      <c r="C362" s="334" t="s">
        <v>215</v>
      </c>
      <c r="D362" s="355" t="s">
        <v>36</v>
      </c>
      <c r="E362" s="334" t="s">
        <v>859</v>
      </c>
      <c r="F362" s="334"/>
      <c r="G362" s="334" t="s">
        <v>859</v>
      </c>
      <c r="H362" s="328">
        <f>H360+F361</f>
        <v>67322.706000000006</v>
      </c>
      <c r="I362" s="342">
        <v>491.245</v>
      </c>
      <c r="J362" s="334">
        <v>72.5</v>
      </c>
      <c r="K362" s="334">
        <f>F361+F363</f>
        <v>721</v>
      </c>
      <c r="L362" s="334">
        <f>K362/2</f>
        <v>360.5</v>
      </c>
      <c r="M362" s="334">
        <v>193</v>
      </c>
      <c r="N362" s="334">
        <v>151</v>
      </c>
      <c r="O362" s="334">
        <v>344</v>
      </c>
      <c r="P362" s="334">
        <v>190</v>
      </c>
      <c r="Q362" s="334">
        <v>159</v>
      </c>
      <c r="R362" s="334">
        <v>349</v>
      </c>
      <c r="S362" s="334" t="s">
        <v>1467</v>
      </c>
      <c r="T362" s="334" t="s">
        <v>1468</v>
      </c>
      <c r="U362" s="334">
        <v>578657.23699999996</v>
      </c>
      <c r="V362" s="334">
        <v>2653319.8139999998</v>
      </c>
      <c r="W362" s="334"/>
      <c r="X362" s="341" t="s">
        <v>1461</v>
      </c>
      <c r="Y362" s="341" t="s">
        <v>1462</v>
      </c>
      <c r="Z362" s="338" t="s">
        <v>1463</v>
      </c>
      <c r="AA362" s="350"/>
      <c r="AB362" s="350"/>
      <c r="AC362" s="350"/>
      <c r="AD362" s="351"/>
    </row>
    <row r="363" spans="1:30" x14ac:dyDescent="0.2">
      <c r="A363" s="321"/>
      <c r="B363" s="334"/>
      <c r="C363" s="334"/>
      <c r="D363" s="355"/>
      <c r="E363" s="334"/>
      <c r="F363" s="334">
        <v>354</v>
      </c>
      <c r="G363" s="334"/>
      <c r="H363" s="312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 t="s">
        <v>969</v>
      </c>
      <c r="X363" s="325"/>
      <c r="Y363" s="325"/>
      <c r="Z363" s="367"/>
      <c r="AA363" s="350"/>
      <c r="AB363" s="350"/>
      <c r="AC363" s="350"/>
      <c r="AD363" s="351"/>
    </row>
    <row r="364" spans="1:30" x14ac:dyDescent="0.2">
      <c r="A364" s="327">
        <v>178</v>
      </c>
      <c r="B364" s="334" t="s">
        <v>859</v>
      </c>
      <c r="C364" s="334" t="s">
        <v>216</v>
      </c>
      <c r="D364" s="355" t="s">
        <v>36</v>
      </c>
      <c r="E364" s="334" t="s">
        <v>859</v>
      </c>
      <c r="F364" s="334"/>
      <c r="G364" s="334" t="s">
        <v>859</v>
      </c>
      <c r="H364" s="328">
        <f>H362+F363</f>
        <v>67676.706000000006</v>
      </c>
      <c r="I364" s="342">
        <v>495.56900000000002</v>
      </c>
      <c r="J364" s="334">
        <v>72.5</v>
      </c>
      <c r="K364" s="334">
        <f>F363+F365</f>
        <v>753</v>
      </c>
      <c r="L364" s="334">
        <f>K364/2</f>
        <v>376.5</v>
      </c>
      <c r="M364" s="334">
        <v>203</v>
      </c>
      <c r="N364" s="334">
        <v>221</v>
      </c>
      <c r="O364" s="334">
        <v>424</v>
      </c>
      <c r="P364" s="334">
        <v>195</v>
      </c>
      <c r="Q364" s="334">
        <v>214</v>
      </c>
      <c r="R364" s="334">
        <v>409</v>
      </c>
      <c r="S364" s="334" t="s">
        <v>1469</v>
      </c>
      <c r="T364" s="334" t="s">
        <v>1470</v>
      </c>
      <c r="U364" s="334">
        <v>578933.39599999995</v>
      </c>
      <c r="V364" s="334">
        <v>2653098.3369999998</v>
      </c>
      <c r="W364" s="334"/>
      <c r="X364" s="341" t="s">
        <v>1461</v>
      </c>
      <c r="Y364" s="341" t="s">
        <v>1462</v>
      </c>
      <c r="Z364" s="338" t="s">
        <v>1463</v>
      </c>
      <c r="AA364" s="350"/>
      <c r="AB364" s="350"/>
      <c r="AC364" s="350"/>
      <c r="AD364" s="351"/>
    </row>
    <row r="365" spans="1:30" x14ac:dyDescent="0.2">
      <c r="A365" s="321"/>
      <c r="B365" s="334"/>
      <c r="C365" s="334"/>
      <c r="D365" s="355"/>
      <c r="E365" s="334"/>
      <c r="F365" s="334">
        <v>399</v>
      </c>
      <c r="G365" s="334"/>
      <c r="H365" s="312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 t="s">
        <v>969</v>
      </c>
      <c r="X365" s="325"/>
      <c r="Y365" s="325"/>
      <c r="Z365" s="367"/>
      <c r="AA365" s="350"/>
      <c r="AB365" s="350"/>
      <c r="AC365" s="350"/>
      <c r="AD365" s="351"/>
    </row>
    <row r="366" spans="1:30" x14ac:dyDescent="0.2">
      <c r="A366" s="327">
        <v>179</v>
      </c>
      <c r="B366" s="334" t="s">
        <v>859</v>
      </c>
      <c r="C366" s="334" t="s">
        <v>217</v>
      </c>
      <c r="D366" s="355" t="s">
        <v>36</v>
      </c>
      <c r="E366" s="334" t="s">
        <v>859</v>
      </c>
      <c r="F366" s="334"/>
      <c r="G366" s="334" t="s">
        <v>859</v>
      </c>
      <c r="H366" s="328">
        <f>H364+F365</f>
        <v>68075.706000000006</v>
      </c>
      <c r="I366" s="342">
        <v>491.70699999999999</v>
      </c>
      <c r="J366" s="334">
        <v>72.5</v>
      </c>
      <c r="K366" s="334">
        <f>F365+F367</f>
        <v>774</v>
      </c>
      <c r="L366" s="334">
        <f>K366/2</f>
        <v>387</v>
      </c>
      <c r="M366" s="334">
        <v>179</v>
      </c>
      <c r="N366" s="334">
        <v>209</v>
      </c>
      <c r="O366" s="334">
        <v>388</v>
      </c>
      <c r="P366" s="334">
        <v>186</v>
      </c>
      <c r="Q366" s="334">
        <v>202</v>
      </c>
      <c r="R366" s="334">
        <v>388</v>
      </c>
      <c r="S366" s="334" t="s">
        <v>1471</v>
      </c>
      <c r="T366" s="334" t="s">
        <v>1472</v>
      </c>
      <c r="U366" s="334">
        <v>579244.66099999996</v>
      </c>
      <c r="V366" s="334">
        <v>2652848.7069999999</v>
      </c>
      <c r="W366" s="334"/>
      <c r="X366" s="341" t="s">
        <v>1461</v>
      </c>
      <c r="Y366" s="341" t="s">
        <v>1462</v>
      </c>
      <c r="Z366" s="338" t="s">
        <v>1463</v>
      </c>
      <c r="AA366" s="350"/>
      <c r="AB366" s="350"/>
      <c r="AC366" s="350"/>
      <c r="AD366" s="351"/>
    </row>
    <row r="367" spans="1:30" x14ac:dyDescent="0.2">
      <c r="A367" s="321"/>
      <c r="B367" s="334"/>
      <c r="C367" s="334"/>
      <c r="D367" s="355"/>
      <c r="E367" s="334"/>
      <c r="F367" s="334">
        <v>375</v>
      </c>
      <c r="G367" s="334"/>
      <c r="H367" s="312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 t="s">
        <v>1012</v>
      </c>
      <c r="X367" s="325"/>
      <c r="Y367" s="325"/>
      <c r="Z367" s="367"/>
      <c r="AA367" s="350"/>
      <c r="AB367" s="350"/>
      <c r="AC367" s="350"/>
      <c r="AD367" s="351"/>
    </row>
    <row r="368" spans="1:30" x14ac:dyDescent="0.2">
      <c r="A368" s="327">
        <v>180</v>
      </c>
      <c r="B368" s="334" t="s">
        <v>859</v>
      </c>
      <c r="C368" s="368" t="s">
        <v>218</v>
      </c>
      <c r="D368" s="369" t="s">
        <v>45</v>
      </c>
      <c r="E368" s="368" t="s">
        <v>1473</v>
      </c>
      <c r="F368" s="334"/>
      <c r="G368" s="334" t="s">
        <v>859</v>
      </c>
      <c r="H368" s="328">
        <f>H366+F367</f>
        <v>68450.706000000006</v>
      </c>
      <c r="I368" s="342">
        <v>488.04899999999998</v>
      </c>
      <c r="J368" s="334">
        <v>70.72</v>
      </c>
      <c r="K368" s="334">
        <f>F367+F369</f>
        <v>755</v>
      </c>
      <c r="L368" s="334">
        <f>K368/2</f>
        <v>377.5</v>
      </c>
      <c r="M368" s="334">
        <v>167</v>
      </c>
      <c r="N368" s="334">
        <v>206</v>
      </c>
      <c r="O368" s="334">
        <v>373</v>
      </c>
      <c r="P368" s="334">
        <v>174</v>
      </c>
      <c r="Q368" s="334">
        <v>201</v>
      </c>
      <c r="R368" s="334">
        <v>375</v>
      </c>
      <c r="S368" s="334" t="s">
        <v>1474</v>
      </c>
      <c r="T368" s="334" t="s">
        <v>1475</v>
      </c>
      <c r="U368" s="334">
        <v>579537.20299999998</v>
      </c>
      <c r="V368" s="334">
        <v>2652614.0920000002</v>
      </c>
      <c r="W368" s="334"/>
      <c r="X368" s="341" t="s">
        <v>1461</v>
      </c>
      <c r="Y368" s="341" t="s">
        <v>1462</v>
      </c>
      <c r="Z368" s="338" t="s">
        <v>1463</v>
      </c>
      <c r="AA368" s="350"/>
      <c r="AB368" s="350"/>
      <c r="AC368" s="350"/>
      <c r="AD368" s="351"/>
    </row>
    <row r="369" spans="1:30" x14ac:dyDescent="0.2">
      <c r="A369" s="321"/>
      <c r="B369" s="334"/>
      <c r="C369" s="334"/>
      <c r="D369" s="355"/>
      <c r="E369" s="334"/>
      <c r="F369" s="334">
        <v>380</v>
      </c>
      <c r="G369" s="334"/>
      <c r="H369" s="312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 t="s">
        <v>1017</v>
      </c>
      <c r="X369" s="325"/>
      <c r="Y369" s="325"/>
      <c r="Z369" s="367"/>
      <c r="AA369" s="350"/>
      <c r="AB369" s="350"/>
      <c r="AC369" s="350"/>
      <c r="AD369" s="351"/>
    </row>
    <row r="370" spans="1:30" x14ac:dyDescent="0.2">
      <c r="A370" s="327">
        <v>181</v>
      </c>
      <c r="B370" s="334" t="s">
        <v>859</v>
      </c>
      <c r="C370" s="334" t="s">
        <v>219</v>
      </c>
      <c r="D370" s="355" t="s">
        <v>36</v>
      </c>
      <c r="E370" s="334" t="s">
        <v>859</v>
      </c>
      <c r="F370" s="334"/>
      <c r="G370" s="334" t="s">
        <v>859</v>
      </c>
      <c r="H370" s="328">
        <f>H368+F369</f>
        <v>68830.706000000006</v>
      </c>
      <c r="I370" s="342">
        <v>485.3</v>
      </c>
      <c r="J370" s="334">
        <v>72.5</v>
      </c>
      <c r="K370" s="334">
        <f>F369+F371</f>
        <v>785</v>
      </c>
      <c r="L370" s="334">
        <f>K370/2</f>
        <v>392.5</v>
      </c>
      <c r="M370" s="334">
        <v>175</v>
      </c>
      <c r="N370" s="334">
        <v>207</v>
      </c>
      <c r="O370" s="334">
        <v>382</v>
      </c>
      <c r="P370" s="334">
        <v>180</v>
      </c>
      <c r="Q370" s="334">
        <v>206</v>
      </c>
      <c r="R370" s="334">
        <v>386</v>
      </c>
      <c r="S370" s="334" t="s">
        <v>1476</v>
      </c>
      <c r="T370" s="334" t="s">
        <v>1477</v>
      </c>
      <c r="U370" s="334">
        <v>579833.64500000002</v>
      </c>
      <c r="V370" s="334">
        <v>2652376.3489999999</v>
      </c>
      <c r="W370" s="334"/>
      <c r="X370" s="341" t="s">
        <v>1478</v>
      </c>
      <c r="Y370" s="341" t="s">
        <v>1462</v>
      </c>
      <c r="Z370" s="338" t="s">
        <v>1463</v>
      </c>
      <c r="AA370" s="350"/>
      <c r="AB370" s="350"/>
      <c r="AC370" s="350"/>
      <c r="AD370" s="351"/>
    </row>
    <row r="371" spans="1:30" x14ac:dyDescent="0.2">
      <c r="A371" s="321"/>
      <c r="B371" s="334"/>
      <c r="C371" s="334"/>
      <c r="D371" s="355"/>
      <c r="E371" s="334"/>
      <c r="F371" s="334">
        <v>405</v>
      </c>
      <c r="G371" s="334"/>
      <c r="H371" s="312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 t="s">
        <v>1017</v>
      </c>
      <c r="X371" s="325"/>
      <c r="Y371" s="325"/>
      <c r="Z371" s="367"/>
      <c r="AA371" s="350"/>
      <c r="AB371" s="350"/>
      <c r="AC371" s="350"/>
      <c r="AD371" s="351"/>
    </row>
    <row r="372" spans="1:30" x14ac:dyDescent="0.2">
      <c r="A372" s="327">
        <v>182</v>
      </c>
      <c r="B372" s="334" t="s">
        <v>859</v>
      </c>
      <c r="C372" s="334" t="s">
        <v>220</v>
      </c>
      <c r="D372" s="355" t="s">
        <v>38</v>
      </c>
      <c r="E372" s="334" t="s">
        <v>859</v>
      </c>
      <c r="F372" s="334"/>
      <c r="G372" s="334" t="s">
        <v>859</v>
      </c>
      <c r="H372" s="328">
        <f>H370+F371</f>
        <v>69235.706000000006</v>
      </c>
      <c r="I372" s="334">
        <v>481.55799999999999</v>
      </c>
      <c r="J372" s="334">
        <v>75.5</v>
      </c>
      <c r="K372" s="334">
        <f>F371+F373</f>
        <v>825</v>
      </c>
      <c r="L372" s="334">
        <f>K372/2</f>
        <v>412.5</v>
      </c>
      <c r="M372" s="334">
        <v>199</v>
      </c>
      <c r="N372" s="334">
        <v>225</v>
      </c>
      <c r="O372" s="334">
        <v>424</v>
      </c>
      <c r="P372" s="334">
        <v>200</v>
      </c>
      <c r="Q372" s="334">
        <v>221</v>
      </c>
      <c r="R372" s="334">
        <v>421</v>
      </c>
      <c r="S372" s="334" t="s">
        <v>1479</v>
      </c>
      <c r="T372" s="334" t="s">
        <v>1480</v>
      </c>
      <c r="U372" s="334">
        <v>580149.59100000001</v>
      </c>
      <c r="V372" s="334">
        <v>2652122.9649999999</v>
      </c>
      <c r="W372" s="334"/>
      <c r="X372" s="341" t="s">
        <v>1481</v>
      </c>
      <c r="Y372" s="341" t="s">
        <v>1462</v>
      </c>
      <c r="Z372" s="338" t="s">
        <v>1463</v>
      </c>
      <c r="AA372" s="350"/>
      <c r="AB372" s="350"/>
      <c r="AC372" s="350"/>
      <c r="AD372" s="351"/>
    </row>
    <row r="373" spans="1:30" x14ac:dyDescent="0.2">
      <c r="A373" s="321"/>
      <c r="B373" s="334"/>
      <c r="C373" s="334"/>
      <c r="D373" s="355"/>
      <c r="E373" s="334"/>
      <c r="F373" s="334">
        <v>420</v>
      </c>
      <c r="G373" s="334"/>
      <c r="H373" s="312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25"/>
      <c r="Y373" s="325"/>
      <c r="Z373" s="367"/>
      <c r="AA373" s="350"/>
      <c r="AB373" s="350"/>
      <c r="AC373" s="350"/>
      <c r="AD373" s="351"/>
    </row>
    <row r="374" spans="1:30" x14ac:dyDescent="0.2">
      <c r="A374" s="327">
        <v>183</v>
      </c>
      <c r="B374" s="334" t="s">
        <v>859</v>
      </c>
      <c r="C374" s="334" t="s">
        <v>221</v>
      </c>
      <c r="D374" s="355" t="s">
        <v>38</v>
      </c>
      <c r="E374" s="334" t="s">
        <v>859</v>
      </c>
      <c r="F374" s="334"/>
      <c r="G374" s="334" t="s">
        <v>859</v>
      </c>
      <c r="H374" s="328">
        <f>H372+F373</f>
        <v>69655.706000000006</v>
      </c>
      <c r="I374" s="334">
        <v>478.63799999999998</v>
      </c>
      <c r="J374" s="334">
        <v>75.5</v>
      </c>
      <c r="K374" s="334">
        <f>F373+F375</f>
        <v>819</v>
      </c>
      <c r="L374" s="334">
        <f>K374/2</f>
        <v>409.5</v>
      </c>
      <c r="M374" s="334">
        <v>195</v>
      </c>
      <c r="N374" s="334">
        <v>231</v>
      </c>
      <c r="O374" s="334">
        <v>426</v>
      </c>
      <c r="P374" s="334">
        <v>200</v>
      </c>
      <c r="Q374" s="334">
        <v>222</v>
      </c>
      <c r="R374" s="334">
        <v>422</v>
      </c>
      <c r="S374" s="334" t="s">
        <v>1482</v>
      </c>
      <c r="T374" s="334" t="s">
        <v>1483</v>
      </c>
      <c r="U374" s="334">
        <v>580477.23800000001</v>
      </c>
      <c r="V374" s="334">
        <v>2651860.196</v>
      </c>
      <c r="W374" s="334"/>
      <c r="X374" s="341" t="s">
        <v>1481</v>
      </c>
      <c r="Y374" s="341" t="s">
        <v>1462</v>
      </c>
      <c r="Z374" s="338" t="s">
        <v>1463</v>
      </c>
      <c r="AA374" s="350"/>
      <c r="AB374" s="350"/>
      <c r="AC374" s="350"/>
      <c r="AD374" s="351"/>
    </row>
    <row r="375" spans="1:30" x14ac:dyDescent="0.2">
      <c r="A375" s="321"/>
      <c r="B375" s="334"/>
      <c r="C375" s="334"/>
      <c r="D375" s="355"/>
      <c r="E375" s="334"/>
      <c r="F375" s="334">
        <v>399</v>
      </c>
      <c r="G375" s="334"/>
      <c r="H375" s="312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 t="s">
        <v>1017</v>
      </c>
      <c r="X375" s="325"/>
      <c r="Y375" s="325"/>
      <c r="Z375" s="367"/>
      <c r="AA375" s="350"/>
      <c r="AB375" s="350"/>
      <c r="AC375" s="350"/>
      <c r="AD375" s="351"/>
    </row>
    <row r="376" spans="1:30" x14ac:dyDescent="0.2">
      <c r="A376" s="327">
        <v>184</v>
      </c>
      <c r="B376" s="334" t="s">
        <v>859</v>
      </c>
      <c r="C376" s="334" t="s">
        <v>222</v>
      </c>
      <c r="D376" s="355" t="s">
        <v>36</v>
      </c>
      <c r="E376" s="334" t="s">
        <v>859</v>
      </c>
      <c r="F376" s="334"/>
      <c r="G376" s="334" t="s">
        <v>859</v>
      </c>
      <c r="H376" s="328">
        <f>H374+F375</f>
        <v>70054.706000000006</v>
      </c>
      <c r="I376" s="342">
        <v>475.78</v>
      </c>
      <c r="J376" s="334">
        <v>72.5</v>
      </c>
      <c r="K376" s="334">
        <f>F375+F377</f>
        <v>779</v>
      </c>
      <c r="L376" s="334">
        <f>K376/2</f>
        <v>389.5</v>
      </c>
      <c r="M376" s="334">
        <v>168</v>
      </c>
      <c r="N376" s="334">
        <v>184</v>
      </c>
      <c r="O376" s="334">
        <v>352</v>
      </c>
      <c r="P376" s="334">
        <v>179</v>
      </c>
      <c r="Q376" s="334">
        <v>186</v>
      </c>
      <c r="R376" s="334">
        <v>365</v>
      </c>
      <c r="S376" s="334" t="s">
        <v>1484</v>
      </c>
      <c r="T376" s="334" t="s">
        <v>1485</v>
      </c>
      <c r="U376" s="334">
        <v>580788.50199999998</v>
      </c>
      <c r="V376" s="334">
        <v>2651610.5649999999</v>
      </c>
      <c r="W376" s="334"/>
      <c r="X376" s="341" t="s">
        <v>1481</v>
      </c>
      <c r="Y376" s="341" t="s">
        <v>1462</v>
      </c>
      <c r="Z376" s="338" t="s">
        <v>1463</v>
      </c>
      <c r="AA376" s="350"/>
      <c r="AB376" s="350"/>
      <c r="AC376" s="350"/>
      <c r="AD376" s="351"/>
    </row>
    <row r="377" spans="1:30" x14ac:dyDescent="0.2">
      <c r="A377" s="321"/>
      <c r="B377" s="334"/>
      <c r="C377" s="334"/>
      <c r="D377" s="355"/>
      <c r="E377" s="334"/>
      <c r="F377" s="334">
        <v>380</v>
      </c>
      <c r="G377" s="334"/>
      <c r="H377" s="312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 t="s">
        <v>975</v>
      </c>
      <c r="X377" s="325"/>
      <c r="Y377" s="325"/>
      <c r="Z377" s="367"/>
      <c r="AA377" s="350"/>
      <c r="AB377" s="350"/>
      <c r="AC377" s="350"/>
      <c r="AD377" s="351"/>
    </row>
    <row r="378" spans="1:30" x14ac:dyDescent="0.2">
      <c r="A378" s="327">
        <v>185</v>
      </c>
      <c r="B378" s="334" t="s">
        <v>859</v>
      </c>
      <c r="C378" s="334" t="s">
        <v>223</v>
      </c>
      <c r="D378" s="355" t="s">
        <v>38</v>
      </c>
      <c r="E378" s="334" t="s">
        <v>859</v>
      </c>
      <c r="F378" s="334"/>
      <c r="G378" s="334" t="s">
        <v>859</v>
      </c>
      <c r="H378" s="328">
        <f>H376+F377</f>
        <v>70434.706000000006</v>
      </c>
      <c r="I378" s="334">
        <v>473.95299999999997</v>
      </c>
      <c r="J378" s="334">
        <v>75.5</v>
      </c>
      <c r="K378" s="334">
        <f>F377+F379</f>
        <v>795</v>
      </c>
      <c r="L378" s="334">
        <f>K378/2</f>
        <v>397.5</v>
      </c>
      <c r="M378" s="334">
        <v>197</v>
      </c>
      <c r="N378" s="334">
        <v>220</v>
      </c>
      <c r="O378" s="334">
        <v>417</v>
      </c>
      <c r="P378" s="334">
        <v>195</v>
      </c>
      <c r="Q378" s="334">
        <v>217</v>
      </c>
      <c r="R378" s="334">
        <v>412</v>
      </c>
      <c r="S378" s="334" t="s">
        <v>1486</v>
      </c>
      <c r="T378" s="334" t="s">
        <v>1487</v>
      </c>
      <c r="U378" s="334">
        <v>581084.94499999995</v>
      </c>
      <c r="V378" s="334">
        <v>2651372.8220000002</v>
      </c>
      <c r="W378" s="334"/>
      <c r="X378" s="341" t="s">
        <v>1481</v>
      </c>
      <c r="Y378" s="341" t="s">
        <v>1462</v>
      </c>
      <c r="Z378" s="338" t="s">
        <v>1463</v>
      </c>
      <c r="AA378" s="350"/>
      <c r="AB378" s="350"/>
      <c r="AC378" s="350"/>
      <c r="AD378" s="351"/>
    </row>
    <row r="379" spans="1:30" x14ac:dyDescent="0.2">
      <c r="A379" s="321"/>
      <c r="B379" s="334"/>
      <c r="C379" s="334"/>
      <c r="D379" s="355"/>
      <c r="E379" s="334"/>
      <c r="F379" s="334">
        <v>415</v>
      </c>
      <c r="G379" s="334"/>
      <c r="H379" s="312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 t="s">
        <v>1464</v>
      </c>
      <c r="X379" s="325"/>
      <c r="Y379" s="325"/>
      <c r="Z379" s="367"/>
      <c r="AA379" s="350"/>
      <c r="AB379" s="350"/>
      <c r="AC379" s="350"/>
      <c r="AD379" s="351"/>
    </row>
    <row r="380" spans="1:30" x14ac:dyDescent="0.2">
      <c r="A380" s="327">
        <v>186</v>
      </c>
      <c r="B380" s="334" t="s">
        <v>1488</v>
      </c>
      <c r="C380" s="334" t="s">
        <v>224</v>
      </c>
      <c r="D380" s="355" t="s">
        <v>23</v>
      </c>
      <c r="E380" s="334" t="s">
        <v>1489</v>
      </c>
      <c r="F380" s="334"/>
      <c r="G380" s="334">
        <f>SUM(F357:F379)</f>
        <v>4713</v>
      </c>
      <c r="H380" s="328">
        <f>H378+F379</f>
        <v>70849.706000000006</v>
      </c>
      <c r="I380" s="334">
        <v>474.642</v>
      </c>
      <c r="J380" s="343">
        <v>70.72</v>
      </c>
      <c r="K380" s="334">
        <f>F379+F381</f>
        <v>815</v>
      </c>
      <c r="L380" s="334">
        <f>K380/2</f>
        <v>407.5</v>
      </c>
      <c r="M380" s="334">
        <v>196</v>
      </c>
      <c r="N380" s="334">
        <v>175</v>
      </c>
      <c r="O380" s="334">
        <v>371</v>
      </c>
      <c r="P380" s="334">
        <v>200</v>
      </c>
      <c r="Q380" s="334">
        <v>184</v>
      </c>
      <c r="R380" s="334">
        <v>384</v>
      </c>
      <c r="S380" s="334" t="s">
        <v>1490</v>
      </c>
      <c r="T380" s="334" t="s">
        <v>1491</v>
      </c>
      <c r="U380" s="334">
        <v>581408.91299999994</v>
      </c>
      <c r="V380" s="334">
        <v>2651113.0040000002</v>
      </c>
      <c r="W380" s="334"/>
      <c r="X380" s="341" t="s">
        <v>1481</v>
      </c>
      <c r="Y380" s="341" t="s">
        <v>1462</v>
      </c>
      <c r="Z380" s="338" t="s">
        <v>1463</v>
      </c>
      <c r="AA380" s="350"/>
      <c r="AB380" s="350"/>
      <c r="AC380" s="350"/>
      <c r="AD380" s="351"/>
    </row>
    <row r="381" spans="1:30" x14ac:dyDescent="0.2">
      <c r="A381" s="321"/>
      <c r="B381" s="334"/>
      <c r="C381" s="334"/>
      <c r="D381" s="355"/>
      <c r="E381" s="334"/>
      <c r="F381" s="334">
        <v>400</v>
      </c>
      <c r="G381" s="334"/>
      <c r="H381" s="312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 t="s">
        <v>1492</v>
      </c>
      <c r="X381" s="325"/>
      <c r="Y381" s="325"/>
      <c r="Z381" s="367"/>
      <c r="AA381" s="350"/>
      <c r="AB381" s="350"/>
      <c r="AC381" s="350"/>
      <c r="AD381" s="351"/>
    </row>
    <row r="382" spans="1:30" x14ac:dyDescent="0.2">
      <c r="A382" s="327">
        <v>187</v>
      </c>
      <c r="B382" s="334" t="s">
        <v>859</v>
      </c>
      <c r="C382" s="334" t="s">
        <v>225</v>
      </c>
      <c r="D382" s="355" t="s">
        <v>38</v>
      </c>
      <c r="E382" s="334" t="s">
        <v>859</v>
      </c>
      <c r="F382" s="334"/>
      <c r="G382" s="334" t="s">
        <v>859</v>
      </c>
      <c r="H382" s="328">
        <f>H380+F381</f>
        <v>71249.706000000006</v>
      </c>
      <c r="I382" s="334">
        <v>476.33199999999999</v>
      </c>
      <c r="J382" s="334">
        <v>75.5</v>
      </c>
      <c r="K382" s="334">
        <f>F381+F383</f>
        <v>792</v>
      </c>
      <c r="L382" s="334">
        <f>K382/2</f>
        <v>396</v>
      </c>
      <c r="M382" s="334">
        <v>226</v>
      </c>
      <c r="N382" s="334">
        <v>201</v>
      </c>
      <c r="O382" s="334">
        <v>427</v>
      </c>
      <c r="P382" s="334">
        <v>218</v>
      </c>
      <c r="Q382" s="334">
        <v>199</v>
      </c>
      <c r="R382" s="334">
        <v>417</v>
      </c>
      <c r="S382" s="334" t="s">
        <v>1493</v>
      </c>
      <c r="T382" s="334" t="s">
        <v>1494</v>
      </c>
      <c r="U382" s="334">
        <v>581636.16</v>
      </c>
      <c r="V382" s="334">
        <v>2650783.8250000002</v>
      </c>
      <c r="W382" s="334"/>
      <c r="X382" s="341" t="s">
        <v>1481</v>
      </c>
      <c r="Y382" s="341" t="s">
        <v>1462</v>
      </c>
      <c r="Z382" s="338" t="s">
        <v>1463</v>
      </c>
      <c r="AA382" s="350"/>
      <c r="AB382" s="350"/>
      <c r="AC382" s="350"/>
      <c r="AD382" s="351"/>
    </row>
    <row r="383" spans="1:30" x14ac:dyDescent="0.2">
      <c r="A383" s="321"/>
      <c r="B383" s="334"/>
      <c r="C383" s="334"/>
      <c r="D383" s="355"/>
      <c r="E383" s="334"/>
      <c r="F383" s="334">
        <v>392</v>
      </c>
      <c r="G383" s="334"/>
      <c r="H383" s="312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 t="s">
        <v>1012</v>
      </c>
      <c r="X383" s="325"/>
      <c r="Y383" s="325"/>
      <c r="Z383" s="367"/>
      <c r="AA383" s="350"/>
      <c r="AB383" s="350"/>
      <c r="AC383" s="350"/>
      <c r="AD383" s="351"/>
    </row>
    <row r="384" spans="1:30" x14ac:dyDescent="0.2">
      <c r="A384" s="327">
        <v>188</v>
      </c>
      <c r="B384" s="334" t="s">
        <v>859</v>
      </c>
      <c r="C384" s="334" t="s">
        <v>226</v>
      </c>
      <c r="D384" s="355" t="s">
        <v>36</v>
      </c>
      <c r="E384" s="334" t="s">
        <v>859</v>
      </c>
      <c r="F384" s="334"/>
      <c r="G384" s="334" t="s">
        <v>859</v>
      </c>
      <c r="H384" s="328">
        <f>H382+F383</f>
        <v>71641.706000000006</v>
      </c>
      <c r="I384" s="342">
        <v>478.56200000000001</v>
      </c>
      <c r="J384" s="334">
        <v>72.5</v>
      </c>
      <c r="K384" s="334">
        <f>F383+F385</f>
        <v>779</v>
      </c>
      <c r="L384" s="334">
        <f>K384/2</f>
        <v>389.5</v>
      </c>
      <c r="M384" s="334">
        <v>192</v>
      </c>
      <c r="N384" s="334">
        <v>210</v>
      </c>
      <c r="O384" s="334">
        <v>402</v>
      </c>
      <c r="P384" s="334">
        <v>194</v>
      </c>
      <c r="Q384" s="334">
        <v>205</v>
      </c>
      <c r="R384" s="334">
        <v>399</v>
      </c>
      <c r="S384" s="334" t="s">
        <v>1495</v>
      </c>
      <c r="T384" s="334" t="s">
        <v>1496</v>
      </c>
      <c r="U384" s="334">
        <v>581858.86199999996</v>
      </c>
      <c r="V384" s="334">
        <v>2650461.2289999998</v>
      </c>
      <c r="W384" s="334"/>
      <c r="X384" s="341" t="s">
        <v>1481</v>
      </c>
      <c r="Y384" s="341" t="s">
        <v>1462</v>
      </c>
      <c r="Z384" s="338" t="s">
        <v>1463</v>
      </c>
      <c r="AA384" s="350"/>
      <c r="AB384" s="350"/>
      <c r="AC384" s="350"/>
      <c r="AD384" s="351"/>
    </row>
    <row r="385" spans="1:30" x14ac:dyDescent="0.2">
      <c r="A385" s="321"/>
      <c r="B385" s="334"/>
      <c r="C385" s="334"/>
      <c r="D385" s="355"/>
      <c r="E385" s="334"/>
      <c r="F385" s="334">
        <v>387</v>
      </c>
      <c r="G385" s="334"/>
      <c r="H385" s="312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 t="s">
        <v>1497</v>
      </c>
      <c r="X385" s="325"/>
      <c r="Y385" s="325"/>
      <c r="Z385" s="367"/>
      <c r="AA385" s="350"/>
      <c r="AB385" s="350"/>
      <c r="AC385" s="350"/>
      <c r="AD385" s="351"/>
    </row>
    <row r="386" spans="1:30" x14ac:dyDescent="0.2">
      <c r="A386" s="327">
        <v>189</v>
      </c>
      <c r="B386" s="334" t="s">
        <v>859</v>
      </c>
      <c r="C386" s="334" t="s">
        <v>227</v>
      </c>
      <c r="D386" s="355" t="s">
        <v>36</v>
      </c>
      <c r="E386" s="334" t="s">
        <v>859</v>
      </c>
      <c r="F386" s="334"/>
      <c r="G386" s="334" t="s">
        <v>859</v>
      </c>
      <c r="H386" s="328">
        <f>H384+F385</f>
        <v>72028.706000000006</v>
      </c>
      <c r="I386" s="342">
        <v>475.59</v>
      </c>
      <c r="J386" s="334">
        <v>72.5</v>
      </c>
      <c r="K386" s="334">
        <f>F385+F387</f>
        <v>733</v>
      </c>
      <c r="L386" s="334">
        <f>K386/2</f>
        <v>366.5</v>
      </c>
      <c r="M386" s="334">
        <v>177</v>
      </c>
      <c r="N386" s="334">
        <v>178</v>
      </c>
      <c r="O386" s="334">
        <v>355</v>
      </c>
      <c r="P386" s="334">
        <v>183</v>
      </c>
      <c r="Q386" s="334">
        <v>177</v>
      </c>
      <c r="R386" s="334">
        <v>360</v>
      </c>
      <c r="S386" s="334" t="s">
        <v>1498</v>
      </c>
      <c r="T386" s="334" t="s">
        <v>1499</v>
      </c>
      <c r="U386" s="334">
        <v>582078.723</v>
      </c>
      <c r="V386" s="334">
        <v>2650142.7480000001</v>
      </c>
      <c r="W386" s="334"/>
      <c r="X386" s="341" t="s">
        <v>1500</v>
      </c>
      <c r="Y386" s="341" t="s">
        <v>1462</v>
      </c>
      <c r="Z386" s="338" t="s">
        <v>1463</v>
      </c>
      <c r="AA386" s="350"/>
      <c r="AB386" s="350"/>
      <c r="AC386" s="350"/>
      <c r="AD386" s="351"/>
    </row>
    <row r="387" spans="1:30" x14ac:dyDescent="0.2">
      <c r="A387" s="321"/>
      <c r="B387" s="334"/>
      <c r="C387" s="334"/>
      <c r="D387" s="355"/>
      <c r="E387" s="334"/>
      <c r="F387" s="334">
        <v>346</v>
      </c>
      <c r="G387" s="334"/>
      <c r="H387" s="312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25"/>
      <c r="Y387" s="325"/>
      <c r="Z387" s="367"/>
      <c r="AA387" s="350"/>
      <c r="AB387" s="350"/>
      <c r="AC387" s="350"/>
      <c r="AD387" s="351"/>
    </row>
    <row r="388" spans="1:30" x14ac:dyDescent="0.2">
      <c r="A388" s="327">
        <v>190</v>
      </c>
      <c r="B388" s="334" t="s">
        <v>1501</v>
      </c>
      <c r="C388" s="334" t="s">
        <v>228</v>
      </c>
      <c r="D388" s="355" t="s">
        <v>120</v>
      </c>
      <c r="E388" s="334" t="s">
        <v>1502</v>
      </c>
      <c r="F388" s="334"/>
      <c r="G388" s="334">
        <f>SUM(F381:F387)</f>
        <v>1525</v>
      </c>
      <c r="H388" s="328">
        <f>H386+F387</f>
        <v>72374.706000000006</v>
      </c>
      <c r="I388" s="334">
        <v>474.76</v>
      </c>
      <c r="J388" s="343">
        <v>70.72</v>
      </c>
      <c r="K388" s="334">
        <f>F387+F389</f>
        <v>746</v>
      </c>
      <c r="L388" s="334">
        <f>K388/2</f>
        <v>373</v>
      </c>
      <c r="M388" s="334">
        <v>168</v>
      </c>
      <c r="N388" s="334">
        <v>168</v>
      </c>
      <c r="O388" s="334">
        <v>336</v>
      </c>
      <c r="P388" s="334">
        <v>170</v>
      </c>
      <c r="Q388" s="334">
        <v>178</v>
      </c>
      <c r="R388" s="334">
        <v>348</v>
      </c>
      <c r="S388" s="334" t="s">
        <v>1503</v>
      </c>
      <c r="T388" s="334" t="s">
        <v>1504</v>
      </c>
      <c r="U388" s="334">
        <v>582275.36199999996</v>
      </c>
      <c r="V388" s="334">
        <v>2649857.906</v>
      </c>
      <c r="W388" s="334"/>
      <c r="X388" s="341" t="s">
        <v>1500</v>
      </c>
      <c r="Y388" s="341" t="s">
        <v>1462</v>
      </c>
      <c r="Z388" s="338" t="s">
        <v>1463</v>
      </c>
      <c r="AA388" s="350"/>
      <c r="AB388" s="350"/>
      <c r="AC388" s="350"/>
      <c r="AD388" s="351"/>
    </row>
    <row r="389" spans="1:30" x14ac:dyDescent="0.2">
      <c r="A389" s="321"/>
      <c r="B389" s="334"/>
      <c r="C389" s="334"/>
      <c r="D389" s="355"/>
      <c r="E389" s="334"/>
      <c r="F389" s="334">
        <v>400</v>
      </c>
      <c r="G389" s="334"/>
      <c r="H389" s="312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 t="s">
        <v>1505</v>
      </c>
      <c r="X389" s="325"/>
      <c r="Y389" s="325"/>
      <c r="Z389" s="367"/>
      <c r="AA389" s="350"/>
      <c r="AB389" s="350"/>
      <c r="AC389" s="350"/>
      <c r="AD389" s="351"/>
    </row>
    <row r="390" spans="1:30" x14ac:dyDescent="0.2">
      <c r="A390" s="327">
        <v>191</v>
      </c>
      <c r="B390" s="334" t="s">
        <v>859</v>
      </c>
      <c r="C390" s="334" t="s">
        <v>229</v>
      </c>
      <c r="D390" s="355" t="s">
        <v>21</v>
      </c>
      <c r="E390" s="334" t="s">
        <v>859</v>
      </c>
      <c r="F390" s="334"/>
      <c r="G390" s="334" t="s">
        <v>859</v>
      </c>
      <c r="H390" s="328">
        <f>H388+F389</f>
        <v>72774.706000000006</v>
      </c>
      <c r="I390" s="334">
        <v>474.81</v>
      </c>
      <c r="J390" s="334">
        <v>78.5</v>
      </c>
      <c r="K390" s="334">
        <f>F389+F391</f>
        <v>818</v>
      </c>
      <c r="L390" s="334">
        <f>K390/2</f>
        <v>409</v>
      </c>
      <c r="M390" s="334">
        <v>232</v>
      </c>
      <c r="N390" s="334">
        <v>240</v>
      </c>
      <c r="O390" s="334">
        <v>472</v>
      </c>
      <c r="P390" s="334">
        <v>223</v>
      </c>
      <c r="Q390" s="334">
        <v>231</v>
      </c>
      <c r="R390" s="334">
        <v>454</v>
      </c>
      <c r="S390" s="334" t="s">
        <v>1506</v>
      </c>
      <c r="T390" s="334" t="s">
        <v>1507</v>
      </c>
      <c r="U390" s="334">
        <v>582664.16399999999</v>
      </c>
      <c r="V390" s="334">
        <v>2649763.92</v>
      </c>
      <c r="W390" s="334"/>
      <c r="X390" s="341" t="s">
        <v>1500</v>
      </c>
      <c r="Y390" s="341" t="s">
        <v>1462</v>
      </c>
      <c r="Z390" s="338" t="s">
        <v>1463</v>
      </c>
      <c r="AA390" s="350"/>
      <c r="AB390" s="350"/>
      <c r="AC390" s="350"/>
      <c r="AD390" s="351"/>
    </row>
    <row r="391" spans="1:30" ht="38.25" x14ac:dyDescent="0.2">
      <c r="A391" s="321"/>
      <c r="B391" s="334"/>
      <c r="C391" s="334"/>
      <c r="D391" s="355"/>
      <c r="E391" s="334"/>
      <c r="F391" s="334">
        <v>418</v>
      </c>
      <c r="G391" s="334"/>
      <c r="H391" s="312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 t="s">
        <v>1508</v>
      </c>
      <c r="X391" s="325"/>
      <c r="Y391" s="325"/>
      <c r="Z391" s="367"/>
      <c r="AA391" s="350"/>
      <c r="AB391" s="350"/>
      <c r="AC391" s="350"/>
      <c r="AD391" s="351"/>
    </row>
    <row r="392" spans="1:30" x14ac:dyDescent="0.2">
      <c r="A392" s="327">
        <v>192</v>
      </c>
      <c r="B392" s="334" t="s">
        <v>859</v>
      </c>
      <c r="C392" s="334" t="s">
        <v>230</v>
      </c>
      <c r="D392" s="355" t="s">
        <v>19</v>
      </c>
      <c r="E392" s="334" t="s">
        <v>859</v>
      </c>
      <c r="F392" s="334"/>
      <c r="G392" s="334" t="s">
        <v>859</v>
      </c>
      <c r="H392" s="328">
        <f>H390+F391</f>
        <v>73192.706000000006</v>
      </c>
      <c r="I392" s="334">
        <v>476.48700000000002</v>
      </c>
      <c r="J392" s="334">
        <v>71</v>
      </c>
      <c r="K392" s="334">
        <f>F391+F393</f>
        <v>769</v>
      </c>
      <c r="L392" s="334">
        <f>K392/2</f>
        <v>384.5</v>
      </c>
      <c r="M392" s="334">
        <v>179</v>
      </c>
      <c r="N392" s="334">
        <v>153</v>
      </c>
      <c r="O392" s="334">
        <v>332</v>
      </c>
      <c r="P392" s="334">
        <v>188</v>
      </c>
      <c r="Q392" s="334">
        <v>160</v>
      </c>
      <c r="R392" s="334">
        <v>348</v>
      </c>
      <c r="S392" s="334" t="s">
        <v>1509</v>
      </c>
      <c r="T392" s="334" t="s">
        <v>1510</v>
      </c>
      <c r="U392" s="334">
        <v>583070.46100000001</v>
      </c>
      <c r="V392" s="334">
        <v>2649665.7050000001</v>
      </c>
      <c r="W392" s="334"/>
      <c r="X392" s="341" t="s">
        <v>1500</v>
      </c>
      <c r="Y392" s="341" t="s">
        <v>1462</v>
      </c>
      <c r="Z392" s="338" t="s">
        <v>1463</v>
      </c>
      <c r="AA392" s="350"/>
      <c r="AB392" s="350"/>
      <c r="AC392" s="350"/>
      <c r="AD392" s="351"/>
    </row>
    <row r="393" spans="1:30" x14ac:dyDescent="0.2">
      <c r="A393" s="321"/>
      <c r="B393" s="334"/>
      <c r="C393" s="334"/>
      <c r="D393" s="355"/>
      <c r="E393" s="334"/>
      <c r="F393" s="334">
        <v>351</v>
      </c>
      <c r="G393" s="334"/>
      <c r="H393" s="312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 t="s">
        <v>1511</v>
      </c>
      <c r="X393" s="325"/>
      <c r="Y393" s="325"/>
      <c r="Z393" s="367"/>
      <c r="AA393" s="350"/>
      <c r="AB393" s="350"/>
      <c r="AC393" s="350"/>
      <c r="AD393" s="351"/>
    </row>
    <row r="394" spans="1:30" x14ac:dyDescent="0.2">
      <c r="A394" s="327">
        <v>193</v>
      </c>
      <c r="B394" s="334" t="s">
        <v>859</v>
      </c>
      <c r="C394" s="334" t="s">
        <v>231</v>
      </c>
      <c r="D394" s="355" t="s">
        <v>40</v>
      </c>
      <c r="E394" s="334" t="s">
        <v>859</v>
      </c>
      <c r="F394" s="334"/>
      <c r="G394" s="334" t="s">
        <v>859</v>
      </c>
      <c r="H394" s="328">
        <f>H392+F393</f>
        <v>73543.706000000006</v>
      </c>
      <c r="I394" s="334">
        <v>477.26100000000002</v>
      </c>
      <c r="J394" s="334">
        <v>74</v>
      </c>
      <c r="K394" s="334">
        <f>F393+F395</f>
        <v>780</v>
      </c>
      <c r="L394" s="334">
        <f>K394/2</f>
        <v>390</v>
      </c>
      <c r="M394" s="334">
        <v>198</v>
      </c>
      <c r="N394" s="334">
        <v>200</v>
      </c>
      <c r="O394" s="334">
        <v>398</v>
      </c>
      <c r="P394" s="334">
        <v>192</v>
      </c>
      <c r="Q394" s="334">
        <v>204</v>
      </c>
      <c r="R394" s="334">
        <v>396</v>
      </c>
      <c r="S394" s="334" t="s">
        <v>1512</v>
      </c>
      <c r="T394" s="334" t="s">
        <v>1513</v>
      </c>
      <c r="U394" s="334">
        <v>583411.63500000001</v>
      </c>
      <c r="V394" s="334">
        <v>2649583.233</v>
      </c>
      <c r="W394" s="334"/>
      <c r="X394" s="341" t="s">
        <v>1500</v>
      </c>
      <c r="Y394" s="341" t="s">
        <v>1462</v>
      </c>
      <c r="Z394" s="338" t="s">
        <v>1463</v>
      </c>
      <c r="AA394" s="350"/>
      <c r="AB394" s="350"/>
      <c r="AC394" s="350"/>
      <c r="AD394" s="351"/>
    </row>
    <row r="395" spans="1:30" x14ac:dyDescent="0.2">
      <c r="A395" s="321"/>
      <c r="B395" s="334"/>
      <c r="C395" s="334"/>
      <c r="D395" s="355"/>
      <c r="E395" s="334"/>
      <c r="F395" s="334">
        <v>429</v>
      </c>
      <c r="G395" s="334"/>
      <c r="H395" s="312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 t="s">
        <v>1514</v>
      </c>
      <c r="X395" s="325"/>
      <c r="Y395" s="325"/>
      <c r="Z395" s="367"/>
      <c r="AA395" s="350"/>
      <c r="AB395" s="350"/>
      <c r="AC395" s="350"/>
      <c r="AD395" s="351"/>
    </row>
    <row r="396" spans="1:30" x14ac:dyDescent="0.2">
      <c r="A396" s="327">
        <v>194</v>
      </c>
      <c r="B396" s="334" t="s">
        <v>859</v>
      </c>
      <c r="C396" s="334" t="s">
        <v>232</v>
      </c>
      <c r="D396" s="355" t="s">
        <v>38</v>
      </c>
      <c r="E396" s="334" t="s">
        <v>859</v>
      </c>
      <c r="F396" s="334"/>
      <c r="G396" s="334" t="s">
        <v>859</v>
      </c>
      <c r="H396" s="328">
        <f>H394+F395</f>
        <v>73972.706000000006</v>
      </c>
      <c r="I396" s="334">
        <v>478.63499999999999</v>
      </c>
      <c r="J396" s="334">
        <v>75.5</v>
      </c>
      <c r="K396" s="334">
        <f>F395+F397</f>
        <v>840</v>
      </c>
      <c r="L396" s="334">
        <f>K396/2</f>
        <v>420</v>
      </c>
      <c r="M396" s="334">
        <v>230</v>
      </c>
      <c r="N396" s="334">
        <v>213</v>
      </c>
      <c r="O396" s="334">
        <v>443</v>
      </c>
      <c r="P396" s="334">
        <v>226</v>
      </c>
      <c r="Q396" s="334">
        <v>211</v>
      </c>
      <c r="R396" s="334">
        <v>437</v>
      </c>
      <c r="S396" s="334" t="s">
        <v>1515</v>
      </c>
      <c r="T396" s="334" t="s">
        <v>1516</v>
      </c>
      <c r="U396" s="334">
        <v>583828.62399999995</v>
      </c>
      <c r="V396" s="334">
        <v>2649482.4330000002</v>
      </c>
      <c r="W396" s="334"/>
      <c r="X396" s="341" t="s">
        <v>1517</v>
      </c>
      <c r="Y396" s="341" t="s">
        <v>1462</v>
      </c>
      <c r="Z396" s="338" t="s">
        <v>1463</v>
      </c>
      <c r="AA396" s="350"/>
      <c r="AB396" s="350"/>
      <c r="AC396" s="350"/>
      <c r="AD396" s="351"/>
    </row>
    <row r="397" spans="1:30" x14ac:dyDescent="0.2">
      <c r="A397" s="321"/>
      <c r="B397" s="334"/>
      <c r="C397" s="334"/>
      <c r="D397" s="355"/>
      <c r="E397" s="334"/>
      <c r="F397" s="334">
        <v>411</v>
      </c>
      <c r="G397" s="334"/>
      <c r="H397" s="312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 t="s">
        <v>1518</v>
      </c>
      <c r="X397" s="325"/>
      <c r="Y397" s="325"/>
      <c r="Z397" s="367"/>
      <c r="AA397" s="350"/>
      <c r="AB397" s="350"/>
      <c r="AC397" s="350"/>
      <c r="AD397" s="351"/>
    </row>
    <row r="398" spans="1:30" x14ac:dyDescent="0.2">
      <c r="A398" s="327">
        <v>195</v>
      </c>
      <c r="B398" s="334" t="s">
        <v>859</v>
      </c>
      <c r="C398" s="334" t="s">
        <v>233</v>
      </c>
      <c r="D398" s="355" t="s">
        <v>36</v>
      </c>
      <c r="E398" s="334" t="s">
        <v>859</v>
      </c>
      <c r="F398" s="334"/>
      <c r="G398" s="334" t="s">
        <v>859</v>
      </c>
      <c r="H398" s="328">
        <f>H396+F397</f>
        <v>74383.706000000006</v>
      </c>
      <c r="I398" s="342">
        <v>480.44099999999997</v>
      </c>
      <c r="J398" s="334">
        <v>72.5</v>
      </c>
      <c r="K398" s="334">
        <f>F397+F399</f>
        <v>792</v>
      </c>
      <c r="L398" s="334">
        <f>K398/2</f>
        <v>396</v>
      </c>
      <c r="M398" s="334">
        <v>199</v>
      </c>
      <c r="N398" s="334">
        <v>151</v>
      </c>
      <c r="O398" s="334">
        <v>350</v>
      </c>
      <c r="P398" s="334">
        <v>201</v>
      </c>
      <c r="Q398" s="334">
        <v>163</v>
      </c>
      <c r="R398" s="334">
        <v>364</v>
      </c>
      <c r="S398" s="334" t="s">
        <v>1519</v>
      </c>
      <c r="T398" s="334" t="s">
        <v>1520</v>
      </c>
      <c r="U398" s="334">
        <v>584228.11800000002</v>
      </c>
      <c r="V398" s="334">
        <v>2649385.8629999999</v>
      </c>
      <c r="W398" s="334"/>
      <c r="X398" s="341" t="s">
        <v>1517</v>
      </c>
      <c r="Y398" s="341" t="s">
        <v>1462</v>
      </c>
      <c r="Z398" s="338" t="s">
        <v>1463</v>
      </c>
      <c r="AA398" s="350"/>
      <c r="AB398" s="350"/>
      <c r="AC398" s="350"/>
      <c r="AD398" s="351"/>
    </row>
    <row r="399" spans="1:30" ht="25.5" x14ac:dyDescent="0.2">
      <c r="A399" s="321"/>
      <c r="B399" s="334"/>
      <c r="C399" s="334"/>
      <c r="D399" s="355"/>
      <c r="E399" s="334"/>
      <c r="F399" s="334">
        <v>381</v>
      </c>
      <c r="G399" s="334"/>
      <c r="H399" s="312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 t="s">
        <v>1521</v>
      </c>
      <c r="X399" s="325"/>
      <c r="Y399" s="325"/>
      <c r="Z399" s="367"/>
      <c r="AA399" s="350"/>
      <c r="AB399" s="350"/>
      <c r="AC399" s="350"/>
      <c r="AD399" s="351"/>
    </row>
    <row r="400" spans="1:30" x14ac:dyDescent="0.2">
      <c r="A400" s="327">
        <v>196</v>
      </c>
      <c r="B400" s="334" t="s">
        <v>859</v>
      </c>
      <c r="C400" s="334" t="s">
        <v>234</v>
      </c>
      <c r="D400" s="355" t="s">
        <v>21</v>
      </c>
      <c r="E400" s="334" t="s">
        <v>859</v>
      </c>
      <c r="F400" s="334"/>
      <c r="G400" s="334" t="s">
        <v>859</v>
      </c>
      <c r="H400" s="328">
        <f>H398+F399</f>
        <v>74764.706000000006</v>
      </c>
      <c r="I400" s="334">
        <v>481.36599999999999</v>
      </c>
      <c r="J400" s="334">
        <v>78.5</v>
      </c>
      <c r="K400" s="334">
        <f>F399+F401</f>
        <v>840</v>
      </c>
      <c r="L400" s="334">
        <f>K400/2</f>
        <v>420</v>
      </c>
      <c r="M400" s="334">
        <v>231</v>
      </c>
      <c r="N400" s="334">
        <v>215</v>
      </c>
      <c r="O400" s="334">
        <v>446</v>
      </c>
      <c r="P400" s="334">
        <v>219</v>
      </c>
      <c r="Q400" s="334">
        <v>220</v>
      </c>
      <c r="R400" s="334">
        <v>439</v>
      </c>
      <c r="S400" s="334" t="s">
        <v>1522</v>
      </c>
      <c r="T400" s="334" t="s">
        <v>1523</v>
      </c>
      <c r="U400" s="334">
        <v>584598.45200000005</v>
      </c>
      <c r="V400" s="334">
        <v>2649296.341</v>
      </c>
      <c r="W400" s="334"/>
      <c r="X400" s="341" t="s">
        <v>1517</v>
      </c>
      <c r="Y400" s="341" t="s">
        <v>1462</v>
      </c>
      <c r="Z400" s="338" t="s">
        <v>1463</v>
      </c>
      <c r="AA400" s="350"/>
      <c r="AB400" s="350"/>
      <c r="AC400" s="350"/>
      <c r="AD400" s="351"/>
    </row>
    <row r="401" spans="1:30" x14ac:dyDescent="0.2">
      <c r="A401" s="321"/>
      <c r="B401" s="334"/>
      <c r="C401" s="334"/>
      <c r="D401" s="355"/>
      <c r="E401" s="334"/>
      <c r="F401" s="334">
        <v>459</v>
      </c>
      <c r="G401" s="334"/>
      <c r="H401" s="312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 t="s">
        <v>1524</v>
      </c>
      <c r="X401" s="325"/>
      <c r="Y401" s="325"/>
      <c r="Z401" s="367"/>
      <c r="AA401" s="350"/>
      <c r="AB401" s="350"/>
      <c r="AC401" s="350"/>
      <c r="AD401" s="351"/>
    </row>
    <row r="402" spans="1:30" x14ac:dyDescent="0.2">
      <c r="A402" s="327">
        <v>197</v>
      </c>
      <c r="B402" s="334" t="s">
        <v>859</v>
      </c>
      <c r="C402" s="334" t="s">
        <v>235</v>
      </c>
      <c r="D402" s="355" t="s">
        <v>21</v>
      </c>
      <c r="E402" s="334" t="s">
        <v>859</v>
      </c>
      <c r="F402" s="334"/>
      <c r="G402" s="334" t="s">
        <v>859</v>
      </c>
      <c r="H402" s="328">
        <f>H400+F401</f>
        <v>75223.706000000006</v>
      </c>
      <c r="I402" s="334">
        <v>484.916</v>
      </c>
      <c r="J402" s="334">
        <v>78.5</v>
      </c>
      <c r="K402" s="334">
        <f>F401+F403</f>
        <v>829</v>
      </c>
      <c r="L402" s="334">
        <f>K402/2</f>
        <v>414.5</v>
      </c>
      <c r="M402" s="334">
        <v>245</v>
      </c>
      <c r="N402" s="334">
        <v>192</v>
      </c>
      <c r="O402" s="334">
        <v>437</v>
      </c>
      <c r="P402" s="334">
        <v>241</v>
      </c>
      <c r="Q402" s="334">
        <v>190</v>
      </c>
      <c r="R402" s="334">
        <v>431</v>
      </c>
      <c r="S402" s="334" t="s">
        <v>1525</v>
      </c>
      <c r="T402" s="334" t="s">
        <v>1526</v>
      </c>
      <c r="U402" s="334">
        <v>585044.60100000002</v>
      </c>
      <c r="V402" s="334">
        <v>2649188.4929999998</v>
      </c>
      <c r="W402" s="334"/>
      <c r="X402" s="341" t="s">
        <v>1462</v>
      </c>
      <c r="Y402" s="341" t="s">
        <v>1462</v>
      </c>
      <c r="Z402" s="338" t="s">
        <v>1463</v>
      </c>
      <c r="AA402" s="350"/>
      <c r="AB402" s="350"/>
      <c r="AC402" s="350"/>
      <c r="AD402" s="351"/>
    </row>
    <row r="403" spans="1:30" x14ac:dyDescent="0.2">
      <c r="A403" s="321"/>
      <c r="B403" s="334"/>
      <c r="C403" s="334"/>
      <c r="D403" s="355"/>
      <c r="E403" s="334"/>
      <c r="F403" s="334">
        <v>370</v>
      </c>
      <c r="G403" s="334"/>
      <c r="H403" s="312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 t="s">
        <v>966</v>
      </c>
      <c r="X403" s="325"/>
      <c r="Y403" s="325"/>
      <c r="Z403" s="367"/>
      <c r="AA403" s="350"/>
      <c r="AB403" s="350"/>
      <c r="AC403" s="350"/>
      <c r="AD403" s="351"/>
    </row>
    <row r="404" spans="1:30" x14ac:dyDescent="0.2">
      <c r="A404" s="327">
        <v>198</v>
      </c>
      <c r="B404" s="334" t="s">
        <v>859</v>
      </c>
      <c r="C404" s="334" t="s">
        <v>236</v>
      </c>
      <c r="D404" s="355" t="s">
        <v>38</v>
      </c>
      <c r="E404" s="334" t="s">
        <v>859</v>
      </c>
      <c r="F404" s="334"/>
      <c r="G404" s="334" t="s">
        <v>859</v>
      </c>
      <c r="H404" s="328">
        <f>H402+F403</f>
        <v>75593.706000000006</v>
      </c>
      <c r="I404" s="334">
        <v>486.70699999999999</v>
      </c>
      <c r="J404" s="334">
        <v>75.5</v>
      </c>
      <c r="K404" s="334">
        <f>F403+F405</f>
        <v>795</v>
      </c>
      <c r="L404" s="334">
        <f>K404/2</f>
        <v>397.5</v>
      </c>
      <c r="M404" s="334">
        <v>179</v>
      </c>
      <c r="N404" s="334">
        <v>195</v>
      </c>
      <c r="O404" s="334">
        <v>374</v>
      </c>
      <c r="P404" s="334">
        <v>181</v>
      </c>
      <c r="Q404" s="334">
        <v>201</v>
      </c>
      <c r="R404" s="334">
        <v>382</v>
      </c>
      <c r="S404" s="334" t="s">
        <v>1527</v>
      </c>
      <c r="T404" s="334" t="s">
        <v>1528</v>
      </c>
      <c r="U404" s="334">
        <v>585404.24300000002</v>
      </c>
      <c r="V404" s="334">
        <v>2649101.5559999999</v>
      </c>
      <c r="W404" s="334"/>
      <c r="X404" s="341" t="s">
        <v>1462</v>
      </c>
      <c r="Y404" s="341" t="s">
        <v>1462</v>
      </c>
      <c r="Z404" s="338" t="s">
        <v>1463</v>
      </c>
      <c r="AA404" s="350"/>
      <c r="AB404" s="350"/>
      <c r="AC404" s="350"/>
      <c r="AD404" s="351"/>
    </row>
    <row r="405" spans="1:30" x14ac:dyDescent="0.2">
      <c r="A405" s="321"/>
      <c r="B405" s="334"/>
      <c r="C405" s="334"/>
      <c r="D405" s="355"/>
      <c r="E405" s="334"/>
      <c r="F405" s="334">
        <v>425</v>
      </c>
      <c r="G405" s="334"/>
      <c r="H405" s="312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 t="s">
        <v>1529</v>
      </c>
      <c r="X405" s="325"/>
      <c r="Y405" s="325"/>
      <c r="Z405" s="367"/>
      <c r="AA405" s="350"/>
      <c r="AB405" s="350"/>
      <c r="AC405" s="350"/>
      <c r="AD405" s="351"/>
    </row>
    <row r="406" spans="1:30" x14ac:dyDescent="0.2">
      <c r="A406" s="327">
        <v>199</v>
      </c>
      <c r="B406" s="334" t="s">
        <v>1530</v>
      </c>
      <c r="C406" s="334" t="s">
        <v>237</v>
      </c>
      <c r="D406" s="355" t="s">
        <v>187</v>
      </c>
      <c r="E406" s="334" t="s">
        <v>1531</v>
      </c>
      <c r="F406" s="334"/>
      <c r="G406" s="334">
        <f>SUM(F389:F405)</f>
        <v>3644</v>
      </c>
      <c r="H406" s="328">
        <f>H404+F405</f>
        <v>76018.706000000006</v>
      </c>
      <c r="I406" s="334">
        <v>490.24599999999998</v>
      </c>
      <c r="J406" s="334">
        <v>73.72</v>
      </c>
      <c r="K406" s="334">
        <f>F405+F407</f>
        <v>681</v>
      </c>
      <c r="L406" s="334">
        <f>K406/2</f>
        <v>340.5</v>
      </c>
      <c r="M406" s="334">
        <v>231</v>
      </c>
      <c r="N406" s="334">
        <v>73</v>
      </c>
      <c r="O406" s="334">
        <v>304</v>
      </c>
      <c r="P406" s="334">
        <v>226</v>
      </c>
      <c r="Q406" s="334">
        <v>101</v>
      </c>
      <c r="R406" s="334">
        <v>327</v>
      </c>
      <c r="S406" s="334" t="s">
        <v>1532</v>
      </c>
      <c r="T406" s="334" t="s">
        <v>1533</v>
      </c>
      <c r="U406" s="334">
        <v>585817.67599999998</v>
      </c>
      <c r="V406" s="334">
        <v>2649001.6159999999</v>
      </c>
      <c r="W406" s="334"/>
      <c r="X406" s="341" t="s">
        <v>1462</v>
      </c>
      <c r="Y406" s="341" t="s">
        <v>1462</v>
      </c>
      <c r="Z406" s="338" t="s">
        <v>1463</v>
      </c>
      <c r="AA406" s="350"/>
      <c r="AB406" s="350"/>
      <c r="AC406" s="350"/>
      <c r="AD406" s="351"/>
    </row>
    <row r="407" spans="1:30" ht="25.5" x14ac:dyDescent="0.2">
      <c r="A407" s="321"/>
      <c r="B407" s="334"/>
      <c r="C407" s="334"/>
      <c r="D407" s="355"/>
      <c r="E407" s="334"/>
      <c r="F407" s="334">
        <v>256</v>
      </c>
      <c r="G407" s="334"/>
      <c r="H407" s="312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 t="s">
        <v>1534</v>
      </c>
      <c r="X407" s="325"/>
      <c r="Y407" s="325"/>
      <c r="Z407" s="367"/>
      <c r="AA407" s="350"/>
      <c r="AB407" s="350"/>
      <c r="AC407" s="350"/>
      <c r="AD407" s="351"/>
    </row>
    <row r="408" spans="1:30" x14ac:dyDescent="0.2">
      <c r="A408" s="327">
        <v>200</v>
      </c>
      <c r="B408" s="334" t="s">
        <v>1535</v>
      </c>
      <c r="C408" s="334" t="s">
        <v>238</v>
      </c>
      <c r="D408" s="355" t="s">
        <v>239</v>
      </c>
      <c r="E408" s="334" t="s">
        <v>1536</v>
      </c>
      <c r="F408" s="334"/>
      <c r="G408" s="334">
        <f>F407</f>
        <v>256</v>
      </c>
      <c r="H408" s="328">
        <f>H406+F407</f>
        <v>76274.706000000006</v>
      </c>
      <c r="I408" s="334">
        <v>492.83300000000003</v>
      </c>
      <c r="J408" s="334">
        <v>76.72</v>
      </c>
      <c r="K408" s="334">
        <f>F407+F409</f>
        <v>699</v>
      </c>
      <c r="L408" s="334">
        <f>K408/2</f>
        <v>349.5</v>
      </c>
      <c r="M408" s="334">
        <v>183</v>
      </c>
      <c r="N408" s="334">
        <v>223</v>
      </c>
      <c r="O408" s="334">
        <v>406</v>
      </c>
      <c r="P408" s="334">
        <v>155</v>
      </c>
      <c r="Q408" s="334">
        <v>223</v>
      </c>
      <c r="R408" s="334">
        <v>378</v>
      </c>
      <c r="S408" s="334" t="s">
        <v>1537</v>
      </c>
      <c r="T408" s="334" t="s">
        <v>1538</v>
      </c>
      <c r="U408" s="334">
        <v>586026.87</v>
      </c>
      <c r="V408" s="334">
        <v>2648854.1179999998</v>
      </c>
      <c r="W408" s="334"/>
      <c r="X408" s="341" t="s">
        <v>1462</v>
      </c>
      <c r="Y408" s="341" t="s">
        <v>1462</v>
      </c>
      <c r="Z408" s="338" t="s">
        <v>1463</v>
      </c>
      <c r="AA408" s="350"/>
      <c r="AB408" s="350"/>
      <c r="AC408" s="350"/>
      <c r="AD408" s="351"/>
    </row>
    <row r="409" spans="1:30" ht="25.5" x14ac:dyDescent="0.2">
      <c r="A409" s="321"/>
      <c r="B409" s="334"/>
      <c r="C409" s="334"/>
      <c r="D409" s="355"/>
      <c r="E409" s="334"/>
      <c r="F409" s="334">
        <v>443</v>
      </c>
      <c r="G409" s="334"/>
      <c r="H409" s="312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 t="s">
        <v>1539</v>
      </c>
      <c r="X409" s="325"/>
      <c r="Y409" s="325"/>
      <c r="Z409" s="367"/>
      <c r="AA409" s="350"/>
      <c r="AB409" s="350"/>
      <c r="AC409" s="350"/>
      <c r="AD409" s="351"/>
    </row>
    <row r="410" spans="1:30" x14ac:dyDescent="0.2">
      <c r="A410" s="327">
        <v>201</v>
      </c>
      <c r="B410" s="334" t="s">
        <v>1540</v>
      </c>
      <c r="C410" s="334" t="s">
        <v>240</v>
      </c>
      <c r="D410" s="355" t="s">
        <v>241</v>
      </c>
      <c r="E410" s="334" t="s">
        <v>1541</v>
      </c>
      <c r="F410" s="334"/>
      <c r="G410" s="334">
        <f>F409</f>
        <v>443</v>
      </c>
      <c r="H410" s="328">
        <f>H408+F409</f>
        <v>76717.706000000006</v>
      </c>
      <c r="I410" s="334">
        <v>492.49700000000001</v>
      </c>
      <c r="J410" s="334">
        <v>76.72</v>
      </c>
      <c r="K410" s="334">
        <f>F409+F411</f>
        <v>894</v>
      </c>
      <c r="L410" s="334">
        <f>K410/2</f>
        <v>447</v>
      </c>
      <c r="M410" s="334">
        <v>220</v>
      </c>
      <c r="N410" s="334">
        <v>240</v>
      </c>
      <c r="O410" s="334">
        <v>460</v>
      </c>
      <c r="P410" s="334">
        <v>221</v>
      </c>
      <c r="Q410" s="334">
        <v>237</v>
      </c>
      <c r="R410" s="334">
        <v>458</v>
      </c>
      <c r="S410" s="334" t="s">
        <v>1542</v>
      </c>
      <c r="T410" s="334" t="s">
        <v>1543</v>
      </c>
      <c r="U410" s="334">
        <v>586457.28300000005</v>
      </c>
      <c r="V410" s="334">
        <v>2648749.003</v>
      </c>
      <c r="W410" s="334"/>
      <c r="X410" s="341" t="s">
        <v>1462</v>
      </c>
      <c r="Y410" s="341" t="s">
        <v>1462</v>
      </c>
      <c r="Z410" s="338" t="s">
        <v>1463</v>
      </c>
      <c r="AA410" s="350"/>
      <c r="AB410" s="350"/>
      <c r="AC410" s="350"/>
      <c r="AD410" s="351"/>
    </row>
    <row r="411" spans="1:30" x14ac:dyDescent="0.2">
      <c r="A411" s="321"/>
      <c r="B411" s="334"/>
      <c r="C411" s="334"/>
      <c r="D411" s="355"/>
      <c r="E411" s="334"/>
      <c r="F411" s="334">
        <v>451</v>
      </c>
      <c r="G411" s="334"/>
      <c r="H411" s="312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 t="s">
        <v>1464</v>
      </c>
      <c r="X411" s="325"/>
      <c r="Y411" s="325"/>
      <c r="Z411" s="367"/>
      <c r="AA411" s="350"/>
      <c r="AB411" s="350"/>
      <c r="AC411" s="350"/>
      <c r="AD411" s="351"/>
    </row>
    <row r="412" spans="1:30" x14ac:dyDescent="0.2">
      <c r="A412" s="327">
        <v>202</v>
      </c>
      <c r="B412" s="334" t="s">
        <v>859</v>
      </c>
      <c r="C412" s="334" t="s">
        <v>242</v>
      </c>
      <c r="D412" s="355" t="s">
        <v>243</v>
      </c>
      <c r="E412" s="334" t="s">
        <v>859</v>
      </c>
      <c r="F412" s="334"/>
      <c r="G412" s="334">
        <f>F411</f>
        <v>451</v>
      </c>
      <c r="H412" s="328">
        <f>H410+F411</f>
        <v>77168.706000000006</v>
      </c>
      <c r="I412" s="334">
        <v>492.18099999999998</v>
      </c>
      <c r="J412" s="334">
        <v>73.72</v>
      </c>
      <c r="K412" s="334">
        <f>F411+F413</f>
        <v>871</v>
      </c>
      <c r="L412" s="334">
        <f>K412/2</f>
        <v>435.5</v>
      </c>
      <c r="M412" s="334">
        <v>212</v>
      </c>
      <c r="N412" s="334">
        <v>211</v>
      </c>
      <c r="O412" s="334">
        <v>423</v>
      </c>
      <c r="P412" s="334">
        <v>216</v>
      </c>
      <c r="Q412" s="334">
        <v>212</v>
      </c>
      <c r="R412" s="334">
        <v>428</v>
      </c>
      <c r="S412" s="334" t="s">
        <v>1544</v>
      </c>
      <c r="T412" s="334" t="s">
        <v>1545</v>
      </c>
      <c r="U412" s="334">
        <v>586865.07400000002</v>
      </c>
      <c r="V412" s="334">
        <v>2648556.3689999999</v>
      </c>
      <c r="W412" s="334"/>
      <c r="X412" s="341" t="s">
        <v>1462</v>
      </c>
      <c r="Y412" s="341" t="s">
        <v>1462</v>
      </c>
      <c r="Z412" s="338" t="s">
        <v>1463</v>
      </c>
      <c r="AA412" s="350"/>
      <c r="AB412" s="350"/>
      <c r="AC412" s="350"/>
      <c r="AD412" s="351"/>
    </row>
    <row r="413" spans="1:30" x14ac:dyDescent="0.2">
      <c r="A413" s="321"/>
      <c r="B413" s="334"/>
      <c r="C413" s="334"/>
      <c r="D413" s="355"/>
      <c r="E413" s="334"/>
      <c r="F413" s="334">
        <v>420</v>
      </c>
      <c r="G413" s="334"/>
      <c r="H413" s="312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 t="s">
        <v>1464</v>
      </c>
      <c r="X413" s="325"/>
      <c r="Y413" s="325"/>
      <c r="Z413" s="367"/>
      <c r="AA413" s="350"/>
      <c r="AB413" s="350"/>
      <c r="AC413" s="350"/>
      <c r="AD413" s="351"/>
    </row>
    <row r="414" spans="1:30" x14ac:dyDescent="0.2">
      <c r="A414" s="327">
        <v>203</v>
      </c>
      <c r="B414" s="334" t="s">
        <v>859</v>
      </c>
      <c r="C414" s="334" t="s">
        <v>244</v>
      </c>
      <c r="D414" s="355" t="s">
        <v>38</v>
      </c>
      <c r="E414" s="334" t="s">
        <v>859</v>
      </c>
      <c r="F414" s="334"/>
      <c r="G414" s="334"/>
      <c r="H414" s="328">
        <f>H412+F413</f>
        <v>77588.706000000006</v>
      </c>
      <c r="I414" s="334">
        <v>491.96699999999998</v>
      </c>
      <c r="J414" s="334">
        <v>75.5</v>
      </c>
      <c r="K414" s="334">
        <f>F413+F415</f>
        <v>838</v>
      </c>
      <c r="L414" s="334">
        <f>K414/2</f>
        <v>419</v>
      </c>
      <c r="M414" s="334">
        <v>209</v>
      </c>
      <c r="N414" s="334">
        <v>188</v>
      </c>
      <c r="O414" s="334">
        <v>397</v>
      </c>
      <c r="P414" s="334">
        <v>210</v>
      </c>
      <c r="Q414" s="334">
        <v>195</v>
      </c>
      <c r="R414" s="334">
        <v>405</v>
      </c>
      <c r="S414" s="334" t="s">
        <v>1546</v>
      </c>
      <c r="T414" s="334" t="s">
        <v>1547</v>
      </c>
      <c r="U414" s="334">
        <v>587244.83499999996</v>
      </c>
      <c r="V414" s="334">
        <v>2648376.977</v>
      </c>
      <c r="W414" s="334"/>
      <c r="X414" s="341" t="s">
        <v>1462</v>
      </c>
      <c r="Y414" s="341" t="s">
        <v>1462</v>
      </c>
      <c r="Z414" s="338" t="s">
        <v>1463</v>
      </c>
      <c r="AA414" s="350"/>
      <c r="AB414" s="350"/>
      <c r="AC414" s="350"/>
      <c r="AD414" s="351"/>
    </row>
    <row r="415" spans="1:30" x14ac:dyDescent="0.2">
      <c r="A415" s="321"/>
      <c r="B415" s="334"/>
      <c r="C415" s="334"/>
      <c r="D415" s="355"/>
      <c r="E415" s="334"/>
      <c r="F415" s="334">
        <v>418</v>
      </c>
      <c r="G415" s="334"/>
      <c r="H415" s="312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 t="s">
        <v>969</v>
      </c>
      <c r="X415" s="325"/>
      <c r="Y415" s="325"/>
      <c r="Z415" s="367"/>
      <c r="AA415" s="350"/>
      <c r="AB415" s="350"/>
      <c r="AC415" s="350"/>
      <c r="AD415" s="351"/>
    </row>
    <row r="416" spans="1:30" x14ac:dyDescent="0.2">
      <c r="A416" s="327">
        <v>204</v>
      </c>
      <c r="B416" s="334" t="s">
        <v>859</v>
      </c>
      <c r="C416" s="334" t="s">
        <v>245</v>
      </c>
      <c r="D416" s="355" t="s">
        <v>36</v>
      </c>
      <c r="E416" s="334" t="s">
        <v>859</v>
      </c>
      <c r="F416" s="334"/>
      <c r="G416" s="334" t="s">
        <v>859</v>
      </c>
      <c r="H416" s="328">
        <f>H414+F415</f>
        <v>78006.706000000006</v>
      </c>
      <c r="I416" s="342">
        <v>499.12</v>
      </c>
      <c r="J416" s="334">
        <v>72.5</v>
      </c>
      <c r="K416" s="334">
        <f>F415+F417</f>
        <v>767</v>
      </c>
      <c r="L416" s="334">
        <f>K416/2</f>
        <v>383.5</v>
      </c>
      <c r="M416" s="334">
        <v>231</v>
      </c>
      <c r="N416" s="334">
        <v>181</v>
      </c>
      <c r="O416" s="334">
        <v>412</v>
      </c>
      <c r="P416" s="334">
        <v>224</v>
      </c>
      <c r="Q416" s="334">
        <v>179</v>
      </c>
      <c r="R416" s="334">
        <v>403</v>
      </c>
      <c r="S416" s="334" t="s">
        <v>1548</v>
      </c>
      <c r="T416" s="334" t="s">
        <v>1549</v>
      </c>
      <c r="U416" s="334">
        <v>587622.78700000001</v>
      </c>
      <c r="V416" s="334">
        <v>2648198.4380000001</v>
      </c>
      <c r="W416" s="334"/>
      <c r="X416" s="341" t="s">
        <v>1462</v>
      </c>
      <c r="Y416" s="341" t="s">
        <v>1462</v>
      </c>
      <c r="Z416" s="338" t="s">
        <v>1463</v>
      </c>
      <c r="AA416" s="350"/>
      <c r="AB416" s="350"/>
      <c r="AC416" s="350"/>
      <c r="AD416" s="351"/>
    </row>
    <row r="417" spans="1:31" x14ac:dyDescent="0.2">
      <c r="A417" s="321"/>
      <c r="B417" s="334"/>
      <c r="C417" s="334"/>
      <c r="D417" s="355"/>
      <c r="E417" s="334"/>
      <c r="F417" s="334">
        <v>349</v>
      </c>
      <c r="G417" s="334"/>
      <c r="H417" s="312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 t="s">
        <v>966</v>
      </c>
      <c r="X417" s="325"/>
      <c r="Y417" s="325"/>
      <c r="Z417" s="367"/>
      <c r="AA417" s="350"/>
      <c r="AB417" s="350"/>
      <c r="AC417" s="350"/>
      <c r="AD417" s="351"/>
    </row>
    <row r="418" spans="1:31" ht="14.25" x14ac:dyDescent="0.2">
      <c r="A418" s="327">
        <v>205</v>
      </c>
      <c r="B418" s="343" t="s">
        <v>1550</v>
      </c>
      <c r="C418" s="343" t="s">
        <v>246</v>
      </c>
      <c r="D418" s="343" t="s">
        <v>23</v>
      </c>
      <c r="E418" s="343" t="s">
        <v>1551</v>
      </c>
      <c r="F418" s="370"/>
      <c r="G418" s="343">
        <f>SUM(F413:F417)</f>
        <v>1187</v>
      </c>
      <c r="H418" s="328">
        <f>H416+F417</f>
        <v>78355.706000000006</v>
      </c>
      <c r="I418" s="370">
        <v>498.14800000000002</v>
      </c>
      <c r="J418" s="343">
        <v>70.72</v>
      </c>
      <c r="K418" s="370">
        <v>756.01499999999999</v>
      </c>
      <c r="L418" s="370">
        <v>378.00749999999999</v>
      </c>
      <c r="M418" s="343">
        <v>169</v>
      </c>
      <c r="N418" s="343">
        <v>216</v>
      </c>
      <c r="O418" s="343">
        <v>385</v>
      </c>
      <c r="P418" s="343">
        <v>171</v>
      </c>
      <c r="Q418" s="343">
        <v>213</v>
      </c>
      <c r="R418" s="343">
        <v>384</v>
      </c>
      <c r="S418" s="343" t="s">
        <v>1552</v>
      </c>
      <c r="T418" s="343" t="s">
        <v>1553</v>
      </c>
      <c r="U418" s="371">
        <v>587938.36399999994</v>
      </c>
      <c r="V418" s="371">
        <v>2648049.3650000002</v>
      </c>
      <c r="W418" s="372"/>
      <c r="X418" s="341" t="s">
        <v>1462</v>
      </c>
      <c r="Y418" s="341" t="s">
        <v>1462</v>
      </c>
      <c r="Z418" s="338" t="s">
        <v>1463</v>
      </c>
      <c r="AA418" s="350"/>
      <c r="AB418" s="350"/>
      <c r="AC418" s="350"/>
      <c r="AD418" s="351"/>
    </row>
    <row r="419" spans="1:31" x14ac:dyDescent="0.2">
      <c r="A419" s="321"/>
      <c r="B419" s="343"/>
      <c r="C419" s="343"/>
      <c r="D419" s="343"/>
      <c r="E419" s="343"/>
      <c r="F419" s="373">
        <v>407</v>
      </c>
      <c r="G419" s="343"/>
      <c r="H419" s="312"/>
      <c r="I419" s="370"/>
      <c r="J419" s="370"/>
      <c r="K419" s="370"/>
      <c r="L419" s="370"/>
      <c r="M419" s="343"/>
      <c r="N419" s="343"/>
      <c r="O419" s="343"/>
      <c r="P419" s="343"/>
      <c r="Q419" s="343"/>
      <c r="R419" s="343"/>
      <c r="S419" s="343"/>
      <c r="T419" s="343"/>
      <c r="U419" s="371"/>
      <c r="V419" s="371"/>
      <c r="W419" s="372" t="s">
        <v>1554</v>
      </c>
      <c r="X419" s="325"/>
      <c r="Y419" s="325"/>
      <c r="Z419" s="367"/>
      <c r="AA419" s="350"/>
      <c r="AB419" s="350"/>
      <c r="AC419" s="350"/>
      <c r="AD419" s="351"/>
    </row>
    <row r="420" spans="1:31" ht="14.25" x14ac:dyDescent="0.2">
      <c r="A420" s="327">
        <v>206</v>
      </c>
      <c r="B420" s="343" t="s">
        <v>859</v>
      </c>
      <c r="C420" s="343" t="s">
        <v>247</v>
      </c>
      <c r="D420" s="343" t="s">
        <v>28</v>
      </c>
      <c r="E420" s="343" t="s">
        <v>859</v>
      </c>
      <c r="F420" s="373"/>
      <c r="G420" s="343" t="s">
        <v>859</v>
      </c>
      <c r="H420" s="328">
        <f>H418+F419</f>
        <v>78762.706000000006</v>
      </c>
      <c r="I420" s="370">
        <v>498.83600000000001</v>
      </c>
      <c r="J420" s="370">
        <v>69.5</v>
      </c>
      <c r="K420" s="370">
        <v>730</v>
      </c>
      <c r="L420" s="370">
        <v>365</v>
      </c>
      <c r="M420" s="343">
        <v>192</v>
      </c>
      <c r="N420" s="343">
        <v>147</v>
      </c>
      <c r="O420" s="343">
        <v>339</v>
      </c>
      <c r="P420" s="343">
        <v>196</v>
      </c>
      <c r="Q420" s="343">
        <v>152</v>
      </c>
      <c r="R420" s="343">
        <v>348</v>
      </c>
      <c r="S420" s="343" t="s">
        <v>1555</v>
      </c>
      <c r="T420" s="343" t="s">
        <v>1556</v>
      </c>
      <c r="U420" s="371">
        <v>588215.74399999995</v>
      </c>
      <c r="V420" s="371">
        <v>2647751.5240000002</v>
      </c>
      <c r="W420" s="372"/>
      <c r="X420" s="341" t="s">
        <v>1557</v>
      </c>
      <c r="Y420" s="341" t="s">
        <v>1462</v>
      </c>
      <c r="Z420" s="338" t="s">
        <v>1463</v>
      </c>
      <c r="AA420" s="350"/>
      <c r="AB420" s="350"/>
      <c r="AC420" s="350"/>
      <c r="AD420" s="351"/>
    </row>
    <row r="421" spans="1:31" x14ac:dyDescent="0.2">
      <c r="A421" s="321"/>
      <c r="B421" s="343"/>
      <c r="C421" s="343"/>
      <c r="D421" s="343"/>
      <c r="E421" s="343"/>
      <c r="F421" s="373">
        <v>323</v>
      </c>
      <c r="G421" s="343"/>
      <c r="H421" s="312"/>
      <c r="I421" s="370"/>
      <c r="J421" s="370"/>
      <c r="K421" s="370"/>
      <c r="L421" s="370"/>
      <c r="M421" s="343"/>
      <c r="N421" s="343"/>
      <c r="O421" s="343"/>
      <c r="P421" s="343"/>
      <c r="Q421" s="343"/>
      <c r="R421" s="343"/>
      <c r="S421" s="343"/>
      <c r="T421" s="343"/>
      <c r="U421" s="371"/>
      <c r="V421" s="371"/>
      <c r="W421" s="372"/>
      <c r="X421" s="325"/>
      <c r="Y421" s="325"/>
      <c r="Z421" s="367"/>
      <c r="AA421" s="350"/>
      <c r="AB421" s="350"/>
      <c r="AC421" s="350"/>
      <c r="AD421" s="351"/>
    </row>
    <row r="422" spans="1:31" ht="14.25" x14ac:dyDescent="0.2">
      <c r="A422" s="327">
        <v>207</v>
      </c>
      <c r="B422" s="343" t="s">
        <v>859</v>
      </c>
      <c r="C422" s="343" t="s">
        <v>248</v>
      </c>
      <c r="D422" s="343" t="s">
        <v>36</v>
      </c>
      <c r="E422" s="343" t="s">
        <v>859</v>
      </c>
      <c r="F422" s="373"/>
      <c r="G422" s="343" t="s">
        <v>859</v>
      </c>
      <c r="H422" s="328">
        <f>H420+F421</f>
        <v>79085.706000000006</v>
      </c>
      <c r="I422" s="370">
        <v>498.06799999999998</v>
      </c>
      <c r="J422" s="334">
        <v>72.5</v>
      </c>
      <c r="K422" s="370">
        <v>742</v>
      </c>
      <c r="L422" s="370">
        <v>371</v>
      </c>
      <c r="M422" s="343">
        <v>177</v>
      </c>
      <c r="N422" s="343">
        <v>184</v>
      </c>
      <c r="O422" s="343">
        <v>361</v>
      </c>
      <c r="P422" s="343">
        <v>172</v>
      </c>
      <c r="Q422" s="343">
        <v>192</v>
      </c>
      <c r="R422" s="343">
        <v>364</v>
      </c>
      <c r="S422" s="343" t="s">
        <v>1558</v>
      </c>
      <c r="T422" s="343" t="s">
        <v>1559</v>
      </c>
      <c r="U422" s="371">
        <v>588435.87600000005</v>
      </c>
      <c r="V422" s="371">
        <v>2647515.1529999999</v>
      </c>
      <c r="W422" s="372"/>
      <c r="X422" s="341" t="s">
        <v>1557</v>
      </c>
      <c r="Y422" s="341" t="s">
        <v>1462</v>
      </c>
      <c r="Z422" s="338" t="s">
        <v>1463</v>
      </c>
      <c r="AA422" s="350"/>
      <c r="AB422" s="350"/>
      <c r="AC422" s="350"/>
      <c r="AD422" s="351"/>
    </row>
    <row r="423" spans="1:31" x14ac:dyDescent="0.2">
      <c r="A423" s="321"/>
      <c r="B423" s="343"/>
      <c r="C423" s="343"/>
      <c r="D423" s="343"/>
      <c r="E423" s="343"/>
      <c r="F423" s="373">
        <v>419</v>
      </c>
      <c r="G423" s="343"/>
      <c r="H423" s="312"/>
      <c r="I423" s="370"/>
      <c r="J423" s="370"/>
      <c r="K423" s="370"/>
      <c r="L423" s="370"/>
      <c r="M423" s="343"/>
      <c r="N423" s="343"/>
      <c r="O423" s="343"/>
      <c r="P423" s="343"/>
      <c r="Q423" s="343"/>
      <c r="R423" s="343"/>
      <c r="S423" s="343"/>
      <c r="T423" s="343"/>
      <c r="U423" s="371"/>
      <c r="V423" s="371"/>
      <c r="W423" s="372" t="s">
        <v>1560</v>
      </c>
      <c r="X423" s="325"/>
      <c r="Y423" s="325"/>
      <c r="Z423" s="367"/>
      <c r="AA423" s="350"/>
      <c r="AB423" s="350"/>
      <c r="AC423" s="350"/>
      <c r="AD423" s="351"/>
    </row>
    <row r="424" spans="1:31" ht="14.25" x14ac:dyDescent="0.2">
      <c r="A424" s="327">
        <v>208</v>
      </c>
      <c r="B424" s="343" t="s">
        <v>859</v>
      </c>
      <c r="C424" s="343" t="s">
        <v>249</v>
      </c>
      <c r="D424" s="343" t="s">
        <v>36</v>
      </c>
      <c r="E424" s="343" t="s">
        <v>859</v>
      </c>
      <c r="F424" s="373"/>
      <c r="G424" s="343" t="s">
        <v>859</v>
      </c>
      <c r="H424" s="328">
        <f>H422+F423</f>
        <v>79504.706000000006</v>
      </c>
      <c r="I424" s="370">
        <v>503.173</v>
      </c>
      <c r="J424" s="334">
        <v>72.5</v>
      </c>
      <c r="K424" s="370">
        <v>821</v>
      </c>
      <c r="L424" s="370">
        <v>410.5</v>
      </c>
      <c r="M424" s="343">
        <v>236</v>
      </c>
      <c r="N424" s="343">
        <v>186</v>
      </c>
      <c r="O424" s="343">
        <v>422</v>
      </c>
      <c r="P424" s="343">
        <v>228</v>
      </c>
      <c r="Q424" s="343">
        <v>191</v>
      </c>
      <c r="R424" s="343">
        <v>419</v>
      </c>
      <c r="S424" s="343" t="s">
        <v>1561</v>
      </c>
      <c r="T424" s="343" t="s">
        <v>1562</v>
      </c>
      <c r="U424" s="371">
        <v>588721.43400000001</v>
      </c>
      <c r="V424" s="371">
        <v>2647208.531</v>
      </c>
      <c r="W424" s="372"/>
      <c r="X424" s="341" t="s">
        <v>1557</v>
      </c>
      <c r="Y424" s="341" t="s">
        <v>1462</v>
      </c>
      <c r="Z424" s="338" t="s">
        <v>1463</v>
      </c>
      <c r="AA424" s="350"/>
      <c r="AB424" s="350"/>
      <c r="AC424" s="350"/>
      <c r="AD424" s="351"/>
    </row>
    <row r="425" spans="1:31" x14ac:dyDescent="0.2">
      <c r="A425" s="321"/>
      <c r="B425" s="343"/>
      <c r="C425" s="343"/>
      <c r="D425" s="343"/>
      <c r="E425" s="343"/>
      <c r="F425" s="373">
        <v>402</v>
      </c>
      <c r="G425" s="343"/>
      <c r="H425" s="312"/>
      <c r="I425" s="370"/>
      <c r="J425" s="370"/>
      <c r="K425" s="370"/>
      <c r="L425" s="370"/>
      <c r="M425" s="343"/>
      <c r="N425" s="343"/>
      <c r="O425" s="343"/>
      <c r="P425" s="343"/>
      <c r="Q425" s="343"/>
      <c r="R425" s="343"/>
      <c r="S425" s="343"/>
      <c r="T425" s="343"/>
      <c r="U425" s="371"/>
      <c r="V425" s="371"/>
      <c r="W425" s="372" t="s">
        <v>1563</v>
      </c>
      <c r="X425" s="325"/>
      <c r="Y425" s="325"/>
      <c r="Z425" s="367"/>
      <c r="AA425" s="350"/>
      <c r="AB425" s="350"/>
      <c r="AC425" s="350"/>
      <c r="AD425" s="351"/>
    </row>
    <row r="426" spans="1:31" ht="14.25" x14ac:dyDescent="0.2">
      <c r="A426" s="327">
        <v>209</v>
      </c>
      <c r="B426" s="343" t="s">
        <v>859</v>
      </c>
      <c r="C426" s="343" t="s">
        <v>250</v>
      </c>
      <c r="D426" s="343" t="s">
        <v>40</v>
      </c>
      <c r="E426" s="343" t="s">
        <v>859</v>
      </c>
      <c r="F426" s="370"/>
      <c r="G426" s="343" t="s">
        <v>859</v>
      </c>
      <c r="H426" s="328">
        <f>H424+F425</f>
        <v>79906.706000000006</v>
      </c>
      <c r="I426" s="370">
        <v>504.47199999999998</v>
      </c>
      <c r="J426" s="334">
        <v>74</v>
      </c>
      <c r="K426" s="370">
        <v>804.30600000000004</v>
      </c>
      <c r="L426" s="370">
        <v>402.15300000000002</v>
      </c>
      <c r="M426" s="343">
        <v>216</v>
      </c>
      <c r="N426" s="343">
        <v>219</v>
      </c>
      <c r="O426" s="343">
        <v>435</v>
      </c>
      <c r="P426" s="343">
        <v>212</v>
      </c>
      <c r="Q426" s="343">
        <v>214</v>
      </c>
      <c r="R426" s="343">
        <v>426</v>
      </c>
      <c r="S426" s="343" t="s">
        <v>1564</v>
      </c>
      <c r="T426" s="343" t="s">
        <v>1565</v>
      </c>
      <c r="U426" s="371">
        <v>588995.40599999996</v>
      </c>
      <c r="V426" s="371">
        <v>2646914.3480000002</v>
      </c>
      <c r="W426" s="372"/>
      <c r="X426" s="341" t="s">
        <v>1566</v>
      </c>
      <c r="Y426" s="341" t="s">
        <v>1462</v>
      </c>
      <c r="Z426" s="338" t="s">
        <v>1463</v>
      </c>
      <c r="AA426" s="350"/>
      <c r="AB426" s="350"/>
      <c r="AC426" s="350"/>
      <c r="AD426" s="351"/>
    </row>
    <row r="427" spans="1:31" x14ac:dyDescent="0.2">
      <c r="A427" s="321"/>
      <c r="B427" s="343"/>
      <c r="C427" s="343"/>
      <c r="D427" s="343"/>
      <c r="E427" s="343"/>
      <c r="F427" s="373">
        <v>402.30599999999998</v>
      </c>
      <c r="G427" s="343"/>
      <c r="H427" s="312"/>
      <c r="I427" s="370"/>
      <c r="J427" s="370"/>
      <c r="K427" s="370"/>
      <c r="L427" s="370"/>
      <c r="M427" s="343"/>
      <c r="N427" s="343"/>
      <c r="O427" s="343"/>
      <c r="P427" s="343"/>
      <c r="Q427" s="343"/>
      <c r="R427" s="343"/>
      <c r="S427" s="343"/>
      <c r="T427" s="343"/>
      <c r="U427" s="371"/>
      <c r="V427" s="371"/>
      <c r="W427" s="372" t="s">
        <v>1567</v>
      </c>
      <c r="X427" s="325"/>
      <c r="Y427" s="325"/>
      <c r="Z427" s="367"/>
      <c r="AA427" s="350"/>
      <c r="AB427" s="350"/>
      <c r="AC427" s="350"/>
      <c r="AD427" s="351"/>
    </row>
    <row r="428" spans="1:31" ht="14.25" x14ac:dyDescent="0.2">
      <c r="A428" s="327">
        <v>210</v>
      </c>
      <c r="B428" s="343" t="s">
        <v>1568</v>
      </c>
      <c r="C428" s="343" t="s">
        <v>251</v>
      </c>
      <c r="D428" s="343" t="s">
        <v>45</v>
      </c>
      <c r="E428" s="343" t="s">
        <v>1569</v>
      </c>
      <c r="F428" s="370"/>
      <c r="G428" s="343">
        <v>1953.31</v>
      </c>
      <c r="H428" s="328">
        <f>H426+F427</f>
        <v>80309.012000000002</v>
      </c>
      <c r="I428" s="370">
        <v>502.71</v>
      </c>
      <c r="J428" s="343">
        <v>70.72</v>
      </c>
      <c r="K428" s="370">
        <v>818.30600000000004</v>
      </c>
      <c r="L428" s="370">
        <v>409.15300000000002</v>
      </c>
      <c r="M428" s="343">
        <v>184</v>
      </c>
      <c r="N428" s="343">
        <v>233</v>
      </c>
      <c r="O428" s="343">
        <v>417</v>
      </c>
      <c r="P428" s="343">
        <v>190</v>
      </c>
      <c r="Q428" s="343">
        <v>226</v>
      </c>
      <c r="R428" s="343">
        <v>416</v>
      </c>
      <c r="S428" s="343" t="s">
        <v>1570</v>
      </c>
      <c r="T428" s="343" t="s">
        <v>1571</v>
      </c>
      <c r="U428" s="371">
        <v>589269.58700000006</v>
      </c>
      <c r="V428" s="371">
        <v>2646619.9419999998</v>
      </c>
      <c r="W428" s="372"/>
      <c r="X428" s="341" t="s">
        <v>1566</v>
      </c>
      <c r="Y428" s="341" t="s">
        <v>1462</v>
      </c>
      <c r="Z428" s="338" t="s">
        <v>1463</v>
      </c>
      <c r="AA428" s="350"/>
      <c r="AB428" s="350"/>
      <c r="AC428" s="350"/>
      <c r="AD428" s="351"/>
    </row>
    <row r="429" spans="1:31" x14ac:dyDescent="0.2">
      <c r="A429" s="321"/>
      <c r="B429" s="343"/>
      <c r="C429" s="343"/>
      <c r="D429" s="343"/>
      <c r="E429" s="343"/>
      <c r="F429" s="373">
        <v>416</v>
      </c>
      <c r="G429" s="343"/>
      <c r="H429" s="312"/>
      <c r="I429" s="370"/>
      <c r="J429" s="370"/>
      <c r="K429" s="370"/>
      <c r="L429" s="370"/>
      <c r="M429" s="343"/>
      <c r="N429" s="343"/>
      <c r="O429" s="343"/>
      <c r="P429" s="343"/>
      <c r="Q429" s="343"/>
      <c r="R429" s="343"/>
      <c r="S429" s="343"/>
      <c r="T429" s="343"/>
      <c r="U429" s="371"/>
      <c r="V429" s="371"/>
      <c r="W429" s="372" t="s">
        <v>1572</v>
      </c>
      <c r="X429" s="325"/>
      <c r="Y429" s="325"/>
      <c r="Z429" s="367"/>
      <c r="AA429" s="350"/>
      <c r="AB429" s="350"/>
      <c r="AC429" s="350"/>
      <c r="AD429" s="351"/>
    </row>
    <row r="430" spans="1:31" ht="14.25" x14ac:dyDescent="0.2">
      <c r="A430" s="327">
        <v>211</v>
      </c>
      <c r="B430" s="343" t="s">
        <v>859</v>
      </c>
      <c r="C430" s="343" t="s">
        <v>252</v>
      </c>
      <c r="D430" s="343" t="s">
        <v>40</v>
      </c>
      <c r="E430" s="343" t="s">
        <v>859</v>
      </c>
      <c r="F430" s="373"/>
      <c r="G430" s="343" t="s">
        <v>859</v>
      </c>
      <c r="H430" s="328">
        <f>H428+F429</f>
        <v>80725.012000000002</v>
      </c>
      <c r="I430" s="370">
        <v>496.255</v>
      </c>
      <c r="J430" s="334">
        <v>74</v>
      </c>
      <c r="K430" s="370">
        <v>834.75199999999995</v>
      </c>
      <c r="L430" s="370">
        <v>417.37599999999998</v>
      </c>
      <c r="M430" s="343">
        <v>184</v>
      </c>
      <c r="N430" s="343">
        <v>217</v>
      </c>
      <c r="O430" s="343">
        <v>401</v>
      </c>
      <c r="P430" s="343">
        <v>191</v>
      </c>
      <c r="Q430" s="343">
        <v>215</v>
      </c>
      <c r="R430" s="343">
        <v>406</v>
      </c>
      <c r="S430" s="343" t="s">
        <v>1573</v>
      </c>
      <c r="T430" s="343" t="s">
        <v>1574</v>
      </c>
      <c r="U430" s="371">
        <v>589652.54</v>
      </c>
      <c r="V430" s="371">
        <v>2646457.4509999999</v>
      </c>
      <c r="W430" s="374" t="s">
        <v>1575</v>
      </c>
      <c r="X430" s="341" t="s">
        <v>1566</v>
      </c>
      <c r="Y430" s="341" t="s">
        <v>1462</v>
      </c>
      <c r="Z430" s="338" t="s">
        <v>1463</v>
      </c>
      <c r="AA430" s="353">
        <v>2.5</v>
      </c>
      <c r="AB430" s="353">
        <v>1</v>
      </c>
      <c r="AC430" s="353">
        <v>0</v>
      </c>
      <c r="AD430" s="354">
        <v>0.5</v>
      </c>
      <c r="AE430" s="375" t="s">
        <v>1046</v>
      </c>
    </row>
    <row r="431" spans="1:31" x14ac:dyDescent="0.2">
      <c r="A431" s="321"/>
      <c r="B431" s="343"/>
      <c r="C431" s="343"/>
      <c r="D431" s="343"/>
      <c r="E431" s="343"/>
      <c r="F431" s="373">
        <v>418.75200000000001</v>
      </c>
      <c r="G431" s="343"/>
      <c r="H431" s="312"/>
      <c r="I431" s="370"/>
      <c r="J431" s="370"/>
      <c r="K431" s="370"/>
      <c r="L431" s="370"/>
      <c r="M431" s="343"/>
      <c r="N431" s="343"/>
      <c r="O431" s="343"/>
      <c r="P431" s="343"/>
      <c r="Q431" s="343"/>
      <c r="R431" s="343"/>
      <c r="S431" s="343"/>
      <c r="T431" s="343"/>
      <c r="U431" s="371"/>
      <c r="V431" s="371"/>
      <c r="W431" s="372"/>
      <c r="X431" s="325"/>
      <c r="Y431" s="325"/>
      <c r="Z431" s="367"/>
      <c r="AA431" s="350"/>
      <c r="AB431" s="350"/>
      <c r="AC431" s="350"/>
      <c r="AD431" s="351"/>
    </row>
    <row r="432" spans="1:31" ht="14.25" x14ac:dyDescent="0.2">
      <c r="A432" s="327">
        <v>212</v>
      </c>
      <c r="B432" s="343" t="s">
        <v>1576</v>
      </c>
      <c r="C432" s="343" t="s">
        <v>253</v>
      </c>
      <c r="D432" s="343" t="s">
        <v>120</v>
      </c>
      <c r="E432" s="343" t="s">
        <v>1577</v>
      </c>
      <c r="F432" s="373"/>
      <c r="G432" s="343">
        <v>834.75</v>
      </c>
      <c r="H432" s="328">
        <f>H430+F431</f>
        <v>81143.763999999996</v>
      </c>
      <c r="I432" s="370">
        <v>496.24</v>
      </c>
      <c r="J432" s="343">
        <v>70.72</v>
      </c>
      <c r="K432" s="370">
        <v>795.75199999999995</v>
      </c>
      <c r="L432" s="370">
        <v>397.87599999999998</v>
      </c>
      <c r="M432" s="343">
        <v>202</v>
      </c>
      <c r="N432" s="343">
        <v>193</v>
      </c>
      <c r="O432" s="343">
        <v>395</v>
      </c>
      <c r="P432" s="343">
        <v>205</v>
      </c>
      <c r="Q432" s="343">
        <v>192</v>
      </c>
      <c r="R432" s="343">
        <v>397</v>
      </c>
      <c r="S432" s="343" t="s">
        <v>1578</v>
      </c>
      <c r="T432" s="343" t="s">
        <v>1579</v>
      </c>
      <c r="U432" s="371">
        <v>590038.02599999995</v>
      </c>
      <c r="V432" s="371">
        <v>2646293.8859999999</v>
      </c>
      <c r="W432" s="374"/>
      <c r="X432" s="341" t="s">
        <v>1462</v>
      </c>
      <c r="Y432" s="341" t="s">
        <v>1462</v>
      </c>
      <c r="Z432" s="338" t="s">
        <v>1463</v>
      </c>
      <c r="AA432" s="350"/>
      <c r="AB432" s="350"/>
      <c r="AC432" s="350"/>
      <c r="AD432" s="351"/>
    </row>
    <row r="433" spans="1:31" x14ac:dyDescent="0.2">
      <c r="A433" s="321"/>
      <c r="B433" s="343"/>
      <c r="C433" s="343"/>
      <c r="D433" s="343"/>
      <c r="E433" s="343"/>
      <c r="F433" s="373">
        <v>377</v>
      </c>
      <c r="G433" s="343"/>
      <c r="H433" s="312"/>
      <c r="I433" s="370"/>
      <c r="J433" s="370"/>
      <c r="K433" s="370"/>
      <c r="L433" s="370"/>
      <c r="M433" s="343"/>
      <c r="N433" s="343"/>
      <c r="O433" s="343"/>
      <c r="P433" s="343"/>
      <c r="Q433" s="343"/>
      <c r="R433" s="343"/>
      <c r="S433" s="343"/>
      <c r="T433" s="343"/>
      <c r="U433" s="371"/>
      <c r="V433" s="371"/>
      <c r="W433" s="372"/>
      <c r="X433" s="325"/>
      <c r="Y433" s="325"/>
      <c r="Z433" s="367"/>
      <c r="AA433" s="350"/>
      <c r="AB433" s="350"/>
      <c r="AC433" s="350"/>
      <c r="AD433" s="351"/>
    </row>
    <row r="434" spans="1:31" ht="14.25" x14ac:dyDescent="0.2">
      <c r="A434" s="327">
        <v>213</v>
      </c>
      <c r="B434" s="343" t="s">
        <v>859</v>
      </c>
      <c r="C434" s="343" t="s">
        <v>254</v>
      </c>
      <c r="D434" s="343" t="s">
        <v>40</v>
      </c>
      <c r="E434" s="343" t="s">
        <v>859</v>
      </c>
      <c r="F434" s="373"/>
      <c r="G434" s="343" t="s">
        <v>859</v>
      </c>
      <c r="H434" s="328">
        <f>H432+F433</f>
        <v>81520.763999999996</v>
      </c>
      <c r="I434" s="370">
        <v>494.03300000000002</v>
      </c>
      <c r="J434" s="334">
        <v>74</v>
      </c>
      <c r="K434" s="370">
        <v>817</v>
      </c>
      <c r="L434" s="370">
        <v>408.5</v>
      </c>
      <c r="M434" s="343">
        <v>185</v>
      </c>
      <c r="N434" s="343">
        <v>279</v>
      </c>
      <c r="O434" s="343">
        <v>464</v>
      </c>
      <c r="P434" s="343">
        <v>186</v>
      </c>
      <c r="Q434" s="343">
        <v>262</v>
      </c>
      <c r="R434" s="343">
        <v>448</v>
      </c>
      <c r="S434" s="343" t="s">
        <v>1580</v>
      </c>
      <c r="T434" s="343" t="s">
        <v>1581</v>
      </c>
      <c r="U434" s="371">
        <v>590411.35600000003</v>
      </c>
      <c r="V434" s="371">
        <v>2646346.3650000002</v>
      </c>
      <c r="W434" s="374" t="s">
        <v>1575</v>
      </c>
      <c r="X434" s="341" t="s">
        <v>1462</v>
      </c>
      <c r="Y434" s="341" t="s">
        <v>1462</v>
      </c>
      <c r="Z434" s="338" t="s">
        <v>1463</v>
      </c>
      <c r="AA434" s="353">
        <v>1</v>
      </c>
      <c r="AB434" s="353">
        <v>1.5</v>
      </c>
      <c r="AC434" s="353">
        <v>0</v>
      </c>
      <c r="AD434" s="354">
        <v>0</v>
      </c>
      <c r="AE434" s="375" t="s">
        <v>1046</v>
      </c>
    </row>
    <row r="435" spans="1:31" x14ac:dyDescent="0.2">
      <c r="A435" s="321"/>
      <c r="B435" s="343"/>
      <c r="C435" s="343"/>
      <c r="D435" s="343"/>
      <c r="E435" s="343"/>
      <c r="F435" s="373">
        <v>440</v>
      </c>
      <c r="G435" s="343"/>
      <c r="H435" s="312"/>
      <c r="I435" s="370"/>
      <c r="J435" s="370"/>
      <c r="K435" s="370"/>
      <c r="L435" s="370"/>
      <c r="M435" s="343"/>
      <c r="N435" s="343"/>
      <c r="O435" s="343"/>
      <c r="P435" s="343"/>
      <c r="Q435" s="343"/>
      <c r="R435" s="343"/>
      <c r="S435" s="343"/>
      <c r="T435" s="343"/>
      <c r="U435" s="371"/>
      <c r="V435" s="371"/>
      <c r="W435" s="372"/>
      <c r="X435" s="325"/>
      <c r="Y435" s="325"/>
      <c r="Z435" s="367"/>
      <c r="AA435" s="350"/>
      <c r="AB435" s="350"/>
      <c r="AC435" s="350"/>
      <c r="AD435" s="351"/>
    </row>
    <row r="436" spans="1:31" ht="14.25" x14ac:dyDescent="0.2">
      <c r="A436" s="327">
        <v>214</v>
      </c>
      <c r="B436" s="343" t="s">
        <v>859</v>
      </c>
      <c r="C436" s="343" t="s">
        <v>255</v>
      </c>
      <c r="D436" s="343" t="s">
        <v>38</v>
      </c>
      <c r="E436" s="343" t="s">
        <v>859</v>
      </c>
      <c r="F436" s="373"/>
      <c r="G436" s="343" t="s">
        <v>859</v>
      </c>
      <c r="H436" s="328">
        <f>H434+F435</f>
        <v>81960.763999999996</v>
      </c>
      <c r="I436" s="370">
        <v>480.38</v>
      </c>
      <c r="J436" s="334">
        <v>75.5</v>
      </c>
      <c r="K436" s="370">
        <v>840.28</v>
      </c>
      <c r="L436" s="370">
        <v>420.14</v>
      </c>
      <c r="M436" s="343">
        <v>162</v>
      </c>
      <c r="N436" s="343">
        <v>237</v>
      </c>
      <c r="O436" s="343">
        <v>399</v>
      </c>
      <c r="P436" s="343">
        <v>180</v>
      </c>
      <c r="Q436" s="343">
        <v>226</v>
      </c>
      <c r="R436" s="343">
        <v>406</v>
      </c>
      <c r="S436" s="343" t="s">
        <v>1582</v>
      </c>
      <c r="T436" s="343" t="s">
        <v>1583</v>
      </c>
      <c r="U436" s="371">
        <v>590847.07200000004</v>
      </c>
      <c r="V436" s="371">
        <v>2646407.6129999999</v>
      </c>
      <c r="W436" s="372"/>
      <c r="X436" s="341" t="s">
        <v>1584</v>
      </c>
      <c r="Y436" s="341" t="s">
        <v>1462</v>
      </c>
      <c r="Z436" s="338" t="s">
        <v>1463</v>
      </c>
      <c r="AA436" s="350"/>
      <c r="AB436" s="350"/>
      <c r="AC436" s="350"/>
      <c r="AD436" s="351"/>
    </row>
    <row r="437" spans="1:31" x14ac:dyDescent="0.2">
      <c r="A437" s="321"/>
      <c r="B437" s="343"/>
      <c r="C437" s="343"/>
      <c r="D437" s="343"/>
      <c r="E437" s="343"/>
      <c r="F437" s="373">
        <v>400.28</v>
      </c>
      <c r="G437" s="343"/>
      <c r="H437" s="312"/>
      <c r="I437" s="370"/>
      <c r="J437" s="370"/>
      <c r="K437" s="370"/>
      <c r="L437" s="370"/>
      <c r="M437" s="343"/>
      <c r="N437" s="343"/>
      <c r="O437" s="343"/>
      <c r="P437" s="343"/>
      <c r="Q437" s="343"/>
      <c r="R437" s="343"/>
      <c r="S437" s="343"/>
      <c r="T437" s="343"/>
      <c r="U437" s="371"/>
      <c r="V437" s="371"/>
      <c r="W437" s="372" t="s">
        <v>1585</v>
      </c>
      <c r="X437" s="325"/>
      <c r="Y437" s="325"/>
      <c r="Z437" s="367"/>
      <c r="AA437" s="350"/>
      <c r="AB437" s="350"/>
      <c r="AC437" s="350"/>
      <c r="AD437" s="351"/>
    </row>
    <row r="438" spans="1:31" ht="14.25" x14ac:dyDescent="0.2">
      <c r="A438" s="327">
        <v>215</v>
      </c>
      <c r="B438" s="343" t="s">
        <v>1586</v>
      </c>
      <c r="C438" s="343" t="s">
        <v>256</v>
      </c>
      <c r="D438" s="343" t="s">
        <v>23</v>
      </c>
      <c r="E438" s="343" t="s">
        <v>1587</v>
      </c>
      <c r="F438" s="373"/>
      <c r="G438" s="343">
        <v>1217.28</v>
      </c>
      <c r="H438" s="328">
        <f>H436+F437</f>
        <v>82361.043999999994</v>
      </c>
      <c r="I438" s="370">
        <v>476.42899999999997</v>
      </c>
      <c r="J438" s="343">
        <v>70.72</v>
      </c>
      <c r="K438" s="370">
        <v>786.28</v>
      </c>
      <c r="L438" s="370">
        <v>393.14</v>
      </c>
      <c r="M438" s="343">
        <v>164</v>
      </c>
      <c r="N438" s="343">
        <v>170</v>
      </c>
      <c r="O438" s="343">
        <v>334</v>
      </c>
      <c r="P438" s="343">
        <v>175</v>
      </c>
      <c r="Q438" s="343">
        <v>178</v>
      </c>
      <c r="R438" s="343">
        <v>353</v>
      </c>
      <c r="S438" s="343" t="s">
        <v>1588</v>
      </c>
      <c r="T438" s="343" t="s">
        <v>1589</v>
      </c>
      <c r="U438" s="371">
        <v>591243.45499999996</v>
      </c>
      <c r="V438" s="371">
        <v>2646463.3330000001</v>
      </c>
      <c r="W438" s="372"/>
      <c r="X438" s="341" t="s">
        <v>1584</v>
      </c>
      <c r="Y438" s="341" t="s">
        <v>1462</v>
      </c>
      <c r="Z438" s="338" t="s">
        <v>1463</v>
      </c>
      <c r="AA438" s="350"/>
      <c r="AB438" s="350"/>
      <c r="AC438" s="350"/>
      <c r="AD438" s="351"/>
    </row>
    <row r="439" spans="1:31" x14ac:dyDescent="0.2">
      <c r="A439" s="321"/>
      <c r="B439" s="343"/>
      <c r="C439" s="343"/>
      <c r="D439" s="343"/>
      <c r="E439" s="343"/>
      <c r="F439" s="373">
        <v>386</v>
      </c>
      <c r="G439" s="343"/>
      <c r="H439" s="312"/>
      <c r="I439" s="370"/>
      <c r="J439" s="370"/>
      <c r="K439" s="370"/>
      <c r="L439" s="370"/>
      <c r="M439" s="343"/>
      <c r="N439" s="343"/>
      <c r="O439" s="343"/>
      <c r="P439" s="343"/>
      <c r="Q439" s="343"/>
      <c r="R439" s="343"/>
      <c r="S439" s="343"/>
      <c r="T439" s="343"/>
      <c r="U439" s="371"/>
      <c r="V439" s="371"/>
      <c r="W439" s="372"/>
      <c r="X439" s="325"/>
      <c r="Y439" s="325"/>
      <c r="Z439" s="367"/>
      <c r="AA439" s="350"/>
      <c r="AB439" s="350"/>
      <c r="AC439" s="350"/>
      <c r="AD439" s="351"/>
    </row>
    <row r="440" spans="1:31" ht="14.25" x14ac:dyDescent="0.2">
      <c r="A440" s="327">
        <v>216</v>
      </c>
      <c r="B440" s="343" t="s">
        <v>859</v>
      </c>
      <c r="C440" s="343" t="s">
        <v>257</v>
      </c>
      <c r="D440" s="343" t="s">
        <v>38</v>
      </c>
      <c r="E440" s="343" t="s">
        <v>859</v>
      </c>
      <c r="F440" s="373"/>
      <c r="G440" s="343" t="s">
        <v>859</v>
      </c>
      <c r="H440" s="328">
        <f>H438+F439</f>
        <v>82747.043999999994</v>
      </c>
      <c r="I440" s="370">
        <v>477.49200000000002</v>
      </c>
      <c r="J440" s="334">
        <v>75.5</v>
      </c>
      <c r="K440" s="370">
        <v>806</v>
      </c>
      <c r="L440" s="370">
        <v>403</v>
      </c>
      <c r="M440" s="343">
        <v>216</v>
      </c>
      <c r="N440" s="343">
        <v>274</v>
      </c>
      <c r="O440" s="343">
        <v>490</v>
      </c>
      <c r="P440" s="343">
        <v>209</v>
      </c>
      <c r="Q440" s="343">
        <v>253</v>
      </c>
      <c r="R440" s="343">
        <v>462</v>
      </c>
      <c r="S440" s="343" t="s">
        <v>1590</v>
      </c>
      <c r="T440" s="343" t="s">
        <v>1591</v>
      </c>
      <c r="U440" s="371">
        <v>591626.31299999997</v>
      </c>
      <c r="V440" s="371">
        <v>2646414.1860000002</v>
      </c>
      <c r="W440" s="372"/>
      <c r="X440" s="341" t="s">
        <v>1584</v>
      </c>
      <c r="Y440" s="341" t="s">
        <v>1462</v>
      </c>
      <c r="Z440" s="338" t="s">
        <v>1463</v>
      </c>
      <c r="AA440" s="350"/>
      <c r="AB440" s="350"/>
      <c r="AC440" s="350"/>
      <c r="AD440" s="351"/>
    </row>
    <row r="441" spans="1:31" x14ac:dyDescent="0.2">
      <c r="A441" s="321"/>
      <c r="B441" s="343"/>
      <c r="C441" s="343"/>
      <c r="D441" s="343"/>
      <c r="E441" s="343"/>
      <c r="F441" s="373">
        <v>420</v>
      </c>
      <c r="G441" s="343"/>
      <c r="H441" s="312"/>
      <c r="I441" s="370"/>
      <c r="J441" s="370"/>
      <c r="K441" s="370"/>
      <c r="L441" s="370"/>
      <c r="M441" s="343"/>
      <c r="N441" s="343"/>
      <c r="O441" s="343"/>
      <c r="P441" s="343"/>
      <c r="Q441" s="343"/>
      <c r="R441" s="343"/>
      <c r="S441" s="343"/>
      <c r="T441" s="343"/>
      <c r="U441" s="371"/>
      <c r="V441" s="371"/>
      <c r="W441" s="372" t="s">
        <v>1031</v>
      </c>
      <c r="X441" s="325"/>
      <c r="Y441" s="325"/>
      <c r="Z441" s="367"/>
      <c r="AA441" s="350"/>
      <c r="AB441" s="350"/>
      <c r="AC441" s="350"/>
      <c r="AD441" s="351"/>
    </row>
    <row r="442" spans="1:31" ht="14.25" x14ac:dyDescent="0.2">
      <c r="A442" s="327">
        <v>217</v>
      </c>
      <c r="B442" s="343" t="s">
        <v>859</v>
      </c>
      <c r="C442" s="343" t="s">
        <v>258</v>
      </c>
      <c r="D442" s="343" t="s">
        <v>28</v>
      </c>
      <c r="E442" s="343" t="s">
        <v>859</v>
      </c>
      <c r="F442" s="373"/>
      <c r="G442" s="343" t="s">
        <v>859</v>
      </c>
      <c r="H442" s="328">
        <f>H440+F441</f>
        <v>83167.043999999994</v>
      </c>
      <c r="I442" s="370">
        <v>471.28899999999999</v>
      </c>
      <c r="J442" s="370">
        <v>69.5</v>
      </c>
      <c r="K442" s="370">
        <v>757</v>
      </c>
      <c r="L442" s="370">
        <v>378.5</v>
      </c>
      <c r="M442" s="343">
        <v>147</v>
      </c>
      <c r="N442" s="343">
        <v>167</v>
      </c>
      <c r="O442" s="343">
        <v>314</v>
      </c>
      <c r="P442" s="343">
        <v>169</v>
      </c>
      <c r="Q442" s="343">
        <v>168</v>
      </c>
      <c r="R442" s="343">
        <v>337</v>
      </c>
      <c r="S442" s="343" t="s">
        <v>1592</v>
      </c>
      <c r="T442" s="343" t="s">
        <v>1593</v>
      </c>
      <c r="U442" s="371">
        <v>592042.89500000002</v>
      </c>
      <c r="V442" s="371">
        <v>2646360.71</v>
      </c>
      <c r="W442" s="372"/>
      <c r="X442" s="341" t="s">
        <v>1584</v>
      </c>
      <c r="Y442" s="341" t="s">
        <v>1462</v>
      </c>
      <c r="Z442" s="338" t="s">
        <v>1463</v>
      </c>
      <c r="AA442" s="350"/>
      <c r="AB442" s="350"/>
      <c r="AC442" s="350"/>
      <c r="AD442" s="351"/>
    </row>
    <row r="443" spans="1:31" x14ac:dyDescent="0.2">
      <c r="A443" s="321"/>
      <c r="B443" s="343"/>
      <c r="C443" s="343"/>
      <c r="D443" s="343"/>
      <c r="E443" s="343"/>
      <c r="F443" s="373">
        <v>337</v>
      </c>
      <c r="G443" s="343"/>
      <c r="H443" s="312"/>
      <c r="I443" s="370"/>
      <c r="J443" s="370"/>
      <c r="K443" s="370"/>
      <c r="L443" s="370"/>
      <c r="M443" s="343"/>
      <c r="N443" s="343"/>
      <c r="O443" s="343"/>
      <c r="P443" s="343"/>
      <c r="Q443" s="343"/>
      <c r="R443" s="343"/>
      <c r="S443" s="343"/>
      <c r="T443" s="343"/>
      <c r="U443" s="371"/>
      <c r="V443" s="371"/>
      <c r="W443" s="372" t="s">
        <v>1001</v>
      </c>
      <c r="X443" s="325"/>
      <c r="Y443" s="325"/>
      <c r="Z443" s="367"/>
      <c r="AA443" s="350"/>
      <c r="AB443" s="350"/>
      <c r="AC443" s="350"/>
      <c r="AD443" s="351"/>
    </row>
    <row r="444" spans="1:31" ht="14.25" x14ac:dyDescent="0.2">
      <c r="A444" s="327">
        <v>218</v>
      </c>
      <c r="B444" s="343" t="s">
        <v>859</v>
      </c>
      <c r="C444" s="343" t="s">
        <v>259</v>
      </c>
      <c r="D444" s="343" t="s">
        <v>28</v>
      </c>
      <c r="E444" s="343" t="s">
        <v>859</v>
      </c>
      <c r="F444" s="373"/>
      <c r="G444" s="343" t="s">
        <v>859</v>
      </c>
      <c r="H444" s="328">
        <f>H442+F443</f>
        <v>83504.043999999994</v>
      </c>
      <c r="I444" s="370">
        <v>471.47399999999999</v>
      </c>
      <c r="J444" s="370">
        <v>69.5</v>
      </c>
      <c r="K444" s="370">
        <v>673.51199999999994</v>
      </c>
      <c r="L444" s="370">
        <v>336.75599999999997</v>
      </c>
      <c r="M444" s="343">
        <v>170</v>
      </c>
      <c r="N444" s="343">
        <v>126</v>
      </c>
      <c r="O444" s="343">
        <v>296</v>
      </c>
      <c r="P444" s="343">
        <v>170</v>
      </c>
      <c r="Q444" s="343">
        <v>141</v>
      </c>
      <c r="R444" s="343">
        <v>311</v>
      </c>
      <c r="S444" s="343" t="s">
        <v>1594</v>
      </c>
      <c r="T444" s="343" t="s">
        <v>1595</v>
      </c>
      <c r="U444" s="371">
        <v>592377.152</v>
      </c>
      <c r="V444" s="371">
        <v>2646317.8020000001</v>
      </c>
      <c r="W444" s="372"/>
      <c r="X444" s="341" t="s">
        <v>1584</v>
      </c>
      <c r="Y444" s="341" t="s">
        <v>1462</v>
      </c>
      <c r="Z444" s="338" t="s">
        <v>1463</v>
      </c>
      <c r="AA444" s="350"/>
      <c r="AB444" s="350"/>
      <c r="AC444" s="350"/>
      <c r="AD444" s="351"/>
    </row>
    <row r="445" spans="1:31" x14ac:dyDescent="0.2">
      <c r="A445" s="321"/>
      <c r="B445" s="343"/>
      <c r="C445" s="343"/>
      <c r="D445" s="343"/>
      <c r="E445" s="343"/>
      <c r="F445" s="373">
        <v>336.512</v>
      </c>
      <c r="G445" s="343"/>
      <c r="H445" s="312"/>
      <c r="I445" s="370"/>
      <c r="J445" s="370"/>
      <c r="K445" s="370"/>
      <c r="L445" s="370"/>
      <c r="M445" s="343"/>
      <c r="N445" s="343"/>
      <c r="O445" s="343"/>
      <c r="P445" s="343"/>
      <c r="Q445" s="343"/>
      <c r="R445" s="343"/>
      <c r="S445" s="343"/>
      <c r="T445" s="343"/>
      <c r="U445" s="371"/>
      <c r="V445" s="371"/>
      <c r="W445" s="372" t="s">
        <v>1596</v>
      </c>
      <c r="X445" s="325"/>
      <c r="Y445" s="325"/>
      <c r="Z445" s="367"/>
      <c r="AA445" s="350"/>
      <c r="AB445" s="350"/>
      <c r="AC445" s="350"/>
      <c r="AD445" s="351"/>
    </row>
    <row r="446" spans="1:31" ht="14.25" x14ac:dyDescent="0.2">
      <c r="A446" s="327">
        <v>219</v>
      </c>
      <c r="B446" s="343" t="s">
        <v>1597</v>
      </c>
      <c r="C446" s="343" t="s">
        <v>260</v>
      </c>
      <c r="D446" s="343" t="s">
        <v>187</v>
      </c>
      <c r="E446" s="343" t="s">
        <v>1598</v>
      </c>
      <c r="F446" s="370"/>
      <c r="G446" s="343">
        <v>1479.51</v>
      </c>
      <c r="H446" s="328">
        <f>H444+F445</f>
        <v>83840.555999999997</v>
      </c>
      <c r="I446" s="370">
        <v>471.99299999999999</v>
      </c>
      <c r="J446" s="334">
        <v>73.72</v>
      </c>
      <c r="K446" s="370">
        <v>748.51199999999994</v>
      </c>
      <c r="L446" s="370">
        <v>374.25599999999997</v>
      </c>
      <c r="M446" s="343">
        <v>211</v>
      </c>
      <c r="N446" s="343">
        <v>222</v>
      </c>
      <c r="O446" s="343">
        <v>433</v>
      </c>
      <c r="P446" s="343">
        <v>197</v>
      </c>
      <c r="Q446" s="343">
        <v>217</v>
      </c>
      <c r="R446" s="343">
        <v>414</v>
      </c>
      <c r="S446" s="343" t="s">
        <v>1599</v>
      </c>
      <c r="T446" s="343" t="s">
        <v>1600</v>
      </c>
      <c r="U446" s="371">
        <v>592710.92599999998</v>
      </c>
      <c r="V446" s="371">
        <v>2646274.9559999998</v>
      </c>
      <c r="W446" s="372"/>
      <c r="X446" s="341" t="s">
        <v>1584</v>
      </c>
      <c r="Y446" s="341" t="s">
        <v>1462</v>
      </c>
      <c r="Z446" s="338" t="s">
        <v>1463</v>
      </c>
      <c r="AA446" s="350"/>
      <c r="AB446" s="350"/>
      <c r="AC446" s="350"/>
      <c r="AD446" s="351"/>
    </row>
    <row r="447" spans="1:31" x14ac:dyDescent="0.2">
      <c r="A447" s="321"/>
      <c r="B447" s="334"/>
      <c r="C447" s="330"/>
      <c r="D447" s="355"/>
      <c r="E447" s="334"/>
      <c r="F447" s="334">
        <v>412</v>
      </c>
      <c r="G447" s="334"/>
      <c r="H447" s="312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 t="s">
        <v>1001</v>
      </c>
      <c r="X447" s="376"/>
      <c r="Y447" s="325"/>
      <c r="Z447" s="367"/>
      <c r="AA447" s="350"/>
      <c r="AB447" s="350"/>
      <c r="AC447" s="350"/>
      <c r="AD447" s="351"/>
    </row>
    <row r="448" spans="1:31" x14ac:dyDescent="0.2">
      <c r="A448" s="327">
        <v>220</v>
      </c>
      <c r="B448" s="334" t="s">
        <v>859</v>
      </c>
      <c r="C448" s="330" t="s">
        <v>261</v>
      </c>
      <c r="D448" s="355" t="s">
        <v>36</v>
      </c>
      <c r="E448" s="334" t="s">
        <v>859</v>
      </c>
      <c r="F448" s="334"/>
      <c r="G448" s="334" t="s">
        <v>859</v>
      </c>
      <c r="H448" s="328">
        <f>H446+F447</f>
        <v>84252.555999999997</v>
      </c>
      <c r="I448" s="342">
        <v>472.10899999999998</v>
      </c>
      <c r="J448" s="334">
        <v>72.5</v>
      </c>
      <c r="K448" s="334">
        <f>F447+F449</f>
        <v>820</v>
      </c>
      <c r="L448" s="334">
        <f>K448/2</f>
        <v>410</v>
      </c>
      <c r="M448" s="334">
        <v>191</v>
      </c>
      <c r="N448" s="334">
        <v>168</v>
      </c>
      <c r="O448" s="334">
        <v>359</v>
      </c>
      <c r="P448" s="334">
        <v>196</v>
      </c>
      <c r="Q448" s="334">
        <v>180</v>
      </c>
      <c r="R448" s="334">
        <v>376</v>
      </c>
      <c r="S448" s="334" t="s">
        <v>1601</v>
      </c>
      <c r="T448" s="334" t="s">
        <v>1602</v>
      </c>
      <c r="U448" s="334">
        <v>593091.10400000005</v>
      </c>
      <c r="V448" s="334">
        <v>2646116.1830000002</v>
      </c>
      <c r="W448" s="334"/>
      <c r="X448" s="341" t="s">
        <v>1603</v>
      </c>
      <c r="Y448" s="341" t="s">
        <v>1462</v>
      </c>
      <c r="Z448" s="338" t="s">
        <v>1463</v>
      </c>
      <c r="AA448" s="350"/>
      <c r="AB448" s="350"/>
      <c r="AC448" s="350"/>
      <c r="AD448" s="351"/>
    </row>
    <row r="449" spans="1:30" x14ac:dyDescent="0.2">
      <c r="A449" s="321"/>
      <c r="B449" s="334"/>
      <c r="C449" s="330"/>
      <c r="D449" s="355"/>
      <c r="E449" s="334"/>
      <c r="F449" s="334">
        <v>408</v>
      </c>
      <c r="G449" s="334"/>
      <c r="H449" s="312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 t="s">
        <v>980</v>
      </c>
      <c r="X449" s="376"/>
      <c r="Y449" s="325"/>
      <c r="Z449" s="367"/>
      <c r="AA449" s="350"/>
      <c r="AB449" s="350"/>
      <c r="AC449" s="350"/>
      <c r="AD449" s="351"/>
    </row>
    <row r="450" spans="1:30" x14ac:dyDescent="0.2">
      <c r="A450" s="327">
        <v>221</v>
      </c>
      <c r="B450" s="334" t="s">
        <v>859</v>
      </c>
      <c r="C450" s="330" t="s">
        <v>262</v>
      </c>
      <c r="D450" s="355" t="s">
        <v>21</v>
      </c>
      <c r="E450" s="334" t="s">
        <v>859</v>
      </c>
      <c r="F450" s="334"/>
      <c r="G450" s="334" t="s">
        <v>859</v>
      </c>
      <c r="H450" s="328">
        <f>H448+F449</f>
        <v>84660.555999999997</v>
      </c>
      <c r="I450" s="334">
        <v>472.952</v>
      </c>
      <c r="J450" s="334">
        <v>78.5</v>
      </c>
      <c r="K450" s="334">
        <f>F449+F451</f>
        <v>821</v>
      </c>
      <c r="L450" s="334">
        <f>K450/2</f>
        <v>410.5</v>
      </c>
      <c r="M450" s="334">
        <v>240</v>
      </c>
      <c r="N450" s="334">
        <v>251</v>
      </c>
      <c r="O450" s="334">
        <v>491</v>
      </c>
      <c r="P450" s="334">
        <v>229</v>
      </c>
      <c r="Q450" s="334">
        <v>237</v>
      </c>
      <c r="R450" s="334">
        <v>466</v>
      </c>
      <c r="S450" s="334" t="s">
        <v>1604</v>
      </c>
      <c r="T450" s="334" t="s">
        <v>1605</v>
      </c>
      <c r="U450" s="334">
        <v>593467.59100000001</v>
      </c>
      <c r="V450" s="334">
        <v>2645958.952</v>
      </c>
      <c r="W450" s="334"/>
      <c r="X450" s="341" t="s">
        <v>1603</v>
      </c>
      <c r="Y450" s="341" t="s">
        <v>1462</v>
      </c>
      <c r="Z450" s="338" t="s">
        <v>1463</v>
      </c>
      <c r="AA450" s="350"/>
      <c r="AB450" s="350"/>
      <c r="AC450" s="350"/>
      <c r="AD450" s="351"/>
    </row>
    <row r="451" spans="1:30" x14ac:dyDescent="0.2">
      <c r="A451" s="321"/>
      <c r="B451" s="334"/>
      <c r="C451" s="330"/>
      <c r="D451" s="355"/>
      <c r="E451" s="334"/>
      <c r="F451" s="334">
        <v>413</v>
      </c>
      <c r="G451" s="334"/>
      <c r="H451" s="312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 t="s">
        <v>980</v>
      </c>
      <c r="X451" s="325"/>
      <c r="Y451" s="325"/>
      <c r="Z451" s="367"/>
      <c r="AA451" s="350"/>
      <c r="AB451" s="350"/>
      <c r="AC451" s="350"/>
      <c r="AD451" s="351"/>
    </row>
    <row r="452" spans="1:30" x14ac:dyDescent="0.2">
      <c r="A452" s="327">
        <v>222</v>
      </c>
      <c r="B452" s="334" t="s">
        <v>859</v>
      </c>
      <c r="C452" s="330" t="s">
        <v>263</v>
      </c>
      <c r="D452" s="355" t="s">
        <v>36</v>
      </c>
      <c r="E452" s="334" t="s">
        <v>859</v>
      </c>
      <c r="F452" s="334"/>
      <c r="G452" s="334" t="s">
        <v>859</v>
      </c>
      <c r="H452" s="328">
        <f>H450+F451</f>
        <v>85073.555999999997</v>
      </c>
      <c r="I452" s="342">
        <v>470.50900000000001</v>
      </c>
      <c r="J452" s="334">
        <v>72.5</v>
      </c>
      <c r="K452" s="334">
        <f>F451+F453</f>
        <v>823</v>
      </c>
      <c r="L452" s="334">
        <f>K452/2</f>
        <v>411.5</v>
      </c>
      <c r="M452" s="334">
        <v>163</v>
      </c>
      <c r="N452" s="334">
        <v>206</v>
      </c>
      <c r="O452" s="334">
        <v>369</v>
      </c>
      <c r="P452" s="334">
        <v>177</v>
      </c>
      <c r="Q452" s="334">
        <v>206</v>
      </c>
      <c r="R452" s="334">
        <v>383</v>
      </c>
      <c r="S452" s="334" t="s">
        <v>1606</v>
      </c>
      <c r="T452" s="334" t="s">
        <v>1607</v>
      </c>
      <c r="U452" s="334">
        <v>593848.69200000004</v>
      </c>
      <c r="V452" s="334">
        <v>2645799.7940000002</v>
      </c>
      <c r="W452" s="334"/>
      <c r="X452" s="341" t="s">
        <v>1608</v>
      </c>
      <c r="Y452" s="341" t="s">
        <v>1462</v>
      </c>
      <c r="Z452" s="338" t="s">
        <v>1463</v>
      </c>
      <c r="AA452" s="350"/>
      <c r="AB452" s="350"/>
      <c r="AC452" s="350"/>
      <c r="AD452" s="351"/>
    </row>
    <row r="453" spans="1:30" x14ac:dyDescent="0.2">
      <c r="A453" s="321"/>
      <c r="B453" s="334"/>
      <c r="C453" s="330"/>
      <c r="D453" s="355"/>
      <c r="E453" s="334"/>
      <c r="F453" s="334">
        <v>410</v>
      </c>
      <c r="G453" s="334"/>
      <c r="H453" s="312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 t="s">
        <v>1017</v>
      </c>
      <c r="X453" s="325"/>
      <c r="Y453" s="325"/>
      <c r="Z453" s="367"/>
      <c r="AA453" s="350"/>
      <c r="AB453" s="350"/>
      <c r="AC453" s="350"/>
      <c r="AD453" s="351"/>
    </row>
    <row r="454" spans="1:30" x14ac:dyDescent="0.2">
      <c r="A454" s="327">
        <v>223</v>
      </c>
      <c r="B454" s="334" t="s">
        <v>859</v>
      </c>
      <c r="C454" s="330" t="s">
        <v>264</v>
      </c>
      <c r="D454" s="355" t="s">
        <v>38</v>
      </c>
      <c r="E454" s="334" t="s">
        <v>859</v>
      </c>
      <c r="F454" s="334"/>
      <c r="G454" s="334" t="s">
        <v>859</v>
      </c>
      <c r="H454" s="328">
        <f>H452+F453</f>
        <v>85483.555999999997</v>
      </c>
      <c r="I454" s="334">
        <v>467.30799999999999</v>
      </c>
      <c r="J454" s="334">
        <v>75.5</v>
      </c>
      <c r="K454" s="334">
        <f>F453+F455</f>
        <v>816</v>
      </c>
      <c r="L454" s="334">
        <f>K454/2</f>
        <v>408</v>
      </c>
      <c r="M454" s="334">
        <v>204</v>
      </c>
      <c r="N454" s="334">
        <v>212</v>
      </c>
      <c r="O454" s="334">
        <v>416</v>
      </c>
      <c r="P454" s="334">
        <v>205</v>
      </c>
      <c r="Q454" s="334">
        <v>209</v>
      </c>
      <c r="R454" s="334">
        <v>414</v>
      </c>
      <c r="S454" s="334" t="s">
        <v>1609</v>
      </c>
      <c r="T454" s="334" t="s">
        <v>1610</v>
      </c>
      <c r="U454" s="334">
        <v>594227.02399999998</v>
      </c>
      <c r="V454" s="334">
        <v>2645641.7919999999</v>
      </c>
      <c r="W454" s="334"/>
      <c r="X454" s="341" t="s">
        <v>1608</v>
      </c>
      <c r="Y454" s="341" t="s">
        <v>1462</v>
      </c>
      <c r="Z454" s="338" t="s">
        <v>1463</v>
      </c>
      <c r="AA454" s="350"/>
      <c r="AB454" s="350"/>
      <c r="AC454" s="350"/>
      <c r="AD454" s="351"/>
    </row>
    <row r="455" spans="1:30" x14ac:dyDescent="0.2">
      <c r="A455" s="321"/>
      <c r="B455" s="334"/>
      <c r="C455" s="330"/>
      <c r="D455" s="355"/>
      <c r="E455" s="334"/>
      <c r="F455" s="334">
        <v>406</v>
      </c>
      <c r="G455" s="334"/>
      <c r="H455" s="312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 t="s">
        <v>1001</v>
      </c>
      <c r="X455" s="325"/>
      <c r="Y455" s="325"/>
      <c r="Z455" s="367"/>
      <c r="AA455" s="350"/>
      <c r="AB455" s="350"/>
      <c r="AC455" s="350"/>
      <c r="AD455" s="351"/>
    </row>
    <row r="456" spans="1:30" x14ac:dyDescent="0.2">
      <c r="A456" s="327">
        <v>224</v>
      </c>
      <c r="B456" s="334" t="s">
        <v>859</v>
      </c>
      <c r="C456" s="330" t="s">
        <v>265</v>
      </c>
      <c r="D456" s="355" t="s">
        <v>38</v>
      </c>
      <c r="E456" s="334" t="s">
        <v>859</v>
      </c>
      <c r="F456" s="334"/>
      <c r="G456" s="334" t="s">
        <v>859</v>
      </c>
      <c r="H456" s="328">
        <f>H454+F455</f>
        <v>85889.555999999997</v>
      </c>
      <c r="I456" s="334">
        <v>465.73399999999998</v>
      </c>
      <c r="J456" s="334">
        <v>75.5</v>
      </c>
      <c r="K456" s="334">
        <f>F455+F457</f>
        <v>817</v>
      </c>
      <c r="L456" s="334">
        <f>K456/2</f>
        <v>408.5</v>
      </c>
      <c r="M456" s="334">
        <v>195</v>
      </c>
      <c r="N456" s="334">
        <v>226</v>
      </c>
      <c r="O456" s="334">
        <v>421</v>
      </c>
      <c r="P456" s="334">
        <v>198</v>
      </c>
      <c r="Q456" s="334">
        <v>220</v>
      </c>
      <c r="R456" s="334">
        <v>418</v>
      </c>
      <c r="S456" s="334" t="s">
        <v>1611</v>
      </c>
      <c r="T456" s="334" t="s">
        <v>1612</v>
      </c>
      <c r="U456" s="334">
        <v>594601.66500000004</v>
      </c>
      <c r="V456" s="334">
        <v>2645485.3319999999</v>
      </c>
      <c r="W456" s="334"/>
      <c r="X456" s="341" t="s">
        <v>1608</v>
      </c>
      <c r="Y456" s="341" t="s">
        <v>1462</v>
      </c>
      <c r="Z456" s="338" t="s">
        <v>1463</v>
      </c>
      <c r="AA456" s="350"/>
      <c r="AB456" s="350"/>
      <c r="AC456" s="350"/>
      <c r="AD456" s="351"/>
    </row>
    <row r="457" spans="1:30" x14ac:dyDescent="0.2">
      <c r="A457" s="321"/>
      <c r="B457" s="334"/>
      <c r="C457" s="330"/>
      <c r="D457" s="355"/>
      <c r="E457" s="334"/>
      <c r="F457" s="334">
        <v>411</v>
      </c>
      <c r="G457" s="334"/>
      <c r="H457" s="312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 t="s">
        <v>1017</v>
      </c>
      <c r="X457" s="325"/>
      <c r="Y457" s="325"/>
      <c r="Z457" s="367"/>
      <c r="AA457" s="350"/>
      <c r="AB457" s="350"/>
      <c r="AC457" s="350"/>
      <c r="AD457" s="351"/>
    </row>
    <row r="458" spans="1:30" x14ac:dyDescent="0.2">
      <c r="A458" s="327">
        <v>225</v>
      </c>
      <c r="B458" s="334" t="s">
        <v>859</v>
      </c>
      <c r="C458" s="330" t="s">
        <v>266</v>
      </c>
      <c r="D458" s="355" t="s">
        <v>38</v>
      </c>
      <c r="E458" s="334" t="s">
        <v>859</v>
      </c>
      <c r="F458" s="334"/>
      <c r="G458" s="334" t="s">
        <v>859</v>
      </c>
      <c r="H458" s="328">
        <f>H456+F457</f>
        <v>86300.555999999997</v>
      </c>
      <c r="I458" s="334">
        <v>461.97199999999998</v>
      </c>
      <c r="J458" s="334">
        <v>75.5</v>
      </c>
      <c r="K458" s="334">
        <f>F457+F459</f>
        <v>783</v>
      </c>
      <c r="L458" s="334">
        <f>K458/2</f>
        <v>391.5</v>
      </c>
      <c r="M458" s="334">
        <v>186</v>
      </c>
      <c r="N458" s="334">
        <v>215</v>
      </c>
      <c r="O458" s="334">
        <v>401</v>
      </c>
      <c r="P458" s="334">
        <v>193</v>
      </c>
      <c r="Q458" s="334">
        <v>207</v>
      </c>
      <c r="R458" s="334">
        <v>400</v>
      </c>
      <c r="S458" s="334" t="s">
        <v>1613</v>
      </c>
      <c r="T458" s="334" t="s">
        <v>1614</v>
      </c>
      <c r="U458" s="334">
        <v>594980.92000000004</v>
      </c>
      <c r="V458" s="334">
        <v>2645326.9449999998</v>
      </c>
      <c r="W458" s="334"/>
      <c r="X458" s="341" t="s">
        <v>1608</v>
      </c>
      <c r="Y458" s="341" t="s">
        <v>1462</v>
      </c>
      <c r="Z458" s="338" t="s">
        <v>1463</v>
      </c>
      <c r="AA458" s="350"/>
      <c r="AB458" s="350"/>
      <c r="AC458" s="350"/>
      <c r="AD458" s="351"/>
    </row>
    <row r="459" spans="1:30" x14ac:dyDescent="0.2">
      <c r="A459" s="321"/>
      <c r="B459" s="334"/>
      <c r="C459" s="330"/>
      <c r="D459" s="355"/>
      <c r="E459" s="334"/>
      <c r="F459" s="334">
        <v>372</v>
      </c>
      <c r="G459" s="334"/>
      <c r="H459" s="312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 t="s">
        <v>1001</v>
      </c>
      <c r="X459" s="325"/>
      <c r="Y459" s="325"/>
      <c r="Z459" s="367"/>
      <c r="AA459" s="350"/>
      <c r="AB459" s="350"/>
      <c r="AC459" s="350"/>
      <c r="AD459" s="351"/>
    </row>
    <row r="460" spans="1:30" x14ac:dyDescent="0.2">
      <c r="A460" s="327">
        <v>226</v>
      </c>
      <c r="B460" s="334" t="s">
        <v>859</v>
      </c>
      <c r="C460" s="330" t="s">
        <v>267</v>
      </c>
      <c r="D460" s="355" t="s">
        <v>36</v>
      </c>
      <c r="E460" s="334" t="s">
        <v>859</v>
      </c>
      <c r="F460" s="334"/>
      <c r="G460" s="334" t="s">
        <v>859</v>
      </c>
      <c r="H460" s="328">
        <f>H458+F459</f>
        <v>86672.555999999997</v>
      </c>
      <c r="I460" s="342">
        <v>459.92</v>
      </c>
      <c r="J460" s="334">
        <v>72.5</v>
      </c>
      <c r="K460" s="334">
        <f>F459+F461</f>
        <v>758</v>
      </c>
      <c r="L460" s="334">
        <f>K460/2</f>
        <v>379</v>
      </c>
      <c r="M460" s="334">
        <v>157</v>
      </c>
      <c r="N460" s="334">
        <v>175</v>
      </c>
      <c r="O460" s="334">
        <v>332</v>
      </c>
      <c r="P460" s="334">
        <v>167</v>
      </c>
      <c r="Q460" s="334">
        <v>181</v>
      </c>
      <c r="R460" s="334">
        <v>348</v>
      </c>
      <c r="S460" s="334" t="s">
        <v>1615</v>
      </c>
      <c r="T460" s="334" t="s">
        <v>1616</v>
      </c>
      <c r="U460" s="334">
        <v>595324.18799999997</v>
      </c>
      <c r="V460" s="334">
        <v>2645183.5869999998</v>
      </c>
      <c r="W460" s="334"/>
      <c r="X460" s="341" t="s">
        <v>1608</v>
      </c>
      <c r="Y460" s="341" t="s">
        <v>1462</v>
      </c>
      <c r="Z460" s="338" t="s">
        <v>1463</v>
      </c>
      <c r="AA460" s="350"/>
      <c r="AB460" s="350"/>
      <c r="AC460" s="350"/>
      <c r="AD460" s="351"/>
    </row>
    <row r="461" spans="1:30" x14ac:dyDescent="0.2">
      <c r="A461" s="321"/>
      <c r="B461" s="334"/>
      <c r="C461" s="330"/>
      <c r="D461" s="355"/>
      <c r="E461" s="334"/>
      <c r="F461" s="334">
        <v>386</v>
      </c>
      <c r="G461" s="334"/>
      <c r="H461" s="312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 t="s">
        <v>966</v>
      </c>
      <c r="X461" s="325"/>
      <c r="Y461" s="325"/>
      <c r="Z461" s="367"/>
      <c r="AA461" s="350"/>
      <c r="AB461" s="350"/>
      <c r="AC461" s="350"/>
      <c r="AD461" s="351"/>
    </row>
    <row r="462" spans="1:30" x14ac:dyDescent="0.2">
      <c r="A462" s="327">
        <v>227</v>
      </c>
      <c r="B462" s="334" t="s">
        <v>859</v>
      </c>
      <c r="C462" s="330" t="s">
        <v>268</v>
      </c>
      <c r="D462" s="355" t="s">
        <v>36</v>
      </c>
      <c r="E462" s="334" t="s">
        <v>859</v>
      </c>
      <c r="F462" s="334"/>
      <c r="G462" s="334" t="s">
        <v>859</v>
      </c>
      <c r="H462" s="328">
        <f>H460+F461</f>
        <v>87058.555999999997</v>
      </c>
      <c r="I462" s="342">
        <v>463.28399999999999</v>
      </c>
      <c r="J462" s="334">
        <v>72.5</v>
      </c>
      <c r="K462" s="334">
        <f>F461+F463</f>
        <v>756</v>
      </c>
      <c r="L462" s="334">
        <f>K462/2</f>
        <v>378</v>
      </c>
      <c r="M462" s="334">
        <v>212</v>
      </c>
      <c r="N462" s="334">
        <v>241</v>
      </c>
      <c r="O462" s="334">
        <v>453</v>
      </c>
      <c r="P462" s="334">
        <v>206</v>
      </c>
      <c r="Q462" s="334">
        <v>224</v>
      </c>
      <c r="R462" s="334">
        <v>430</v>
      </c>
      <c r="S462" s="334" t="s">
        <v>1617</v>
      </c>
      <c r="T462" s="334" t="s">
        <v>1618</v>
      </c>
      <c r="U462" s="334">
        <v>595680.37399999995</v>
      </c>
      <c r="V462" s="334">
        <v>2645034.8339999998</v>
      </c>
      <c r="W462" s="334"/>
      <c r="X462" s="341" t="s">
        <v>1608</v>
      </c>
      <c r="Y462" s="341" t="s">
        <v>1462</v>
      </c>
      <c r="Z462" s="338" t="s">
        <v>1463</v>
      </c>
      <c r="AA462" s="350"/>
      <c r="AB462" s="350"/>
      <c r="AC462" s="350"/>
      <c r="AD462" s="351"/>
    </row>
    <row r="463" spans="1:30" x14ac:dyDescent="0.2">
      <c r="A463" s="321"/>
      <c r="B463" s="334"/>
      <c r="C463" s="330"/>
      <c r="D463" s="355"/>
      <c r="E463" s="334"/>
      <c r="F463" s="334">
        <v>370</v>
      </c>
      <c r="G463" s="334"/>
      <c r="H463" s="312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 t="s">
        <v>969</v>
      </c>
      <c r="X463" s="325"/>
      <c r="Y463" s="325"/>
      <c r="Z463" s="367"/>
      <c r="AA463" s="350"/>
      <c r="AB463" s="350"/>
      <c r="AC463" s="350"/>
      <c r="AD463" s="351"/>
    </row>
    <row r="464" spans="1:30" x14ac:dyDescent="0.2">
      <c r="A464" s="327">
        <v>228</v>
      </c>
      <c r="B464" s="334" t="s">
        <v>859</v>
      </c>
      <c r="C464" s="330" t="s">
        <v>269</v>
      </c>
      <c r="D464" s="355" t="s">
        <v>36</v>
      </c>
      <c r="E464" s="334" t="s">
        <v>859</v>
      </c>
      <c r="F464" s="334"/>
      <c r="G464" s="334" t="s">
        <v>859</v>
      </c>
      <c r="H464" s="328">
        <f>H462+F463</f>
        <v>87428.555999999997</v>
      </c>
      <c r="I464" s="342">
        <v>453.68</v>
      </c>
      <c r="J464" s="334">
        <v>72.5</v>
      </c>
      <c r="K464" s="334">
        <f>F463+F465</f>
        <v>752</v>
      </c>
      <c r="L464" s="334">
        <f>K464/2</f>
        <v>376</v>
      </c>
      <c r="M464" s="334">
        <v>130</v>
      </c>
      <c r="N464" s="334">
        <v>196</v>
      </c>
      <c r="O464" s="334">
        <v>326</v>
      </c>
      <c r="P464" s="334">
        <v>147</v>
      </c>
      <c r="Q464" s="334">
        <v>195</v>
      </c>
      <c r="R464" s="334">
        <v>342</v>
      </c>
      <c r="S464" s="334" t="s">
        <v>1619</v>
      </c>
      <c r="T464" s="334" t="s">
        <v>1620</v>
      </c>
      <c r="U464" s="334">
        <v>596021.79599999997</v>
      </c>
      <c r="V464" s="334">
        <v>2644892.247</v>
      </c>
      <c r="W464" s="334"/>
      <c r="X464" s="341" t="s">
        <v>1608</v>
      </c>
      <c r="Y464" s="341" t="s">
        <v>1462</v>
      </c>
      <c r="Z464" s="338" t="s">
        <v>1463</v>
      </c>
      <c r="AA464" s="350"/>
      <c r="AB464" s="350"/>
      <c r="AC464" s="350"/>
      <c r="AD464" s="351"/>
    </row>
    <row r="465" spans="1:30" x14ac:dyDescent="0.2">
      <c r="A465" s="321"/>
      <c r="B465" s="334"/>
      <c r="C465" s="330"/>
      <c r="D465" s="355"/>
      <c r="E465" s="334"/>
      <c r="F465" s="334">
        <v>382</v>
      </c>
      <c r="G465" s="334"/>
      <c r="H465" s="312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 t="s">
        <v>966</v>
      </c>
      <c r="X465" s="325"/>
      <c r="Y465" s="325"/>
      <c r="Z465" s="367"/>
      <c r="AA465" s="350"/>
      <c r="AB465" s="350"/>
      <c r="AC465" s="350"/>
      <c r="AD465" s="351"/>
    </row>
    <row r="466" spans="1:30" x14ac:dyDescent="0.2">
      <c r="A466" s="327">
        <v>229</v>
      </c>
      <c r="B466" s="334" t="s">
        <v>859</v>
      </c>
      <c r="C466" s="330" t="s">
        <v>270</v>
      </c>
      <c r="D466" s="355" t="s">
        <v>38</v>
      </c>
      <c r="E466" s="334" t="s">
        <v>859</v>
      </c>
      <c r="F466" s="334"/>
      <c r="G466" s="334" t="s">
        <v>859</v>
      </c>
      <c r="H466" s="328">
        <f>H464+F465</f>
        <v>87810.555999999997</v>
      </c>
      <c r="I466" s="334">
        <v>449.80599999999998</v>
      </c>
      <c r="J466" s="334">
        <v>75.5</v>
      </c>
      <c r="K466" s="334">
        <f>F465+F467</f>
        <v>766</v>
      </c>
      <c r="L466" s="334">
        <f>K466/2</f>
        <v>383</v>
      </c>
      <c r="M466" s="334">
        <v>186</v>
      </c>
      <c r="N466" s="334">
        <v>152</v>
      </c>
      <c r="O466" s="334">
        <v>338</v>
      </c>
      <c r="P466" s="334">
        <v>188</v>
      </c>
      <c r="Q466" s="334">
        <v>165</v>
      </c>
      <c r="R466" s="334">
        <v>353</v>
      </c>
      <c r="S466" s="334" t="s">
        <v>1621</v>
      </c>
      <c r="T466" s="334" t="s">
        <v>1622</v>
      </c>
      <c r="U466" s="334">
        <v>596374.29099999997</v>
      </c>
      <c r="V466" s="334">
        <v>2644745.0359999998</v>
      </c>
      <c r="W466" s="334"/>
      <c r="X466" s="341" t="s">
        <v>1608</v>
      </c>
      <c r="Y466" s="341" t="s">
        <v>1462</v>
      </c>
      <c r="Z466" s="338" t="s">
        <v>1463</v>
      </c>
      <c r="AA466" s="350"/>
      <c r="AB466" s="350"/>
      <c r="AC466" s="350"/>
      <c r="AD466" s="351"/>
    </row>
    <row r="467" spans="1:30" x14ac:dyDescent="0.2">
      <c r="A467" s="321"/>
      <c r="B467" s="334"/>
      <c r="C467" s="330"/>
      <c r="D467" s="355"/>
      <c r="E467" s="334"/>
      <c r="F467" s="334">
        <v>384</v>
      </c>
      <c r="G467" s="334"/>
      <c r="H467" s="312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 t="s">
        <v>1001</v>
      </c>
      <c r="X467" s="325"/>
      <c r="Y467" s="325"/>
      <c r="Z467" s="367"/>
      <c r="AA467" s="350"/>
      <c r="AB467" s="350"/>
      <c r="AC467" s="350"/>
      <c r="AD467" s="351"/>
    </row>
    <row r="468" spans="1:30" x14ac:dyDescent="0.2">
      <c r="A468" s="327">
        <v>230</v>
      </c>
      <c r="B468" s="334" t="s">
        <v>859</v>
      </c>
      <c r="C468" s="330" t="s">
        <v>271</v>
      </c>
      <c r="D468" s="355" t="s">
        <v>21</v>
      </c>
      <c r="E468" s="334" t="s">
        <v>859</v>
      </c>
      <c r="F468" s="334"/>
      <c r="G468" s="334" t="s">
        <v>859</v>
      </c>
      <c r="H468" s="328">
        <f>H466+F467</f>
        <v>88194.555999999997</v>
      </c>
      <c r="I468" s="334">
        <v>453.99299999999999</v>
      </c>
      <c r="J468" s="334">
        <v>78.5</v>
      </c>
      <c r="K468" s="334">
        <f>F467+F469</f>
        <v>766</v>
      </c>
      <c r="L468" s="334">
        <f>K468/2</f>
        <v>383</v>
      </c>
      <c r="M468" s="334">
        <v>233</v>
      </c>
      <c r="N468" s="334">
        <v>208</v>
      </c>
      <c r="O468" s="334">
        <v>441</v>
      </c>
      <c r="P468" s="334">
        <v>220</v>
      </c>
      <c r="Q468" s="334">
        <v>203</v>
      </c>
      <c r="R468" s="334">
        <v>423</v>
      </c>
      <c r="S468" s="334" t="s">
        <v>1623</v>
      </c>
      <c r="T468" s="334" t="s">
        <v>1624</v>
      </c>
      <c r="U468" s="334">
        <v>596728.63199999998</v>
      </c>
      <c r="V468" s="334">
        <v>2644597.0529999998</v>
      </c>
      <c r="W468" s="334"/>
      <c r="X468" s="341" t="s">
        <v>1625</v>
      </c>
      <c r="Y468" s="341" t="s">
        <v>1626</v>
      </c>
      <c r="Z468" s="338" t="s">
        <v>367</v>
      </c>
      <c r="AA468" s="350"/>
      <c r="AB468" s="350"/>
      <c r="AC468" s="350"/>
      <c r="AD468" s="351"/>
    </row>
    <row r="469" spans="1:30" x14ac:dyDescent="0.2">
      <c r="A469" s="321"/>
      <c r="B469" s="334"/>
      <c r="C469" s="330"/>
      <c r="D469" s="355"/>
      <c r="E469" s="334"/>
      <c r="F469" s="334">
        <v>382</v>
      </c>
      <c r="G469" s="334"/>
      <c r="H469" s="312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 t="s">
        <v>966</v>
      </c>
      <c r="X469" s="325"/>
      <c r="Y469" s="325"/>
      <c r="Z469" s="367"/>
      <c r="AA469" s="350"/>
      <c r="AB469" s="350"/>
      <c r="AC469" s="350"/>
      <c r="AD469" s="351"/>
    </row>
    <row r="470" spans="1:30" x14ac:dyDescent="0.2">
      <c r="A470" s="327">
        <v>231</v>
      </c>
      <c r="B470" s="335" t="s">
        <v>1627</v>
      </c>
      <c r="C470" s="341" t="s">
        <v>272</v>
      </c>
      <c r="D470" s="335" t="s">
        <v>33</v>
      </c>
      <c r="E470" s="335" t="s">
        <v>1628</v>
      </c>
      <c r="F470" s="377"/>
      <c r="G470" s="334">
        <f>SUM(F447:F469)</f>
        <v>4736</v>
      </c>
      <c r="H470" s="328">
        <f>H468+F469</f>
        <v>88576.555999999997</v>
      </c>
      <c r="I470" s="377">
        <v>457.08800000000002</v>
      </c>
      <c r="J470" s="343">
        <v>70.72</v>
      </c>
      <c r="K470" s="334">
        <f>F469+F471</f>
        <v>739</v>
      </c>
      <c r="L470" s="334">
        <f>K470/2</f>
        <v>369.5</v>
      </c>
      <c r="M470" s="355">
        <v>175</v>
      </c>
      <c r="N470" s="355">
        <v>157</v>
      </c>
      <c r="O470" s="355">
        <v>332</v>
      </c>
      <c r="P470" s="355">
        <v>180</v>
      </c>
      <c r="Q470" s="355">
        <v>164</v>
      </c>
      <c r="R470" s="355">
        <v>344</v>
      </c>
      <c r="S470" s="355" t="s">
        <v>1629</v>
      </c>
      <c r="T470" s="355" t="s">
        <v>1630</v>
      </c>
      <c r="U470" s="366">
        <v>597081.15300000005</v>
      </c>
      <c r="V470" s="366">
        <v>2644449.8309999998</v>
      </c>
      <c r="W470" s="337"/>
      <c r="X470" s="341" t="s">
        <v>1625</v>
      </c>
      <c r="Y470" s="341" t="s">
        <v>1626</v>
      </c>
      <c r="Z470" s="338" t="s">
        <v>367</v>
      </c>
      <c r="AA470" s="350"/>
      <c r="AB470" s="350"/>
      <c r="AC470" s="350"/>
      <c r="AD470" s="351"/>
    </row>
    <row r="471" spans="1:30" x14ac:dyDescent="0.2">
      <c r="A471" s="321"/>
      <c r="B471" s="335"/>
      <c r="C471" s="335"/>
      <c r="D471" s="335"/>
      <c r="E471" s="335"/>
      <c r="F471" s="362">
        <v>357</v>
      </c>
      <c r="G471" s="335"/>
      <c r="H471" s="312"/>
      <c r="I471" s="377"/>
      <c r="J471" s="377"/>
      <c r="K471" s="334"/>
      <c r="L471" s="334"/>
      <c r="M471" s="355"/>
      <c r="N471" s="355"/>
      <c r="O471" s="355"/>
      <c r="P471" s="355"/>
      <c r="Q471" s="355"/>
      <c r="R471" s="355"/>
      <c r="S471" s="355"/>
      <c r="T471" s="355"/>
      <c r="U471" s="366"/>
      <c r="V471" s="366"/>
      <c r="W471" s="337" t="s">
        <v>1631</v>
      </c>
      <c r="X471" s="325"/>
      <c r="Y471" s="325"/>
      <c r="Z471" s="367"/>
      <c r="AA471" s="350"/>
      <c r="AB471" s="350"/>
      <c r="AC471" s="350"/>
      <c r="AD471" s="351"/>
    </row>
    <row r="472" spans="1:30" x14ac:dyDescent="0.2">
      <c r="A472" s="327">
        <v>232</v>
      </c>
      <c r="B472" s="335" t="s">
        <v>859</v>
      </c>
      <c r="C472" s="335" t="s">
        <v>273</v>
      </c>
      <c r="D472" s="335" t="s">
        <v>36</v>
      </c>
      <c r="E472" s="335" t="s">
        <v>859</v>
      </c>
      <c r="F472" s="362"/>
      <c r="G472" s="335" t="s">
        <v>859</v>
      </c>
      <c r="H472" s="328">
        <f>H470+F471</f>
        <v>88933.555999999997</v>
      </c>
      <c r="I472" s="377">
        <v>460.63499999999999</v>
      </c>
      <c r="J472" s="334">
        <v>72.5</v>
      </c>
      <c r="K472" s="334">
        <f>F471+F473</f>
        <v>708</v>
      </c>
      <c r="L472" s="334">
        <f>K472/2</f>
        <v>354</v>
      </c>
      <c r="M472" s="355">
        <v>200</v>
      </c>
      <c r="N472" s="355">
        <v>165</v>
      </c>
      <c r="O472" s="355">
        <v>365</v>
      </c>
      <c r="P472" s="355">
        <v>194</v>
      </c>
      <c r="Q472" s="355">
        <v>168</v>
      </c>
      <c r="R472" s="355">
        <v>362</v>
      </c>
      <c r="S472" s="355" t="s">
        <v>1632</v>
      </c>
      <c r="T472" s="355" t="s">
        <v>1633</v>
      </c>
      <c r="U472" s="366">
        <v>597422.68700000003</v>
      </c>
      <c r="V472" s="366">
        <v>2644345.89</v>
      </c>
      <c r="W472" s="337"/>
      <c r="X472" s="341" t="s">
        <v>1625</v>
      </c>
      <c r="Y472" s="341" t="s">
        <v>1626</v>
      </c>
      <c r="Z472" s="338" t="s">
        <v>367</v>
      </c>
      <c r="AA472" s="350"/>
      <c r="AB472" s="350"/>
      <c r="AC472" s="350"/>
      <c r="AD472" s="351"/>
    </row>
    <row r="473" spans="1:30" x14ac:dyDescent="0.2">
      <c r="A473" s="321"/>
      <c r="B473" s="335"/>
      <c r="C473" s="335"/>
      <c r="D473" s="335"/>
      <c r="E473" s="335"/>
      <c r="F473" s="362">
        <v>351</v>
      </c>
      <c r="G473" s="335"/>
      <c r="H473" s="312"/>
      <c r="I473" s="377"/>
      <c r="J473" s="377"/>
      <c r="K473" s="334"/>
      <c r="L473" s="334"/>
      <c r="M473" s="355"/>
      <c r="N473" s="355"/>
      <c r="O473" s="355"/>
      <c r="P473" s="355"/>
      <c r="Q473" s="355"/>
      <c r="R473" s="355"/>
      <c r="S473" s="355"/>
      <c r="T473" s="355"/>
      <c r="U473" s="366"/>
      <c r="V473" s="366"/>
      <c r="W473" s="337" t="s">
        <v>1634</v>
      </c>
      <c r="X473" s="325"/>
      <c r="Y473" s="325"/>
      <c r="Z473" s="367"/>
      <c r="AA473" s="350"/>
      <c r="AB473" s="350"/>
      <c r="AC473" s="350"/>
      <c r="AD473" s="351"/>
    </row>
    <row r="474" spans="1:30" x14ac:dyDescent="0.2">
      <c r="A474" s="327">
        <v>233</v>
      </c>
      <c r="B474" s="335" t="s">
        <v>859</v>
      </c>
      <c r="C474" s="335" t="s">
        <v>274</v>
      </c>
      <c r="D474" s="335" t="s">
        <v>19</v>
      </c>
      <c r="E474" s="335" t="s">
        <v>859</v>
      </c>
      <c r="F474" s="362"/>
      <c r="G474" s="335" t="s">
        <v>859</v>
      </c>
      <c r="H474" s="328">
        <f>H472+F473</f>
        <v>89284.555999999997</v>
      </c>
      <c r="I474" s="377">
        <v>463.93400000000003</v>
      </c>
      <c r="J474" s="334">
        <v>71</v>
      </c>
      <c r="K474" s="334">
        <f>F473+F475</f>
        <v>764</v>
      </c>
      <c r="L474" s="334">
        <f>K474/2</f>
        <v>382</v>
      </c>
      <c r="M474" s="355">
        <v>187</v>
      </c>
      <c r="N474" s="355">
        <v>212</v>
      </c>
      <c r="O474" s="355">
        <v>399</v>
      </c>
      <c r="P474" s="355">
        <v>183</v>
      </c>
      <c r="Q474" s="355">
        <v>210</v>
      </c>
      <c r="R474" s="355">
        <v>393</v>
      </c>
      <c r="S474" s="355" t="s">
        <v>1635</v>
      </c>
      <c r="T474" s="355" t="s">
        <v>1636</v>
      </c>
      <c r="U474" s="366">
        <v>597758.48</v>
      </c>
      <c r="V474" s="366">
        <v>2644243.696</v>
      </c>
      <c r="W474" s="337"/>
      <c r="X474" s="341" t="s">
        <v>1625</v>
      </c>
      <c r="Y474" s="341" t="s">
        <v>1626</v>
      </c>
      <c r="Z474" s="338" t="s">
        <v>367</v>
      </c>
      <c r="AA474" s="350"/>
      <c r="AB474" s="350"/>
      <c r="AC474" s="350"/>
      <c r="AD474" s="351"/>
    </row>
    <row r="475" spans="1:30" ht="25.5" x14ac:dyDescent="0.2">
      <c r="A475" s="321"/>
      <c r="B475" s="335"/>
      <c r="C475" s="335"/>
      <c r="D475" s="335"/>
      <c r="E475" s="335"/>
      <c r="F475" s="362">
        <v>413</v>
      </c>
      <c r="G475" s="335"/>
      <c r="H475" s="312"/>
      <c r="I475" s="377"/>
      <c r="J475" s="377"/>
      <c r="K475" s="334"/>
      <c r="L475" s="334"/>
      <c r="M475" s="355"/>
      <c r="N475" s="355"/>
      <c r="O475" s="355"/>
      <c r="P475" s="355"/>
      <c r="Q475" s="355"/>
      <c r="R475" s="355"/>
      <c r="S475" s="355"/>
      <c r="T475" s="355"/>
      <c r="U475" s="366"/>
      <c r="V475" s="366"/>
      <c r="W475" s="337" t="s">
        <v>1637</v>
      </c>
      <c r="X475" s="325"/>
      <c r="Y475" s="325"/>
      <c r="Z475" s="367"/>
      <c r="AA475" s="350"/>
      <c r="AB475" s="350"/>
      <c r="AC475" s="350"/>
      <c r="AD475" s="351"/>
    </row>
    <row r="476" spans="1:30" x14ac:dyDescent="0.2">
      <c r="A476" s="327">
        <v>234</v>
      </c>
      <c r="B476" s="335" t="s">
        <v>859</v>
      </c>
      <c r="C476" s="335" t="s">
        <v>275</v>
      </c>
      <c r="D476" s="335" t="s">
        <v>38</v>
      </c>
      <c r="E476" s="335" t="s">
        <v>859</v>
      </c>
      <c r="F476" s="362"/>
      <c r="G476" s="335" t="s">
        <v>859</v>
      </c>
      <c r="H476" s="328">
        <f>H474+F475</f>
        <v>89697.555999999997</v>
      </c>
      <c r="I476" s="377">
        <v>458.51100000000002</v>
      </c>
      <c r="J476" s="334">
        <v>75.5</v>
      </c>
      <c r="K476" s="334">
        <f>F475+F477</f>
        <v>836</v>
      </c>
      <c r="L476" s="334">
        <f>K476/2</f>
        <v>418</v>
      </c>
      <c r="M476" s="355">
        <v>202</v>
      </c>
      <c r="N476" s="355">
        <v>202</v>
      </c>
      <c r="O476" s="355">
        <v>404</v>
      </c>
      <c r="P476" s="355">
        <v>204</v>
      </c>
      <c r="Q476" s="355">
        <v>206</v>
      </c>
      <c r="R476" s="355">
        <v>410</v>
      </c>
      <c r="S476" s="355" t="s">
        <v>1638</v>
      </c>
      <c r="T476" s="355" t="s">
        <v>1639</v>
      </c>
      <c r="U476" s="366">
        <v>598153.58799999999</v>
      </c>
      <c r="V476" s="366">
        <v>2644123.4509999999</v>
      </c>
      <c r="W476" s="337"/>
      <c r="X476" s="341" t="s">
        <v>1625</v>
      </c>
      <c r="Y476" s="341" t="s">
        <v>1626</v>
      </c>
      <c r="Z476" s="338" t="s">
        <v>367</v>
      </c>
      <c r="AA476" s="350"/>
      <c r="AB476" s="350"/>
      <c r="AC476" s="350"/>
      <c r="AD476" s="351"/>
    </row>
    <row r="477" spans="1:30" x14ac:dyDescent="0.2">
      <c r="A477" s="321"/>
      <c r="B477" s="335"/>
      <c r="C477" s="335"/>
      <c r="D477" s="335"/>
      <c r="E477" s="335"/>
      <c r="F477" s="362">
        <v>423</v>
      </c>
      <c r="G477" s="335"/>
      <c r="H477" s="312"/>
      <c r="I477" s="377"/>
      <c r="J477" s="377"/>
      <c r="K477" s="334"/>
      <c r="L477" s="334"/>
      <c r="M477" s="355"/>
      <c r="N477" s="355"/>
      <c r="O477" s="355"/>
      <c r="P477" s="355"/>
      <c r="Q477" s="355"/>
      <c r="R477" s="355"/>
      <c r="S477" s="355"/>
      <c r="T477" s="355"/>
      <c r="U477" s="366"/>
      <c r="V477" s="366"/>
      <c r="W477" s="337" t="s">
        <v>1640</v>
      </c>
      <c r="X477" s="325"/>
      <c r="Y477" s="325"/>
      <c r="Z477" s="367"/>
      <c r="AA477" s="350"/>
      <c r="AB477" s="350"/>
      <c r="AC477" s="350"/>
      <c r="AD477" s="351"/>
    </row>
    <row r="478" spans="1:30" x14ac:dyDescent="0.2">
      <c r="A478" s="327">
        <v>235</v>
      </c>
      <c r="B478" s="335" t="s">
        <v>859</v>
      </c>
      <c r="C478" s="335" t="s">
        <v>276</v>
      </c>
      <c r="D478" s="335" t="s">
        <v>19</v>
      </c>
      <c r="E478" s="335" t="s">
        <v>859</v>
      </c>
      <c r="F478" s="362"/>
      <c r="G478" s="335" t="s">
        <v>859</v>
      </c>
      <c r="H478" s="328">
        <f>H476+F477</f>
        <v>90120.555999999997</v>
      </c>
      <c r="I478" s="377">
        <v>464.90300000000002</v>
      </c>
      <c r="J478" s="334">
        <v>71</v>
      </c>
      <c r="K478" s="334">
        <f>F477+F479</f>
        <v>813</v>
      </c>
      <c r="L478" s="334">
        <f>K478/2</f>
        <v>406.5</v>
      </c>
      <c r="M478" s="355">
        <v>221</v>
      </c>
      <c r="N478" s="355">
        <v>184</v>
      </c>
      <c r="O478" s="355">
        <v>405</v>
      </c>
      <c r="P478" s="355">
        <v>219</v>
      </c>
      <c r="Q478" s="355">
        <v>188</v>
      </c>
      <c r="R478" s="355">
        <v>407</v>
      </c>
      <c r="S478" s="355" t="s">
        <v>1641</v>
      </c>
      <c r="T478" s="355" t="s">
        <v>1642</v>
      </c>
      <c r="U478" s="366">
        <v>598558.26199999999</v>
      </c>
      <c r="V478" s="366">
        <v>2644000.2940000002</v>
      </c>
      <c r="W478" s="337"/>
      <c r="X478" s="341" t="s">
        <v>1625</v>
      </c>
      <c r="Y478" s="341" t="s">
        <v>1626</v>
      </c>
      <c r="Z478" s="338" t="s">
        <v>367</v>
      </c>
      <c r="AA478" s="350"/>
      <c r="AB478" s="350"/>
      <c r="AC478" s="350"/>
      <c r="AD478" s="351"/>
    </row>
    <row r="479" spans="1:30" ht="25.5" x14ac:dyDescent="0.2">
      <c r="A479" s="321"/>
      <c r="B479" s="335"/>
      <c r="C479" s="335"/>
      <c r="D479" s="335"/>
      <c r="E479" s="335"/>
      <c r="F479" s="362">
        <v>390</v>
      </c>
      <c r="G479" s="335"/>
      <c r="H479" s="312"/>
      <c r="I479" s="377"/>
      <c r="J479" s="377"/>
      <c r="K479" s="334"/>
      <c r="L479" s="334"/>
      <c r="M479" s="355"/>
      <c r="N479" s="355"/>
      <c r="O479" s="355"/>
      <c r="P479" s="355"/>
      <c r="Q479" s="355"/>
      <c r="R479" s="355"/>
      <c r="S479" s="355"/>
      <c r="T479" s="355"/>
      <c r="U479" s="366"/>
      <c r="V479" s="366"/>
      <c r="W479" s="337" t="s">
        <v>1643</v>
      </c>
      <c r="X479" s="325"/>
      <c r="Y479" s="325"/>
      <c r="Z479" s="367"/>
      <c r="AA479" s="350"/>
      <c r="AB479" s="350"/>
      <c r="AC479" s="350"/>
      <c r="AD479" s="351"/>
    </row>
    <row r="480" spans="1:30" x14ac:dyDescent="0.2">
      <c r="A480" s="327">
        <v>236</v>
      </c>
      <c r="B480" s="335" t="s">
        <v>859</v>
      </c>
      <c r="C480" s="335" t="s">
        <v>277</v>
      </c>
      <c r="D480" s="335" t="s">
        <v>36</v>
      </c>
      <c r="E480" s="335" t="s">
        <v>859</v>
      </c>
      <c r="F480" s="362"/>
      <c r="G480" s="335" t="s">
        <v>859</v>
      </c>
      <c r="H480" s="328">
        <f>H478+F479</f>
        <v>90510.555999999997</v>
      </c>
      <c r="I480" s="377">
        <v>465.40499999999997</v>
      </c>
      <c r="J480" s="334">
        <v>72.5</v>
      </c>
      <c r="K480" s="334">
        <f>F479+F481</f>
        <v>796</v>
      </c>
      <c r="L480" s="334">
        <f>K480/2</f>
        <v>398</v>
      </c>
      <c r="M480" s="355">
        <v>206</v>
      </c>
      <c r="N480" s="355">
        <v>165</v>
      </c>
      <c r="O480" s="355">
        <v>371</v>
      </c>
      <c r="P480" s="355">
        <v>203</v>
      </c>
      <c r="Q480" s="355">
        <v>177</v>
      </c>
      <c r="R480" s="355">
        <v>380</v>
      </c>
      <c r="S480" s="355" t="s">
        <v>1644</v>
      </c>
      <c r="T480" s="355" t="s">
        <v>1645</v>
      </c>
      <c r="U480" s="366">
        <v>598931.36699999997</v>
      </c>
      <c r="V480" s="366">
        <v>2643886.7450000001</v>
      </c>
      <c r="W480" s="337"/>
      <c r="X480" s="341" t="s">
        <v>1625</v>
      </c>
      <c r="Y480" s="341" t="s">
        <v>1626</v>
      </c>
      <c r="Z480" s="338" t="s">
        <v>367</v>
      </c>
      <c r="AA480" s="350"/>
      <c r="AB480" s="350"/>
      <c r="AC480" s="350"/>
      <c r="AD480" s="351"/>
    </row>
    <row r="481" spans="1:31" x14ac:dyDescent="0.2">
      <c r="A481" s="321"/>
      <c r="B481" s="335"/>
      <c r="C481" s="335"/>
      <c r="D481" s="335"/>
      <c r="E481" s="335"/>
      <c r="F481" s="362">
        <v>406</v>
      </c>
      <c r="G481" s="335"/>
      <c r="H481" s="312"/>
      <c r="I481" s="377"/>
      <c r="J481" s="377"/>
      <c r="K481" s="334"/>
      <c r="L481" s="334"/>
      <c r="M481" s="355"/>
      <c r="N481" s="355"/>
      <c r="O481" s="355"/>
      <c r="P481" s="355"/>
      <c r="Q481" s="355"/>
      <c r="R481" s="355"/>
      <c r="S481" s="355"/>
      <c r="T481" s="355"/>
      <c r="U481" s="366"/>
      <c r="V481" s="366"/>
      <c r="W481" s="337"/>
      <c r="X481" s="325"/>
      <c r="Y481" s="325"/>
      <c r="Z481" s="367"/>
      <c r="AA481" s="350"/>
      <c r="AB481" s="350"/>
      <c r="AC481" s="350"/>
      <c r="AD481" s="351"/>
    </row>
    <row r="482" spans="1:31" x14ac:dyDescent="0.2">
      <c r="A482" s="327">
        <v>237</v>
      </c>
      <c r="B482" s="335" t="s">
        <v>859</v>
      </c>
      <c r="C482" s="335" t="s">
        <v>278</v>
      </c>
      <c r="D482" s="335" t="s">
        <v>38</v>
      </c>
      <c r="E482" s="335" t="s">
        <v>859</v>
      </c>
      <c r="F482" s="362"/>
      <c r="G482" s="335" t="s">
        <v>859</v>
      </c>
      <c r="H482" s="328">
        <f>H480+F481</f>
        <v>90916.555999999997</v>
      </c>
      <c r="I482" s="377">
        <v>469.71199999999999</v>
      </c>
      <c r="J482" s="334">
        <v>75.5</v>
      </c>
      <c r="K482" s="334">
        <f>F481+F483</f>
        <v>796</v>
      </c>
      <c r="L482" s="334">
        <f>K482/2</f>
        <v>398</v>
      </c>
      <c r="M482" s="355">
        <v>242</v>
      </c>
      <c r="N482" s="355">
        <v>257</v>
      </c>
      <c r="O482" s="355">
        <v>499</v>
      </c>
      <c r="P482" s="355">
        <v>230</v>
      </c>
      <c r="Q482" s="355">
        <v>238</v>
      </c>
      <c r="R482" s="355">
        <v>468</v>
      </c>
      <c r="S482" s="355" t="s">
        <v>1646</v>
      </c>
      <c r="T482" s="355" t="s">
        <v>1647</v>
      </c>
      <c r="U482" s="366">
        <v>599319.777</v>
      </c>
      <c r="V482" s="366">
        <v>2643768.5380000002</v>
      </c>
      <c r="W482" s="337"/>
      <c r="X482" s="341" t="s">
        <v>1625</v>
      </c>
      <c r="Y482" s="341" t="s">
        <v>1626</v>
      </c>
      <c r="Z482" s="338" t="s">
        <v>367</v>
      </c>
      <c r="AA482" s="350"/>
      <c r="AB482" s="350"/>
      <c r="AC482" s="350"/>
      <c r="AD482" s="351"/>
    </row>
    <row r="483" spans="1:31" x14ac:dyDescent="0.2">
      <c r="A483" s="321"/>
      <c r="B483" s="335"/>
      <c r="C483" s="335"/>
      <c r="D483" s="335"/>
      <c r="E483" s="335"/>
      <c r="F483" s="362">
        <v>390</v>
      </c>
      <c r="G483" s="335"/>
      <c r="H483" s="312"/>
      <c r="I483" s="377"/>
      <c r="J483" s="377"/>
      <c r="K483" s="334"/>
      <c r="L483" s="334"/>
      <c r="M483" s="355"/>
      <c r="N483" s="355"/>
      <c r="O483" s="355"/>
      <c r="P483" s="355"/>
      <c r="Q483" s="355"/>
      <c r="R483" s="355"/>
      <c r="S483" s="355"/>
      <c r="T483" s="355"/>
      <c r="U483" s="366"/>
      <c r="V483" s="366"/>
      <c r="W483" s="337" t="s">
        <v>1648</v>
      </c>
      <c r="X483" s="325"/>
      <c r="Y483" s="325"/>
      <c r="Z483" s="367"/>
      <c r="AA483" s="350"/>
      <c r="AB483" s="350"/>
      <c r="AC483" s="350"/>
      <c r="AD483" s="351"/>
    </row>
    <row r="484" spans="1:31" x14ac:dyDescent="0.2">
      <c r="A484" s="327">
        <v>238</v>
      </c>
      <c r="B484" s="335" t="s">
        <v>859</v>
      </c>
      <c r="C484" s="335" t="s">
        <v>279</v>
      </c>
      <c r="D484" s="335" t="s">
        <v>19</v>
      </c>
      <c r="E484" s="335" t="s">
        <v>859</v>
      </c>
      <c r="F484" s="362"/>
      <c r="G484" s="335" t="s">
        <v>859</v>
      </c>
      <c r="H484" s="328">
        <f>H482+F483</f>
        <v>91306.555999999997</v>
      </c>
      <c r="I484" s="377">
        <v>462.94099999999997</v>
      </c>
      <c r="J484" s="334">
        <v>71</v>
      </c>
      <c r="K484" s="334">
        <f>F483+F485</f>
        <v>783</v>
      </c>
      <c r="L484" s="334">
        <f>K484/2</f>
        <v>391.5</v>
      </c>
      <c r="M484" s="355">
        <v>133</v>
      </c>
      <c r="N484" s="355">
        <v>224</v>
      </c>
      <c r="O484" s="355">
        <v>357</v>
      </c>
      <c r="P484" s="355">
        <v>153</v>
      </c>
      <c r="Q484" s="355">
        <v>216</v>
      </c>
      <c r="R484" s="355">
        <v>369</v>
      </c>
      <c r="S484" s="355" t="s">
        <v>1649</v>
      </c>
      <c r="T484" s="355" t="s">
        <v>1650</v>
      </c>
      <c r="U484" s="366">
        <v>599692.88199999998</v>
      </c>
      <c r="V484" s="366">
        <v>2643654.9890000001</v>
      </c>
      <c r="W484" s="346" t="s">
        <v>1116</v>
      </c>
      <c r="X484" s="341" t="s">
        <v>1651</v>
      </c>
      <c r="Y484" s="341" t="s">
        <v>1626</v>
      </c>
      <c r="Z484" s="338" t="s">
        <v>367</v>
      </c>
      <c r="AA484" s="353">
        <v>0</v>
      </c>
      <c r="AB484" s="353">
        <v>0</v>
      </c>
      <c r="AC484" s="353">
        <v>1.5</v>
      </c>
      <c r="AD484" s="378">
        <v>2</v>
      </c>
      <c r="AE484" s="352" t="s">
        <v>1046</v>
      </c>
    </row>
    <row r="485" spans="1:31" x14ac:dyDescent="0.2">
      <c r="A485" s="321"/>
      <c r="B485" s="335"/>
      <c r="C485" s="335"/>
      <c r="D485" s="335"/>
      <c r="E485" s="335"/>
      <c r="F485" s="362">
        <v>393</v>
      </c>
      <c r="G485" s="335"/>
      <c r="H485" s="312"/>
      <c r="I485" s="377"/>
      <c r="J485" s="377"/>
      <c r="K485" s="334"/>
      <c r="L485" s="334"/>
      <c r="M485" s="355"/>
      <c r="N485" s="355"/>
      <c r="O485" s="355"/>
      <c r="P485" s="355"/>
      <c r="Q485" s="355"/>
      <c r="R485" s="355"/>
      <c r="S485" s="355"/>
      <c r="T485" s="355"/>
      <c r="U485" s="366"/>
      <c r="V485" s="366"/>
      <c r="W485" s="337" t="s">
        <v>900</v>
      </c>
      <c r="X485" s="325"/>
      <c r="Y485" s="325"/>
      <c r="Z485" s="367"/>
      <c r="AA485" s="350"/>
      <c r="AB485" s="350"/>
      <c r="AC485" s="350"/>
      <c r="AD485" s="351"/>
    </row>
    <row r="486" spans="1:31" x14ac:dyDescent="0.2">
      <c r="A486" s="327">
        <v>239</v>
      </c>
      <c r="B486" s="335" t="s">
        <v>859</v>
      </c>
      <c r="C486" s="335" t="s">
        <v>280</v>
      </c>
      <c r="D486" s="335" t="s">
        <v>36</v>
      </c>
      <c r="E486" s="335" t="s">
        <v>859</v>
      </c>
      <c r="F486" s="362"/>
      <c r="G486" s="335" t="s">
        <v>859</v>
      </c>
      <c r="H486" s="328">
        <f>H484+F485</f>
        <v>91699.555999999997</v>
      </c>
      <c r="I486" s="377">
        <v>456.47500000000002</v>
      </c>
      <c r="J486" s="334">
        <v>72.5</v>
      </c>
      <c r="K486" s="334">
        <f>F485+F487</f>
        <v>819</v>
      </c>
      <c r="L486" s="334">
        <f>K486/2</f>
        <v>409.5</v>
      </c>
      <c r="M486" s="355">
        <v>170</v>
      </c>
      <c r="N486" s="355">
        <v>208</v>
      </c>
      <c r="O486" s="355">
        <v>378</v>
      </c>
      <c r="P486" s="355">
        <v>178</v>
      </c>
      <c r="Q486" s="355">
        <v>210</v>
      </c>
      <c r="R486" s="355">
        <v>388</v>
      </c>
      <c r="S486" s="355" t="s">
        <v>1652</v>
      </c>
      <c r="T486" s="355" t="s">
        <v>1653</v>
      </c>
      <c r="U486" s="366">
        <v>600068.85600000003</v>
      </c>
      <c r="V486" s="366">
        <v>2643540.5669999998</v>
      </c>
      <c r="W486" s="337"/>
      <c r="X486" s="341" t="s">
        <v>1651</v>
      </c>
      <c r="Y486" s="341" t="s">
        <v>1626</v>
      </c>
      <c r="Z486" s="338" t="s">
        <v>367</v>
      </c>
      <c r="AA486" s="350"/>
      <c r="AB486" s="350"/>
      <c r="AC486" s="350"/>
      <c r="AD486" s="351"/>
    </row>
    <row r="487" spans="1:31" ht="25.5" x14ac:dyDescent="0.2">
      <c r="A487" s="321"/>
      <c r="B487" s="335"/>
      <c r="C487" s="335"/>
      <c r="D487" s="335"/>
      <c r="E487" s="335"/>
      <c r="F487" s="362">
        <v>426</v>
      </c>
      <c r="G487" s="335"/>
      <c r="H487" s="312"/>
      <c r="I487" s="377"/>
      <c r="J487" s="377"/>
      <c r="K487" s="334"/>
      <c r="L487" s="334"/>
      <c r="M487" s="355"/>
      <c r="N487" s="355"/>
      <c r="O487" s="355"/>
      <c r="P487" s="355"/>
      <c r="Q487" s="355"/>
      <c r="R487" s="355"/>
      <c r="S487" s="355"/>
      <c r="T487" s="355"/>
      <c r="U487" s="366"/>
      <c r="V487" s="366"/>
      <c r="W487" s="337" t="s">
        <v>1654</v>
      </c>
      <c r="X487" s="325"/>
      <c r="Y487" s="325"/>
      <c r="Z487" s="367"/>
      <c r="AA487" s="350"/>
      <c r="AB487" s="350"/>
      <c r="AC487" s="350"/>
      <c r="AD487" s="351"/>
    </row>
    <row r="488" spans="1:31" x14ac:dyDescent="0.2">
      <c r="A488" s="327">
        <v>240</v>
      </c>
      <c r="B488" s="335" t="s">
        <v>859</v>
      </c>
      <c r="C488" s="335" t="s">
        <v>281</v>
      </c>
      <c r="D488" s="335" t="s">
        <v>38</v>
      </c>
      <c r="E488" s="335" t="s">
        <v>859</v>
      </c>
      <c r="F488" s="362"/>
      <c r="G488" s="335" t="s">
        <v>859</v>
      </c>
      <c r="H488" s="328">
        <f>H486+F487</f>
        <v>92125.555999999997</v>
      </c>
      <c r="I488" s="377">
        <v>454.55900000000003</v>
      </c>
      <c r="J488" s="334">
        <v>75.5</v>
      </c>
      <c r="K488" s="334">
        <f>F487+F489</f>
        <v>833</v>
      </c>
      <c r="L488" s="334">
        <f>K488/2</f>
        <v>416.5</v>
      </c>
      <c r="M488" s="355">
        <v>219</v>
      </c>
      <c r="N488" s="355">
        <v>231</v>
      </c>
      <c r="O488" s="355">
        <v>450</v>
      </c>
      <c r="P488" s="355">
        <v>218</v>
      </c>
      <c r="Q488" s="355">
        <v>223</v>
      </c>
      <c r="R488" s="355">
        <v>441</v>
      </c>
      <c r="S488" s="355" t="s">
        <v>1655</v>
      </c>
      <c r="T488" s="355" t="s">
        <v>1656</v>
      </c>
      <c r="U488" s="366">
        <v>600476.4</v>
      </c>
      <c r="V488" s="366">
        <v>2643416.5359999998</v>
      </c>
      <c r="W488" s="337"/>
      <c r="X488" s="341" t="s">
        <v>1657</v>
      </c>
      <c r="Y488" s="341" t="s">
        <v>1626</v>
      </c>
      <c r="Z488" s="338" t="s">
        <v>367</v>
      </c>
      <c r="AA488" s="350"/>
      <c r="AB488" s="350"/>
      <c r="AC488" s="350"/>
      <c r="AD488" s="351"/>
    </row>
    <row r="489" spans="1:31" x14ac:dyDescent="0.2">
      <c r="A489" s="321"/>
      <c r="B489" s="335"/>
      <c r="C489" s="335"/>
      <c r="D489" s="335"/>
      <c r="E489" s="335"/>
      <c r="F489" s="362">
        <v>407</v>
      </c>
      <c r="G489" s="335"/>
      <c r="H489" s="312"/>
      <c r="I489" s="377"/>
      <c r="J489" s="377"/>
      <c r="K489" s="334"/>
      <c r="L489" s="334"/>
      <c r="M489" s="355"/>
      <c r="N489" s="355"/>
      <c r="O489" s="355"/>
      <c r="P489" s="355"/>
      <c r="Q489" s="355"/>
      <c r="R489" s="355"/>
      <c r="S489" s="355"/>
      <c r="T489" s="355"/>
      <c r="U489" s="366"/>
      <c r="V489" s="366"/>
      <c r="W489" s="337" t="s">
        <v>1658</v>
      </c>
      <c r="X489" s="325"/>
      <c r="Y489" s="325"/>
      <c r="Z489" s="367"/>
      <c r="AA489" s="350"/>
      <c r="AB489" s="350"/>
      <c r="AC489" s="350"/>
      <c r="AD489" s="351"/>
    </row>
    <row r="490" spans="1:31" x14ac:dyDescent="0.2">
      <c r="A490" s="327">
        <v>241</v>
      </c>
      <c r="B490" s="335" t="s">
        <v>1659</v>
      </c>
      <c r="C490" s="335" t="s">
        <v>282</v>
      </c>
      <c r="D490" s="335" t="s">
        <v>33</v>
      </c>
      <c r="E490" s="335" t="s">
        <v>1660</v>
      </c>
      <c r="F490" s="362"/>
      <c r="G490" s="362">
        <f>SUM(F471:F489)</f>
        <v>3956</v>
      </c>
      <c r="H490" s="328">
        <f>H488+F489</f>
        <v>92532.555999999997</v>
      </c>
      <c r="I490" s="377">
        <v>452.43700000000001</v>
      </c>
      <c r="J490" s="343">
        <v>70.72</v>
      </c>
      <c r="K490" s="334">
        <f>F489+F491</f>
        <v>811</v>
      </c>
      <c r="L490" s="334">
        <f>K490/2</f>
        <v>405.5</v>
      </c>
      <c r="M490" s="355">
        <v>177</v>
      </c>
      <c r="N490" s="355">
        <v>164</v>
      </c>
      <c r="O490" s="355">
        <v>341</v>
      </c>
      <c r="P490" s="355">
        <v>186</v>
      </c>
      <c r="Q490" s="355">
        <v>175</v>
      </c>
      <c r="R490" s="355">
        <v>361</v>
      </c>
      <c r="S490" s="355" t="s">
        <v>1661</v>
      </c>
      <c r="T490" s="355" t="s">
        <v>1662</v>
      </c>
      <c r="U490" s="366">
        <v>600865.78399999999</v>
      </c>
      <c r="V490" s="366">
        <v>2643298.0329999998</v>
      </c>
      <c r="W490" s="337"/>
      <c r="X490" s="341" t="s">
        <v>1657</v>
      </c>
      <c r="Y490" s="341" t="s">
        <v>1626</v>
      </c>
      <c r="Z490" s="338" t="s">
        <v>367</v>
      </c>
      <c r="AA490" s="350"/>
      <c r="AB490" s="350"/>
      <c r="AC490" s="350"/>
      <c r="AD490" s="351"/>
    </row>
    <row r="491" spans="1:31" x14ac:dyDescent="0.2">
      <c r="A491" s="321"/>
      <c r="B491" s="335"/>
      <c r="C491" s="335"/>
      <c r="D491" s="335"/>
      <c r="E491" s="335"/>
      <c r="F491" s="362">
        <v>404</v>
      </c>
      <c r="G491" s="362"/>
      <c r="H491" s="312"/>
      <c r="I491" s="377"/>
      <c r="J491" s="377"/>
      <c r="K491" s="334"/>
      <c r="L491" s="334"/>
      <c r="M491" s="355"/>
      <c r="N491" s="355"/>
      <c r="O491" s="355"/>
      <c r="P491" s="355"/>
      <c r="Q491" s="355"/>
      <c r="R491" s="355"/>
      <c r="S491" s="355"/>
      <c r="T491" s="355"/>
      <c r="U491" s="366"/>
      <c r="V491" s="366"/>
      <c r="W491" s="337" t="s">
        <v>1663</v>
      </c>
      <c r="X491" s="325"/>
      <c r="Y491" s="325"/>
      <c r="Z491" s="367"/>
      <c r="AA491" s="350"/>
      <c r="AB491" s="350"/>
      <c r="AC491" s="350"/>
      <c r="AD491" s="351"/>
    </row>
    <row r="492" spans="1:31" x14ac:dyDescent="0.2">
      <c r="A492" s="327">
        <v>242</v>
      </c>
      <c r="B492" s="335" t="s">
        <v>859</v>
      </c>
      <c r="C492" s="335" t="s">
        <v>283</v>
      </c>
      <c r="D492" s="335" t="s">
        <v>21</v>
      </c>
      <c r="E492" s="335" t="s">
        <v>859</v>
      </c>
      <c r="F492" s="362"/>
      <c r="G492" s="362" t="s">
        <v>859</v>
      </c>
      <c r="H492" s="328">
        <f>H490+F491</f>
        <v>92936.555999999997</v>
      </c>
      <c r="I492" s="377">
        <v>453.94200000000001</v>
      </c>
      <c r="J492" s="334">
        <v>78.5</v>
      </c>
      <c r="K492" s="334">
        <f>F491+F493</f>
        <v>822</v>
      </c>
      <c r="L492" s="334">
        <f>K492/2</f>
        <v>411</v>
      </c>
      <c r="M492" s="355">
        <v>241</v>
      </c>
      <c r="N492" s="355">
        <v>251</v>
      </c>
      <c r="O492" s="355">
        <v>492</v>
      </c>
      <c r="P492" s="355">
        <v>230</v>
      </c>
      <c r="Q492" s="355">
        <v>239</v>
      </c>
      <c r="R492" s="355">
        <v>469</v>
      </c>
      <c r="S492" s="355" t="s">
        <v>1664</v>
      </c>
      <c r="T492" s="355" t="s">
        <v>1665</v>
      </c>
      <c r="U492" s="366">
        <v>601239.1</v>
      </c>
      <c r="V492" s="366">
        <v>2643143.594</v>
      </c>
      <c r="W492" s="337"/>
      <c r="X492" s="341" t="s">
        <v>1657</v>
      </c>
      <c r="Y492" s="341" t="s">
        <v>1626</v>
      </c>
      <c r="Z492" s="338" t="s">
        <v>367</v>
      </c>
      <c r="AA492" s="350"/>
      <c r="AB492" s="350"/>
      <c r="AC492" s="350"/>
      <c r="AD492" s="351"/>
    </row>
    <row r="493" spans="1:31" x14ac:dyDescent="0.2">
      <c r="A493" s="321"/>
      <c r="B493" s="335"/>
      <c r="C493" s="335"/>
      <c r="D493" s="335"/>
      <c r="E493" s="335"/>
      <c r="F493" s="362">
        <v>418</v>
      </c>
      <c r="G493" s="362"/>
      <c r="H493" s="312"/>
      <c r="I493" s="377"/>
      <c r="J493" s="377"/>
      <c r="K493" s="334"/>
      <c r="L493" s="334"/>
      <c r="M493" s="355"/>
      <c r="N493" s="355"/>
      <c r="O493" s="355"/>
      <c r="P493" s="355"/>
      <c r="Q493" s="355"/>
      <c r="R493" s="355"/>
      <c r="S493" s="355"/>
      <c r="T493" s="355"/>
      <c r="U493" s="366"/>
      <c r="V493" s="366"/>
      <c r="W493" s="337" t="s">
        <v>900</v>
      </c>
      <c r="X493" s="325"/>
      <c r="Y493" s="325"/>
      <c r="Z493" s="367"/>
      <c r="AA493" s="350"/>
      <c r="AB493" s="350"/>
      <c r="AC493" s="350"/>
      <c r="AD493" s="351"/>
    </row>
    <row r="494" spans="1:31" x14ac:dyDescent="0.2">
      <c r="A494" s="327">
        <v>243</v>
      </c>
      <c r="B494" s="335" t="s">
        <v>859</v>
      </c>
      <c r="C494" s="335" t="s">
        <v>284</v>
      </c>
      <c r="D494" s="335" t="s">
        <v>36</v>
      </c>
      <c r="E494" s="335" t="s">
        <v>859</v>
      </c>
      <c r="F494" s="362"/>
      <c r="G494" s="362" t="s">
        <v>859</v>
      </c>
      <c r="H494" s="328">
        <f>H492+F493</f>
        <v>93354.555999999997</v>
      </c>
      <c r="I494" s="377">
        <v>451.64600000000002</v>
      </c>
      <c r="J494" s="334">
        <v>72.5</v>
      </c>
      <c r="K494" s="334">
        <f>F493+F495</f>
        <v>831</v>
      </c>
      <c r="L494" s="334">
        <f>K494/2</f>
        <v>415.5</v>
      </c>
      <c r="M494" s="355">
        <v>168</v>
      </c>
      <c r="N494" s="355">
        <v>189</v>
      </c>
      <c r="O494" s="355">
        <v>357</v>
      </c>
      <c r="P494" s="355">
        <v>180</v>
      </c>
      <c r="Q494" s="355">
        <v>195</v>
      </c>
      <c r="R494" s="355">
        <v>375</v>
      </c>
      <c r="S494" s="355" t="s">
        <v>1666</v>
      </c>
      <c r="T494" s="355" t="s">
        <v>1667</v>
      </c>
      <c r="U494" s="366">
        <v>601625.35199999996</v>
      </c>
      <c r="V494" s="366">
        <v>2642983.804</v>
      </c>
      <c r="W494" s="337"/>
      <c r="X494" s="341" t="s">
        <v>1657</v>
      </c>
      <c r="Y494" s="341" t="s">
        <v>1626</v>
      </c>
      <c r="Z494" s="338" t="s">
        <v>367</v>
      </c>
      <c r="AA494" s="350"/>
      <c r="AB494" s="350"/>
      <c r="AC494" s="350"/>
      <c r="AD494" s="351"/>
    </row>
    <row r="495" spans="1:31" x14ac:dyDescent="0.2">
      <c r="A495" s="321"/>
      <c r="B495" s="335"/>
      <c r="C495" s="335"/>
      <c r="D495" s="335"/>
      <c r="E495" s="335"/>
      <c r="F495" s="362">
        <v>413</v>
      </c>
      <c r="G495" s="362"/>
      <c r="H495" s="312"/>
      <c r="I495" s="377"/>
      <c r="J495" s="377"/>
      <c r="K495" s="334"/>
      <c r="L495" s="334"/>
      <c r="M495" s="355"/>
      <c r="N495" s="355"/>
      <c r="O495" s="355"/>
      <c r="P495" s="355"/>
      <c r="Q495" s="355"/>
      <c r="R495" s="355"/>
      <c r="S495" s="355"/>
      <c r="T495" s="355"/>
      <c r="U495" s="366"/>
      <c r="V495" s="366"/>
      <c r="W495" s="337" t="s">
        <v>1668</v>
      </c>
      <c r="X495" s="325"/>
      <c r="Y495" s="325"/>
      <c r="Z495" s="367"/>
      <c r="AA495" s="350"/>
      <c r="AB495" s="350"/>
      <c r="AC495" s="350"/>
      <c r="AD495" s="351"/>
    </row>
    <row r="496" spans="1:31" x14ac:dyDescent="0.2">
      <c r="A496" s="327">
        <v>244</v>
      </c>
      <c r="B496" s="335" t="s">
        <v>859</v>
      </c>
      <c r="C496" s="335" t="s">
        <v>285</v>
      </c>
      <c r="D496" s="335" t="s">
        <v>38</v>
      </c>
      <c r="E496" s="335" t="s">
        <v>859</v>
      </c>
      <c r="F496" s="362"/>
      <c r="G496" s="362" t="s">
        <v>859</v>
      </c>
      <c r="H496" s="328">
        <f>H494+F495</f>
        <v>93767.555999999997</v>
      </c>
      <c r="I496" s="377">
        <v>452.11399999999998</v>
      </c>
      <c r="J496" s="334">
        <v>75.5</v>
      </c>
      <c r="K496" s="334">
        <f>F495+F497</f>
        <v>823</v>
      </c>
      <c r="L496" s="334">
        <f>K496/2</f>
        <v>411.5</v>
      </c>
      <c r="M496" s="355">
        <v>224</v>
      </c>
      <c r="N496" s="355">
        <v>220</v>
      </c>
      <c r="O496" s="355">
        <v>444</v>
      </c>
      <c r="P496" s="355">
        <v>220</v>
      </c>
      <c r="Q496" s="355">
        <v>216</v>
      </c>
      <c r="R496" s="355">
        <v>436</v>
      </c>
      <c r="S496" s="355" t="s">
        <v>1669</v>
      </c>
      <c r="T496" s="355" t="s">
        <v>1670</v>
      </c>
      <c r="U496" s="366">
        <v>602006.98499999999</v>
      </c>
      <c r="V496" s="366">
        <v>2642825.9249999998</v>
      </c>
      <c r="W496" s="337"/>
      <c r="X496" s="341" t="s">
        <v>1657</v>
      </c>
      <c r="Y496" s="341" t="s">
        <v>1626</v>
      </c>
      <c r="Z496" s="338" t="s">
        <v>367</v>
      </c>
      <c r="AA496" s="350"/>
      <c r="AB496" s="350"/>
      <c r="AC496" s="350"/>
      <c r="AD496" s="351"/>
    </row>
    <row r="497" spans="1:30" x14ac:dyDescent="0.2">
      <c r="A497" s="321"/>
      <c r="B497" s="335"/>
      <c r="C497" s="335"/>
      <c r="D497" s="335"/>
      <c r="E497" s="335"/>
      <c r="F497" s="362">
        <v>410</v>
      </c>
      <c r="G497" s="362"/>
      <c r="H497" s="312"/>
      <c r="I497" s="377"/>
      <c r="J497" s="377"/>
      <c r="K497" s="334"/>
      <c r="L497" s="334"/>
      <c r="M497" s="355"/>
      <c r="N497" s="355"/>
      <c r="O497" s="355"/>
      <c r="P497" s="355"/>
      <c r="Q497" s="355"/>
      <c r="R497" s="355"/>
      <c r="S497" s="355"/>
      <c r="T497" s="355"/>
      <c r="U497" s="366"/>
      <c r="V497" s="366"/>
      <c r="W497" s="337" t="s">
        <v>1671</v>
      </c>
      <c r="X497" s="325"/>
      <c r="Y497" s="325"/>
      <c r="Z497" s="367"/>
      <c r="AA497" s="350"/>
      <c r="AB497" s="350"/>
      <c r="AC497" s="350"/>
      <c r="AD497" s="351"/>
    </row>
    <row r="498" spans="1:30" x14ac:dyDescent="0.2">
      <c r="A498" s="327">
        <v>245</v>
      </c>
      <c r="B498" s="335" t="s">
        <v>859</v>
      </c>
      <c r="C498" s="335" t="s">
        <v>286</v>
      </c>
      <c r="D498" s="335" t="s">
        <v>36</v>
      </c>
      <c r="E498" s="335" t="s">
        <v>859</v>
      </c>
      <c r="F498" s="362"/>
      <c r="G498" s="362" t="s">
        <v>859</v>
      </c>
      <c r="H498" s="328">
        <f>H496+F497</f>
        <v>94177.555999999997</v>
      </c>
      <c r="I498" s="377">
        <v>452.14699999999999</v>
      </c>
      <c r="J498" s="334">
        <v>72.5</v>
      </c>
      <c r="K498" s="334">
        <f>F497+F499</f>
        <v>836</v>
      </c>
      <c r="L498" s="334">
        <f>K498/2</f>
        <v>418</v>
      </c>
      <c r="M498" s="355">
        <v>190</v>
      </c>
      <c r="N498" s="355">
        <v>226</v>
      </c>
      <c r="O498" s="355">
        <v>416</v>
      </c>
      <c r="P498" s="355">
        <v>195</v>
      </c>
      <c r="Q498" s="355">
        <v>222</v>
      </c>
      <c r="R498" s="355">
        <v>417</v>
      </c>
      <c r="S498" s="355" t="s">
        <v>1672</v>
      </c>
      <c r="T498" s="355" t="s">
        <v>1673</v>
      </c>
      <c r="U498" s="366">
        <v>602385.84499999997</v>
      </c>
      <c r="V498" s="366">
        <v>2642669.1919999998</v>
      </c>
      <c r="W498" s="337"/>
      <c r="X498" s="341" t="s">
        <v>1657</v>
      </c>
      <c r="Y498" s="341" t="s">
        <v>1626</v>
      </c>
      <c r="Z498" s="338" t="s">
        <v>367</v>
      </c>
      <c r="AA498" s="350"/>
      <c r="AB498" s="350"/>
      <c r="AC498" s="350"/>
      <c r="AD498" s="351"/>
    </row>
    <row r="499" spans="1:30" x14ac:dyDescent="0.2">
      <c r="A499" s="321"/>
      <c r="B499" s="335"/>
      <c r="C499" s="335"/>
      <c r="D499" s="335"/>
      <c r="E499" s="335"/>
      <c r="F499" s="362">
        <v>426</v>
      </c>
      <c r="G499" s="362"/>
      <c r="H499" s="312"/>
      <c r="I499" s="377"/>
      <c r="J499" s="377"/>
      <c r="K499" s="334"/>
      <c r="L499" s="334"/>
      <c r="M499" s="355"/>
      <c r="N499" s="355"/>
      <c r="O499" s="355"/>
      <c r="P499" s="355"/>
      <c r="Q499" s="355"/>
      <c r="R499" s="355"/>
      <c r="S499" s="355"/>
      <c r="T499" s="355"/>
      <c r="U499" s="366"/>
      <c r="V499" s="366"/>
      <c r="W499" s="337" t="s">
        <v>1157</v>
      </c>
      <c r="X499" s="325"/>
      <c r="Y499" s="325"/>
      <c r="Z499" s="367"/>
      <c r="AA499" s="350"/>
      <c r="AB499" s="350"/>
      <c r="AC499" s="350"/>
      <c r="AD499" s="351"/>
    </row>
    <row r="500" spans="1:30" x14ac:dyDescent="0.2">
      <c r="A500" s="327">
        <v>246</v>
      </c>
      <c r="B500" s="335" t="s">
        <v>859</v>
      </c>
      <c r="C500" s="335" t="s">
        <v>287</v>
      </c>
      <c r="D500" s="335" t="s">
        <v>36</v>
      </c>
      <c r="E500" s="335" t="s">
        <v>859</v>
      </c>
      <c r="F500" s="362"/>
      <c r="G500" s="362" t="s">
        <v>859</v>
      </c>
      <c r="H500" s="328">
        <f>H498+F499</f>
        <v>94603.555999999997</v>
      </c>
      <c r="I500" s="377">
        <v>449.67</v>
      </c>
      <c r="J500" s="334">
        <v>72.5</v>
      </c>
      <c r="K500" s="334">
        <f>F499+F501</f>
        <v>823</v>
      </c>
      <c r="L500" s="334">
        <f>K500/2</f>
        <v>411.5</v>
      </c>
      <c r="M500" s="355">
        <v>201</v>
      </c>
      <c r="N500" s="355">
        <v>167</v>
      </c>
      <c r="O500" s="355">
        <v>368</v>
      </c>
      <c r="P500" s="355">
        <v>205</v>
      </c>
      <c r="Q500" s="355">
        <v>176</v>
      </c>
      <c r="R500" s="355">
        <v>381</v>
      </c>
      <c r="S500" s="355" t="s">
        <v>1674</v>
      </c>
      <c r="T500" s="355" t="s">
        <v>1675</v>
      </c>
      <c r="U500" s="366">
        <v>602779.49</v>
      </c>
      <c r="V500" s="366">
        <v>2642506.344</v>
      </c>
      <c r="W500" s="337"/>
      <c r="X500" s="341" t="s">
        <v>1676</v>
      </c>
      <c r="Y500" s="341" t="s">
        <v>1626</v>
      </c>
      <c r="Z500" s="338" t="s">
        <v>367</v>
      </c>
      <c r="AA500" s="350"/>
      <c r="AB500" s="350"/>
      <c r="AC500" s="350"/>
      <c r="AD500" s="351"/>
    </row>
    <row r="501" spans="1:30" x14ac:dyDescent="0.2">
      <c r="A501" s="321"/>
      <c r="B501" s="335"/>
      <c r="C501" s="335"/>
      <c r="D501" s="335"/>
      <c r="E501" s="335"/>
      <c r="F501" s="362">
        <v>397</v>
      </c>
      <c r="G501" s="362"/>
      <c r="H501" s="312"/>
      <c r="I501" s="377"/>
      <c r="J501" s="377"/>
      <c r="K501" s="334"/>
      <c r="L501" s="334"/>
      <c r="M501" s="355"/>
      <c r="N501" s="355"/>
      <c r="O501" s="355"/>
      <c r="P501" s="355"/>
      <c r="Q501" s="355"/>
      <c r="R501" s="355"/>
      <c r="S501" s="355"/>
      <c r="T501" s="355"/>
      <c r="U501" s="366"/>
      <c r="V501" s="366"/>
      <c r="W501" s="337" t="s">
        <v>1677</v>
      </c>
      <c r="X501" s="325"/>
      <c r="Y501" s="325"/>
      <c r="Z501" s="367"/>
      <c r="AA501" s="350"/>
      <c r="AB501" s="350"/>
      <c r="AC501" s="350"/>
      <c r="AD501" s="351"/>
    </row>
    <row r="502" spans="1:30" x14ac:dyDescent="0.2">
      <c r="A502" s="327">
        <v>247</v>
      </c>
      <c r="B502" s="335" t="s">
        <v>859</v>
      </c>
      <c r="C502" s="335" t="s">
        <v>288</v>
      </c>
      <c r="D502" s="335" t="s">
        <v>21</v>
      </c>
      <c r="E502" s="335" t="s">
        <v>859</v>
      </c>
      <c r="F502" s="362"/>
      <c r="G502" s="362" t="s">
        <v>859</v>
      </c>
      <c r="H502" s="328">
        <f>H500+F501</f>
        <v>95000.555999999997</v>
      </c>
      <c r="I502" s="377">
        <v>449.78</v>
      </c>
      <c r="J502" s="334">
        <v>78.5</v>
      </c>
      <c r="K502" s="334">
        <f>F501+F503</f>
        <v>801</v>
      </c>
      <c r="L502" s="334">
        <f>K502/2</f>
        <v>400.5</v>
      </c>
      <c r="M502" s="355">
        <v>231</v>
      </c>
      <c r="N502" s="355">
        <v>108</v>
      </c>
      <c r="O502" s="355">
        <v>339</v>
      </c>
      <c r="P502" s="355">
        <v>222</v>
      </c>
      <c r="Q502" s="355" t="s">
        <v>1678</v>
      </c>
      <c r="R502" s="355">
        <v>358</v>
      </c>
      <c r="S502" s="355" t="s">
        <v>1679</v>
      </c>
      <c r="T502" s="355" t="s">
        <v>1680</v>
      </c>
      <c r="U502" s="366">
        <v>603146.33700000006</v>
      </c>
      <c r="V502" s="366">
        <v>2642354.5809999998</v>
      </c>
      <c r="W502" s="337"/>
      <c r="X502" s="341" t="s">
        <v>1681</v>
      </c>
      <c r="Y502" s="341" t="s">
        <v>1626</v>
      </c>
      <c r="Z502" s="338" t="s">
        <v>367</v>
      </c>
      <c r="AA502" s="350"/>
      <c r="AB502" s="350"/>
      <c r="AC502" s="350"/>
      <c r="AD502" s="351"/>
    </row>
    <row r="503" spans="1:30" x14ac:dyDescent="0.2">
      <c r="A503" s="321"/>
      <c r="B503" s="335"/>
      <c r="C503" s="335"/>
      <c r="D503" s="335"/>
      <c r="E503" s="335"/>
      <c r="F503" s="362">
        <v>404</v>
      </c>
      <c r="G503" s="362"/>
      <c r="H503" s="312"/>
      <c r="I503" s="377"/>
      <c r="J503" s="377"/>
      <c r="K503" s="334"/>
      <c r="L503" s="334"/>
      <c r="M503" s="355"/>
      <c r="N503" s="355"/>
      <c r="O503" s="355"/>
      <c r="P503" s="355"/>
      <c r="Q503" s="355"/>
      <c r="R503" s="355"/>
      <c r="S503" s="355"/>
      <c r="T503" s="355"/>
      <c r="U503" s="366"/>
      <c r="V503" s="366"/>
      <c r="W503" s="337" t="s">
        <v>1353</v>
      </c>
      <c r="X503" s="325"/>
      <c r="Y503" s="325"/>
      <c r="Z503" s="367"/>
      <c r="AA503" s="350"/>
      <c r="AB503" s="350"/>
      <c r="AC503" s="350"/>
      <c r="AD503" s="351"/>
    </row>
    <row r="504" spans="1:30" x14ac:dyDescent="0.2">
      <c r="A504" s="327">
        <v>248</v>
      </c>
      <c r="B504" s="335" t="s">
        <v>1682</v>
      </c>
      <c r="C504" s="335" t="s">
        <v>289</v>
      </c>
      <c r="D504" s="335" t="s">
        <v>151</v>
      </c>
      <c r="E504" s="335" t="s">
        <v>1683</v>
      </c>
      <c r="F504" s="362"/>
      <c r="G504" s="362">
        <f>SUM(F491:F503)</f>
        <v>2872</v>
      </c>
      <c r="H504" s="328">
        <f>H502+F503</f>
        <v>95404.555999999997</v>
      </c>
      <c r="I504" s="377">
        <v>455.99200000000002</v>
      </c>
      <c r="J504" s="377">
        <v>88.72</v>
      </c>
      <c r="K504" s="334">
        <f>F503+F505</f>
        <v>628</v>
      </c>
      <c r="L504" s="334">
        <f>K504/2</f>
        <v>314</v>
      </c>
      <c r="M504" s="355">
        <v>297</v>
      </c>
      <c r="N504" s="355">
        <v>166</v>
      </c>
      <c r="O504" s="355">
        <v>463</v>
      </c>
      <c r="P504" s="355">
        <v>269</v>
      </c>
      <c r="Q504" s="355">
        <v>136</v>
      </c>
      <c r="R504" s="355">
        <v>405</v>
      </c>
      <c r="S504" s="355" t="s">
        <v>1684</v>
      </c>
      <c r="T504" s="355" t="s">
        <v>1685</v>
      </c>
      <c r="U504" s="366">
        <v>603519.99399999995</v>
      </c>
      <c r="V504" s="366">
        <v>2642200.0010000002</v>
      </c>
      <c r="W504" s="337"/>
      <c r="X504" s="341" t="s">
        <v>1681</v>
      </c>
      <c r="Y504" s="341" t="s">
        <v>1626</v>
      </c>
      <c r="Z504" s="338" t="s">
        <v>367</v>
      </c>
      <c r="AA504" s="350"/>
      <c r="AB504" s="350"/>
      <c r="AC504" s="350"/>
      <c r="AD504" s="351"/>
    </row>
    <row r="505" spans="1:30" x14ac:dyDescent="0.2">
      <c r="A505" s="321"/>
      <c r="B505" s="335"/>
      <c r="C505" s="335"/>
      <c r="D505" s="335"/>
      <c r="E505" s="335"/>
      <c r="F505" s="362">
        <v>224</v>
      </c>
      <c r="G505" s="362"/>
      <c r="H505" s="312"/>
      <c r="I505" s="377"/>
      <c r="J505" s="377"/>
      <c r="K505" s="334"/>
      <c r="L505" s="334"/>
      <c r="M505" s="355"/>
      <c r="N505" s="355"/>
      <c r="O505" s="355"/>
      <c r="P505" s="355"/>
      <c r="Q505" s="355"/>
      <c r="R505" s="355"/>
      <c r="S505" s="355"/>
      <c r="T505" s="355"/>
      <c r="U505" s="366"/>
      <c r="V505" s="366"/>
      <c r="W505" s="337" t="s">
        <v>1686</v>
      </c>
      <c r="X505" s="325"/>
      <c r="Y505" s="325"/>
      <c r="Z505" s="367"/>
      <c r="AA505" s="350"/>
      <c r="AB505" s="350"/>
      <c r="AC505" s="350"/>
      <c r="AD505" s="351"/>
    </row>
    <row r="506" spans="1:30" x14ac:dyDescent="0.2">
      <c r="A506" s="327">
        <v>249</v>
      </c>
      <c r="B506" s="335" t="s">
        <v>1687</v>
      </c>
      <c r="C506" s="335" t="s">
        <v>290</v>
      </c>
      <c r="D506" s="335" t="s">
        <v>177</v>
      </c>
      <c r="E506" s="335" t="s">
        <v>1688</v>
      </c>
      <c r="F506" s="362"/>
      <c r="G506" s="362">
        <v>224</v>
      </c>
      <c r="H506" s="328">
        <f>H504+F505</f>
        <v>95628.555999999997</v>
      </c>
      <c r="I506" s="377">
        <v>460.38099999999997</v>
      </c>
      <c r="J506" s="377">
        <v>79.72</v>
      </c>
      <c r="K506" s="334">
        <f>F505+F507</f>
        <v>646</v>
      </c>
      <c r="L506" s="334">
        <f>K506/2</f>
        <v>323</v>
      </c>
      <c r="M506" s="355">
        <v>58</v>
      </c>
      <c r="N506" s="355">
        <v>269</v>
      </c>
      <c r="O506" s="355">
        <v>327</v>
      </c>
      <c r="P506" s="355">
        <v>88</v>
      </c>
      <c r="Q506" s="355">
        <v>250</v>
      </c>
      <c r="R506" s="355">
        <v>338</v>
      </c>
      <c r="S506" s="355" t="s">
        <v>1689</v>
      </c>
      <c r="T506" s="355" t="s">
        <v>1690</v>
      </c>
      <c r="U506" s="366">
        <v>603743.63100000005</v>
      </c>
      <c r="V506" s="366">
        <v>2642190.9309999999</v>
      </c>
      <c r="W506" s="337"/>
      <c r="X506" s="341" t="s">
        <v>1681</v>
      </c>
      <c r="Y506" s="341" t="s">
        <v>1626</v>
      </c>
      <c r="Z506" s="338" t="s">
        <v>367</v>
      </c>
      <c r="AA506" s="350"/>
      <c r="AB506" s="350"/>
      <c r="AC506" s="350"/>
      <c r="AD506" s="351"/>
    </row>
    <row r="507" spans="1:30" x14ac:dyDescent="0.2">
      <c r="A507" s="321"/>
      <c r="B507" s="335"/>
      <c r="C507" s="335"/>
      <c r="D507" s="335"/>
      <c r="E507" s="335"/>
      <c r="F507" s="362">
        <v>422</v>
      </c>
      <c r="G507" s="362"/>
      <c r="H507" s="312"/>
      <c r="I507" s="377"/>
      <c r="J507" s="377"/>
      <c r="K507" s="334"/>
      <c r="L507" s="334"/>
      <c r="M507" s="355"/>
      <c r="N507" s="355"/>
      <c r="O507" s="355"/>
      <c r="P507" s="355"/>
      <c r="Q507" s="355"/>
      <c r="R507" s="355"/>
      <c r="S507" s="355"/>
      <c r="T507" s="355"/>
      <c r="U507" s="366"/>
      <c r="V507" s="366"/>
      <c r="W507" s="337" t="s">
        <v>1157</v>
      </c>
      <c r="X507" s="325"/>
      <c r="Y507" s="325"/>
      <c r="Z507" s="367"/>
      <c r="AA507" s="350"/>
      <c r="AB507" s="350"/>
      <c r="AC507" s="350"/>
      <c r="AD507" s="351"/>
    </row>
    <row r="508" spans="1:30" x14ac:dyDescent="0.2">
      <c r="A508" s="327">
        <v>250</v>
      </c>
      <c r="B508" s="335" t="s">
        <v>859</v>
      </c>
      <c r="C508" s="335" t="s">
        <v>291</v>
      </c>
      <c r="D508" s="335" t="s">
        <v>36</v>
      </c>
      <c r="E508" s="335" t="s">
        <v>859</v>
      </c>
      <c r="F508" s="362"/>
      <c r="G508" s="362" t="s">
        <v>859</v>
      </c>
      <c r="H508" s="328">
        <f>H506+F507</f>
        <v>96050.555999999997</v>
      </c>
      <c r="I508" s="377">
        <v>458.358</v>
      </c>
      <c r="J508" s="334">
        <v>72.5</v>
      </c>
      <c r="K508" s="334">
        <f>F507+F509</f>
        <v>765</v>
      </c>
      <c r="L508" s="334">
        <f>K508/2</f>
        <v>382.5</v>
      </c>
      <c r="M508" s="355">
        <v>154</v>
      </c>
      <c r="N508" s="355">
        <v>174</v>
      </c>
      <c r="O508" s="355">
        <v>328</v>
      </c>
      <c r="P508" s="355">
        <v>174</v>
      </c>
      <c r="Q508" s="355">
        <v>173</v>
      </c>
      <c r="R508" s="355">
        <v>347</v>
      </c>
      <c r="S508" s="355" t="s">
        <v>1691</v>
      </c>
      <c r="T508" s="355" t="s">
        <v>1692</v>
      </c>
      <c r="U508" s="366">
        <v>604093.49899999995</v>
      </c>
      <c r="V508" s="366">
        <v>2641954.9730000002</v>
      </c>
      <c r="W508" s="337"/>
      <c r="X508" s="341" t="s">
        <v>1681</v>
      </c>
      <c r="Y508" s="341" t="s">
        <v>1626</v>
      </c>
      <c r="Z508" s="338" t="s">
        <v>367</v>
      </c>
      <c r="AA508" s="350"/>
      <c r="AB508" s="350"/>
      <c r="AC508" s="350"/>
      <c r="AD508" s="351"/>
    </row>
    <row r="509" spans="1:30" x14ac:dyDescent="0.2">
      <c r="A509" s="321"/>
      <c r="B509" s="335"/>
      <c r="C509" s="335"/>
      <c r="D509" s="335"/>
      <c r="E509" s="335"/>
      <c r="F509" s="362">
        <v>343</v>
      </c>
      <c r="G509" s="362"/>
      <c r="H509" s="312"/>
      <c r="I509" s="377"/>
      <c r="J509" s="377"/>
      <c r="K509" s="334"/>
      <c r="L509" s="334"/>
      <c r="M509" s="355"/>
      <c r="N509" s="355"/>
      <c r="O509" s="355"/>
      <c r="P509" s="355"/>
      <c r="Q509" s="355"/>
      <c r="R509" s="355"/>
      <c r="S509" s="355"/>
      <c r="T509" s="355"/>
      <c r="U509" s="366"/>
      <c r="V509" s="366"/>
      <c r="W509" s="337" t="s">
        <v>1693</v>
      </c>
      <c r="X509" s="325"/>
      <c r="Y509" s="325"/>
      <c r="Z509" s="367"/>
      <c r="AA509" s="350"/>
      <c r="AB509" s="350"/>
      <c r="AC509" s="350"/>
      <c r="AD509" s="351"/>
    </row>
    <row r="510" spans="1:30" x14ac:dyDescent="0.2">
      <c r="A510" s="327">
        <v>251</v>
      </c>
      <c r="B510" s="335" t="s">
        <v>859</v>
      </c>
      <c r="C510" s="335" t="s">
        <v>292</v>
      </c>
      <c r="D510" s="335" t="s">
        <v>28</v>
      </c>
      <c r="E510" s="335" t="s">
        <v>859</v>
      </c>
      <c r="F510" s="362"/>
      <c r="G510" s="362" t="s">
        <v>859</v>
      </c>
      <c r="H510" s="328">
        <f>H508+F509</f>
        <v>96393.555999999997</v>
      </c>
      <c r="I510" s="377">
        <v>461.041</v>
      </c>
      <c r="J510" s="334">
        <v>69.5</v>
      </c>
      <c r="K510" s="334">
        <f>F509+F511</f>
        <v>693</v>
      </c>
      <c r="L510" s="334">
        <f>K510/2</f>
        <v>346.5</v>
      </c>
      <c r="M510" s="355">
        <v>170</v>
      </c>
      <c r="N510" s="355">
        <v>185</v>
      </c>
      <c r="O510" s="355">
        <v>355</v>
      </c>
      <c r="P510" s="355">
        <v>171</v>
      </c>
      <c r="Q510" s="355">
        <v>182</v>
      </c>
      <c r="R510" s="355">
        <v>353</v>
      </c>
      <c r="S510" s="355" t="s">
        <v>1694</v>
      </c>
      <c r="T510" s="355" t="s">
        <v>1695</v>
      </c>
      <c r="U510" s="366">
        <v>604377.87100000004</v>
      </c>
      <c r="V510" s="366">
        <v>2641763.1869999999</v>
      </c>
      <c r="W510" s="337"/>
      <c r="X510" s="341" t="s">
        <v>1681</v>
      </c>
      <c r="Y510" s="341" t="s">
        <v>1626</v>
      </c>
      <c r="Z510" s="338" t="s">
        <v>367</v>
      </c>
      <c r="AA510" s="350"/>
      <c r="AB510" s="350"/>
      <c r="AC510" s="350"/>
      <c r="AD510" s="351"/>
    </row>
    <row r="511" spans="1:30" x14ac:dyDescent="0.2">
      <c r="A511" s="321"/>
      <c r="B511" s="335"/>
      <c r="C511" s="335"/>
      <c r="D511" s="335"/>
      <c r="E511" s="335"/>
      <c r="F511" s="362">
        <v>350</v>
      </c>
      <c r="G511" s="362"/>
      <c r="H511" s="312"/>
      <c r="I511" s="377"/>
      <c r="J511" s="377"/>
      <c r="K511" s="334"/>
      <c r="L511" s="334"/>
      <c r="M511" s="355"/>
      <c r="N511" s="355"/>
      <c r="O511" s="355"/>
      <c r="P511" s="355"/>
      <c r="Q511" s="355"/>
      <c r="R511" s="355"/>
      <c r="S511" s="355"/>
      <c r="T511" s="355"/>
      <c r="U511" s="366"/>
      <c r="V511" s="366"/>
      <c r="W511" s="337" t="s">
        <v>1197</v>
      </c>
      <c r="X511" s="325"/>
      <c r="Y511" s="325"/>
      <c r="Z511" s="367"/>
      <c r="AA511" s="350"/>
      <c r="AB511" s="350"/>
      <c r="AC511" s="350"/>
      <c r="AD511" s="351"/>
    </row>
    <row r="512" spans="1:30" x14ac:dyDescent="0.2">
      <c r="A512" s="327">
        <v>252</v>
      </c>
      <c r="B512" s="335" t="s">
        <v>859</v>
      </c>
      <c r="C512" s="335" t="s">
        <v>293</v>
      </c>
      <c r="D512" s="335" t="s">
        <v>28</v>
      </c>
      <c r="E512" s="335" t="s">
        <v>859</v>
      </c>
      <c r="F512" s="362"/>
      <c r="G512" s="362" t="s">
        <v>859</v>
      </c>
      <c r="H512" s="328">
        <f>H510+F511</f>
        <v>96743.555999999997</v>
      </c>
      <c r="I512" s="377">
        <v>459.48500000000001</v>
      </c>
      <c r="J512" s="334">
        <v>69.5</v>
      </c>
      <c r="K512" s="334">
        <f>F511+F513</f>
        <v>699.68200000000002</v>
      </c>
      <c r="L512" s="334">
        <f>K512/2</f>
        <v>349.84100000000001</v>
      </c>
      <c r="M512" s="355">
        <v>165</v>
      </c>
      <c r="N512" s="355">
        <v>126</v>
      </c>
      <c r="O512" s="355">
        <v>291</v>
      </c>
      <c r="P512" s="355">
        <v>169</v>
      </c>
      <c r="Q512" s="355">
        <v>143</v>
      </c>
      <c r="R512" s="355">
        <v>312</v>
      </c>
      <c r="S512" s="355" t="s">
        <v>1696</v>
      </c>
      <c r="T512" s="355" t="s">
        <v>1697</v>
      </c>
      <c r="U512" s="366">
        <v>604668.04599999997</v>
      </c>
      <c r="V512" s="366">
        <v>2641567.4870000002</v>
      </c>
      <c r="W512" s="337"/>
      <c r="X512" s="341" t="s">
        <v>1698</v>
      </c>
      <c r="Y512" s="341" t="s">
        <v>1626</v>
      </c>
      <c r="Z512" s="338" t="s">
        <v>367</v>
      </c>
      <c r="AA512" s="350"/>
      <c r="AB512" s="350"/>
      <c r="AC512" s="350"/>
      <c r="AD512" s="351"/>
    </row>
    <row r="513" spans="1:31" x14ac:dyDescent="0.2">
      <c r="A513" s="321"/>
      <c r="B513" s="335"/>
      <c r="C513" s="335"/>
      <c r="D513" s="335"/>
      <c r="E513" s="335"/>
      <c r="F513" s="379">
        <v>349.68200000000002</v>
      </c>
      <c r="G513" s="362"/>
      <c r="H513" s="312"/>
      <c r="I513" s="377"/>
      <c r="J513" s="377"/>
      <c r="K513" s="334"/>
      <c r="L513" s="334"/>
      <c r="M513" s="355"/>
      <c r="N513" s="355"/>
      <c r="O513" s="355"/>
      <c r="P513" s="355"/>
      <c r="Q513" s="355"/>
      <c r="R513" s="355"/>
      <c r="S513" s="355"/>
      <c r="T513" s="355"/>
      <c r="U513" s="366"/>
      <c r="V513" s="366"/>
      <c r="W513" s="337" t="s">
        <v>1699</v>
      </c>
      <c r="X513" s="325"/>
      <c r="Y513" s="325"/>
      <c r="Z513" s="367"/>
      <c r="AA513" s="350"/>
      <c r="AB513" s="350"/>
      <c r="AC513" s="350"/>
      <c r="AD513" s="351"/>
    </row>
    <row r="514" spans="1:31" s="375" customFormat="1" ht="14.25" x14ac:dyDescent="0.2">
      <c r="A514" s="327">
        <v>253</v>
      </c>
      <c r="B514" s="343" t="s">
        <v>1700</v>
      </c>
      <c r="C514" s="343" t="s">
        <v>294</v>
      </c>
      <c r="D514" s="343" t="s">
        <v>45</v>
      </c>
      <c r="E514" s="343" t="s">
        <v>1701</v>
      </c>
      <c r="F514" s="370"/>
      <c r="G514" s="379">
        <f>SUM(F507:F513)</f>
        <v>1464.682</v>
      </c>
      <c r="H514" s="328">
        <f>H512+F513</f>
        <v>97093.237999999998</v>
      </c>
      <c r="I514" s="370">
        <v>464.21</v>
      </c>
      <c r="J514" s="343">
        <v>70.72</v>
      </c>
      <c r="K514" s="370">
        <v>758.68200000000002</v>
      </c>
      <c r="L514" s="370">
        <v>379.34100000000001</v>
      </c>
      <c r="M514" s="343">
        <v>223</v>
      </c>
      <c r="N514" s="343">
        <v>152</v>
      </c>
      <c r="O514" s="343">
        <v>375</v>
      </c>
      <c r="P514" s="343">
        <v>207</v>
      </c>
      <c r="Q514" s="343">
        <v>168</v>
      </c>
      <c r="R514" s="343">
        <v>375</v>
      </c>
      <c r="S514" s="343" t="s">
        <v>1702</v>
      </c>
      <c r="T514" s="343" t="s">
        <v>1703</v>
      </c>
      <c r="U514" s="371">
        <v>604957.95700000005</v>
      </c>
      <c r="V514" s="371">
        <v>2641371.9649999999</v>
      </c>
      <c r="W514" s="372"/>
      <c r="X514" s="341" t="s">
        <v>1698</v>
      </c>
      <c r="Y514" s="341" t="s">
        <v>1626</v>
      </c>
      <c r="Z514" s="324" t="s">
        <v>367</v>
      </c>
      <c r="AA514" s="380"/>
      <c r="AB514" s="380"/>
      <c r="AC514" s="380"/>
      <c r="AD514" s="381"/>
    </row>
    <row r="515" spans="1:31" s="375" customFormat="1" x14ac:dyDescent="0.2">
      <c r="A515" s="321"/>
      <c r="B515" s="343"/>
      <c r="C515" s="343"/>
      <c r="D515" s="343"/>
      <c r="E515" s="343"/>
      <c r="F515" s="370">
        <v>409</v>
      </c>
      <c r="G515" s="382"/>
      <c r="H515" s="312"/>
      <c r="I515" s="370"/>
      <c r="J515" s="343"/>
      <c r="K515" s="370"/>
      <c r="L515" s="370"/>
      <c r="M515" s="343"/>
      <c r="N515" s="343"/>
      <c r="O515" s="343"/>
      <c r="P515" s="343"/>
      <c r="Q515" s="343"/>
      <c r="R515" s="343"/>
      <c r="S515" s="343"/>
      <c r="T515" s="343"/>
      <c r="U515" s="371"/>
      <c r="V515" s="371"/>
      <c r="W515" s="372" t="s">
        <v>1704</v>
      </c>
      <c r="X515" s="325"/>
      <c r="Y515" s="325"/>
      <c r="Z515" s="383"/>
      <c r="AA515" s="380"/>
      <c r="AB515" s="380"/>
      <c r="AC515" s="380"/>
      <c r="AD515" s="381"/>
    </row>
    <row r="516" spans="1:31" s="375" customFormat="1" ht="14.25" x14ac:dyDescent="0.2">
      <c r="A516" s="327">
        <v>254</v>
      </c>
      <c r="B516" s="343" t="s">
        <v>859</v>
      </c>
      <c r="C516" s="343" t="s">
        <v>295</v>
      </c>
      <c r="D516" s="343" t="s">
        <v>40</v>
      </c>
      <c r="E516" s="343" t="s">
        <v>859</v>
      </c>
      <c r="F516" s="370"/>
      <c r="G516" s="382"/>
      <c r="H516" s="328">
        <f>H514+F515</f>
        <v>97502.237999999998</v>
      </c>
      <c r="I516" s="370">
        <v>472.85399999999998</v>
      </c>
      <c r="J516" s="343">
        <v>74</v>
      </c>
      <c r="K516" s="370">
        <v>800.06299999999999</v>
      </c>
      <c r="L516" s="370">
        <v>400.03149999999999</v>
      </c>
      <c r="M516" s="343">
        <v>258</v>
      </c>
      <c r="N516" s="343">
        <v>197</v>
      </c>
      <c r="O516" s="343">
        <v>455</v>
      </c>
      <c r="P516" s="343">
        <v>242</v>
      </c>
      <c r="Q516" s="343">
        <v>197</v>
      </c>
      <c r="R516" s="343">
        <v>439</v>
      </c>
      <c r="S516" s="343" t="s">
        <v>1705</v>
      </c>
      <c r="T516" s="343" t="s">
        <v>1706</v>
      </c>
      <c r="U516" s="371">
        <v>605361.56299999997</v>
      </c>
      <c r="V516" s="371">
        <v>2641305.7590000001</v>
      </c>
      <c r="W516" s="372"/>
      <c r="X516" s="341" t="s">
        <v>1698</v>
      </c>
      <c r="Y516" s="341" t="s">
        <v>1626</v>
      </c>
      <c r="Z516" s="324" t="s">
        <v>367</v>
      </c>
      <c r="AA516" s="380"/>
      <c r="AB516" s="380"/>
      <c r="AC516" s="380"/>
      <c r="AD516" s="381"/>
    </row>
    <row r="517" spans="1:31" s="375" customFormat="1" x14ac:dyDescent="0.2">
      <c r="A517" s="321"/>
      <c r="B517" s="343"/>
      <c r="C517" s="343"/>
      <c r="D517" s="343"/>
      <c r="E517" s="343"/>
      <c r="F517" s="370">
        <v>391.06299999999999</v>
      </c>
      <c r="G517" s="382"/>
      <c r="H517" s="312"/>
      <c r="I517" s="370"/>
      <c r="J517" s="343"/>
      <c r="K517" s="370"/>
      <c r="L517" s="370"/>
      <c r="M517" s="343"/>
      <c r="N517" s="343"/>
      <c r="O517" s="343"/>
      <c r="P517" s="343"/>
      <c r="Q517" s="343"/>
      <c r="R517" s="343"/>
      <c r="S517" s="343"/>
      <c r="T517" s="343"/>
      <c r="U517" s="371"/>
      <c r="V517" s="371"/>
      <c r="W517" s="372" t="s">
        <v>948</v>
      </c>
      <c r="X517" s="325"/>
      <c r="Y517" s="325"/>
      <c r="Z517" s="383"/>
      <c r="AA517" s="380"/>
      <c r="AB517" s="380"/>
      <c r="AC517" s="380"/>
      <c r="AD517" s="381"/>
    </row>
    <row r="518" spans="1:31" s="375" customFormat="1" ht="14.25" x14ac:dyDescent="0.2">
      <c r="A518" s="327">
        <v>255</v>
      </c>
      <c r="B518" s="343" t="s">
        <v>1707</v>
      </c>
      <c r="C518" s="343" t="s">
        <v>296</v>
      </c>
      <c r="D518" s="343" t="s">
        <v>118</v>
      </c>
      <c r="E518" s="343" t="s">
        <v>1708</v>
      </c>
      <c r="F518" s="384"/>
      <c r="G518" s="382">
        <f>SUM(F515:F517)</f>
        <v>800.06299999999999</v>
      </c>
      <c r="H518" s="328">
        <f>H516+F517</f>
        <v>97893.300999999992</v>
      </c>
      <c r="I518" s="370">
        <v>471.11700000000002</v>
      </c>
      <c r="J518" s="334">
        <v>73.72</v>
      </c>
      <c r="K518" s="370">
        <v>777.13799999999992</v>
      </c>
      <c r="L518" s="370">
        <v>388.56899999999996</v>
      </c>
      <c r="M518" s="385">
        <v>195</v>
      </c>
      <c r="N518" s="385">
        <v>251</v>
      </c>
      <c r="O518" s="385">
        <v>446</v>
      </c>
      <c r="P518" s="385">
        <v>195</v>
      </c>
      <c r="Q518" s="385">
        <v>233</v>
      </c>
      <c r="R518" s="385">
        <v>428</v>
      </c>
      <c r="S518" s="343" t="s">
        <v>1709</v>
      </c>
      <c r="T518" s="343" t="s">
        <v>1710</v>
      </c>
      <c r="U518" s="371">
        <v>605747.46799999999</v>
      </c>
      <c r="V518" s="371">
        <v>2641242.4559999998</v>
      </c>
      <c r="W518" s="372"/>
      <c r="X518" s="341" t="s">
        <v>1698</v>
      </c>
      <c r="Y518" s="341" t="s">
        <v>1626</v>
      </c>
      <c r="Z518" s="324" t="s">
        <v>367</v>
      </c>
      <c r="AA518" s="380"/>
      <c r="AB518" s="380"/>
      <c r="AC518" s="380"/>
      <c r="AD518" s="381"/>
    </row>
    <row r="519" spans="1:31" s="375" customFormat="1" ht="38.25" x14ac:dyDescent="0.2">
      <c r="A519" s="321"/>
      <c r="B519" s="343"/>
      <c r="C519" s="343"/>
      <c r="D519" s="343"/>
      <c r="E519" s="343"/>
      <c r="F519" s="370">
        <v>386.07499999999999</v>
      </c>
      <c r="G519" s="382"/>
      <c r="H519" s="312"/>
      <c r="I519" s="370"/>
      <c r="J519" s="343"/>
      <c r="K519" s="370"/>
      <c r="L519" s="370"/>
      <c r="M519" s="385"/>
      <c r="N519" s="385"/>
      <c r="O519" s="385"/>
      <c r="P519" s="385"/>
      <c r="Q519" s="385"/>
      <c r="R519" s="385"/>
      <c r="S519" s="343"/>
      <c r="T519" s="343"/>
      <c r="U519" s="371"/>
      <c r="V519" s="371"/>
      <c r="W519" s="372" t="s">
        <v>1711</v>
      </c>
      <c r="X519" s="325"/>
      <c r="Y519" s="325"/>
      <c r="Z519" s="383"/>
      <c r="AA519" s="380"/>
      <c r="AB519" s="380"/>
      <c r="AC519" s="380"/>
      <c r="AD519" s="381"/>
    </row>
    <row r="520" spans="1:31" s="375" customFormat="1" ht="14.25" x14ac:dyDescent="0.2">
      <c r="A520" s="327">
        <v>256</v>
      </c>
      <c r="B520" s="343" t="s">
        <v>1712</v>
      </c>
      <c r="C520" s="343" t="s">
        <v>297</v>
      </c>
      <c r="D520" s="343" t="s">
        <v>826</v>
      </c>
      <c r="E520" s="343" t="s">
        <v>1713</v>
      </c>
      <c r="F520" s="370"/>
      <c r="G520" s="382">
        <f>SUM(F519)</f>
        <v>386.07499999999999</v>
      </c>
      <c r="H520" s="328">
        <f>H518+F519</f>
        <v>98279.375999999989</v>
      </c>
      <c r="I520" s="370">
        <v>465.35899999999998</v>
      </c>
      <c r="J520" s="343">
        <v>70.72</v>
      </c>
      <c r="K520" s="370">
        <v>758.96199999999999</v>
      </c>
      <c r="L520" s="370">
        <v>379.48099999999999</v>
      </c>
      <c r="M520" s="385">
        <v>136</v>
      </c>
      <c r="N520" s="385">
        <v>203</v>
      </c>
      <c r="O520" s="385">
        <v>339</v>
      </c>
      <c r="P520" s="385">
        <v>155</v>
      </c>
      <c r="Q520" s="385">
        <v>198</v>
      </c>
      <c r="R520" s="385">
        <v>353</v>
      </c>
      <c r="S520" s="343" t="s">
        <v>1714</v>
      </c>
      <c r="T520" s="343" t="s">
        <v>1715</v>
      </c>
      <c r="U520" s="371">
        <v>606109</v>
      </c>
      <c r="V520" s="371">
        <v>2641107</v>
      </c>
      <c r="W520" s="372"/>
      <c r="X520" s="341" t="s">
        <v>1716</v>
      </c>
      <c r="Y520" s="341" t="s">
        <v>1626</v>
      </c>
      <c r="Z520" s="324" t="s">
        <v>367</v>
      </c>
      <c r="AA520" s="380"/>
      <c r="AB520" s="380"/>
      <c r="AC520" s="380"/>
      <c r="AD520" s="381"/>
    </row>
    <row r="521" spans="1:31" s="375" customFormat="1" ht="25.5" x14ac:dyDescent="0.2">
      <c r="A521" s="321"/>
      <c r="B521" s="343"/>
      <c r="C521" s="343"/>
      <c r="D521" s="343"/>
      <c r="E521" s="343"/>
      <c r="F521" s="370">
        <v>372.887</v>
      </c>
      <c r="G521" s="382"/>
      <c r="H521" s="312"/>
      <c r="I521" s="370"/>
      <c r="J521" s="343"/>
      <c r="K521" s="370"/>
      <c r="L521" s="370"/>
      <c r="M521" s="385"/>
      <c r="N521" s="385"/>
      <c r="O521" s="385"/>
      <c r="P521" s="385"/>
      <c r="Q521" s="385"/>
      <c r="R521" s="385"/>
      <c r="S521" s="343"/>
      <c r="T521" s="343"/>
      <c r="U521" s="371"/>
      <c r="V521" s="371"/>
      <c r="W521" s="372" t="s">
        <v>1717</v>
      </c>
      <c r="X521" s="325"/>
      <c r="Y521" s="325"/>
      <c r="Z521" s="383"/>
      <c r="AA521" s="380"/>
      <c r="AB521" s="380"/>
      <c r="AC521" s="380"/>
      <c r="AD521" s="381"/>
    </row>
    <row r="522" spans="1:31" s="375" customFormat="1" ht="14.25" x14ac:dyDescent="0.2">
      <c r="A522" s="327">
        <v>257</v>
      </c>
      <c r="B522" s="343" t="s">
        <v>1718</v>
      </c>
      <c r="C522" s="343" t="s">
        <v>399</v>
      </c>
      <c r="D522" s="343" t="s">
        <v>827</v>
      </c>
      <c r="E522" s="343" t="s">
        <v>1719</v>
      </c>
      <c r="F522" s="370"/>
      <c r="G522" s="382">
        <f>SUM(F521)</f>
        <v>372.887</v>
      </c>
      <c r="H522" s="328">
        <f>H520+F521</f>
        <v>98652.262999999992</v>
      </c>
      <c r="I522" s="370">
        <v>462.53699999999998</v>
      </c>
      <c r="J522" s="343">
        <v>70.72</v>
      </c>
      <c r="K522" s="370">
        <v>705.88699999999994</v>
      </c>
      <c r="L522" s="370">
        <v>352.94349999999997</v>
      </c>
      <c r="M522" s="385">
        <v>170</v>
      </c>
      <c r="N522" s="385">
        <v>90</v>
      </c>
      <c r="O522" s="385">
        <v>260</v>
      </c>
      <c r="P522" s="385">
        <v>176</v>
      </c>
      <c r="Q522" s="385">
        <v>119</v>
      </c>
      <c r="R522" s="385">
        <v>295</v>
      </c>
      <c r="S522" s="343" t="s">
        <v>1720</v>
      </c>
      <c r="T522" s="343" t="s">
        <v>1721</v>
      </c>
      <c r="U522" s="371">
        <v>606446.73</v>
      </c>
      <c r="V522" s="371">
        <v>2640948.9389999998</v>
      </c>
      <c r="W522" s="372"/>
      <c r="X522" s="341" t="s">
        <v>1716</v>
      </c>
      <c r="Y522" s="341" t="s">
        <v>1626</v>
      </c>
      <c r="Z522" s="324" t="s">
        <v>367</v>
      </c>
      <c r="AA522" s="380"/>
      <c r="AB522" s="380"/>
      <c r="AC522" s="380"/>
      <c r="AD522" s="381"/>
    </row>
    <row r="523" spans="1:31" s="375" customFormat="1" x14ac:dyDescent="0.2">
      <c r="A523" s="321"/>
      <c r="B523" s="343"/>
      <c r="C523" s="343"/>
      <c r="D523" s="343"/>
      <c r="E523" s="343"/>
      <c r="F523" s="370">
        <v>333</v>
      </c>
      <c r="G523" s="382"/>
      <c r="H523" s="312"/>
      <c r="I523" s="370"/>
      <c r="J523" s="343"/>
      <c r="K523" s="370"/>
      <c r="L523" s="370"/>
      <c r="M523" s="385"/>
      <c r="N523" s="385"/>
      <c r="O523" s="385"/>
      <c r="P523" s="385"/>
      <c r="Q523" s="385"/>
      <c r="R523" s="385"/>
      <c r="S523" s="343"/>
      <c r="T523" s="343"/>
      <c r="U523" s="371"/>
      <c r="V523" s="371"/>
      <c r="W523" s="372" t="s">
        <v>948</v>
      </c>
      <c r="X523" s="325"/>
      <c r="Y523" s="325"/>
      <c r="Z523" s="383"/>
      <c r="AA523" s="380"/>
      <c r="AB523" s="380"/>
      <c r="AC523" s="380"/>
      <c r="AD523" s="381"/>
    </row>
    <row r="524" spans="1:31" s="375" customFormat="1" ht="14.25" x14ac:dyDescent="0.2">
      <c r="A524" s="327">
        <v>258</v>
      </c>
      <c r="B524" s="343" t="s">
        <v>859</v>
      </c>
      <c r="C524" s="343" t="s">
        <v>400</v>
      </c>
      <c r="D524" s="343" t="s">
        <v>38</v>
      </c>
      <c r="E524" s="343" t="s">
        <v>859</v>
      </c>
      <c r="F524" s="370"/>
      <c r="G524" s="382"/>
      <c r="H524" s="328">
        <f>H522+F523</f>
        <v>98985.262999999992</v>
      </c>
      <c r="I524" s="370">
        <v>469.40100000000001</v>
      </c>
      <c r="J524" s="343">
        <v>75.5</v>
      </c>
      <c r="K524" s="370">
        <v>690.14200000000005</v>
      </c>
      <c r="L524" s="370">
        <v>345.07100000000003</v>
      </c>
      <c r="M524" s="385">
        <v>243</v>
      </c>
      <c r="N524" s="385">
        <v>100</v>
      </c>
      <c r="O524" s="385">
        <v>343</v>
      </c>
      <c r="P524" s="385">
        <v>215</v>
      </c>
      <c r="Q524" s="385">
        <v>129</v>
      </c>
      <c r="R524" s="385">
        <v>344</v>
      </c>
      <c r="S524" s="343" t="s">
        <v>1722</v>
      </c>
      <c r="T524" s="343" t="s">
        <v>1723</v>
      </c>
      <c r="U524" s="371">
        <v>606704.12</v>
      </c>
      <c r="V524" s="371">
        <v>2640737.6579999998</v>
      </c>
      <c r="W524" s="372"/>
      <c r="X524" s="341" t="s">
        <v>1716</v>
      </c>
      <c r="Y524" s="341" t="s">
        <v>1626</v>
      </c>
      <c r="Z524" s="324" t="s">
        <v>367</v>
      </c>
      <c r="AA524" s="380"/>
      <c r="AB524" s="380"/>
      <c r="AC524" s="380"/>
      <c r="AD524" s="381"/>
    </row>
    <row r="525" spans="1:31" s="375" customFormat="1" x14ac:dyDescent="0.2">
      <c r="A525" s="321"/>
      <c r="B525" s="343"/>
      <c r="C525" s="343"/>
      <c r="D525" s="343"/>
      <c r="E525" s="343"/>
      <c r="F525" s="370">
        <v>357.142</v>
      </c>
      <c r="G525" s="382"/>
      <c r="H525" s="312"/>
      <c r="I525" s="370"/>
      <c r="J525" s="343"/>
      <c r="K525" s="370"/>
      <c r="L525" s="370"/>
      <c r="M525" s="385"/>
      <c r="N525" s="385"/>
      <c r="O525" s="385"/>
      <c r="P525" s="385"/>
      <c r="Q525" s="385"/>
      <c r="R525" s="385"/>
      <c r="S525" s="343"/>
      <c r="T525" s="343"/>
      <c r="U525" s="371"/>
      <c r="V525" s="371"/>
      <c r="W525" s="372" t="s">
        <v>1724</v>
      </c>
      <c r="X525" s="325"/>
      <c r="Y525" s="325"/>
      <c r="Z525" s="383"/>
      <c r="AA525" s="380"/>
      <c r="AB525" s="380"/>
      <c r="AC525" s="380"/>
      <c r="AD525" s="381"/>
    </row>
    <row r="526" spans="1:31" s="375" customFormat="1" ht="14.25" x14ac:dyDescent="0.2">
      <c r="A526" s="327">
        <v>259</v>
      </c>
      <c r="B526" s="343" t="s">
        <v>1725</v>
      </c>
      <c r="C526" s="343" t="s">
        <v>298</v>
      </c>
      <c r="D526" s="343" t="s">
        <v>151</v>
      </c>
      <c r="E526" s="343" t="s">
        <v>1726</v>
      </c>
      <c r="F526" s="370"/>
      <c r="G526" s="382">
        <f>SUM(F523:F525)</f>
        <v>690.14200000000005</v>
      </c>
      <c r="H526" s="328">
        <f>H524+F525</f>
        <v>99342.404999999999</v>
      </c>
      <c r="I526" s="370">
        <v>467.149</v>
      </c>
      <c r="J526" s="343">
        <v>88.72</v>
      </c>
      <c r="K526" s="370">
        <v>591.31299999999999</v>
      </c>
      <c r="L526" s="370">
        <v>295.65649999999999</v>
      </c>
      <c r="M526" s="385">
        <v>259</v>
      </c>
      <c r="N526" s="385">
        <v>199</v>
      </c>
      <c r="O526" s="385">
        <v>458</v>
      </c>
      <c r="P526" s="385">
        <v>230</v>
      </c>
      <c r="Q526" s="385">
        <v>155</v>
      </c>
      <c r="R526" s="385">
        <v>385</v>
      </c>
      <c r="S526" s="343" t="s">
        <v>1727</v>
      </c>
      <c r="T526" s="343" t="s">
        <v>1728</v>
      </c>
      <c r="U526" s="371">
        <v>606980.17000000004</v>
      </c>
      <c r="V526" s="371">
        <v>2640511.06</v>
      </c>
      <c r="W526" s="372"/>
      <c r="X526" s="341" t="s">
        <v>1729</v>
      </c>
      <c r="Y526" s="341" t="s">
        <v>1626</v>
      </c>
      <c r="Z526" s="324" t="s">
        <v>367</v>
      </c>
      <c r="AA526" s="380"/>
      <c r="AB526" s="380"/>
      <c r="AC526" s="380"/>
      <c r="AD526" s="381"/>
    </row>
    <row r="527" spans="1:31" s="375" customFormat="1" x14ac:dyDescent="0.2">
      <c r="A527" s="321"/>
      <c r="B527" s="343"/>
      <c r="C527" s="343"/>
      <c r="D527" s="343"/>
      <c r="E527" s="343"/>
      <c r="F527" s="370">
        <v>234.17099999999999</v>
      </c>
      <c r="G527" s="382"/>
      <c r="H527" s="312"/>
      <c r="I527" s="370"/>
      <c r="J527" s="343"/>
      <c r="K527" s="370"/>
      <c r="L527" s="370"/>
      <c r="M527" s="343"/>
      <c r="N527" s="343"/>
      <c r="O527" s="343"/>
      <c r="P527" s="343"/>
      <c r="Q527" s="343"/>
      <c r="R527" s="343"/>
      <c r="S527" s="343"/>
      <c r="T527" s="343"/>
      <c r="U527" s="371"/>
      <c r="V527" s="371"/>
      <c r="W527" s="372" t="s">
        <v>1730</v>
      </c>
      <c r="X527" s="325"/>
      <c r="Y527" s="325"/>
      <c r="Z527" s="383"/>
      <c r="AA527" s="380"/>
      <c r="AB527" s="380"/>
      <c r="AC527" s="380"/>
      <c r="AD527" s="381"/>
    </row>
    <row r="528" spans="1:31" s="375" customFormat="1" ht="22.5" x14ac:dyDescent="0.2">
      <c r="A528" s="327">
        <v>260</v>
      </c>
      <c r="B528" s="343" t="s">
        <v>1731</v>
      </c>
      <c r="C528" s="308" t="s">
        <v>299</v>
      </c>
      <c r="D528" s="308" t="s">
        <v>177</v>
      </c>
      <c r="E528" s="308" t="s">
        <v>1732</v>
      </c>
      <c r="F528" s="308"/>
      <c r="G528" s="308">
        <v>234.17</v>
      </c>
      <c r="H528" s="328">
        <f>H526+F527</f>
        <v>99576.576000000001</v>
      </c>
      <c r="I528" s="313">
        <v>467.78500000000003</v>
      </c>
      <c r="J528" s="308">
        <v>79.72</v>
      </c>
      <c r="K528" s="313">
        <v>586.17100000000005</v>
      </c>
      <c r="L528" s="313">
        <v>293.08550000000002</v>
      </c>
      <c r="M528" s="308">
        <v>36</v>
      </c>
      <c r="N528" s="308">
        <v>193</v>
      </c>
      <c r="O528" s="308">
        <v>229</v>
      </c>
      <c r="P528" s="308">
        <v>80</v>
      </c>
      <c r="Q528" s="308">
        <v>187</v>
      </c>
      <c r="R528" s="308">
        <v>267</v>
      </c>
      <c r="S528" s="308" t="s">
        <v>1733</v>
      </c>
      <c r="T528" s="308" t="s">
        <v>1734</v>
      </c>
      <c r="U528" s="314">
        <v>607070.10199999996</v>
      </c>
      <c r="V528" s="314">
        <v>2640294.8459999999</v>
      </c>
      <c r="W528" s="329" t="s">
        <v>1735</v>
      </c>
      <c r="X528" s="341" t="s">
        <v>1729</v>
      </c>
      <c r="Y528" s="341" t="s">
        <v>1626</v>
      </c>
      <c r="Z528" s="324" t="s">
        <v>367</v>
      </c>
      <c r="AA528" s="344">
        <v>1</v>
      </c>
      <c r="AB528" s="344">
        <v>1</v>
      </c>
      <c r="AC528" s="344">
        <v>1</v>
      </c>
      <c r="AD528" s="345">
        <v>1</v>
      </c>
      <c r="AE528" s="306" t="s">
        <v>1736</v>
      </c>
    </row>
    <row r="529" spans="1:31" s="375" customFormat="1" x14ac:dyDescent="0.2">
      <c r="A529" s="321"/>
      <c r="B529" s="343"/>
      <c r="C529" s="308"/>
      <c r="D529" s="308"/>
      <c r="E529" s="308"/>
      <c r="F529" s="308">
        <v>352</v>
      </c>
      <c r="G529" s="308"/>
      <c r="H529" s="312"/>
      <c r="I529" s="308"/>
      <c r="J529" s="308"/>
      <c r="K529" s="386"/>
      <c r="L529" s="313"/>
      <c r="M529" s="308"/>
      <c r="N529" s="308"/>
      <c r="O529" s="308"/>
      <c r="P529" s="308"/>
      <c r="Q529" s="308"/>
      <c r="R529" s="308"/>
      <c r="S529" s="308"/>
      <c r="T529" s="308"/>
      <c r="U529" s="314"/>
      <c r="V529" s="314"/>
      <c r="W529" s="309" t="s">
        <v>1737</v>
      </c>
      <c r="X529" s="325"/>
      <c r="Y529" s="325"/>
      <c r="Z529" s="383"/>
      <c r="AA529" s="380"/>
      <c r="AB529" s="380"/>
      <c r="AC529" s="380"/>
      <c r="AD529" s="381"/>
    </row>
    <row r="530" spans="1:31" s="375" customFormat="1" x14ac:dyDescent="0.2">
      <c r="A530" s="327">
        <v>261</v>
      </c>
      <c r="B530" s="343" t="s">
        <v>859</v>
      </c>
      <c r="C530" s="308" t="s">
        <v>300</v>
      </c>
      <c r="D530" s="308" t="s">
        <v>21</v>
      </c>
      <c r="E530" s="308" t="s">
        <v>859</v>
      </c>
      <c r="F530" s="308"/>
      <c r="G530" s="308" t="s">
        <v>859</v>
      </c>
      <c r="H530" s="328">
        <f>H528+F529</f>
        <v>99928.576000000001</v>
      </c>
      <c r="I530" s="308">
        <v>469.09300000000002</v>
      </c>
      <c r="J530" s="308">
        <v>78.5</v>
      </c>
      <c r="K530" s="386">
        <v>705</v>
      </c>
      <c r="L530" s="313">
        <v>352.5</v>
      </c>
      <c r="M530" s="308">
        <v>159</v>
      </c>
      <c r="N530" s="308">
        <v>118</v>
      </c>
      <c r="O530" s="308">
        <v>277</v>
      </c>
      <c r="P530" s="308">
        <v>166</v>
      </c>
      <c r="Q530" s="308">
        <v>140</v>
      </c>
      <c r="R530" s="308">
        <v>306</v>
      </c>
      <c r="S530" s="308" t="s">
        <v>1738</v>
      </c>
      <c r="T530" s="308" t="s">
        <v>1739</v>
      </c>
      <c r="U530" s="314">
        <v>607403.304</v>
      </c>
      <c r="V530" s="314">
        <v>2640181.355</v>
      </c>
      <c r="W530" s="309"/>
      <c r="X530" s="341" t="s">
        <v>1729</v>
      </c>
      <c r="Y530" s="341" t="s">
        <v>1626</v>
      </c>
      <c r="Z530" s="324" t="s">
        <v>367</v>
      </c>
      <c r="AA530" s="380"/>
      <c r="AB530" s="380"/>
      <c r="AC530" s="380"/>
      <c r="AD530" s="381"/>
    </row>
    <row r="531" spans="1:31" s="375" customFormat="1" x14ac:dyDescent="0.2">
      <c r="A531" s="321"/>
      <c r="B531" s="341"/>
      <c r="C531" s="310"/>
      <c r="D531" s="310"/>
      <c r="E531" s="310"/>
      <c r="F531" s="310">
        <v>353</v>
      </c>
      <c r="G531" s="310"/>
      <c r="H531" s="312"/>
      <c r="I531" s="310"/>
      <c r="J531" s="310"/>
      <c r="K531" s="387"/>
      <c r="L531" s="322"/>
      <c r="M531" s="310"/>
      <c r="N531" s="310"/>
      <c r="O531" s="310"/>
      <c r="P531" s="310"/>
      <c r="Q531" s="310"/>
      <c r="R531" s="310"/>
      <c r="S531" s="310"/>
      <c r="T531" s="310"/>
      <c r="U531" s="388"/>
      <c r="V531" s="388"/>
      <c r="W531" s="389"/>
      <c r="X531" s="325"/>
      <c r="Y531" s="325"/>
      <c r="Z531" s="383"/>
      <c r="AA531" s="380"/>
      <c r="AB531" s="380"/>
      <c r="AC531" s="380"/>
      <c r="AD531" s="381"/>
    </row>
    <row r="532" spans="1:31" s="375" customFormat="1" x14ac:dyDescent="0.2">
      <c r="A532" s="327">
        <v>262</v>
      </c>
      <c r="B532" s="343" t="s">
        <v>859</v>
      </c>
      <c r="C532" s="308" t="s">
        <v>301</v>
      </c>
      <c r="D532" s="308" t="s">
        <v>38</v>
      </c>
      <c r="E532" s="308" t="s">
        <v>859</v>
      </c>
      <c r="F532" s="308"/>
      <c r="G532" s="308" t="s">
        <v>859</v>
      </c>
      <c r="H532" s="328">
        <f>H530+F531</f>
        <v>100281.576</v>
      </c>
      <c r="I532" s="308">
        <v>481.40100000000001</v>
      </c>
      <c r="J532" s="308">
        <v>75.5</v>
      </c>
      <c r="K532" s="386">
        <v>705.60599999999999</v>
      </c>
      <c r="L532" s="313">
        <v>352.803</v>
      </c>
      <c r="M532" s="308">
        <v>236</v>
      </c>
      <c r="N532" s="308">
        <v>106</v>
      </c>
      <c r="O532" s="308">
        <v>342</v>
      </c>
      <c r="P532" s="308">
        <v>214</v>
      </c>
      <c r="Q532" s="308">
        <v>132</v>
      </c>
      <c r="R532" s="308">
        <v>346</v>
      </c>
      <c r="S532" s="308" t="s">
        <v>1740</v>
      </c>
      <c r="T532" s="308" t="s">
        <v>1741</v>
      </c>
      <c r="U532" s="314">
        <v>607737.45299999998</v>
      </c>
      <c r="V532" s="314">
        <v>2640067.5410000002</v>
      </c>
      <c r="W532" s="390"/>
      <c r="X532" s="341" t="s">
        <v>1729</v>
      </c>
      <c r="Y532" s="341" t="s">
        <v>1626</v>
      </c>
      <c r="Z532" s="324" t="s">
        <v>367</v>
      </c>
      <c r="AA532" s="380"/>
      <c r="AB532" s="380"/>
      <c r="AC532" s="380"/>
      <c r="AD532" s="381"/>
    </row>
    <row r="533" spans="1:31" s="375" customFormat="1" x14ac:dyDescent="0.2">
      <c r="A533" s="321"/>
      <c r="B533" s="341"/>
      <c r="C533" s="310"/>
      <c r="D533" s="310"/>
      <c r="E533" s="310"/>
      <c r="F533" s="310">
        <v>352.60599999999999</v>
      </c>
      <c r="G533" s="310"/>
      <c r="H533" s="312"/>
      <c r="I533" s="310"/>
      <c r="J533" s="310"/>
      <c r="K533" s="387"/>
      <c r="L533" s="322"/>
      <c r="M533" s="310"/>
      <c r="N533" s="310"/>
      <c r="O533" s="310"/>
      <c r="P533" s="310"/>
      <c r="Q533" s="310"/>
      <c r="R533" s="310"/>
      <c r="S533" s="310"/>
      <c r="T533" s="310"/>
      <c r="U533" s="388"/>
      <c r="V533" s="388"/>
      <c r="W533" s="309" t="s">
        <v>1742</v>
      </c>
      <c r="X533" s="325"/>
      <c r="Y533" s="325"/>
      <c r="Z533" s="383"/>
      <c r="AA533" s="380"/>
      <c r="AB533" s="380"/>
      <c r="AC533" s="380"/>
      <c r="AD533" s="381"/>
    </row>
    <row r="534" spans="1:31" s="375" customFormat="1" x14ac:dyDescent="0.2">
      <c r="A534" s="327">
        <v>263</v>
      </c>
      <c r="B534" s="343" t="s">
        <v>1743</v>
      </c>
      <c r="C534" s="308" t="s">
        <v>302</v>
      </c>
      <c r="D534" s="308" t="s">
        <v>159</v>
      </c>
      <c r="E534" s="308" t="s">
        <v>1744</v>
      </c>
      <c r="F534" s="308"/>
      <c r="G534" s="308">
        <v>1057.6100000000001</v>
      </c>
      <c r="H534" s="328">
        <f>H532+F533</f>
        <v>100634.182</v>
      </c>
      <c r="I534" s="308">
        <v>486.48700000000002</v>
      </c>
      <c r="J534" s="308">
        <v>79.72</v>
      </c>
      <c r="K534" s="386">
        <v>620.60599999999999</v>
      </c>
      <c r="L534" s="313">
        <v>310.303</v>
      </c>
      <c r="M534" s="308">
        <v>247</v>
      </c>
      <c r="N534" s="308">
        <v>117</v>
      </c>
      <c r="O534" s="308">
        <v>364</v>
      </c>
      <c r="P534" s="308">
        <v>221</v>
      </c>
      <c r="Q534" s="308">
        <v>126</v>
      </c>
      <c r="R534" s="308">
        <v>347</v>
      </c>
      <c r="S534" s="308" t="s">
        <v>1745</v>
      </c>
      <c r="T534" s="308" t="s">
        <v>1746</v>
      </c>
      <c r="U534" s="314">
        <v>608071.22900000005</v>
      </c>
      <c r="V534" s="314">
        <v>2639953.855</v>
      </c>
      <c r="W534" s="389"/>
      <c r="X534" s="341" t="s">
        <v>1747</v>
      </c>
      <c r="Y534" s="341" t="s">
        <v>1626</v>
      </c>
      <c r="Z534" s="324" t="s">
        <v>367</v>
      </c>
      <c r="AA534" s="380"/>
      <c r="AB534" s="380"/>
      <c r="AC534" s="380"/>
      <c r="AD534" s="381"/>
      <c r="AE534" s="375" t="s">
        <v>899</v>
      </c>
    </row>
    <row r="535" spans="1:31" s="375" customFormat="1" x14ac:dyDescent="0.2">
      <c r="A535" s="321"/>
      <c r="B535" s="343"/>
      <c r="C535" s="308"/>
      <c r="D535" s="308"/>
      <c r="E535" s="308"/>
      <c r="F535" s="308">
        <v>268</v>
      </c>
      <c r="G535" s="308"/>
      <c r="H535" s="312"/>
      <c r="I535" s="308"/>
      <c r="J535" s="308"/>
      <c r="K535" s="386"/>
      <c r="L535" s="313"/>
      <c r="M535" s="308"/>
      <c r="N535" s="308"/>
      <c r="O535" s="308"/>
      <c r="P535" s="308"/>
      <c r="Q535" s="308"/>
      <c r="R535" s="308"/>
      <c r="S535" s="308"/>
      <c r="T535" s="308"/>
      <c r="U535" s="314"/>
      <c r="V535" s="314"/>
      <c r="W535" s="309" t="s">
        <v>1748</v>
      </c>
      <c r="X535" s="325"/>
      <c r="Y535" s="325"/>
      <c r="Z535" s="383"/>
      <c r="AA535" s="380"/>
      <c r="AB535" s="380"/>
      <c r="AC535" s="380"/>
      <c r="AD535" s="381"/>
    </row>
    <row r="536" spans="1:31" s="375" customFormat="1" x14ac:dyDescent="0.2">
      <c r="A536" s="327">
        <v>264</v>
      </c>
      <c r="B536" s="343" t="s">
        <v>859</v>
      </c>
      <c r="C536" s="308" t="s">
        <v>303</v>
      </c>
      <c r="D536" s="308" t="s">
        <v>304</v>
      </c>
      <c r="E536" s="308" t="s">
        <v>859</v>
      </c>
      <c r="F536" s="308"/>
      <c r="G536" s="308">
        <v>268</v>
      </c>
      <c r="H536" s="328">
        <f>H534+F535</f>
        <v>100902.182</v>
      </c>
      <c r="I536" s="308">
        <v>479.29</v>
      </c>
      <c r="J536" s="308">
        <v>88.72</v>
      </c>
      <c r="K536" s="386">
        <v>574</v>
      </c>
      <c r="L536" s="313">
        <v>287</v>
      </c>
      <c r="M536" s="308">
        <v>151</v>
      </c>
      <c r="N536" s="308">
        <v>340</v>
      </c>
      <c r="O536" s="308">
        <v>491</v>
      </c>
      <c r="P536" s="308">
        <v>143</v>
      </c>
      <c r="Q536" s="308">
        <v>261</v>
      </c>
      <c r="R536" s="308">
        <v>404</v>
      </c>
      <c r="S536" s="308" t="s">
        <v>1749</v>
      </c>
      <c r="T536" s="308" t="s">
        <v>1750</v>
      </c>
      <c r="U536" s="314">
        <v>608336.17000000004</v>
      </c>
      <c r="V536" s="314">
        <v>2639913.4789999998</v>
      </c>
      <c r="W536" s="309"/>
      <c r="X536" s="341" t="s">
        <v>1747</v>
      </c>
      <c r="Y536" s="341" t="s">
        <v>1626</v>
      </c>
      <c r="Z536" s="324" t="s">
        <v>367</v>
      </c>
      <c r="AA536" s="380"/>
      <c r="AB536" s="380"/>
      <c r="AC536" s="380"/>
      <c r="AD536" s="381"/>
      <c r="AE536" s="375" t="s">
        <v>899</v>
      </c>
    </row>
    <row r="537" spans="1:31" s="375" customFormat="1" ht="25.5" x14ac:dyDescent="0.2">
      <c r="A537" s="321"/>
      <c r="B537" s="341"/>
      <c r="C537" s="310"/>
      <c r="D537" s="310"/>
      <c r="E537" s="310"/>
      <c r="F537" s="310">
        <v>306</v>
      </c>
      <c r="G537" s="310"/>
      <c r="H537" s="312"/>
      <c r="I537" s="310"/>
      <c r="J537" s="310"/>
      <c r="K537" s="387"/>
      <c r="L537" s="322"/>
      <c r="M537" s="310"/>
      <c r="N537" s="310"/>
      <c r="O537" s="310"/>
      <c r="P537" s="310"/>
      <c r="Q537" s="310"/>
      <c r="R537" s="310"/>
      <c r="S537" s="310"/>
      <c r="T537" s="310"/>
      <c r="U537" s="388"/>
      <c r="V537" s="388"/>
      <c r="W537" s="309" t="s">
        <v>1751</v>
      </c>
      <c r="X537" s="325"/>
      <c r="Y537" s="325"/>
      <c r="Z537" s="383"/>
      <c r="AA537" s="380"/>
      <c r="AB537" s="380"/>
      <c r="AC537" s="380"/>
      <c r="AD537" s="381"/>
    </row>
    <row r="538" spans="1:31" s="375" customFormat="1" x14ac:dyDescent="0.2">
      <c r="A538" s="327">
        <v>265</v>
      </c>
      <c r="B538" s="343" t="s">
        <v>859</v>
      </c>
      <c r="C538" s="308" t="s">
        <v>305</v>
      </c>
      <c r="D538" s="308" t="s">
        <v>398</v>
      </c>
      <c r="E538" s="308" t="s">
        <v>859</v>
      </c>
      <c r="F538" s="308"/>
      <c r="G538" s="308">
        <v>306</v>
      </c>
      <c r="H538" s="328">
        <f>H536+F537</f>
        <v>101208.182</v>
      </c>
      <c r="I538" s="308">
        <v>466.95</v>
      </c>
      <c r="J538" s="308">
        <v>76.72</v>
      </c>
      <c r="K538" s="386">
        <v>603</v>
      </c>
      <c r="L538" s="313">
        <v>301.5</v>
      </c>
      <c r="M538" s="308">
        <v>-33</v>
      </c>
      <c r="N538" s="308">
        <v>77</v>
      </c>
      <c r="O538" s="308">
        <v>44</v>
      </c>
      <c r="P538" s="308">
        <v>47</v>
      </c>
      <c r="Q538" s="308">
        <v>102</v>
      </c>
      <c r="R538" s="308">
        <v>149</v>
      </c>
      <c r="S538" s="308" t="s">
        <v>1752</v>
      </c>
      <c r="T538" s="308" t="s">
        <v>1753</v>
      </c>
      <c r="U538" s="314">
        <v>608638.67700000003</v>
      </c>
      <c r="V538" s="314">
        <v>2639867.3769999999</v>
      </c>
      <c r="W538" s="309"/>
      <c r="X538" s="341" t="s">
        <v>1747</v>
      </c>
      <c r="Y538" s="341" t="s">
        <v>1626</v>
      </c>
      <c r="Z538" s="324" t="s">
        <v>367</v>
      </c>
      <c r="AA538" s="380"/>
      <c r="AB538" s="380"/>
      <c r="AC538" s="380"/>
      <c r="AD538" s="381"/>
    </row>
    <row r="539" spans="1:31" s="375" customFormat="1" x14ac:dyDescent="0.2">
      <c r="A539" s="321"/>
      <c r="B539" s="343"/>
      <c r="C539" s="308"/>
      <c r="D539" s="308"/>
      <c r="E539" s="308"/>
      <c r="F539" s="308">
        <v>297</v>
      </c>
      <c r="G539" s="308"/>
      <c r="H539" s="312"/>
      <c r="I539" s="308"/>
      <c r="J539" s="308"/>
      <c r="K539" s="386"/>
      <c r="L539" s="313"/>
      <c r="M539" s="308"/>
      <c r="N539" s="308"/>
      <c r="O539" s="308"/>
      <c r="P539" s="308"/>
      <c r="Q539" s="308"/>
      <c r="R539" s="308"/>
      <c r="S539" s="308"/>
      <c r="T539" s="308"/>
      <c r="U539" s="314"/>
      <c r="V539" s="314"/>
      <c r="W539" s="309" t="s">
        <v>1146</v>
      </c>
      <c r="X539" s="325"/>
      <c r="Y539" s="325"/>
      <c r="Z539" s="383"/>
      <c r="AA539" s="380"/>
      <c r="AB539" s="380"/>
      <c r="AC539" s="380"/>
      <c r="AD539" s="381"/>
    </row>
    <row r="540" spans="1:31" s="375" customFormat="1" x14ac:dyDescent="0.2">
      <c r="A540" s="327">
        <v>266</v>
      </c>
      <c r="B540" s="343" t="s">
        <v>859</v>
      </c>
      <c r="C540" s="308" t="s">
        <v>306</v>
      </c>
      <c r="D540" s="308" t="s">
        <v>28</v>
      </c>
      <c r="E540" s="308" t="s">
        <v>859</v>
      </c>
      <c r="F540" s="308"/>
      <c r="G540" s="308" t="s">
        <v>859</v>
      </c>
      <c r="H540" s="328">
        <f>H538+F539</f>
        <v>101505.182</v>
      </c>
      <c r="I540" s="308">
        <v>485.7</v>
      </c>
      <c r="J540" s="308">
        <v>69.5</v>
      </c>
      <c r="K540" s="386">
        <v>711.40300000000002</v>
      </c>
      <c r="L540" s="313">
        <v>355.70150000000001</v>
      </c>
      <c r="M540" s="308">
        <v>221</v>
      </c>
      <c r="N540" s="308">
        <v>185</v>
      </c>
      <c r="O540" s="308">
        <v>406</v>
      </c>
      <c r="P540" s="308">
        <v>196</v>
      </c>
      <c r="Q540" s="308">
        <v>193</v>
      </c>
      <c r="R540" s="308">
        <v>389</v>
      </c>
      <c r="S540" s="308" t="s">
        <v>1754</v>
      </c>
      <c r="T540" s="308" t="s">
        <v>1755</v>
      </c>
      <c r="U540" s="314">
        <v>608932.28700000001</v>
      </c>
      <c r="V540" s="314">
        <v>2639822.6320000002</v>
      </c>
      <c r="W540" s="309"/>
      <c r="X540" s="341" t="s">
        <v>1747</v>
      </c>
      <c r="Y540" s="341" t="s">
        <v>1626</v>
      </c>
      <c r="Z540" s="324" t="s">
        <v>367</v>
      </c>
      <c r="AA540" s="380"/>
      <c r="AB540" s="380"/>
      <c r="AC540" s="380"/>
      <c r="AD540" s="381"/>
      <c r="AE540" s="375" t="s">
        <v>899</v>
      </c>
    </row>
    <row r="541" spans="1:31" s="375" customFormat="1" x14ac:dyDescent="0.2">
      <c r="A541" s="321"/>
      <c r="B541" s="343"/>
      <c r="C541" s="308"/>
      <c r="D541" s="308"/>
      <c r="E541" s="308"/>
      <c r="F541" s="308">
        <v>414.40300000000002</v>
      </c>
      <c r="G541" s="308"/>
      <c r="H541" s="312"/>
      <c r="I541" s="308"/>
      <c r="J541" s="308"/>
      <c r="K541" s="386"/>
      <c r="L541" s="313"/>
      <c r="M541" s="308"/>
      <c r="N541" s="308"/>
      <c r="O541" s="308"/>
      <c r="P541" s="308"/>
      <c r="Q541" s="308"/>
      <c r="R541" s="308"/>
      <c r="S541" s="308"/>
      <c r="T541" s="308"/>
      <c r="U541" s="314"/>
      <c r="V541" s="314"/>
      <c r="W541" s="309" t="s">
        <v>1756</v>
      </c>
      <c r="X541" s="325"/>
      <c r="Y541" s="325"/>
      <c r="Z541" s="383"/>
      <c r="AA541" s="380"/>
      <c r="AB541" s="380"/>
      <c r="AC541" s="380"/>
      <c r="AD541" s="381"/>
    </row>
    <row r="542" spans="1:31" s="375" customFormat="1" x14ac:dyDescent="0.2">
      <c r="A542" s="327">
        <v>267</v>
      </c>
      <c r="B542" s="343" t="s">
        <v>1757</v>
      </c>
      <c r="C542" s="308" t="s">
        <v>307</v>
      </c>
      <c r="D542" s="308" t="s">
        <v>66</v>
      </c>
      <c r="E542" s="308" t="s">
        <v>1758</v>
      </c>
      <c r="F542" s="308"/>
      <c r="G542" s="308">
        <v>711.4</v>
      </c>
      <c r="H542" s="328">
        <f>H540+F541</f>
        <v>101919.58500000001</v>
      </c>
      <c r="I542" s="308">
        <v>486.92899999999997</v>
      </c>
      <c r="J542" s="308">
        <v>70.72</v>
      </c>
      <c r="K542" s="386">
        <v>746.40300000000002</v>
      </c>
      <c r="L542" s="313">
        <v>373.20150000000001</v>
      </c>
      <c r="M542" s="308">
        <v>230</v>
      </c>
      <c r="N542" s="308">
        <v>349</v>
      </c>
      <c r="O542" s="308">
        <v>579</v>
      </c>
      <c r="P542" s="308">
        <v>223</v>
      </c>
      <c r="Q542" s="308">
        <v>278</v>
      </c>
      <c r="R542" s="308">
        <v>501</v>
      </c>
      <c r="S542" s="308" t="s">
        <v>1759</v>
      </c>
      <c r="T542" s="308" t="s">
        <v>1760</v>
      </c>
      <c r="U542" s="314">
        <v>609341.96</v>
      </c>
      <c r="V542" s="314">
        <v>2639760.199</v>
      </c>
      <c r="W542" s="309"/>
      <c r="X542" s="341" t="s">
        <v>1747</v>
      </c>
      <c r="Y542" s="341" t="s">
        <v>1626</v>
      </c>
      <c r="Z542" s="324" t="s">
        <v>367</v>
      </c>
      <c r="AA542" s="380"/>
      <c r="AB542" s="380"/>
      <c r="AC542" s="380"/>
      <c r="AD542" s="381"/>
      <c r="AE542" s="375" t="s">
        <v>899</v>
      </c>
    </row>
    <row r="543" spans="1:31" s="375" customFormat="1" x14ac:dyDescent="0.2">
      <c r="A543" s="321"/>
      <c r="B543" s="343"/>
      <c r="C543" s="308"/>
      <c r="D543" s="308"/>
      <c r="E543" s="308"/>
      <c r="F543" s="310">
        <v>332</v>
      </c>
      <c r="G543" s="308"/>
      <c r="H543" s="312"/>
      <c r="I543" s="308"/>
      <c r="J543" s="308"/>
      <c r="K543" s="386"/>
      <c r="L543" s="313"/>
      <c r="M543" s="308"/>
      <c r="N543" s="308"/>
      <c r="O543" s="308"/>
      <c r="P543" s="308"/>
      <c r="Q543" s="308"/>
      <c r="R543" s="308"/>
      <c r="S543" s="308"/>
      <c r="T543" s="308"/>
      <c r="U543" s="314"/>
      <c r="V543" s="314"/>
      <c r="W543" s="309" t="s">
        <v>1761</v>
      </c>
      <c r="X543" s="325"/>
      <c r="Y543" s="325"/>
      <c r="Z543" s="383"/>
      <c r="AA543" s="380"/>
      <c r="AB543" s="380"/>
      <c r="AC543" s="380"/>
      <c r="AD543" s="381"/>
    </row>
    <row r="544" spans="1:31" s="375" customFormat="1" x14ac:dyDescent="0.2">
      <c r="A544" s="327">
        <v>268</v>
      </c>
      <c r="B544" s="343" t="s">
        <v>859</v>
      </c>
      <c r="C544" s="308" t="s">
        <v>308</v>
      </c>
      <c r="D544" s="308" t="s">
        <v>243</v>
      </c>
      <c r="E544" s="308" t="s">
        <v>859</v>
      </c>
      <c r="F544" s="391"/>
      <c r="G544" s="308">
        <v>332</v>
      </c>
      <c r="H544" s="328">
        <f>H542+F543</f>
        <v>102251.58500000001</v>
      </c>
      <c r="I544" s="308">
        <v>457.34800000000001</v>
      </c>
      <c r="J544" s="308">
        <v>73.72</v>
      </c>
      <c r="K544" s="386">
        <v>742</v>
      </c>
      <c r="L544" s="313">
        <v>371</v>
      </c>
      <c r="M544" s="308">
        <v>-16</v>
      </c>
      <c r="N544" s="308">
        <v>202</v>
      </c>
      <c r="O544" s="308">
        <v>186</v>
      </c>
      <c r="P544" s="308">
        <v>56</v>
      </c>
      <c r="Q544" s="308">
        <v>203</v>
      </c>
      <c r="R544" s="308">
        <v>259</v>
      </c>
      <c r="S544" s="308" t="s">
        <v>1762</v>
      </c>
      <c r="T544" s="308" t="s">
        <v>1763</v>
      </c>
      <c r="U544" s="314">
        <v>609659.03599999996</v>
      </c>
      <c r="V544" s="314">
        <v>2639661.7779999999</v>
      </c>
      <c r="W544" s="309"/>
      <c r="X544" s="341" t="s">
        <v>1747</v>
      </c>
      <c r="Y544" s="341" t="s">
        <v>1626</v>
      </c>
      <c r="Z544" s="324" t="s">
        <v>367</v>
      </c>
      <c r="AA544" s="380"/>
      <c r="AB544" s="380"/>
      <c r="AC544" s="380"/>
      <c r="AD544" s="381"/>
    </row>
    <row r="545" spans="1:31" s="375" customFormat="1" x14ac:dyDescent="0.2">
      <c r="A545" s="321"/>
      <c r="B545" s="343"/>
      <c r="C545" s="308"/>
      <c r="D545" s="308"/>
      <c r="E545" s="308"/>
      <c r="F545" s="308">
        <v>410</v>
      </c>
      <c r="G545" s="308"/>
      <c r="H545" s="312"/>
      <c r="I545" s="308"/>
      <c r="J545" s="308"/>
      <c r="K545" s="386"/>
      <c r="L545" s="313"/>
      <c r="M545" s="308"/>
      <c r="N545" s="308"/>
      <c r="O545" s="308"/>
      <c r="P545" s="308"/>
      <c r="Q545" s="308"/>
      <c r="R545" s="308"/>
      <c r="S545" s="308"/>
      <c r="T545" s="308"/>
      <c r="U545" s="314"/>
      <c r="V545" s="314"/>
      <c r="W545" s="309" t="s">
        <v>948</v>
      </c>
      <c r="X545" s="325"/>
      <c r="Y545" s="325"/>
      <c r="Z545" s="383"/>
      <c r="AA545" s="380"/>
      <c r="AB545" s="380"/>
      <c r="AC545" s="380"/>
      <c r="AD545" s="381"/>
    </row>
    <row r="546" spans="1:31" s="375" customFormat="1" x14ac:dyDescent="0.2">
      <c r="A546" s="327">
        <v>269</v>
      </c>
      <c r="B546" s="343" t="s">
        <v>859</v>
      </c>
      <c r="C546" s="308" t="s">
        <v>309</v>
      </c>
      <c r="D546" s="308" t="s">
        <v>40</v>
      </c>
      <c r="E546" s="308" t="s">
        <v>859</v>
      </c>
      <c r="F546" s="308"/>
      <c r="G546" s="308" t="s">
        <v>859</v>
      </c>
      <c r="H546" s="328">
        <f>H544+F545</f>
        <v>102661.58500000001</v>
      </c>
      <c r="I546" s="308">
        <v>459.58199999999999</v>
      </c>
      <c r="J546" s="308">
        <v>74</v>
      </c>
      <c r="K546" s="386">
        <v>824</v>
      </c>
      <c r="L546" s="313">
        <v>412</v>
      </c>
      <c r="M546" s="308">
        <v>209</v>
      </c>
      <c r="N546" s="308">
        <v>170</v>
      </c>
      <c r="O546" s="308">
        <v>379</v>
      </c>
      <c r="P546" s="308">
        <v>208</v>
      </c>
      <c r="Q546" s="308">
        <v>181</v>
      </c>
      <c r="R546" s="308">
        <v>389</v>
      </c>
      <c r="S546" s="308" t="s">
        <v>1764</v>
      </c>
      <c r="T546" s="308" t="s">
        <v>1765</v>
      </c>
      <c r="U546" s="314">
        <v>610050.60600000003</v>
      </c>
      <c r="V546" s="314">
        <v>2639540.233</v>
      </c>
      <c r="W546" s="309"/>
      <c r="X546" s="341" t="s">
        <v>1747</v>
      </c>
      <c r="Y546" s="341" t="s">
        <v>1626</v>
      </c>
      <c r="Z546" s="324" t="s">
        <v>367</v>
      </c>
      <c r="AA546" s="380"/>
      <c r="AB546" s="380"/>
      <c r="AC546" s="380"/>
      <c r="AD546" s="381"/>
    </row>
    <row r="547" spans="1:31" s="375" customFormat="1" ht="25.5" x14ac:dyDescent="0.2">
      <c r="A547" s="321"/>
      <c r="B547" s="341"/>
      <c r="C547" s="310"/>
      <c r="D547" s="310"/>
      <c r="E547" s="310"/>
      <c r="F547" s="310">
        <v>414</v>
      </c>
      <c r="G547" s="310"/>
      <c r="H547" s="312"/>
      <c r="I547" s="310"/>
      <c r="J547" s="310"/>
      <c r="K547" s="387"/>
      <c r="L547" s="322"/>
      <c r="M547" s="310"/>
      <c r="N547" s="310"/>
      <c r="O547" s="310"/>
      <c r="P547" s="310"/>
      <c r="Q547" s="310"/>
      <c r="R547" s="310"/>
      <c r="S547" s="310"/>
      <c r="T547" s="310"/>
      <c r="U547" s="388"/>
      <c r="V547" s="388"/>
      <c r="W547" s="309" t="s">
        <v>1766</v>
      </c>
      <c r="X547" s="325"/>
      <c r="Y547" s="325"/>
      <c r="Z547" s="383"/>
      <c r="AA547" s="380"/>
      <c r="AB547" s="380"/>
      <c r="AC547" s="380"/>
      <c r="AD547" s="381"/>
    </row>
    <row r="548" spans="1:31" s="375" customFormat="1" x14ac:dyDescent="0.2">
      <c r="A548" s="327">
        <v>270</v>
      </c>
      <c r="B548" s="343" t="s">
        <v>859</v>
      </c>
      <c r="C548" s="308" t="s">
        <v>310</v>
      </c>
      <c r="D548" s="308" t="s">
        <v>38</v>
      </c>
      <c r="E548" s="308" t="s">
        <v>859</v>
      </c>
      <c r="F548" s="308"/>
      <c r="G548" s="308" t="s">
        <v>859</v>
      </c>
      <c r="H548" s="328">
        <f>H546+F547</f>
        <v>103075.58500000001</v>
      </c>
      <c r="I548" s="308">
        <v>465.57</v>
      </c>
      <c r="J548" s="308">
        <v>75.5</v>
      </c>
      <c r="K548" s="386">
        <v>821</v>
      </c>
      <c r="L548" s="313">
        <v>410.5</v>
      </c>
      <c r="M548" s="308">
        <v>245</v>
      </c>
      <c r="N548" s="308">
        <v>235</v>
      </c>
      <c r="O548" s="308">
        <v>480</v>
      </c>
      <c r="P548" s="308">
        <v>234</v>
      </c>
      <c r="Q548" s="308">
        <v>226</v>
      </c>
      <c r="R548" s="308">
        <v>460</v>
      </c>
      <c r="S548" s="308" t="s">
        <v>1767</v>
      </c>
      <c r="T548" s="308" t="s">
        <v>1768</v>
      </c>
      <c r="U548" s="314">
        <v>610445.99600000004</v>
      </c>
      <c r="V548" s="314">
        <v>2639417.503</v>
      </c>
      <c r="W548" s="309"/>
      <c r="X548" s="341" t="s">
        <v>1747</v>
      </c>
      <c r="Y548" s="341" t="s">
        <v>1626</v>
      </c>
      <c r="Z548" s="324" t="s">
        <v>367</v>
      </c>
      <c r="AA548" s="380"/>
      <c r="AB548" s="380"/>
      <c r="AC548" s="380"/>
      <c r="AD548" s="381"/>
    </row>
    <row r="549" spans="1:31" s="375" customFormat="1" x14ac:dyDescent="0.2">
      <c r="A549" s="321"/>
      <c r="B549" s="341"/>
      <c r="C549" s="310"/>
      <c r="D549" s="310"/>
      <c r="E549" s="310"/>
      <c r="F549" s="310">
        <v>407</v>
      </c>
      <c r="G549" s="310"/>
      <c r="H549" s="312"/>
      <c r="I549" s="310"/>
      <c r="J549" s="310"/>
      <c r="K549" s="387"/>
      <c r="L549" s="322"/>
      <c r="M549" s="310"/>
      <c r="N549" s="310"/>
      <c r="O549" s="310"/>
      <c r="P549" s="310"/>
      <c r="Q549" s="310"/>
      <c r="R549" s="310"/>
      <c r="S549" s="310"/>
      <c r="T549" s="310"/>
      <c r="U549" s="388"/>
      <c r="V549" s="388"/>
      <c r="W549" s="309" t="s">
        <v>1769</v>
      </c>
      <c r="X549" s="325"/>
      <c r="Y549" s="325"/>
      <c r="Z549" s="383"/>
      <c r="AA549" s="380"/>
      <c r="AB549" s="380"/>
      <c r="AC549" s="380"/>
      <c r="AD549" s="381"/>
    </row>
    <row r="550" spans="1:31" s="375" customFormat="1" x14ac:dyDescent="0.2">
      <c r="A550" s="327">
        <v>271</v>
      </c>
      <c r="B550" s="343" t="s">
        <v>859</v>
      </c>
      <c r="C550" s="308" t="s">
        <v>311</v>
      </c>
      <c r="D550" s="308" t="s">
        <v>36</v>
      </c>
      <c r="E550" s="308" t="s">
        <v>859</v>
      </c>
      <c r="F550" s="308"/>
      <c r="G550" s="308" t="s">
        <v>859</v>
      </c>
      <c r="H550" s="328">
        <f>H548+F549</f>
        <v>103482.58500000001</v>
      </c>
      <c r="I550" s="308">
        <v>462.423</v>
      </c>
      <c r="J550" s="308">
        <v>72.5</v>
      </c>
      <c r="K550" s="386">
        <v>828.88400000000001</v>
      </c>
      <c r="L550" s="313">
        <v>414.44200000000001</v>
      </c>
      <c r="M550" s="308">
        <v>173</v>
      </c>
      <c r="N550" s="308">
        <v>178</v>
      </c>
      <c r="O550" s="308">
        <v>351</v>
      </c>
      <c r="P550" s="308">
        <v>182</v>
      </c>
      <c r="Q550" s="308">
        <v>188</v>
      </c>
      <c r="R550" s="308">
        <v>370</v>
      </c>
      <c r="S550" s="308" t="s">
        <v>1770</v>
      </c>
      <c r="T550" s="308" t="s">
        <v>1771</v>
      </c>
      <c r="U550" s="314">
        <v>610834.701</v>
      </c>
      <c r="V550" s="314">
        <v>2639296.8470000001</v>
      </c>
      <c r="W550" s="309"/>
      <c r="X550" s="341" t="s">
        <v>1747</v>
      </c>
      <c r="Y550" s="341" t="s">
        <v>1626</v>
      </c>
      <c r="Z550" s="324" t="s">
        <v>367</v>
      </c>
      <c r="AA550" s="380"/>
      <c r="AB550" s="380"/>
      <c r="AC550" s="380"/>
      <c r="AD550" s="381"/>
    </row>
    <row r="551" spans="1:31" s="375" customFormat="1" x14ac:dyDescent="0.2">
      <c r="A551" s="321"/>
      <c r="B551" s="343"/>
      <c r="C551" s="308"/>
      <c r="D551" s="308"/>
      <c r="E551" s="308"/>
      <c r="F551" s="308">
        <v>421.88400000000001</v>
      </c>
      <c r="G551" s="308"/>
      <c r="H551" s="312"/>
      <c r="I551" s="308"/>
      <c r="J551" s="308"/>
      <c r="K551" s="386"/>
      <c r="L551" s="313"/>
      <c r="M551" s="308"/>
      <c r="N551" s="308"/>
      <c r="O551" s="308"/>
      <c r="P551" s="308"/>
      <c r="Q551" s="308"/>
      <c r="R551" s="308"/>
      <c r="S551" s="308"/>
      <c r="T551" s="308"/>
      <c r="U551" s="314"/>
      <c r="V551" s="314"/>
      <c r="W551" s="309" t="s">
        <v>1772</v>
      </c>
      <c r="X551" s="325"/>
      <c r="Y551" s="325"/>
      <c r="Z551" s="383"/>
      <c r="AA551" s="380"/>
      <c r="AB551" s="380"/>
      <c r="AC551" s="380"/>
      <c r="AD551" s="381"/>
    </row>
    <row r="552" spans="1:31" s="375" customFormat="1" x14ac:dyDescent="0.2">
      <c r="A552" s="327">
        <v>272</v>
      </c>
      <c r="B552" s="343" t="s">
        <v>1773</v>
      </c>
      <c r="C552" s="308" t="s">
        <v>312</v>
      </c>
      <c r="D552" s="308" t="s">
        <v>239</v>
      </c>
      <c r="E552" s="308" t="s">
        <v>1774</v>
      </c>
      <c r="F552" s="308"/>
      <c r="G552" s="308">
        <v>1652.88</v>
      </c>
      <c r="H552" s="328">
        <f>H550+F551</f>
        <v>103904.46900000001</v>
      </c>
      <c r="I552" s="308">
        <v>463.25200000000001</v>
      </c>
      <c r="J552" s="308">
        <v>76.72</v>
      </c>
      <c r="K552" s="386">
        <v>954.07799999999997</v>
      </c>
      <c r="L552" s="313">
        <v>477.03899999999999</v>
      </c>
      <c r="M552" s="308">
        <v>245</v>
      </c>
      <c r="N552" s="308">
        <v>254</v>
      </c>
      <c r="O552" s="308">
        <v>499</v>
      </c>
      <c r="P552" s="308">
        <v>236</v>
      </c>
      <c r="Q552" s="308">
        <v>257</v>
      </c>
      <c r="R552" s="308">
        <v>493</v>
      </c>
      <c r="S552" s="308" t="s">
        <v>1775</v>
      </c>
      <c r="T552" s="308" t="s">
        <v>1776</v>
      </c>
      <c r="U552" s="314">
        <v>611237.62</v>
      </c>
      <c r="V552" s="314">
        <v>2639171.7799999998</v>
      </c>
      <c r="W552" s="309"/>
      <c r="X552" s="341" t="s">
        <v>1747</v>
      </c>
      <c r="Y552" s="341" t="s">
        <v>1626</v>
      </c>
      <c r="Z552" s="324" t="s">
        <v>367</v>
      </c>
      <c r="AA552" s="380"/>
      <c r="AB552" s="380"/>
      <c r="AC552" s="380"/>
      <c r="AD552" s="392"/>
      <c r="AE552" s="375" t="s">
        <v>899</v>
      </c>
    </row>
    <row r="553" spans="1:31" x14ac:dyDescent="0.2">
      <c r="A553" s="321"/>
      <c r="B553" s="335"/>
      <c r="C553" s="335"/>
      <c r="D553" s="335"/>
      <c r="E553" s="335"/>
      <c r="F553" s="379">
        <v>532.19200000000001</v>
      </c>
      <c r="G553" s="335"/>
      <c r="H553" s="312"/>
      <c r="I553" s="335"/>
      <c r="J553" s="335"/>
      <c r="K553" s="334"/>
      <c r="L553" s="334"/>
      <c r="M553" s="355"/>
      <c r="N553" s="355"/>
      <c r="O553" s="355"/>
      <c r="P553" s="355"/>
      <c r="Q553" s="355"/>
      <c r="R553" s="355"/>
      <c r="S553" s="355"/>
      <c r="T553" s="355"/>
      <c r="U553" s="366"/>
      <c r="V553" s="366"/>
      <c r="W553" s="337" t="s">
        <v>1777</v>
      </c>
      <c r="X553" s="325"/>
      <c r="Y553" s="325"/>
      <c r="Z553" s="367"/>
      <c r="AA553" s="350"/>
      <c r="AB553" s="350"/>
      <c r="AC553" s="350"/>
      <c r="AD553" s="351"/>
    </row>
    <row r="554" spans="1:31" x14ac:dyDescent="0.2">
      <c r="A554" s="327">
        <v>273</v>
      </c>
      <c r="B554" s="335" t="s">
        <v>1778</v>
      </c>
      <c r="C554" s="335" t="s">
        <v>313</v>
      </c>
      <c r="D554" s="341" t="s">
        <v>169</v>
      </c>
      <c r="E554" s="335" t="s">
        <v>1779</v>
      </c>
      <c r="F554" s="362"/>
      <c r="G554" s="362">
        <f>F553</f>
        <v>532.19200000000001</v>
      </c>
      <c r="H554" s="328">
        <f>H552+F553</f>
        <v>104436.66100000001</v>
      </c>
      <c r="I554" s="335">
        <v>455.45</v>
      </c>
      <c r="J554" s="335">
        <v>88.72</v>
      </c>
      <c r="K554" s="334">
        <f>F553+F555</f>
        <v>947.19200000000001</v>
      </c>
      <c r="L554" s="334">
        <f>K554/2</f>
        <v>473.596</v>
      </c>
      <c r="M554" s="355">
        <v>284</v>
      </c>
      <c r="N554" s="355">
        <v>314</v>
      </c>
      <c r="O554" s="355">
        <v>598</v>
      </c>
      <c r="P554" s="355">
        <v>282</v>
      </c>
      <c r="Q554" s="355">
        <v>280</v>
      </c>
      <c r="R554" s="355">
        <v>562</v>
      </c>
      <c r="S554" s="355" t="s">
        <v>1780</v>
      </c>
      <c r="T554" s="355" t="s">
        <v>1781</v>
      </c>
      <c r="U554" s="366">
        <v>611681.46400000004</v>
      </c>
      <c r="V554" s="366">
        <v>2638878.1260000002</v>
      </c>
      <c r="W554" s="344" t="s">
        <v>1116</v>
      </c>
      <c r="X554" s="341" t="s">
        <v>1747</v>
      </c>
      <c r="Y554" s="341" t="s">
        <v>1626</v>
      </c>
      <c r="Z554" s="338" t="s">
        <v>367</v>
      </c>
      <c r="AA554" s="350"/>
      <c r="AB554" s="350"/>
      <c r="AC554" s="350"/>
      <c r="AD554" s="354"/>
      <c r="AE554" s="352" t="s">
        <v>899</v>
      </c>
    </row>
    <row r="555" spans="1:31" x14ac:dyDescent="0.2">
      <c r="A555" s="321"/>
      <c r="B555" s="335"/>
      <c r="C555" s="335"/>
      <c r="D555" s="335"/>
      <c r="E555" s="335"/>
      <c r="F555" s="362">
        <v>415</v>
      </c>
      <c r="G555" s="335"/>
      <c r="H555" s="312"/>
      <c r="I555" s="335"/>
      <c r="J555" s="335"/>
      <c r="K555" s="334"/>
      <c r="L555" s="334"/>
      <c r="M555" s="355"/>
      <c r="N555" s="355"/>
      <c r="O555" s="355"/>
      <c r="P555" s="355"/>
      <c r="Q555" s="355"/>
      <c r="R555" s="355"/>
      <c r="S555" s="355"/>
      <c r="T555" s="355"/>
      <c r="U555" s="366"/>
      <c r="V555" s="366"/>
      <c r="W555" s="337" t="s">
        <v>1782</v>
      </c>
      <c r="X555" s="325"/>
      <c r="Y555" s="325"/>
      <c r="Z555" s="367"/>
      <c r="AA555" s="350"/>
      <c r="AB555" s="350"/>
      <c r="AC555" s="350"/>
      <c r="AD555" s="351"/>
    </row>
    <row r="556" spans="1:31" x14ac:dyDescent="0.2">
      <c r="A556" s="327">
        <v>274</v>
      </c>
      <c r="B556" s="335" t="s">
        <v>859</v>
      </c>
      <c r="C556" s="335" t="s">
        <v>314</v>
      </c>
      <c r="D556" s="335" t="s">
        <v>25</v>
      </c>
      <c r="E556" s="335" t="s">
        <v>859</v>
      </c>
      <c r="F556" s="362"/>
      <c r="G556" s="335" t="s">
        <v>859</v>
      </c>
      <c r="H556" s="328">
        <f>H554+F555</f>
        <v>104851.66100000001</v>
      </c>
      <c r="I556" s="335">
        <v>444.12400000000002</v>
      </c>
      <c r="J556" s="334">
        <v>81.5</v>
      </c>
      <c r="K556" s="334">
        <f>F555+F557</f>
        <v>765</v>
      </c>
      <c r="L556" s="334">
        <f>K556/2</f>
        <v>382.5</v>
      </c>
      <c r="M556" s="355">
        <v>102</v>
      </c>
      <c r="N556" s="355">
        <v>259</v>
      </c>
      <c r="O556" s="355">
        <v>361</v>
      </c>
      <c r="P556" s="355">
        <v>137</v>
      </c>
      <c r="Q556" s="355">
        <v>232</v>
      </c>
      <c r="R556" s="355">
        <v>369</v>
      </c>
      <c r="S556" s="355" t="s">
        <v>1783</v>
      </c>
      <c r="T556" s="355" t="s">
        <v>1784</v>
      </c>
      <c r="U556" s="366">
        <v>612091.07400000002</v>
      </c>
      <c r="V556" s="366">
        <v>2638811.4559999998</v>
      </c>
      <c r="W556" s="334"/>
      <c r="X556" s="341" t="s">
        <v>1785</v>
      </c>
      <c r="Y556" s="341" t="s">
        <v>1786</v>
      </c>
      <c r="Z556" s="338" t="s">
        <v>367</v>
      </c>
      <c r="AA556" s="350"/>
      <c r="AB556" s="350"/>
      <c r="AC556" s="350"/>
      <c r="AD556" s="351"/>
    </row>
    <row r="557" spans="1:31" x14ac:dyDescent="0.2">
      <c r="A557" s="321"/>
      <c r="B557" s="335"/>
      <c r="C557" s="335"/>
      <c r="D557" s="335"/>
      <c r="E557" s="335"/>
      <c r="F557" s="362">
        <v>350</v>
      </c>
      <c r="G557" s="335"/>
      <c r="H557" s="312"/>
      <c r="I557" s="335"/>
      <c r="J557" s="335"/>
      <c r="K557" s="334"/>
      <c r="L557" s="334"/>
      <c r="M557" s="355"/>
      <c r="N557" s="355"/>
      <c r="O557" s="355"/>
      <c r="P557" s="355"/>
      <c r="Q557" s="355"/>
      <c r="R557" s="355"/>
      <c r="S557" s="355"/>
      <c r="T557" s="355"/>
      <c r="U557" s="366"/>
      <c r="V557" s="366"/>
      <c r="W557" s="337" t="s">
        <v>1787</v>
      </c>
      <c r="X557" s="325"/>
      <c r="Y557" s="325"/>
      <c r="Z557" s="367"/>
      <c r="AA557" s="350"/>
      <c r="AB557" s="350"/>
      <c r="AC557" s="350"/>
      <c r="AD557" s="351"/>
    </row>
    <row r="558" spans="1:31" x14ac:dyDescent="0.2">
      <c r="A558" s="327">
        <v>275</v>
      </c>
      <c r="B558" s="335" t="s">
        <v>1788</v>
      </c>
      <c r="C558" s="335" t="s">
        <v>315</v>
      </c>
      <c r="D558" s="335" t="s">
        <v>45</v>
      </c>
      <c r="E558" s="335" t="s">
        <v>1789</v>
      </c>
      <c r="F558" s="362"/>
      <c r="G558" s="359">
        <f>SUM(F555:F557)</f>
        <v>765</v>
      </c>
      <c r="H558" s="328">
        <f>H556+F557</f>
        <v>105201.66100000001</v>
      </c>
      <c r="I558" s="335">
        <v>439.64</v>
      </c>
      <c r="J558" s="343">
        <v>70.72</v>
      </c>
      <c r="K558" s="334">
        <f>F557+F559</f>
        <v>599.01300000000003</v>
      </c>
      <c r="L558" s="334">
        <f>K558/2</f>
        <v>299.50650000000002</v>
      </c>
      <c r="M558" s="355">
        <v>92</v>
      </c>
      <c r="N558" s="355">
        <v>152</v>
      </c>
      <c r="O558" s="355">
        <v>244</v>
      </c>
      <c r="P558" s="355">
        <v>119</v>
      </c>
      <c r="Q558" s="355">
        <v>138</v>
      </c>
      <c r="R558" s="355">
        <v>257</v>
      </c>
      <c r="S558" s="355" t="s">
        <v>1790</v>
      </c>
      <c r="T558" s="355" t="s">
        <v>1791</v>
      </c>
      <c r="U558" s="366">
        <v>612436.39</v>
      </c>
      <c r="V558" s="366">
        <v>2638755.25</v>
      </c>
      <c r="W558" s="334"/>
      <c r="X558" s="341" t="s">
        <v>1785</v>
      </c>
      <c r="Y558" s="341" t="s">
        <v>1786</v>
      </c>
      <c r="Z558" s="338" t="s">
        <v>367</v>
      </c>
      <c r="AA558" s="350"/>
      <c r="AB558" s="350"/>
      <c r="AC558" s="350"/>
      <c r="AD558" s="351"/>
    </row>
    <row r="559" spans="1:31" x14ac:dyDescent="0.2">
      <c r="A559" s="321"/>
      <c r="B559" s="335"/>
      <c r="C559" s="335"/>
      <c r="D559" s="335"/>
      <c r="E559" s="335"/>
      <c r="F559" s="362">
        <v>249.01300000000001</v>
      </c>
      <c r="G559" s="335"/>
      <c r="H559" s="312"/>
      <c r="I559" s="335"/>
      <c r="J559" s="335"/>
      <c r="K559" s="334"/>
      <c r="L559" s="334"/>
      <c r="M559" s="335"/>
      <c r="N559" s="335"/>
      <c r="O559" s="335"/>
      <c r="P559" s="335"/>
      <c r="Q559" s="335"/>
      <c r="R559" s="335"/>
      <c r="S559" s="335"/>
      <c r="T559" s="335"/>
      <c r="U559" s="336"/>
      <c r="V559" s="336"/>
      <c r="W559" s="344" t="s">
        <v>1792</v>
      </c>
      <c r="X559" s="325"/>
      <c r="Y559" s="325"/>
      <c r="Z559" s="367"/>
      <c r="AA559" s="350"/>
      <c r="AB559" s="350"/>
      <c r="AC559" s="350"/>
      <c r="AD559" s="351"/>
    </row>
    <row r="560" spans="1:31" x14ac:dyDescent="0.2">
      <c r="A560" s="327">
        <v>276</v>
      </c>
      <c r="B560" s="335" t="s">
        <v>1793</v>
      </c>
      <c r="C560" s="335" t="s">
        <v>316</v>
      </c>
      <c r="D560" s="335" t="s">
        <v>33</v>
      </c>
      <c r="E560" s="335" t="s">
        <v>1794</v>
      </c>
      <c r="F560" s="362"/>
      <c r="G560" s="362">
        <f>F559</f>
        <v>249.01300000000001</v>
      </c>
      <c r="H560" s="328">
        <f>H558+F559</f>
        <v>105450.67400000001</v>
      </c>
      <c r="I560" s="335">
        <v>436.98</v>
      </c>
      <c r="J560" s="343">
        <v>70.72</v>
      </c>
      <c r="K560" s="334">
        <f>F559+F561</f>
        <v>600.01300000000003</v>
      </c>
      <c r="L560" s="334">
        <f>K560/2</f>
        <v>300.00650000000002</v>
      </c>
      <c r="M560" s="355">
        <v>98</v>
      </c>
      <c r="N560" s="355">
        <v>118</v>
      </c>
      <c r="O560" s="355">
        <v>216</v>
      </c>
      <c r="P560" s="355">
        <v>112</v>
      </c>
      <c r="Q560" s="355">
        <v>141</v>
      </c>
      <c r="R560" s="355">
        <v>253</v>
      </c>
      <c r="S560" s="355" t="s">
        <v>1795</v>
      </c>
      <c r="T560" s="355" t="s">
        <v>1796</v>
      </c>
      <c r="U560" s="366">
        <v>612639.11</v>
      </c>
      <c r="V560" s="366">
        <v>2638610.64</v>
      </c>
      <c r="W560" s="334"/>
      <c r="X560" s="341" t="s">
        <v>1785</v>
      </c>
      <c r="Y560" s="341" t="s">
        <v>1786</v>
      </c>
      <c r="Z560" s="338" t="s">
        <v>367</v>
      </c>
      <c r="AA560" s="350"/>
      <c r="AB560" s="350"/>
      <c r="AC560" s="350"/>
      <c r="AD560" s="351"/>
    </row>
    <row r="561" spans="1:30" x14ac:dyDescent="0.2">
      <c r="A561" s="321"/>
      <c r="B561" s="335"/>
      <c r="C561" s="335"/>
      <c r="D561" s="335"/>
      <c r="E561" s="335"/>
      <c r="F561" s="362">
        <v>351</v>
      </c>
      <c r="G561" s="335"/>
      <c r="H561" s="312"/>
      <c r="I561" s="335"/>
      <c r="J561" s="335"/>
      <c r="K561" s="334"/>
      <c r="L561" s="334"/>
      <c r="M561" s="355"/>
      <c r="N561" s="355"/>
      <c r="O561" s="355"/>
      <c r="P561" s="355"/>
      <c r="Q561" s="355"/>
      <c r="R561" s="355"/>
      <c r="S561" s="355"/>
      <c r="T561" s="355"/>
      <c r="U561" s="366"/>
      <c r="V561" s="366"/>
      <c r="W561" s="337" t="s">
        <v>1797</v>
      </c>
      <c r="X561" s="325"/>
      <c r="Y561" s="325"/>
      <c r="Z561" s="367"/>
      <c r="AA561" s="350"/>
      <c r="AB561" s="350"/>
      <c r="AC561" s="350"/>
      <c r="AD561" s="351"/>
    </row>
    <row r="562" spans="1:30" x14ac:dyDescent="0.2">
      <c r="A562" s="327">
        <v>277</v>
      </c>
      <c r="B562" s="335" t="s">
        <v>859</v>
      </c>
      <c r="C562" s="335" t="s">
        <v>317</v>
      </c>
      <c r="D562" s="335" t="s">
        <v>21</v>
      </c>
      <c r="E562" s="335" t="s">
        <v>859</v>
      </c>
      <c r="F562" s="362"/>
      <c r="G562" s="335" t="s">
        <v>859</v>
      </c>
      <c r="H562" s="328">
        <f>H560+F561</f>
        <v>105801.67400000001</v>
      </c>
      <c r="I562" s="335">
        <v>439.892</v>
      </c>
      <c r="J562" s="334">
        <v>78.5</v>
      </c>
      <c r="K562" s="334">
        <f>F561+F563</f>
        <v>658.26099999999997</v>
      </c>
      <c r="L562" s="334">
        <f>K562/2</f>
        <v>329.13049999999998</v>
      </c>
      <c r="M562" s="355">
        <v>233</v>
      </c>
      <c r="N562" s="355">
        <v>99</v>
      </c>
      <c r="O562" s="355">
        <v>332</v>
      </c>
      <c r="P562" s="355">
        <v>211</v>
      </c>
      <c r="Q562" s="355">
        <v>121</v>
      </c>
      <c r="R562" s="355">
        <v>332</v>
      </c>
      <c r="S562" s="355" t="s">
        <v>1798</v>
      </c>
      <c r="T562" s="355" t="s">
        <v>1799</v>
      </c>
      <c r="U562" s="366">
        <v>612934.94799999997</v>
      </c>
      <c r="V562" s="366">
        <v>2638421.7459999998</v>
      </c>
      <c r="W562" s="334"/>
      <c r="X562" s="341" t="s">
        <v>1785</v>
      </c>
      <c r="Y562" s="341" t="s">
        <v>1786</v>
      </c>
      <c r="Z562" s="338" t="s">
        <v>367</v>
      </c>
      <c r="AA562" s="350"/>
      <c r="AB562" s="350"/>
      <c r="AC562" s="350"/>
      <c r="AD562" s="351"/>
    </row>
    <row r="563" spans="1:30" x14ac:dyDescent="0.2">
      <c r="A563" s="321"/>
      <c r="B563" s="335"/>
      <c r="C563" s="335"/>
      <c r="D563" s="335"/>
      <c r="E563" s="335"/>
      <c r="F563" s="362">
        <v>307.26100000000002</v>
      </c>
      <c r="G563" s="335"/>
      <c r="H563" s="312"/>
      <c r="I563" s="335"/>
      <c r="J563" s="335"/>
      <c r="K563" s="334"/>
      <c r="L563" s="334"/>
      <c r="M563" s="335"/>
      <c r="N563" s="335"/>
      <c r="O563" s="335"/>
      <c r="P563" s="335"/>
      <c r="Q563" s="335"/>
      <c r="R563" s="335"/>
      <c r="S563" s="335"/>
      <c r="T563" s="335"/>
      <c r="U563" s="336"/>
      <c r="V563" s="336"/>
      <c r="W563" s="337" t="s">
        <v>1800</v>
      </c>
      <c r="X563" s="325"/>
      <c r="Y563" s="325"/>
      <c r="Z563" s="367"/>
      <c r="AA563" s="350"/>
      <c r="AB563" s="350"/>
      <c r="AC563" s="350"/>
      <c r="AD563" s="351"/>
    </row>
    <row r="564" spans="1:30" x14ac:dyDescent="0.2">
      <c r="A564" s="327">
        <v>278</v>
      </c>
      <c r="B564" s="335" t="s">
        <v>1801</v>
      </c>
      <c r="C564" s="335" t="s">
        <v>318</v>
      </c>
      <c r="D564" s="335" t="s">
        <v>319</v>
      </c>
      <c r="E564" s="335" t="s">
        <v>1802</v>
      </c>
      <c r="F564" s="362"/>
      <c r="G564" s="359">
        <f>SUM(F561:F563)</f>
        <v>658.26099999999997</v>
      </c>
      <c r="H564" s="328">
        <f>H562+F563</f>
        <v>106108.93500000001</v>
      </c>
      <c r="I564" s="335">
        <v>441.3</v>
      </c>
      <c r="J564" s="335">
        <v>82.72</v>
      </c>
      <c r="K564" s="334">
        <f>F563+F565</f>
        <v>557.81799999999998</v>
      </c>
      <c r="L564" s="334">
        <f>K564/2</f>
        <v>278.90899999999999</v>
      </c>
      <c r="M564" s="355">
        <v>209</v>
      </c>
      <c r="N564" s="355">
        <v>182</v>
      </c>
      <c r="O564" s="355">
        <v>391</v>
      </c>
      <c r="P564" s="355">
        <v>187</v>
      </c>
      <c r="Q564" s="355">
        <v>152</v>
      </c>
      <c r="R564" s="355">
        <v>339</v>
      </c>
      <c r="S564" s="355" t="s">
        <v>1803</v>
      </c>
      <c r="T564" s="355" t="s">
        <v>1804</v>
      </c>
      <c r="U564" s="366">
        <v>613193.92000000004</v>
      </c>
      <c r="V564" s="366">
        <v>2638256.39</v>
      </c>
      <c r="W564" s="334"/>
      <c r="X564" s="341" t="s">
        <v>1785</v>
      </c>
      <c r="Y564" s="341" t="s">
        <v>1786</v>
      </c>
      <c r="Z564" s="338" t="s">
        <v>367</v>
      </c>
      <c r="AA564" s="350"/>
      <c r="AB564" s="350"/>
      <c r="AC564" s="350"/>
      <c r="AD564" s="351"/>
    </row>
    <row r="565" spans="1:30" ht="38.25" x14ac:dyDescent="0.2">
      <c r="A565" s="321"/>
      <c r="B565" s="335"/>
      <c r="C565" s="335"/>
      <c r="D565" s="335"/>
      <c r="E565" s="335"/>
      <c r="F565" s="362">
        <v>250.55699999999999</v>
      </c>
      <c r="G565" s="335"/>
      <c r="H565" s="312"/>
      <c r="I565" s="335"/>
      <c r="J565" s="335"/>
      <c r="K565" s="334"/>
      <c r="L565" s="334"/>
      <c r="M565" s="355"/>
      <c r="N565" s="355"/>
      <c r="O565" s="355"/>
      <c r="P565" s="355"/>
      <c r="Q565" s="355"/>
      <c r="R565" s="355"/>
      <c r="S565" s="355"/>
      <c r="T565" s="355"/>
      <c r="U565" s="366"/>
      <c r="V565" s="366"/>
      <c r="W565" s="344" t="s">
        <v>1805</v>
      </c>
      <c r="X565" s="325"/>
      <c r="Y565" s="325"/>
      <c r="Z565" s="367"/>
      <c r="AA565" s="350"/>
      <c r="AB565" s="350"/>
      <c r="AC565" s="350"/>
      <c r="AD565" s="351"/>
    </row>
    <row r="566" spans="1:30" x14ac:dyDescent="0.2">
      <c r="A566" s="327">
        <v>279</v>
      </c>
      <c r="B566" s="335" t="s">
        <v>1806</v>
      </c>
      <c r="C566" s="335" t="s">
        <v>320</v>
      </c>
      <c r="D566" s="335" t="s">
        <v>153</v>
      </c>
      <c r="E566" s="335" t="s">
        <v>1807</v>
      </c>
      <c r="F566" s="362"/>
      <c r="G566" s="362">
        <f>F565</f>
        <v>250.55699999999999</v>
      </c>
      <c r="H566" s="328">
        <f>H564+F565</f>
        <v>106359.49200000001</v>
      </c>
      <c r="I566" s="335">
        <v>436.10599999999999</v>
      </c>
      <c r="J566" s="335">
        <v>82.72</v>
      </c>
      <c r="K566" s="334">
        <f>F565+F567</f>
        <v>673.55700000000002</v>
      </c>
      <c r="L566" s="334">
        <f>K566/2</f>
        <v>336.77850000000001</v>
      </c>
      <c r="M566" s="355">
        <v>69</v>
      </c>
      <c r="N566" s="355">
        <v>324</v>
      </c>
      <c r="O566" s="355">
        <v>393</v>
      </c>
      <c r="P566" s="355">
        <v>99</v>
      </c>
      <c r="Q566" s="355">
        <v>286</v>
      </c>
      <c r="R566" s="355">
        <v>385</v>
      </c>
      <c r="S566" s="355" t="s">
        <v>1808</v>
      </c>
      <c r="T566" s="355" t="s">
        <v>1809</v>
      </c>
      <c r="U566" s="366">
        <v>613410.22</v>
      </c>
      <c r="V566" s="366">
        <v>2638129.9270000001</v>
      </c>
      <c r="W566" s="334"/>
      <c r="X566" s="341" t="s">
        <v>1785</v>
      </c>
      <c r="Y566" s="341" t="s">
        <v>1786</v>
      </c>
      <c r="Z566" s="338" t="s">
        <v>367</v>
      </c>
      <c r="AA566" s="350"/>
      <c r="AB566" s="350"/>
      <c r="AC566" s="350"/>
      <c r="AD566" s="351"/>
    </row>
    <row r="567" spans="1:30" x14ac:dyDescent="0.2">
      <c r="A567" s="321"/>
      <c r="B567" s="335"/>
      <c r="C567" s="335"/>
      <c r="D567" s="335"/>
      <c r="E567" s="335"/>
      <c r="F567" s="362">
        <v>423</v>
      </c>
      <c r="G567" s="335"/>
      <c r="H567" s="312"/>
      <c r="I567" s="335"/>
      <c r="J567" s="335"/>
      <c r="K567" s="334"/>
      <c r="L567" s="334"/>
      <c r="M567" s="355"/>
      <c r="N567" s="355"/>
      <c r="O567" s="355"/>
      <c r="P567" s="355"/>
      <c r="Q567" s="355"/>
      <c r="R567" s="355"/>
      <c r="S567" s="355"/>
      <c r="T567" s="355"/>
      <c r="U567" s="366"/>
      <c r="V567" s="366"/>
      <c r="W567" s="337" t="s">
        <v>1001</v>
      </c>
      <c r="X567" s="325"/>
      <c r="Y567" s="325"/>
      <c r="Z567" s="367"/>
      <c r="AA567" s="350"/>
      <c r="AB567" s="350"/>
      <c r="AC567" s="350"/>
      <c r="AD567" s="351"/>
    </row>
    <row r="568" spans="1:30" x14ac:dyDescent="0.2">
      <c r="A568" s="327">
        <v>280</v>
      </c>
      <c r="B568" s="335" t="s">
        <v>859</v>
      </c>
      <c r="C568" s="335" t="s">
        <v>321</v>
      </c>
      <c r="D568" s="335" t="s">
        <v>28</v>
      </c>
      <c r="E568" s="335" t="s">
        <v>859</v>
      </c>
      <c r="F568" s="362"/>
      <c r="G568" s="335" t="s">
        <v>859</v>
      </c>
      <c r="H568" s="328">
        <f>H566+F567</f>
        <v>106782.49200000001</v>
      </c>
      <c r="I568" s="335">
        <v>429.56799999999998</v>
      </c>
      <c r="J568" s="334">
        <v>69.5</v>
      </c>
      <c r="K568" s="334">
        <f>F567+F569</f>
        <v>762</v>
      </c>
      <c r="L568" s="334">
        <f>K568/2</f>
        <v>381</v>
      </c>
      <c r="M568" s="355">
        <v>100</v>
      </c>
      <c r="N568" s="355">
        <v>163</v>
      </c>
      <c r="O568" s="355">
        <v>263</v>
      </c>
      <c r="P568" s="355">
        <v>139</v>
      </c>
      <c r="Q568" s="355">
        <v>166</v>
      </c>
      <c r="R568" s="355">
        <v>305</v>
      </c>
      <c r="S568" s="355" t="s">
        <v>1810</v>
      </c>
      <c r="T568" s="355" t="s">
        <v>1811</v>
      </c>
      <c r="U568" s="366">
        <v>613831.07499999995</v>
      </c>
      <c r="V568" s="366">
        <v>2638087.3829999999</v>
      </c>
      <c r="W568" s="334"/>
      <c r="X568" s="341" t="s">
        <v>1785</v>
      </c>
      <c r="Y568" s="341" t="s">
        <v>1786</v>
      </c>
      <c r="Z568" s="338" t="s">
        <v>367</v>
      </c>
      <c r="AA568" s="350"/>
      <c r="AB568" s="350"/>
      <c r="AC568" s="350"/>
      <c r="AD568" s="351"/>
    </row>
    <row r="569" spans="1:30" x14ac:dyDescent="0.2">
      <c r="A569" s="321"/>
      <c r="B569" s="335"/>
      <c r="C569" s="335"/>
      <c r="D569" s="335"/>
      <c r="E569" s="335"/>
      <c r="F569" s="362">
        <v>339</v>
      </c>
      <c r="G569" s="335"/>
      <c r="H569" s="312"/>
      <c r="I569" s="335"/>
      <c r="J569" s="335"/>
      <c r="K569" s="334"/>
      <c r="L569" s="334"/>
      <c r="M569" s="355"/>
      <c r="N569" s="355"/>
      <c r="O569" s="355"/>
      <c r="P569" s="355"/>
      <c r="Q569" s="355"/>
      <c r="R569" s="355"/>
      <c r="S569" s="355"/>
      <c r="T569" s="355"/>
      <c r="U569" s="366"/>
      <c r="V569" s="366"/>
      <c r="W569" s="337" t="s">
        <v>1812</v>
      </c>
      <c r="X569" s="325"/>
      <c r="Y569" s="325"/>
      <c r="Z569" s="367"/>
      <c r="AA569" s="350"/>
      <c r="AB569" s="350"/>
      <c r="AC569" s="350"/>
      <c r="AD569" s="351"/>
    </row>
    <row r="570" spans="1:30" x14ac:dyDescent="0.2">
      <c r="A570" s="327">
        <v>281</v>
      </c>
      <c r="B570" s="335" t="s">
        <v>859</v>
      </c>
      <c r="C570" s="335" t="s">
        <v>322</v>
      </c>
      <c r="D570" s="335" t="s">
        <v>28</v>
      </c>
      <c r="E570" s="335" t="s">
        <v>859</v>
      </c>
      <c r="F570" s="362"/>
      <c r="G570" s="335" t="s">
        <v>859</v>
      </c>
      <c r="H570" s="328">
        <f>H568+F569</f>
        <v>107121.49200000001</v>
      </c>
      <c r="I570" s="335">
        <v>430.53800000000001</v>
      </c>
      <c r="J570" s="334">
        <v>69.5</v>
      </c>
      <c r="K570" s="334">
        <f>F569+F571</f>
        <v>679</v>
      </c>
      <c r="L570" s="334">
        <f>K570/2</f>
        <v>339.5</v>
      </c>
      <c r="M570" s="355">
        <v>176</v>
      </c>
      <c r="N570" s="355">
        <v>194</v>
      </c>
      <c r="O570" s="355">
        <v>370</v>
      </c>
      <c r="P570" s="355">
        <v>174</v>
      </c>
      <c r="Q570" s="355">
        <v>186</v>
      </c>
      <c r="R570" s="355">
        <v>360</v>
      </c>
      <c r="S570" s="355" t="s">
        <v>1813</v>
      </c>
      <c r="T570" s="355" t="s">
        <v>1814</v>
      </c>
      <c r="U570" s="366">
        <v>614168.35600000003</v>
      </c>
      <c r="V570" s="366">
        <v>2638053.2880000002</v>
      </c>
      <c r="W570" s="334"/>
      <c r="X570" s="341" t="s">
        <v>1785</v>
      </c>
      <c r="Y570" s="341" t="s">
        <v>1786</v>
      </c>
      <c r="Z570" s="338" t="s">
        <v>367</v>
      </c>
      <c r="AA570" s="350"/>
      <c r="AB570" s="350"/>
      <c r="AC570" s="350"/>
      <c r="AD570" s="351"/>
    </row>
    <row r="571" spans="1:30" x14ac:dyDescent="0.2">
      <c r="A571" s="321"/>
      <c r="B571" s="335"/>
      <c r="C571" s="335"/>
      <c r="D571" s="335"/>
      <c r="E571" s="335"/>
      <c r="F571" s="362">
        <v>340</v>
      </c>
      <c r="G571" s="335"/>
      <c r="H571" s="312"/>
      <c r="I571" s="335"/>
      <c r="J571" s="335"/>
      <c r="K571" s="334"/>
      <c r="L571" s="334"/>
      <c r="M571" s="355"/>
      <c r="N571" s="355"/>
      <c r="O571" s="355"/>
      <c r="P571" s="355"/>
      <c r="Q571" s="355"/>
      <c r="R571" s="355"/>
      <c r="S571" s="355"/>
      <c r="T571" s="355"/>
      <c r="U571" s="366"/>
      <c r="V571" s="366"/>
      <c r="W571" s="337" t="s">
        <v>1815</v>
      </c>
      <c r="X571" s="325"/>
      <c r="Y571" s="325"/>
      <c r="Z571" s="367"/>
      <c r="AA571" s="350"/>
      <c r="AB571" s="350"/>
      <c r="AC571" s="350"/>
      <c r="AD571" s="351"/>
    </row>
    <row r="572" spans="1:30" x14ac:dyDescent="0.2">
      <c r="A572" s="327">
        <v>282</v>
      </c>
      <c r="B572" s="335" t="s">
        <v>859</v>
      </c>
      <c r="C572" s="335" t="s">
        <v>323</v>
      </c>
      <c r="D572" s="335" t="s">
        <v>28</v>
      </c>
      <c r="E572" s="335" t="s">
        <v>859</v>
      </c>
      <c r="F572" s="362"/>
      <c r="G572" s="335" t="s">
        <v>859</v>
      </c>
      <c r="H572" s="328">
        <f>H570+F571</f>
        <v>107461.49200000001</v>
      </c>
      <c r="I572" s="335">
        <v>426.827</v>
      </c>
      <c r="J572" s="334">
        <v>69.5</v>
      </c>
      <c r="K572" s="334">
        <f>F571+F573</f>
        <v>679.06099999999992</v>
      </c>
      <c r="L572" s="334">
        <f>K572/2</f>
        <v>339.53049999999996</v>
      </c>
      <c r="M572" s="355">
        <v>146</v>
      </c>
      <c r="N572" s="355">
        <v>159</v>
      </c>
      <c r="O572" s="355">
        <v>305</v>
      </c>
      <c r="P572" s="355">
        <v>155</v>
      </c>
      <c r="Q572" s="355">
        <v>163</v>
      </c>
      <c r="R572" s="355">
        <v>318</v>
      </c>
      <c r="S572" s="355" t="s">
        <v>1816</v>
      </c>
      <c r="T572" s="355" t="s">
        <v>1817</v>
      </c>
      <c r="U572" s="366">
        <v>614506.63199999998</v>
      </c>
      <c r="V572" s="366">
        <v>2638019.0920000002</v>
      </c>
      <c r="W572" s="334"/>
      <c r="X572" s="341" t="s">
        <v>1818</v>
      </c>
      <c r="Y572" s="341" t="s">
        <v>1786</v>
      </c>
      <c r="Z572" s="338" t="s">
        <v>367</v>
      </c>
      <c r="AA572" s="350"/>
      <c r="AB572" s="350"/>
      <c r="AC572" s="350"/>
      <c r="AD572" s="351"/>
    </row>
    <row r="573" spans="1:30" x14ac:dyDescent="0.2">
      <c r="A573" s="321"/>
      <c r="B573" s="335"/>
      <c r="C573" s="335"/>
      <c r="D573" s="335"/>
      <c r="E573" s="335"/>
      <c r="F573" s="362">
        <v>339.06099999999998</v>
      </c>
      <c r="G573" s="335"/>
      <c r="H573" s="312"/>
      <c r="I573" s="335"/>
      <c r="J573" s="335"/>
      <c r="K573" s="334"/>
      <c r="L573" s="334"/>
      <c r="M573" s="355"/>
      <c r="N573" s="355"/>
      <c r="O573" s="355"/>
      <c r="P573" s="355"/>
      <c r="Q573" s="355"/>
      <c r="R573" s="355"/>
      <c r="S573" s="355"/>
      <c r="T573" s="355"/>
      <c r="U573" s="366"/>
      <c r="V573" s="366"/>
      <c r="W573" s="337"/>
      <c r="X573" s="325"/>
      <c r="Y573" s="325"/>
      <c r="Z573" s="367"/>
      <c r="AA573" s="350"/>
      <c r="AB573" s="350"/>
      <c r="AC573" s="350"/>
      <c r="AD573" s="351"/>
    </row>
    <row r="574" spans="1:30" x14ac:dyDescent="0.2">
      <c r="A574" s="327">
        <v>283</v>
      </c>
      <c r="B574" s="335" t="s">
        <v>1819</v>
      </c>
      <c r="C574" s="335" t="s">
        <v>324</v>
      </c>
      <c r="D574" s="335" t="s">
        <v>120</v>
      </c>
      <c r="E574" s="335" t="s">
        <v>1820</v>
      </c>
      <c r="F574" s="362"/>
      <c r="G574" s="359">
        <f>SUM(F567:F573)</f>
        <v>1441.0609999999999</v>
      </c>
      <c r="H574" s="328">
        <f>H572+F573</f>
        <v>107800.55300000001</v>
      </c>
      <c r="I574" s="335">
        <v>425.40199999999999</v>
      </c>
      <c r="J574" s="343">
        <v>70.72</v>
      </c>
      <c r="K574" s="334">
        <f>F573+F575</f>
        <v>722.06099999999992</v>
      </c>
      <c r="L574" s="334">
        <f>K574/2</f>
        <v>361.03049999999996</v>
      </c>
      <c r="M574" s="355">
        <v>180</v>
      </c>
      <c r="N574" s="355">
        <v>202</v>
      </c>
      <c r="O574" s="355">
        <v>382</v>
      </c>
      <c r="P574" s="355">
        <v>177</v>
      </c>
      <c r="Q574" s="355">
        <v>199</v>
      </c>
      <c r="R574" s="355">
        <v>376</v>
      </c>
      <c r="S574" s="355" t="s">
        <v>1821</v>
      </c>
      <c r="T574" s="355" t="s">
        <v>1822</v>
      </c>
      <c r="U574" s="366">
        <v>614843.97400000005</v>
      </c>
      <c r="V574" s="366">
        <v>2637984.9909999999</v>
      </c>
      <c r="W574" s="337"/>
      <c r="X574" s="341" t="s">
        <v>1818</v>
      </c>
      <c r="Y574" s="341" t="s">
        <v>1786</v>
      </c>
      <c r="Z574" s="338" t="s">
        <v>367</v>
      </c>
      <c r="AA574" s="350"/>
      <c r="AB574" s="350"/>
      <c r="AC574" s="350"/>
      <c r="AD574" s="351"/>
    </row>
    <row r="575" spans="1:30" x14ac:dyDescent="0.2">
      <c r="A575" s="321"/>
      <c r="B575" s="335"/>
      <c r="C575" s="335"/>
      <c r="D575" s="335"/>
      <c r="E575" s="335"/>
      <c r="F575" s="362">
        <v>383</v>
      </c>
      <c r="G575" s="335"/>
      <c r="H575" s="312"/>
      <c r="I575" s="335"/>
      <c r="J575" s="335"/>
      <c r="K575" s="334"/>
      <c r="L575" s="334"/>
      <c r="M575" s="355"/>
      <c r="N575" s="355"/>
      <c r="O575" s="355"/>
      <c r="P575" s="355"/>
      <c r="Q575" s="355"/>
      <c r="R575" s="355"/>
      <c r="S575" s="355"/>
      <c r="T575" s="355"/>
      <c r="U575" s="366"/>
      <c r="V575" s="366"/>
      <c r="W575" s="337" t="s">
        <v>1001</v>
      </c>
      <c r="X575" s="325"/>
      <c r="Y575" s="325"/>
      <c r="Z575" s="367"/>
      <c r="AA575" s="350"/>
      <c r="AB575" s="350"/>
      <c r="AC575" s="350"/>
      <c r="AD575" s="351"/>
    </row>
    <row r="576" spans="1:30" x14ac:dyDescent="0.2">
      <c r="A576" s="327">
        <v>284</v>
      </c>
      <c r="B576" s="335" t="s">
        <v>859</v>
      </c>
      <c r="C576" s="335" t="s">
        <v>325</v>
      </c>
      <c r="D576" s="335" t="s">
        <v>21</v>
      </c>
      <c r="E576" s="335" t="s">
        <v>859</v>
      </c>
      <c r="F576" s="362"/>
      <c r="G576" s="335" t="s">
        <v>859</v>
      </c>
      <c r="H576" s="328">
        <f>H574+F575</f>
        <v>108183.55300000001</v>
      </c>
      <c r="I576" s="335">
        <v>417.62700000000001</v>
      </c>
      <c r="J576" s="334">
        <v>78.5</v>
      </c>
      <c r="K576" s="334">
        <f>F575+F577</f>
        <v>783</v>
      </c>
      <c r="L576" s="334">
        <f>K576/2</f>
        <v>391.5</v>
      </c>
      <c r="M576" s="355">
        <v>182</v>
      </c>
      <c r="N576" s="355">
        <v>263</v>
      </c>
      <c r="O576" s="355">
        <v>445</v>
      </c>
      <c r="P576" s="355">
        <v>185</v>
      </c>
      <c r="Q576" s="355">
        <v>243</v>
      </c>
      <c r="R576" s="355">
        <v>428</v>
      </c>
      <c r="S576" s="355" t="s">
        <v>1823</v>
      </c>
      <c r="T576" s="355" t="s">
        <v>1824</v>
      </c>
      <c r="U576" s="366">
        <v>615102.804</v>
      </c>
      <c r="V576" s="366">
        <v>2637702.6860000002</v>
      </c>
      <c r="W576" s="334"/>
      <c r="X576" s="341" t="s">
        <v>1818</v>
      </c>
      <c r="Y576" s="341" t="s">
        <v>1786</v>
      </c>
      <c r="Z576" s="338" t="s">
        <v>367</v>
      </c>
      <c r="AA576" s="350"/>
      <c r="AB576" s="350"/>
      <c r="AC576" s="350"/>
      <c r="AD576" s="351"/>
    </row>
    <row r="577" spans="1:30" x14ac:dyDescent="0.2">
      <c r="A577" s="321"/>
      <c r="B577" s="335"/>
      <c r="C577" s="335"/>
      <c r="D577" s="335"/>
      <c r="E577" s="335"/>
      <c r="F577" s="362">
        <v>400</v>
      </c>
      <c r="G577" s="335"/>
      <c r="H577" s="312"/>
      <c r="I577" s="335"/>
      <c r="J577" s="335"/>
      <c r="K577" s="334"/>
      <c r="L577" s="334"/>
      <c r="M577" s="355"/>
      <c r="N577" s="355"/>
      <c r="O577" s="355"/>
      <c r="P577" s="355"/>
      <c r="Q577" s="355"/>
      <c r="R577" s="355"/>
      <c r="S577" s="355"/>
      <c r="T577" s="355"/>
      <c r="U577" s="366"/>
      <c r="V577" s="366"/>
      <c r="W577" s="337" t="s">
        <v>1825</v>
      </c>
      <c r="X577" s="325"/>
      <c r="Y577" s="325"/>
      <c r="Z577" s="367"/>
      <c r="AA577" s="350"/>
      <c r="AB577" s="350"/>
      <c r="AC577" s="350"/>
      <c r="AD577" s="351"/>
    </row>
    <row r="578" spans="1:30" x14ac:dyDescent="0.2">
      <c r="A578" s="327">
        <v>285</v>
      </c>
      <c r="B578" s="335" t="s">
        <v>1826</v>
      </c>
      <c r="C578" s="335" t="s">
        <v>326</v>
      </c>
      <c r="D578" s="335" t="s">
        <v>45</v>
      </c>
      <c r="E578" s="335" t="s">
        <v>1827</v>
      </c>
      <c r="F578" s="362"/>
      <c r="G578" s="359">
        <f>SUM(F575:F577)</f>
        <v>783</v>
      </c>
      <c r="H578" s="328">
        <f>H576+F577</f>
        <v>108583.55300000001</v>
      </c>
      <c r="I578" s="335">
        <v>411.959</v>
      </c>
      <c r="J578" s="343">
        <v>70.72</v>
      </c>
      <c r="K578" s="334">
        <f>F577+F579</f>
        <v>786</v>
      </c>
      <c r="L578" s="334">
        <f>K578/2</f>
        <v>393</v>
      </c>
      <c r="M578" s="355">
        <v>137</v>
      </c>
      <c r="N578" s="355">
        <v>197</v>
      </c>
      <c r="O578" s="355">
        <v>334</v>
      </c>
      <c r="P578" s="355">
        <v>158</v>
      </c>
      <c r="Q578" s="355">
        <v>196</v>
      </c>
      <c r="R578" s="355">
        <v>354</v>
      </c>
      <c r="S578" s="355" t="s">
        <v>1828</v>
      </c>
      <c r="T578" s="355" t="s">
        <v>1829</v>
      </c>
      <c r="U578" s="366">
        <v>615372.95400000003</v>
      </c>
      <c r="V578" s="366">
        <v>2637408.0359999998</v>
      </c>
      <c r="W578" s="334"/>
      <c r="X578" s="341" t="s">
        <v>1818</v>
      </c>
      <c r="Y578" s="341" t="s">
        <v>1786</v>
      </c>
      <c r="Z578" s="338" t="s">
        <v>367</v>
      </c>
      <c r="AA578" s="350"/>
      <c r="AB578" s="350"/>
      <c r="AC578" s="350"/>
      <c r="AD578" s="351"/>
    </row>
    <row r="579" spans="1:30" x14ac:dyDescent="0.2">
      <c r="A579" s="321"/>
      <c r="B579" s="335"/>
      <c r="C579" s="335"/>
      <c r="D579" s="335"/>
      <c r="E579" s="335"/>
      <c r="F579" s="362">
        <v>386</v>
      </c>
      <c r="G579" s="335"/>
      <c r="H579" s="312"/>
      <c r="I579" s="335"/>
      <c r="J579" s="335"/>
      <c r="K579" s="334"/>
      <c r="L579" s="334"/>
      <c r="M579" s="355"/>
      <c r="N579" s="355"/>
      <c r="O579" s="355"/>
      <c r="P579" s="355"/>
      <c r="Q579" s="355"/>
      <c r="R579" s="355"/>
      <c r="S579" s="355"/>
      <c r="T579" s="355"/>
      <c r="U579" s="366"/>
      <c r="V579" s="366"/>
      <c r="W579" s="337" t="s">
        <v>1830</v>
      </c>
      <c r="X579" s="325"/>
      <c r="Y579" s="325"/>
      <c r="Z579" s="367"/>
      <c r="AA579" s="350"/>
      <c r="AB579" s="350"/>
      <c r="AC579" s="350"/>
      <c r="AD579" s="351"/>
    </row>
    <row r="580" spans="1:30" x14ac:dyDescent="0.2">
      <c r="A580" s="327">
        <v>286</v>
      </c>
      <c r="B580" s="335" t="s">
        <v>859</v>
      </c>
      <c r="C580" s="335" t="s">
        <v>327</v>
      </c>
      <c r="D580" s="335" t="s">
        <v>19</v>
      </c>
      <c r="E580" s="335" t="s">
        <v>859</v>
      </c>
      <c r="F580" s="362"/>
      <c r="G580" s="335" t="s">
        <v>859</v>
      </c>
      <c r="H580" s="328">
        <f>H578+F579</f>
        <v>108969.55300000001</v>
      </c>
      <c r="I580" s="335">
        <v>412.71</v>
      </c>
      <c r="J580" s="334">
        <v>71</v>
      </c>
      <c r="K580" s="334">
        <f>F579+F581</f>
        <v>779</v>
      </c>
      <c r="L580" s="334">
        <f>K580/2</f>
        <v>389.5</v>
      </c>
      <c r="M580" s="355">
        <v>189</v>
      </c>
      <c r="N580" s="355">
        <v>169</v>
      </c>
      <c r="O580" s="355">
        <v>358</v>
      </c>
      <c r="P580" s="355">
        <v>191</v>
      </c>
      <c r="Q580" s="355">
        <v>178</v>
      </c>
      <c r="R580" s="355">
        <v>369</v>
      </c>
      <c r="S580" s="355" t="s">
        <v>1831</v>
      </c>
      <c r="T580" s="355" t="s">
        <v>1832</v>
      </c>
      <c r="U580" s="366">
        <v>615722.85900000005</v>
      </c>
      <c r="V580" s="366">
        <v>2637245.0559999999</v>
      </c>
      <c r="W580" s="334"/>
      <c r="X580" s="341" t="s">
        <v>1818</v>
      </c>
      <c r="Y580" s="341" t="s">
        <v>1786</v>
      </c>
      <c r="Z580" s="338" t="s">
        <v>367</v>
      </c>
      <c r="AA580" s="350"/>
      <c r="AB580" s="350"/>
      <c r="AC580" s="350"/>
      <c r="AD580" s="351"/>
    </row>
    <row r="581" spans="1:30" x14ac:dyDescent="0.2">
      <c r="A581" s="321"/>
      <c r="B581" s="335"/>
      <c r="C581" s="335"/>
      <c r="D581" s="335"/>
      <c r="E581" s="335"/>
      <c r="F581" s="362">
        <v>393</v>
      </c>
      <c r="G581" s="335"/>
      <c r="H581" s="312"/>
      <c r="I581" s="335"/>
      <c r="J581" s="335"/>
      <c r="K581" s="334"/>
      <c r="L581" s="334"/>
      <c r="M581" s="355"/>
      <c r="N581" s="355"/>
      <c r="O581" s="355"/>
      <c r="P581" s="355"/>
      <c r="Q581" s="355"/>
      <c r="R581" s="355"/>
      <c r="S581" s="355"/>
      <c r="T581" s="355"/>
      <c r="U581" s="366"/>
      <c r="V581" s="366"/>
      <c r="W581" s="337" t="s">
        <v>1001</v>
      </c>
      <c r="X581" s="325"/>
      <c r="Y581" s="325"/>
      <c r="Z581" s="367"/>
      <c r="AA581" s="350"/>
      <c r="AB581" s="350"/>
      <c r="AC581" s="350"/>
      <c r="AD581" s="351"/>
    </row>
    <row r="582" spans="1:30" x14ac:dyDescent="0.2">
      <c r="A582" s="327">
        <v>287</v>
      </c>
      <c r="B582" s="335" t="s">
        <v>859</v>
      </c>
      <c r="C582" s="335" t="s">
        <v>328</v>
      </c>
      <c r="D582" s="335" t="s">
        <v>36</v>
      </c>
      <c r="E582" s="335" t="s">
        <v>859</v>
      </c>
      <c r="F582" s="362"/>
      <c r="G582" s="335" t="s">
        <v>859</v>
      </c>
      <c r="H582" s="328">
        <f>H580+F581</f>
        <v>109362.55300000001</v>
      </c>
      <c r="I582" s="377">
        <v>416.226</v>
      </c>
      <c r="J582" s="334">
        <v>72.5</v>
      </c>
      <c r="K582" s="334">
        <f>F581+F583</f>
        <v>815</v>
      </c>
      <c r="L582" s="334">
        <f>K582/2</f>
        <v>407.5</v>
      </c>
      <c r="M582" s="355">
        <v>224</v>
      </c>
      <c r="N582" s="355">
        <v>174</v>
      </c>
      <c r="O582" s="355">
        <v>398</v>
      </c>
      <c r="P582" s="355">
        <v>216</v>
      </c>
      <c r="Q582" s="355">
        <v>186</v>
      </c>
      <c r="R582" s="355">
        <v>402</v>
      </c>
      <c r="S582" s="355" t="s">
        <v>1833</v>
      </c>
      <c r="T582" s="355" t="s">
        <v>1834</v>
      </c>
      <c r="U582" s="366">
        <v>616079.11</v>
      </c>
      <c r="V582" s="366">
        <v>2637079.1209999998</v>
      </c>
      <c r="W582" s="334"/>
      <c r="X582" s="341" t="s">
        <v>1818</v>
      </c>
      <c r="Y582" s="341" t="s">
        <v>1786</v>
      </c>
      <c r="Z582" s="338" t="s">
        <v>367</v>
      </c>
      <c r="AA582" s="350"/>
      <c r="AB582" s="350"/>
      <c r="AC582" s="350"/>
      <c r="AD582" s="351"/>
    </row>
    <row r="583" spans="1:30" x14ac:dyDescent="0.2">
      <c r="A583" s="321"/>
      <c r="B583" s="335"/>
      <c r="C583" s="335"/>
      <c r="D583" s="335"/>
      <c r="E583" s="335"/>
      <c r="F583" s="362">
        <v>422</v>
      </c>
      <c r="G583" s="335"/>
      <c r="H583" s="312"/>
      <c r="I583" s="335"/>
      <c r="J583" s="335"/>
      <c r="K583" s="334"/>
      <c r="L583" s="334"/>
      <c r="M583" s="355"/>
      <c r="N583" s="355"/>
      <c r="O583" s="355"/>
      <c r="P583" s="355"/>
      <c r="Q583" s="355"/>
      <c r="R583" s="355"/>
      <c r="S583" s="355"/>
      <c r="T583" s="355"/>
      <c r="U583" s="366"/>
      <c r="V583" s="366"/>
      <c r="W583" s="337" t="s">
        <v>1835</v>
      </c>
      <c r="X583" s="325"/>
      <c r="Y583" s="325"/>
      <c r="Z583" s="367"/>
      <c r="AA583" s="350"/>
      <c r="AB583" s="350"/>
      <c r="AC583" s="350"/>
      <c r="AD583" s="351"/>
    </row>
    <row r="584" spans="1:30" x14ac:dyDescent="0.2">
      <c r="A584" s="327">
        <v>288</v>
      </c>
      <c r="B584" s="335" t="s">
        <v>859</v>
      </c>
      <c r="C584" s="335" t="s">
        <v>329</v>
      </c>
      <c r="D584" s="335" t="s">
        <v>21</v>
      </c>
      <c r="E584" s="335" t="s">
        <v>859</v>
      </c>
      <c r="F584" s="362"/>
      <c r="G584" s="335" t="s">
        <v>859</v>
      </c>
      <c r="H584" s="328">
        <f>H582+F583</f>
        <v>109784.55300000001</v>
      </c>
      <c r="I584" s="335">
        <v>417.548</v>
      </c>
      <c r="J584" s="334">
        <v>78.5</v>
      </c>
      <c r="K584" s="334">
        <f>F583+F585</f>
        <v>830</v>
      </c>
      <c r="L584" s="334">
        <f>K584/2</f>
        <v>415</v>
      </c>
      <c r="M584" s="355">
        <v>249</v>
      </c>
      <c r="N584" s="355">
        <v>242</v>
      </c>
      <c r="O584" s="355">
        <v>491</v>
      </c>
      <c r="P584" s="355">
        <v>237</v>
      </c>
      <c r="Q584" s="355">
        <v>230</v>
      </c>
      <c r="R584" s="355">
        <v>467</v>
      </c>
      <c r="S584" s="355" t="s">
        <v>1836</v>
      </c>
      <c r="T584" s="355" t="s">
        <v>1837</v>
      </c>
      <c r="U584" s="366">
        <v>616461.64899999998</v>
      </c>
      <c r="V584" s="366">
        <v>2636900.9410000001</v>
      </c>
      <c r="W584" s="334"/>
      <c r="X584" s="341" t="s">
        <v>1838</v>
      </c>
      <c r="Y584" s="341" t="s">
        <v>1786</v>
      </c>
      <c r="Z584" s="338" t="s">
        <v>367</v>
      </c>
      <c r="AA584" s="350"/>
      <c r="AB584" s="350"/>
      <c r="AC584" s="350"/>
      <c r="AD584" s="351"/>
    </row>
    <row r="585" spans="1:30" x14ac:dyDescent="0.2">
      <c r="A585" s="321"/>
      <c r="B585" s="335"/>
      <c r="C585" s="335"/>
      <c r="D585" s="335"/>
      <c r="E585" s="335"/>
      <c r="F585" s="362">
        <v>408</v>
      </c>
      <c r="G585" s="335"/>
      <c r="H585" s="312"/>
      <c r="I585" s="335"/>
      <c r="J585" s="335"/>
      <c r="K585" s="334"/>
      <c r="L585" s="334"/>
      <c r="M585" s="355"/>
      <c r="N585" s="355"/>
      <c r="O585" s="355"/>
      <c r="P585" s="355"/>
      <c r="Q585" s="355"/>
      <c r="R585" s="355"/>
      <c r="S585" s="355"/>
      <c r="T585" s="355"/>
      <c r="U585" s="366"/>
      <c r="V585" s="366"/>
      <c r="W585" s="337"/>
      <c r="X585" s="325"/>
      <c r="Y585" s="325"/>
      <c r="Z585" s="367"/>
      <c r="AA585" s="350"/>
      <c r="AB585" s="350"/>
      <c r="AC585" s="350"/>
      <c r="AD585" s="351"/>
    </row>
    <row r="586" spans="1:30" x14ac:dyDescent="0.2">
      <c r="A586" s="327">
        <v>289</v>
      </c>
      <c r="B586" s="335" t="s">
        <v>859</v>
      </c>
      <c r="C586" s="335" t="s">
        <v>330</v>
      </c>
      <c r="D586" s="335" t="s">
        <v>19</v>
      </c>
      <c r="E586" s="335" t="s">
        <v>859</v>
      </c>
      <c r="F586" s="362"/>
      <c r="G586" s="335" t="s">
        <v>859</v>
      </c>
      <c r="H586" s="328">
        <f>H584+F585</f>
        <v>110192.55300000001</v>
      </c>
      <c r="I586" s="335">
        <v>417.93900000000002</v>
      </c>
      <c r="J586" s="334">
        <v>71</v>
      </c>
      <c r="K586" s="334">
        <f>F585+F587</f>
        <v>778</v>
      </c>
      <c r="L586" s="334">
        <f>K586/2</f>
        <v>389</v>
      </c>
      <c r="M586" s="355">
        <v>167</v>
      </c>
      <c r="N586" s="355">
        <v>195</v>
      </c>
      <c r="O586" s="355">
        <v>362</v>
      </c>
      <c r="P586" s="355">
        <v>179</v>
      </c>
      <c r="Q586" s="355">
        <v>193</v>
      </c>
      <c r="R586" s="355">
        <v>372</v>
      </c>
      <c r="S586" s="355" t="s">
        <v>1839</v>
      </c>
      <c r="T586" s="355" t="s">
        <v>1840</v>
      </c>
      <c r="U586" s="366">
        <v>616831.49699999997</v>
      </c>
      <c r="V586" s="366">
        <v>2636728.673</v>
      </c>
      <c r="W586" s="334"/>
      <c r="X586" s="341" t="s">
        <v>1838</v>
      </c>
      <c r="Y586" s="341" t="s">
        <v>1786</v>
      </c>
      <c r="Z586" s="338" t="s">
        <v>367</v>
      </c>
      <c r="AA586" s="350"/>
      <c r="AB586" s="350"/>
      <c r="AC586" s="350"/>
      <c r="AD586" s="351"/>
    </row>
    <row r="587" spans="1:30" x14ac:dyDescent="0.2">
      <c r="A587" s="321"/>
      <c r="B587" s="335"/>
      <c r="C587" s="335"/>
      <c r="D587" s="335"/>
      <c r="E587" s="335"/>
      <c r="F587" s="362">
        <v>370</v>
      </c>
      <c r="G587" s="335"/>
      <c r="H587" s="312"/>
      <c r="I587" s="335"/>
      <c r="J587" s="335"/>
      <c r="K587" s="334"/>
      <c r="L587" s="334"/>
      <c r="M587" s="335"/>
      <c r="N587" s="335"/>
      <c r="O587" s="335"/>
      <c r="P587" s="335"/>
      <c r="Q587" s="335"/>
      <c r="R587" s="335"/>
      <c r="S587" s="335"/>
      <c r="T587" s="335"/>
      <c r="U587" s="336"/>
      <c r="V587" s="336"/>
      <c r="W587" s="337" t="s">
        <v>1841</v>
      </c>
      <c r="X587" s="325"/>
      <c r="Y587" s="325"/>
      <c r="Z587" s="367"/>
      <c r="AA587" s="350"/>
      <c r="AB587" s="350"/>
      <c r="AC587" s="350"/>
      <c r="AD587" s="351"/>
    </row>
    <row r="588" spans="1:30" x14ac:dyDescent="0.2">
      <c r="A588" s="327">
        <v>290</v>
      </c>
      <c r="B588" s="335" t="s">
        <v>859</v>
      </c>
      <c r="C588" s="335" t="s">
        <v>331</v>
      </c>
      <c r="D588" s="335" t="s">
        <v>28</v>
      </c>
      <c r="E588" s="335" t="s">
        <v>859</v>
      </c>
      <c r="F588" s="362"/>
      <c r="G588" s="335" t="s">
        <v>859</v>
      </c>
      <c r="H588" s="328">
        <f>H586+F587</f>
        <v>110562.55300000001</v>
      </c>
      <c r="I588" s="335">
        <v>417.67599999999999</v>
      </c>
      <c r="J588" s="334">
        <v>69.5</v>
      </c>
      <c r="K588" s="334">
        <f>F587+F589</f>
        <v>715</v>
      </c>
      <c r="L588" s="334">
        <f>K588/2</f>
        <v>357.5</v>
      </c>
      <c r="M588" s="355">
        <v>175</v>
      </c>
      <c r="N588" s="355">
        <v>144</v>
      </c>
      <c r="O588" s="355">
        <v>319</v>
      </c>
      <c r="P588" s="355">
        <v>178</v>
      </c>
      <c r="Q588" s="355">
        <v>153</v>
      </c>
      <c r="R588" s="355">
        <v>331</v>
      </c>
      <c r="S588" s="355" t="s">
        <v>1842</v>
      </c>
      <c r="T588" s="355" t="s">
        <v>1843</v>
      </c>
      <c r="U588" s="366">
        <v>617166.89800000004</v>
      </c>
      <c r="V588" s="366">
        <v>2636572.449</v>
      </c>
      <c r="W588" s="334"/>
      <c r="X588" s="341" t="s">
        <v>1838</v>
      </c>
      <c r="Y588" s="341" t="s">
        <v>1786</v>
      </c>
      <c r="Z588" s="338" t="s">
        <v>367</v>
      </c>
      <c r="AA588" s="350"/>
      <c r="AB588" s="350"/>
      <c r="AC588" s="350"/>
      <c r="AD588" s="351"/>
    </row>
    <row r="589" spans="1:30" x14ac:dyDescent="0.2">
      <c r="A589" s="321"/>
      <c r="B589" s="335"/>
      <c r="C589" s="335"/>
      <c r="D589" s="335"/>
      <c r="E589" s="335"/>
      <c r="F589" s="362">
        <v>345</v>
      </c>
      <c r="G589" s="335"/>
      <c r="H589" s="312"/>
      <c r="I589" s="335"/>
      <c r="J589" s="335"/>
      <c r="K589" s="334"/>
      <c r="L589" s="334"/>
      <c r="M589" s="355"/>
      <c r="N589" s="355"/>
      <c r="O589" s="355"/>
      <c r="P589" s="355"/>
      <c r="Q589" s="355"/>
      <c r="R589" s="355"/>
      <c r="S589" s="355"/>
      <c r="T589" s="355"/>
      <c r="U589" s="366"/>
      <c r="V589" s="366"/>
      <c r="W589" s="337" t="s">
        <v>1001</v>
      </c>
      <c r="X589" s="325"/>
      <c r="Y589" s="325"/>
      <c r="Z589" s="367"/>
      <c r="AA589" s="350"/>
      <c r="AB589" s="350"/>
      <c r="AC589" s="350"/>
      <c r="AD589" s="351"/>
    </row>
    <row r="590" spans="1:30" x14ac:dyDescent="0.2">
      <c r="A590" s="327">
        <v>291</v>
      </c>
      <c r="B590" s="335" t="s">
        <v>859</v>
      </c>
      <c r="C590" s="335" t="s">
        <v>332</v>
      </c>
      <c r="D590" s="335" t="s">
        <v>36</v>
      </c>
      <c r="E590" s="335" t="s">
        <v>859</v>
      </c>
      <c r="F590" s="362"/>
      <c r="G590" s="335" t="s">
        <v>859</v>
      </c>
      <c r="H590" s="328">
        <f>H588+F589</f>
        <v>110907.55300000001</v>
      </c>
      <c r="I590" s="377">
        <v>419.33</v>
      </c>
      <c r="J590" s="334">
        <v>72.5</v>
      </c>
      <c r="K590" s="334">
        <f>F589+F591</f>
        <v>697</v>
      </c>
      <c r="L590" s="334">
        <f>K590/2</f>
        <v>348.5</v>
      </c>
      <c r="M590" s="355">
        <v>202</v>
      </c>
      <c r="N590" s="355">
        <v>100</v>
      </c>
      <c r="O590" s="355">
        <v>302</v>
      </c>
      <c r="P590" s="355">
        <v>193</v>
      </c>
      <c r="Q590" s="355">
        <v>124</v>
      </c>
      <c r="R590" s="355">
        <v>317</v>
      </c>
      <c r="S590" s="355" t="s">
        <v>1844</v>
      </c>
      <c r="T590" s="355" t="s">
        <v>1845</v>
      </c>
      <c r="U590" s="366">
        <v>617479.63699999999</v>
      </c>
      <c r="V590" s="366">
        <v>2636426.7799999998</v>
      </c>
      <c r="W590" s="334"/>
      <c r="X590" s="341" t="s">
        <v>1838</v>
      </c>
      <c r="Y590" s="341" t="s">
        <v>1786</v>
      </c>
      <c r="Z590" s="338" t="s">
        <v>367</v>
      </c>
      <c r="AA590" s="350"/>
      <c r="AB590" s="350"/>
      <c r="AC590" s="350"/>
      <c r="AD590" s="351"/>
    </row>
    <row r="591" spans="1:30" x14ac:dyDescent="0.2">
      <c r="A591" s="321"/>
      <c r="B591" s="335"/>
      <c r="C591" s="335"/>
      <c r="D591" s="335"/>
      <c r="E591" s="335"/>
      <c r="F591" s="362">
        <v>352</v>
      </c>
      <c r="G591" s="335"/>
      <c r="H591" s="312"/>
      <c r="I591" s="335"/>
      <c r="J591" s="335"/>
      <c r="K591" s="334"/>
      <c r="L591" s="334"/>
      <c r="M591" s="355"/>
      <c r="N591" s="355"/>
      <c r="O591" s="355"/>
      <c r="P591" s="355"/>
      <c r="Q591" s="355"/>
      <c r="R591" s="355"/>
      <c r="S591" s="355"/>
      <c r="T591" s="355"/>
      <c r="U591" s="366"/>
      <c r="V591" s="366"/>
      <c r="W591" s="337"/>
      <c r="X591" s="325"/>
      <c r="Y591" s="325"/>
      <c r="Z591" s="367"/>
      <c r="AA591" s="350"/>
      <c r="AB591" s="350"/>
      <c r="AC591" s="350"/>
      <c r="AD591" s="351"/>
    </row>
    <row r="592" spans="1:30" x14ac:dyDescent="0.2">
      <c r="A592" s="327">
        <v>292</v>
      </c>
      <c r="B592" s="335" t="s">
        <v>859</v>
      </c>
      <c r="C592" s="335" t="s">
        <v>333</v>
      </c>
      <c r="D592" s="335" t="s">
        <v>28</v>
      </c>
      <c r="E592" s="335" t="s">
        <v>859</v>
      </c>
      <c r="F592" s="362"/>
      <c r="G592" s="335" t="s">
        <v>859</v>
      </c>
      <c r="H592" s="328">
        <f>H590+F591</f>
        <v>111259.55300000001</v>
      </c>
      <c r="I592" s="335">
        <v>434.78399999999999</v>
      </c>
      <c r="J592" s="334">
        <v>69.5</v>
      </c>
      <c r="K592" s="334">
        <f>F591+F593</f>
        <v>792</v>
      </c>
      <c r="L592" s="334">
        <f>K592/2</f>
        <v>396</v>
      </c>
      <c r="M592" s="355">
        <v>252</v>
      </c>
      <c r="N592" s="355">
        <v>273</v>
      </c>
      <c r="O592" s="355">
        <v>525</v>
      </c>
      <c r="P592" s="355">
        <v>229</v>
      </c>
      <c r="Q592" s="355">
        <v>257</v>
      </c>
      <c r="R592" s="355">
        <v>486</v>
      </c>
      <c r="S592" s="355" t="s">
        <v>1846</v>
      </c>
      <c r="T592" s="355" t="s">
        <v>1847</v>
      </c>
      <c r="U592" s="366">
        <v>617798.72199999995</v>
      </c>
      <c r="V592" s="366">
        <v>2636278.156</v>
      </c>
      <c r="W592" s="337"/>
      <c r="X592" s="341" t="s">
        <v>1838</v>
      </c>
      <c r="Y592" s="341" t="s">
        <v>1786</v>
      </c>
      <c r="Z592" s="338" t="s">
        <v>367</v>
      </c>
      <c r="AA592" s="350"/>
      <c r="AB592" s="350"/>
      <c r="AC592" s="350"/>
      <c r="AD592" s="351"/>
    </row>
    <row r="593" spans="1:31" x14ac:dyDescent="0.2">
      <c r="A593" s="321"/>
      <c r="B593" s="335"/>
      <c r="C593" s="335"/>
      <c r="D593" s="335"/>
      <c r="E593" s="335"/>
      <c r="F593" s="362">
        <v>440</v>
      </c>
      <c r="G593" s="335"/>
      <c r="H593" s="312"/>
      <c r="I593" s="335"/>
      <c r="J593" s="335"/>
      <c r="K593" s="334"/>
      <c r="L593" s="334"/>
      <c r="M593" s="355"/>
      <c r="N593" s="355"/>
      <c r="O593" s="355"/>
      <c r="P593" s="355"/>
      <c r="Q593" s="355"/>
      <c r="R593" s="355"/>
      <c r="S593" s="355"/>
      <c r="T593" s="355"/>
      <c r="U593" s="366"/>
      <c r="V593" s="366"/>
      <c r="W593" s="337"/>
      <c r="X593" s="325"/>
      <c r="Y593" s="325"/>
      <c r="Z593" s="367"/>
      <c r="AA593" s="350"/>
      <c r="AB593" s="350"/>
      <c r="AC593" s="350"/>
      <c r="AD593" s="351"/>
    </row>
    <row r="594" spans="1:31" x14ac:dyDescent="0.2">
      <c r="A594" s="327">
        <v>293</v>
      </c>
      <c r="B594" s="335" t="s">
        <v>859</v>
      </c>
      <c r="C594" s="335" t="s">
        <v>334</v>
      </c>
      <c r="D594" s="335" t="s">
        <v>40</v>
      </c>
      <c r="E594" s="335" t="s">
        <v>859</v>
      </c>
      <c r="F594" s="362"/>
      <c r="G594" s="335" t="s">
        <v>859</v>
      </c>
      <c r="H594" s="328">
        <f>H592+F593</f>
        <v>111699.55300000001</v>
      </c>
      <c r="I594" s="335">
        <v>419.428</v>
      </c>
      <c r="J594" s="334">
        <v>74</v>
      </c>
      <c r="K594" s="334">
        <f>F593+F595</f>
        <v>820</v>
      </c>
      <c r="L594" s="334">
        <f>K594/2</f>
        <v>410</v>
      </c>
      <c r="M594" s="355">
        <v>167</v>
      </c>
      <c r="N594" s="355">
        <v>199</v>
      </c>
      <c r="O594" s="355">
        <v>366</v>
      </c>
      <c r="P594" s="355">
        <v>184</v>
      </c>
      <c r="Q594" s="355">
        <v>196</v>
      </c>
      <c r="R594" s="355">
        <v>380</v>
      </c>
      <c r="S594" s="355" t="s">
        <v>1848</v>
      </c>
      <c r="T594" s="355" t="s">
        <v>1849</v>
      </c>
      <c r="U594" s="366">
        <v>618197.57700000005</v>
      </c>
      <c r="V594" s="366">
        <v>2636092.3760000002</v>
      </c>
      <c r="W594" s="334"/>
      <c r="X594" s="341" t="s">
        <v>1838</v>
      </c>
      <c r="Y594" s="341" t="s">
        <v>1786</v>
      </c>
      <c r="Z594" s="338" t="s">
        <v>367</v>
      </c>
      <c r="AA594" s="350"/>
      <c r="AB594" s="350"/>
      <c r="AC594" s="350"/>
      <c r="AD594" s="351"/>
    </row>
    <row r="595" spans="1:31" x14ac:dyDescent="0.2">
      <c r="A595" s="321"/>
      <c r="B595" s="335"/>
      <c r="C595" s="335"/>
      <c r="D595" s="335"/>
      <c r="E595" s="335"/>
      <c r="F595" s="362">
        <v>380</v>
      </c>
      <c r="G595" s="335"/>
      <c r="H595" s="312"/>
      <c r="I595" s="335"/>
      <c r="J595" s="335"/>
      <c r="K595" s="334"/>
      <c r="L595" s="334"/>
      <c r="M595" s="355"/>
      <c r="N595" s="355"/>
      <c r="O595" s="355"/>
      <c r="P595" s="355"/>
      <c r="Q595" s="355"/>
      <c r="R595" s="355"/>
      <c r="S595" s="355"/>
      <c r="T595" s="355"/>
      <c r="U595" s="366"/>
      <c r="V595" s="366"/>
      <c r="W595" s="337" t="s">
        <v>1812</v>
      </c>
      <c r="X595" s="325"/>
      <c r="Y595" s="325"/>
      <c r="Z595" s="367"/>
      <c r="AA595" s="350"/>
      <c r="AB595" s="350"/>
      <c r="AC595" s="350"/>
      <c r="AD595" s="351"/>
    </row>
    <row r="596" spans="1:31" x14ac:dyDescent="0.2">
      <c r="A596" s="327">
        <v>294</v>
      </c>
      <c r="B596" s="335" t="s">
        <v>859</v>
      </c>
      <c r="C596" s="335" t="s">
        <v>335</v>
      </c>
      <c r="D596" s="335" t="s">
        <v>28</v>
      </c>
      <c r="E596" s="335" t="s">
        <v>859</v>
      </c>
      <c r="F596" s="362"/>
      <c r="G596" s="335" t="s">
        <v>859</v>
      </c>
      <c r="H596" s="328">
        <f>H594+F595</f>
        <v>112079.55300000001</v>
      </c>
      <c r="I596" s="335">
        <v>422.44200000000001</v>
      </c>
      <c r="J596" s="334">
        <v>69.5</v>
      </c>
      <c r="K596" s="334">
        <f>F595+F597</f>
        <v>796</v>
      </c>
      <c r="L596" s="334">
        <f>K596/2</f>
        <v>398</v>
      </c>
      <c r="M596" s="355">
        <v>182</v>
      </c>
      <c r="N596" s="355">
        <v>127</v>
      </c>
      <c r="O596" s="355">
        <v>309</v>
      </c>
      <c r="P596" s="355">
        <v>185</v>
      </c>
      <c r="Q596" s="355">
        <v>153</v>
      </c>
      <c r="R596" s="355">
        <v>338</v>
      </c>
      <c r="S596" s="355" t="s">
        <v>1850</v>
      </c>
      <c r="T596" s="355" t="s">
        <v>1851</v>
      </c>
      <c r="U596" s="366">
        <v>618542.04299999995</v>
      </c>
      <c r="V596" s="366">
        <v>2635931.9300000002</v>
      </c>
      <c r="W596" s="334"/>
      <c r="X596" s="341" t="s">
        <v>1838</v>
      </c>
      <c r="Y596" s="341" t="s">
        <v>1786</v>
      </c>
      <c r="Z596" s="338" t="s">
        <v>367</v>
      </c>
      <c r="AA596" s="350"/>
      <c r="AB596" s="350"/>
      <c r="AC596" s="350"/>
      <c r="AD596" s="351"/>
    </row>
    <row r="597" spans="1:31" x14ac:dyDescent="0.2">
      <c r="A597" s="321"/>
      <c r="B597" s="335"/>
      <c r="C597" s="335"/>
      <c r="D597" s="335"/>
      <c r="E597" s="335"/>
      <c r="F597" s="362">
        <v>416</v>
      </c>
      <c r="G597" s="335"/>
      <c r="H597" s="312"/>
      <c r="I597" s="335"/>
      <c r="J597" s="335"/>
      <c r="K597" s="334"/>
      <c r="L597" s="334"/>
      <c r="M597" s="355"/>
      <c r="N597" s="355"/>
      <c r="O597" s="355"/>
      <c r="P597" s="355"/>
      <c r="Q597" s="355"/>
      <c r="R597" s="355"/>
      <c r="S597" s="355"/>
      <c r="T597" s="355"/>
      <c r="U597" s="366"/>
      <c r="V597" s="366"/>
      <c r="W597" s="337" t="s">
        <v>1852</v>
      </c>
      <c r="X597" s="325"/>
      <c r="Y597" s="325"/>
      <c r="Z597" s="367"/>
      <c r="AA597" s="350"/>
      <c r="AB597" s="350"/>
      <c r="AC597" s="350"/>
      <c r="AD597" s="351"/>
    </row>
    <row r="598" spans="1:31" x14ac:dyDescent="0.2">
      <c r="A598" s="327">
        <v>295</v>
      </c>
      <c r="B598" s="335" t="s">
        <v>859</v>
      </c>
      <c r="C598" s="335" t="s">
        <v>336</v>
      </c>
      <c r="D598" s="335" t="s">
        <v>25</v>
      </c>
      <c r="E598" s="335" t="s">
        <v>859</v>
      </c>
      <c r="F598" s="362"/>
      <c r="G598" s="335" t="s">
        <v>859</v>
      </c>
      <c r="H598" s="328">
        <f>H596+F597</f>
        <v>112495.55300000001</v>
      </c>
      <c r="I598" s="335">
        <v>426.214</v>
      </c>
      <c r="J598" s="334">
        <v>81.5</v>
      </c>
      <c r="K598" s="334">
        <f>F597+F599</f>
        <v>822</v>
      </c>
      <c r="L598" s="334">
        <f>K598/2</f>
        <v>411</v>
      </c>
      <c r="M598" s="355">
        <v>290</v>
      </c>
      <c r="N598" s="355">
        <v>284</v>
      </c>
      <c r="O598" s="355">
        <v>574</v>
      </c>
      <c r="P598" s="355">
        <v>265</v>
      </c>
      <c r="Q598" s="355">
        <v>259</v>
      </c>
      <c r="R598" s="355">
        <v>524</v>
      </c>
      <c r="S598" s="355" t="s">
        <v>1853</v>
      </c>
      <c r="T598" s="355" t="s">
        <v>1854</v>
      </c>
      <c r="U598" s="366">
        <v>618919.14300000004</v>
      </c>
      <c r="V598" s="366">
        <v>2635756.284</v>
      </c>
      <c r="W598" s="344" t="s">
        <v>1116</v>
      </c>
      <c r="X598" s="341" t="s">
        <v>1855</v>
      </c>
      <c r="Y598" s="341" t="s">
        <v>1786</v>
      </c>
      <c r="Z598" s="338" t="s">
        <v>367</v>
      </c>
      <c r="AA598" s="353">
        <v>1</v>
      </c>
      <c r="AB598" s="353">
        <v>0</v>
      </c>
      <c r="AC598" s="353">
        <v>0</v>
      </c>
      <c r="AD598" s="354">
        <v>0</v>
      </c>
      <c r="AE598" s="352" t="s">
        <v>1046</v>
      </c>
    </row>
    <row r="599" spans="1:31" x14ac:dyDescent="0.2">
      <c r="A599" s="321"/>
      <c r="B599" s="335"/>
      <c r="C599" s="335"/>
      <c r="D599" s="335"/>
      <c r="E599" s="335"/>
      <c r="F599" s="362">
        <v>406</v>
      </c>
      <c r="G599" s="335"/>
      <c r="H599" s="312"/>
      <c r="I599" s="335"/>
      <c r="J599" s="335"/>
      <c r="K599" s="334"/>
      <c r="L599" s="334"/>
      <c r="M599" s="355"/>
      <c r="N599" s="355"/>
      <c r="O599" s="355"/>
      <c r="P599" s="355"/>
      <c r="Q599" s="355"/>
      <c r="R599" s="355"/>
      <c r="S599" s="355"/>
      <c r="T599" s="355"/>
      <c r="U599" s="366"/>
      <c r="V599" s="366"/>
      <c r="W599" s="337" t="s">
        <v>1458</v>
      </c>
      <c r="X599" s="325"/>
      <c r="Y599" s="325"/>
      <c r="Z599" s="367"/>
      <c r="AA599" s="350"/>
      <c r="AB599" s="350"/>
      <c r="AC599" s="350"/>
      <c r="AD599" s="351"/>
    </row>
    <row r="600" spans="1:31" x14ac:dyDescent="0.2">
      <c r="A600" s="327">
        <v>296</v>
      </c>
      <c r="B600" s="335" t="s">
        <v>859</v>
      </c>
      <c r="C600" s="335" t="s">
        <v>337</v>
      </c>
      <c r="D600" s="335" t="s">
        <v>21</v>
      </c>
      <c r="E600" s="335" t="s">
        <v>859</v>
      </c>
      <c r="F600" s="362"/>
      <c r="G600" s="335" t="s">
        <v>859</v>
      </c>
      <c r="H600" s="328">
        <f>H598+F599</f>
        <v>112901.55300000001</v>
      </c>
      <c r="I600" s="335">
        <v>414.05900000000003</v>
      </c>
      <c r="J600" s="334">
        <v>78.5</v>
      </c>
      <c r="K600" s="334">
        <f>F599+F601</f>
        <v>839.178</v>
      </c>
      <c r="L600" s="334">
        <f>K600/2</f>
        <v>419.589</v>
      </c>
      <c r="M600" s="355">
        <v>123</v>
      </c>
      <c r="N600" s="355">
        <v>249</v>
      </c>
      <c r="O600" s="355">
        <v>372</v>
      </c>
      <c r="P600" s="355">
        <v>149</v>
      </c>
      <c r="Q600" s="355">
        <v>239</v>
      </c>
      <c r="R600" s="355">
        <v>388</v>
      </c>
      <c r="S600" s="355" t="s">
        <v>1856</v>
      </c>
      <c r="T600" s="355" t="s">
        <v>1857</v>
      </c>
      <c r="U600" s="366">
        <v>619287.17799999996</v>
      </c>
      <c r="V600" s="366">
        <v>2635584.86</v>
      </c>
      <c r="W600" s="393"/>
      <c r="X600" s="341" t="s">
        <v>1855</v>
      </c>
      <c r="Y600" s="341" t="s">
        <v>1786</v>
      </c>
      <c r="Z600" s="338" t="s">
        <v>367</v>
      </c>
      <c r="AA600" s="350"/>
      <c r="AB600" s="350"/>
      <c r="AC600" s="350"/>
      <c r="AD600" s="351"/>
    </row>
    <row r="601" spans="1:31" x14ac:dyDescent="0.2">
      <c r="A601" s="321"/>
      <c r="B601" s="335"/>
      <c r="C601" s="335"/>
      <c r="D601" s="335"/>
      <c r="E601" s="335"/>
      <c r="F601" s="362">
        <v>433.178</v>
      </c>
      <c r="G601" s="335"/>
      <c r="H601" s="312"/>
      <c r="I601" s="335"/>
      <c r="J601" s="335"/>
      <c r="K601" s="334"/>
      <c r="L601" s="334"/>
      <c r="M601" s="355"/>
      <c r="N601" s="355"/>
      <c r="O601" s="355"/>
      <c r="P601" s="355"/>
      <c r="Q601" s="355"/>
      <c r="R601" s="355"/>
      <c r="S601" s="355"/>
      <c r="T601" s="355"/>
      <c r="U601" s="366"/>
      <c r="V601" s="366"/>
      <c r="W601" s="337" t="s">
        <v>1858</v>
      </c>
      <c r="X601" s="325"/>
      <c r="Y601" s="325"/>
      <c r="Z601" s="367"/>
      <c r="AA601" s="350"/>
      <c r="AB601" s="350"/>
      <c r="AC601" s="350"/>
      <c r="AD601" s="351"/>
    </row>
    <row r="602" spans="1:31" x14ac:dyDescent="0.2">
      <c r="A602" s="327">
        <v>297</v>
      </c>
      <c r="B602" s="335" t="s">
        <v>1859</v>
      </c>
      <c r="C602" s="335" t="s">
        <v>338</v>
      </c>
      <c r="D602" s="335" t="s">
        <v>33</v>
      </c>
      <c r="E602" s="335" t="s">
        <v>1860</v>
      </c>
      <c r="F602" s="362"/>
      <c r="G602" s="359">
        <f>SUM(F579:F601)</f>
        <v>4751.1779999999999</v>
      </c>
      <c r="H602" s="328">
        <f>H600+F601</f>
        <v>113334.73100000001</v>
      </c>
      <c r="I602" s="335">
        <v>413.6</v>
      </c>
      <c r="J602" s="343">
        <v>70.72</v>
      </c>
      <c r="K602" s="334">
        <f>F601+F603</f>
        <v>786.42599999999993</v>
      </c>
      <c r="L602" s="334">
        <f>K602/2</f>
        <v>393.21299999999997</v>
      </c>
      <c r="M602" s="355">
        <v>185</v>
      </c>
      <c r="N602" s="355">
        <v>116</v>
      </c>
      <c r="O602" s="355">
        <v>301</v>
      </c>
      <c r="P602" s="355">
        <v>195</v>
      </c>
      <c r="Q602" s="355">
        <v>135</v>
      </c>
      <c r="R602" s="355">
        <v>330</v>
      </c>
      <c r="S602" s="355" t="s">
        <v>1861</v>
      </c>
      <c r="T602" s="355" t="s">
        <v>1862</v>
      </c>
      <c r="U602" s="366">
        <v>619679.85</v>
      </c>
      <c r="V602" s="366">
        <v>2635401.96</v>
      </c>
      <c r="W602" s="337"/>
      <c r="X602" s="341" t="s">
        <v>1855</v>
      </c>
      <c r="Y602" s="341" t="s">
        <v>1786</v>
      </c>
      <c r="Z602" s="338" t="s">
        <v>367</v>
      </c>
      <c r="AA602" s="350"/>
      <c r="AB602" s="350"/>
      <c r="AC602" s="350"/>
      <c r="AD602" s="351"/>
    </row>
    <row r="603" spans="1:31" x14ac:dyDescent="0.2">
      <c r="A603" s="321"/>
      <c r="B603" s="335"/>
      <c r="C603" s="335"/>
      <c r="D603" s="335"/>
      <c r="E603" s="335"/>
      <c r="F603" s="362">
        <v>353.24799999999999</v>
      </c>
      <c r="G603" s="335"/>
      <c r="H603" s="312"/>
      <c r="I603" s="335"/>
      <c r="J603" s="335"/>
      <c r="K603" s="334"/>
      <c r="L603" s="334"/>
      <c r="M603" s="355"/>
      <c r="N603" s="355"/>
      <c r="O603" s="355"/>
      <c r="P603" s="355"/>
      <c r="Q603" s="355"/>
      <c r="R603" s="355"/>
      <c r="S603" s="355"/>
      <c r="T603" s="355"/>
      <c r="U603" s="366"/>
      <c r="V603" s="366"/>
      <c r="W603" s="337" t="s">
        <v>1863</v>
      </c>
      <c r="X603" s="325"/>
      <c r="Y603" s="325"/>
      <c r="Z603" s="367"/>
      <c r="AA603" s="350"/>
      <c r="AB603" s="350"/>
      <c r="AC603" s="350"/>
      <c r="AD603" s="351"/>
    </row>
    <row r="604" spans="1:31" x14ac:dyDescent="0.2">
      <c r="A604" s="327">
        <v>298</v>
      </c>
      <c r="B604" s="335" t="s">
        <v>859</v>
      </c>
      <c r="C604" s="335" t="s">
        <v>339</v>
      </c>
      <c r="D604" s="335" t="s">
        <v>21</v>
      </c>
      <c r="E604" s="335" t="s">
        <v>1864</v>
      </c>
      <c r="F604" s="362"/>
      <c r="G604" s="335" t="s">
        <v>859</v>
      </c>
      <c r="H604" s="328">
        <f>H602+F603</f>
        <v>113687.97900000002</v>
      </c>
      <c r="I604" s="335">
        <v>417.697</v>
      </c>
      <c r="J604" s="334">
        <v>78.5</v>
      </c>
      <c r="K604" s="334">
        <f>F603+F605</f>
        <v>760.24800000000005</v>
      </c>
      <c r="L604" s="334">
        <f>K604/2</f>
        <v>380.12400000000002</v>
      </c>
      <c r="M604" s="355">
        <v>238</v>
      </c>
      <c r="N604" s="355">
        <v>301</v>
      </c>
      <c r="O604" s="355">
        <v>539</v>
      </c>
      <c r="P604" s="355">
        <v>219</v>
      </c>
      <c r="Q604" s="355">
        <v>271</v>
      </c>
      <c r="R604" s="355">
        <v>490</v>
      </c>
      <c r="S604" s="355" t="s">
        <v>1865</v>
      </c>
      <c r="T604" s="355" t="s">
        <v>1866</v>
      </c>
      <c r="U604" s="366">
        <v>619995.38899999997</v>
      </c>
      <c r="V604" s="366">
        <v>2635243.1540000001</v>
      </c>
      <c r="W604" s="344" t="s">
        <v>1116</v>
      </c>
      <c r="X604" s="341" t="s">
        <v>1867</v>
      </c>
      <c r="Y604" s="341" t="s">
        <v>1786</v>
      </c>
      <c r="Z604" s="338" t="s">
        <v>367</v>
      </c>
      <c r="AA604" s="353">
        <v>2.5</v>
      </c>
      <c r="AB604" s="394">
        <v>2.5</v>
      </c>
      <c r="AC604" s="353">
        <v>0</v>
      </c>
      <c r="AD604" s="354">
        <v>0</v>
      </c>
      <c r="AE604" s="352" t="s">
        <v>1046</v>
      </c>
    </row>
    <row r="605" spans="1:31" x14ac:dyDescent="0.2">
      <c r="A605" s="321"/>
      <c r="B605" s="335"/>
      <c r="C605" s="335"/>
      <c r="D605" s="335"/>
      <c r="E605" s="335"/>
      <c r="F605" s="362">
        <v>407</v>
      </c>
      <c r="G605" s="335"/>
      <c r="H605" s="312"/>
      <c r="I605" s="335"/>
      <c r="J605" s="335"/>
      <c r="K605" s="334"/>
      <c r="L605" s="334"/>
      <c r="M605" s="355"/>
      <c r="N605" s="355"/>
      <c r="O605" s="355"/>
      <c r="P605" s="355"/>
      <c r="Q605" s="355"/>
      <c r="R605" s="355"/>
      <c r="S605" s="355"/>
      <c r="T605" s="355"/>
      <c r="U605" s="366"/>
      <c r="V605" s="366"/>
      <c r="W605" s="337" t="s">
        <v>1868</v>
      </c>
      <c r="X605" s="325"/>
      <c r="Y605" s="325"/>
      <c r="Z605" s="367"/>
      <c r="AA605" s="350"/>
      <c r="AB605" s="350"/>
      <c r="AC605" s="350"/>
      <c r="AD605" s="351"/>
    </row>
    <row r="606" spans="1:31" x14ac:dyDescent="0.2">
      <c r="A606" s="327">
        <v>299</v>
      </c>
      <c r="B606" s="335" t="s">
        <v>859</v>
      </c>
      <c r="C606" s="335" t="s">
        <v>340</v>
      </c>
      <c r="D606" s="335" t="s">
        <v>19</v>
      </c>
      <c r="E606" s="335" t="s">
        <v>1869</v>
      </c>
      <c r="F606" s="362"/>
      <c r="G606" s="335" t="s">
        <v>859</v>
      </c>
      <c r="H606" s="328">
        <f>H604+F605</f>
        <v>114094.97900000002</v>
      </c>
      <c r="I606" s="335">
        <v>406.74700000000001</v>
      </c>
      <c r="J606" s="334">
        <v>71</v>
      </c>
      <c r="K606" s="334">
        <f>F605+F607</f>
        <v>823</v>
      </c>
      <c r="L606" s="334">
        <f>K606/2</f>
        <v>411.5</v>
      </c>
      <c r="M606" s="355">
        <v>107</v>
      </c>
      <c r="N606" s="355">
        <v>187</v>
      </c>
      <c r="O606" s="355">
        <v>294</v>
      </c>
      <c r="P606" s="355">
        <v>137</v>
      </c>
      <c r="Q606" s="355">
        <v>194</v>
      </c>
      <c r="R606" s="355">
        <v>331</v>
      </c>
      <c r="S606" s="355" t="s">
        <v>1870</v>
      </c>
      <c r="T606" s="355" t="s">
        <v>1871</v>
      </c>
      <c r="U606" s="366">
        <v>620356.505</v>
      </c>
      <c r="V606" s="366">
        <v>2635055.5490000001</v>
      </c>
      <c r="W606" s="334"/>
      <c r="X606" s="341" t="s">
        <v>1867</v>
      </c>
      <c r="Y606" s="341" t="s">
        <v>1786</v>
      </c>
      <c r="Z606" s="338" t="s">
        <v>367</v>
      </c>
      <c r="AA606" s="350"/>
      <c r="AB606" s="350"/>
      <c r="AC606" s="350"/>
      <c r="AD606" s="351"/>
    </row>
    <row r="607" spans="1:31" x14ac:dyDescent="0.2">
      <c r="A607" s="321"/>
      <c r="B607" s="335"/>
      <c r="C607" s="335"/>
      <c r="D607" s="335"/>
      <c r="E607" s="335"/>
      <c r="F607" s="362">
        <v>416</v>
      </c>
      <c r="G607" s="335"/>
      <c r="H607" s="312"/>
      <c r="I607" s="335"/>
      <c r="J607" s="335"/>
      <c r="K607" s="334"/>
      <c r="L607" s="334"/>
      <c r="M607" s="355"/>
      <c r="N607" s="355"/>
      <c r="O607" s="355"/>
      <c r="P607" s="355"/>
      <c r="Q607" s="355"/>
      <c r="R607" s="355"/>
      <c r="S607" s="355"/>
      <c r="T607" s="355"/>
      <c r="U607" s="366"/>
      <c r="V607" s="366"/>
      <c r="W607" s="337" t="s">
        <v>1872</v>
      </c>
      <c r="X607" s="325"/>
      <c r="Y607" s="325"/>
      <c r="Z607" s="367"/>
      <c r="AA607" s="350"/>
      <c r="AB607" s="350"/>
      <c r="AC607" s="350"/>
      <c r="AD607" s="351"/>
    </row>
    <row r="608" spans="1:31" x14ac:dyDescent="0.2">
      <c r="A608" s="327">
        <v>300</v>
      </c>
      <c r="B608" s="335" t="s">
        <v>859</v>
      </c>
      <c r="C608" s="335" t="s">
        <v>341</v>
      </c>
      <c r="D608" s="335" t="s">
        <v>21</v>
      </c>
      <c r="E608" s="335" t="s">
        <v>859</v>
      </c>
      <c r="F608" s="362"/>
      <c r="G608" s="335" t="s">
        <v>859</v>
      </c>
      <c r="H608" s="328">
        <f>H606+F607</f>
        <v>114510.97900000002</v>
      </c>
      <c r="I608" s="335">
        <v>403.34899999999999</v>
      </c>
      <c r="J608" s="334">
        <v>78.5</v>
      </c>
      <c r="K608" s="334">
        <f>F607+F609</f>
        <v>789</v>
      </c>
      <c r="L608" s="334">
        <f>K608/2</f>
        <v>394.5</v>
      </c>
      <c r="M608" s="355">
        <v>230</v>
      </c>
      <c r="N608" s="355">
        <v>245</v>
      </c>
      <c r="O608" s="355">
        <v>475</v>
      </c>
      <c r="P608" s="355">
        <v>223</v>
      </c>
      <c r="Q608" s="355">
        <v>227</v>
      </c>
      <c r="R608" s="355">
        <v>450</v>
      </c>
      <c r="S608" s="355" t="s">
        <v>1873</v>
      </c>
      <c r="T608" s="355" t="s">
        <v>1874</v>
      </c>
      <c r="U608" s="366">
        <v>620728.44700000004</v>
      </c>
      <c r="V608" s="366">
        <v>2634869.23</v>
      </c>
      <c r="W608" s="334"/>
      <c r="X608" s="341" t="s">
        <v>1867</v>
      </c>
      <c r="Y608" s="341" t="s">
        <v>1786</v>
      </c>
      <c r="Z608" s="338" t="s">
        <v>367</v>
      </c>
      <c r="AA608" s="350"/>
      <c r="AB608" s="350"/>
      <c r="AC608" s="350"/>
      <c r="AD608" s="351"/>
    </row>
    <row r="609" spans="1:30" ht="25.5" x14ac:dyDescent="0.2">
      <c r="A609" s="321"/>
      <c r="B609" s="335"/>
      <c r="C609" s="335"/>
      <c r="D609" s="335"/>
      <c r="E609" s="335"/>
      <c r="F609" s="362">
        <v>373</v>
      </c>
      <c r="G609" s="335"/>
      <c r="H609" s="312"/>
      <c r="I609" s="335"/>
      <c r="J609" s="335"/>
      <c r="K609" s="334"/>
      <c r="L609" s="334"/>
      <c r="M609" s="355"/>
      <c r="N609" s="355"/>
      <c r="O609" s="355"/>
      <c r="P609" s="355"/>
      <c r="Q609" s="355"/>
      <c r="R609" s="355"/>
      <c r="S609" s="355"/>
      <c r="T609" s="355"/>
      <c r="U609" s="366"/>
      <c r="V609" s="366"/>
      <c r="W609" s="337" t="s">
        <v>1875</v>
      </c>
      <c r="X609" s="325"/>
      <c r="Y609" s="325"/>
      <c r="Z609" s="367"/>
      <c r="AA609" s="350"/>
      <c r="AB609" s="350"/>
      <c r="AC609" s="350"/>
      <c r="AD609" s="351"/>
    </row>
    <row r="610" spans="1:30" x14ac:dyDescent="0.2">
      <c r="A610" s="327">
        <v>301</v>
      </c>
      <c r="B610" s="335" t="s">
        <v>859</v>
      </c>
      <c r="C610" s="335" t="s">
        <v>342</v>
      </c>
      <c r="D610" s="335" t="s">
        <v>28</v>
      </c>
      <c r="E610" s="335" t="s">
        <v>859</v>
      </c>
      <c r="F610" s="362"/>
      <c r="G610" s="335" t="s">
        <v>859</v>
      </c>
      <c r="H610" s="328">
        <f>H608+F609</f>
        <v>114883.97900000002</v>
      </c>
      <c r="I610" s="335">
        <v>402.19600000000003</v>
      </c>
      <c r="J610" s="334">
        <v>69.5</v>
      </c>
      <c r="K610" s="334">
        <f>F609+F611</f>
        <v>762</v>
      </c>
      <c r="L610" s="334">
        <f>K610/2</f>
        <v>381</v>
      </c>
      <c r="M610" s="355">
        <v>128</v>
      </c>
      <c r="N610" s="355">
        <v>165</v>
      </c>
      <c r="O610" s="355">
        <v>293</v>
      </c>
      <c r="P610" s="355">
        <v>147</v>
      </c>
      <c r="Q610" s="355">
        <v>175</v>
      </c>
      <c r="R610" s="355">
        <v>322</v>
      </c>
      <c r="S610" s="355" t="s">
        <v>1876</v>
      </c>
      <c r="T610" s="355" t="s">
        <v>1877</v>
      </c>
      <c r="U610" s="366">
        <v>621061.94400000002</v>
      </c>
      <c r="V610" s="366">
        <v>2634702.1690000002</v>
      </c>
      <c r="W610" s="334"/>
      <c r="X610" s="341" t="s">
        <v>1867</v>
      </c>
      <c r="Y610" s="341" t="s">
        <v>1786</v>
      </c>
      <c r="Z610" s="338" t="s">
        <v>367</v>
      </c>
      <c r="AA610" s="350"/>
      <c r="AB610" s="350"/>
      <c r="AC610" s="350"/>
      <c r="AD610" s="351"/>
    </row>
    <row r="611" spans="1:30" x14ac:dyDescent="0.2">
      <c r="A611" s="321"/>
      <c r="B611" s="335"/>
      <c r="C611" s="335"/>
      <c r="D611" s="335"/>
      <c r="E611" s="335"/>
      <c r="F611" s="362">
        <v>389</v>
      </c>
      <c r="G611" s="335"/>
      <c r="H611" s="312"/>
      <c r="I611" s="335"/>
      <c r="J611" s="335"/>
      <c r="K611" s="334"/>
      <c r="L611" s="334"/>
      <c r="M611" s="355"/>
      <c r="N611" s="355"/>
      <c r="O611" s="355"/>
      <c r="P611" s="355"/>
      <c r="Q611" s="355"/>
      <c r="R611" s="355"/>
      <c r="S611" s="355"/>
      <c r="T611" s="355"/>
      <c r="U611" s="366"/>
      <c r="V611" s="366"/>
      <c r="W611" s="337" t="s">
        <v>1868</v>
      </c>
      <c r="X611" s="325"/>
      <c r="Y611" s="325"/>
      <c r="Z611" s="367"/>
      <c r="AA611" s="350"/>
      <c r="AB611" s="350"/>
      <c r="AC611" s="350"/>
      <c r="AD611" s="351"/>
    </row>
    <row r="612" spans="1:30" x14ac:dyDescent="0.2">
      <c r="A612" s="327">
        <v>302</v>
      </c>
      <c r="B612" s="335" t="s">
        <v>859</v>
      </c>
      <c r="C612" s="335" t="s">
        <v>343</v>
      </c>
      <c r="D612" s="335" t="s">
        <v>38</v>
      </c>
      <c r="E612" s="335" t="s">
        <v>859</v>
      </c>
      <c r="F612" s="362"/>
      <c r="G612" s="335" t="s">
        <v>859</v>
      </c>
      <c r="H612" s="328">
        <f>H610+F611</f>
        <v>115272.97900000002</v>
      </c>
      <c r="I612" s="335">
        <v>401.524</v>
      </c>
      <c r="J612" s="334">
        <v>75.5</v>
      </c>
      <c r="K612" s="334">
        <f>F611+F613</f>
        <v>788</v>
      </c>
      <c r="L612" s="334">
        <f>K612/2</f>
        <v>394</v>
      </c>
      <c r="M612" s="355">
        <v>224</v>
      </c>
      <c r="N612" s="355">
        <v>232</v>
      </c>
      <c r="O612" s="355">
        <v>456</v>
      </c>
      <c r="P612" s="355">
        <v>215</v>
      </c>
      <c r="Q612" s="355">
        <v>222</v>
      </c>
      <c r="R612" s="355">
        <v>437</v>
      </c>
      <c r="S612" s="355" t="s">
        <v>1878</v>
      </c>
      <c r="T612" s="355" t="s">
        <v>1879</v>
      </c>
      <c r="U612" s="366">
        <v>621409.74600000004</v>
      </c>
      <c r="V612" s="366">
        <v>2634527.943</v>
      </c>
      <c r="W612" s="334"/>
      <c r="X612" s="341" t="s">
        <v>1867</v>
      </c>
      <c r="Y612" s="341" t="s">
        <v>1786</v>
      </c>
      <c r="Z612" s="338" t="s">
        <v>367</v>
      </c>
      <c r="AA612" s="350"/>
      <c r="AB612" s="350"/>
      <c r="AC612" s="350"/>
      <c r="AD612" s="351"/>
    </row>
    <row r="613" spans="1:30" x14ac:dyDescent="0.2">
      <c r="A613" s="321"/>
      <c r="B613" s="335"/>
      <c r="C613" s="335"/>
      <c r="D613" s="335"/>
      <c r="E613" s="335"/>
      <c r="F613" s="362">
        <v>399</v>
      </c>
      <c r="G613" s="335"/>
      <c r="H613" s="312"/>
      <c r="I613" s="335"/>
      <c r="J613" s="335"/>
      <c r="K613" s="334"/>
      <c r="L613" s="334"/>
      <c r="M613" s="355"/>
      <c r="N613" s="355"/>
      <c r="O613" s="355"/>
      <c r="P613" s="355"/>
      <c r="Q613" s="355"/>
      <c r="R613" s="355"/>
      <c r="S613" s="355"/>
      <c r="T613" s="355"/>
      <c r="U613" s="366"/>
      <c r="V613" s="366"/>
      <c r="W613" s="337" t="s">
        <v>1017</v>
      </c>
      <c r="X613" s="325"/>
      <c r="Y613" s="325"/>
      <c r="Z613" s="367"/>
      <c r="AA613" s="350"/>
      <c r="AB613" s="350"/>
      <c r="AC613" s="350"/>
      <c r="AD613" s="351"/>
    </row>
    <row r="614" spans="1:30" x14ac:dyDescent="0.2">
      <c r="A614" s="327">
        <v>303</v>
      </c>
      <c r="B614" s="335" t="s">
        <v>859</v>
      </c>
      <c r="C614" s="335" t="s">
        <v>344</v>
      </c>
      <c r="D614" s="335" t="s">
        <v>19</v>
      </c>
      <c r="E614" s="335" t="s">
        <v>859</v>
      </c>
      <c r="F614" s="362"/>
      <c r="G614" s="335" t="s">
        <v>859</v>
      </c>
      <c r="H614" s="328">
        <f>H612+F613</f>
        <v>115671.97900000002</v>
      </c>
      <c r="I614" s="335">
        <v>400.07100000000003</v>
      </c>
      <c r="J614" s="334">
        <v>71</v>
      </c>
      <c r="K614" s="334">
        <f>F613+F615</f>
        <v>811</v>
      </c>
      <c r="L614" s="334">
        <f>K614/2</f>
        <v>405.5</v>
      </c>
      <c r="M614" s="355">
        <v>168</v>
      </c>
      <c r="N614" s="355">
        <v>172</v>
      </c>
      <c r="O614" s="355">
        <v>340</v>
      </c>
      <c r="P614" s="355">
        <v>178</v>
      </c>
      <c r="Q614" s="355">
        <v>183</v>
      </c>
      <c r="R614" s="355">
        <v>361</v>
      </c>
      <c r="S614" s="355" t="s">
        <v>1880</v>
      </c>
      <c r="T614" s="355" t="s">
        <v>1881</v>
      </c>
      <c r="U614" s="366">
        <v>621766.48800000001</v>
      </c>
      <c r="V614" s="366">
        <v>2634349.2379999999</v>
      </c>
      <c r="W614" s="334"/>
      <c r="X614" s="341" t="s">
        <v>1867</v>
      </c>
      <c r="Y614" s="341" t="s">
        <v>1786</v>
      </c>
      <c r="Z614" s="338" t="s">
        <v>367</v>
      </c>
      <c r="AA614" s="350"/>
      <c r="AB614" s="350"/>
      <c r="AC614" s="350"/>
      <c r="AD614" s="351"/>
    </row>
    <row r="615" spans="1:30" x14ac:dyDescent="0.2">
      <c r="A615" s="321"/>
      <c r="B615" s="335"/>
      <c r="C615" s="335"/>
      <c r="D615" s="335"/>
      <c r="E615" s="335"/>
      <c r="F615" s="362">
        <v>412</v>
      </c>
      <c r="G615" s="335"/>
      <c r="H615" s="312"/>
      <c r="I615" s="335"/>
      <c r="J615" s="335"/>
      <c r="K615" s="334"/>
      <c r="L615" s="334"/>
      <c r="M615" s="355"/>
      <c r="N615" s="355"/>
      <c r="O615" s="355"/>
      <c r="P615" s="355"/>
      <c r="Q615" s="355"/>
      <c r="R615" s="355"/>
      <c r="S615" s="355"/>
      <c r="T615" s="355"/>
      <c r="U615" s="366"/>
      <c r="V615" s="366"/>
      <c r="W615" s="337" t="s">
        <v>1882</v>
      </c>
      <c r="X615" s="325"/>
      <c r="Y615" s="325"/>
      <c r="Z615" s="367"/>
      <c r="AA615" s="350"/>
      <c r="AB615" s="350"/>
      <c r="AC615" s="350"/>
      <c r="AD615" s="351"/>
    </row>
    <row r="616" spans="1:30" x14ac:dyDescent="0.2">
      <c r="A616" s="327">
        <v>304</v>
      </c>
      <c r="B616" s="335" t="s">
        <v>859</v>
      </c>
      <c r="C616" s="335" t="s">
        <v>345</v>
      </c>
      <c r="D616" s="335" t="s">
        <v>21</v>
      </c>
      <c r="E616" s="335" t="s">
        <v>859</v>
      </c>
      <c r="F616" s="362"/>
      <c r="G616" s="335" t="s">
        <v>859</v>
      </c>
      <c r="H616" s="328">
        <f>H614+F615</f>
        <v>116083.97900000002</v>
      </c>
      <c r="I616" s="335">
        <v>399.19900000000001</v>
      </c>
      <c r="J616" s="334">
        <v>78.5</v>
      </c>
      <c r="K616" s="334">
        <f>F615+F617</f>
        <v>830</v>
      </c>
      <c r="L616" s="334">
        <f>K616/2</f>
        <v>415</v>
      </c>
      <c r="M616" s="355">
        <v>241</v>
      </c>
      <c r="N616" s="355">
        <v>262</v>
      </c>
      <c r="O616" s="355">
        <v>503</v>
      </c>
      <c r="P616" s="355">
        <v>230</v>
      </c>
      <c r="Q616" s="355">
        <v>246</v>
      </c>
      <c r="R616" s="355">
        <v>476</v>
      </c>
      <c r="S616" s="355" t="s">
        <v>1883</v>
      </c>
      <c r="T616" s="355" t="s">
        <v>1884</v>
      </c>
      <c r="U616" s="366">
        <v>622134.85400000005</v>
      </c>
      <c r="V616" s="366">
        <v>2634164.71</v>
      </c>
      <c r="W616" s="334"/>
      <c r="X616" s="341" t="s">
        <v>1867</v>
      </c>
      <c r="Y616" s="341" t="s">
        <v>1786</v>
      </c>
      <c r="Z616" s="338" t="s">
        <v>367</v>
      </c>
      <c r="AA616" s="350"/>
      <c r="AB616" s="350"/>
      <c r="AC616" s="350"/>
      <c r="AD616" s="351"/>
    </row>
    <row r="617" spans="1:30" ht="25.5" x14ac:dyDescent="0.2">
      <c r="A617" s="321"/>
      <c r="B617" s="335"/>
      <c r="C617" s="335"/>
      <c r="D617" s="335"/>
      <c r="E617" s="335"/>
      <c r="F617" s="362">
        <v>418</v>
      </c>
      <c r="G617" s="335"/>
      <c r="H617" s="312"/>
      <c r="I617" s="335"/>
      <c r="J617" s="335"/>
      <c r="K617" s="334"/>
      <c r="L617" s="334"/>
      <c r="M617" s="355"/>
      <c r="N617" s="355"/>
      <c r="O617" s="355"/>
      <c r="P617" s="355"/>
      <c r="Q617" s="355"/>
      <c r="R617" s="355"/>
      <c r="S617" s="355"/>
      <c r="T617" s="355"/>
      <c r="U617" s="366"/>
      <c r="V617" s="366"/>
      <c r="W617" s="337" t="s">
        <v>1885</v>
      </c>
      <c r="X617" s="325"/>
      <c r="Y617" s="325"/>
      <c r="Z617" s="367"/>
      <c r="AA617" s="350"/>
      <c r="AB617" s="350"/>
      <c r="AC617" s="350"/>
      <c r="AD617" s="351"/>
    </row>
    <row r="618" spans="1:30" x14ac:dyDescent="0.2">
      <c r="A618" s="327">
        <v>305</v>
      </c>
      <c r="B618" s="335" t="s">
        <v>859</v>
      </c>
      <c r="C618" s="335" t="s">
        <v>346</v>
      </c>
      <c r="D618" s="335" t="s">
        <v>28</v>
      </c>
      <c r="E618" s="335" t="s">
        <v>859</v>
      </c>
      <c r="F618" s="362"/>
      <c r="G618" s="335" t="s">
        <v>859</v>
      </c>
      <c r="H618" s="328">
        <f>H616+F617</f>
        <v>116501.97900000002</v>
      </c>
      <c r="I618" s="335">
        <v>397.88900000000001</v>
      </c>
      <c r="J618" s="334">
        <v>69.5</v>
      </c>
      <c r="K618" s="334">
        <f>F617+F619</f>
        <v>812.10699999999997</v>
      </c>
      <c r="L618" s="334">
        <f>K618/2</f>
        <v>406.05349999999999</v>
      </c>
      <c r="M618" s="355">
        <v>156</v>
      </c>
      <c r="N618" s="355">
        <v>155</v>
      </c>
      <c r="O618" s="355">
        <v>311</v>
      </c>
      <c r="P618" s="355">
        <v>173</v>
      </c>
      <c r="Q618" s="355">
        <v>169</v>
      </c>
      <c r="R618" s="355">
        <v>342</v>
      </c>
      <c r="S618" s="355" t="s">
        <v>1886</v>
      </c>
      <c r="T618" s="355" t="s">
        <v>1887</v>
      </c>
      <c r="U618" s="366">
        <v>622508.58499999996</v>
      </c>
      <c r="V618" s="366">
        <v>2633977.4950000001</v>
      </c>
      <c r="W618" s="334"/>
      <c r="X618" s="341" t="s">
        <v>1867</v>
      </c>
      <c r="Y618" s="341" t="s">
        <v>1786</v>
      </c>
      <c r="Z618" s="338" t="s">
        <v>367</v>
      </c>
      <c r="AA618" s="350"/>
      <c r="AB618" s="350"/>
      <c r="AC618" s="350"/>
      <c r="AD618" s="351"/>
    </row>
    <row r="619" spans="1:30" x14ac:dyDescent="0.2">
      <c r="A619" s="321"/>
      <c r="B619" s="335"/>
      <c r="C619" s="335"/>
      <c r="D619" s="335"/>
      <c r="E619" s="335"/>
      <c r="F619" s="362">
        <v>394.10700000000003</v>
      </c>
      <c r="G619" s="335"/>
      <c r="H619" s="312"/>
      <c r="I619" s="335"/>
      <c r="J619" s="335"/>
      <c r="K619" s="334"/>
      <c r="L619" s="334"/>
      <c r="M619" s="355"/>
      <c r="N619" s="355"/>
      <c r="O619" s="355"/>
      <c r="P619" s="355"/>
      <c r="Q619" s="355"/>
      <c r="R619" s="355"/>
      <c r="S619" s="355"/>
      <c r="T619" s="355"/>
      <c r="U619" s="366"/>
      <c r="V619" s="366"/>
      <c r="W619" s="337" t="s">
        <v>1888</v>
      </c>
      <c r="X619" s="325"/>
      <c r="Y619" s="325"/>
      <c r="Z619" s="367"/>
      <c r="AA619" s="350"/>
      <c r="AB619" s="350"/>
      <c r="AC619" s="350"/>
      <c r="AD619" s="351"/>
    </row>
    <row r="620" spans="1:30" x14ac:dyDescent="0.2">
      <c r="A620" s="327">
        <v>306</v>
      </c>
      <c r="B620" s="335" t="s">
        <v>1889</v>
      </c>
      <c r="C620" s="335" t="s">
        <v>347</v>
      </c>
      <c r="D620" s="335" t="s">
        <v>241</v>
      </c>
      <c r="E620" s="335" t="s">
        <v>1890</v>
      </c>
      <c r="F620" s="362"/>
      <c r="G620" s="359">
        <f>SUM(F603:F619)</f>
        <v>3561.355</v>
      </c>
      <c r="H620" s="328">
        <f>H618+F619</f>
        <v>116896.08600000002</v>
      </c>
      <c r="I620" s="335">
        <v>396.63400000000001</v>
      </c>
      <c r="J620" s="334">
        <v>76.72</v>
      </c>
      <c r="K620" s="334">
        <f>F619+F621</f>
        <v>793.10699999999997</v>
      </c>
      <c r="L620" s="334">
        <f>K620/2</f>
        <v>396.55349999999999</v>
      </c>
      <c r="M620" s="355">
        <v>240</v>
      </c>
      <c r="N620" s="355">
        <v>245</v>
      </c>
      <c r="O620" s="355">
        <v>485</v>
      </c>
      <c r="P620" s="355">
        <v>227</v>
      </c>
      <c r="Q620" s="355">
        <v>231</v>
      </c>
      <c r="R620" s="355">
        <v>458</v>
      </c>
      <c r="S620" s="355" t="s">
        <v>1891</v>
      </c>
      <c r="T620" s="355" t="s">
        <v>1892</v>
      </c>
      <c r="U620" s="366">
        <v>622860.95299999998</v>
      </c>
      <c r="V620" s="366">
        <v>2633800.9810000001</v>
      </c>
      <c r="W620" s="334"/>
      <c r="X620" s="341" t="s">
        <v>1867</v>
      </c>
      <c r="Y620" s="341" t="s">
        <v>1786</v>
      </c>
      <c r="Z620" s="338" t="s">
        <v>367</v>
      </c>
      <c r="AA620" s="350"/>
      <c r="AB620" s="350"/>
      <c r="AC620" s="350"/>
      <c r="AD620" s="351"/>
    </row>
    <row r="621" spans="1:30" ht="25.5" x14ac:dyDescent="0.2">
      <c r="A621" s="321"/>
      <c r="B621" s="335"/>
      <c r="C621" s="335"/>
      <c r="D621" s="335"/>
      <c r="E621" s="335"/>
      <c r="F621" s="362">
        <v>399</v>
      </c>
      <c r="G621" s="335"/>
      <c r="H621" s="312"/>
      <c r="I621" s="335"/>
      <c r="J621" s="335"/>
      <c r="K621" s="334"/>
      <c r="L621" s="334"/>
      <c r="M621" s="355"/>
      <c r="N621" s="355"/>
      <c r="O621" s="355"/>
      <c r="P621" s="355"/>
      <c r="Q621" s="355"/>
      <c r="R621" s="355"/>
      <c r="S621" s="355"/>
      <c r="T621" s="355"/>
      <c r="U621" s="366"/>
      <c r="V621" s="366"/>
      <c r="W621" s="337" t="s">
        <v>1885</v>
      </c>
      <c r="X621" s="325"/>
      <c r="Y621" s="325"/>
      <c r="Z621" s="367"/>
      <c r="AA621" s="350"/>
      <c r="AB621" s="350"/>
      <c r="AC621" s="350"/>
      <c r="AD621" s="351"/>
    </row>
    <row r="622" spans="1:30" x14ac:dyDescent="0.2">
      <c r="A622" s="327">
        <v>307</v>
      </c>
      <c r="B622" s="335" t="s">
        <v>859</v>
      </c>
      <c r="C622" s="335" t="s">
        <v>348</v>
      </c>
      <c r="D622" s="335" t="s">
        <v>28</v>
      </c>
      <c r="E622" s="335" t="s">
        <v>859</v>
      </c>
      <c r="F622" s="362"/>
      <c r="G622" s="335" t="s">
        <v>859</v>
      </c>
      <c r="H622" s="328">
        <f>H620+F621</f>
        <v>117295.08600000002</v>
      </c>
      <c r="I622" s="335">
        <v>397.221</v>
      </c>
      <c r="J622" s="334">
        <v>69.5</v>
      </c>
      <c r="K622" s="334">
        <f>F621+F623</f>
        <v>747</v>
      </c>
      <c r="L622" s="334">
        <f>K622/2</f>
        <v>373.5</v>
      </c>
      <c r="M622" s="355">
        <v>155</v>
      </c>
      <c r="N622" s="355">
        <v>214</v>
      </c>
      <c r="O622" s="355">
        <v>369</v>
      </c>
      <c r="P622" s="355">
        <v>169</v>
      </c>
      <c r="Q622" s="355">
        <v>202</v>
      </c>
      <c r="R622" s="355">
        <v>371</v>
      </c>
      <c r="S622" s="355" t="s">
        <v>1893</v>
      </c>
      <c r="T622" s="355" t="s">
        <v>1894</v>
      </c>
      <c r="U622" s="366">
        <v>623185.31499999994</v>
      </c>
      <c r="V622" s="366">
        <v>2633568.6230000001</v>
      </c>
      <c r="W622" s="334"/>
      <c r="X622" s="341" t="s">
        <v>1867</v>
      </c>
      <c r="Y622" s="341" t="s">
        <v>1786</v>
      </c>
      <c r="Z622" s="338" t="s">
        <v>367</v>
      </c>
      <c r="AA622" s="350"/>
      <c r="AB622" s="350"/>
      <c r="AC622" s="350"/>
      <c r="AD622" s="351"/>
    </row>
    <row r="623" spans="1:30" x14ac:dyDescent="0.2">
      <c r="A623" s="321"/>
      <c r="B623" s="335"/>
      <c r="C623" s="335"/>
      <c r="D623" s="335"/>
      <c r="E623" s="335"/>
      <c r="F623" s="362">
        <v>348</v>
      </c>
      <c r="G623" s="335"/>
      <c r="H623" s="312"/>
      <c r="I623" s="335"/>
      <c r="J623" s="335"/>
      <c r="K623" s="334"/>
      <c r="L623" s="334"/>
      <c r="M623" s="355"/>
      <c r="N623" s="355"/>
      <c r="O623" s="355"/>
      <c r="P623" s="355"/>
      <c r="Q623" s="355"/>
      <c r="R623" s="355"/>
      <c r="S623" s="355"/>
      <c r="T623" s="355"/>
      <c r="U623" s="366"/>
      <c r="V623" s="366"/>
      <c r="W623" s="337" t="s">
        <v>1895</v>
      </c>
      <c r="X623" s="325"/>
      <c r="Y623" s="325"/>
      <c r="Z623" s="367"/>
      <c r="AA623" s="350"/>
      <c r="AB623" s="350"/>
      <c r="AC623" s="350"/>
      <c r="AD623" s="351"/>
    </row>
    <row r="624" spans="1:30" x14ac:dyDescent="0.2">
      <c r="A624" s="327">
        <v>308</v>
      </c>
      <c r="B624" s="335" t="s">
        <v>859</v>
      </c>
      <c r="C624" s="335" t="s">
        <v>349</v>
      </c>
      <c r="D624" s="335" t="s">
        <v>28</v>
      </c>
      <c r="E624" s="335" t="s">
        <v>859</v>
      </c>
      <c r="F624" s="362"/>
      <c r="G624" s="335" t="s">
        <v>859</v>
      </c>
      <c r="H624" s="328">
        <f>H622+F623</f>
        <v>117643.08600000002</v>
      </c>
      <c r="I624" s="335">
        <v>390.61700000000002</v>
      </c>
      <c r="J624" s="334">
        <v>69.5</v>
      </c>
      <c r="K624" s="334">
        <f>F623+F625</f>
        <v>706</v>
      </c>
      <c r="L624" s="334">
        <f>K624/2</f>
        <v>353</v>
      </c>
      <c r="M624" s="355">
        <v>134</v>
      </c>
      <c r="N624" s="355">
        <v>120</v>
      </c>
      <c r="O624" s="355">
        <v>254</v>
      </c>
      <c r="P624" s="355">
        <v>146</v>
      </c>
      <c r="Q624" s="355">
        <v>138</v>
      </c>
      <c r="R624" s="355">
        <v>284</v>
      </c>
      <c r="S624" s="355" t="s">
        <v>1896</v>
      </c>
      <c r="T624" s="355" t="s">
        <v>1897</v>
      </c>
      <c r="U624" s="366">
        <v>623468.21699999995</v>
      </c>
      <c r="V624" s="366">
        <v>2633365.9649999999</v>
      </c>
      <c r="W624" s="334"/>
      <c r="X624" s="341" t="s">
        <v>1898</v>
      </c>
      <c r="Y624" s="341" t="s">
        <v>1786</v>
      </c>
      <c r="Z624" s="338" t="s">
        <v>367</v>
      </c>
      <c r="AA624" s="350"/>
      <c r="AB624" s="350"/>
      <c r="AC624" s="350"/>
      <c r="AD624" s="351"/>
    </row>
    <row r="625" spans="1:31" ht="25.5" x14ac:dyDescent="0.2">
      <c r="A625" s="321"/>
      <c r="B625" s="335"/>
      <c r="C625" s="335"/>
      <c r="D625" s="335"/>
      <c r="E625" s="335"/>
      <c r="F625" s="362">
        <v>358</v>
      </c>
      <c r="G625" s="335"/>
      <c r="H625" s="312"/>
      <c r="I625" s="335"/>
      <c r="J625" s="335"/>
      <c r="K625" s="334"/>
      <c r="L625" s="334"/>
      <c r="M625" s="355"/>
      <c r="N625" s="355"/>
      <c r="O625" s="355"/>
      <c r="P625" s="355"/>
      <c r="Q625" s="355"/>
      <c r="R625" s="355"/>
      <c r="S625" s="355"/>
      <c r="T625" s="355"/>
      <c r="U625" s="366"/>
      <c r="V625" s="366"/>
      <c r="W625" s="337" t="s">
        <v>1899</v>
      </c>
      <c r="X625" s="325"/>
      <c r="Y625" s="325"/>
      <c r="Z625" s="367"/>
      <c r="AA625" s="350"/>
      <c r="AB625" s="350"/>
      <c r="AC625" s="350"/>
      <c r="AD625" s="351"/>
    </row>
    <row r="626" spans="1:31" x14ac:dyDescent="0.2">
      <c r="A626" s="327">
        <v>309</v>
      </c>
      <c r="B626" s="335" t="s">
        <v>859</v>
      </c>
      <c r="C626" s="335" t="s">
        <v>350</v>
      </c>
      <c r="D626" s="335" t="s">
        <v>25</v>
      </c>
      <c r="E626" s="335" t="s">
        <v>859</v>
      </c>
      <c r="F626" s="362"/>
      <c r="G626" s="335" t="s">
        <v>859</v>
      </c>
      <c r="H626" s="328">
        <f>H624+F625</f>
        <v>118001.08600000002</v>
      </c>
      <c r="I626" s="335">
        <v>388.63900000000001</v>
      </c>
      <c r="J626" s="334">
        <v>81.5</v>
      </c>
      <c r="K626" s="334">
        <f>F625+F627</f>
        <v>836.20499999999993</v>
      </c>
      <c r="L626" s="334">
        <f>K626/2</f>
        <v>418.10249999999996</v>
      </c>
      <c r="M626" s="355">
        <v>239</v>
      </c>
      <c r="N626" s="355">
        <v>264</v>
      </c>
      <c r="O626" s="355">
        <v>503</v>
      </c>
      <c r="P626" s="355">
        <v>221</v>
      </c>
      <c r="Q626" s="355">
        <v>257</v>
      </c>
      <c r="R626" s="355">
        <v>478</v>
      </c>
      <c r="S626" s="355" t="s">
        <v>1900</v>
      </c>
      <c r="T626" s="355" t="s">
        <v>1901</v>
      </c>
      <c r="U626" s="366">
        <v>623759.24899999995</v>
      </c>
      <c r="V626" s="366">
        <v>2633157.483</v>
      </c>
      <c r="W626" s="344" t="s">
        <v>1116</v>
      </c>
      <c r="X626" s="341" t="s">
        <v>1898</v>
      </c>
      <c r="Y626" s="341" t="s">
        <v>1786</v>
      </c>
      <c r="Z626" s="338" t="s">
        <v>367</v>
      </c>
      <c r="AA626" s="353">
        <v>0</v>
      </c>
      <c r="AB626" s="353">
        <v>0</v>
      </c>
      <c r="AC626" s="353">
        <v>2</v>
      </c>
      <c r="AD626" s="354">
        <v>0</v>
      </c>
      <c r="AE626" s="352" t="s">
        <v>1046</v>
      </c>
    </row>
    <row r="627" spans="1:31" x14ac:dyDescent="0.2">
      <c r="A627" s="321"/>
      <c r="B627" s="335"/>
      <c r="C627" s="335"/>
      <c r="D627" s="335"/>
      <c r="E627" s="335"/>
      <c r="F627" s="362">
        <v>478.20499999999998</v>
      </c>
      <c r="G627" s="335"/>
      <c r="H627" s="312"/>
      <c r="I627" s="335"/>
      <c r="J627" s="335"/>
      <c r="K627" s="334"/>
      <c r="L627" s="334"/>
      <c r="M627" s="335"/>
      <c r="N627" s="335"/>
      <c r="O627" s="335"/>
      <c r="P627" s="335"/>
      <c r="Q627" s="335"/>
      <c r="R627" s="335"/>
      <c r="S627" s="335"/>
      <c r="T627" s="335"/>
      <c r="U627" s="336"/>
      <c r="V627" s="336"/>
      <c r="W627" s="337" t="s">
        <v>1902</v>
      </c>
      <c r="X627" s="325"/>
      <c r="Y627" s="325"/>
      <c r="Z627" s="367"/>
      <c r="AA627" s="350"/>
      <c r="AB627" s="350"/>
      <c r="AC627" s="350"/>
      <c r="AD627" s="351"/>
    </row>
    <row r="628" spans="1:31" ht="13.5" thickBot="1" x14ac:dyDescent="0.25">
      <c r="A628" s="327">
        <v>310</v>
      </c>
      <c r="B628" s="335" t="s">
        <v>1903</v>
      </c>
      <c r="C628" s="395" t="s">
        <v>351</v>
      </c>
      <c r="D628" s="395" t="s">
        <v>241</v>
      </c>
      <c r="E628" s="395" t="s">
        <v>1904</v>
      </c>
      <c r="F628" s="395"/>
      <c r="G628" s="396">
        <f>SUM(F621:F627)</f>
        <v>1583.2049999999999</v>
      </c>
      <c r="H628" s="328">
        <f>H626+F627</f>
        <v>118479.29100000003</v>
      </c>
      <c r="I628" s="395">
        <v>386.18599999999998</v>
      </c>
      <c r="J628" s="334">
        <v>76.72</v>
      </c>
      <c r="K628" s="301">
        <f>F627+F629</f>
        <v>118957.49600000003</v>
      </c>
      <c r="L628" s="301">
        <f>K628/2</f>
        <v>59478.748000000014</v>
      </c>
      <c r="M628" s="397">
        <v>215</v>
      </c>
      <c r="N628" s="397">
        <v>0</v>
      </c>
      <c r="O628" s="397">
        <v>215</v>
      </c>
      <c r="P628" s="397">
        <v>223</v>
      </c>
      <c r="Q628" s="397">
        <v>0</v>
      </c>
      <c r="R628" s="397">
        <v>223</v>
      </c>
      <c r="S628" s="397" t="s">
        <v>1905</v>
      </c>
      <c r="T628" s="397" t="s">
        <v>1906</v>
      </c>
      <c r="U628" s="398">
        <v>624148</v>
      </c>
      <c r="V628" s="398">
        <v>2632879</v>
      </c>
      <c r="W628" s="301"/>
      <c r="X628" s="399" t="s">
        <v>1898</v>
      </c>
      <c r="Y628" s="399" t="s">
        <v>1786</v>
      </c>
      <c r="Z628" s="400" t="s">
        <v>367</v>
      </c>
      <c r="AA628" s="401"/>
      <c r="AB628" s="401"/>
      <c r="AC628" s="401"/>
      <c r="AD628" s="402"/>
    </row>
    <row r="629" spans="1:31" x14ac:dyDescent="0.2">
      <c r="A629" s="403"/>
      <c r="B629" s="404"/>
      <c r="C629" s="404"/>
      <c r="D629" s="404"/>
      <c r="E629" s="404"/>
      <c r="F629" s="405">
        <f>SUM(F9:F628)</f>
        <v>118479.29100000003</v>
      </c>
      <c r="G629" s="405">
        <f>SUM(G9:G628)</f>
        <v>118479.287</v>
      </c>
      <c r="H629" s="406"/>
      <c r="I629" s="406"/>
      <c r="J629" s="406"/>
      <c r="K629" s="406"/>
      <c r="L629" s="406"/>
      <c r="M629" s="404"/>
      <c r="N629" s="404"/>
      <c r="O629" s="404"/>
      <c r="P629" s="404"/>
      <c r="Q629" s="404"/>
      <c r="R629" s="404"/>
      <c r="S629" s="404"/>
      <c r="T629" s="404"/>
      <c r="U629" s="407"/>
      <c r="V629" s="407"/>
      <c r="W629" s="408"/>
      <c r="X629" s="409"/>
      <c r="Y629" s="409"/>
      <c r="Z629" s="409"/>
      <c r="AA629" s="409"/>
      <c r="AB629" s="409"/>
      <c r="AC629" s="409"/>
      <c r="AD629" s="410"/>
    </row>
    <row r="630" spans="1:31" x14ac:dyDescent="0.2">
      <c r="A630" s="411"/>
      <c r="B630" s="412"/>
      <c r="C630" s="412"/>
      <c r="D630" s="412"/>
      <c r="E630" s="412"/>
      <c r="F630" s="413"/>
      <c r="G630" s="414"/>
      <c r="H630" s="415"/>
      <c r="I630" s="415"/>
      <c r="J630" s="415"/>
      <c r="K630" s="415"/>
      <c r="L630" s="415"/>
      <c r="M630" s="412"/>
      <c r="N630" s="412"/>
      <c r="O630" s="412"/>
      <c r="P630" s="412"/>
      <c r="Q630" s="412"/>
      <c r="R630" s="412"/>
      <c r="S630" s="412"/>
      <c r="T630" s="412"/>
      <c r="U630" s="416"/>
      <c r="V630" s="416"/>
      <c r="W630" s="417"/>
      <c r="X630" s="393"/>
      <c r="Y630" s="393"/>
      <c r="Z630" s="393"/>
      <c r="AA630" s="393"/>
      <c r="AB630" s="393"/>
      <c r="AC630" s="393"/>
      <c r="AD630" s="418"/>
    </row>
    <row r="631" spans="1:31" x14ac:dyDescent="0.2">
      <c r="A631" s="411"/>
      <c r="B631" s="412"/>
      <c r="C631" s="412"/>
      <c r="D631" s="412"/>
      <c r="E631" s="412"/>
      <c r="F631" s="412"/>
      <c r="G631" s="412"/>
      <c r="H631" s="415"/>
      <c r="I631" s="415"/>
      <c r="J631" s="415"/>
      <c r="K631" s="415"/>
      <c r="L631" s="415"/>
      <c r="M631" s="412"/>
      <c r="N631" s="412"/>
      <c r="O631" s="412"/>
      <c r="P631" s="412"/>
      <c r="Q631" s="412"/>
      <c r="R631" s="412"/>
      <c r="S631" s="412"/>
      <c r="T631" s="412"/>
      <c r="U631" s="416"/>
      <c r="V631" s="416"/>
      <c r="W631" s="393"/>
      <c r="X631" s="393"/>
      <c r="Y631" s="393"/>
      <c r="Z631" s="393"/>
      <c r="AA631" s="393"/>
      <c r="AB631" s="393"/>
      <c r="AC631" s="393"/>
      <c r="AD631" s="418"/>
    </row>
    <row r="632" spans="1:31" x14ac:dyDescent="0.2">
      <c r="A632" s="419"/>
      <c r="B632" s="420"/>
      <c r="C632" s="420"/>
      <c r="D632" s="421"/>
      <c r="E632" s="421"/>
      <c r="F632" s="422"/>
      <c r="G632" s="423"/>
      <c r="H632" s="412"/>
      <c r="I632" s="424"/>
      <c r="J632" s="424"/>
      <c r="K632" s="424"/>
      <c r="L632" s="425"/>
      <c r="M632" s="424"/>
      <c r="N632" s="424"/>
      <c r="O632" s="424"/>
      <c r="P632" s="424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  <c r="AB632" s="393"/>
      <c r="AC632" s="393"/>
      <c r="AD632" s="418"/>
    </row>
    <row r="633" spans="1:31" x14ac:dyDescent="0.2">
      <c r="A633" s="419"/>
      <c r="B633" s="420"/>
      <c r="C633" s="420"/>
      <c r="D633" s="421"/>
      <c r="E633" s="421"/>
      <c r="F633" s="421"/>
      <c r="G633" s="420"/>
      <c r="H633" s="423"/>
      <c r="I633" s="424"/>
      <c r="J633" s="424"/>
      <c r="K633" s="424"/>
      <c r="L633" s="425"/>
      <c r="M633" s="424"/>
      <c r="N633" s="424"/>
      <c r="O633" s="424"/>
      <c r="P633" s="424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  <c r="AB633" s="393"/>
      <c r="AC633" s="393"/>
      <c r="AD633" s="418"/>
    </row>
    <row r="634" spans="1:31" ht="21.75" customHeight="1" x14ac:dyDescent="0.2">
      <c r="A634" s="411"/>
      <c r="B634" s="412"/>
      <c r="C634" s="412"/>
      <c r="D634" s="412"/>
      <c r="E634" s="412"/>
      <c r="F634" s="416"/>
      <c r="G634" s="393"/>
      <c r="H634" s="764" t="s">
        <v>1907</v>
      </c>
      <c r="I634" s="765"/>
      <c r="J634" s="765"/>
      <c r="K634" s="765"/>
      <c r="L634" s="765"/>
      <c r="M634" s="765"/>
      <c r="N634" s="765"/>
      <c r="O634" s="765"/>
      <c r="P634" s="765"/>
      <c r="Q634" s="765"/>
      <c r="R634" s="765"/>
      <c r="S634" s="766"/>
      <c r="T634" s="393"/>
      <c r="U634" s="393"/>
      <c r="V634" s="393"/>
      <c r="W634" s="393"/>
      <c r="X634" s="393"/>
      <c r="Y634" s="393"/>
      <c r="Z634" s="393"/>
      <c r="AA634" s="393"/>
      <c r="AB634" s="418"/>
    </row>
    <row r="635" spans="1:31" ht="21.75" customHeight="1" x14ac:dyDescent="0.2">
      <c r="A635" s="411"/>
      <c r="B635" s="412"/>
      <c r="C635" s="412"/>
      <c r="D635" s="412"/>
      <c r="E635" s="412"/>
      <c r="F635" s="412"/>
      <c r="G635" s="393"/>
      <c r="H635" s="752" t="s">
        <v>521</v>
      </c>
      <c r="I635" s="754" t="s">
        <v>1908</v>
      </c>
      <c r="J635" s="755"/>
      <c r="K635" s="755"/>
      <c r="L635" s="755"/>
      <c r="M635" s="755"/>
      <c r="N635" s="755"/>
      <c r="O635" s="755"/>
      <c r="P635" s="755"/>
      <c r="Q635" s="755"/>
      <c r="R635" s="756"/>
      <c r="S635" s="752" t="s">
        <v>1909</v>
      </c>
      <c r="T635" s="393"/>
      <c r="U635" s="393"/>
      <c r="V635" s="393"/>
      <c r="W635" s="393"/>
      <c r="X635" s="393"/>
      <c r="Y635" s="393"/>
      <c r="Z635" s="393"/>
      <c r="AA635" s="393"/>
      <c r="AB635" s="418"/>
    </row>
    <row r="636" spans="1:31" ht="22.5" customHeight="1" x14ac:dyDescent="0.25">
      <c r="A636" s="411"/>
      <c r="B636" s="412"/>
      <c r="C636" s="412"/>
      <c r="D636" s="412"/>
      <c r="E636" s="412"/>
      <c r="F636" s="412"/>
      <c r="G636" s="393"/>
      <c r="H636" s="753"/>
      <c r="I636" s="426">
        <v>-3</v>
      </c>
      <c r="J636" s="426">
        <v>-1.5</v>
      </c>
      <c r="K636" s="427" t="s">
        <v>1910</v>
      </c>
      <c r="L636" s="426" t="s">
        <v>1911</v>
      </c>
      <c r="M636" s="427" t="s">
        <v>1912</v>
      </c>
      <c r="N636" s="427" t="s">
        <v>1913</v>
      </c>
      <c r="O636" s="427" t="s">
        <v>1914</v>
      </c>
      <c r="P636" s="427" t="s">
        <v>1915</v>
      </c>
      <c r="Q636" s="427" t="s">
        <v>1916</v>
      </c>
      <c r="R636" s="427" t="s">
        <v>1917</v>
      </c>
      <c r="S636" s="753"/>
      <c r="T636" s="393"/>
      <c r="U636" s="393"/>
      <c r="V636" s="393"/>
      <c r="W636" s="393"/>
      <c r="X636" s="393"/>
      <c r="Y636" s="393"/>
      <c r="Z636" s="393"/>
      <c r="AA636" s="393"/>
      <c r="AB636" s="418"/>
    </row>
    <row r="637" spans="1:31" ht="22.5" customHeight="1" x14ac:dyDescent="0.2">
      <c r="A637" s="411"/>
      <c r="B637" s="412"/>
      <c r="C637" s="412"/>
      <c r="D637" s="412"/>
      <c r="E637" s="412"/>
      <c r="F637" s="412"/>
      <c r="G637" s="393"/>
      <c r="H637" s="428" t="s">
        <v>811</v>
      </c>
      <c r="I637" s="429">
        <f>COUNTIF($D$10:$D$628,"DA(-)3")</f>
        <v>40</v>
      </c>
      <c r="J637" s="429">
        <f>COUNTIF($D$10:$D$628,"DA(-)1.5")</f>
        <v>14</v>
      </c>
      <c r="K637" s="429">
        <f>COUNTIF($D$10:$D628,"DA+0")</f>
        <v>78</v>
      </c>
      <c r="L637" s="429">
        <f>COUNTIF($D$10:$D$628,"DA+1.5")</f>
        <v>20</v>
      </c>
      <c r="M637" s="429">
        <f>COUNTIF($D$10:$D$628,"DA+3")</f>
        <v>40</v>
      </c>
      <c r="N637" s="429">
        <f>COUNTIF($D$10:$D$628,"DA+6")</f>
        <v>32</v>
      </c>
      <c r="O637" s="429">
        <f>COUNTIF($D$10:$D$628,"DA+9")</f>
        <v>6</v>
      </c>
      <c r="P637" s="429">
        <f>COUNTIF($D$10:$D$628,"DA+12")</f>
        <v>0</v>
      </c>
      <c r="Q637" s="429">
        <f>COUNTIF($D$10:$D$628,"DA+18")</f>
        <v>0</v>
      </c>
      <c r="R637" s="429">
        <f>COUNTIF($D$10:$D$628,"DA+25")</f>
        <v>0</v>
      </c>
      <c r="S637" s="429">
        <f t="shared" ref="S637:S644" si="0">SUM(I637:R637)</f>
        <v>230</v>
      </c>
      <c r="T637" s="393"/>
      <c r="U637" s="393"/>
      <c r="V637" s="393"/>
      <c r="W637" s="393"/>
      <c r="X637" s="393"/>
      <c r="Y637" s="393"/>
      <c r="Z637" s="393"/>
      <c r="AA637" s="393"/>
      <c r="AB637" s="418"/>
    </row>
    <row r="638" spans="1:31" ht="22.5" customHeight="1" x14ac:dyDescent="0.2">
      <c r="A638" s="411"/>
      <c r="B638" s="412"/>
      <c r="C638" s="412"/>
      <c r="D638" s="412"/>
      <c r="E638" s="412"/>
      <c r="F638" s="412"/>
      <c r="G638" s="393"/>
      <c r="H638" s="428" t="s">
        <v>1918</v>
      </c>
      <c r="I638" s="429">
        <f>COUNTIF($D$10:$D$628,"DB1(-)3")</f>
        <v>0</v>
      </c>
      <c r="J638" s="429">
        <f>COUNTIF($D$10:$D$628,"DB1(-)1.5")</f>
        <v>1</v>
      </c>
      <c r="K638" s="429">
        <f>COUNTIF($D$10:$D628,"DB1+0")</f>
        <v>8</v>
      </c>
      <c r="L638" s="429">
        <f>COUNTIF($D$10:$D$628,"DB1+1.5")</f>
        <v>0</v>
      </c>
      <c r="M638" s="429">
        <f>COUNTIF($D$10:$D$628,"DB1+3")</f>
        <v>2</v>
      </c>
      <c r="N638" s="429">
        <f>COUNTIF($D$10:$D$628,"DB1+6")</f>
        <v>1</v>
      </c>
      <c r="O638" s="429">
        <f>COUNTIF($D$10:$D$628,"DB1+9")</f>
        <v>2</v>
      </c>
      <c r="P638" s="429">
        <f>COUNTIF($D$10:$D$628,"DB1+12")</f>
        <v>1</v>
      </c>
      <c r="Q638" s="429">
        <f>COUNTIF($D$10:$D$628,"DB1+18")</f>
        <v>1</v>
      </c>
      <c r="R638" s="429">
        <f>COUNTIF($D$10:$D$628,"DB1+25")</f>
        <v>0</v>
      </c>
      <c r="S638" s="429">
        <f t="shared" si="0"/>
        <v>16</v>
      </c>
      <c r="T638" s="393"/>
      <c r="U638" s="393"/>
      <c r="V638" s="393"/>
      <c r="W638" s="393"/>
      <c r="X638" s="393"/>
      <c r="Y638" s="393"/>
      <c r="Z638" s="393"/>
      <c r="AA638" s="393"/>
      <c r="AB638" s="418"/>
    </row>
    <row r="639" spans="1:31" ht="22.5" customHeight="1" x14ac:dyDescent="0.2">
      <c r="A639" s="411"/>
      <c r="B639" s="412"/>
      <c r="C639" s="412"/>
      <c r="D639" s="412"/>
      <c r="E639" s="412"/>
      <c r="F639" s="412"/>
      <c r="G639" s="393"/>
      <c r="H639" s="428" t="s">
        <v>1919</v>
      </c>
      <c r="I639" s="429">
        <f>COUNTIF($D$10:$D$628,"DB2(-)3")</f>
        <v>0</v>
      </c>
      <c r="J639" s="429">
        <f>COUNTIF($D$10:$D$628,"DB2(-)1.5")</f>
        <v>1</v>
      </c>
      <c r="K639" s="429">
        <f>COUNTIF($D$10:$D628,"DB2+0")</f>
        <v>5</v>
      </c>
      <c r="L639" s="429">
        <f>COUNTIF($D$10:$D$628,"DB2+1.5")</f>
        <v>0</v>
      </c>
      <c r="M639" s="429">
        <f>COUNTIF($D$10:$D$628,"DB2+3")</f>
        <v>3</v>
      </c>
      <c r="N639" s="429">
        <f>COUNTIF($D$10:$D$628,"DB2+6")</f>
        <v>3</v>
      </c>
      <c r="O639" s="429">
        <f>COUNTIF($D$10:$D$628,"DB2+9")</f>
        <v>2</v>
      </c>
      <c r="P639" s="429">
        <f>COUNTIF($D$10:$D$628,"DB2+12")</f>
        <v>0</v>
      </c>
      <c r="Q639" s="429">
        <f>COUNTIF($D$10:$D$628,"DB2+18")</f>
        <v>0</v>
      </c>
      <c r="R639" s="429">
        <f>COUNTIF($D$10:$D$628,"DB2+25")</f>
        <v>0</v>
      </c>
      <c r="S639" s="429">
        <f t="shared" si="0"/>
        <v>14</v>
      </c>
      <c r="T639" s="393"/>
      <c r="U639" s="393"/>
      <c r="V639" s="393"/>
      <c r="W639" s="393"/>
      <c r="X639" s="393"/>
      <c r="Y639" s="393"/>
      <c r="Z639" s="393"/>
      <c r="AA639" s="393"/>
      <c r="AB639" s="418"/>
    </row>
    <row r="640" spans="1:31" ht="22.5" customHeight="1" x14ac:dyDescent="0.2">
      <c r="A640" s="411"/>
      <c r="B640" s="412"/>
      <c r="C640" s="412"/>
      <c r="D640" s="412"/>
      <c r="E640" s="412"/>
      <c r="F640" s="412"/>
      <c r="G640" s="393"/>
      <c r="H640" s="428" t="s">
        <v>1920</v>
      </c>
      <c r="I640" s="429">
        <f>COUNTIF($D$10:$D$628,"DC1(-)3")</f>
        <v>1</v>
      </c>
      <c r="J640" s="429">
        <f>COUNTIF($D$10:$D$628,"DC1(-)1.5")</f>
        <v>0</v>
      </c>
      <c r="K640" s="429">
        <f>COUNTIF($D$10:$D628,"DC1+0")</f>
        <v>6</v>
      </c>
      <c r="L640" s="429">
        <f>COUNTIF($D$10:$D$628,"DC1+1.5")</f>
        <v>0</v>
      </c>
      <c r="M640" s="429">
        <f>COUNTIF($D$10:$D$628,"DC1+3")</f>
        <v>3</v>
      </c>
      <c r="N640" s="429">
        <f>COUNTIF($D$10:$D$628,"DC1+6")</f>
        <v>2</v>
      </c>
      <c r="O640" s="429">
        <f>COUNTIF($D$10:$D$628,"DC1+9")</f>
        <v>0</v>
      </c>
      <c r="P640" s="429">
        <f>COUNTIF($D$10:$D$628,"DC1+12")</f>
        <v>0</v>
      </c>
      <c r="Q640" s="429">
        <f>COUNTIF($D$10:$D$628,"DC1+18")</f>
        <v>0</v>
      </c>
      <c r="R640" s="429">
        <f>COUNTIF($D$10:$D$628,"DC1+25")</f>
        <v>0</v>
      </c>
      <c r="S640" s="429">
        <f t="shared" si="0"/>
        <v>12</v>
      </c>
      <c r="T640" s="393"/>
      <c r="U640" s="393"/>
      <c r="V640" s="393"/>
      <c r="W640" s="393"/>
      <c r="X640" s="393"/>
      <c r="Y640" s="393"/>
      <c r="Z640" s="393"/>
      <c r="AA640" s="393"/>
      <c r="AB640" s="418"/>
    </row>
    <row r="641" spans="1:30" ht="22.5" customHeight="1" x14ac:dyDescent="0.2">
      <c r="A641" s="411"/>
      <c r="B641" s="412"/>
      <c r="C641" s="412"/>
      <c r="D641" s="412"/>
      <c r="E641" s="412"/>
      <c r="F641" s="412"/>
      <c r="G641" s="393"/>
      <c r="H641" s="428" t="s">
        <v>1921</v>
      </c>
      <c r="I641" s="429">
        <f>COUNTIF($D$10:$D$628,"DC2(-)3")</f>
        <v>0</v>
      </c>
      <c r="J641" s="429">
        <f>COUNTIF($D$10:$D$628,"DC2(-)1.5")</f>
        <v>0</v>
      </c>
      <c r="K641" s="429">
        <f>COUNTIF($D$10:$D628,"DC2+0")</f>
        <v>9</v>
      </c>
      <c r="L641" s="429">
        <f>COUNTIF($D$10:$D$628,"DC2+1.5")</f>
        <v>0</v>
      </c>
      <c r="M641" s="429">
        <f>COUNTIF($D$10:$D$628,"DC2+3")</f>
        <v>1</v>
      </c>
      <c r="N641" s="429">
        <f>COUNTIF($D$10:$D$628,"DC2+6")</f>
        <v>0</v>
      </c>
      <c r="O641" s="429">
        <f>COUNTIF($D$10:$D$628,"DC2+9")</f>
        <v>0</v>
      </c>
      <c r="P641" s="429">
        <f>COUNTIF($D$10:$D$628,"DC2+12")</f>
        <v>2</v>
      </c>
      <c r="Q641" s="429">
        <f>COUNTIF($D$10:$D$628,"DC2+18")</f>
        <v>3</v>
      </c>
      <c r="R641" s="429">
        <f>COUNTIF($D$10:$D$628,"DC2+25")</f>
        <v>0</v>
      </c>
      <c r="S641" s="429">
        <f t="shared" si="0"/>
        <v>15</v>
      </c>
      <c r="T641" s="393"/>
      <c r="U641" s="393"/>
      <c r="V641" s="393"/>
      <c r="W641" s="393"/>
      <c r="X641" s="393"/>
      <c r="Y641" s="393"/>
      <c r="Z641" s="393"/>
      <c r="AA641" s="393"/>
      <c r="AB641" s="418"/>
    </row>
    <row r="642" spans="1:30" ht="22.5" customHeight="1" x14ac:dyDescent="0.2">
      <c r="A642" s="411"/>
      <c r="B642" s="412"/>
      <c r="C642" s="412"/>
      <c r="D642" s="412"/>
      <c r="E642" s="412"/>
      <c r="F642" s="412"/>
      <c r="G642" s="393"/>
      <c r="H642" s="428" t="s">
        <v>1922</v>
      </c>
      <c r="I642" s="429">
        <f>COUNTIF($D$10:$D$628,"DD45(-)3")</f>
        <v>1</v>
      </c>
      <c r="J642" s="429">
        <f>COUNTIF($D$10:$D$628,"DD45(-)1.5")</f>
        <v>0</v>
      </c>
      <c r="K642" s="429">
        <f>COUNTIF($D$10:$D628,"DD45+0")</f>
        <v>5</v>
      </c>
      <c r="L642" s="429">
        <f>COUNTIF($D$10:$D$628,"DD45+1.5")</f>
        <v>0</v>
      </c>
      <c r="M642" s="429">
        <f>COUNTIF($D$10:$D$628,"DD45+3")</f>
        <v>1</v>
      </c>
      <c r="N642" s="429">
        <f>COUNTIF($D$10:$D$628,"DD45+6")</f>
        <v>1</v>
      </c>
      <c r="O642" s="429">
        <f>COUNTIF($D$10:$D$628,"DD45+9")</f>
        <v>3</v>
      </c>
      <c r="P642" s="429">
        <f>COUNTIF($D$10:$D$628,"DD45+12")</f>
        <v>1</v>
      </c>
      <c r="Q642" s="429">
        <f>COUNTIF($D$10:$D$628,"DD45+18")</f>
        <v>2</v>
      </c>
      <c r="R642" s="429">
        <f>COUNTIF($D$10:$D$628,"DD45+25")</f>
        <v>0</v>
      </c>
      <c r="S642" s="429">
        <f t="shared" si="0"/>
        <v>14</v>
      </c>
      <c r="T642" s="393"/>
      <c r="U642" s="393"/>
      <c r="V642" s="393"/>
      <c r="W642" s="393"/>
      <c r="X642" s="393"/>
      <c r="Y642" s="393"/>
      <c r="Z642" s="393"/>
      <c r="AA642" s="393"/>
      <c r="AB642" s="418"/>
    </row>
    <row r="643" spans="1:30" ht="22.5" customHeight="1" x14ac:dyDescent="0.2">
      <c r="A643" s="411"/>
      <c r="B643" s="412"/>
      <c r="C643" s="412"/>
      <c r="D643" s="412"/>
      <c r="E643" s="412"/>
      <c r="F643" s="412"/>
      <c r="G643" s="393"/>
      <c r="H643" s="428" t="s">
        <v>809</v>
      </c>
      <c r="I643" s="429">
        <f>COUNTIF($D$10:$D$628,"DD60(-)3")</f>
        <v>1</v>
      </c>
      <c r="J643" s="429">
        <f>COUNTIF($D$10:$D$628,"DD60(-)1.5")</f>
        <v>0</v>
      </c>
      <c r="K643" s="429">
        <f>COUNTIF($D$10:$D628,"DD60+0")</f>
        <v>2</v>
      </c>
      <c r="L643" s="429">
        <f>COUNTIF($D$10:$D$628,"DD60+1.5")</f>
        <v>0</v>
      </c>
      <c r="M643" s="429">
        <f>COUNTIF($D$10:$D$628,"DD60+3")</f>
        <v>0</v>
      </c>
      <c r="N643" s="429">
        <f>COUNTIF($D$10:$D$628,"DD60+6")</f>
        <v>1</v>
      </c>
      <c r="O643" s="429">
        <f>COUNTIF($D$10:$D$628,"DD60+9")</f>
        <v>3</v>
      </c>
      <c r="P643" s="429">
        <f>COUNTIF($D$10:$D$628,"DD60+12")</f>
        <v>0</v>
      </c>
      <c r="Q643" s="429">
        <f>COUNTIF($D$10:$D$628,"DD60+18")</f>
        <v>0</v>
      </c>
      <c r="R643" s="429">
        <f>COUNTIF($D$10:$D$628,"DD60+25")</f>
        <v>2</v>
      </c>
      <c r="S643" s="429">
        <f t="shared" si="0"/>
        <v>9</v>
      </c>
      <c r="T643" s="393"/>
      <c r="U643" s="393"/>
      <c r="V643" s="393"/>
      <c r="W643" s="393"/>
      <c r="X643" s="393"/>
      <c r="Y643" s="393"/>
      <c r="Z643" s="393"/>
      <c r="AA643" s="393"/>
      <c r="AB643" s="418"/>
    </row>
    <row r="644" spans="1:30" ht="22.5" customHeight="1" x14ac:dyDescent="0.2">
      <c r="A644" s="411"/>
      <c r="B644" s="412"/>
      <c r="C644" s="412"/>
      <c r="D644" s="412"/>
      <c r="E644" s="412"/>
      <c r="F644" s="412"/>
      <c r="G644" s="393"/>
      <c r="H644" s="430" t="s">
        <v>7</v>
      </c>
      <c r="I644" s="430">
        <f>SUM(I637:I643)</f>
        <v>43</v>
      </c>
      <c r="J644" s="430">
        <f t="shared" ref="J644:R644" si="1">SUM(J637:J643)</f>
        <v>16</v>
      </c>
      <c r="K644" s="430">
        <f t="shared" si="1"/>
        <v>113</v>
      </c>
      <c r="L644" s="430">
        <f t="shared" si="1"/>
        <v>20</v>
      </c>
      <c r="M644" s="430">
        <f t="shared" si="1"/>
        <v>50</v>
      </c>
      <c r="N644" s="430">
        <f t="shared" si="1"/>
        <v>40</v>
      </c>
      <c r="O644" s="430">
        <f t="shared" si="1"/>
        <v>16</v>
      </c>
      <c r="P644" s="430">
        <f t="shared" si="1"/>
        <v>4</v>
      </c>
      <c r="Q644" s="430">
        <f>SUM(Q637:Q643)</f>
        <v>6</v>
      </c>
      <c r="R644" s="430">
        <f t="shared" si="1"/>
        <v>2</v>
      </c>
      <c r="S644" s="429">
        <f t="shared" si="0"/>
        <v>310</v>
      </c>
      <c r="T644" s="393"/>
      <c r="U644" s="393"/>
      <c r="V644" s="393"/>
      <c r="W644" s="393"/>
      <c r="X644" s="393"/>
      <c r="Y644" s="393"/>
      <c r="Z644" s="393"/>
      <c r="AA644" s="393"/>
      <c r="AB644" s="418"/>
    </row>
    <row r="645" spans="1:30" ht="22.5" customHeight="1" thickBot="1" x14ac:dyDescent="0.25">
      <c r="A645" s="431"/>
      <c r="B645" s="432"/>
      <c r="C645" s="432"/>
      <c r="D645" s="432"/>
      <c r="E645" s="432"/>
      <c r="F645" s="432"/>
      <c r="G645" s="433"/>
      <c r="H645" s="432"/>
      <c r="I645" s="432"/>
      <c r="J645" s="432"/>
      <c r="K645" s="432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  <c r="AB645" s="433"/>
      <c r="AC645" s="433"/>
      <c r="AD645" s="434"/>
    </row>
  </sheetData>
  <autoFilter ref="A7:AE629" xr:uid="{00000000-0009-0000-0000-00000B000000}"/>
  <mergeCells count="30">
    <mergeCell ref="X6:X7"/>
    <mergeCell ref="Y6:Y7"/>
    <mergeCell ref="Z6:Z7"/>
    <mergeCell ref="AA6:AD6"/>
    <mergeCell ref="H634:S634"/>
    <mergeCell ref="U6:V6"/>
    <mergeCell ref="W6:W7"/>
    <mergeCell ref="H635:H636"/>
    <mergeCell ref="I635:R635"/>
    <mergeCell ref="S635:S636"/>
    <mergeCell ref="L6:L7"/>
    <mergeCell ref="M6:O6"/>
    <mergeCell ref="P6:R6"/>
    <mergeCell ref="S6:T6"/>
    <mergeCell ref="K6:K7"/>
    <mergeCell ref="F6:F7"/>
    <mergeCell ref="G6:G7"/>
    <mergeCell ref="H6:H7"/>
    <mergeCell ref="I6:I7"/>
    <mergeCell ref="J6:J7"/>
    <mergeCell ref="A1:V1"/>
    <mergeCell ref="A2:V2"/>
    <mergeCell ref="A3:V3"/>
    <mergeCell ref="A4:V4"/>
    <mergeCell ref="A5:V5"/>
    <mergeCell ref="A6:A7"/>
    <mergeCell ref="B6:B7"/>
    <mergeCell ref="C6:C7"/>
    <mergeCell ref="D6:D7"/>
    <mergeCell ref="E6:E7"/>
  </mergeCells>
  <printOptions horizontalCentered="1"/>
  <pageMargins left="0" right="0" top="0.19685039370078741" bottom="0.94488188976377963" header="0.31496062992125984" footer="0.31496062992125984"/>
  <pageSetup paperSize="9" scale="4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VC-765kV MKTL</vt:lpstr>
      <vt:lpstr>SUMMARY</vt:lpstr>
      <vt:lpstr>FOUNDATION</vt:lpstr>
      <vt:lpstr>ERECTION</vt:lpstr>
      <vt:lpstr>EARTHING</vt:lpstr>
      <vt:lpstr>XING</vt:lpstr>
      <vt:lpstr>SUPPLY</vt:lpstr>
      <vt:lpstr>Sheet1</vt:lpstr>
      <vt:lpstr>SURVEY SUMMARY</vt:lpstr>
      <vt:lpstr>SURVEY STATUS </vt:lpstr>
      <vt:lpstr>Erection productivity</vt:lpstr>
      <vt:lpstr>TS  25-10-25 </vt:lpstr>
      <vt:lpstr>'TS  25-10-25 '!Print_Area</vt:lpstr>
      <vt:lpstr>'VC-765kV MKTL'!Print_Area</vt:lpstr>
      <vt:lpstr>'TS  25-10-25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Pawan Sharma</cp:lastModifiedBy>
  <cp:lastPrinted>2026-01-06T08:45:21Z</cp:lastPrinted>
  <dcterms:created xsi:type="dcterms:W3CDTF">2015-06-05T18:17:20Z</dcterms:created>
  <dcterms:modified xsi:type="dcterms:W3CDTF">2026-01-06T13:25:14Z</dcterms:modified>
</cp:coreProperties>
</file>