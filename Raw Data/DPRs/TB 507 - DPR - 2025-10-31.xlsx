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13_ncr:1_{2D8A29AF-0953-4BA7-92C4-ADE152DADCE1}" xr6:coauthVersionLast="47" xr6:coauthVersionMax="47" xr10:uidLastSave="{00000000-0000-0000-0000-000000000000}"/>
  <bookViews>
    <workbookView xWindow="-110" yWindow="-110" windowWidth="19420" windowHeight="10300" tabRatio="822" firstSheet="17" activeTab="18"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Compiled" sheetId="52" r:id="rId19"/>
    <sheet name="Earthing" sheetId="37" r:id="rId20"/>
    <sheet name="Soil Investigation" sheetId="25" r:id="rId21"/>
    <sheet name="Sheet9" sheetId="67" state="hidden" r:id="rId22"/>
    <sheet name="Visual Chart" sheetId="54"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L2 Vs Actual Progress Chart" sheetId="33"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Earthing!$A$7:$G$196</definedName>
    <definedName name="_xlnm._FilterDatabase" localSheetId="18" hidden="1">'Erection Compiled'!$A$6:$H$109</definedName>
    <definedName name="_xlnm._FilterDatabase" localSheetId="13" hidden="1">Foundation!$A$8:$P$226</definedName>
    <definedName name="_xlnm._FilterDatabase" localSheetId="11" hidden="1">ROW!$A$7:$G$36</definedName>
    <definedName name="_xlnm._FilterDatabase" localSheetId="14" hidden="1">Royalty!$C$14:$D$28</definedName>
    <definedName name="_xlnm._FilterDatabase" localSheetId="27" hidden="1">Sheet5!$B$3:$J$38</definedName>
    <definedName name="_xlnm._FilterDatabase" localSheetId="24" hidden="1">Sheet6!$B$4:$E$41</definedName>
    <definedName name="_xlnm._FilterDatabase" localSheetId="20" hidden="1">'Soil Investigation'!$A$5:$F$79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Foundation!$A$1:$P$229</definedName>
    <definedName name="_xlnm.Print_Area" localSheetId="27">Sheet3!$A$1:$V$219</definedName>
    <definedName name="_xlnm.Print_Area" localSheetId="9">'VC 51-96'!$A$1:$W$212</definedName>
    <definedName name="_xlnm.Print_Area" localSheetId="22">'Visual Chart'!$A$1:$AG$311</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62" l="1"/>
  <c r="A221" i="26"/>
  <c r="A222" i="26"/>
  <c r="A223" i="26" s="1"/>
  <c r="A224" i="26" s="1"/>
  <c r="A225" i="26" s="1"/>
  <c r="A226" i="26" s="1"/>
  <c r="A227" i="26" s="1"/>
  <c r="A114" i="52"/>
  <c r="A108" i="52"/>
  <c r="A109" i="52"/>
  <c r="A110" i="52" s="1"/>
  <c r="A111" i="52" s="1"/>
  <c r="A112" i="52" s="1"/>
  <c r="A113" i="52" s="1"/>
  <c r="D74" i="52"/>
  <c r="D101" i="52"/>
  <c r="D99" i="52"/>
  <c r="D73" i="52" l="1"/>
  <c r="A30" i="32"/>
  <c r="A31" i="32" s="1"/>
  <c r="A32" i="32" s="1"/>
  <c r="A33" i="32" s="1"/>
  <c r="A20" i="32"/>
  <c r="A43" i="62"/>
  <c r="A53" i="62"/>
  <c r="A54" i="62" s="1"/>
  <c r="A55" i="62" s="1"/>
  <c r="A56" i="62" s="1"/>
  <c r="R13" i="33" l="1"/>
  <c r="Q13" i="33"/>
  <c r="O13" i="33"/>
  <c r="M13" i="33"/>
  <c r="J15" i="62" l="1"/>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N309" i="67" s="1"/>
  <c r="AM20" i="67"/>
  <c r="AM309" i="67" s="1"/>
  <c r="N14" i="67"/>
  <c r="N13" i="67"/>
  <c r="N12" i="67"/>
  <c r="N11" i="67"/>
  <c r="N10" i="67"/>
  <c r="N9" i="67"/>
  <c r="N8" i="67"/>
  <c r="A8" i="67"/>
  <c r="A9" i="67" s="1"/>
  <c r="A10" i="67" s="1"/>
  <c r="A11" i="67" s="1"/>
  <c r="A12" i="67" s="1"/>
  <c r="A13" i="67" s="1"/>
  <c r="A14" i="67" s="1"/>
  <c r="A15" i="67" s="1"/>
  <c r="A16" i="67" s="1"/>
  <c r="N7" i="67"/>
  <c r="AB2" i="67"/>
  <c r="J16" i="62" l="1"/>
  <c r="N8" i="54" l="1"/>
  <c r="Z73" i="52"/>
  <c r="D67" i="52" l="1"/>
  <c r="Y73" i="52" l="1"/>
  <c r="Y72" i="52" l="1"/>
  <c r="Y77" i="52" s="1"/>
  <c r="Y83" i="52" l="1"/>
  <c r="Y80" i="52"/>
  <c r="Y81" i="52"/>
  <c r="Y79" i="52"/>
  <c r="Y78" i="52"/>
  <c r="Y84" i="52" s="1"/>
  <c r="D7" i="66" l="1"/>
  <c r="D8" i="66"/>
  <c r="D9" i="66"/>
  <c r="D10" i="66"/>
  <c r="D11" i="66"/>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K17" i="62" l="1"/>
  <c r="K16" i="62"/>
  <c r="E18" i="65" l="1"/>
  <c r="E17" i="65"/>
  <c r="E19" i="65" s="1"/>
  <c r="E12" i="65"/>
  <c r="C6" i="65"/>
  <c r="C7" i="65" s="1"/>
  <c r="C8" i="65" s="1"/>
  <c r="C9" i="65" s="1"/>
  <c r="C10" i="65" s="1"/>
  <c r="C11" i="65" s="1"/>
  <c r="AM308" i="54" l="1"/>
  <c r="K13" i="62" l="1"/>
  <c r="F13" i="62"/>
  <c r="AO107" i="54"/>
  <c r="AN107" i="54"/>
  <c r="AM107" i="54"/>
  <c r="K15" i="62"/>
  <c r="AO300" i="54" l="1"/>
  <c r="D90" i="56" l="1"/>
  <c r="AB2" i="54" l="1"/>
  <c r="M3" i="62"/>
  <c r="AO159" i="54" l="1"/>
  <c r="AO132" i="54"/>
  <c r="AO141" i="54"/>
  <c r="AO252" i="54" l="1"/>
  <c r="AM132" i="54" l="1"/>
  <c r="AM268" i="54"/>
  <c r="AM276" i="54"/>
  <c r="N5" i="26" l="1"/>
  <c r="AO194" i="54"/>
  <c r="A3" i="64" l="1"/>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G12" i="62"/>
  <c r="K23" i="62" l="1"/>
  <c r="J22" i="62"/>
  <c r="K22" i="62" s="1"/>
  <c r="J21" i="62"/>
  <c r="K21" i="62" s="1"/>
  <c r="J20" i="62"/>
  <c r="K20" i="62" s="1"/>
  <c r="K19" i="62"/>
  <c r="J18" i="62"/>
  <c r="K18" i="62" s="1"/>
  <c r="K12" i="62"/>
  <c r="K11" i="62"/>
  <c r="L10" i="62"/>
  <c r="M9" i="62" l="1"/>
  <c r="C121" i="56" l="1"/>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E71" i="26" l="1"/>
  <c r="F71" i="26"/>
  <c r="G71" i="26"/>
  <c r="H71" i="26"/>
  <c r="I71" i="26"/>
  <c r="B4" i="60" l="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B3" i="60"/>
  <c r="AO99" i="54" l="1"/>
  <c r="AN99" i="54"/>
  <c r="AM99" i="54"/>
  <c r="AO90" i="54"/>
  <c r="AN90" i="54"/>
  <c r="AM90" i="54"/>
  <c r="U30" i="58" l="1"/>
  <c r="T30" i="58"/>
  <c r="T28" i="58"/>
  <c r="T27" i="58"/>
  <c r="T26" i="58"/>
  <c r="T25" i="58"/>
  <c r="S26" i="58"/>
  <c r="R26" i="58"/>
  <c r="S25" i="58"/>
  <c r="R25" i="58"/>
  <c r="F8" i="58"/>
  <c r="S24" i="58"/>
  <c r="R24" i="58"/>
  <c r="S15" i="58" l="1"/>
  <c r="S14" i="58"/>
  <c r="S12" i="58"/>
  <c r="R13" i="58"/>
  <c r="Q13" i="58"/>
  <c r="R12" i="58"/>
  <c r="Q12" i="58"/>
  <c r="R11" i="58"/>
  <c r="Q11" i="58"/>
  <c r="S13" i="58" l="1"/>
  <c r="AN300" i="54" l="1"/>
  <c r="AM300" i="54"/>
  <c r="AO292" i="54"/>
  <c r="AN292" i="54"/>
  <c r="AM292" i="54"/>
  <c r="AO284" i="54"/>
  <c r="AN284" i="54"/>
  <c r="AM284" i="54"/>
  <c r="AO276" i="54"/>
  <c r="AN276" i="54"/>
  <c r="AO268" i="54"/>
  <c r="AN268" i="54"/>
  <c r="AO260" i="54"/>
  <c r="AN260" i="54"/>
  <c r="AM260" i="54"/>
  <c r="AN252" i="54"/>
  <c r="AM252" i="54"/>
  <c r="AO244" i="54"/>
  <c r="AN244" i="54"/>
  <c r="AM244" i="54"/>
  <c r="AO235" i="54"/>
  <c r="AN235" i="54"/>
  <c r="AM235" i="54"/>
  <c r="AO226" i="54"/>
  <c r="AN226" i="54"/>
  <c r="AM226" i="54"/>
  <c r="AO218" i="54"/>
  <c r="AN218" i="54"/>
  <c r="AM218" i="54"/>
  <c r="AO210" i="54"/>
  <c r="AN210" i="54"/>
  <c r="AM210" i="54"/>
  <c r="AO202" i="54"/>
  <c r="AN202" i="54"/>
  <c r="AM202" i="54"/>
  <c r="AN194" i="54"/>
  <c r="AM194" i="54"/>
  <c r="AO185" i="54"/>
  <c r="AN185" i="54"/>
  <c r="AM185" i="54"/>
  <c r="AO176" i="54"/>
  <c r="AN176" i="54"/>
  <c r="AM176" i="54"/>
  <c r="AO168" i="54"/>
  <c r="AN168" i="54"/>
  <c r="AM168" i="54"/>
  <c r="AN159" i="54"/>
  <c r="AM159" i="54"/>
  <c r="AO150" i="54"/>
  <c r="AN150" i="54"/>
  <c r="AM150" i="54"/>
  <c r="AN141" i="54"/>
  <c r="AM141" i="54"/>
  <c r="AN132" i="54"/>
  <c r="AO123" i="54"/>
  <c r="AN123" i="54"/>
  <c r="AM123" i="54"/>
  <c r="AO115" i="54"/>
  <c r="AN115" i="54"/>
  <c r="AM115" i="54"/>
  <c r="AJ107" i="54"/>
  <c r="AI107" i="54"/>
  <c r="AH107" i="54"/>
  <c r="AO82" i="54"/>
  <c r="AN82" i="54"/>
  <c r="AM82" i="54"/>
  <c r="AO73" i="54"/>
  <c r="AN73" i="54"/>
  <c r="AM73" i="54"/>
  <c r="AO65" i="54"/>
  <c r="AN65" i="54"/>
  <c r="AM65" i="54"/>
  <c r="AO57" i="54"/>
  <c r="AN57" i="54"/>
  <c r="AM57" i="54"/>
  <c r="AO48" i="54"/>
  <c r="AN48" i="54"/>
  <c r="AM48" i="54"/>
  <c r="AO41" i="54"/>
  <c r="AN41" i="54"/>
  <c r="AM41" i="54"/>
  <c r="AO34" i="54"/>
  <c r="AN34" i="54"/>
  <c r="AM34" i="54"/>
  <c r="AO27" i="54"/>
  <c r="AN27" i="54"/>
  <c r="AM27" i="54"/>
  <c r="AM20" i="54"/>
  <c r="AO20" i="54"/>
  <c r="AN20" i="54"/>
  <c r="J11" i="58" l="1"/>
  <c r="F31" i="58" l="1"/>
  <c r="E31" i="58"/>
  <c r="F30" i="58"/>
  <c r="E30" i="58"/>
  <c r="E29" i="58"/>
  <c r="F29" i="58"/>
  <c r="I98" i="26"/>
  <c r="G31" i="58" l="1"/>
  <c r="G33" i="58" s="1"/>
  <c r="G30" i="58"/>
  <c r="G32" i="58" s="1"/>
  <c r="G11" i="58" l="1"/>
  <c r="G10" i="58"/>
  <c r="G9" i="58"/>
  <c r="G8" i="58"/>
  <c r="F9" i="58"/>
  <c r="E8" i="58"/>
  <c r="E9" i="58"/>
  <c r="F7" i="58"/>
  <c r="E7" i="58"/>
  <c r="I97" i="26" l="1"/>
  <c r="H97" i="26"/>
  <c r="G97" i="26"/>
  <c r="F97" i="26"/>
  <c r="E97" i="26"/>
  <c r="N9" i="54" l="1"/>
  <c r="E93" i="56"/>
  <c r="E96" i="56" s="1"/>
  <c r="A69" i="56"/>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I140" i="26" l="1"/>
  <c r="H140" i="26"/>
  <c r="G140" i="26"/>
  <c r="F140" i="26"/>
  <c r="E140" i="26"/>
  <c r="I88" i="26"/>
  <c r="H88" i="26"/>
  <c r="G88" i="26"/>
  <c r="F88" i="26"/>
  <c r="E88" i="26"/>
  <c r="I76" i="26"/>
  <c r="H76" i="26"/>
  <c r="G76" i="26"/>
  <c r="F76" i="26"/>
  <c r="E76" i="26"/>
  <c r="I73" i="26"/>
  <c r="H73" i="26"/>
  <c r="G73" i="26"/>
  <c r="F73" i="26"/>
  <c r="E73" i="26"/>
  <c r="I66" i="26"/>
  <c r="H66" i="26"/>
  <c r="F66" i="26"/>
  <c r="E66" i="26"/>
  <c r="G66" i="26"/>
  <c r="I90" i="26" l="1"/>
  <c r="I79" i="26"/>
  <c r="I78" i="26"/>
  <c r="I63" i="26"/>
  <c r="H90" i="26"/>
  <c r="G90" i="26"/>
  <c r="F90" i="26"/>
  <c r="E90" i="26"/>
  <c r="H79" i="26"/>
  <c r="G79" i="26"/>
  <c r="F79" i="26"/>
  <c r="E79" i="26"/>
  <c r="H78" i="26"/>
  <c r="G78" i="26"/>
  <c r="F78" i="26"/>
  <c r="E78" i="26"/>
  <c r="F63" i="26"/>
  <c r="E63" i="26"/>
  <c r="H63" i="26"/>
  <c r="G63" i="26"/>
  <c r="E94" i="55" l="1"/>
  <c r="E93" i="55"/>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l="1"/>
  <c r="A104" i="52" s="1"/>
  <c r="A105" i="52" s="1"/>
  <c r="A106" i="52" s="1"/>
  <c r="A107" i="52" s="1"/>
  <c r="AD309" i="54"/>
  <c r="D89" i="55" l="1"/>
  <c r="E92"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N14" i="54"/>
  <c r="N13" i="54"/>
  <c r="N12" i="54"/>
  <c r="N11" i="54"/>
  <c r="N10" i="54"/>
  <c r="A8" i="54"/>
  <c r="A9" i="54" s="1"/>
  <c r="A10" i="54" s="1"/>
  <c r="A11" i="54" s="1"/>
  <c r="A12" i="54" s="1"/>
  <c r="A13" i="54" s="1"/>
  <c r="A14" i="54" s="1"/>
  <c r="A15" i="54" s="1"/>
  <c r="A16" i="54" s="1"/>
  <c r="N7" i="54"/>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I8" i="22"/>
  <c r="N23" i="22"/>
  <c r="I36" i="22"/>
  <c r="C39" i="22"/>
  <c r="A46" i="22"/>
  <c r="A47" i="22"/>
  <c r="A48" i="22"/>
  <c r="A49" i="22"/>
  <c r="A50" i="22"/>
  <c r="A51" i="22"/>
  <c r="A52" i="22"/>
  <c r="A53" i="22" s="1"/>
  <c r="A54" i="22" s="1"/>
  <c r="A55" i="22" s="1"/>
  <c r="A56" i="22" s="1"/>
  <c r="A57" i="22" s="1"/>
  <c r="A58" i="22" s="1"/>
  <c r="A59" i="22" s="1"/>
  <c r="A60" i="22" s="1"/>
  <c r="A61" i="22" s="1"/>
  <c r="D63" i="22"/>
  <c r="I10" i="22" s="1"/>
  <c r="G63" i="22"/>
  <c r="B69" i="22"/>
  <c r="B70" i="22" s="1"/>
  <c r="B71" i="22" s="1"/>
  <c r="B72" i="22" s="1"/>
  <c r="B73" i="22" s="1"/>
  <c r="B74" i="22" s="1"/>
  <c r="B75" i="22" s="1"/>
  <c r="B76" i="22" s="1"/>
  <c r="B77" i="22" s="1"/>
  <c r="B78" i="22" s="1"/>
  <c r="B79" i="22" s="1"/>
  <c r="B80" i="22" s="1"/>
  <c r="B81" i="22" s="1"/>
  <c r="B82" i="22" s="1"/>
  <c r="B83" i="22" s="1"/>
  <c r="B84" i="22" s="1"/>
  <c r="B85" i="22" s="1"/>
  <c r="B86" i="22" s="1"/>
  <c r="D87" i="22"/>
  <c r="E89" i="22"/>
  <c r="E91" i="22"/>
  <c r="E92" i="22"/>
  <c r="E93" i="22"/>
  <c r="A2" i="46" l="1"/>
  <c r="E25" i="51" l="1"/>
  <c r="F25" i="51" s="1"/>
  <c r="F24" i="51"/>
  <c r="F23" i="51"/>
  <c r="D22" i="51"/>
  <c r="E22" i="51" s="1"/>
  <c r="F22" i="51" s="1"/>
  <c r="F20" i="51"/>
  <c r="E10" i="51"/>
  <c r="F10" i="51" s="1"/>
  <c r="F9" i="51"/>
  <c r="M8" i="51"/>
  <c r="F8" i="51"/>
  <c r="D7" i="51"/>
  <c r="E7" i="51" s="1"/>
  <c r="F7" i="51" s="1"/>
  <c r="F5" i="51"/>
  <c r="A39" i="38" l="1"/>
  <c r="A40" i="38"/>
  <c r="A34" i="38"/>
  <c r="A35" i="38"/>
  <c r="A36" i="38"/>
  <c r="A37" i="38" s="1"/>
  <c r="A38" i="38" s="1"/>
  <c r="A10" i="38"/>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H314" i="46" l="1"/>
  <c r="AG314" i="46"/>
  <c r="AF314" i="46"/>
  <c r="N16" i="46"/>
  <c r="N15" i="46"/>
  <c r="N14" i="46"/>
  <c r="N13" i="46"/>
  <c r="N12" i="46"/>
  <c r="N11" i="46"/>
  <c r="N10" i="46"/>
  <c r="N9" i="46"/>
  <c r="A9" i="46"/>
  <c r="A10" i="46" s="1"/>
  <c r="A11" i="46" s="1"/>
  <c r="A12" i="46" s="1"/>
  <c r="A13" i="46" s="1"/>
  <c r="A14" i="46" s="1"/>
  <c r="A15" i="46" s="1"/>
  <c r="A16" i="46" s="1"/>
  <c r="N8" i="46"/>
  <c r="B6" i="45" l="1"/>
  <c r="B7" i="45"/>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H42" i="45"/>
  <c r="F42" i="45"/>
  <c r="G42" i="45"/>
  <c r="AB188" i="42" l="1"/>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I219" i="43" l="1"/>
  <c r="G216" i="43"/>
  <c r="E216" i="43"/>
  <c r="C216" i="43"/>
  <c r="J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AQ185" i="42" l="1"/>
  <c r="AQ177" i="42"/>
  <c r="AQ172" i="42"/>
  <c r="AQ164" i="42"/>
  <c r="AQ156" i="42"/>
  <c r="AQ147" i="42"/>
  <c r="AQ138" i="42"/>
  <c r="AQ129" i="42"/>
  <c r="AQ121" i="42"/>
  <c r="AQ114" i="42"/>
  <c r="AQ105" i="42"/>
  <c r="AQ97" i="42"/>
  <c r="AQ89" i="42"/>
  <c r="AQ81" i="42"/>
  <c r="AQ73" i="42"/>
  <c r="AQ65" i="42"/>
  <c r="AQ57" i="42"/>
  <c r="AQ49" i="42"/>
  <c r="AQ41" i="42"/>
  <c r="AQ32" i="42"/>
  <c r="AQ22" i="42"/>
  <c r="AQ12" i="42"/>
  <c r="AP185" i="42"/>
  <c r="AP177" i="42"/>
  <c r="AP172" i="42"/>
  <c r="AP164" i="42"/>
  <c r="AP156" i="42"/>
  <c r="AP147" i="42"/>
  <c r="AP138" i="42"/>
  <c r="AP129" i="42"/>
  <c r="AP121" i="42"/>
  <c r="AP114" i="42"/>
  <c r="AP105" i="42"/>
  <c r="AP97" i="42"/>
  <c r="AP89" i="42"/>
  <c r="AP81" i="42"/>
  <c r="AP73" i="42"/>
  <c r="AP65" i="42"/>
  <c r="AP57" i="42"/>
  <c r="AP49" i="42"/>
  <c r="AP41" i="42"/>
  <c r="AP32" i="42"/>
  <c r="AP22" i="42"/>
  <c r="AP12" i="42"/>
  <c r="AO185" i="42"/>
  <c r="AO177" i="42"/>
  <c r="AO172" i="42"/>
  <c r="AO164" i="42"/>
  <c r="AO156" i="42"/>
  <c r="AO147" i="42"/>
  <c r="AO138" i="42"/>
  <c r="AO129" i="42"/>
  <c r="AO121" i="42"/>
  <c r="AO114" i="42"/>
  <c r="AO105" i="42"/>
  <c r="AO89" i="42"/>
  <c r="AO81" i="42"/>
  <c r="AO73" i="42"/>
  <c r="AO65" i="42"/>
  <c r="AO57" i="42"/>
  <c r="AO49" i="42"/>
  <c r="AO41" i="42"/>
  <c r="AO32" i="42"/>
  <c r="AO22" i="42"/>
  <c r="AO12" i="42"/>
  <c r="AN185" i="42"/>
  <c r="AN177" i="42"/>
  <c r="AN172" i="42"/>
  <c r="AN164" i="42"/>
  <c r="AN156" i="42"/>
  <c r="AN147" i="42"/>
  <c r="AN138" i="42"/>
  <c r="AN129" i="42"/>
  <c r="AN121" i="42"/>
  <c r="AN114" i="42"/>
  <c r="AN105" i="42"/>
  <c r="AN97" i="42"/>
  <c r="AN89" i="42"/>
  <c r="AN81" i="42"/>
  <c r="AN73" i="42"/>
  <c r="AN65" i="42"/>
  <c r="AN57" i="42"/>
  <c r="AN41" i="42"/>
  <c r="AN32" i="42"/>
  <c r="AN22" i="42"/>
  <c r="AN12" i="42"/>
  <c r="AL185" i="42"/>
  <c r="AL177" i="42"/>
  <c r="AL172" i="42"/>
  <c r="AL164" i="42"/>
  <c r="AL156" i="42"/>
  <c r="AL147" i="42"/>
  <c r="AL138" i="42"/>
  <c r="AL129" i="42"/>
  <c r="AL121" i="42"/>
  <c r="AL114" i="42"/>
  <c r="AL105" i="42"/>
  <c r="AL97" i="42"/>
  <c r="AL89" i="42"/>
  <c r="AL81" i="42"/>
  <c r="AL73" i="42"/>
  <c r="AL65" i="42"/>
  <c r="AL57" i="42"/>
  <c r="AL49" i="42"/>
  <c r="AL41" i="42"/>
  <c r="AL32" i="42"/>
  <c r="AL22" i="42"/>
  <c r="AL12" i="42"/>
  <c r="AK185" i="42"/>
  <c r="AK177" i="42"/>
  <c r="AK172" i="42"/>
  <c r="AK164" i="42"/>
  <c r="AK156" i="42"/>
  <c r="AK147" i="42"/>
  <c r="AK138" i="42"/>
  <c r="AK129" i="42"/>
  <c r="AK121" i="42"/>
  <c r="AK114" i="42"/>
  <c r="AK105" i="42"/>
  <c r="AK97" i="42"/>
  <c r="AK89" i="42"/>
  <c r="AK81" i="42"/>
  <c r="AK73" i="42"/>
  <c r="AK65" i="42"/>
  <c r="AK57" i="42"/>
  <c r="AK49" i="42"/>
  <c r="AK41" i="42"/>
  <c r="AK32" i="42"/>
  <c r="AK22" i="42"/>
  <c r="AK12" i="42"/>
  <c r="AJ185" i="42"/>
  <c r="AJ177" i="42"/>
  <c r="AJ172" i="42"/>
  <c r="AJ164" i="42"/>
  <c r="AJ156" i="42"/>
  <c r="AJ147" i="42"/>
  <c r="AJ138" i="42"/>
  <c r="AJ129" i="42"/>
  <c r="AJ121" i="42"/>
  <c r="AJ114" i="42"/>
  <c r="AJ105" i="42"/>
  <c r="AJ89" i="42"/>
  <c r="AJ81" i="42"/>
  <c r="AJ73" i="42"/>
  <c r="AJ65" i="42"/>
  <c r="AJ57" i="42"/>
  <c r="AJ49" i="42"/>
  <c r="AJ41" i="42"/>
  <c r="AJ32" i="42"/>
  <c r="AJ22" i="42"/>
  <c r="AJ12" i="42"/>
  <c r="AI185" i="42"/>
  <c r="AI177" i="42"/>
  <c r="AI172" i="42"/>
  <c r="AI164" i="42"/>
  <c r="AI156" i="42"/>
  <c r="AI147" i="42"/>
  <c r="AI138" i="42"/>
  <c r="AI129" i="42"/>
  <c r="AI121" i="42"/>
  <c r="AI114" i="42"/>
  <c r="AI105" i="42"/>
  <c r="AI97" i="42"/>
  <c r="AI89" i="42"/>
  <c r="AI81" i="42"/>
  <c r="AI73" i="42"/>
  <c r="AI65" i="42"/>
  <c r="AI57" i="42"/>
  <c r="AI41" i="42"/>
  <c r="AI32" i="42"/>
  <c r="AI22" i="42"/>
  <c r="AI12" i="42"/>
  <c r="AG185" i="42"/>
  <c r="AF185" i="42"/>
  <c r="AE185" i="42"/>
  <c r="AD185" i="42"/>
  <c r="AG177" i="42"/>
  <c r="AF177" i="42"/>
  <c r="AE177" i="42"/>
  <c r="AD177" i="42"/>
  <c r="AG172" i="42"/>
  <c r="AF172" i="42"/>
  <c r="AE172" i="42"/>
  <c r="AD172" i="42"/>
  <c r="AG164" i="42"/>
  <c r="AF164" i="42"/>
  <c r="AE164" i="42"/>
  <c r="AD164" i="42"/>
  <c r="AG156" i="42"/>
  <c r="AF156" i="42"/>
  <c r="AE156" i="42"/>
  <c r="AD156" i="42"/>
  <c r="AG147" i="42"/>
  <c r="AF147" i="42"/>
  <c r="AE147" i="42"/>
  <c r="AD147" i="42"/>
  <c r="AG138" i="42"/>
  <c r="AF138" i="42"/>
  <c r="AE138" i="42"/>
  <c r="AD138" i="42"/>
  <c r="AG129" i="42"/>
  <c r="AF129" i="42"/>
  <c r="AE129" i="42"/>
  <c r="AD129" i="42"/>
  <c r="AG121" i="42"/>
  <c r="AF121" i="42"/>
  <c r="AE121" i="42"/>
  <c r="AD121" i="42"/>
  <c r="AG114" i="42"/>
  <c r="AF114" i="42"/>
  <c r="AE114" i="42"/>
  <c r="AD114" i="42"/>
  <c r="AG105" i="42"/>
  <c r="AF105" i="42"/>
  <c r="AE105" i="42"/>
  <c r="AD105" i="42"/>
  <c r="AG97" i="42"/>
  <c r="AF97" i="42"/>
  <c r="AE97" i="42"/>
  <c r="AD97" i="42"/>
  <c r="AG89" i="42"/>
  <c r="AF89" i="42"/>
  <c r="AE89" i="42"/>
  <c r="AD89" i="42"/>
  <c r="AG81" i="42"/>
  <c r="AF81" i="42"/>
  <c r="AE81" i="42"/>
  <c r="AD81" i="42"/>
  <c r="AG73" i="42"/>
  <c r="AF73" i="42"/>
  <c r="AE73" i="42"/>
  <c r="AD73" i="42"/>
  <c r="AG65" i="42"/>
  <c r="AF65" i="42"/>
  <c r="AE65" i="42"/>
  <c r="AD65" i="42"/>
  <c r="AG57" i="42"/>
  <c r="AF57" i="42"/>
  <c r="AE57" i="42"/>
  <c r="AD57" i="42"/>
  <c r="AG49" i="42"/>
  <c r="AF49" i="42"/>
  <c r="AE49" i="42"/>
  <c r="AG41" i="42"/>
  <c r="AF41" i="42"/>
  <c r="AE41" i="42"/>
  <c r="AD41" i="42"/>
  <c r="AG32" i="42"/>
  <c r="AF32" i="42"/>
  <c r="AE32" i="42"/>
  <c r="AD32" i="42"/>
  <c r="AG12" i="42"/>
  <c r="AF12" i="42"/>
  <c r="AE12" i="42"/>
  <c r="AD12" i="42"/>
  <c r="AG22" i="42"/>
  <c r="AF22" i="42"/>
  <c r="AE22" i="42"/>
  <c r="AD22" i="42"/>
  <c r="AO97" i="42"/>
  <c r="AJ97" i="42"/>
  <c r="AA185" i="42"/>
  <c r="Z185" i="42"/>
  <c r="Y185" i="42"/>
  <c r="X185" i="42"/>
  <c r="AA177" i="42"/>
  <c r="Z177" i="42"/>
  <c r="Y177" i="42"/>
  <c r="X177" i="42"/>
  <c r="AA172" i="42"/>
  <c r="Z172" i="42"/>
  <c r="Y172" i="42"/>
  <c r="X172" i="42"/>
  <c r="AA164" i="42"/>
  <c r="Z164" i="42"/>
  <c r="Y164" i="42"/>
  <c r="X164" i="42"/>
  <c r="AA156" i="42"/>
  <c r="Z156" i="42"/>
  <c r="Y156" i="42"/>
  <c r="X156" i="42"/>
  <c r="AA147" i="42"/>
  <c r="Z147" i="42"/>
  <c r="Y147" i="42"/>
  <c r="AA138" i="42"/>
  <c r="Z138" i="42"/>
  <c r="Y138" i="42"/>
  <c r="X138" i="42"/>
  <c r="AA129" i="42"/>
  <c r="Z129" i="42"/>
  <c r="Y129" i="42"/>
  <c r="X129" i="42"/>
  <c r="AA121" i="42"/>
  <c r="Z121" i="42"/>
  <c r="Y121" i="42"/>
  <c r="X121" i="42"/>
  <c r="AA114" i="42"/>
  <c r="Z114" i="42"/>
  <c r="Y114" i="42"/>
  <c r="X114" i="42"/>
  <c r="AA105" i="42"/>
  <c r="Z105" i="42"/>
  <c r="Y105" i="42"/>
  <c r="X105" i="42"/>
  <c r="AA97" i="42"/>
  <c r="Z97" i="42"/>
  <c r="Y97" i="42"/>
  <c r="AA89" i="42"/>
  <c r="Z89" i="42"/>
  <c r="Y89" i="42"/>
  <c r="X89" i="42"/>
  <c r="AA81" i="42"/>
  <c r="Z81" i="42"/>
  <c r="Y81" i="42"/>
  <c r="AA73" i="42"/>
  <c r="Z73" i="42"/>
  <c r="Y73" i="42"/>
  <c r="X73" i="42"/>
  <c r="AA65" i="42"/>
  <c r="Z65" i="42"/>
  <c r="Y65" i="42"/>
  <c r="X65" i="42"/>
  <c r="AA57" i="42"/>
  <c r="Z57" i="42"/>
  <c r="Y57" i="42"/>
  <c r="X57" i="42"/>
  <c r="X32" i="42"/>
  <c r="AA22" i="42"/>
  <c r="AA12" i="42"/>
  <c r="Y12" i="42"/>
  <c r="X12" i="42"/>
  <c r="X22" i="42"/>
  <c r="X41" i="42"/>
  <c r="X97" i="42"/>
  <c r="X147" i="42"/>
  <c r="X81" i="42"/>
  <c r="AA32" i="42"/>
  <c r="Z32" i="42"/>
  <c r="Y32" i="42"/>
  <c r="AA49" i="42"/>
  <c r="Z49" i="42"/>
  <c r="Z41" i="42"/>
  <c r="Z22" i="42"/>
  <c r="Z12" i="42"/>
  <c r="Y49" i="42"/>
  <c r="Y22" i="42"/>
  <c r="AA41" i="42"/>
  <c r="Y41" i="42"/>
  <c r="AG188" i="42" l="1"/>
  <c r="AL188" i="42"/>
  <c r="AO188" i="42"/>
  <c r="Z188" i="42"/>
  <c r="AA188" i="42"/>
  <c r="Y188" i="42"/>
  <c r="AE188" i="42"/>
  <c r="AK188" i="42"/>
  <c r="AQ188" i="42"/>
  <c r="AP188" i="42"/>
  <c r="AJ188" i="42"/>
  <c r="AF188" i="42"/>
  <c r="J6" i="42" l="1"/>
  <c r="V58" i="42" l="1"/>
  <c r="G6" i="36" l="1"/>
  <c r="F22" i="33"/>
  <c r="E22" i="33"/>
  <c r="F21" i="33"/>
  <c r="F20" i="33"/>
  <c r="F19" i="33"/>
  <c r="E19" i="33"/>
  <c r="D19" i="33"/>
  <c r="F17"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V109" i="42"/>
  <c r="D101" i="42"/>
  <c r="V100" i="42"/>
  <c r="V92" i="42"/>
  <c r="V66" i="42"/>
  <c r="V49" i="42"/>
  <c r="V37" i="42"/>
  <c r="V28" i="42"/>
  <c r="V19"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Q6" i="42"/>
  <c r="N6" i="42"/>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D49" i="42" l="1"/>
  <c r="AD188" i="42" s="1"/>
  <c r="AH188" i="42" s="1"/>
  <c r="X49" i="42"/>
  <c r="X188" i="42" s="1"/>
  <c r="AI49" i="42"/>
  <c r="AI188" i="42" s="1"/>
  <c r="AM188" i="42" s="1"/>
  <c r="AN49" i="42"/>
  <c r="AN188" i="42" s="1"/>
  <c r="AR188" i="42" s="1"/>
  <c r="B150" i="42"/>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V51" i="42"/>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AE195" i="42" l="1"/>
  <c r="A11" i="38"/>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M309" i="54"/>
  <c r="AO308" i="54"/>
  <c r="AO309" i="54" s="1"/>
  <c r="AN308" i="54"/>
  <c r="AN309" i="54" s="1"/>
  <c r="AD306" i="54" l="1"/>
</calcChain>
</file>

<file path=xl/sharedStrings.xml><?xml version="1.0" encoding="utf-8"?>
<sst xmlns="http://schemas.openxmlformats.org/spreadsheetml/2006/main" count="12397" uniqueCount="1822">
  <si>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</si>
  <si>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</si>
  <si>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</si>
  <si>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</si>
  <si>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</si>
  <si>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</si>
  <si>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</si>
  <si>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</si>
  <si>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</si>
  <si>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</si>
  <si>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</si>
  <si>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</si>
  <si>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</si>
  <si>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</si>
  <si>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</si>
  <si>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</si>
  <si>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</si>
  <si>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</si>
  <si>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</si>
  <si>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</si>
  <si>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</si>
  <si>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</si>
  <si>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</si>
  <si>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</si>
  <si>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</si>
  <si>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</si>
  <si>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</si>
  <si>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</si>
  <si>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</si>
  <si>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</si>
  <si>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</si>
  <si>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</si>
  <si>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</si>
  <si>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</si>
  <si>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</si>
  <si>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</si>
  <si>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</si>
  <si>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</si>
  <si>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</si>
  <si>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</si>
  <si>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</si>
  <si>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</si>
  <si>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</si>
  <si>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</si>
  <si>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</si>
  <si>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</si>
  <si>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</si>
  <si>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</si>
  <si>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</si>
  <si>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</si>
  <si>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</si>
  <si>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</si>
  <si>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</si>
  <si>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</si>
  <si>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</si>
  <si>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</si>
  <si>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</si>
  <si>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</si>
  <si>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</si>
  <si>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</si>
  <si>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</si>
  <si>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</si>
  <si>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</si>
  <si>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</si>
  <si>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</si>
  <si>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</si>
  <si>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</si>
  <si>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</si>
  <si>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</si>
  <si>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</si>
  <si>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</si>
  <si>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</si>
  <si>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</si>
  <si>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</si>
  <si>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</si>
  <si>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</si>
  <si>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</si>
  <si>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</si>
  <si>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</si>
  <si>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</si>
  <si>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</si>
  <si>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</si>
  <si>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</si>
  <si>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</si>
  <si>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</si>
  <si>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</si>
  <si>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</si>
  <si>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</si>
  <si>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</si>
  <si>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</si>
  <si>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</si>
  <si>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</si>
  <si>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</si>
  <si>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</si>
  <si>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</si>
  <si>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</si>
  <si>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</si>
  <si>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</si>
  <si>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</si>
  <si>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</si>
  <si>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</si>
  <si>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</si>
  <si>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</si>
  <si>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</si>
  <si>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</si>
  <si>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</si>
  <si>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</si>
  <si>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</si>
  <si>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</si>
  <si>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</si>
  <si>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</si>
  <si>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</si>
  <si>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</si>
  <si>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</si>
  <si>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</si>
  <si>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</si>
  <si>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</si>
  <si>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</si>
  <si>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</si>
  <si>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</si>
  <si>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</si>
  <si>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</si>
  <si>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</si>
  <si>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</si>
  <si>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</si>
  <si>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</si>
  <si>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</si>
  <si>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</si>
  <si>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</si>
  <si>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</si>
  <si>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</si>
  <si>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</si>
  <si>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</si>
  <si>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</si>
  <si>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</si>
  <si>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</si>
  <si>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</si>
  <si>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</si>
  <si>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</si>
  <si>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</si>
  <si>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</si>
  <si>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</si>
  <si>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</si>
  <si>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</si>
  <si>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</si>
  <si>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</si>
  <si>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</si>
  <si>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</si>
  <si>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</si>
  <si>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</si>
  <si>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</si>
  <si>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</si>
  <si>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</si>
  <si>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</si>
  <si>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</si>
  <si>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</si>
  <si>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</si>
  <si>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</si>
  <si>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</si>
  <si>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</si>
  <si>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</si>
  <si>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</si>
  <si>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</si>
  <si>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</si>
  <si>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</si>
  <si>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</si>
  <si>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</si>
  <si>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</si>
  <si>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</si>
  <si>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</si>
  <si>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</si>
  <si>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</si>
  <si>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</si>
  <si>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</si>
  <si>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</si>
  <si>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</si>
  <si>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</si>
  <si>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</si>
  <si>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</si>
  <si>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</si>
  <si>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</si>
  <si>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</si>
  <si>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</si>
  <si>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</si>
  <si>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</si>
  <si>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</si>
  <si>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</si>
  <si>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</si>
  <si>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</si>
  <si>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</si>
  <si>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</si>
  <si>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</si>
  <si>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</si>
  <si>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</si>
  <si>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</si>
  <si>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</si>
  <si>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</si>
  <si>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</si>
  <si>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</si>
  <si>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</si>
  <si>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</si>
  <si>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</si>
  <si>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</si>
  <si>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</si>
  <si>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</si>
  <si>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</si>
  <si>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</si>
  <si>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</si>
  <si>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</si>
  <si>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</si>
  <si>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</si>
  <si>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</si>
  <si>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</si>
  <si>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</si>
  <si>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</si>
  <si>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</si>
  <si>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</si>
  <si>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</si>
  <si>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</si>
  <si>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</si>
  <si>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</si>
  <si>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</si>
  <si>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</si>
  <si>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</si>
  <si>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</si>
  <si>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</si>
  <si>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</si>
  <si>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</si>
  <si>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</si>
  <si>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</si>
  <si>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</si>
  <si>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</si>
  <si>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</si>
  <si>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</si>
  <si>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</si>
  <si>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</si>
  <si>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</si>
  <si>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</si>
  <si>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</si>
  <si>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</si>
  <si>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</si>
  <si>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</si>
  <si>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</si>
  <si>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</si>
  <si>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</si>
  <si>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</si>
  <si>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</si>
  <si>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</si>
  <si>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</si>
  <si>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</si>
  <si>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</si>
  <si>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</si>
  <si>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</si>
  <si>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</si>
  <si>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</si>
  <si>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</si>
  <si>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</si>
  <si>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</si>
  <si>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</si>
  <si>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</si>
  <si>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</si>
  <si>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</si>
  <si>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</si>
  <si>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</si>
  <si>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</si>
  <si>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</si>
  <si>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</si>
  <si>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</si>
  <si>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</si>
  <si>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</si>
  <si>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</si>
  <si>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</si>
  <si>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</si>
  <si>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</si>
  <si>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</si>
  <si>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</si>
  <si>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</si>
  <si>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</si>
  <si>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</si>
  <si>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</si>
  <si>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</si>
  <si>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</si>
  <si>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</si>
  <si>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</si>
  <si>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</si>
  <si>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</si>
  <si>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</si>
  <si>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</si>
  <si>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</si>
  <si>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</si>
  <si>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</si>
  <si>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</si>
  <si>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</si>
  <si>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</si>
  <si>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</si>
  <si>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</si>
  <si>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</si>
  <si>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</si>
  <si>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</si>
  <si>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</si>
  <si>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</si>
  <si>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</si>
  <si>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</si>
  <si>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</si>
  <si>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</si>
  <si>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</si>
  <si>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</si>
  <si>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</si>
  <si>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</si>
  <si>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</si>
  <si>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</si>
  <si>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</si>
  <si>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</si>
  <si>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</si>
  <si>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</si>
  <si>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</si>
  <si>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</si>
  <si>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</si>
  <si>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</si>
  <si>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</si>
  <si>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</si>
  <si>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</si>
  <si>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</si>
  <si>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</si>
  <si>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</si>
  <si>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</si>
  <si>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</si>
  <si>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</si>
  <si>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</si>
  <si>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</si>
  <si>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</si>
  <si>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</si>
  <si>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</si>
  <si>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</si>
  <si>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</si>
  <si>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</si>
  <si>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</si>
  <si>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</si>
  <si>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</si>
  <si>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</si>
  <si>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</si>
  <si>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</si>
  <si>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</si>
  <si>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</si>
  <si>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</si>
  <si>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</si>
  <si>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</si>
  <si>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</si>
  <si>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</si>
  <si>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</si>
  <si>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</si>
  <si>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</si>
  <si>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</si>
  <si>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</si>
  <si>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</si>
  <si>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</si>
  <si>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</si>
  <si>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</si>
  <si>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</si>
  <si>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</si>
  <si>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</si>
  <si>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</si>
  <si>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</si>
  <si>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</si>
  <si>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</si>
  <si>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</si>
  <si>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</si>
  <si>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</si>
  <si>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</si>
  <si>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</si>
  <si>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</si>
  <si>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</si>
  <si>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</si>
  <si>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</si>
  <si>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</si>
  <si>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</si>
  <si>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</si>
  <si>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</si>
  <si>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</si>
  <si>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</si>
  <si>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</si>
  <si>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</si>
  <si>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</si>
  <si>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</si>
  <si>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</si>
  <si>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</si>
  <si>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</si>
  <si>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</si>
  <si>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</si>
  <si>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</si>
  <si>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</si>
  <si>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</si>
  <si>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</si>
  <si>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</si>
  <si>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</si>
  <si>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</si>
  <si>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</si>
  <si>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</si>
  <si>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</si>
  <si>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</si>
  <si>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</si>
  <si>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</si>
  <si>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</si>
  <si>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</si>
  <si>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</si>
  <si>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</si>
  <si>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</si>
  <si>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</si>
  <si>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</si>
  <si>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</si>
  <si>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</si>
  <si>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</si>
  <si>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</si>
  <si>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</si>
  <si>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</si>
  <si>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</si>
  <si>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</si>
  <si>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</si>
  <si>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</si>
  <si>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</si>
  <si>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</si>
  <si>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</si>
  <si>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</si>
  <si>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</si>
  <si>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</si>
  <si>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</si>
  <si>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</si>
  <si>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</si>
  <si>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</si>
  <si>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</si>
  <si>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</si>
  <si>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</si>
  <si>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</si>
  <si>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</si>
  <si>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</si>
  <si>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</si>
  <si>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</si>
  <si>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</si>
  <si>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</si>
  <si>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</si>
  <si>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</si>
  <si>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</si>
  <si>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</si>
  <si>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</si>
  <si>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</si>
  <si>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</si>
  <si>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</si>
  <si>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</si>
  <si>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</si>
  <si>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</si>
  <si>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</si>
  <si>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</si>
  <si>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</si>
  <si>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</si>
  <si>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</si>
  <si>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</si>
  <si>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</si>
  <si>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</si>
  <si>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</si>
  <si>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</si>
  <si>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</si>
  <si>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</si>
  <si>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</si>
  <si>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</si>
  <si>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</si>
  <si>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</si>
  <si>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</si>
  <si>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</si>
  <si>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</si>
  <si>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</si>
  <si>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</si>
  <si>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</si>
  <si>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</si>
  <si>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</si>
  <si>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</si>
  <si>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</si>
  <si>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</si>
  <si>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</si>
  <si>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</si>
  <si>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</si>
  <si>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</si>
  <si>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</si>
  <si>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</si>
  <si>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</si>
  <si>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</si>
  <si>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</si>
  <si>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</si>
  <si>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</si>
  <si>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</si>
  <si>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</si>
  <si>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</si>
  <si>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</si>
  <si>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</si>
  <si>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</si>
  <si>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</si>
  <si>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</si>
  <si>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</si>
  <si>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</si>
  <si>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</si>
  <si>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</si>
  <si>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</si>
  <si>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</si>
  <si>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</si>
  <si>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</si>
  <si>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</si>
  <si>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</si>
  <si>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</si>
  <si>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</si>
  <si>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</si>
  <si>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</si>
  <si>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</si>
  <si>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</si>
  <si>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</si>
  <si>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</si>
  <si>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</si>
  <si>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</si>
  <si>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</si>
  <si>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</si>
  <si>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</si>
  <si>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</si>
  <si>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</si>
  <si>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</si>
  <si>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</si>
  <si>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</si>
  <si>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</si>
  <si>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</si>
  <si>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</si>
  <si>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</si>
  <si>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</si>
  <si>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</si>
  <si>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</si>
  <si>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</si>
  <si>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</si>
  <si>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</si>
  <si>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</si>
  <si>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</si>
  <si>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</si>
  <si>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</si>
  <si>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</si>
  <si>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</si>
  <si>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</si>
  <si>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</si>
  <si>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</si>
  <si>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</si>
  <si>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</si>
  <si>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</si>
  <si>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</si>
  <si>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</si>
  <si>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</si>
  <si>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</si>
  <si>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</si>
  <si>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</si>
  <si>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</si>
  <si>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</si>
  <si>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</si>
  <si>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</si>
  <si>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</si>
  <si>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</si>
  <si>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</si>
  <si>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</si>
  <si>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</si>
  <si>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</si>
  <si>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</si>
  <si>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</si>
  <si>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</si>
  <si>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</si>
  <si>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</si>
  <si>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</si>
  <si>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</si>
  <si>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</si>
  <si>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</si>
  <si>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</si>
  <si>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</si>
  <si>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</si>
  <si>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</si>
  <si>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</si>
  <si>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</si>
  <si>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</si>
  <si>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</si>
  <si>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</si>
  <si>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</si>
  <si>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</si>
  <si>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</si>
  <si>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</si>
  <si>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</si>
  <si>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</si>
  <si>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</si>
  <si>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</si>
  <si>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</si>
  <si>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</si>
  <si>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</si>
  <si>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</si>
  <si>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</si>
  <si>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</si>
  <si>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</si>
  <si>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</si>
  <si>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</si>
  <si>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</si>
  <si>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</si>
  <si>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</si>
  <si>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</si>
  <si>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</si>
  <si>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</si>
  <si>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</si>
  <si>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</si>
  <si>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</si>
  <si>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</si>
  <si>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</si>
  <si>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</si>
  <si>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</si>
  <si>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</si>
  <si>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</si>
  <si>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</si>
  <si>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</si>
  <si>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</si>
  <si>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</si>
  <si>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</si>
  <si>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</si>
  <si>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</si>
  <si>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</si>
  <si>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</si>
  <si>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</si>
  <si>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</si>
  <si>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</si>
  <si>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</si>
  <si>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</si>
  <si>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</si>
  <si>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</si>
  <si>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</si>
  <si>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</si>
  <si>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</si>
  <si>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</si>
  <si>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</si>
  <si>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</si>
  <si>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</si>
  <si>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</si>
  <si>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</si>
  <si>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</si>
  <si>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</si>
  <si>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</si>
  <si>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</si>
  <si>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</si>
  <si>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</si>
  <si>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</si>
  <si>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</si>
  <si>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</si>
  <si>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</si>
  <si>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</si>
  <si>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</si>
  <si>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</si>
  <si>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</si>
  <si>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</si>
  <si>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</si>
  <si>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</si>
  <si>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</si>
  <si>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</si>
  <si>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</si>
  <si>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</si>
  <si>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</si>
  <si>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</si>
  <si>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</si>
  <si>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</si>
  <si>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</si>
  <si>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</si>
  <si>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</si>
  <si>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</si>
  <si>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</si>
  <si>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</si>
  <si>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</si>
  <si>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</si>
  <si>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</si>
  <si>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</si>
  <si>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</si>
  <si>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</si>
  <si>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</si>
  <si>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</si>
  <si>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</si>
  <si>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</si>
  <si>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</si>
  <si>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</si>
  <si>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</si>
  <si>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</si>
  <si>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</si>
  <si>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</si>
  <si>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</si>
  <si>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</si>
  <si>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</si>
  <si>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</si>
  <si>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</si>
  <si>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</si>
  <si>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</si>
  <si>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</si>
  <si>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</si>
  <si>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</si>
  <si>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</si>
  <si>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</si>
  <si>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</si>
  <si>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</si>
  <si>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</si>
  <si>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</si>
  <si>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</si>
  <si>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</si>
  <si>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</si>
  <si>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</si>
  <si>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</si>
  <si>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</si>
  <si>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</si>
  <si>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</si>
  <si>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</si>
  <si>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</si>
  <si>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</si>
  <si>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</si>
  <si>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</si>
  <si>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</si>
  <si>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</si>
  <si>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</si>
  <si>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</si>
  <si>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</si>
  <si>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</si>
  <si>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</si>
  <si>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</si>
  <si>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</si>
  <si>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</si>
  <si>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</si>
  <si>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</si>
  <si>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</si>
  <si>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</si>
  <si>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</si>
  <si>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</si>
  <si>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</si>
  <si>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</si>
  <si>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</si>
  <si>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</si>
  <si>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</si>
  <si>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</si>
  <si>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</si>
  <si>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</si>
  <si>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</si>
  <si>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</si>
  <si>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</si>
  <si>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</si>
  <si>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</si>
  <si>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</si>
  <si>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</si>
  <si>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</si>
  <si>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</si>
  <si>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</si>
  <si>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</si>
  <si>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</si>
  <si>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</si>
  <si>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</si>
  <si>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</si>
  <si>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</si>
  <si>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</si>
  <si>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</si>
  <si>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</si>
  <si>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</si>
  <si>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</si>
  <si>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</si>
  <si>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</si>
  <si>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</si>
  <si>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</si>
  <si>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</si>
  <si>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</si>
  <si>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</si>
  <si>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</si>
  <si>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</si>
  <si>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</si>
  <si>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</si>
  <si>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</si>
  <si>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</si>
  <si>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</si>
  <si>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</si>
  <si>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</si>
  <si>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</si>
  <si>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</si>
  <si>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</si>
  <si>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</si>
  <si>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</si>
  <si>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</si>
  <si>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</si>
  <si>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</si>
  <si>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</si>
  <si>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</si>
  <si>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</si>
  <si>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</si>
  <si>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</si>
  <si>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</si>
  <si>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</si>
  <si>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</si>
  <si>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</si>
  <si>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</si>
  <si>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</si>
  <si>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</si>
  <si>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</si>
  <si>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</si>
  <si>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</si>
  <si>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</si>
  <si>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</si>
  <si>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</si>
  <si>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</si>
  <si>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</si>
  <si>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</si>
  <si>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</si>
  <si>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</si>
  <si>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</si>
  <si>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</si>
  <si>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</si>
  <si>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</si>
  <si>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</si>
  <si>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</si>
  <si>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</si>
  <si>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</si>
  <si>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</si>
  <si>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</si>
  <si>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</si>
  <si>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</si>
  <si>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</si>
  <si>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</si>
  <si>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</si>
  <si>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</si>
  <si>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</si>
  <si>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</si>
  <si>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</si>
  <si>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</si>
  <si>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</si>
  <si>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</si>
  <si>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</si>
  <si>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</si>
  <si>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</si>
  <si>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</si>
  <si>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</si>
  <si>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</si>
  <si>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</si>
  <si>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</si>
  <si>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</si>
  <si>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</si>
  <si>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</si>
  <si>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</si>
  <si>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</si>
  <si>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</si>
  <si>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</si>
  <si>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</si>
  <si>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</si>
  <si>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</si>
  <si>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</si>
  <si>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</si>
  <si>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</si>
  <si>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</si>
  <si>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</si>
  <si>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</si>
  <si>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</si>
  <si>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</si>
  <si>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</si>
  <si>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</si>
  <si>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</si>
  <si>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</si>
  <si>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</si>
  <si>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</si>
  <si>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</si>
  <si>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</si>
  <si>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</si>
  <si>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</si>
  <si>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</si>
  <si>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</si>
  <si>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</si>
  <si>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</si>
  <si>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</si>
  <si>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</si>
  <si>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</si>
  <si>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</si>
  <si>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</si>
  <si>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</si>
  <si>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</si>
  <si>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</si>
  <si>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</si>
  <si>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</si>
  <si>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</si>
  <si>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</si>
  <si>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</si>
  <si>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</si>
  <si>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</si>
  <si>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</si>
  <si>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</si>
  <si>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</si>
  <si>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</si>
  <si>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</si>
  <si>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</si>
  <si>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</si>
  <si>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</si>
  <si>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</si>
  <si>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</si>
  <si>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</si>
  <si>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</si>
  <si>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</si>
  <si>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</si>
  <si>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</si>
  <si>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</si>
  <si>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</si>
  <si>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</si>
  <si>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</si>
  <si>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</si>
  <si>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</si>
  <si>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</si>
  <si>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</si>
  <si>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</si>
  <si>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</si>
  <si>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</si>
  <si>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</si>
  <si>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</si>
  <si>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</si>
  <si>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</si>
  <si>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</si>
  <si>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</si>
  <si>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</si>
  <si>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</si>
  <si>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</si>
  <si>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</si>
  <si>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</si>
  <si>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</si>
  <si>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</si>
  <si>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</si>
  <si>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</si>
  <si>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</si>
  <si>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</si>
  <si>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</si>
  <si>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</si>
  <si>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</si>
  <si>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</si>
  <si>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</si>
  <si>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</si>
  <si>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</si>
  <si>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</si>
  <si>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</si>
  <si>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</si>
  <si>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</si>
  <si>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</si>
  <si>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</si>
  <si>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</si>
  <si>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</si>
  <si>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</si>
  <si>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</si>
  <si>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</si>
  <si>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</si>
  <si>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</si>
  <si>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</si>
  <si>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</si>
  <si>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</si>
  <si>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</si>
  <si>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</si>
  <si>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</si>
  <si>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</si>
  <si>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</si>
  <si>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</si>
  <si>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</si>
  <si>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</si>
  <si>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</si>
  <si>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</si>
  <si>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</si>
  <si>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</si>
  <si>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</si>
  <si>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</si>
  <si>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</si>
  <si>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</si>
  <si>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</si>
  <si>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</si>
  <si>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</si>
  <si>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</si>
  <si>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</si>
  <si>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</si>
  <si>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</si>
  <si>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</si>
  <si>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</si>
  <si>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</si>
  <si>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</si>
  <si>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</si>
  <si>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</si>
  <si>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</si>
  <si>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</si>
  <si>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</si>
  <si>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</si>
  <si>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</si>
  <si>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</si>
  <si>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</si>
  <si>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</si>
  <si>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</si>
  <si>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</si>
  <si>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</si>
  <si>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</si>
  <si>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</si>
  <si>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</si>
  <si>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</si>
  <si>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</si>
  <si>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</si>
  <si>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</si>
  <si>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</si>
  <si>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</si>
  <si>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</si>
  <si>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</si>
  <si>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</si>
  <si>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</si>
  <si>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</si>
  <si>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</si>
  <si>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</si>
  <si>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</si>
  <si>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</si>
  <si>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</si>
  <si>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</si>
  <si>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</si>
  <si>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</si>
  <si>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</si>
  <si>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</si>
  <si>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</si>
  <si>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</si>
  <si>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</si>
  <si>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</si>
  <si>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</si>
  <si>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</si>
  <si>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</si>
  <si>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</si>
  <si>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</si>
  <si>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</si>
  <si>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</si>
  <si>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</si>
  <si>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</si>
  <si>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</si>
  <si>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</si>
  <si>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</si>
  <si>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</si>
  <si>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</si>
  <si>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</si>
  <si>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</si>
  <si>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</si>
  <si>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</si>
  <si>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</si>
  <si>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</si>
  <si>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</si>
  <si>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</si>
  <si>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</si>
  <si>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</si>
  <si>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</si>
  <si>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</si>
  <si>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</si>
  <si>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</si>
  <si>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</si>
  <si>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</si>
  <si>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</si>
  <si>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</si>
  <si>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</si>
  <si>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</si>
  <si>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</si>
  <si>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</si>
  <si>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</si>
  <si>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</si>
  <si>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</si>
  <si>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</si>
  <si>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</si>
  <si>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</si>
  <si>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</si>
  <si>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</si>
  <si>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</si>
  <si>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</si>
  <si>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</si>
  <si>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</si>
  <si>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</si>
  <si>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</si>
  <si>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</si>
  <si>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</si>
  <si>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</si>
  <si>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</si>
  <si>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</si>
  <si>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</si>
  <si>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</si>
  <si>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</si>
  <si>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</si>
  <si>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</si>
  <si>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</si>
  <si>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</si>
  <si>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</si>
  <si>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</si>
  <si>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</si>
  <si>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</si>
  <si>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</si>
  <si>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</si>
  <si>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</si>
  <si>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</si>
  <si>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</si>
  <si>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</si>
  <si>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</si>
  <si>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</si>
  <si>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</si>
  <si>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</si>
  <si>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</si>
  <si>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</si>
  <si>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</si>
  <si>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</si>
  <si>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</si>
  <si>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</si>
  <si>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</si>
  <si>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</si>
  <si>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</si>
  <si>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</si>
  <si>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</si>
  <si>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</si>
  <si>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</si>
  <si>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</si>
  <si>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</si>
  <si>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</si>
  <si>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</si>
  <si>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</si>
  <si>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</si>
  <si>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</si>
  <si>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</si>
  <si>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</si>
  <si>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</si>
  <si>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</si>
  <si>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</si>
  <si>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</si>
  <si>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</si>
  <si>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</si>
  <si>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</si>
  <si>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</si>
  <si>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</si>
  <si>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</si>
  <si>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</si>
  <si>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</si>
  <si>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</si>
  <si>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</si>
  <si>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</si>
  <si>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</si>
  <si>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</si>
  <si>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</si>
  <si>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</si>
  <si>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</si>
  <si>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</si>
  <si>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</si>
  <si>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</si>
  <si>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</si>
  <si>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</si>
  <si>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</si>
  <si>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</si>
  <si>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</si>
  <si>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</si>
  <si>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</si>
  <si>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</si>
  <si>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</si>
  <si>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</si>
  <si>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</si>
  <si>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</si>
  <si>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</si>
  <si>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</si>
  <si>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</si>
  <si>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</si>
  <si>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</si>
  <si>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</si>
  <si>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</si>
  <si>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</si>
  <si>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</si>
  <si>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</si>
  <si>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</si>
  <si>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</si>
  <si>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</si>
  <si>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</si>
  <si>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</si>
  <si>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</si>
  <si>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</si>
  <si>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</si>
  <si>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</si>
  <si>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</si>
  <si>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</si>
  <si>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</si>
  <si>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</si>
  <si>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</si>
  <si>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</si>
  <si>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</si>
  <si>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</si>
  <si>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</si>
  <si>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</si>
  <si>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</si>
  <si>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</si>
  <si>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</si>
  <si>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</si>
  <si>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</si>
  <si>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</si>
  <si>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</si>
  <si>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</si>
  <si>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</si>
  <si>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</si>
  <si>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</si>
  <si>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</si>
  <si>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</si>
  <si>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</si>
  <si>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</si>
  <si>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</si>
  <si>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</si>
  <si>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</si>
  <si>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</si>
  <si>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</si>
  <si>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</si>
  <si>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</si>
  <si>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</si>
  <si>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</si>
  <si>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</si>
  <si>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</si>
  <si>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</si>
  <si>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</si>
  <si>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</si>
  <si>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</si>
  <si>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</si>
  <si>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</si>
  <si>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</si>
  <si>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</si>
  <si>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</si>
  <si>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</si>
  <si>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</si>
  <si>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</si>
  <si>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</si>
  <si>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</si>
  <si>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</si>
  <si>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</si>
  <si>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</si>
  <si>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</si>
  <si>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</si>
  <si>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</si>
  <si>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</si>
  <si>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</si>
  <si>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</si>
  <si>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</si>
  <si>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</si>
  <si>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</si>
  <si>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</si>
  <si>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</si>
  <si>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</si>
  <si>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</si>
  <si>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</si>
  <si>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</si>
  <si>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</si>
  <si>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</si>
  <si>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</si>
  <si>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</si>
  <si>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</si>
  <si>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</si>
  <si>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</si>
  <si>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</si>
  <si>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</si>
  <si>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</si>
  <si>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</si>
  <si>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</si>
  <si>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</si>
  <si>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</si>
  <si>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</si>
  <si>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</si>
  <si>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</si>
  <si>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</si>
  <si>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</si>
  <si>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</si>
  <si>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</si>
  <si>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</si>
  <si>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</si>
  <si>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</si>
  <si>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</si>
  <si>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</si>
  <si>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</si>
  <si>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</si>
  <si>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</si>
  <si>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</si>
  <si>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</si>
  <si>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</si>
  <si>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</si>
  <si>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</si>
  <si>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</si>
  <si>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</si>
  <si>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</si>
  <si>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</si>
  <si>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</si>
  <si>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</si>
  <si>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</si>
  <si>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</si>
  <si>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</si>
  <si>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</si>
  <si>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</si>
  <si>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</si>
  <si>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</si>
  <si>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</si>
  <si>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</si>
  <si>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</si>
  <si>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</si>
  <si>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</si>
  <si>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</si>
  <si>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</si>
  <si>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</si>
  <si>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</si>
  <si>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</si>
  <si>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</si>
  <si>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</si>
  <si>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</si>
  <si>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</si>
  <si>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</si>
  <si>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</si>
  <si>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</si>
  <si>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</si>
  <si>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</si>
  <si>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</si>
  <si>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</si>
  <si>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</si>
  <si>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</si>
  <si>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</si>
  <si>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</si>
  <si>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</si>
  <si>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</si>
  <si>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</si>
  <si>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</si>
  <si>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</si>
  <si>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</si>
  <si>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</si>
  <si>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</si>
  <si>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</si>
  <si>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</si>
  <si>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</si>
  <si>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</si>
  <si>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</si>
  <si>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</si>
  <si>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</si>
  <si>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</si>
  <si>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</si>
  <si>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</si>
  <si>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</si>
  <si>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</si>
  <si>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</si>
  <si>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</si>
  <si>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</si>
  <si>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</si>
  <si>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</si>
  <si>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</si>
  <si>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</si>
  <si>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</si>
  <si>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</si>
  <si>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</si>
  <si>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</si>
  <si>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</si>
  <si>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</si>
  <si>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</si>
  <si>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</si>
  <si>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</si>
  <si>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</si>
  <si>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</si>
  <si>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</si>
  <si>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</si>
  <si>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</si>
  <si>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</si>
  <si>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</si>
  <si>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</si>
  <si>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</si>
  <si>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</si>
  <si>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</si>
  <si>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</si>
  <si>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</si>
  <si>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</si>
  <si>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</si>
  <si>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</si>
  <si>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</si>
  <si>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</si>
  <si>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</si>
  <si>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</si>
  <si>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</si>
  <si>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</si>
  <si>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</si>
  <si>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</si>
  <si>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</si>
  <si>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</si>
  <si>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</si>
  <si>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</si>
  <si>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</si>
  <si>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</si>
  <si>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</si>
  <si>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</si>
  <si>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</si>
  <si>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</si>
  <si>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</si>
  <si>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</si>
  <si>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</si>
  <si>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</si>
  <si>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</si>
  <si>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</si>
  <si>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</si>
  <si>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</si>
  <si>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</si>
  <si>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</si>
  <si>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</si>
  <si>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</si>
  <si>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</si>
  <si>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</si>
  <si>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</si>
  <si>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</si>
  <si>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</si>
  <si>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</si>
  <si>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</si>
  <si>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</si>
  <si>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</si>
  <si>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</si>
  <si>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</si>
  <si>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</si>
  <si>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</si>
  <si>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</si>
  <si>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</si>
  <si>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</si>
  <si>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</si>
  <si>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</si>
  <si>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</si>
  <si>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</si>
  <si>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</si>
  <si>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</si>
  <si>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</si>
  <si>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</si>
  <si>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</si>
  <si>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</si>
  <si>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</si>
  <si>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AR Patel-1</t>
  </si>
  <si>
    <t>AR Patel-2</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</si>
  <si>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</si>
  <si>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</si>
  <si>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</si>
  <si>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</si>
  <si>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</si>
  <si>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</si>
  <si>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</si>
  <si>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</si>
  <si>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</si>
  <si>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</si>
  <si>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</si>
  <si>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</si>
  <si>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</si>
  <si>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</si>
  <si>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</si>
  <si>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</si>
  <si>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</si>
  <si>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</si>
  <si>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</si>
  <si>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</si>
  <si>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</si>
  <si>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</si>
  <si>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</si>
  <si>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</si>
  <si>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</si>
  <si>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</si>
  <si>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</si>
  <si>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</si>
  <si>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</si>
  <si>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</si>
  <si>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</si>
  <si>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</si>
  <si>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</si>
  <si>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</si>
  <si>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</si>
  <si>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</si>
  <si>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</si>
  <si>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</si>
  <si>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</si>
  <si>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</si>
  <si>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</si>
  <si>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</si>
  <si>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</si>
  <si>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</si>
  <si>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</si>
  <si>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</si>
  <si>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</si>
  <si>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</si>
  <si>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</si>
  <si>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</si>
  <si>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</si>
  <si>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</si>
  <si>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</si>
  <si>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</si>
  <si>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</si>
  <si>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</si>
  <si>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</si>
  <si>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</si>
  <si>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</si>
  <si>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</si>
  <si>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</si>
  <si>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</si>
  <si>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</si>
  <si>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</si>
  <si>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</si>
  <si>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</si>
  <si>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</si>
  <si>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</si>
  <si>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</si>
  <si>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</si>
  <si>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</si>
  <si>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</si>
  <si>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</si>
  <si>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</si>
  <si>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</si>
  <si>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</si>
  <si>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</si>
  <si>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</si>
  <si>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</si>
  <si>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</si>
  <si>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</si>
  <si>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</si>
  <si>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</si>
  <si>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</si>
  <si>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</si>
  <si>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</si>
  <si>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</si>
  <si>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</si>
  <si>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</si>
  <si>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</si>
  <si>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</si>
  <si>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</si>
  <si>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</si>
  <si>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</si>
  <si>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</si>
  <si>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</si>
  <si>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</si>
  <si>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</si>
  <si>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</si>
  <si>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</si>
  <si>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</si>
  <si>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</si>
  <si>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</si>
  <si>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</si>
  <si>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</si>
  <si>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</si>
  <si>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</si>
  <si>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</si>
  <si>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</si>
  <si>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</si>
  <si>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</si>
  <si>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</si>
  <si>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</si>
  <si>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</si>
  <si>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</si>
  <si>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</si>
  <si>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</si>
  <si>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</si>
  <si>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</si>
  <si>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</si>
  <si>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</si>
  <si>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</si>
  <si>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</si>
  <si>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</si>
  <si>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</si>
  <si>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</si>
  <si>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</si>
  <si>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</si>
  <si>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</si>
  <si>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</si>
  <si>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</si>
  <si>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</si>
  <si>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</si>
  <si>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</si>
  <si>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</si>
  <si>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</si>
  <si>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</si>
  <si>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</si>
  <si>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</si>
  <si>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</si>
  <si>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</si>
  <si>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</si>
  <si>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</si>
  <si>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</si>
  <si>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</si>
  <si>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</si>
  <si>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</si>
  <si>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</si>
  <si>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</si>
  <si>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</si>
  <si>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</si>
  <si>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</si>
  <si>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</si>
  <si>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</si>
  <si>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</si>
  <si>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</si>
  <si>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</si>
  <si>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</si>
  <si>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</si>
  <si>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</si>
  <si>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</si>
  <si>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</si>
  <si>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</si>
  <si>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</si>
  <si>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</si>
  <si>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</si>
  <si>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</si>
  <si>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</si>
  <si>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</si>
  <si>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</si>
  <si>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</si>
  <si>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</si>
  <si>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</si>
  <si>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</si>
  <si>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</si>
  <si>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</si>
  <si>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</si>
  <si>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</si>
  <si>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</si>
  <si>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</si>
  <si>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</si>
  <si>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</si>
  <si>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</si>
  <si>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</si>
  <si>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</si>
  <si>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</si>
  <si>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</si>
  <si>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</si>
  <si>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</si>
  <si>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</si>
  <si>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</si>
  <si>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</si>
  <si>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</si>
  <si>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</si>
  <si>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</si>
  <si>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</si>
  <si>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</si>
  <si>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</si>
  <si>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</si>
  <si>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</si>
  <si>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</si>
  <si>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</si>
  <si>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</si>
  <si>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</si>
  <si>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</si>
  <si>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</si>
  <si>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</si>
  <si>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</si>
  <si>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</si>
  <si>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</si>
  <si>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</si>
  <si>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</si>
  <si>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</si>
  <si>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</si>
  <si>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</si>
  <si>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</si>
  <si>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</si>
  <si>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</si>
  <si>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</si>
  <si>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</si>
  <si>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</si>
  <si>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</si>
  <si>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</si>
  <si>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</si>
  <si>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</si>
  <si>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</si>
  <si>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</si>
  <si>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</si>
  <si>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</si>
  <si>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</si>
  <si>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</si>
  <si>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</si>
  <si>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</si>
  <si>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</si>
  <si>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</si>
  <si>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</si>
  <si>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</si>
  <si>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</si>
  <si>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</si>
  <si>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</si>
  <si>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</si>
  <si>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</si>
  <si>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</si>
  <si>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</si>
  <si>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</si>
  <si>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</si>
  <si>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</si>
  <si>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</si>
  <si>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</si>
  <si>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Harish Construction</t>
  </si>
  <si>
    <t>Baba Ramdev Construction</t>
  </si>
  <si>
    <t>DA+9,3MRC</t>
  </si>
  <si>
    <t>Ahmed Construction</t>
  </si>
  <si>
    <t>149B/0</t>
  </si>
  <si>
    <t>Intense Wave Pvt Ltd</t>
  </si>
  <si>
    <t>DA+3,Bench A &amp; B, C &amp;D 3M RC</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</si>
  <si>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</si>
  <si>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</si>
  <si>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</si>
  <si>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</si>
  <si>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</si>
  <si>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</si>
  <si>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</si>
  <si>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</si>
  <si>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</si>
  <si>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</si>
  <si>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</si>
  <si>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</si>
  <si>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</si>
  <si>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</si>
  <si>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</si>
  <si>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</si>
  <si>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</si>
  <si>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</si>
  <si>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</si>
  <si>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</si>
  <si>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</si>
  <si>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</si>
  <si>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</si>
  <si>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</si>
  <si>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</si>
  <si>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</si>
  <si>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</si>
  <si>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</si>
  <si>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</si>
  <si>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</si>
  <si>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</si>
  <si>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</si>
  <si>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</si>
  <si>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</si>
  <si>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</si>
  <si>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</si>
  <si>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</si>
  <si>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</si>
  <si>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</si>
  <si>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</si>
  <si>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</si>
  <si>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</si>
  <si>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</si>
  <si>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</si>
  <si>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</si>
  <si>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</si>
  <si>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</si>
  <si>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</si>
  <si>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</si>
  <si>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</si>
  <si>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17.09.2025</t>
  </si>
  <si>
    <t>18.09.2025</t>
  </si>
  <si>
    <t>48/0</t>
  </si>
  <si>
    <t>20.09.2025</t>
  </si>
  <si>
    <t>21.09.2026</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</si>
  <si>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</si>
  <si>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</si>
  <si>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</si>
  <si>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</si>
  <si>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</si>
  <si>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</si>
  <si>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</si>
  <si>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</si>
  <si>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</si>
  <si>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</si>
  <si>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</si>
  <si>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</si>
  <si>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Chandra Sekhar</t>
  </si>
  <si>
    <t>SL</t>
  </si>
  <si>
    <t>Gang</t>
  </si>
  <si>
    <t>RETENTION</t>
  </si>
  <si>
    <t>GST@18</t>
  </si>
  <si>
    <t>TDS 1%</t>
  </si>
  <si>
    <t>PF 10</t>
  </si>
  <si>
    <t>GST 20</t>
  </si>
  <si>
    <t>ADVANCE</t>
  </si>
  <si>
    <t>NET PAYABLE</t>
  </si>
  <si>
    <t>TIGHT &amp; PUNCH 10</t>
  </si>
  <si>
    <t>Plan For Oct'25</t>
  </si>
  <si>
    <t>Progress in Oct'25</t>
  </si>
  <si>
    <t>ROW SINCE 3-10-25 to 5-10-25</t>
  </si>
  <si>
    <t>Gurukripa</t>
  </si>
  <si>
    <t xml:space="preserve"> AP2/1 - AP3</t>
  </si>
  <si>
    <t xml:space="preserve"> AP4 - AP5</t>
  </si>
  <si>
    <t xml:space="preserve">     AP5D - AP5E</t>
  </si>
  <si>
    <t xml:space="preserve">134A/3 </t>
  </si>
  <si>
    <t xml:space="preserve">148/0 </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</si>
  <si>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</si>
  <si>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</si>
  <si>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</si>
  <si>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</si>
  <si>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</si>
  <si>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</si>
  <si>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</si>
  <si>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</si>
  <si>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</si>
  <si>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</si>
  <si>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Rev-Detail Survey approved  and Rev CS data submitted by KEC Engg Dep</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</si>
  <si>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</si>
  <si>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</si>
  <si>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</si>
  <si>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</si>
  <si>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</si>
  <si>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</si>
  <si>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</si>
  <si>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</si>
  <si>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</si>
  <si>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</si>
  <si>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</si>
  <si>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</si>
  <si>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</si>
  <si>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</si>
  <si>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</si>
  <si>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</si>
  <si>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</si>
  <si>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</si>
  <si>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</si>
  <si>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</si>
  <si>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</si>
  <si>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</si>
  <si>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</si>
  <si>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</si>
  <si>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</si>
  <si>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 xml:space="preserve">Pit B,C,D RCC Done, Pit A  Excavation, Work Will resume after manpower strengthening .Next Program: RCC, Excavation and Stub Setting </t>
  </si>
  <si>
    <r>
      <t>Pit B,C Excavation, Material Shifting,</t>
    </r>
    <r>
      <rPr>
        <b/>
        <sz val="10"/>
        <color theme="1"/>
        <rFont val="Calibri"/>
        <family val="2"/>
        <scheme val="minor"/>
      </rPr>
      <t xml:space="preserve"> ROW Resolved</t>
    </r>
    <r>
      <rPr>
        <sz val="10"/>
        <color theme="1"/>
        <rFont val="Calibri"/>
        <family val="2"/>
        <scheme val="minor"/>
      </rPr>
      <t xml:space="preserve"> .Next Program: Excavation.</t>
    </r>
  </si>
  <si>
    <t>Pit A,B,C RCC WIP, Next Program: RCC.</t>
  </si>
  <si>
    <t>Pit A,B,C Stub setting, Pit B PCC. Next Program: PCC, Rebar. Work will resume after manpower strengthening</t>
  </si>
  <si>
    <t xml:space="preserve">Excavation .Next Program: Stub Setting, PCC </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</si>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</sst>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quot;₹&quot;\ * #,##0.00_ ;_ &quot;₹&quot;\ * \-#,##0.00_ ;_ &quot;₹&quot;\ * &quot;-&quot;??_ ;_ @_ "/>
    <numFmt numFmtId="165" formatCode="_ * #,##0.00_ ;_ * \-#,##0.00_ ;_ * &quot;-&quot;??_ ;_ @_ "/>
    <numFmt numFmtId="166" formatCode="[$-409]mmm/yy;@"/>
    <numFmt numFmtId="167" formatCode="dd\.mm\.yy"/>
    <numFmt numFmtId="168" formatCode="0.0"/>
    <numFmt numFmtId="169" formatCode="_ * #,##0_ ;_ * \-#,##0_ ;_ * &quot;-&quot;??_ ;_ @_ "/>
    <numFmt numFmtId="170" formatCode="0.000"/>
    <numFmt numFmtId="171" formatCode="d\P\R;@"/>
    <numFmt numFmtId="172" formatCode="[$-409]d/mmm/yy;@"/>
    <numFmt numFmtId="173" formatCode="[$-409]d\-mmm\-yy;@"/>
    <numFmt numFmtId="174" formatCode="#,##0.000"/>
    <numFmt numFmtId="175" formatCode="[$-14009]dd/mm/yyyy;@"/>
  </numFmts>
  <fonts count="26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i/>
      <sz val="15"/>
      <color theme="0"/>
      <name val="Swis721 Cn BT"/>
      <family val="2"/>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1"/>
      <color theme="1"/>
      <name val="Calibri"/>
      <family val="2"/>
      <charset val="134"/>
      <scheme val="minor"/>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s>
  <fills count="3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s>
  <borders count="76">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s>
  <cellStyleXfs count="51">
    <xf numFmtId="0" fontId="0" fillId="0" borderId="0"/>
    <xf numFmtId="165" fontId="185" fillId="0" borderId="0" applyFont="0" applyFill="0" applyBorder="0" applyAlignment="0" applyProtection="0"/>
    <xf numFmtId="164" fontId="185" fillId="0" borderId="0" applyFont="0" applyFill="0" applyBorder="0" applyAlignment="0" applyProtection="0"/>
    <xf numFmtId="9" fontId="185" fillId="0" borderId="0" applyFont="0" applyFill="0" applyBorder="0" applyAlignment="0" applyProtection="0"/>
    <xf numFmtId="0" fontId="186" fillId="26" borderId="56" applyNumberFormat="0" applyAlignment="0" applyProtection="0"/>
    <xf numFmtId="0" fontId="187" fillId="16" borderId="0" applyNumberFormat="0" applyBorder="0" applyAlignment="0" applyProtection="0"/>
    <xf numFmtId="0" fontId="185" fillId="17" borderId="0" applyNumberFormat="0" applyBorder="0" applyAlignment="0" applyProtection="0"/>
    <xf numFmtId="165" fontId="157" fillId="0" borderId="0" applyFont="0" applyFill="0" applyBorder="0" applyAlignment="0" applyProtection="0"/>
    <xf numFmtId="43" fontId="157" fillId="0" borderId="0" applyFont="0" applyFill="0" applyBorder="0" applyAlignment="0" applyProtection="0"/>
    <xf numFmtId="43" fontId="185" fillId="0" borderId="0" applyFont="0" applyFill="0" applyBorder="0" applyAlignment="0" applyProtection="0"/>
    <xf numFmtId="0" fontId="157" fillId="0" borderId="0"/>
    <xf numFmtId="0" fontId="157" fillId="0" borderId="0"/>
    <xf numFmtId="0" fontId="157" fillId="0" borderId="0"/>
    <xf numFmtId="0" fontId="157" fillId="0" borderId="0" applyNumberFormat="0" applyFont="0" applyFill="0" applyBorder="0" applyAlignment="0" applyProtection="0">
      <alignment vertical="top"/>
    </xf>
    <xf numFmtId="0" fontId="185" fillId="0" borderId="0"/>
    <xf numFmtId="0" fontId="188" fillId="0" borderId="0" applyNumberFormat="0" applyFill="0" applyBorder="0" applyProtection="0">
      <alignment vertical="top" wrapText="1"/>
    </xf>
    <xf numFmtId="0" fontId="157" fillId="0" borderId="0"/>
    <xf numFmtId="0" fontId="157" fillId="0" borderId="0"/>
    <xf numFmtId="0" fontId="157" fillId="0" borderId="0"/>
    <xf numFmtId="0" fontId="157" fillId="0" borderId="0"/>
    <xf numFmtId="0" fontId="185" fillId="0" borderId="0"/>
    <xf numFmtId="0" fontId="157" fillId="0" borderId="0"/>
    <xf numFmtId="0" fontId="185" fillId="0" borderId="0"/>
    <xf numFmtId="0" fontId="157" fillId="0" borderId="0"/>
    <xf numFmtId="0" fontId="157" fillId="0" borderId="0"/>
    <xf numFmtId="0" fontId="157" fillId="0" borderId="0"/>
    <xf numFmtId="0" fontId="157" fillId="0" borderId="0"/>
    <xf numFmtId="0" fontId="157" fillId="0" borderId="0"/>
    <xf numFmtId="0" fontId="157" fillId="0" borderId="0"/>
    <xf numFmtId="9" fontId="157"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157" fillId="0" borderId="0"/>
    <xf numFmtId="0" fontId="256" fillId="0" borderId="0"/>
    <xf numFmtId="0" fontId="30" fillId="0" borderId="0"/>
    <xf numFmtId="0" fontId="256" fillId="0" borderId="0"/>
    <xf numFmtId="0" fontId="30" fillId="0" borderId="0"/>
    <xf numFmtId="0" fontId="30" fillId="0" borderId="0"/>
    <xf numFmtId="0" fontId="30" fillId="0" borderId="0"/>
    <xf numFmtId="0" fontId="30" fillId="0" borderId="0"/>
    <xf numFmtId="0" fontId="30" fillId="0" borderId="0"/>
    <xf numFmtId="0" fontId="157" fillId="0" borderId="0"/>
    <xf numFmtId="0" fontId="157" fillId="0" borderId="0" applyNumberFormat="0" applyFill="0" applyBorder="0" applyAlignment="0" applyProtection="0"/>
    <xf numFmtId="0" fontId="257" fillId="32" borderId="75" applyNumberFormat="0" applyAlignment="0" applyProtection="0"/>
    <xf numFmtId="165" fontId="157" fillId="0" borderId="0" applyFont="0" applyFill="0" applyBorder="0" applyAlignment="0" applyProtection="0"/>
    <xf numFmtId="0" fontId="157" fillId="0" borderId="0"/>
    <xf numFmtId="0" fontId="157" fillId="0" borderId="0"/>
    <xf numFmtId="0" fontId="258" fillId="0" borderId="0" applyNumberFormat="0" applyFill="0" applyBorder="0" applyAlignment="0" applyProtection="0"/>
  </cellStyleXfs>
  <cellXfs count="1653">
    <xf numFmtId="0" fontId="0" fillId="0" borderId="0" xfId="0"/>
    <xf numFmtId="0" fontId="126" fillId="2" borderId="1" xfId="0" applyFont="1" applyFill="1" applyBorder="1" applyAlignment="1" applyProtection="1">
      <alignment horizontal="center" vertical="center" wrapText="1"/>
      <protection hidden="1"/>
    </xf>
    <xf numFmtId="0" fontId="126" fillId="3" borderId="1" xfId="0" applyFont="1" applyFill="1" applyBorder="1" applyAlignment="1" applyProtection="1">
      <alignment horizontal="center" vertical="center" wrapText="1"/>
      <protection hidden="1"/>
    </xf>
    <xf numFmtId="166" fontId="127" fillId="4" borderId="2" xfId="0" applyNumberFormat="1" applyFont="1" applyFill="1" applyBorder="1" applyAlignment="1">
      <alignment horizontal="center" vertical="center"/>
    </xf>
    <xf numFmtId="0" fontId="128" fillId="0" borderId="2" xfId="0" applyFont="1" applyBorder="1" applyAlignment="1" applyProtection="1">
      <alignment vertical="center" wrapText="1"/>
      <protection hidden="1"/>
    </xf>
    <xf numFmtId="0" fontId="129" fillId="3" borderId="2" xfId="0" applyFont="1" applyFill="1" applyBorder="1" applyAlignment="1">
      <alignment horizontal="right" vertical="top" wrapText="1"/>
    </xf>
    <xf numFmtId="0" fontId="129" fillId="3" borderId="2" xfId="0" applyFont="1" applyFill="1" applyBorder="1" applyAlignment="1">
      <alignment horizontal="left" vertical="top" wrapText="1"/>
    </xf>
    <xf numFmtId="0" fontId="129" fillId="3" borderId="2" xfId="0" applyFont="1" applyFill="1" applyBorder="1" applyAlignment="1">
      <alignment horizontal="center" vertical="top" wrapText="1"/>
    </xf>
    <xf numFmtId="0" fontId="128" fillId="5" borderId="2" xfId="0" applyFont="1" applyFill="1" applyBorder="1" applyAlignment="1" applyProtection="1">
      <alignment vertical="center" wrapText="1"/>
      <protection hidden="1"/>
    </xf>
    <xf numFmtId="0" fontId="129" fillId="3" borderId="2" xfId="0" applyFont="1" applyFill="1" applyBorder="1" applyAlignment="1">
      <alignment horizontal="center" vertical="top"/>
    </xf>
    <xf numFmtId="0" fontId="130" fillId="0" borderId="0" xfId="0" applyFont="1"/>
    <xf numFmtId="1" fontId="127" fillId="4" borderId="3" xfId="0" applyNumberFormat="1" applyFont="1" applyFill="1" applyBorder="1" applyAlignment="1">
      <alignment horizontal="center" vertical="center" wrapText="1"/>
    </xf>
    <xf numFmtId="1" fontId="129" fillId="4" borderId="4" xfId="0" applyNumberFormat="1" applyFont="1" applyFill="1" applyBorder="1"/>
    <xf numFmtId="0" fontId="127" fillId="3" borderId="2" xfId="0" applyFont="1" applyFill="1" applyBorder="1" applyAlignment="1">
      <alignment horizontal="center" vertical="center" wrapText="1"/>
    </xf>
    <xf numFmtId="1" fontId="127" fillId="3" borderId="2" xfId="0" applyNumberFormat="1" applyFont="1" applyFill="1" applyBorder="1" applyAlignment="1">
      <alignment horizontal="left" vertical="center" wrapText="1"/>
    </xf>
    <xf numFmtId="1" fontId="130" fillId="3" borderId="2" xfId="0" applyNumberFormat="1" applyFont="1" applyFill="1" applyBorder="1" applyAlignment="1">
      <alignment horizontal="left" vertical="center" wrapText="1"/>
    </xf>
    <xf numFmtId="167" fontId="129" fillId="3" borderId="2" xfId="0" applyNumberFormat="1" applyFont="1" applyFill="1" applyBorder="1" applyAlignment="1">
      <alignment horizontal="center" vertical="center" wrapText="1"/>
    </xf>
    <xf numFmtId="1" fontId="129" fillId="3" borderId="2" xfId="0" applyNumberFormat="1" applyFont="1" applyFill="1" applyBorder="1" applyAlignment="1">
      <alignment horizontal="center" vertical="center" wrapText="1"/>
    </xf>
    <xf numFmtId="0" fontId="129" fillId="3" borderId="2" xfId="0" applyFont="1" applyFill="1" applyBorder="1" applyAlignment="1">
      <alignment horizontal="center" vertical="center" wrapText="1"/>
    </xf>
    <xf numFmtId="2" fontId="131" fillId="3" borderId="2" xfId="0" applyNumberFormat="1" applyFont="1" applyFill="1" applyBorder="1" applyAlignment="1">
      <alignment horizontal="center" vertical="center" wrapText="1"/>
    </xf>
    <xf numFmtId="0" fontId="131" fillId="3" borderId="2" xfId="0" applyFont="1" applyFill="1" applyBorder="1" applyAlignment="1">
      <alignment horizontal="left" vertical="center" wrapText="1"/>
    </xf>
    <xf numFmtId="0" fontId="130" fillId="3" borderId="2" xfId="0" applyFont="1" applyFill="1" applyBorder="1" applyAlignment="1">
      <alignment horizontal="left" vertical="center" wrapText="1"/>
    </xf>
    <xf numFmtId="2" fontId="130" fillId="3" borderId="2" xfId="0" applyNumberFormat="1" applyFont="1" applyFill="1" applyBorder="1" applyAlignment="1">
      <alignment horizontal="center" vertical="center" wrapText="1"/>
    </xf>
    <xf numFmtId="0" fontId="130" fillId="3" borderId="2" xfId="0" applyFont="1" applyFill="1" applyBorder="1" applyAlignment="1">
      <alignment horizontal="center" vertical="center" wrapText="1"/>
    </xf>
    <xf numFmtId="2" fontId="129" fillId="3" borderId="2" xfId="0" applyNumberFormat="1" applyFont="1" applyFill="1" applyBorder="1" applyAlignment="1">
      <alignment horizontal="left" vertical="center" wrapText="1"/>
    </xf>
    <xf numFmtId="167" fontId="129" fillId="3" borderId="2" xfId="16" applyNumberFormat="1" applyFont="1" applyFill="1" applyBorder="1" applyAlignment="1">
      <alignment horizontal="center" vertical="center" wrapText="1"/>
    </xf>
    <xf numFmtId="2" fontId="129" fillId="3" borderId="2" xfId="0" applyNumberFormat="1" applyFont="1" applyFill="1" applyBorder="1" applyAlignment="1">
      <alignment horizontal="center" vertical="top" wrapText="1"/>
    </xf>
    <xf numFmtId="2" fontId="129" fillId="3" borderId="2" xfId="16" applyNumberFormat="1" applyFont="1" applyFill="1" applyBorder="1" applyAlignment="1">
      <alignment horizontal="left" vertical="center" wrapText="1"/>
    </xf>
    <xf numFmtId="2" fontId="129" fillId="3" borderId="2" xfId="0" applyNumberFormat="1" applyFont="1" applyFill="1" applyBorder="1" applyAlignment="1">
      <alignment horizontal="center" vertical="center" wrapText="1"/>
    </xf>
    <xf numFmtId="2" fontId="129" fillId="3" borderId="2" xfId="16" applyNumberFormat="1" applyFont="1" applyFill="1" applyBorder="1" applyAlignment="1">
      <alignment horizontal="left" vertical="center"/>
    </xf>
    <xf numFmtId="0" fontId="130" fillId="3" borderId="0" xfId="0" applyFont="1" applyFill="1" applyAlignment="1">
      <alignment vertical="center"/>
    </xf>
    <xf numFmtId="1" fontId="130" fillId="3" borderId="0" xfId="0" applyNumberFormat="1" applyFont="1" applyFill="1" applyAlignment="1">
      <alignment vertical="center"/>
    </xf>
    <xf numFmtId="0" fontId="130" fillId="3" borderId="0" xfId="0" applyFont="1" applyFill="1" applyAlignment="1">
      <alignment horizontal="center" vertical="center"/>
    </xf>
    <xf numFmtId="0" fontId="132" fillId="0" borderId="0" xfId="0" applyFont="1" applyAlignment="1">
      <alignment horizontal="left" vertical="center" indent="1"/>
    </xf>
    <xf numFmtId="0" fontId="131" fillId="0" borderId="0" xfId="0" applyFont="1"/>
    <xf numFmtId="0" fontId="133" fillId="3" borderId="0" xfId="0" applyFont="1" applyFill="1" applyAlignment="1">
      <alignment horizontal="left" vertical="center"/>
    </xf>
    <xf numFmtId="0" fontId="129" fillId="3" borderId="2" xfId="0" applyFont="1" applyFill="1" applyBorder="1" applyAlignment="1">
      <alignment horizontal="left"/>
    </xf>
    <xf numFmtId="17" fontId="129" fillId="3" borderId="2" xfId="0" applyNumberFormat="1" applyFont="1" applyFill="1" applyBorder="1" applyAlignment="1">
      <alignment horizontal="center" vertical="center"/>
    </xf>
    <xf numFmtId="9" fontId="130" fillId="3" borderId="2" xfId="0" applyNumberFormat="1" applyFont="1" applyFill="1" applyBorder="1" applyAlignment="1">
      <alignment horizontal="center" vertical="center"/>
    </xf>
    <xf numFmtId="9" fontId="130" fillId="3" borderId="2" xfId="0" applyNumberFormat="1" applyFont="1" applyFill="1" applyBorder="1" applyAlignment="1">
      <alignment vertical="center" wrapText="1"/>
    </xf>
    <xf numFmtId="9" fontId="130" fillId="3" borderId="2" xfId="0" applyNumberFormat="1" applyFont="1" applyFill="1" applyBorder="1" applyAlignment="1">
      <alignment horizontal="center" vertical="center" wrapText="1"/>
    </xf>
    <xf numFmtId="0" fontId="130" fillId="3" borderId="2" xfId="0" applyFont="1" applyFill="1" applyBorder="1" applyAlignment="1">
      <alignment vertical="center" wrapText="1"/>
    </xf>
    <xf numFmtId="0" fontId="134" fillId="3" borderId="0" xfId="0" applyFont="1" applyFill="1" applyAlignment="1">
      <alignment horizontal="center" vertical="center"/>
    </xf>
    <xf numFmtId="0" fontId="134" fillId="3" borderId="0" xfId="0" applyFont="1" applyFill="1" applyAlignment="1">
      <alignment vertical="center"/>
    </xf>
    <xf numFmtId="9" fontId="129" fillId="3" borderId="2" xfId="0" applyNumberFormat="1" applyFont="1" applyFill="1" applyBorder="1" applyAlignment="1">
      <alignment horizontal="center" vertical="top" wrapText="1"/>
    </xf>
    <xf numFmtId="0" fontId="129" fillId="3" borderId="0" xfId="0" applyFont="1" applyFill="1" applyAlignment="1">
      <alignment vertical="center"/>
    </xf>
    <xf numFmtId="0" fontId="0" fillId="0" borderId="0" xfId="0" applyAlignment="1">
      <alignment horizontal="left" vertical="top"/>
    </xf>
    <xf numFmtId="1" fontId="139" fillId="9" borderId="6" xfId="0" applyNumberFormat="1" applyFont="1" applyFill="1" applyBorder="1" applyAlignment="1">
      <alignment horizontal="center" vertical="center" shrinkToFit="1"/>
    </xf>
    <xf numFmtId="0" fontId="140" fillId="9" borderId="7" xfId="0" applyFont="1" applyFill="1" applyBorder="1" applyAlignment="1">
      <alignment horizontal="center" vertical="center" wrapText="1"/>
    </xf>
    <xf numFmtId="169"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3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9" fontId="0" fillId="0" borderId="2" xfId="1" applyNumberFormat="1" applyFont="1" applyBorder="1" applyAlignment="1">
      <alignment horizontal="center" vertical="center" wrapText="1"/>
    </xf>
    <xf numFmtId="2" fontId="14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39" fillId="0" borderId="8" xfId="0" applyNumberFormat="1" applyFont="1" applyBorder="1" applyAlignment="1">
      <alignment horizontal="center" vertical="center" shrinkToFit="1"/>
    </xf>
    <xf numFmtId="0" fontId="140" fillId="0" borderId="2" xfId="0" applyFont="1" applyBorder="1" applyAlignment="1">
      <alignment horizontal="center" vertical="center" wrapText="1"/>
    </xf>
    <xf numFmtId="1" fontId="139" fillId="0" borderId="2" xfId="0" applyNumberFormat="1" applyFont="1" applyBorder="1" applyAlignment="1">
      <alignment horizontal="center" vertical="center" shrinkToFit="1"/>
    </xf>
    <xf numFmtId="1" fontId="139" fillId="9" borderId="8" xfId="0" applyNumberFormat="1" applyFont="1" applyFill="1" applyBorder="1" applyAlignment="1">
      <alignment horizontal="center" vertical="center" shrinkToFit="1"/>
    </xf>
    <xf numFmtId="0" fontId="140" fillId="9" borderId="2" xfId="0" applyFont="1" applyFill="1" applyBorder="1" applyAlignment="1">
      <alignment horizontal="center" vertical="center" wrapText="1"/>
    </xf>
    <xf numFmtId="169"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39" fillId="9" borderId="2" xfId="0" applyNumberFormat="1" applyFont="1" applyFill="1" applyBorder="1" applyAlignment="1">
      <alignment horizontal="center" vertical="center" shrinkToFit="1"/>
    </xf>
    <xf numFmtId="169" fontId="141" fillId="0" borderId="2" xfId="1" applyNumberFormat="1" applyFont="1" applyBorder="1" applyAlignment="1">
      <alignment horizontal="center" vertical="center" shrinkToFit="1"/>
    </xf>
    <xf numFmtId="169" fontId="141" fillId="9" borderId="2" xfId="1" applyNumberFormat="1" applyFont="1" applyFill="1" applyBorder="1" applyAlignment="1">
      <alignment horizontal="center" vertical="center" shrinkToFit="1"/>
    </xf>
    <xf numFmtId="1" fontId="138" fillId="8" borderId="11" xfId="0" applyNumberFormat="1" applyFont="1" applyFill="1" applyBorder="1" applyAlignment="1">
      <alignment horizontal="center" vertical="center"/>
    </xf>
    <xf numFmtId="169" fontId="0" fillId="9" borderId="7" xfId="1" applyNumberFormat="1" applyFont="1" applyFill="1" applyBorder="1" applyAlignment="1">
      <alignment horizontal="center" vertical="center"/>
    </xf>
    <xf numFmtId="0" fontId="143" fillId="9" borderId="7" xfId="0" applyFont="1" applyFill="1" applyBorder="1" applyAlignment="1">
      <alignment horizontal="center" vertical="top" wrapText="1"/>
    </xf>
    <xf numFmtId="0" fontId="144" fillId="9" borderId="7" xfId="0" applyFont="1" applyFill="1" applyBorder="1" applyAlignment="1">
      <alignment horizontal="center" vertical="center" wrapText="1"/>
    </xf>
    <xf numFmtId="2" fontId="139" fillId="9" borderId="7" xfId="0" applyNumberFormat="1" applyFont="1" applyFill="1" applyBorder="1" applyAlignment="1">
      <alignment horizontal="center" vertical="top" shrinkToFit="1"/>
    </xf>
    <xf numFmtId="169" fontId="0" fillId="0" borderId="2" xfId="1" applyNumberFormat="1" applyFont="1" applyBorder="1" applyAlignment="1">
      <alignment horizontal="center" vertical="center"/>
    </xf>
    <xf numFmtId="0" fontId="0" fillId="0" borderId="2" xfId="0" applyBorder="1" applyAlignment="1">
      <alignment horizontal="left" vertical="top"/>
    </xf>
    <xf numFmtId="0" fontId="143" fillId="0" borderId="2" xfId="0" applyFont="1" applyBorder="1" applyAlignment="1">
      <alignment horizontal="left" wrapText="1"/>
    </xf>
    <xf numFmtId="2" fontId="139" fillId="0" borderId="2" xfId="0" applyNumberFormat="1" applyFont="1" applyBorder="1" applyAlignment="1">
      <alignment horizontal="center" vertical="top" shrinkToFit="1"/>
    </xf>
    <xf numFmtId="169" fontId="0" fillId="9" borderId="2" xfId="1" applyNumberFormat="1" applyFont="1" applyFill="1" applyBorder="1" applyAlignment="1">
      <alignment horizontal="center" vertical="center"/>
    </xf>
    <xf numFmtId="2" fontId="139" fillId="9" borderId="2" xfId="0" applyNumberFormat="1" applyFont="1" applyFill="1" applyBorder="1" applyAlignment="1">
      <alignment horizontal="center" vertical="top" shrinkToFit="1"/>
    </xf>
    <xf numFmtId="0" fontId="143" fillId="3" borderId="2" xfId="0" applyFont="1" applyFill="1" applyBorder="1" applyAlignment="1">
      <alignment horizontal="center" vertical="top" wrapText="1"/>
    </xf>
    <xf numFmtId="168" fontId="141" fillId="9" borderId="7" xfId="0" applyNumberFormat="1" applyFont="1" applyFill="1" applyBorder="1" applyAlignment="1">
      <alignment horizontal="center" vertical="top" shrinkToFit="1"/>
    </xf>
    <xf numFmtId="1" fontId="141" fillId="9" borderId="7" xfId="0" applyNumberFormat="1" applyFont="1" applyFill="1" applyBorder="1" applyAlignment="1">
      <alignment horizontal="center" vertical="top" shrinkToFit="1"/>
    </xf>
    <xf numFmtId="1" fontId="139" fillId="9" borderId="7" xfId="0" applyNumberFormat="1" applyFont="1" applyFill="1" applyBorder="1" applyAlignment="1">
      <alignment horizontal="center" vertical="top" shrinkToFit="1"/>
    </xf>
    <xf numFmtId="168" fontId="141" fillId="0" borderId="2" xfId="0" applyNumberFormat="1" applyFont="1" applyBorder="1" applyAlignment="1">
      <alignment horizontal="center" vertical="top" shrinkToFit="1"/>
    </xf>
    <xf numFmtId="1" fontId="141" fillId="0" borderId="2" xfId="0" applyNumberFormat="1" applyFont="1" applyBorder="1" applyAlignment="1">
      <alignment horizontal="center" vertical="top" shrinkToFit="1"/>
    </xf>
    <xf numFmtId="1" fontId="139" fillId="0" borderId="2" xfId="0" applyNumberFormat="1" applyFont="1" applyBorder="1" applyAlignment="1">
      <alignment horizontal="center" vertical="top" shrinkToFit="1"/>
    </xf>
    <xf numFmtId="168" fontId="141" fillId="9" borderId="2" xfId="0" applyNumberFormat="1" applyFont="1" applyFill="1" applyBorder="1" applyAlignment="1">
      <alignment horizontal="center" vertical="top" shrinkToFit="1"/>
    </xf>
    <xf numFmtId="1" fontId="141" fillId="9" borderId="2" xfId="0" applyNumberFormat="1" applyFont="1" applyFill="1" applyBorder="1" applyAlignment="1">
      <alignment horizontal="center" vertical="top" shrinkToFit="1"/>
    </xf>
    <xf numFmtId="1" fontId="13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70" fontId="138" fillId="8" borderId="11" xfId="0" applyNumberFormat="1" applyFont="1" applyFill="1" applyBorder="1" applyAlignment="1">
      <alignment horizontal="center" vertical="center"/>
    </xf>
    <xf numFmtId="170" fontId="138" fillId="8" borderId="16" xfId="0" applyNumberFormat="1" applyFont="1" applyFill="1" applyBorder="1" applyAlignment="1">
      <alignment horizontal="center" vertical="center"/>
    </xf>
    <xf numFmtId="0" fontId="143" fillId="9" borderId="7" xfId="0" applyFont="1" applyFill="1" applyBorder="1" applyAlignment="1">
      <alignment horizontal="left" wrapText="1"/>
    </xf>
    <xf numFmtId="170" fontId="145" fillId="9" borderId="7" xfId="0" applyNumberFormat="1" applyFont="1" applyFill="1" applyBorder="1" applyAlignment="1">
      <alignment horizontal="center" vertical="top" shrinkToFit="1"/>
    </xf>
    <xf numFmtId="170" fontId="141" fillId="9" borderId="13" xfId="0" applyNumberFormat="1" applyFont="1" applyFill="1" applyBorder="1" applyAlignment="1">
      <alignment horizontal="center" vertical="top" shrinkToFit="1"/>
    </xf>
    <xf numFmtId="0" fontId="140" fillId="0" borderId="2" xfId="0" applyFont="1" applyBorder="1" applyAlignment="1">
      <alignment horizontal="center" vertical="top" wrapText="1"/>
    </xf>
    <xf numFmtId="0" fontId="146" fillId="0" borderId="2" xfId="0" applyFont="1" applyBorder="1" applyAlignment="1">
      <alignment horizontal="left" wrapText="1"/>
    </xf>
    <xf numFmtId="0" fontId="143" fillId="0" borderId="14" xfId="0" applyFont="1" applyBorder="1" applyAlignment="1">
      <alignment horizontal="left" wrapText="1"/>
    </xf>
    <xf numFmtId="170" fontId="145" fillId="0" borderId="2" xfId="0" applyNumberFormat="1" applyFont="1" applyBorder="1" applyAlignment="1">
      <alignment horizontal="center" vertical="top" shrinkToFit="1"/>
    </xf>
    <xf numFmtId="170" fontId="141" fillId="0" borderId="14" xfId="0" applyNumberFormat="1" applyFont="1" applyBorder="1" applyAlignment="1">
      <alignment horizontal="center" vertical="top" shrinkToFit="1"/>
    </xf>
    <xf numFmtId="0" fontId="143" fillId="9" borderId="2" xfId="0" applyFont="1" applyFill="1" applyBorder="1" applyAlignment="1">
      <alignment horizontal="left" wrapText="1"/>
    </xf>
    <xf numFmtId="170" fontId="145" fillId="9" borderId="2" xfId="0" applyNumberFormat="1" applyFont="1" applyFill="1" applyBorder="1" applyAlignment="1">
      <alignment horizontal="center" vertical="top" shrinkToFit="1"/>
    </xf>
    <xf numFmtId="170" fontId="14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39" fillId="9" borderId="10" xfId="0" applyNumberFormat="1" applyFont="1" applyFill="1" applyBorder="1" applyAlignment="1">
      <alignment horizontal="center" vertical="center" shrinkToFit="1"/>
    </xf>
    <xf numFmtId="0" fontId="140" fillId="9" borderId="11" xfId="0" applyFont="1" applyFill="1" applyBorder="1" applyAlignment="1">
      <alignment horizontal="center" vertical="center" wrapText="1"/>
    </xf>
    <xf numFmtId="169"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39" fillId="9" borderId="11" xfId="0" applyNumberFormat="1" applyFont="1" applyFill="1" applyBorder="1" applyAlignment="1">
      <alignment horizontal="center" vertical="center" shrinkToFit="1"/>
    </xf>
    <xf numFmtId="0" fontId="147" fillId="0" borderId="0" xfId="0" applyFont="1" applyAlignment="1">
      <alignment horizontal="left" vertical="top"/>
    </xf>
    <xf numFmtId="169" fontId="0" fillId="9" borderId="11" xfId="1" applyNumberFormat="1" applyFont="1" applyFill="1" applyBorder="1" applyAlignment="1">
      <alignment horizontal="center" vertical="center"/>
    </xf>
    <xf numFmtId="0" fontId="144" fillId="9" borderId="11" xfId="0" applyFont="1" applyFill="1" applyBorder="1" applyAlignment="1">
      <alignment horizontal="center" vertical="center" wrapText="1"/>
    </xf>
    <xf numFmtId="2" fontId="139" fillId="9" borderId="11" xfId="0" applyNumberFormat="1" applyFont="1" applyFill="1" applyBorder="1" applyAlignment="1">
      <alignment horizontal="center" vertical="top" shrinkToFit="1"/>
    </xf>
    <xf numFmtId="168" fontId="141" fillId="9" borderId="11" xfId="0" applyNumberFormat="1" applyFont="1" applyFill="1" applyBorder="1" applyAlignment="1">
      <alignment horizontal="center" vertical="top" shrinkToFit="1"/>
    </xf>
    <xf numFmtId="1" fontId="141" fillId="9" borderId="11" xfId="0" applyNumberFormat="1" applyFont="1" applyFill="1" applyBorder="1" applyAlignment="1">
      <alignment horizontal="center" vertical="top" shrinkToFit="1"/>
    </xf>
    <xf numFmtId="1" fontId="139" fillId="9" borderId="11" xfId="0" applyNumberFormat="1" applyFont="1" applyFill="1" applyBorder="1" applyAlignment="1">
      <alignment horizontal="center" vertical="top" shrinkToFit="1"/>
    </xf>
    <xf numFmtId="0" fontId="143" fillId="0" borderId="2" xfId="0" applyFont="1" applyBorder="1" applyAlignment="1">
      <alignment horizontal="center" vertical="top" wrapText="1"/>
    </xf>
    <xf numFmtId="0" fontId="143" fillId="9" borderId="11" xfId="0" applyFont="1" applyFill="1" applyBorder="1" applyAlignment="1">
      <alignment horizontal="left" wrapText="1"/>
    </xf>
    <xf numFmtId="170" fontId="145" fillId="9" borderId="11" xfId="0" applyNumberFormat="1" applyFont="1" applyFill="1" applyBorder="1" applyAlignment="1">
      <alignment horizontal="center" vertical="top" shrinkToFit="1"/>
    </xf>
    <xf numFmtId="170" fontId="141" fillId="9" borderId="16" xfId="0" applyNumberFormat="1" applyFont="1" applyFill="1" applyBorder="1" applyAlignment="1">
      <alignment horizontal="center" vertical="top" shrinkToFit="1"/>
    </xf>
    <xf numFmtId="0" fontId="151" fillId="0" borderId="21" xfId="0" applyFont="1" applyBorder="1" applyAlignment="1">
      <alignment horizontal="center" vertical="center"/>
    </xf>
    <xf numFmtId="0" fontId="151" fillId="0" borderId="22" xfId="0" applyFont="1" applyBorder="1" applyAlignment="1">
      <alignment horizontal="center" vertical="center"/>
    </xf>
    <xf numFmtId="0" fontId="151" fillId="0" borderId="0" xfId="0" applyFont="1" applyAlignment="1">
      <alignment horizontal="center" vertical="center"/>
    </xf>
    <xf numFmtId="0" fontId="151" fillId="11" borderId="2" xfId="0" applyFont="1" applyFill="1" applyBorder="1" applyAlignment="1">
      <alignment horizontal="center" vertical="center"/>
    </xf>
    <xf numFmtId="0" fontId="151" fillId="0" borderId="20" xfId="0" applyFont="1" applyBorder="1" applyAlignment="1">
      <alignment horizontal="center" vertical="center"/>
    </xf>
    <xf numFmtId="0" fontId="151" fillId="0" borderId="2" xfId="0" applyFont="1" applyBorder="1" applyAlignment="1">
      <alignment horizontal="center" vertical="center"/>
    </xf>
    <xf numFmtId="168" fontId="151" fillId="0" borderId="2" xfId="0" applyNumberFormat="1" applyFont="1" applyBorder="1" applyAlignment="1">
      <alignment horizontal="center" vertical="center"/>
    </xf>
    <xf numFmtId="0" fontId="153" fillId="0" borderId="20" xfId="0" applyFont="1" applyBorder="1" applyAlignment="1">
      <alignment horizontal="center" vertical="center"/>
    </xf>
    <xf numFmtId="0" fontId="153" fillId="0" borderId="0" xfId="0" applyFont="1" applyAlignment="1">
      <alignment horizontal="center" vertical="center"/>
    </xf>
    <xf numFmtId="2" fontId="153" fillId="0" borderId="20" xfId="0" applyNumberFormat="1" applyFont="1" applyBorder="1" applyAlignment="1">
      <alignment horizontal="center" vertical="center"/>
    </xf>
    <xf numFmtId="2" fontId="153" fillId="0" borderId="0" xfId="0" applyNumberFormat="1" applyFont="1" applyAlignment="1">
      <alignment horizontal="center" vertical="center"/>
    </xf>
    <xf numFmtId="0" fontId="154" fillId="0" borderId="20" xfId="0" applyFont="1" applyBorder="1" applyAlignment="1">
      <alignment horizontal="center" vertical="center"/>
    </xf>
    <xf numFmtId="0" fontId="153" fillId="0" borderId="29" xfId="0" applyFont="1" applyBorder="1" applyAlignment="1">
      <alignment horizontal="center" vertical="center"/>
    </xf>
    <xf numFmtId="0" fontId="155" fillId="0" borderId="30" xfId="0" applyFont="1" applyBorder="1" applyAlignment="1">
      <alignment horizontal="center" vertical="center"/>
    </xf>
    <xf numFmtId="0" fontId="153" fillId="0" borderId="31" xfId="0" applyFont="1" applyBorder="1" applyAlignment="1">
      <alignment horizontal="center" vertical="center"/>
    </xf>
    <xf numFmtId="0" fontId="154" fillId="0" borderId="30" xfId="0" applyFont="1" applyBorder="1" applyAlignment="1">
      <alignment horizontal="center" vertical="center"/>
    </xf>
    <xf numFmtId="0" fontId="153" fillId="0" borderId="30" xfId="0" applyFont="1" applyBorder="1" applyAlignment="1">
      <alignment horizontal="center" vertical="center"/>
    </xf>
    <xf numFmtId="0" fontId="155" fillId="0" borderId="20" xfId="0" applyFont="1" applyBorder="1" applyAlignment="1">
      <alignment horizontal="center" vertical="center"/>
    </xf>
    <xf numFmtId="0" fontId="156" fillId="0" borderId="0" xfId="0" applyFont="1"/>
    <xf numFmtId="0" fontId="155" fillId="0" borderId="0" xfId="0" applyFont="1" applyAlignment="1">
      <alignment horizontal="center" vertical="center"/>
    </xf>
    <xf numFmtId="164" fontId="153" fillId="0" borderId="0" xfId="2" applyFont="1" applyFill="1" applyBorder="1" applyAlignment="1">
      <alignment horizontal="center" vertical="center"/>
    </xf>
    <xf numFmtId="0" fontId="155" fillId="3" borderId="20" xfId="0" applyFont="1" applyFill="1" applyBorder="1" applyAlignment="1">
      <alignment horizontal="center" vertical="center"/>
    </xf>
    <xf numFmtId="0" fontId="155" fillId="3" borderId="0" xfId="0" applyFont="1" applyFill="1" applyAlignment="1">
      <alignment horizontal="center" vertical="center"/>
    </xf>
    <xf numFmtId="164" fontId="153" fillId="3" borderId="0" xfId="2" applyFont="1" applyFill="1" applyBorder="1" applyAlignment="1">
      <alignment horizontal="center" vertical="center"/>
    </xf>
    <xf numFmtId="0" fontId="153" fillId="3" borderId="0" xfId="0" applyFont="1" applyFill="1" applyAlignment="1">
      <alignment horizontal="center" vertical="center"/>
    </xf>
    <xf numFmtId="0" fontId="153" fillId="3" borderId="26" xfId="0" applyFont="1" applyFill="1" applyBorder="1" applyAlignment="1">
      <alignment horizontal="center" vertical="center"/>
    </xf>
    <xf numFmtId="0" fontId="153" fillId="3" borderId="32" xfId="0" applyFont="1" applyFill="1" applyBorder="1" applyAlignment="1">
      <alignment horizontal="center" vertical="center"/>
    </xf>
    <xf numFmtId="0" fontId="153" fillId="0" borderId="23" xfId="0" applyFont="1" applyBorder="1" applyAlignment="1">
      <alignment horizontal="center" vertical="center"/>
    </xf>
    <xf numFmtId="0" fontId="153" fillId="3" borderId="5" xfId="0" applyFont="1" applyFill="1" applyBorder="1" applyAlignment="1">
      <alignment horizontal="center" vertical="center"/>
    </xf>
    <xf numFmtId="0" fontId="155" fillId="0" borderId="0" xfId="0" applyFont="1" applyAlignment="1">
      <alignment vertical="center"/>
    </xf>
    <xf numFmtId="0" fontId="153" fillId="0" borderId="0" xfId="0" applyFont="1" applyAlignment="1">
      <alignment vertical="center"/>
    </xf>
    <xf numFmtId="2" fontId="153" fillId="3" borderId="0" xfId="0" applyNumberFormat="1" applyFont="1" applyFill="1" applyAlignment="1">
      <alignment horizontal="center" vertical="center"/>
    </xf>
    <xf numFmtId="0" fontId="157" fillId="12" borderId="30" xfId="0" applyFont="1" applyFill="1" applyBorder="1" applyAlignment="1">
      <alignment horizontal="center" vertical="center"/>
    </xf>
    <xf numFmtId="0" fontId="153" fillId="12" borderId="30" xfId="0" applyFont="1" applyFill="1" applyBorder="1" applyAlignment="1">
      <alignment horizontal="center" vertical="center"/>
    </xf>
    <xf numFmtId="0" fontId="155" fillId="0" borderId="32" xfId="0" applyFont="1" applyBorder="1" applyAlignment="1">
      <alignment horizontal="center" vertical="center"/>
    </xf>
    <xf numFmtId="0" fontId="158" fillId="0" borderId="0" xfId="0" applyFont="1" applyAlignment="1">
      <alignment horizontal="center" vertical="center"/>
    </xf>
    <xf numFmtId="0" fontId="153" fillId="0" borderId="0" xfId="0" applyFont="1" applyAlignment="1">
      <alignment horizontal="center" vertical="top"/>
    </xf>
    <xf numFmtId="0" fontId="153" fillId="0" borderId="34" xfId="0" applyFont="1" applyBorder="1" applyAlignment="1">
      <alignment horizontal="center" vertical="center"/>
    </xf>
    <xf numFmtId="0" fontId="159" fillId="3" borderId="22" xfId="0" applyFont="1" applyFill="1" applyBorder="1" applyAlignment="1">
      <alignment horizontal="center" vertical="center"/>
    </xf>
    <xf numFmtId="0" fontId="0" fillId="0" borderId="24" xfId="0" applyBorder="1"/>
    <xf numFmtId="0" fontId="151" fillId="3" borderId="0" xfId="0" applyFont="1" applyFill="1" applyAlignment="1">
      <alignment horizontal="center" vertical="center"/>
    </xf>
    <xf numFmtId="0" fontId="159" fillId="3" borderId="0" xfId="0" applyFont="1" applyFill="1" applyAlignment="1">
      <alignment horizontal="center" vertical="center"/>
    </xf>
    <xf numFmtId="0" fontId="0" fillId="0" borderId="35" xfId="0" applyBorder="1"/>
    <xf numFmtId="1" fontId="151" fillId="0" borderId="2" xfId="0" applyNumberFormat="1" applyFont="1" applyBorder="1" applyAlignment="1">
      <alignment horizontal="center" vertical="center"/>
    </xf>
    <xf numFmtId="1" fontId="151" fillId="3" borderId="0" xfId="0" applyNumberFormat="1" applyFont="1" applyFill="1" applyAlignment="1">
      <alignment horizontal="center" vertical="center"/>
    </xf>
    <xf numFmtId="0" fontId="160" fillId="3" borderId="0" xfId="0" applyFont="1" applyFill="1" applyAlignment="1">
      <alignment horizontal="center" vertical="center"/>
    </xf>
    <xf numFmtId="2" fontId="160" fillId="3" borderId="0" xfId="0" applyNumberFormat="1" applyFont="1" applyFill="1" applyAlignment="1">
      <alignment horizontal="center" vertical="center"/>
    </xf>
    <xf numFmtId="0" fontId="153" fillId="0" borderId="32" xfId="0" applyFont="1" applyBorder="1" applyAlignment="1">
      <alignment horizontal="center" vertical="center"/>
    </xf>
    <xf numFmtId="0" fontId="160" fillId="3" borderId="32" xfId="0" applyFont="1" applyFill="1" applyBorder="1" applyAlignment="1">
      <alignment horizontal="center" vertical="center"/>
    </xf>
    <xf numFmtId="0" fontId="0" fillId="0" borderId="27" xfId="0" applyBorder="1"/>
    <xf numFmtId="0" fontId="153" fillId="0" borderId="5" xfId="0" applyFont="1" applyBorder="1" applyAlignment="1">
      <alignment horizontal="center" vertical="center"/>
    </xf>
    <xf numFmtId="0" fontId="160" fillId="3" borderId="24" xfId="0" applyFont="1" applyFill="1" applyBorder="1" applyAlignment="1">
      <alignment horizontal="center" vertical="center"/>
    </xf>
    <xf numFmtId="0" fontId="160" fillId="3" borderId="35" xfId="0" applyFont="1" applyFill="1" applyBorder="1" applyAlignment="1">
      <alignment horizontal="center" vertical="center"/>
    </xf>
    <xf numFmtId="2" fontId="160" fillId="3" borderId="35" xfId="0" applyNumberFormat="1" applyFont="1" applyFill="1" applyBorder="1" applyAlignment="1">
      <alignment horizontal="center" vertical="center"/>
    </xf>
    <xf numFmtId="0" fontId="155" fillId="0" borderId="35" xfId="0" applyFont="1" applyBorder="1" applyAlignment="1">
      <alignment horizontal="center" vertical="center"/>
    </xf>
    <xf numFmtId="164" fontId="153" fillId="0" borderId="35" xfId="2" applyFont="1" applyFill="1" applyBorder="1" applyAlignment="1">
      <alignment horizontal="center" vertical="center"/>
    </xf>
    <xf numFmtId="0" fontId="154" fillId="0" borderId="36" xfId="0" applyFont="1" applyBorder="1" applyAlignment="1">
      <alignment horizontal="center" vertical="center"/>
    </xf>
    <xf numFmtId="0" fontId="153" fillId="0" borderId="37" xfId="0" applyFont="1" applyBorder="1" applyAlignment="1">
      <alignment horizontal="center" vertical="center"/>
    </xf>
    <xf numFmtId="0" fontId="155" fillId="3" borderId="35" xfId="0" applyFont="1" applyFill="1" applyBorder="1" applyAlignment="1">
      <alignment horizontal="center" vertical="center"/>
    </xf>
    <xf numFmtId="164" fontId="161" fillId="3" borderId="0" xfId="2" applyFont="1" applyFill="1" applyBorder="1" applyAlignment="1">
      <alignment horizontal="center" vertical="center"/>
    </xf>
    <xf numFmtId="0" fontId="153" fillId="12" borderId="38" xfId="0" applyFont="1" applyFill="1" applyBorder="1" applyAlignment="1">
      <alignment horizontal="center" vertical="center"/>
    </xf>
    <xf numFmtId="0" fontId="15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53" fillId="0" borderId="39" xfId="0" applyFont="1" applyBorder="1" applyAlignment="1">
      <alignment horizontal="center" vertical="center"/>
    </xf>
    <xf numFmtId="0" fontId="155" fillId="9" borderId="30" xfId="0" applyFont="1" applyFill="1" applyBorder="1" applyAlignment="1">
      <alignment horizontal="center" vertical="center"/>
    </xf>
    <xf numFmtId="0" fontId="162" fillId="0" borderId="0" xfId="0" applyFont="1" applyAlignment="1">
      <alignment horizontal="center"/>
    </xf>
    <xf numFmtId="0" fontId="153" fillId="3" borderId="0" xfId="0" applyFont="1" applyFill="1" applyAlignment="1">
      <alignment vertical="center"/>
    </xf>
    <xf numFmtId="164" fontId="153" fillId="0" borderId="0" xfId="2" applyFont="1" applyFill="1" applyBorder="1" applyAlignment="1">
      <alignment vertical="center"/>
    </xf>
    <xf numFmtId="0" fontId="157" fillId="3" borderId="35" xfId="0" applyFont="1" applyFill="1" applyBorder="1" applyAlignment="1">
      <alignment horizontal="center" vertical="center"/>
    </xf>
    <xf numFmtId="0" fontId="153" fillId="0" borderId="35" xfId="0" applyFont="1" applyBorder="1" applyAlignment="1">
      <alignment horizontal="center" vertical="center"/>
    </xf>
    <xf numFmtId="2" fontId="153" fillId="0" borderId="35" xfId="0" applyNumberFormat="1" applyFont="1" applyBorder="1" applyAlignment="1">
      <alignment horizontal="center" vertical="center"/>
    </xf>
    <xf numFmtId="0" fontId="154" fillId="0" borderId="40" xfId="0" applyFont="1" applyBorder="1" applyAlignment="1">
      <alignment horizontal="center" vertical="center"/>
    </xf>
    <xf numFmtId="0" fontId="153" fillId="0" borderId="40" xfId="0" applyFont="1" applyBorder="1" applyAlignment="1">
      <alignment horizontal="center" vertical="center"/>
    </xf>
    <xf numFmtId="164" fontId="153" fillId="3" borderId="35" xfId="2" applyFont="1" applyFill="1" applyBorder="1" applyAlignment="1">
      <alignment horizontal="center" vertical="center"/>
    </xf>
    <xf numFmtId="0" fontId="153" fillId="0" borderId="35" xfId="0" applyFont="1" applyBorder="1" applyAlignment="1">
      <alignment horizontal="center" vertical="top"/>
    </xf>
    <xf numFmtId="164" fontId="155" fillId="3" borderId="0" xfId="2" applyFont="1" applyFill="1" applyBorder="1" applyAlignment="1">
      <alignment horizontal="center" vertical="center"/>
    </xf>
    <xf numFmtId="0" fontId="154" fillId="0" borderId="41" xfId="0" applyFont="1" applyBorder="1" applyAlignment="1">
      <alignment horizontal="center" vertical="center"/>
    </xf>
    <xf numFmtId="0" fontId="153" fillId="0" borderId="42" xfId="0" applyFont="1" applyBorder="1" applyAlignment="1">
      <alignment horizontal="center" vertical="center"/>
    </xf>
    <xf numFmtId="164" fontId="155" fillId="3" borderId="35" xfId="2" applyFont="1" applyFill="1" applyBorder="1" applyAlignment="1">
      <alignment horizontal="center" vertical="center"/>
    </xf>
    <xf numFmtId="0" fontId="161" fillId="0" borderId="2" xfId="0" applyFont="1" applyBorder="1" applyAlignment="1">
      <alignment horizontal="center" vertical="center"/>
    </xf>
    <xf numFmtId="0" fontId="153" fillId="0" borderId="2" xfId="0" applyFont="1" applyBorder="1" applyAlignment="1">
      <alignment horizontal="center" vertical="center"/>
    </xf>
    <xf numFmtId="0" fontId="162" fillId="13" borderId="26" xfId="0" applyFont="1" applyFill="1" applyBorder="1" applyAlignment="1">
      <alignment horizontal="center"/>
    </xf>
    <xf numFmtId="0" fontId="162" fillId="13" borderId="32" xfId="0" applyFont="1" applyFill="1" applyBorder="1" applyAlignment="1">
      <alignment horizontal="center"/>
    </xf>
    <xf numFmtId="0" fontId="153" fillId="0" borderId="43" xfId="0" applyFont="1" applyBorder="1" applyAlignment="1">
      <alignment horizontal="center" vertical="center"/>
    </xf>
    <xf numFmtId="0" fontId="153" fillId="0" borderId="0" xfId="0" applyFont="1"/>
    <xf numFmtId="0" fontId="153" fillId="0" borderId="0" xfId="0" applyFont="1" applyAlignment="1">
      <alignment horizontal="left" vertical="center"/>
    </xf>
    <xf numFmtId="0" fontId="153" fillId="9" borderId="30" xfId="0" applyFont="1" applyFill="1" applyBorder="1" applyAlignment="1">
      <alignment horizontal="center" vertical="center"/>
    </xf>
    <xf numFmtId="0" fontId="153" fillId="14" borderId="30" xfId="0" applyFont="1" applyFill="1" applyBorder="1" applyAlignment="1">
      <alignment horizontal="center" vertical="center"/>
    </xf>
    <xf numFmtId="0" fontId="157" fillId="3" borderId="30" xfId="0" applyFont="1" applyFill="1" applyBorder="1" applyAlignment="1">
      <alignment horizontal="center" vertical="center"/>
    </xf>
    <xf numFmtId="0" fontId="156" fillId="0" borderId="0" xfId="0" applyFont="1" applyAlignment="1">
      <alignment horizontal="center"/>
    </xf>
    <xf numFmtId="0" fontId="156" fillId="0" borderId="0" xfId="0" applyFont="1" applyAlignment="1">
      <alignment horizontal="left"/>
    </xf>
    <xf numFmtId="0" fontId="156" fillId="0" borderId="0" xfId="0" applyFont="1" applyAlignment="1">
      <alignment horizontal="center" vertical="center"/>
    </xf>
    <xf numFmtId="0" fontId="160" fillId="15" borderId="30" xfId="0" applyFont="1" applyFill="1" applyBorder="1" applyAlignment="1">
      <alignment horizontal="center" vertical="center"/>
    </xf>
    <xf numFmtId="0" fontId="156" fillId="0" borderId="0" xfId="0" applyFont="1" applyAlignment="1">
      <alignment horizontal="right"/>
    </xf>
    <xf numFmtId="49" fontId="156" fillId="0" borderId="0" xfId="0" applyNumberFormat="1" applyFont="1"/>
    <xf numFmtId="0" fontId="157" fillId="0" borderId="0" xfId="12"/>
    <xf numFmtId="0" fontId="157" fillId="0" borderId="0" xfId="27" applyAlignment="1">
      <alignment horizontal="left"/>
    </xf>
    <xf numFmtId="0" fontId="153" fillId="0" borderId="44" xfId="0" applyFont="1" applyBorder="1" applyAlignment="1">
      <alignment horizontal="center" vertical="center"/>
    </xf>
    <xf numFmtId="0" fontId="153" fillId="0" borderId="45" xfId="0" applyFont="1" applyBorder="1" applyAlignment="1">
      <alignment horizontal="center" vertical="center"/>
    </xf>
    <xf numFmtId="0" fontId="156" fillId="0" borderId="45" xfId="0" applyFont="1" applyBorder="1"/>
    <xf numFmtId="0" fontId="156" fillId="0" borderId="45" xfId="0" applyFont="1" applyBorder="1" applyAlignment="1">
      <alignment horizontal="left"/>
    </xf>
    <xf numFmtId="0" fontId="156" fillId="0" borderId="45" xfId="0" applyFont="1" applyBorder="1" applyAlignment="1">
      <alignment horizontal="center" vertical="center"/>
    </xf>
    <xf numFmtId="170" fontId="153" fillId="0" borderId="2" xfId="0" applyNumberFormat="1" applyFont="1" applyBorder="1" applyAlignment="1">
      <alignment horizontal="center" vertical="center"/>
    </xf>
    <xf numFmtId="170" fontId="153" fillId="0" borderId="0" xfId="0" applyNumberFormat="1" applyFont="1" applyAlignment="1">
      <alignment horizontal="center" vertical="center"/>
    </xf>
    <xf numFmtId="0" fontId="157" fillId="0" borderId="0" xfId="21" applyAlignment="1">
      <alignment horizontal="center"/>
    </xf>
    <xf numFmtId="0" fontId="163" fillId="16" borderId="0" xfId="5" applyFont="1" applyBorder="1"/>
    <xf numFmtId="0" fontId="157" fillId="0" borderId="0" xfId="10" applyAlignment="1">
      <alignment horizontal="left" vertical="center"/>
    </xf>
    <xf numFmtId="0" fontId="157" fillId="0" borderId="0" xfId="28" applyAlignment="1">
      <alignment horizontal="left"/>
    </xf>
    <xf numFmtId="0" fontId="156" fillId="0" borderId="45" xfId="0" applyFont="1" applyBorder="1" applyAlignment="1">
      <alignment horizontal="center"/>
    </xf>
    <xf numFmtId="0" fontId="162" fillId="13" borderId="27" xfId="0" applyFont="1" applyFill="1" applyBorder="1" applyAlignment="1">
      <alignment horizontal="center"/>
    </xf>
    <xf numFmtId="0" fontId="160" fillId="3" borderId="47" xfId="0" applyFont="1" applyFill="1" applyBorder="1" applyAlignment="1">
      <alignment horizontal="center" vertical="center"/>
    </xf>
    <xf numFmtId="0" fontId="161" fillId="0" borderId="0" xfId="0" applyFont="1" applyAlignment="1">
      <alignment horizontal="left" vertical="center"/>
    </xf>
    <xf numFmtId="0" fontId="157" fillId="0" borderId="0" xfId="26"/>
    <xf numFmtId="0" fontId="157" fillId="0" borderId="0" xfId="23" applyAlignment="1">
      <alignment horizontal="left"/>
    </xf>
    <xf numFmtId="0" fontId="157" fillId="0" borderId="0" xfId="24" applyAlignment="1">
      <alignment horizontal="left"/>
    </xf>
    <xf numFmtId="0" fontId="157" fillId="0" borderId="0" xfId="26" applyAlignment="1">
      <alignment horizontal="center"/>
    </xf>
    <xf numFmtId="0" fontId="156" fillId="17" borderId="0" xfId="6" applyFont="1" applyBorder="1" applyAlignment="1">
      <alignment horizontal="center"/>
    </xf>
    <xf numFmtId="0" fontId="157" fillId="0" borderId="0" xfId="11" applyAlignment="1">
      <alignment horizontal="left" vertical="center"/>
    </xf>
    <xf numFmtId="0" fontId="160" fillId="3" borderId="48" xfId="0" applyFont="1" applyFill="1" applyBorder="1" applyAlignment="1">
      <alignment horizontal="center" vertical="center"/>
    </xf>
    <xf numFmtId="0" fontId="162" fillId="0" borderId="49" xfId="0" applyFont="1" applyBorder="1" applyAlignment="1">
      <alignment horizontal="center" vertical="center"/>
    </xf>
    <xf numFmtId="0" fontId="162" fillId="0" borderId="22" xfId="0" applyFont="1" applyBorder="1" applyAlignment="1">
      <alignment horizontal="center" vertical="center"/>
    </xf>
    <xf numFmtId="0" fontId="162" fillId="0" borderId="43" xfId="0" applyFont="1" applyBorder="1" applyAlignment="1">
      <alignment horizontal="center" vertical="center"/>
    </xf>
    <xf numFmtId="0" fontId="164" fillId="0" borderId="0" xfId="0" applyFont="1" applyAlignment="1">
      <alignment horizontal="center" vertical="center"/>
    </xf>
    <xf numFmtId="0" fontId="154" fillId="3" borderId="30" xfId="0" applyFont="1" applyFill="1" applyBorder="1" applyAlignment="1">
      <alignment horizontal="center" vertical="center"/>
    </xf>
    <xf numFmtId="0" fontId="153" fillId="3" borderId="31" xfId="0" applyFont="1" applyFill="1" applyBorder="1" applyAlignment="1">
      <alignment horizontal="center" vertical="center"/>
    </xf>
    <xf numFmtId="0" fontId="153" fillId="3" borderId="30" xfId="0" applyFont="1" applyFill="1" applyBorder="1" applyAlignment="1">
      <alignment horizontal="center" vertical="center"/>
    </xf>
    <xf numFmtId="0" fontId="161" fillId="0" borderId="0" xfId="0" applyFont="1" applyAlignment="1">
      <alignment horizontal="center" vertical="center"/>
    </xf>
    <xf numFmtId="0" fontId="154" fillId="0" borderId="2" xfId="0" applyFont="1" applyBorder="1" applyAlignment="1">
      <alignment horizontal="center" vertical="center"/>
    </xf>
    <xf numFmtId="0" fontId="163" fillId="0" borderId="0" xfId="5" applyFont="1" applyFill="1" applyBorder="1"/>
    <xf numFmtId="0" fontId="153" fillId="3" borderId="45" xfId="0" applyFont="1" applyFill="1" applyBorder="1" applyAlignment="1">
      <alignment horizontal="center" vertical="center"/>
    </xf>
    <xf numFmtId="0" fontId="153" fillId="0" borderId="49" xfId="0" applyFont="1" applyBorder="1" applyAlignment="1">
      <alignment horizontal="center" vertical="center"/>
    </xf>
    <xf numFmtId="0" fontId="153" fillId="0" borderId="22" xfId="0" applyFont="1" applyBorder="1" applyAlignment="1">
      <alignment horizontal="center" vertical="center"/>
    </xf>
    <xf numFmtId="49" fontId="153" fillId="3" borderId="0" xfId="0" applyNumberFormat="1" applyFont="1" applyFill="1" applyAlignment="1">
      <alignment horizontal="center" vertical="center"/>
    </xf>
    <xf numFmtId="0" fontId="157" fillId="0" borderId="0" xfId="0" applyFont="1" applyAlignment="1">
      <alignment horizontal="center" vertical="center"/>
    </xf>
    <xf numFmtId="0" fontId="161" fillId="3" borderId="0" xfId="0" applyFont="1" applyFill="1" applyAlignment="1">
      <alignment horizontal="center" vertical="center"/>
    </xf>
    <xf numFmtId="0" fontId="165" fillId="0" borderId="31" xfId="0" applyFont="1" applyBorder="1" applyAlignment="1">
      <alignment horizontal="center" vertical="center"/>
    </xf>
    <xf numFmtId="0" fontId="159" fillId="3" borderId="50" xfId="0" applyFont="1" applyFill="1" applyBorder="1" applyAlignment="1">
      <alignment horizontal="center" vertical="center"/>
    </xf>
    <xf numFmtId="0" fontId="156" fillId="0" borderId="22" xfId="0" applyFont="1" applyBorder="1" applyAlignment="1">
      <alignment horizontal="center" vertical="center"/>
    </xf>
    <xf numFmtId="0" fontId="159" fillId="3" borderId="47" xfId="0" applyFont="1" applyFill="1" applyBorder="1" applyAlignment="1">
      <alignment horizontal="center" vertical="center"/>
    </xf>
    <xf numFmtId="2" fontId="160" fillId="3" borderId="47" xfId="0" applyNumberFormat="1" applyFont="1" applyFill="1" applyBorder="1" applyAlignment="1">
      <alignment horizontal="center" vertical="center"/>
    </xf>
    <xf numFmtId="0" fontId="153" fillId="0" borderId="22" xfId="0" applyFont="1" applyBorder="1" applyAlignment="1">
      <alignment horizontal="center" vertical="top"/>
    </xf>
    <xf numFmtId="0" fontId="160" fillId="3" borderId="50" xfId="0" applyFont="1" applyFill="1" applyBorder="1" applyAlignment="1">
      <alignment horizontal="center" vertical="center"/>
    </xf>
    <xf numFmtId="0" fontId="160" fillId="3" borderId="30" xfId="0" applyFont="1" applyFill="1" applyBorder="1" applyAlignment="1">
      <alignment horizontal="center" vertical="center"/>
    </xf>
    <xf numFmtId="0" fontId="153" fillId="3" borderId="34" xfId="0" applyFont="1" applyFill="1" applyBorder="1" applyAlignment="1">
      <alignment horizontal="center" vertical="center"/>
    </xf>
    <xf numFmtId="9" fontId="153" fillId="0" borderId="0" xfId="3" applyFont="1" applyAlignment="1">
      <alignment horizontal="center" vertical="center"/>
    </xf>
    <xf numFmtId="0" fontId="160" fillId="0" borderId="30" xfId="0" applyFont="1" applyBorder="1" applyAlignment="1">
      <alignment horizontal="center" vertical="center"/>
    </xf>
    <xf numFmtId="0" fontId="153" fillId="0" borderId="26" xfId="0" applyFont="1" applyBorder="1" applyAlignment="1">
      <alignment horizontal="center" vertical="center"/>
    </xf>
    <xf numFmtId="0" fontId="153" fillId="0" borderId="41" xfId="0" applyFont="1" applyBorder="1" applyAlignment="1">
      <alignment horizontal="center" vertical="center"/>
    </xf>
    <xf numFmtId="0" fontId="160" fillId="3" borderId="27" xfId="0" applyFont="1" applyFill="1" applyBorder="1" applyAlignment="1">
      <alignment horizontal="center" vertical="center"/>
    </xf>
    <xf numFmtId="0" fontId="155" fillId="18" borderId="0" xfId="0" applyFont="1" applyFill="1" applyAlignment="1">
      <alignment horizontal="center" vertical="center"/>
    </xf>
    <xf numFmtId="0" fontId="153" fillId="18" borderId="0" xfId="0" applyFont="1" applyFill="1" applyAlignment="1">
      <alignment horizontal="center" vertical="center"/>
    </xf>
    <xf numFmtId="164" fontId="153" fillId="18" borderId="0" xfId="2" applyFont="1" applyFill="1" applyBorder="1" applyAlignment="1">
      <alignment horizontal="center" vertical="center"/>
    </xf>
    <xf numFmtId="0" fontId="158" fillId="18" borderId="0" xfId="0" applyFont="1" applyFill="1" applyAlignment="1">
      <alignment horizontal="center" vertical="center"/>
    </xf>
    <xf numFmtId="0" fontId="153" fillId="0" borderId="5" xfId="0" applyFont="1" applyBorder="1" applyAlignment="1">
      <alignment horizontal="center" vertical="top"/>
    </xf>
    <xf numFmtId="0" fontId="160" fillId="0" borderId="35" xfId="0" applyFont="1" applyBorder="1" applyAlignment="1">
      <alignment horizontal="center" vertical="center"/>
    </xf>
    <xf numFmtId="2" fontId="160" fillId="0" borderId="35" xfId="0" applyNumberFormat="1" applyFont="1" applyBorder="1" applyAlignment="1">
      <alignment horizontal="center" vertical="center"/>
    </xf>
    <xf numFmtId="164" fontId="161" fillId="0" borderId="0" xfId="2" applyFont="1" applyFill="1" applyBorder="1" applyAlignment="1">
      <alignment horizontal="center" vertical="center"/>
    </xf>
    <xf numFmtId="164" fontId="153" fillId="3" borderId="0" xfId="2" applyFont="1" applyFill="1" applyAlignment="1">
      <alignment horizontal="center" vertical="center"/>
    </xf>
    <xf numFmtId="0" fontId="138" fillId="19" borderId="2" xfId="0" applyFont="1" applyFill="1" applyBorder="1" applyAlignment="1">
      <alignment horizontal="center" vertical="center" wrapText="1"/>
    </xf>
    <xf numFmtId="0" fontId="138" fillId="19" borderId="2" xfId="0" applyFont="1" applyFill="1" applyBorder="1" applyAlignment="1">
      <alignment horizontal="center" vertical="center"/>
    </xf>
    <xf numFmtId="0" fontId="166" fillId="0" borderId="2" xfId="0" applyFont="1" applyBorder="1" applyAlignment="1">
      <alignment horizontal="left" vertical="center" wrapText="1"/>
    </xf>
    <xf numFmtId="0" fontId="161" fillId="19" borderId="2" xfId="0"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54" fillId="0" borderId="0" xfId="0" applyFont="1" applyAlignment="1">
      <alignment horizontal="center" vertical="center"/>
    </xf>
    <xf numFmtId="0" fontId="153" fillId="9" borderId="28" xfId="0" applyFont="1" applyFill="1" applyBorder="1" applyAlignment="1">
      <alignment horizontal="center" vertical="center"/>
    </xf>
    <xf numFmtId="0" fontId="162" fillId="13" borderId="47" xfId="0" applyFont="1" applyFill="1" applyBorder="1" applyAlignment="1">
      <alignment horizontal="center"/>
    </xf>
    <xf numFmtId="1" fontId="153" fillId="0" borderId="0" xfId="0" applyNumberFormat="1" applyFont="1" applyAlignment="1">
      <alignment horizontal="center" vertical="center"/>
    </xf>
    <xf numFmtId="0" fontId="153" fillId="9" borderId="2" xfId="0" applyFont="1" applyFill="1" applyBorder="1" applyAlignment="1">
      <alignment horizontal="center" vertical="center"/>
    </xf>
    <xf numFmtId="0" fontId="153" fillId="0" borderId="2" xfId="0" applyFont="1" applyBorder="1" applyAlignment="1">
      <alignment vertical="center"/>
    </xf>
    <xf numFmtId="0" fontId="151" fillId="0" borderId="49" xfId="0" applyFont="1" applyBorder="1" applyAlignment="1">
      <alignment horizontal="center" vertical="center"/>
    </xf>
    <xf numFmtId="0" fontId="151" fillId="0" borderId="43" xfId="0" applyFont="1" applyBorder="1" applyAlignment="1">
      <alignment horizontal="center" vertical="center"/>
    </xf>
    <xf numFmtId="2" fontId="153" fillId="0" borderId="43" xfId="0" applyNumberFormat="1" applyFont="1" applyBorder="1" applyAlignment="1">
      <alignment horizontal="center" vertical="center"/>
    </xf>
    <xf numFmtId="0" fontId="154" fillId="0" borderId="43" xfId="0" applyFont="1" applyBorder="1" applyAlignment="1">
      <alignment horizontal="center" vertical="center"/>
    </xf>
    <xf numFmtId="0" fontId="155" fillId="0" borderId="43" xfId="0" applyFont="1" applyBorder="1" applyAlignment="1">
      <alignment horizontal="center" vertical="center"/>
    </xf>
    <xf numFmtId="0" fontId="155" fillId="3" borderId="43" xfId="0" applyFont="1" applyFill="1" applyBorder="1" applyAlignment="1">
      <alignment horizontal="center" vertical="center"/>
    </xf>
    <xf numFmtId="0" fontId="153" fillId="3" borderId="44" xfId="0" applyFont="1" applyFill="1" applyBorder="1" applyAlignment="1">
      <alignment horizontal="center" vertical="center"/>
    </xf>
    <xf numFmtId="0" fontId="153" fillId="0" borderId="21" xfId="0" applyFont="1" applyBorder="1" applyAlignment="1">
      <alignment horizontal="center" vertical="center"/>
    </xf>
    <xf numFmtId="164" fontId="153" fillId="0" borderId="0" xfId="2" applyFont="1" applyFill="1" applyAlignment="1">
      <alignment horizontal="center" vertical="center"/>
    </xf>
    <xf numFmtId="0" fontId="157" fillId="0" borderId="30" xfId="0" applyFont="1" applyBorder="1" applyAlignment="1">
      <alignment horizontal="center" vertical="center"/>
    </xf>
    <xf numFmtId="0" fontId="155" fillId="0" borderId="45" xfId="0" applyFont="1" applyBorder="1" applyAlignment="1">
      <alignment horizontal="center" vertical="center"/>
    </xf>
    <xf numFmtId="0" fontId="157" fillId="3" borderId="0" xfId="0" applyFont="1" applyFill="1" applyAlignment="1">
      <alignment horizontal="center" vertical="center"/>
    </xf>
    <xf numFmtId="12" fontId="153" fillId="3" borderId="0" xfId="2" applyNumberFormat="1" applyFont="1" applyFill="1" applyAlignment="1">
      <alignment horizontal="center" vertical="center"/>
    </xf>
    <xf numFmtId="0" fontId="168" fillId="0" borderId="2" xfId="0" applyFont="1" applyBorder="1" applyAlignment="1">
      <alignment horizontal="center" vertical="center" wrapText="1"/>
    </xf>
    <xf numFmtId="0" fontId="0" fillId="0" borderId="2" xfId="0" applyBorder="1"/>
    <xf numFmtId="0" fontId="168" fillId="0" borderId="3" xfId="0" applyFont="1" applyBorder="1" applyAlignment="1">
      <alignment horizontal="center" vertical="center" wrapText="1"/>
    </xf>
    <xf numFmtId="172" fontId="168" fillId="0" borderId="3" xfId="0" applyNumberFormat="1" applyFont="1" applyBorder="1" applyAlignment="1">
      <alignment horizontal="center" vertical="center" wrapText="1"/>
    </xf>
    <xf numFmtId="0" fontId="0" fillId="0" borderId="3" xfId="0" applyBorder="1"/>
    <xf numFmtId="14" fontId="0" fillId="0" borderId="2" xfId="0" applyNumberFormat="1" applyBorder="1" applyAlignment="1">
      <alignment horizontal="center" vertical="center"/>
    </xf>
    <xf numFmtId="0" fontId="0" fillId="0" borderId="2" xfId="0" applyBorder="1" applyAlignment="1">
      <alignment horizontal="center"/>
    </xf>
    <xf numFmtId="0" fontId="169" fillId="0" borderId="2" xfId="0" applyFont="1" applyBorder="1" applyAlignment="1">
      <alignment horizontal="center"/>
    </xf>
    <xf numFmtId="0" fontId="170" fillId="0" borderId="0" xfId="0" applyFont="1" applyAlignment="1">
      <alignment horizontal="justify" vertical="center" wrapText="1"/>
    </xf>
    <xf numFmtId="0" fontId="171" fillId="0" borderId="0" xfId="0" applyFont="1" applyAlignment="1">
      <alignment horizontal="justify" vertical="center" wrapText="1"/>
    </xf>
    <xf numFmtId="0" fontId="0" fillId="0" borderId="0" xfId="0" applyAlignment="1">
      <alignment vertical="center" wrapText="1"/>
    </xf>
    <xf numFmtId="3" fontId="171" fillId="0" borderId="0" xfId="0" applyNumberFormat="1" applyFont="1" applyAlignment="1">
      <alignment horizontal="justify" vertical="center" wrapText="1"/>
    </xf>
    <xf numFmtId="0" fontId="169" fillId="0" borderId="0" xfId="0" applyFont="1"/>
    <xf numFmtId="0" fontId="169" fillId="0" borderId="0" xfId="0" applyFont="1" applyAlignment="1">
      <alignment horizontal="center"/>
    </xf>
    <xf numFmtId="0" fontId="17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69" fillId="0" borderId="2" xfId="0" applyFont="1" applyBorder="1" applyAlignment="1">
      <alignment horizontal="center" vertical="center"/>
    </xf>
    <xf numFmtId="0" fontId="167" fillId="0" borderId="2" xfId="0" applyFont="1" applyBorder="1" applyAlignment="1">
      <alignment horizontal="center" vertical="center"/>
    </xf>
    <xf numFmtId="0" fontId="169" fillId="0" borderId="2" xfId="0" applyFont="1" applyBorder="1"/>
    <xf numFmtId="0" fontId="167" fillId="9" borderId="3" xfId="0" applyFont="1" applyFill="1" applyBorder="1" applyAlignment="1">
      <alignment horizontal="center" vertical="center"/>
    </xf>
    <xf numFmtId="0" fontId="167" fillId="9" borderId="2" xfId="0" applyFont="1" applyFill="1" applyBorder="1" applyAlignment="1">
      <alignment horizontal="center" vertical="center"/>
    </xf>
    <xf numFmtId="0" fontId="167" fillId="3" borderId="2" xfId="0" applyFont="1" applyFill="1" applyBorder="1" applyAlignment="1">
      <alignment horizontal="center" vertical="center"/>
    </xf>
    <xf numFmtId="0" fontId="167" fillId="0" borderId="3" xfId="0" applyFont="1" applyBorder="1" applyAlignment="1">
      <alignment horizontal="center" vertical="center"/>
    </xf>
    <xf numFmtId="0" fontId="167" fillId="3" borderId="3" xfId="0" applyFont="1" applyFill="1" applyBorder="1" applyAlignment="1">
      <alignment horizontal="center" vertical="center"/>
    </xf>
    <xf numFmtId="14" fontId="168" fillId="0" borderId="2" xfId="0" applyNumberFormat="1" applyFont="1" applyBorder="1" applyAlignment="1">
      <alignment horizontal="center" vertical="center" wrapText="1"/>
    </xf>
    <xf numFmtId="0" fontId="173" fillId="0" borderId="0" xfId="0" applyFont="1"/>
    <xf numFmtId="0" fontId="135" fillId="3" borderId="0" xfId="0" applyFont="1" applyFill="1" applyAlignment="1">
      <alignment horizontal="left" vertical="center" wrapText="1"/>
    </xf>
    <xf numFmtId="0" fontId="173" fillId="0" borderId="0" xfId="0" applyFont="1" applyAlignment="1">
      <alignment horizontal="justify" vertical="center"/>
    </xf>
    <xf numFmtId="0" fontId="172" fillId="0" borderId="2" xfId="0" applyFont="1" applyBorder="1" applyAlignment="1">
      <alignment horizontal="left" vertical="center"/>
    </xf>
    <xf numFmtId="0" fontId="167" fillId="20" borderId="2" xfId="0" applyFont="1" applyFill="1" applyBorder="1" applyAlignment="1">
      <alignment horizontal="center" vertical="center"/>
    </xf>
    <xf numFmtId="0" fontId="169" fillId="20" borderId="2" xfId="0" applyFont="1" applyFill="1" applyBorder="1"/>
    <xf numFmtId="0" fontId="168" fillId="20" borderId="2" xfId="0" applyFont="1" applyFill="1" applyBorder="1" applyAlignment="1">
      <alignment horizontal="center" vertical="center" wrapText="1"/>
    </xf>
    <xf numFmtId="14" fontId="168" fillId="20" borderId="2" xfId="0" applyNumberFormat="1" applyFont="1" applyFill="1" applyBorder="1" applyAlignment="1">
      <alignment horizontal="center" vertical="center" wrapText="1"/>
    </xf>
    <xf numFmtId="0" fontId="169" fillId="20" borderId="2" xfId="0" applyFont="1" applyFill="1" applyBorder="1" applyAlignment="1">
      <alignment horizontal="center" vertical="center"/>
    </xf>
    <xf numFmtId="0" fontId="169" fillId="20" borderId="2" xfId="0" applyFont="1" applyFill="1" applyBorder="1" applyAlignment="1">
      <alignment horizontal="center"/>
    </xf>
    <xf numFmtId="172" fontId="168" fillId="0" borderId="2" xfId="0" applyNumberFormat="1" applyFont="1" applyBorder="1" applyAlignment="1">
      <alignment horizontal="center" vertical="center" wrapText="1"/>
    </xf>
    <xf numFmtId="0" fontId="169" fillId="12" borderId="2" xfId="0" applyFont="1" applyFill="1" applyBorder="1"/>
    <xf numFmtId="172" fontId="172" fillId="0" borderId="2" xfId="0" applyNumberFormat="1" applyFont="1" applyBorder="1" applyAlignment="1">
      <alignment vertical="center"/>
    </xf>
    <xf numFmtId="0" fontId="172" fillId="0" borderId="2" xfId="0" applyFont="1" applyBorder="1" applyAlignment="1">
      <alignment vertical="center"/>
    </xf>
    <xf numFmtId="0" fontId="169" fillId="9" borderId="2" xfId="0" applyFont="1" applyFill="1" applyBorder="1"/>
    <xf numFmtId="0" fontId="0" fillId="20" borderId="2" xfId="0" applyFill="1" applyBorder="1"/>
    <xf numFmtId="0" fontId="0" fillId="20" borderId="0" xfId="0" applyFill="1"/>
    <xf numFmtId="15" fontId="174" fillId="22" borderId="2" xfId="0" applyNumberFormat="1" applyFont="1" applyFill="1" applyBorder="1" applyAlignment="1">
      <alignment vertical="center"/>
    </xf>
    <xf numFmtId="0" fontId="142" fillId="23" borderId="2" xfId="0" applyFont="1" applyFill="1" applyBorder="1" applyAlignment="1">
      <alignment horizontal="center" vertical="center"/>
    </xf>
    <xf numFmtId="0" fontId="138" fillId="24" borderId="2" xfId="0" applyFont="1" applyFill="1" applyBorder="1" applyAlignment="1">
      <alignment horizontal="center" vertical="center" wrapText="1"/>
    </xf>
    <xf numFmtId="0" fontId="142" fillId="0" borderId="2" xfId="0" applyFont="1" applyBorder="1" applyAlignment="1">
      <alignment horizontal="center" vertical="center"/>
    </xf>
    <xf numFmtId="0" fontId="175" fillId="25" borderId="2" xfId="0" applyFont="1" applyFill="1" applyBorder="1" applyAlignment="1">
      <alignment vertical="center" wrapText="1"/>
    </xf>
    <xf numFmtId="14" fontId="167" fillId="0" borderId="28" xfId="0" applyNumberFormat="1" applyFont="1" applyBorder="1" applyAlignment="1">
      <alignment horizontal="center" vertical="center" wrapText="1"/>
    </xf>
    <xf numFmtId="0" fontId="13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75" fillId="25" borderId="48" xfId="0" applyFont="1" applyFill="1" applyBorder="1" applyAlignment="1">
      <alignment vertical="center" wrapText="1"/>
    </xf>
    <xf numFmtId="0" fontId="175" fillId="0" borderId="48" xfId="0" applyFont="1" applyBorder="1" applyAlignment="1">
      <alignment vertical="center" wrapText="1"/>
    </xf>
    <xf numFmtId="0" fontId="142" fillId="0" borderId="2" xfId="0" applyFont="1" applyBorder="1" applyAlignment="1">
      <alignment horizontal="center"/>
    </xf>
    <xf numFmtId="0" fontId="142" fillId="0" borderId="0" xfId="0" applyFont="1" applyAlignment="1">
      <alignment horizontal="left" vertical="top"/>
    </xf>
    <xf numFmtId="0" fontId="142" fillId="0" borderId="2" xfId="0" applyFont="1" applyBorder="1" applyAlignment="1">
      <alignment horizontal="left" vertical="top"/>
    </xf>
    <xf numFmtId="0" fontId="172" fillId="0" borderId="0" xfId="0" applyFont="1" applyAlignment="1">
      <alignment wrapText="1"/>
    </xf>
    <xf numFmtId="168" fontId="176" fillId="2" borderId="2" xfId="4" applyNumberFormat="1" applyFont="1" applyFill="1" applyBorder="1" applyAlignment="1" applyProtection="1">
      <alignment vertical="center"/>
      <protection hidden="1"/>
    </xf>
    <xf numFmtId="168" fontId="176" fillId="2" borderId="2" xfId="4" applyNumberFormat="1" applyFont="1" applyFill="1" applyBorder="1" applyAlignment="1" applyProtection="1">
      <alignment horizontal="left" vertical="center"/>
      <protection hidden="1"/>
    </xf>
    <xf numFmtId="15" fontId="176" fillId="2" borderId="2" xfId="4" applyNumberFormat="1" applyFont="1" applyFill="1" applyBorder="1" applyAlignment="1" applyProtection="1">
      <alignment horizontal="center" vertical="center"/>
      <protection hidden="1"/>
    </xf>
    <xf numFmtId="0" fontId="179" fillId="2" borderId="0" xfId="0" applyFont="1" applyFill="1" applyAlignment="1" applyProtection="1">
      <alignment horizontal="left" indent="3"/>
      <protection hidden="1"/>
    </xf>
    <xf numFmtId="0" fontId="179" fillId="2" borderId="0" xfId="0" applyFont="1" applyFill="1" applyProtection="1">
      <protection hidden="1"/>
    </xf>
    <xf numFmtId="0" fontId="180" fillId="2" borderId="0" xfId="0" applyFont="1" applyFill="1" applyProtection="1">
      <protection hidden="1"/>
    </xf>
    <xf numFmtId="1" fontId="176" fillId="2" borderId="2" xfId="4" applyNumberFormat="1" applyFont="1" applyFill="1" applyBorder="1" applyAlignment="1" applyProtection="1">
      <alignment horizontal="center" vertical="center"/>
      <protection hidden="1"/>
    </xf>
    <xf numFmtId="0" fontId="126" fillId="2" borderId="54" xfId="0" applyFont="1" applyFill="1" applyBorder="1" applyAlignment="1" applyProtection="1">
      <alignment horizontal="center" vertical="center" wrapText="1"/>
      <protection hidden="1"/>
    </xf>
    <xf numFmtId="49" fontId="126" fillId="2" borderId="1" xfId="0" applyNumberFormat="1" applyFont="1" applyFill="1" applyBorder="1" applyAlignment="1" applyProtection="1">
      <alignment horizontal="center" vertical="center" wrapText="1"/>
      <protection hidden="1"/>
    </xf>
    <xf numFmtId="0" fontId="172" fillId="0" borderId="2" xfId="0" applyFont="1" applyBorder="1"/>
    <xf numFmtId="15" fontId="182" fillId="2" borderId="2" xfId="0" applyNumberFormat="1" applyFont="1" applyFill="1" applyBorder="1" applyAlignment="1" applyProtection="1">
      <alignment horizontal="center" vertical="center"/>
      <protection hidden="1"/>
    </xf>
    <xf numFmtId="0" fontId="180" fillId="2" borderId="35" xfId="0" applyFont="1" applyFill="1" applyBorder="1" applyProtection="1">
      <protection hidden="1"/>
    </xf>
    <xf numFmtId="15" fontId="181" fillId="5" borderId="2" xfId="0" applyNumberFormat="1" applyFont="1" applyFill="1" applyBorder="1" applyAlignment="1" applyProtection="1">
      <alignment horizontal="center" vertical="center" wrapText="1"/>
      <protection hidden="1"/>
    </xf>
    <xf numFmtId="0" fontId="126" fillId="2" borderId="1" xfId="0" applyFont="1" applyFill="1" applyBorder="1" applyAlignment="1" applyProtection="1">
      <alignment horizontal="center" vertical="center"/>
      <protection hidden="1"/>
    </xf>
    <xf numFmtId="0" fontId="126" fillId="2" borderId="55" xfId="0" applyFont="1" applyFill="1" applyBorder="1" applyAlignment="1" applyProtection="1">
      <alignment horizontal="center" vertical="center" wrapText="1"/>
      <protection hidden="1"/>
    </xf>
    <xf numFmtId="0" fontId="167" fillId="0" borderId="0" xfId="0" applyFont="1" applyAlignment="1">
      <alignment horizontal="center" vertical="center"/>
    </xf>
    <xf numFmtId="0" fontId="183" fillId="0" borderId="0" xfId="0" applyFont="1" applyAlignment="1">
      <alignment vertical="center"/>
    </xf>
    <xf numFmtId="0" fontId="184" fillId="0" borderId="0" xfId="0" applyFont="1" applyAlignment="1">
      <alignment vertical="center" wrapText="1"/>
    </xf>
    <xf numFmtId="0" fontId="172" fillId="0" borderId="0" xfId="0" applyFont="1" applyAlignment="1">
      <alignment vertical="center"/>
    </xf>
    <xf numFmtId="0" fontId="0" fillId="0" borderId="2" xfId="0" quotePrefix="1" applyBorder="1" applyAlignment="1">
      <alignment horizontal="center" vertical="center"/>
    </xf>
    <xf numFmtId="164" fontId="153" fillId="0" borderId="0" xfId="2" quotePrefix="1" applyFont="1" applyFill="1" applyBorder="1" applyAlignment="1">
      <alignment horizontal="center" vertical="center"/>
    </xf>
    <xf numFmtId="164" fontId="153" fillId="0" borderId="0" xfId="2" quotePrefix="1" applyFont="1" applyFill="1" applyAlignment="1">
      <alignment horizontal="center" vertical="center"/>
    </xf>
    <xf numFmtId="164" fontId="153" fillId="3" borderId="0" xfId="2" quotePrefix="1" applyFont="1" applyFill="1" applyAlignment="1">
      <alignment horizontal="center" vertical="center"/>
    </xf>
    <xf numFmtId="12" fontId="153" fillId="3" borderId="0" xfId="2" quotePrefix="1" applyNumberFormat="1" applyFont="1" applyFill="1" applyAlignment="1">
      <alignment horizontal="center" vertical="center"/>
    </xf>
    <xf numFmtId="16" fontId="157" fillId="0" borderId="0" xfId="0" quotePrefix="1" applyNumberFormat="1" applyFont="1" applyAlignment="1">
      <alignment horizontal="center" vertical="center"/>
    </xf>
    <xf numFmtId="0" fontId="157" fillId="0" borderId="0" xfId="0" quotePrefix="1" applyFont="1" applyAlignment="1">
      <alignment horizontal="center" vertical="center"/>
    </xf>
    <xf numFmtId="16" fontId="153" fillId="0" borderId="0" xfId="0" quotePrefix="1" applyNumberFormat="1" applyFont="1" applyAlignment="1">
      <alignment horizontal="center" vertical="center"/>
    </xf>
    <xf numFmtId="16" fontId="155" fillId="3" borderId="0" xfId="0" quotePrefix="1" applyNumberFormat="1" applyFont="1" applyFill="1" applyAlignment="1">
      <alignment horizontal="center" vertical="center"/>
    </xf>
    <xf numFmtId="0" fontId="153" fillId="3" borderId="0" xfId="0" quotePrefix="1" applyFont="1" applyFill="1" applyAlignment="1">
      <alignment horizontal="center" vertical="center"/>
    </xf>
    <xf numFmtId="16" fontId="153" fillId="3" borderId="0" xfId="0" quotePrefix="1" applyNumberFormat="1" applyFont="1" applyFill="1" applyAlignment="1">
      <alignment horizontal="center" vertical="center"/>
    </xf>
    <xf numFmtId="0" fontId="153" fillId="0" borderId="0" xfId="0" quotePrefix="1" applyFont="1" applyAlignment="1">
      <alignment horizontal="center" vertical="center"/>
    </xf>
    <xf numFmtId="164" fontId="153" fillId="3" borderId="0" xfId="2" quotePrefix="1" applyFont="1" applyFill="1" applyBorder="1" applyAlignment="1">
      <alignment horizontal="center" vertical="center"/>
    </xf>
    <xf numFmtId="164" fontId="153" fillId="3" borderId="35" xfId="2" quotePrefix="1" applyFont="1" applyFill="1" applyBorder="1" applyAlignment="1">
      <alignment horizontal="center" vertical="center"/>
    </xf>
    <xf numFmtId="12" fontId="153" fillId="3" borderId="0" xfId="2" quotePrefix="1" applyNumberFormat="1" applyFont="1" applyFill="1" applyBorder="1" applyAlignment="1">
      <alignment horizontal="center" vertical="center"/>
    </xf>
    <xf numFmtId="12" fontId="153" fillId="3" borderId="35" xfId="2" quotePrefix="1" applyNumberFormat="1" applyFont="1" applyFill="1" applyBorder="1" applyAlignment="1">
      <alignment horizontal="center" vertical="center"/>
    </xf>
    <xf numFmtId="0" fontId="127" fillId="6" borderId="2" xfId="0" quotePrefix="1" applyFont="1" applyFill="1" applyBorder="1" applyAlignment="1">
      <alignment horizontal="center" vertical="center"/>
    </xf>
    <xf numFmtId="0" fontId="191" fillId="2" borderId="0" xfId="0" applyFont="1" applyFill="1" applyAlignment="1" applyProtection="1">
      <alignment horizontal="left" indent="3"/>
      <protection hidden="1"/>
    </xf>
    <xf numFmtId="164" fontId="192" fillId="0" borderId="0" xfId="2" quotePrefix="1" applyFont="1" applyFill="1" applyBorder="1" applyAlignment="1">
      <alignment horizontal="center" vertical="center"/>
    </xf>
    <xf numFmtId="164" fontId="192" fillId="0" borderId="0" xfId="2" applyFont="1" applyFill="1" applyBorder="1" applyAlignment="1">
      <alignment horizontal="center" vertical="center"/>
    </xf>
    <xf numFmtId="0" fontId="125" fillId="0" borderId="0" xfId="0" applyFont="1"/>
    <xf numFmtId="0" fontId="160" fillId="0" borderId="0" xfId="0" applyFont="1" applyAlignment="1">
      <alignment horizontal="center" vertical="center"/>
    </xf>
    <xf numFmtId="2" fontId="160" fillId="0" borderId="0" xfId="0" applyNumberFormat="1" applyFont="1" applyAlignment="1">
      <alignment horizontal="center" vertical="center"/>
    </xf>
    <xf numFmtId="0" fontId="160" fillId="0" borderId="32" xfId="0" applyFont="1" applyBorder="1" applyAlignment="1">
      <alignment horizontal="center" vertical="center"/>
    </xf>
    <xf numFmtId="0" fontId="160" fillId="0" borderId="24" xfId="0" applyFont="1" applyBorder="1" applyAlignment="1">
      <alignment horizontal="center" vertical="center"/>
    </xf>
    <xf numFmtId="0" fontId="157" fillId="0" borderId="35" xfId="0" applyFont="1" applyBorder="1" applyAlignment="1">
      <alignment horizontal="center" vertical="center"/>
    </xf>
    <xf numFmtId="164" fontId="153" fillId="0" borderId="35" xfId="2" quotePrefix="1" applyFont="1" applyFill="1" applyBorder="1" applyAlignment="1">
      <alignment horizontal="center" vertical="center"/>
    </xf>
    <xf numFmtId="164" fontId="155" fillId="0" borderId="0" xfId="2" applyFont="1" applyFill="1" applyBorder="1" applyAlignment="1">
      <alignment horizontal="center" vertical="center"/>
    </xf>
    <xf numFmtId="12" fontId="153" fillId="0" borderId="0" xfId="2" quotePrefix="1" applyNumberFormat="1" applyFont="1" applyFill="1" applyBorder="1" applyAlignment="1">
      <alignment horizontal="center" vertical="center"/>
    </xf>
    <xf numFmtId="164" fontId="155" fillId="0" borderId="35" xfId="2" applyFont="1" applyFill="1" applyBorder="1" applyAlignment="1">
      <alignment horizontal="center" vertical="center"/>
    </xf>
    <xf numFmtId="12" fontId="153" fillId="0" borderId="35" xfId="2" quotePrefix="1" applyNumberFormat="1" applyFont="1" applyFill="1" applyBorder="1" applyAlignment="1">
      <alignment horizontal="center" vertical="center"/>
    </xf>
    <xf numFmtId="0" fontId="125" fillId="0" borderId="2" xfId="0" applyFont="1" applyBorder="1"/>
    <xf numFmtId="0" fontId="125" fillId="27" borderId="2" xfId="0" applyFont="1" applyFill="1" applyBorder="1"/>
    <xf numFmtId="0" fontId="125" fillId="27" borderId="25" xfId="0" applyFont="1" applyFill="1" applyBorder="1"/>
    <xf numFmtId="0" fontId="0" fillId="9" borderId="2" xfId="0" applyFill="1" applyBorder="1"/>
    <xf numFmtId="0" fontId="0" fillId="28" borderId="0" xfId="0" applyFill="1"/>
    <xf numFmtId="0" fontId="0" fillId="12" borderId="0" xfId="0" applyFill="1"/>
    <xf numFmtId="0" fontId="125" fillId="0" borderId="2" xfId="0" quotePrefix="1" applyFont="1" applyBorder="1"/>
    <xf numFmtId="0" fontId="142" fillId="0" borderId="2" xfId="0" applyFont="1" applyBorder="1" applyAlignment="1">
      <alignment horizontal="left" vertical="center"/>
    </xf>
    <xf numFmtId="0" fontId="0" fillId="0" borderId="2" xfId="0" applyBorder="1" applyAlignment="1">
      <alignment horizontal="left" vertical="center"/>
    </xf>
    <xf numFmtId="0" fontId="194" fillId="0" borderId="2" xfId="0" applyFont="1" applyBorder="1" applyAlignment="1">
      <alignment horizontal="center" vertical="center"/>
    </xf>
    <xf numFmtId="0" fontId="194" fillId="0" borderId="2" xfId="0" applyFont="1" applyBorder="1" applyAlignment="1">
      <alignment horizontal="left" vertical="center"/>
    </xf>
    <xf numFmtId="0" fontId="194" fillId="0" borderId="2" xfId="0" quotePrefix="1" applyFont="1" applyBorder="1" applyAlignment="1">
      <alignment horizontal="center" vertical="center"/>
    </xf>
    <xf numFmtId="0" fontId="125" fillId="27" borderId="0" xfId="0" applyFont="1" applyFill="1"/>
    <xf numFmtId="0" fontId="0" fillId="0" borderId="46" xfId="0" applyBorder="1"/>
    <xf numFmtId="0" fontId="122" fillId="0" borderId="2" xfId="0" applyFont="1" applyBorder="1" applyAlignment="1">
      <alignment horizontal="center"/>
    </xf>
    <xf numFmtId="14" fontId="0" fillId="0" borderId="2" xfId="0" applyNumberFormat="1" applyBorder="1" applyAlignment="1">
      <alignment horizontal="center"/>
    </xf>
    <xf numFmtId="0" fontId="122" fillId="0" borderId="0" xfId="0" applyFont="1" applyAlignment="1">
      <alignment horizontal="left" vertical="top"/>
    </xf>
    <xf numFmtId="0" fontId="12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69" fillId="0" borderId="25" xfId="0" applyFont="1" applyBorder="1" applyAlignment="1">
      <alignment horizontal="center"/>
    </xf>
    <xf numFmtId="0" fontId="121" fillId="0" borderId="2" xfId="0" applyFont="1" applyBorder="1"/>
    <xf numFmtId="0" fontId="0" fillId="28" borderId="2" xfId="0" applyFill="1" applyBorder="1"/>
    <xf numFmtId="0" fontId="14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18" fillId="0" borderId="2" xfId="0" applyFont="1" applyBorder="1" applyAlignment="1">
      <alignment horizontal="center"/>
    </xf>
    <xf numFmtId="0" fontId="196" fillId="3" borderId="0" xfId="24" applyFont="1" applyFill="1"/>
    <xf numFmtId="0" fontId="196" fillId="3" borderId="0" xfId="24" applyFont="1" applyFill="1" applyAlignment="1">
      <alignment vertical="center"/>
    </xf>
    <xf numFmtId="49" fontId="197" fillId="0" borderId="0" xfId="0" applyNumberFormat="1" applyFont="1" applyAlignment="1">
      <alignment horizontal="center" vertical="center" wrapText="1"/>
    </xf>
    <xf numFmtId="165" fontId="197" fillId="0" borderId="0" xfId="1" applyFont="1" applyFill="1" applyBorder="1" applyAlignment="1">
      <alignment horizontal="center" vertical="center"/>
    </xf>
    <xf numFmtId="1" fontId="197" fillId="15" borderId="42" xfId="1" applyNumberFormat="1" applyFont="1" applyFill="1" applyBorder="1" applyAlignment="1">
      <alignment horizontal="center" vertical="center"/>
    </xf>
    <xf numFmtId="1" fontId="197" fillId="0" borderId="42" xfId="1" applyNumberFormat="1" applyFont="1" applyFill="1" applyBorder="1" applyAlignment="1">
      <alignment horizontal="center" vertical="center"/>
    </xf>
    <xf numFmtId="1" fontId="197" fillId="21" borderId="42" xfId="1" applyNumberFormat="1" applyFont="1" applyFill="1" applyBorder="1" applyAlignment="1">
      <alignment horizontal="center" vertical="center"/>
    </xf>
    <xf numFmtId="49" fontId="197" fillId="0" borderId="22" xfId="0" applyNumberFormat="1" applyFont="1" applyBorder="1" applyAlignment="1">
      <alignment horizontal="center" vertical="center" wrapText="1"/>
    </xf>
    <xf numFmtId="49" fontId="197" fillId="0" borderId="0" xfId="0" applyNumberFormat="1" applyFont="1" applyAlignment="1">
      <alignment horizontal="center" vertical="center"/>
    </xf>
    <xf numFmtId="0" fontId="196" fillId="0" borderId="0" xfId="0" applyFont="1"/>
    <xf numFmtId="1" fontId="197" fillId="20" borderId="42" xfId="1" applyNumberFormat="1" applyFont="1" applyFill="1" applyBorder="1" applyAlignment="1">
      <alignment horizontal="center" vertical="center"/>
    </xf>
    <xf numFmtId="1" fontId="197" fillId="0" borderId="0" xfId="1" applyNumberFormat="1" applyFont="1" applyFill="1" applyBorder="1" applyAlignment="1">
      <alignment horizontal="center" vertical="center"/>
    </xf>
    <xf numFmtId="0" fontId="198" fillId="0" borderId="22" xfId="0" applyFont="1" applyBorder="1"/>
    <xf numFmtId="0" fontId="198" fillId="0" borderId="50" xfId="0" applyFont="1" applyBorder="1"/>
    <xf numFmtId="0" fontId="198" fillId="0" borderId="0" xfId="0" applyFont="1"/>
    <xf numFmtId="0" fontId="196" fillId="3" borderId="58" xfId="0" applyFont="1" applyFill="1" applyBorder="1" applyAlignment="1">
      <alignment horizontal="left" vertical="center"/>
    </xf>
    <xf numFmtId="0" fontId="198" fillId="0" borderId="47" xfId="0" applyFont="1" applyBorder="1"/>
    <xf numFmtId="0" fontId="196" fillId="3" borderId="0" xfId="24" applyFont="1" applyFill="1" applyAlignment="1">
      <alignment vertical="center" wrapText="1"/>
    </xf>
    <xf numFmtId="0" fontId="197" fillId="3" borderId="0" xfId="0" applyFont="1" applyFill="1"/>
    <xf numFmtId="0" fontId="197" fillId="3" borderId="0" xfId="0" applyFont="1" applyFill="1" applyAlignment="1">
      <alignment horizontal="center"/>
    </xf>
    <xf numFmtId="0" fontId="197" fillId="3" borderId="35" xfId="0" applyFont="1" applyFill="1" applyBorder="1" applyAlignment="1">
      <alignment horizontal="center"/>
    </xf>
    <xf numFmtId="0" fontId="197" fillId="3" borderId="0" xfId="0" applyFont="1" applyFill="1" applyAlignment="1">
      <alignment horizontal="center" vertical="center"/>
    </xf>
    <xf numFmtId="0" fontId="197" fillId="3" borderId="35" xfId="0" applyFont="1" applyFill="1" applyBorder="1" applyAlignment="1">
      <alignment horizontal="left"/>
    </xf>
    <xf numFmtId="0" fontId="196" fillId="3" borderId="0" xfId="24" applyFont="1" applyFill="1" applyAlignment="1">
      <alignment horizontal="left" vertical="center"/>
    </xf>
    <xf numFmtId="0" fontId="196" fillId="3" borderId="32" xfId="24" applyFont="1" applyFill="1" applyBorder="1" applyAlignment="1">
      <alignment vertical="center" wrapText="1"/>
    </xf>
    <xf numFmtId="0" fontId="197" fillId="3" borderId="32" xfId="0" applyFont="1" applyFill="1" applyBorder="1" applyAlignment="1">
      <alignment horizontal="center"/>
    </xf>
    <xf numFmtId="0" fontId="198" fillId="0" borderId="43" xfId="0" applyFont="1" applyBorder="1"/>
    <xf numFmtId="49" fontId="196" fillId="0" borderId="0" xfId="0" applyNumberFormat="1" applyFont="1" applyAlignment="1">
      <alignment horizontal="center" vertical="center" wrapText="1"/>
    </xf>
    <xf numFmtId="49" fontId="196" fillId="0" borderId="0" xfId="0" quotePrefix="1" applyNumberFormat="1" applyFont="1" applyAlignment="1">
      <alignment horizontal="center" vertical="center" wrapText="1"/>
    </xf>
    <xf numFmtId="0" fontId="199" fillId="0" borderId="2" xfId="0" applyFont="1" applyBorder="1" applyAlignment="1">
      <alignment horizontal="center" vertical="center"/>
    </xf>
    <xf numFmtId="0" fontId="199" fillId="0" borderId="14" xfId="0" applyFont="1" applyBorder="1" applyAlignment="1">
      <alignment horizontal="center" vertical="center"/>
    </xf>
    <xf numFmtId="0" fontId="197" fillId="0" borderId="0" xfId="0" applyFont="1" applyAlignment="1">
      <alignment horizontal="center" vertical="center"/>
    </xf>
    <xf numFmtId="0" fontId="197" fillId="0" borderId="0" xfId="0" applyFont="1"/>
    <xf numFmtId="0" fontId="199" fillId="0" borderId="20" xfId="0" applyFont="1" applyBorder="1" applyAlignment="1">
      <alignment horizontal="center" vertical="center"/>
    </xf>
    <xf numFmtId="0" fontId="199" fillId="0" borderId="0" xfId="0" applyFont="1" applyAlignment="1">
      <alignment horizontal="center" vertical="center"/>
    </xf>
    <xf numFmtId="0" fontId="199" fillId="0" borderId="47" xfId="0" applyFont="1" applyBorder="1" applyAlignment="1">
      <alignment horizontal="center" vertical="center"/>
    </xf>
    <xf numFmtId="0" fontId="196" fillId="0" borderId="0" xfId="0" applyFont="1" applyAlignment="1">
      <alignment horizontal="center"/>
    </xf>
    <xf numFmtId="0" fontId="197" fillId="15" borderId="42" xfId="0" applyFont="1" applyFill="1" applyBorder="1" applyAlignment="1">
      <alignment horizontal="center" vertical="center"/>
    </xf>
    <xf numFmtId="0" fontId="197" fillId="0" borderId="42" xfId="0" applyFont="1" applyBorder="1" applyAlignment="1">
      <alignment horizontal="center" vertical="center"/>
    </xf>
    <xf numFmtId="1" fontId="196" fillId="0" borderId="0" xfId="0" quotePrefix="1" applyNumberFormat="1" applyFont="1" applyAlignment="1">
      <alignment horizontal="center" vertical="center" wrapText="1"/>
    </xf>
    <xf numFmtId="0" fontId="196" fillId="0" borderId="0" xfId="0" applyFont="1" applyAlignment="1">
      <alignment vertical="center"/>
    </xf>
    <xf numFmtId="1" fontId="196" fillId="0" borderId="0" xfId="0" applyNumberFormat="1" applyFont="1" applyAlignment="1">
      <alignment horizontal="center"/>
    </xf>
    <xf numFmtId="0" fontId="199" fillId="0" borderId="0" xfId="0" applyFont="1"/>
    <xf numFmtId="0" fontId="197" fillId="0" borderId="0" xfId="0" applyFont="1" applyAlignment="1">
      <alignment horizontal="center"/>
    </xf>
    <xf numFmtId="0" fontId="198" fillId="0" borderId="44" xfId="0" applyFont="1" applyBorder="1"/>
    <xf numFmtId="0" fontId="199" fillId="0" borderId="45" xfId="0" applyFont="1" applyBorder="1"/>
    <xf numFmtId="0" fontId="197" fillId="0" borderId="45" xfId="0" applyFont="1" applyBorder="1"/>
    <xf numFmtId="0" fontId="198" fillId="0" borderId="45" xfId="0" applyFont="1" applyBorder="1"/>
    <xf numFmtId="0" fontId="199" fillId="0" borderId="64" xfId="0" applyFont="1" applyBorder="1" applyAlignment="1">
      <alignment horizontal="center" vertical="center"/>
    </xf>
    <xf numFmtId="0" fontId="199" fillId="0" borderId="45" xfId="0" applyFont="1" applyBorder="1" applyAlignment="1">
      <alignment horizontal="center" vertical="center"/>
    </xf>
    <xf numFmtId="0" fontId="199" fillId="0" borderId="48" xfId="0" applyFont="1" applyBorder="1" applyAlignment="1">
      <alignment horizontal="center" vertical="center"/>
    </xf>
    <xf numFmtId="0" fontId="198" fillId="0" borderId="49" xfId="0" applyFont="1" applyBorder="1"/>
    <xf numFmtId="49" fontId="196" fillId="0" borderId="22" xfId="0" applyNumberFormat="1" applyFont="1" applyBorder="1" applyAlignment="1">
      <alignment horizontal="center" vertical="center" wrapText="1"/>
    </xf>
    <xf numFmtId="0" fontId="197" fillId="0" borderId="22" xfId="0" applyFont="1" applyBorder="1"/>
    <xf numFmtId="0" fontId="199" fillId="0" borderId="21" xfId="0" applyFont="1" applyBorder="1" applyAlignment="1">
      <alignment horizontal="center" vertical="center"/>
    </xf>
    <xf numFmtId="0" fontId="199" fillId="0" borderId="22" xfId="0" applyFont="1" applyBorder="1" applyAlignment="1">
      <alignment horizontal="center" vertical="center"/>
    </xf>
    <xf numFmtId="0" fontId="199" fillId="0" borderId="50" xfId="0" applyFont="1" applyBorder="1" applyAlignment="1">
      <alignment horizontal="center" vertical="center"/>
    </xf>
    <xf numFmtId="0" fontId="196" fillId="0" borderId="0" xfId="0" applyFont="1" applyAlignment="1">
      <alignment horizontal="center" vertical="center"/>
    </xf>
    <xf numFmtId="0" fontId="196" fillId="0" borderId="0" xfId="0" applyFont="1" applyAlignment="1">
      <alignment horizontal="right"/>
    </xf>
    <xf numFmtId="1" fontId="196" fillId="0" borderId="0" xfId="0" applyNumberFormat="1" applyFont="1" applyAlignment="1">
      <alignment horizontal="left"/>
    </xf>
    <xf numFmtId="49" fontId="196" fillId="0" borderId="0" xfId="0" applyNumberFormat="1" applyFont="1" applyAlignment="1">
      <alignment horizontal="center" vertical="center"/>
    </xf>
    <xf numFmtId="0" fontId="196" fillId="0" borderId="0" xfId="0" applyFont="1" applyAlignment="1">
      <alignment horizontal="left"/>
    </xf>
    <xf numFmtId="0" fontId="199" fillId="0" borderId="0" xfId="0" applyFont="1" applyAlignment="1">
      <alignment horizontal="center"/>
    </xf>
    <xf numFmtId="0" fontId="196" fillId="0" borderId="0" xfId="16" applyFont="1" applyAlignment="1">
      <alignment horizontal="center" vertical="center"/>
    </xf>
    <xf numFmtId="0" fontId="200" fillId="0" borderId="0" xfId="0" applyFont="1"/>
    <xf numFmtId="0" fontId="199" fillId="0" borderId="23" xfId="0" applyFont="1" applyBorder="1" applyAlignment="1">
      <alignment horizontal="center" vertical="center"/>
    </xf>
    <xf numFmtId="0" fontId="198" fillId="0" borderId="20" xfId="0" applyFont="1" applyBorder="1"/>
    <xf numFmtId="0" fontId="19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19" fillId="0" borderId="0" xfId="0" applyFont="1" applyAlignment="1">
      <alignment horizontal="left" vertical="top"/>
    </xf>
    <xf numFmtId="0" fontId="125" fillId="0" borderId="2" xfId="0" applyFont="1" applyBorder="1" applyAlignment="1">
      <alignment horizontal="left" vertical="top"/>
    </xf>
    <xf numFmtId="0" fontId="120" fillId="0" borderId="2" xfId="0" applyFont="1" applyBorder="1" applyAlignment="1">
      <alignment horizontal="left" vertical="top"/>
    </xf>
    <xf numFmtId="0" fontId="124" fillId="0" borderId="2" xfId="0" applyFont="1" applyBorder="1" applyAlignment="1">
      <alignment horizontal="left" vertical="top"/>
    </xf>
    <xf numFmtId="0" fontId="123" fillId="0" borderId="2" xfId="0" applyFont="1" applyBorder="1" applyAlignment="1">
      <alignment horizontal="left" vertical="top"/>
    </xf>
    <xf numFmtId="14" fontId="169" fillId="20" borderId="2" xfId="0" applyNumberFormat="1" applyFont="1" applyFill="1" applyBorder="1" applyAlignment="1">
      <alignment horizontal="center" vertical="center"/>
    </xf>
    <xf numFmtId="0" fontId="117" fillId="0" borderId="2" xfId="0" applyFont="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left" vertical="top"/>
    </xf>
    <xf numFmtId="0" fontId="114" fillId="0" borderId="2" xfId="0" applyFont="1" applyBorder="1" applyAlignment="1">
      <alignment horizontal="center"/>
    </xf>
    <xf numFmtId="0" fontId="135" fillId="0" borderId="0" xfId="0" applyFont="1" applyAlignment="1">
      <alignment horizontal="left" vertical="center" wrapText="1"/>
    </xf>
    <xf numFmtId="0" fontId="113" fillId="0" borderId="2" xfId="0" applyFont="1" applyBorder="1" applyAlignment="1">
      <alignment horizontal="center" vertical="center"/>
    </xf>
    <xf numFmtId="0" fontId="112" fillId="0" borderId="2" xfId="0" applyFont="1" applyBorder="1" applyAlignment="1">
      <alignment horizontal="center"/>
    </xf>
    <xf numFmtId="174" fontId="0" fillId="0" borderId="2" xfId="0" applyNumberFormat="1" applyBorder="1" applyAlignment="1">
      <alignment horizontal="left" vertical="top"/>
    </xf>
    <xf numFmtId="14" fontId="111" fillId="0" borderId="2" xfId="0" applyNumberFormat="1" applyFont="1" applyBorder="1"/>
    <xf numFmtId="0" fontId="14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0" fillId="20" borderId="2" xfId="0" applyFont="1" applyFill="1" applyBorder="1" applyAlignment="1">
      <alignment horizontal="left" vertical="top"/>
    </xf>
    <xf numFmtId="14" fontId="108" fillId="0" borderId="2" xfId="0" applyNumberFormat="1" applyFont="1" applyBorder="1" applyAlignment="1">
      <alignment wrapText="1"/>
    </xf>
    <xf numFmtId="0" fontId="108" fillId="0" borderId="2" xfId="0" applyFont="1" applyBorder="1" applyAlignment="1">
      <alignment horizontal="left" vertical="top"/>
    </xf>
    <xf numFmtId="14" fontId="108" fillId="0" borderId="2" xfId="0" applyNumberFormat="1" applyFont="1" applyBorder="1"/>
    <xf numFmtId="0" fontId="107" fillId="0" borderId="2" xfId="0" applyFont="1" applyBorder="1" applyAlignment="1">
      <alignment horizontal="left" vertical="top"/>
    </xf>
    <xf numFmtId="0" fontId="106" fillId="0" borderId="2" xfId="0" applyFont="1" applyBorder="1" applyAlignment="1">
      <alignment horizontal="center"/>
    </xf>
    <xf numFmtId="0" fontId="0" fillId="0" borderId="2" xfId="0" applyBorder="1" applyAlignment="1">
      <alignment vertical="center"/>
    </xf>
    <xf numFmtId="0" fontId="168" fillId="0" borderId="2" xfId="0" applyFont="1" applyBorder="1" applyAlignment="1">
      <alignment vertical="center" wrapText="1"/>
    </xf>
    <xf numFmtId="0" fontId="168" fillId="0" borderId="3" xfId="0" applyFont="1" applyBorder="1" applyAlignment="1">
      <alignment vertical="center" wrapText="1"/>
    </xf>
    <xf numFmtId="172" fontId="168" fillId="0" borderId="3" xfId="0" applyNumberFormat="1" applyFont="1" applyBorder="1" applyAlignment="1">
      <alignment vertical="center" wrapText="1"/>
    </xf>
    <xf numFmtId="0" fontId="172" fillId="0" borderId="2" xfId="0" applyFont="1" applyBorder="1" applyAlignment="1">
      <alignment vertical="center" wrapText="1"/>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69" fillId="0" borderId="2" xfId="0" applyFont="1" applyBorder="1" applyAlignment="1">
      <alignment vertical="center"/>
    </xf>
    <xf numFmtId="0" fontId="167" fillId="0" borderId="2" xfId="0" applyFont="1" applyBorder="1" applyAlignment="1">
      <alignment vertical="center"/>
    </xf>
    <xf numFmtId="0" fontId="167" fillId="0" borderId="3" xfId="0" applyFont="1" applyBorder="1" applyAlignment="1">
      <alignment vertical="center"/>
    </xf>
    <xf numFmtId="0" fontId="169" fillId="0" borderId="3" xfId="0" applyFont="1" applyBorder="1"/>
    <xf numFmtId="14" fontId="169" fillId="0" borderId="2" xfId="0" applyNumberFormat="1" applyFont="1" applyBorder="1"/>
    <xf numFmtId="0" fontId="122" fillId="9" borderId="2" xfId="0" applyFont="1" applyFill="1" applyBorder="1" applyAlignment="1">
      <alignment horizontal="left" vertical="top"/>
    </xf>
    <xf numFmtId="0" fontId="105" fillId="0" borderId="2" xfId="0" applyFont="1" applyBorder="1"/>
    <xf numFmtId="0" fontId="105" fillId="0" borderId="2" xfId="0" applyFont="1" applyBorder="1" applyAlignment="1">
      <alignment horizontal="center"/>
    </xf>
    <xf numFmtId="0" fontId="169" fillId="0" borderId="2" xfId="0" applyFont="1" applyBorder="1" applyAlignment="1">
      <alignment horizontal="left"/>
    </xf>
    <xf numFmtId="0" fontId="105" fillId="9" borderId="2" xfId="0" applyFont="1" applyFill="1" applyBorder="1" applyAlignment="1">
      <alignment horizontal="left" vertical="top"/>
    </xf>
    <xf numFmtId="0" fontId="105" fillId="0" borderId="2" xfId="0" applyFont="1" applyBorder="1" applyAlignment="1">
      <alignment horizontal="left" vertical="top"/>
    </xf>
    <xf numFmtId="14" fontId="105"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0" fontId="104" fillId="0" borderId="2" xfId="0" applyFont="1" applyBorder="1" applyAlignment="1">
      <alignment horizontal="left" vertical="top"/>
    </xf>
    <xf numFmtId="0" fontId="173" fillId="0" borderId="2" xfId="0" applyFont="1" applyBorder="1" applyAlignment="1">
      <alignment horizontal="left" vertical="center"/>
    </xf>
    <xf numFmtId="0" fontId="172" fillId="0" borderId="2" xfId="0" applyFont="1" applyBorder="1" applyAlignment="1">
      <alignment horizontal="center" vertical="center"/>
    </xf>
    <xf numFmtId="0" fontId="196" fillId="20" borderId="0" xfId="0" applyFont="1" applyFill="1"/>
    <xf numFmtId="0" fontId="103" fillId="0" borderId="2" xfId="0" applyFont="1" applyBorder="1"/>
    <xf numFmtId="0" fontId="199" fillId="9" borderId="0" xfId="0" applyFont="1" applyFill="1"/>
    <xf numFmtId="0" fontId="199" fillId="20" borderId="0" xfId="0" applyFont="1" applyFill="1"/>
    <xf numFmtId="1" fontId="204" fillId="0" borderId="42" xfId="1" applyNumberFormat="1" applyFont="1" applyFill="1" applyBorder="1" applyAlignment="1">
      <alignment horizontal="center" vertical="center"/>
    </xf>
    <xf numFmtId="0" fontId="102" fillId="0" borderId="2" xfId="0" applyFont="1" applyBorder="1" applyAlignment="1">
      <alignment horizontal="center"/>
    </xf>
    <xf numFmtId="1" fontId="205" fillId="0" borderId="42" xfId="1" applyNumberFormat="1" applyFont="1" applyFill="1" applyBorder="1" applyAlignment="1">
      <alignment horizontal="center" vertical="center"/>
    </xf>
    <xf numFmtId="0" fontId="101" fillId="0" borderId="2" xfId="0" applyFont="1" applyBorder="1" applyAlignment="1">
      <alignment horizontal="center"/>
    </xf>
    <xf numFmtId="0" fontId="100" fillId="0" borderId="2" xfId="0" applyFont="1" applyBorder="1" applyAlignment="1">
      <alignment horizontal="center"/>
    </xf>
    <xf numFmtId="0" fontId="172" fillId="20" borderId="2" xfId="0" applyFont="1" applyFill="1" applyBorder="1"/>
    <xf numFmtId="0" fontId="99" fillId="0" borderId="2" xfId="0" applyFont="1" applyBorder="1" applyAlignment="1">
      <alignment horizontal="center"/>
    </xf>
    <xf numFmtId="0" fontId="98" fillId="0" borderId="2" xfId="0" applyFont="1" applyBorder="1" applyAlignment="1">
      <alignment horizontal="center"/>
    </xf>
    <xf numFmtId="0" fontId="206" fillId="0" borderId="42" xfId="0" applyFont="1" applyBorder="1" applyAlignment="1">
      <alignment horizontal="center" vertical="center"/>
    </xf>
    <xf numFmtId="0" fontId="172" fillId="20" borderId="2" xfId="0" applyFont="1" applyFill="1" applyBorder="1" applyAlignment="1">
      <alignment horizontal="center" vertical="center"/>
    </xf>
    <xf numFmtId="14" fontId="172" fillId="0" borderId="2" xfId="0" applyNumberFormat="1" applyFont="1" applyBorder="1" applyAlignment="1">
      <alignment horizontal="center" vertical="center"/>
    </xf>
    <xf numFmtId="0" fontId="172" fillId="20" borderId="2" xfId="0" applyFont="1" applyFill="1" applyBorder="1" applyAlignment="1">
      <alignment horizontal="left" vertical="center" wrapText="1"/>
    </xf>
    <xf numFmtId="0" fontId="172" fillId="9" borderId="2" xfId="0" applyFont="1" applyFill="1" applyBorder="1" applyAlignment="1">
      <alignment horizontal="left" vertical="center" wrapText="1"/>
    </xf>
    <xf numFmtId="0" fontId="0" fillId="0" borderId="2" xfId="0" applyBorder="1" applyAlignment="1">
      <alignment horizontal="left" wrapText="1"/>
    </xf>
    <xf numFmtId="0" fontId="172" fillId="20" borderId="46" xfId="0" applyFont="1" applyFill="1" applyBorder="1" applyAlignment="1">
      <alignment horizontal="left" vertical="center" wrapText="1"/>
    </xf>
    <xf numFmtId="0" fontId="13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68" fillId="0" borderId="2" xfId="0" applyFont="1" applyBorder="1" applyAlignment="1">
      <alignment horizontal="center" vertical="center"/>
    </xf>
    <xf numFmtId="0" fontId="196" fillId="9" borderId="0" xfId="0" applyFont="1" applyFill="1"/>
    <xf numFmtId="0" fontId="198" fillId="9" borderId="0" xfId="0" applyFont="1" applyFill="1"/>
    <xf numFmtId="0" fontId="197" fillId="9" borderId="0" xfId="0" applyFont="1" applyFill="1"/>
    <xf numFmtId="0" fontId="97" fillId="0" borderId="2" xfId="0" applyFont="1" applyBorder="1" applyAlignment="1">
      <alignment horizontal="center"/>
    </xf>
    <xf numFmtId="0" fontId="168" fillId="9" borderId="2" xfId="0" applyFont="1" applyFill="1" applyBorder="1" applyAlignment="1">
      <alignment horizontal="center" vertical="center"/>
    </xf>
    <xf numFmtId="0" fontId="0" fillId="0" borderId="0" xfId="0" applyAlignment="1">
      <alignment horizontal="left"/>
    </xf>
    <xf numFmtId="0" fontId="172" fillId="12" borderId="2" xfId="0" applyFont="1" applyFill="1" applyBorder="1" applyAlignment="1">
      <alignment horizontal="center" vertical="center"/>
    </xf>
    <xf numFmtId="0" fontId="130" fillId="12" borderId="2" xfId="0" applyFont="1" applyFill="1" applyBorder="1" applyAlignment="1">
      <alignment horizontal="center" vertical="center"/>
    </xf>
    <xf numFmtId="0" fontId="168" fillId="0" borderId="28" xfId="0" applyFont="1" applyBorder="1" applyAlignment="1">
      <alignment horizontal="left" vertical="center"/>
    </xf>
    <xf numFmtId="0" fontId="142" fillId="0" borderId="2" xfId="0" applyFont="1" applyBorder="1" applyAlignment="1">
      <alignment horizontal="center" vertical="top"/>
    </xf>
    <xf numFmtId="0" fontId="209" fillId="25" borderId="42" xfId="0" applyFont="1" applyFill="1" applyBorder="1" applyAlignment="1">
      <alignment horizontal="center" vertical="center" wrapText="1"/>
    </xf>
    <xf numFmtId="0" fontId="209" fillId="25" borderId="53" xfId="0" applyFont="1" applyFill="1" applyBorder="1" applyAlignment="1">
      <alignment horizontal="center" vertical="center" wrapText="1"/>
    </xf>
    <xf numFmtId="0" fontId="210" fillId="25" borderId="65" xfId="0" applyFont="1" applyFill="1" applyBorder="1" applyAlignment="1">
      <alignment horizontal="center" vertical="center" wrapText="1"/>
    </xf>
    <xf numFmtId="0" fontId="210" fillId="25" borderId="48" xfId="0" applyFont="1" applyFill="1" applyBorder="1" applyAlignment="1">
      <alignment vertical="center" wrapText="1"/>
    </xf>
    <xf numFmtId="0" fontId="210" fillId="25" borderId="48" xfId="0" applyFont="1" applyFill="1" applyBorder="1" applyAlignment="1">
      <alignment horizontal="center" vertical="center" wrapText="1"/>
    </xf>
    <xf numFmtId="0" fontId="211" fillId="25" borderId="48" xfId="0" applyFont="1" applyFill="1" applyBorder="1" applyAlignment="1">
      <alignment horizontal="center" vertical="center" wrapText="1"/>
    </xf>
    <xf numFmtId="0" fontId="203" fillId="25" borderId="48" xfId="0" applyFont="1" applyFill="1" applyBorder="1" applyAlignment="1">
      <alignment vertical="center" wrapText="1"/>
    </xf>
    <xf numFmtId="14" fontId="210" fillId="25" borderId="48" xfId="0" applyNumberFormat="1" applyFont="1" applyFill="1" applyBorder="1" applyAlignment="1">
      <alignment horizontal="center" vertical="center" wrapText="1"/>
    </xf>
    <xf numFmtId="0" fontId="208" fillId="25" borderId="0" xfId="0" applyFont="1" applyFill="1" applyAlignment="1">
      <alignment wrapText="1"/>
    </xf>
    <xf numFmtId="0" fontId="210" fillId="25" borderId="67" xfId="0" applyFont="1" applyFill="1" applyBorder="1" applyAlignment="1">
      <alignment vertical="center" wrapText="1"/>
    </xf>
    <xf numFmtId="0" fontId="203" fillId="9" borderId="0" xfId="0" applyFont="1" applyFill="1" applyAlignment="1">
      <alignment horizontal="right" vertical="center" wrapText="1"/>
    </xf>
    <xf numFmtId="0" fontId="213" fillId="25" borderId="42" xfId="0" applyFont="1" applyFill="1" applyBorder="1" applyAlignment="1">
      <alignment horizontal="center" vertical="center" wrapText="1"/>
    </xf>
    <xf numFmtId="0" fontId="213" fillId="25" borderId="53" xfId="0" applyFont="1" applyFill="1" applyBorder="1" applyAlignment="1">
      <alignment horizontal="center" vertical="center" wrapText="1"/>
    </xf>
    <xf numFmtId="0" fontId="213" fillId="9" borderId="53" xfId="0" applyFont="1" applyFill="1" applyBorder="1" applyAlignment="1">
      <alignment horizontal="center" vertical="center" wrapText="1"/>
    </xf>
    <xf numFmtId="0" fontId="203" fillId="25" borderId="65" xfId="0" applyFont="1" applyFill="1" applyBorder="1" applyAlignment="1">
      <alignment horizontal="center" vertical="center" wrapText="1"/>
    </xf>
    <xf numFmtId="0" fontId="209" fillId="25" borderId="48" xfId="0" applyFont="1" applyFill="1" applyBorder="1" applyAlignment="1">
      <alignment vertical="center" wrapText="1"/>
    </xf>
    <xf numFmtId="0" fontId="203" fillId="25" borderId="48" xfId="0" applyFont="1" applyFill="1" applyBorder="1" applyAlignment="1">
      <alignment horizontal="center" vertical="center" wrapText="1"/>
    </xf>
    <xf numFmtId="15" fontId="203" fillId="25" borderId="48" xfId="0" applyNumberFormat="1" applyFont="1" applyFill="1" applyBorder="1" applyAlignment="1">
      <alignment horizontal="center" vertical="center" wrapText="1"/>
    </xf>
    <xf numFmtId="0" fontId="203" fillId="20" borderId="65" xfId="0" applyFont="1" applyFill="1" applyBorder="1" applyAlignment="1">
      <alignment horizontal="center" vertical="center" wrapText="1"/>
    </xf>
    <xf numFmtId="0" fontId="203" fillId="20" borderId="48" xfId="0" applyFont="1" applyFill="1" applyBorder="1" applyAlignment="1">
      <alignment vertical="center" wrapText="1"/>
    </xf>
    <xf numFmtId="15" fontId="203" fillId="20" borderId="48" xfId="0" applyNumberFormat="1" applyFont="1" applyFill="1" applyBorder="1" applyAlignment="1">
      <alignment horizontal="center" vertical="center" wrapText="1"/>
    </xf>
    <xf numFmtId="0" fontId="203" fillId="20" borderId="48" xfId="0" applyFont="1" applyFill="1" applyBorder="1" applyAlignment="1">
      <alignment horizontal="center" vertical="center" wrapText="1"/>
    </xf>
    <xf numFmtId="0" fontId="172" fillId="28" borderId="2" xfId="0" applyFont="1" applyFill="1" applyBorder="1" applyAlignment="1">
      <alignment horizontal="center" vertical="center"/>
    </xf>
    <xf numFmtId="0" fontId="0" fillId="20" borderId="2" xfId="0" applyFill="1" applyBorder="1" applyAlignment="1">
      <alignment horizontal="center"/>
    </xf>
    <xf numFmtId="0" fontId="103" fillId="20" borderId="2" xfId="0" applyFont="1" applyFill="1" applyBorder="1" applyAlignment="1">
      <alignment horizontal="center"/>
    </xf>
    <xf numFmtId="0" fontId="105" fillId="20" borderId="2" xfId="0" applyFont="1" applyFill="1" applyBorder="1" applyAlignment="1">
      <alignment horizontal="center"/>
    </xf>
    <xf numFmtId="0" fontId="96" fillId="0" borderId="2" xfId="0" applyFont="1" applyBorder="1" applyAlignment="1">
      <alignment horizontal="center"/>
    </xf>
    <xf numFmtId="0" fontId="169" fillId="0" borderId="2" xfId="0" applyFont="1" applyBorder="1" applyAlignment="1">
      <alignment horizontal="left" vertical="center"/>
    </xf>
    <xf numFmtId="0" fontId="172" fillId="20" borderId="2" xfId="0" applyFont="1" applyFill="1" applyBorder="1" applyAlignment="1">
      <alignment horizontal="left" vertical="center"/>
    </xf>
    <xf numFmtId="1" fontId="129" fillId="3" borderId="5" xfId="0" applyNumberFormat="1" applyFont="1" applyFill="1" applyBorder="1" applyAlignment="1">
      <alignment horizontal="center" vertical="center" wrapText="1"/>
    </xf>
    <xf numFmtId="2" fontId="129" fillId="3" borderId="0" xfId="0" applyNumberFormat="1" applyFont="1" applyFill="1" applyAlignment="1">
      <alignment horizontal="left" vertical="center" wrapText="1"/>
    </xf>
    <xf numFmtId="167" fontId="129" fillId="3" borderId="0" xfId="0" applyNumberFormat="1" applyFont="1" applyFill="1" applyAlignment="1">
      <alignment horizontal="center" vertical="center" wrapText="1"/>
    </xf>
    <xf numFmtId="1" fontId="129" fillId="3" borderId="0" xfId="0" applyNumberFormat="1" applyFont="1" applyFill="1" applyAlignment="1">
      <alignment horizontal="center" vertical="center" wrapText="1"/>
    </xf>
    <xf numFmtId="2" fontId="129" fillId="3" borderId="0" xfId="0" applyNumberFormat="1" applyFont="1" applyFill="1" applyAlignment="1">
      <alignment horizontal="center" vertical="center" wrapText="1"/>
    </xf>
    <xf numFmtId="0" fontId="129" fillId="3" borderId="0" xfId="0" applyFont="1" applyFill="1" applyAlignment="1">
      <alignment horizontal="center" vertical="center" wrapText="1"/>
    </xf>
    <xf numFmtId="0" fontId="129" fillId="3" borderId="0" xfId="0" applyFont="1" applyFill="1" applyAlignment="1">
      <alignment horizontal="right" vertical="top" wrapText="1"/>
    </xf>
    <xf numFmtId="0" fontId="129" fillId="3" borderId="0" xfId="0" applyFont="1" applyFill="1" applyAlignment="1">
      <alignment horizontal="center" vertical="top" wrapText="1"/>
    </xf>
    <xf numFmtId="0" fontId="129" fillId="3" borderId="0" xfId="0" applyFont="1" applyFill="1" applyAlignment="1">
      <alignment horizontal="center" vertical="top"/>
    </xf>
    <xf numFmtId="0" fontId="169" fillId="0" borderId="2" xfId="0" applyFont="1" applyBorder="1" applyAlignment="1">
      <alignment horizontal="left" vertical="top"/>
    </xf>
    <xf numFmtId="0" fontId="168" fillId="0" borderId="3" xfId="0" applyFont="1" applyBorder="1" applyAlignment="1">
      <alignment horizontal="center" vertical="top" wrapText="1"/>
    </xf>
    <xf numFmtId="0" fontId="168" fillId="0" borderId="2" xfId="0" applyFont="1" applyBorder="1" applyAlignment="1">
      <alignment horizontal="center" vertical="top" wrapText="1"/>
    </xf>
    <xf numFmtId="0" fontId="142" fillId="0" borderId="2" xfId="0" applyFont="1" applyBorder="1" applyAlignment="1">
      <alignment vertical="top"/>
    </xf>
    <xf numFmtId="0" fontId="95" fillId="0" borderId="2" xfId="0" applyFont="1" applyBorder="1" applyAlignment="1">
      <alignment horizontal="center"/>
    </xf>
    <xf numFmtId="0" fontId="169" fillId="3" borderId="2" xfId="0" applyFont="1" applyFill="1" applyBorder="1" applyAlignment="1">
      <alignment vertical="center"/>
    </xf>
    <xf numFmtId="0" fontId="169" fillId="3" borderId="2" xfId="0" applyFont="1" applyFill="1" applyBorder="1"/>
    <xf numFmtId="0" fontId="169" fillId="3" borderId="2" xfId="0" applyFont="1" applyFill="1" applyBorder="1" applyAlignment="1">
      <alignment horizontal="left"/>
    </xf>
    <xf numFmtId="0" fontId="169" fillId="3" borderId="2" xfId="0" applyFont="1" applyFill="1" applyBorder="1" applyAlignment="1">
      <alignment horizontal="left" vertical="center"/>
    </xf>
    <xf numFmtId="14" fontId="169" fillId="3" borderId="2" xfId="0" applyNumberFormat="1" applyFont="1" applyFill="1" applyBorder="1"/>
    <xf numFmtId="14" fontId="169" fillId="3" borderId="2" xfId="0" applyNumberFormat="1" applyFont="1" applyFill="1" applyBorder="1" applyAlignment="1">
      <alignment horizontal="right"/>
    </xf>
    <xf numFmtId="0" fontId="169" fillId="3" borderId="2" xfId="0" applyFont="1" applyFill="1" applyBorder="1" applyAlignment="1">
      <alignment horizontal="center"/>
    </xf>
    <xf numFmtId="0" fontId="169" fillId="3" borderId="2" xfId="0" applyFont="1" applyFill="1" applyBorder="1" applyAlignment="1">
      <alignment horizontal="center" vertical="center"/>
    </xf>
    <xf numFmtId="14" fontId="169" fillId="3" borderId="2" xfId="0" applyNumberFormat="1" applyFont="1" applyFill="1" applyBorder="1" applyAlignment="1">
      <alignment vertical="center"/>
    </xf>
    <xf numFmtId="0" fontId="172" fillId="0" borderId="2" xfId="0" applyFont="1" applyBorder="1" applyAlignment="1">
      <alignment horizontal="left" vertical="center" wrapText="1"/>
    </xf>
    <xf numFmtId="0" fontId="169" fillId="9" borderId="2" xfId="0" applyFont="1" applyFill="1" applyBorder="1" applyAlignment="1">
      <alignment horizontal="left" vertical="top"/>
    </xf>
    <xf numFmtId="0" fontId="169" fillId="9" borderId="2" xfId="0" applyFont="1" applyFill="1" applyBorder="1" applyAlignment="1">
      <alignment horizontal="left"/>
    </xf>
    <xf numFmtId="0" fontId="169" fillId="9" borderId="2" xfId="0" applyFont="1" applyFill="1" applyBorder="1" applyAlignment="1">
      <alignment vertical="top"/>
    </xf>
    <xf numFmtId="14" fontId="169" fillId="0" borderId="2" xfId="0" applyNumberFormat="1" applyFont="1" applyBorder="1" applyAlignment="1">
      <alignment vertical="center"/>
    </xf>
    <xf numFmtId="14" fontId="169" fillId="0" borderId="2" xfId="0" applyNumberFormat="1" applyFont="1" applyBorder="1" applyAlignment="1">
      <alignment vertical="top"/>
    </xf>
    <xf numFmtId="0" fontId="169" fillId="0" borderId="2" xfId="0" applyFont="1" applyBorder="1" applyAlignment="1">
      <alignment vertical="top"/>
    </xf>
    <xf numFmtId="14" fontId="169" fillId="0" borderId="2" xfId="0" applyNumberFormat="1" applyFont="1" applyBorder="1" applyAlignment="1">
      <alignment horizontal="right" vertical="center"/>
    </xf>
    <xf numFmtId="0" fontId="169" fillId="0" borderId="3" xfId="0" applyFont="1" applyBorder="1" applyAlignment="1">
      <alignment horizontal="left" vertical="center"/>
    </xf>
    <xf numFmtId="14" fontId="169" fillId="0" borderId="3" xfId="0" applyNumberFormat="1" applyFont="1" applyBorder="1" applyAlignment="1">
      <alignment horizontal="right" vertical="center"/>
    </xf>
    <xf numFmtId="14" fontId="169" fillId="0" borderId="2" xfId="0" applyNumberFormat="1" applyFont="1" applyBorder="1" applyAlignment="1">
      <alignment horizontal="right"/>
    </xf>
    <xf numFmtId="0" fontId="215" fillId="3" borderId="0" xfId="24" applyFont="1" applyFill="1" applyAlignment="1">
      <alignment vertical="center" wrapText="1"/>
    </xf>
    <xf numFmtId="0" fontId="215" fillId="3" borderId="0" xfId="0" applyFont="1" applyFill="1"/>
    <xf numFmtId="0" fontId="215" fillId="3" borderId="0" xfId="0" applyFont="1" applyFill="1" applyAlignment="1">
      <alignment horizontal="center"/>
    </xf>
    <xf numFmtId="0" fontId="217" fillId="3" borderId="0" xfId="0" applyFont="1" applyFill="1" applyAlignment="1">
      <alignment horizontal="center"/>
    </xf>
    <xf numFmtId="0" fontId="216" fillId="3" borderId="0" xfId="0" applyFont="1" applyFill="1" applyAlignment="1">
      <alignment horizontal="center"/>
    </xf>
    <xf numFmtId="0" fontId="217" fillId="3" borderId="0" xfId="24" applyFont="1" applyFill="1" applyAlignment="1">
      <alignment vertical="center" wrapText="1"/>
    </xf>
    <xf numFmtId="0" fontId="219" fillId="3" borderId="0" xfId="0" applyFont="1" applyFill="1" applyAlignment="1">
      <alignment horizontal="center"/>
    </xf>
    <xf numFmtId="0" fontId="217" fillId="3" borderId="0" xfId="24" applyFont="1" applyFill="1"/>
    <xf numFmtId="0" fontId="215" fillId="3" borderId="0" xfId="24" applyFont="1" applyFill="1"/>
    <xf numFmtId="0" fontId="218" fillId="3" borderId="0" xfId="24" applyFont="1" applyFill="1" applyAlignment="1">
      <alignment vertical="center"/>
    </xf>
    <xf numFmtId="0" fontId="218" fillId="3" borderId="0" xfId="24" applyFont="1" applyFill="1"/>
    <xf numFmtId="0" fontId="216" fillId="3" borderId="0" xfId="24" applyFont="1" applyFill="1" applyAlignment="1">
      <alignment vertical="center" wrapText="1"/>
    </xf>
    <xf numFmtId="0" fontId="216" fillId="3" borderId="0" xfId="0" applyFont="1" applyFill="1" applyAlignment="1">
      <alignment horizontal="center" vertical="center"/>
    </xf>
    <xf numFmtId="0" fontId="215" fillId="3" borderId="0" xfId="24" applyFont="1" applyFill="1" applyAlignment="1">
      <alignment vertical="center"/>
    </xf>
    <xf numFmtId="0" fontId="215" fillId="3" borderId="0" xfId="24" applyFont="1" applyFill="1" applyAlignment="1">
      <alignment horizontal="left" vertical="center"/>
    </xf>
    <xf numFmtId="170" fontId="222" fillId="0" borderId="0" xfId="0" applyNumberFormat="1" applyFont="1"/>
    <xf numFmtId="0" fontId="215" fillId="3" borderId="32" xfId="24" applyFont="1" applyFill="1" applyBorder="1" applyAlignment="1">
      <alignment vertical="center" wrapText="1"/>
    </xf>
    <xf numFmtId="0" fontId="215" fillId="3" borderId="32" xfId="0" applyFont="1" applyFill="1" applyBorder="1" applyAlignment="1">
      <alignment horizontal="center"/>
    </xf>
    <xf numFmtId="0" fontId="217" fillId="3" borderId="32" xfId="0" applyFont="1" applyFill="1" applyBorder="1" applyAlignment="1">
      <alignment horizontal="center"/>
    </xf>
    <xf numFmtId="0" fontId="223" fillId="3" borderId="32" xfId="0" applyFont="1" applyFill="1" applyBorder="1" applyAlignment="1">
      <alignment horizontal="left" vertical="center"/>
    </xf>
    <xf numFmtId="0" fontId="223" fillId="3" borderId="32" xfId="0" applyFont="1" applyFill="1" applyBorder="1" applyAlignment="1">
      <alignment horizontal="center" vertical="center"/>
    </xf>
    <xf numFmtId="49" fontId="224" fillId="0" borderId="0" xfId="0" quotePrefix="1" applyNumberFormat="1" applyFont="1" applyAlignment="1">
      <alignment horizontal="center" vertical="center" wrapText="1"/>
    </xf>
    <xf numFmtId="49" fontId="225" fillId="0" borderId="0" xfId="0" applyNumberFormat="1" applyFont="1" applyAlignment="1">
      <alignment horizontal="center" vertical="center" wrapText="1"/>
    </xf>
    <xf numFmtId="49" fontId="224" fillId="0" borderId="0" xfId="0" applyNumberFormat="1" applyFont="1" applyAlignment="1">
      <alignment horizontal="center" vertical="center" wrapText="1"/>
    </xf>
    <xf numFmtId="0" fontId="226" fillId="0" borderId="0" xfId="0" applyFont="1" applyAlignment="1">
      <alignment horizontal="center" vertical="center"/>
    </xf>
    <xf numFmtId="0" fontId="94" fillId="0" borderId="0" xfId="0" applyFont="1"/>
    <xf numFmtId="0" fontId="167" fillId="0" borderId="0" xfId="0" applyFont="1"/>
    <xf numFmtId="165" fontId="167" fillId="0" borderId="0" xfId="1" applyFont="1" applyFill="1" applyBorder="1" applyAlignment="1">
      <alignment horizontal="center" vertical="center"/>
    </xf>
    <xf numFmtId="1" fontId="167" fillId="29" borderId="42" xfId="1" applyNumberFormat="1" applyFont="1" applyFill="1" applyBorder="1" applyAlignment="1">
      <alignment horizontal="center" vertical="center"/>
    </xf>
    <xf numFmtId="1" fontId="224" fillId="0" borderId="0" xfId="0" applyNumberFormat="1" applyFont="1" applyAlignment="1">
      <alignment horizontal="center"/>
    </xf>
    <xf numFmtId="1" fontId="225" fillId="0" borderId="42" xfId="1" applyNumberFormat="1" applyFont="1" applyFill="1" applyBorder="1" applyAlignment="1">
      <alignment horizontal="center" vertical="center"/>
    </xf>
    <xf numFmtId="1" fontId="227" fillId="0" borderId="0" xfId="0" applyNumberFormat="1" applyFont="1" applyAlignment="1">
      <alignment horizontal="center"/>
    </xf>
    <xf numFmtId="0" fontId="167" fillId="29" borderId="42" xfId="0" applyFont="1" applyFill="1" applyBorder="1" applyAlignment="1">
      <alignment horizontal="center" vertical="center"/>
    </xf>
    <xf numFmtId="0" fontId="167" fillId="0" borderId="42" xfId="0" applyFont="1" applyBorder="1" applyAlignment="1">
      <alignment horizontal="center" vertical="center"/>
    </xf>
    <xf numFmtId="0" fontId="142" fillId="0" borderId="20" xfId="0" applyFont="1" applyBorder="1" applyAlignment="1">
      <alignment horizontal="center" vertical="center"/>
    </xf>
    <xf numFmtId="0" fontId="142" fillId="0" borderId="0" xfId="0" applyFont="1" applyAlignment="1">
      <alignment horizontal="center" vertical="center"/>
    </xf>
    <xf numFmtId="0" fontId="228" fillId="0" borderId="43" xfId="0" applyFont="1" applyBorder="1"/>
    <xf numFmtId="0" fontId="224" fillId="0" borderId="0" xfId="0" applyFont="1"/>
    <xf numFmtId="0" fontId="226" fillId="9" borderId="0" xfId="0" applyFont="1" applyFill="1" applyAlignment="1">
      <alignment horizontal="center" vertical="center"/>
    </xf>
    <xf numFmtId="0" fontId="226" fillId="3" borderId="0" xfId="0" applyFont="1" applyFill="1" applyAlignment="1">
      <alignment horizontal="center" vertical="center"/>
    </xf>
    <xf numFmtId="0" fontId="229" fillId="3" borderId="0" xfId="0" applyFont="1" applyFill="1" applyAlignment="1">
      <alignment horizontal="center" vertical="center"/>
    </xf>
    <xf numFmtId="0" fontId="225" fillId="0" borderId="0" xfId="0" applyFont="1"/>
    <xf numFmtId="0" fontId="231" fillId="0" borderId="0" xfId="0" applyFont="1"/>
    <xf numFmtId="0" fontId="204" fillId="0" borderId="0" xfId="0" applyFont="1" applyAlignment="1">
      <alignment horizontal="center" vertical="center"/>
    </xf>
    <xf numFmtId="0" fontId="204" fillId="0" borderId="0" xfId="0" applyFont="1"/>
    <xf numFmtId="165" fontId="204" fillId="0" borderId="0" xfId="1" applyFont="1" applyFill="1" applyBorder="1" applyAlignment="1">
      <alignment horizontal="center" vertical="center"/>
    </xf>
    <xf numFmtId="0" fontId="224" fillId="0" borderId="0" xfId="0" applyFont="1" applyAlignment="1">
      <alignment horizontal="center"/>
    </xf>
    <xf numFmtId="0" fontId="227" fillId="0" borderId="0" xfId="0" applyFont="1" applyAlignment="1">
      <alignment horizontal="center"/>
    </xf>
    <xf numFmtId="0" fontId="204" fillId="0" borderId="42" xfId="0" applyFont="1" applyBorder="1" applyAlignment="1">
      <alignment horizontal="center" vertical="center"/>
    </xf>
    <xf numFmtId="0" fontId="225" fillId="0" borderId="42" xfId="0" applyFont="1" applyBorder="1" applyAlignment="1">
      <alignment horizontal="center" vertical="center"/>
    </xf>
    <xf numFmtId="1" fontId="224" fillId="0" borderId="0" xfId="0" quotePrefix="1" applyNumberFormat="1" applyFont="1" applyAlignment="1">
      <alignment horizontal="center" vertical="center" wrapText="1"/>
    </xf>
    <xf numFmtId="0" fontId="225" fillId="0" borderId="0" xfId="0" applyFont="1" applyAlignment="1">
      <alignment horizontal="center" vertical="center"/>
    </xf>
    <xf numFmtId="0" fontId="224" fillId="0" borderId="0" xfId="0" applyFont="1" applyAlignment="1">
      <alignment vertical="center"/>
    </xf>
    <xf numFmtId="165" fontId="225" fillId="0" borderId="0" xfId="1" applyFont="1" applyFill="1" applyBorder="1" applyAlignment="1">
      <alignment horizontal="center" vertical="center"/>
    </xf>
    <xf numFmtId="0" fontId="229" fillId="0" borderId="0" xfId="0" applyFont="1"/>
    <xf numFmtId="0" fontId="227" fillId="0" borderId="0" xfId="0" applyFont="1"/>
    <xf numFmtId="0" fontId="232" fillId="23" borderId="0" xfId="0" applyFont="1" applyFill="1"/>
    <xf numFmtId="0" fontId="233" fillId="3" borderId="43" xfId="0" applyFont="1" applyFill="1" applyBorder="1" applyAlignment="1">
      <alignment horizontal="center" vertical="center"/>
    </xf>
    <xf numFmtId="0" fontId="233" fillId="3" borderId="0" xfId="0" applyFont="1" applyFill="1" applyAlignment="1">
      <alignment horizontal="center" vertical="center"/>
    </xf>
    <xf numFmtId="0" fontId="228" fillId="0" borderId="0" xfId="0" applyFont="1"/>
    <xf numFmtId="0" fontId="225" fillId="0" borderId="0" xfId="0" applyFont="1" applyAlignment="1">
      <alignment horizontal="center"/>
    </xf>
    <xf numFmtId="0" fontId="229" fillId="0" borderId="20" xfId="0" applyFont="1" applyBorder="1" applyAlignment="1">
      <alignment horizontal="center" vertical="center"/>
    </xf>
    <xf numFmtId="0" fontId="229" fillId="0" borderId="0" xfId="0" applyFont="1" applyAlignment="1">
      <alignment horizontal="center" vertical="center"/>
    </xf>
    <xf numFmtId="0" fontId="229" fillId="0" borderId="2" xfId="0" applyFont="1" applyBorder="1" applyAlignment="1">
      <alignment horizontal="center" vertical="center"/>
    </xf>
    <xf numFmtId="0" fontId="198" fillId="3" borderId="43" xfId="0" applyFont="1" applyFill="1" applyBorder="1"/>
    <xf numFmtId="0" fontId="227" fillId="3" borderId="0" xfId="0" applyFont="1" applyFill="1"/>
    <xf numFmtId="0" fontId="234" fillId="3" borderId="0" xfId="0" applyFont="1" applyFill="1" applyAlignment="1">
      <alignment horizontal="center" vertical="center"/>
    </xf>
    <xf numFmtId="0" fontId="226" fillId="20" borderId="0" xfId="0" applyFont="1" applyFill="1" applyAlignment="1">
      <alignment horizontal="center" vertical="center"/>
    </xf>
    <xf numFmtId="0" fontId="226" fillId="0" borderId="0" xfId="0" applyFont="1"/>
    <xf numFmtId="0" fontId="235" fillId="0" borderId="0" xfId="0" applyFont="1"/>
    <xf numFmtId="49" fontId="226" fillId="0" borderId="0" xfId="0" applyNumberFormat="1" applyFont="1" applyAlignment="1">
      <alignment horizontal="center" vertical="center" wrapText="1"/>
    </xf>
    <xf numFmtId="1" fontId="224" fillId="0" borderId="42" xfId="1" applyNumberFormat="1" applyFont="1" applyFill="1" applyBorder="1" applyAlignment="1">
      <alignment horizontal="center" vertical="center"/>
    </xf>
    <xf numFmtId="1" fontId="225" fillId="21" borderId="42" xfId="1" applyNumberFormat="1" applyFont="1" applyFill="1" applyBorder="1" applyAlignment="1">
      <alignment horizontal="center" vertical="center"/>
    </xf>
    <xf numFmtId="0" fontId="226" fillId="23" borderId="0" xfId="0" applyFont="1" applyFill="1"/>
    <xf numFmtId="0" fontId="236" fillId="3" borderId="0" xfId="0" applyFont="1" applyFill="1" applyAlignment="1">
      <alignment vertical="center"/>
    </xf>
    <xf numFmtId="0" fontId="237" fillId="0" borderId="0" xfId="0" applyFont="1"/>
    <xf numFmtId="0" fontId="224" fillId="0" borderId="0" xfId="0" applyFont="1" applyAlignment="1">
      <alignment horizontal="center" vertical="center"/>
    </xf>
    <xf numFmtId="0" fontId="224" fillId="0" borderId="0" xfId="0" applyFont="1" applyAlignment="1">
      <alignment horizontal="right"/>
    </xf>
    <xf numFmtId="1" fontId="224" fillId="0" borderId="0" xfId="0" applyNumberFormat="1" applyFont="1" applyAlignment="1">
      <alignment horizontal="left"/>
    </xf>
    <xf numFmtId="49" fontId="225" fillId="0" borderId="0" xfId="0" applyNumberFormat="1" applyFont="1" applyAlignment="1">
      <alignment horizontal="center" vertical="center"/>
    </xf>
    <xf numFmtId="49" fontId="224" fillId="0" borderId="0" xfId="0" applyNumberFormat="1" applyFont="1" applyAlignment="1">
      <alignment horizontal="center" vertical="center"/>
    </xf>
    <xf numFmtId="0" fontId="224" fillId="0" borderId="0" xfId="0" applyFont="1" applyAlignment="1">
      <alignment horizontal="left"/>
    </xf>
    <xf numFmtId="0" fontId="225" fillId="0" borderId="65" xfId="0" applyFont="1" applyBorder="1" applyAlignment="1">
      <alignment horizontal="center" vertical="center"/>
    </xf>
    <xf numFmtId="0" fontId="229" fillId="0" borderId="0" xfId="0" applyFont="1" applyAlignment="1">
      <alignment horizontal="center"/>
    </xf>
    <xf numFmtId="0" fontId="226" fillId="0" borderId="0" xfId="0" applyFont="1" applyAlignment="1">
      <alignment horizontal="center"/>
    </xf>
    <xf numFmtId="0" fontId="237" fillId="0" borderId="0" xfId="0" applyFont="1" applyAlignment="1">
      <alignment horizontal="center"/>
    </xf>
    <xf numFmtId="0" fontId="236" fillId="3" borderId="43" xfId="0" applyFont="1" applyFill="1" applyBorder="1" applyAlignment="1">
      <alignment vertical="center"/>
    </xf>
    <xf numFmtId="0" fontId="236" fillId="30" borderId="0" xfId="0" applyFont="1" applyFill="1" applyAlignment="1">
      <alignment vertical="center"/>
    </xf>
    <xf numFmtId="0" fontId="224" fillId="0" borderId="0" xfId="16" applyFont="1" applyAlignment="1">
      <alignment horizontal="center" vertical="center"/>
    </xf>
    <xf numFmtId="0" fontId="238" fillId="0" borderId="0" xfId="0" applyFont="1"/>
    <xf numFmtId="0" fontId="239" fillId="0" borderId="0" xfId="0" applyFont="1"/>
    <xf numFmtId="0" fontId="226" fillId="0" borderId="0" xfId="0" applyFont="1" applyAlignment="1">
      <alignment vertical="center"/>
    </xf>
    <xf numFmtId="0" fontId="227" fillId="0" borderId="0" xfId="0" applyFont="1" applyAlignment="1">
      <alignment vertical="center"/>
    </xf>
    <xf numFmtId="0" fontId="227" fillId="3" borderId="0" xfId="0" applyFont="1" applyFill="1" applyAlignment="1">
      <alignment vertical="center"/>
    </xf>
    <xf numFmtId="0" fontId="204" fillId="3" borderId="0" xfId="0" applyFont="1" applyFill="1" applyAlignment="1">
      <alignment vertical="center"/>
    </xf>
    <xf numFmtId="0" fontId="231" fillId="3" borderId="0" xfId="0" applyFont="1" applyFill="1" applyAlignment="1">
      <alignment vertical="center"/>
    </xf>
    <xf numFmtId="0" fontId="198" fillId="0" borderId="0" xfId="0" applyFont="1" applyAlignment="1">
      <alignment vertical="center"/>
    </xf>
    <xf numFmtId="0" fontId="234" fillId="0" borderId="0" xfId="0" applyFont="1" applyAlignment="1">
      <alignment wrapText="1"/>
    </xf>
    <xf numFmtId="0" fontId="234" fillId="0" borderId="0" xfId="0" applyFont="1" applyAlignment="1">
      <alignment vertical="center"/>
    </xf>
    <xf numFmtId="0" fontId="230" fillId="3" borderId="43" xfId="0" applyFont="1" applyFill="1" applyBorder="1" applyAlignment="1">
      <alignment vertical="center"/>
    </xf>
    <xf numFmtId="0" fontId="230" fillId="30" borderId="0" xfId="0" applyFont="1" applyFill="1" applyAlignment="1">
      <alignment vertical="center"/>
    </xf>
    <xf numFmtId="0" fontId="230" fillId="3" borderId="0" xfId="0" applyFont="1" applyFill="1" applyAlignment="1">
      <alignment vertical="center"/>
    </xf>
    <xf numFmtId="1" fontId="225" fillId="20" borderId="42" xfId="1" applyNumberFormat="1" applyFont="1" applyFill="1" applyBorder="1" applyAlignment="1">
      <alignment horizontal="center" vertical="center"/>
    </xf>
    <xf numFmtId="0" fontId="234" fillId="9" borderId="0" xfId="0" applyFont="1" applyFill="1" applyAlignment="1">
      <alignment horizontal="center" vertical="center"/>
    </xf>
    <xf numFmtId="0" fontId="232" fillId="30" borderId="0" xfId="0" applyFont="1" applyFill="1"/>
    <xf numFmtId="0" fontId="234" fillId="30" borderId="0" xfId="0" applyFont="1" applyFill="1"/>
    <xf numFmtId="1" fontId="238" fillId="0" borderId="42" xfId="1" applyNumberFormat="1" applyFont="1" applyFill="1" applyBorder="1" applyAlignment="1">
      <alignment horizontal="center" vertical="center"/>
    </xf>
    <xf numFmtId="0" fontId="226" fillId="30" borderId="0" xfId="0" applyFont="1" applyFill="1" applyAlignment="1">
      <alignment vertical="center"/>
    </xf>
    <xf numFmtId="1" fontId="224" fillId="0" borderId="0" xfId="0" applyNumberFormat="1" applyFont="1" applyAlignment="1">
      <alignment horizontal="center" vertical="top"/>
    </xf>
    <xf numFmtId="0" fontId="224" fillId="0" borderId="0" xfId="0" applyFont="1" applyAlignment="1">
      <alignment horizontal="center" vertical="top"/>
    </xf>
    <xf numFmtId="0" fontId="205" fillId="9" borderId="0" xfId="0" applyFont="1" applyFill="1" applyAlignment="1">
      <alignment horizontal="center" vertical="center"/>
    </xf>
    <xf numFmtId="0" fontId="205" fillId="0" borderId="43" xfId="0" applyFont="1" applyBorder="1" applyAlignment="1">
      <alignment horizontal="center" vertical="center"/>
    </xf>
    <xf numFmtId="0" fontId="226" fillId="9" borderId="0" xfId="0" applyFont="1" applyFill="1" applyAlignment="1">
      <alignment horizontal="center"/>
    </xf>
    <xf numFmtId="49" fontId="224" fillId="0" borderId="0" xfId="0" applyNumberFormat="1" applyFont="1" applyAlignment="1">
      <alignment horizontal="center"/>
    </xf>
    <xf numFmtId="0" fontId="226" fillId="3" borderId="42" xfId="0" applyFont="1" applyFill="1" applyBorder="1" applyAlignment="1">
      <alignment horizontal="center" vertical="center"/>
    </xf>
    <xf numFmtId="0" fontId="234" fillId="30" borderId="0" xfId="0" applyFont="1" applyFill="1" applyAlignment="1">
      <alignment horizontal="center" vertical="center"/>
    </xf>
    <xf numFmtId="1" fontId="228" fillId="0" borderId="42" xfId="1" applyNumberFormat="1" applyFont="1" applyFill="1" applyBorder="1" applyAlignment="1">
      <alignment horizontal="center" vertical="center"/>
    </xf>
    <xf numFmtId="0" fontId="228" fillId="0" borderId="0" xfId="0" applyFont="1" applyAlignment="1">
      <alignment vertical="center"/>
    </xf>
    <xf numFmtId="49" fontId="240" fillId="0" borderId="0" xfId="0" applyNumberFormat="1" applyFont="1" applyAlignment="1">
      <alignment horizontal="center" vertical="center" wrapText="1"/>
    </xf>
    <xf numFmtId="0" fontId="226" fillId="30" borderId="0" xfId="0" applyFont="1" applyFill="1"/>
    <xf numFmtId="0" fontId="94" fillId="0" borderId="20" xfId="0" applyFont="1" applyBorder="1"/>
    <xf numFmtId="0" fontId="226" fillId="30" borderId="0" xfId="0" applyFont="1" applyFill="1" applyAlignment="1">
      <alignment horizontal="center" vertical="center"/>
    </xf>
    <xf numFmtId="0" fontId="228" fillId="0" borderId="0" xfId="0" applyFont="1" applyAlignment="1">
      <alignment horizontal="left"/>
    </xf>
    <xf numFmtId="0" fontId="226" fillId="0" borderId="42" xfId="0" applyFont="1" applyBorder="1" applyAlignment="1">
      <alignment horizontal="center" vertical="center"/>
    </xf>
    <xf numFmtId="0" fontId="228" fillId="0" borderId="42" xfId="0" applyFont="1" applyBorder="1" applyAlignment="1">
      <alignment horizontal="center" vertical="center"/>
    </xf>
    <xf numFmtId="0" fontId="229" fillId="0" borderId="0" xfId="0" applyFont="1" applyAlignment="1">
      <alignment vertical="center"/>
    </xf>
    <xf numFmtId="0" fontId="229" fillId="0" borderId="0" xfId="0" applyFont="1" applyAlignment="1">
      <alignment horizontal="left"/>
    </xf>
    <xf numFmtId="0" fontId="224" fillId="0" borderId="42" xfId="0" applyFont="1" applyBorder="1" applyAlignment="1">
      <alignment horizontal="center" vertical="center"/>
    </xf>
    <xf numFmtId="0" fontId="226" fillId="9" borderId="0" xfId="0" applyFont="1" applyFill="1"/>
    <xf numFmtId="0" fontId="225" fillId="3" borderId="0" xfId="0" applyFont="1" applyFill="1" applyAlignment="1">
      <alignment horizontal="center" vertical="center"/>
    </xf>
    <xf numFmtId="0" fontId="94" fillId="0" borderId="2" xfId="0" applyFont="1" applyBorder="1"/>
    <xf numFmtId="0" fontId="224" fillId="0" borderId="2" xfId="0" applyFont="1" applyBorder="1" applyAlignment="1">
      <alignment horizontal="center" vertical="center"/>
    </xf>
    <xf numFmtId="1" fontId="224" fillId="0" borderId="2" xfId="1" applyNumberFormat="1" applyFont="1" applyFill="1" applyBorder="1" applyAlignment="1">
      <alignment horizontal="center" vertical="center"/>
    </xf>
    <xf numFmtId="1" fontId="225" fillId="29" borderId="42" xfId="1" applyNumberFormat="1" applyFont="1" applyFill="1" applyBorder="1" applyAlignment="1">
      <alignment horizontal="center" vertical="center"/>
    </xf>
    <xf numFmtId="1" fontId="225" fillId="0" borderId="0" xfId="1" applyNumberFormat="1" applyFont="1" applyFill="1" applyBorder="1" applyAlignment="1">
      <alignment horizontal="center" vertical="center"/>
    </xf>
    <xf numFmtId="0" fontId="225" fillId="29" borderId="42" xfId="0" applyFont="1" applyFill="1" applyBorder="1" applyAlignment="1">
      <alignment horizontal="center" vertical="center"/>
    </xf>
    <xf numFmtId="0" fontId="229" fillId="3" borderId="2" xfId="0" applyFont="1" applyFill="1" applyBorder="1" applyAlignment="1">
      <alignment horizontal="center" vertical="center"/>
    </xf>
    <xf numFmtId="0" fontId="94" fillId="0" borderId="0" xfId="0" applyFont="1" applyAlignment="1">
      <alignment horizontal="left" vertical="top"/>
    </xf>
    <xf numFmtId="0" fontId="94" fillId="0" borderId="2" xfId="0" applyFont="1" applyBorder="1" applyAlignment="1">
      <alignment horizontal="left" vertical="top"/>
    </xf>
    <xf numFmtId="0" fontId="94" fillId="9" borderId="2" xfId="0" applyFont="1" applyFill="1" applyBorder="1" applyAlignment="1">
      <alignment horizontal="left" vertical="top"/>
    </xf>
    <xf numFmtId="14" fontId="94" fillId="0" borderId="2" xfId="0" applyNumberFormat="1" applyFont="1" applyBorder="1" applyAlignment="1">
      <alignment horizontal="left" vertical="top" wrapText="1"/>
    </xf>
    <xf numFmtId="0" fontId="94" fillId="20" borderId="2" xfId="0" applyFont="1" applyFill="1" applyBorder="1" applyAlignment="1">
      <alignment horizontal="left" vertical="top"/>
    </xf>
    <xf numFmtId="14" fontId="94" fillId="0" borderId="2" xfId="0" applyNumberFormat="1" applyFont="1" applyBorder="1"/>
    <xf numFmtId="14" fontId="94" fillId="0" borderId="2" xfId="0" applyNumberFormat="1" applyFont="1" applyBorder="1" applyAlignment="1">
      <alignment wrapText="1"/>
    </xf>
    <xf numFmtId="0" fontId="94" fillId="20" borderId="2" xfId="0" applyFont="1" applyFill="1" applyBorder="1" applyAlignment="1">
      <alignment horizontal="center"/>
    </xf>
    <xf numFmtId="0" fontId="94" fillId="0" borderId="2" xfId="0" applyFont="1" applyBorder="1" applyAlignment="1">
      <alignment horizontal="center"/>
    </xf>
    <xf numFmtId="0" fontId="0" fillId="3" borderId="2" xfId="0" applyFill="1" applyBorder="1"/>
    <xf numFmtId="0" fontId="142" fillId="3" borderId="2" xfId="0" applyFont="1" applyFill="1" applyBorder="1" applyAlignment="1">
      <alignment horizontal="center" vertical="center"/>
    </xf>
    <xf numFmtId="0" fontId="142" fillId="3" borderId="2" xfId="0" applyFont="1" applyFill="1" applyBorder="1" applyAlignment="1">
      <alignment horizontal="center" vertical="center" wrapText="1"/>
    </xf>
    <xf numFmtId="0" fontId="172" fillId="3" borderId="2" xfId="0" applyFont="1" applyFill="1" applyBorder="1" applyAlignment="1">
      <alignment horizontal="center" vertical="center"/>
    </xf>
    <xf numFmtId="0" fontId="168" fillId="3" borderId="2" xfId="0" applyFont="1" applyFill="1" applyBorder="1" applyAlignment="1">
      <alignment horizontal="left" vertical="center"/>
    </xf>
    <xf numFmtId="170"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0" fontId="168" fillId="3" borderId="2" xfId="0" applyFont="1" applyFill="1" applyBorder="1" applyAlignment="1">
      <alignment horizontal="left" vertical="center" wrapText="1"/>
    </xf>
    <xf numFmtId="0" fontId="172" fillId="3" borderId="2" xfId="0" applyFont="1" applyFill="1" applyBorder="1" applyAlignment="1">
      <alignment horizontal="left" vertical="center"/>
    </xf>
    <xf numFmtId="0" fontId="172" fillId="3" borderId="2" xfId="0" applyFont="1" applyFill="1" applyBorder="1" applyAlignment="1">
      <alignment horizontal="center" vertical="center" wrapText="1"/>
    </xf>
    <xf numFmtId="0" fontId="172" fillId="3" borderId="2" xfId="0" applyFont="1" applyFill="1" applyBorder="1" applyAlignment="1">
      <alignment horizontal="left" vertical="center" wrapText="1"/>
    </xf>
    <xf numFmtId="170" fontId="172" fillId="3" borderId="2" xfId="0" applyNumberFormat="1" applyFont="1" applyFill="1" applyBorder="1" applyAlignment="1">
      <alignment horizontal="center" vertical="center"/>
    </xf>
    <xf numFmtId="14" fontId="17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68" fillId="3" borderId="2" xfId="0" applyFont="1" applyFill="1" applyBorder="1" applyAlignment="1">
      <alignment horizontal="center" vertical="center"/>
    </xf>
    <xf numFmtId="14" fontId="168" fillId="3" borderId="2" xfId="0" applyNumberFormat="1" applyFont="1" applyFill="1" applyBorder="1" applyAlignment="1">
      <alignment horizontal="center" vertical="center"/>
    </xf>
    <xf numFmtId="0" fontId="172" fillId="3" borderId="46" xfId="0" applyFont="1" applyFill="1" applyBorder="1" applyAlignment="1">
      <alignment horizontal="left" vertical="center" wrapText="1"/>
    </xf>
    <xf numFmtId="170" fontId="131" fillId="3" borderId="2" xfId="0" applyNumberFormat="1" applyFont="1" applyFill="1" applyBorder="1" applyAlignment="1">
      <alignment horizontal="center" vertical="center"/>
    </xf>
    <xf numFmtId="0" fontId="13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70" fontId="168" fillId="0" borderId="2" xfId="0" applyNumberFormat="1" applyFont="1" applyBorder="1" applyAlignment="1">
      <alignment horizontal="center" vertical="center"/>
    </xf>
    <xf numFmtId="14" fontId="14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70" fontId="17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68" fillId="3" borderId="3" xfId="0" applyFont="1" applyFill="1" applyBorder="1" applyAlignment="1">
      <alignment horizontal="left" vertical="center"/>
    </xf>
    <xf numFmtId="0" fontId="168" fillId="3" borderId="3" xfId="0" applyFont="1" applyFill="1" applyBorder="1" applyAlignment="1">
      <alignment horizontal="center" vertical="center"/>
    </xf>
    <xf numFmtId="0" fontId="168" fillId="3" borderId="28" xfId="0" applyFont="1" applyFill="1" applyBorder="1" applyAlignment="1">
      <alignment horizontal="left" vertical="center"/>
    </xf>
    <xf numFmtId="0" fontId="136" fillId="3" borderId="2" xfId="0" applyFont="1" applyFill="1" applyBorder="1" applyAlignment="1">
      <alignment horizontal="center"/>
    </xf>
    <xf numFmtId="174" fontId="136" fillId="3" borderId="2" xfId="0" applyNumberFormat="1" applyFont="1" applyFill="1" applyBorder="1" applyAlignment="1">
      <alignment horizontal="center" vertical="center"/>
    </xf>
    <xf numFmtId="174" fontId="136" fillId="3" borderId="2" xfId="0" applyNumberFormat="1" applyFont="1" applyFill="1" applyBorder="1" applyAlignment="1">
      <alignment horizontal="center"/>
    </xf>
    <xf numFmtId="0" fontId="136" fillId="3" borderId="2" xfId="0" applyFont="1" applyFill="1" applyBorder="1" applyAlignment="1">
      <alignment horizontal="center" vertical="center"/>
    </xf>
    <xf numFmtId="0" fontId="230" fillId="30" borderId="2" xfId="0" applyFont="1" applyFill="1" applyBorder="1" applyAlignment="1">
      <alignment vertical="center"/>
    </xf>
    <xf numFmtId="0" fontId="230" fillId="0" borderId="0" xfId="0" applyFont="1" applyAlignment="1">
      <alignment vertical="center"/>
    </xf>
    <xf numFmtId="0" fontId="226" fillId="0" borderId="0" xfId="0" applyFont="1" applyAlignment="1">
      <alignment vertical="center" wrapText="1"/>
    </xf>
    <xf numFmtId="0" fontId="93" fillId="0" borderId="2" xfId="0" applyFont="1" applyBorder="1" applyAlignment="1">
      <alignment horizontal="center"/>
    </xf>
    <xf numFmtId="0" fontId="92" fillId="0" borderId="2" xfId="0" applyFont="1" applyBorder="1" applyAlignment="1">
      <alignment horizontal="center"/>
    </xf>
    <xf numFmtId="0" fontId="242" fillId="0" borderId="2" xfId="0" applyFont="1" applyBorder="1" applyAlignment="1">
      <alignment horizontal="center"/>
    </xf>
    <xf numFmtId="14" fontId="92" fillId="0" borderId="2" xfId="0" applyNumberFormat="1" applyFont="1" applyBorder="1" applyAlignment="1">
      <alignment horizontal="center" vertical="center"/>
    </xf>
    <xf numFmtId="14" fontId="169" fillId="0" borderId="2" xfId="0" applyNumberFormat="1" applyFont="1" applyBorder="1" applyAlignment="1">
      <alignment horizontal="right" vertical="top"/>
    </xf>
    <xf numFmtId="0" fontId="91" fillId="0" borderId="2" xfId="0" applyFont="1" applyBorder="1" applyAlignment="1">
      <alignment horizontal="center"/>
    </xf>
    <xf numFmtId="0" fontId="169" fillId="0" borderId="3" xfId="0" applyFont="1" applyBorder="1" applyAlignment="1">
      <alignment horizontal="left" vertical="top"/>
    </xf>
    <xf numFmtId="0" fontId="169" fillId="0" borderId="3" xfId="0" applyFont="1" applyBorder="1" applyAlignment="1">
      <alignment horizontal="left"/>
    </xf>
    <xf numFmtId="14" fontId="169" fillId="0" borderId="3" xfId="0" applyNumberFormat="1" applyFont="1" applyBorder="1"/>
    <xf numFmtId="0" fontId="169" fillId="9" borderId="3" xfId="0" applyFont="1" applyFill="1" applyBorder="1"/>
    <xf numFmtId="0" fontId="90" fillId="0" borderId="2" xfId="0" applyFont="1" applyBorder="1" applyAlignment="1">
      <alignment horizontal="center"/>
    </xf>
    <xf numFmtId="14" fontId="90" fillId="0" borderId="2" xfId="0" applyNumberFormat="1" applyFont="1" applyBorder="1" applyAlignment="1">
      <alignment horizontal="center" vertical="center"/>
    </xf>
    <xf numFmtId="170" fontId="243" fillId="0" borderId="2" xfId="14" applyNumberFormat="1" applyFont="1" applyBorder="1" applyAlignment="1">
      <alignment horizontal="center" vertical="center" wrapText="1"/>
    </xf>
    <xf numFmtId="0" fontId="90" fillId="0" borderId="0" xfId="0" applyFont="1" applyAlignment="1">
      <alignment horizontal="center"/>
    </xf>
    <xf numFmtId="0" fontId="169" fillId="0" borderId="2" xfId="0" applyFont="1" applyBorder="1" applyAlignment="1">
      <alignment horizontal="center" vertical="top"/>
    </xf>
    <xf numFmtId="0" fontId="169" fillId="0" borderId="3" xfId="0" applyFont="1" applyBorder="1" applyAlignment="1">
      <alignment horizontal="center" vertical="center"/>
    </xf>
    <xf numFmtId="0" fontId="169" fillId="0" borderId="3" xfId="0" applyFont="1" applyBorder="1" applyAlignment="1">
      <alignment horizontal="center"/>
    </xf>
    <xf numFmtId="170" fontId="243" fillId="0" borderId="2" xfId="14" applyNumberFormat="1" applyFont="1" applyBorder="1" applyAlignment="1">
      <alignment vertical="center" wrapText="1"/>
    </xf>
    <xf numFmtId="0" fontId="90" fillId="0" borderId="2" xfId="0" applyFont="1" applyBorder="1" applyAlignment="1">
      <alignment vertical="center"/>
    </xf>
    <xf numFmtId="0" fontId="90" fillId="0" borderId="0" xfId="0" applyFont="1" applyAlignment="1">
      <alignment vertical="center"/>
    </xf>
    <xf numFmtId="0" fontId="89" fillId="0" borderId="2" xfId="0" applyFont="1" applyBorder="1" applyAlignment="1">
      <alignment horizontal="left" vertical="top"/>
    </xf>
    <xf numFmtId="0" fontId="89" fillId="9" borderId="2" xfId="0" applyFont="1" applyFill="1" applyBorder="1" applyAlignment="1">
      <alignment horizontal="left" vertical="top"/>
    </xf>
    <xf numFmtId="14" fontId="89" fillId="0" borderId="2" xfId="0" applyNumberFormat="1" applyFont="1" applyBorder="1" applyAlignment="1">
      <alignment horizontal="left" vertical="top" wrapText="1"/>
    </xf>
    <xf numFmtId="0" fontId="89" fillId="20" borderId="2" xfId="0" applyFont="1" applyFill="1" applyBorder="1" applyAlignment="1">
      <alignment horizontal="left" vertical="top"/>
    </xf>
    <xf numFmtId="14" fontId="89" fillId="0" borderId="2" xfId="0" applyNumberFormat="1" applyFont="1" applyBorder="1"/>
    <xf numFmtId="14" fontId="89" fillId="0" borderId="2" xfId="0" applyNumberFormat="1" applyFont="1" applyBorder="1" applyAlignment="1">
      <alignment wrapText="1"/>
    </xf>
    <xf numFmtId="0" fontId="89" fillId="20" borderId="2" xfId="0" applyFont="1" applyFill="1" applyBorder="1" applyAlignment="1">
      <alignment horizontal="center"/>
    </xf>
    <xf numFmtId="0" fontId="89" fillId="0" borderId="2" xfId="0" applyFont="1" applyBorder="1"/>
    <xf numFmtId="0" fontId="89" fillId="0" borderId="2" xfId="0" applyFont="1" applyBorder="1" applyAlignment="1">
      <alignment horizontal="center"/>
    </xf>
    <xf numFmtId="0" fontId="91" fillId="0" borderId="3" xfId="0" applyFont="1" applyBorder="1" applyAlignment="1">
      <alignment horizontal="center"/>
    </xf>
    <xf numFmtId="0" fontId="169" fillId="3" borderId="0" xfId="0" applyFont="1" applyFill="1" applyAlignment="1">
      <alignment horizontal="center" vertical="center"/>
    </xf>
    <xf numFmtId="0" fontId="88" fillId="0" borderId="2" xfId="0" applyFont="1" applyBorder="1" applyAlignment="1">
      <alignment horizontal="center"/>
    </xf>
    <xf numFmtId="14" fontId="88" fillId="0" borderId="2" xfId="0" applyNumberFormat="1" applyFont="1" applyBorder="1" applyAlignment="1">
      <alignment horizontal="center" vertical="center"/>
    </xf>
    <xf numFmtId="0" fontId="172" fillId="0" borderId="2" xfId="0" applyFont="1" applyBorder="1" applyAlignment="1">
      <alignment vertical="top"/>
    </xf>
    <xf numFmtId="0" fontId="90" fillId="0" borderId="2" xfId="0" applyFont="1" applyBorder="1"/>
    <xf numFmtId="170" fontId="243" fillId="0" borderId="2" xfId="14" applyNumberFormat="1" applyFont="1" applyBorder="1" applyAlignment="1">
      <alignment wrapText="1"/>
    </xf>
    <xf numFmtId="0" fontId="169" fillId="3" borderId="2" xfId="0" applyFont="1" applyFill="1" applyBorder="1" applyAlignment="1">
      <alignment horizontal="left" vertical="top"/>
    </xf>
    <xf numFmtId="0" fontId="172" fillId="0" borderId="2" xfId="0" applyFont="1" applyBorder="1" applyAlignment="1">
      <alignment horizontal="left" vertical="top"/>
    </xf>
    <xf numFmtId="0" fontId="244" fillId="3" borderId="2" xfId="0" applyFont="1" applyFill="1" applyBorder="1" applyAlignment="1">
      <alignment horizontal="center" vertical="center"/>
    </xf>
    <xf numFmtId="0" fontId="8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86" fillId="0" borderId="2" xfId="0" applyFont="1" applyBorder="1" applyAlignment="1">
      <alignment horizontal="center"/>
    </xf>
    <xf numFmtId="0" fontId="169" fillId="0" borderId="0" xfId="0" applyFont="1" applyAlignment="1">
      <alignment vertical="top"/>
    </xf>
    <xf numFmtId="0" fontId="85" fillId="0" borderId="0" xfId="0" applyFont="1"/>
    <xf numFmtId="0" fontId="169" fillId="3" borderId="3" xfId="0" applyFont="1" applyFill="1" applyBorder="1" applyAlignment="1">
      <alignment horizontal="left"/>
    </xf>
    <xf numFmtId="0" fontId="85" fillId="0" borderId="2" xfId="0" applyFont="1" applyBorder="1"/>
    <xf numFmtId="0" fontId="84" fillId="0" borderId="2" xfId="0" applyFont="1" applyBorder="1" applyAlignment="1">
      <alignment horizontal="center"/>
    </xf>
    <xf numFmtId="0" fontId="135" fillId="0" borderId="0" xfId="0" applyFont="1" applyAlignment="1">
      <alignment vertical="center"/>
    </xf>
    <xf numFmtId="0" fontId="135" fillId="3" borderId="0" xfId="0" applyFont="1" applyFill="1" applyAlignment="1">
      <alignment vertical="center" wrapText="1"/>
    </xf>
    <xf numFmtId="0" fontId="83" fillId="0" borderId="0" xfId="0" applyFont="1"/>
    <xf numFmtId="0" fontId="83" fillId="0" borderId="2" xfId="0" applyFont="1" applyBorder="1"/>
    <xf numFmtId="0" fontId="230" fillId="30" borderId="25" xfId="0" applyFont="1" applyFill="1" applyBorder="1" applyAlignment="1">
      <alignment vertical="center"/>
    </xf>
    <xf numFmtId="0" fontId="220" fillId="0" borderId="0" xfId="0" applyFont="1" applyAlignment="1">
      <alignment vertical="center"/>
    </xf>
    <xf numFmtId="0" fontId="82" fillId="0" borderId="2" xfId="0" applyFont="1" applyBorder="1" applyAlignment="1">
      <alignment horizontal="center"/>
    </xf>
    <xf numFmtId="0" fontId="245" fillId="0" borderId="0" xfId="0" applyFont="1"/>
    <xf numFmtId="0" fontId="82" fillId="0" borderId="0" xfId="0" applyFont="1"/>
    <xf numFmtId="0" fontId="81" fillId="0" borderId="2" xfId="0" applyFont="1" applyBorder="1" applyAlignment="1">
      <alignment horizontal="center"/>
    </xf>
    <xf numFmtId="14" fontId="81" fillId="0" borderId="2" xfId="0" applyNumberFormat="1" applyFont="1" applyBorder="1" applyAlignment="1">
      <alignment horizontal="center" vertical="center"/>
    </xf>
    <xf numFmtId="1" fontId="224" fillId="20" borderId="42" xfId="1" applyNumberFormat="1" applyFont="1" applyFill="1" applyBorder="1" applyAlignment="1">
      <alignment horizontal="center" vertical="center"/>
    </xf>
    <xf numFmtId="0" fontId="81" fillId="0" borderId="0" xfId="0" applyFont="1"/>
    <xf numFmtId="0" fontId="238" fillId="0" borderId="42" xfId="0" applyFont="1" applyBorder="1" applyAlignment="1">
      <alignment horizontal="center" vertical="center"/>
    </xf>
    <xf numFmtId="169" fontId="214" fillId="0" borderId="0" xfId="0" applyNumberFormat="1" applyFont="1" applyAlignment="1">
      <alignment horizontal="center" vertical="center"/>
    </xf>
    <xf numFmtId="169" fontId="214" fillId="20" borderId="0" xfId="0" applyNumberFormat="1" applyFont="1" applyFill="1" applyAlignment="1">
      <alignment horizontal="center" vertical="center"/>
    </xf>
    <xf numFmtId="0" fontId="230" fillId="30" borderId="0" xfId="0" applyFont="1" applyFill="1" applyAlignment="1">
      <alignment horizontal="center" vertical="center"/>
    </xf>
    <xf numFmtId="0" fontId="230" fillId="3" borderId="0" xfId="0" applyFont="1" applyFill="1" applyAlignment="1">
      <alignment horizontal="center" vertical="center"/>
    </xf>
    <xf numFmtId="0" fontId="234" fillId="0" borderId="0" xfId="0" applyFont="1" applyAlignment="1">
      <alignment horizontal="left" vertical="center" wrapText="1"/>
    </xf>
    <xf numFmtId="0" fontId="230" fillId="18" borderId="0" xfId="0" applyFont="1" applyFill="1" applyAlignment="1">
      <alignment horizontal="center" vertical="center"/>
    </xf>
    <xf numFmtId="0" fontId="80" fillId="0" borderId="2" xfId="0" applyFont="1" applyBorder="1" applyAlignment="1">
      <alignment horizontal="center"/>
    </xf>
    <xf numFmtId="14" fontId="80" fillId="0" borderId="2" xfId="0" applyNumberFormat="1" applyFont="1" applyBorder="1" applyAlignment="1">
      <alignment horizontal="center" vertical="center"/>
    </xf>
    <xf numFmtId="0" fontId="169" fillId="0" borderId="25" xfId="0" applyFont="1" applyBorder="1"/>
    <xf numFmtId="0" fontId="169" fillId="0" borderId="25" xfId="0" applyFont="1" applyBorder="1" applyAlignment="1">
      <alignment horizontal="left"/>
    </xf>
    <xf numFmtId="0" fontId="79" fillId="0" borderId="2" xfId="0" applyFont="1" applyBorder="1"/>
    <xf numFmtId="0" fontId="231" fillId="0" borderId="0" xfId="0" applyFont="1" applyAlignment="1">
      <alignment horizontal="center"/>
    </xf>
    <xf numFmtId="14" fontId="169" fillId="9" borderId="2" xfId="0" applyNumberFormat="1" applyFont="1" applyFill="1" applyBorder="1"/>
    <xf numFmtId="14" fontId="169" fillId="9" borderId="2" xfId="0" applyNumberFormat="1" applyFont="1" applyFill="1" applyBorder="1" applyAlignment="1">
      <alignment horizontal="right"/>
    </xf>
    <xf numFmtId="14" fontId="169" fillId="9" borderId="3" xfId="0" applyNumberFormat="1" applyFont="1" applyFill="1" applyBorder="1" applyAlignment="1">
      <alignment vertical="center"/>
    </xf>
    <xf numFmtId="14" fontId="169" fillId="9" borderId="2" xfId="0" applyNumberFormat="1" applyFont="1" applyFill="1" applyBorder="1" applyAlignment="1">
      <alignment horizontal="right" vertical="top"/>
    </xf>
    <xf numFmtId="0" fontId="78" fillId="0" borderId="2" xfId="0" applyFont="1" applyBorder="1" applyAlignment="1">
      <alignment horizontal="center"/>
    </xf>
    <xf numFmtId="0" fontId="172" fillId="0" borderId="2" xfId="0" applyFont="1" applyBorder="1" applyAlignment="1">
      <alignment horizontal="left"/>
    </xf>
    <xf numFmtId="0" fontId="169" fillId="0" borderId="0" xfId="0" applyFont="1" applyAlignment="1">
      <alignment horizontal="left"/>
    </xf>
    <xf numFmtId="0" fontId="77" fillId="0" borderId="0" xfId="0" applyFont="1"/>
    <xf numFmtId="0" fontId="77" fillId="0" borderId="2" xfId="0" applyFont="1" applyBorder="1" applyAlignment="1">
      <alignment horizontal="center"/>
    </xf>
    <xf numFmtId="0" fontId="76" fillId="0" borderId="2" xfId="0" applyFont="1" applyBorder="1" applyAlignment="1">
      <alignment horizontal="center"/>
    </xf>
    <xf numFmtId="0" fontId="90" fillId="9" borderId="2" xfId="0" applyFont="1" applyFill="1" applyBorder="1" applyAlignment="1">
      <alignment horizontal="center"/>
    </xf>
    <xf numFmtId="170" fontId="243" fillId="9" borderId="2" xfId="14" applyNumberFormat="1" applyFont="1" applyFill="1" applyBorder="1" applyAlignment="1">
      <alignment horizontal="center" vertical="center" wrapText="1"/>
    </xf>
    <xf numFmtId="0" fontId="90" fillId="9" borderId="0" xfId="0" applyFont="1" applyFill="1" applyAlignment="1">
      <alignment horizontal="center"/>
    </xf>
    <xf numFmtId="0" fontId="169" fillId="9" borderId="2" xfId="0" applyFont="1" applyFill="1" applyBorder="1" applyAlignment="1">
      <alignment horizontal="center"/>
    </xf>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169" fillId="0" borderId="2" xfId="0" applyFont="1" applyBorder="1" applyAlignment="1">
      <alignment horizontal="center" wrapText="1"/>
    </xf>
    <xf numFmtId="14" fontId="169" fillId="0" borderId="3" xfId="0" applyNumberFormat="1" applyFont="1" applyBorder="1" applyAlignment="1">
      <alignment horizontal="right" vertical="top"/>
    </xf>
    <xf numFmtId="0" fontId="172" fillId="0" borderId="3" xfId="0" applyFont="1" applyBorder="1" applyAlignment="1">
      <alignment horizontal="left" vertical="top"/>
    </xf>
    <xf numFmtId="0" fontId="169" fillId="0" borderId="2" xfId="0" applyFont="1" applyBorder="1" applyAlignment="1">
      <alignment horizontal="left" vertical="top" wrapText="1"/>
    </xf>
    <xf numFmtId="0" fontId="246" fillId="0" borderId="0" xfId="0" applyFont="1" applyAlignment="1">
      <alignment horizontal="center" vertical="center" wrapText="1"/>
    </xf>
    <xf numFmtId="0" fontId="247" fillId="0" borderId="0" xfId="0" applyFont="1" applyAlignment="1">
      <alignment vertical="center" wrapText="1"/>
    </xf>
    <xf numFmtId="0" fontId="247" fillId="0" borderId="0" xfId="0" applyFont="1" applyAlignment="1">
      <alignment horizontal="center" vertical="center" wrapText="1"/>
    </xf>
    <xf numFmtId="0" fontId="248" fillId="0" borderId="0" xfId="0" applyFont="1" applyAlignment="1">
      <alignment vertical="center" wrapText="1"/>
    </xf>
    <xf numFmtId="0" fontId="248" fillId="0" borderId="0" xfId="0" applyFont="1" applyAlignment="1">
      <alignment horizontal="center" vertical="center" wrapText="1"/>
    </xf>
    <xf numFmtId="0" fontId="74" fillId="0" borderId="2" xfId="0" applyFont="1" applyBorder="1" applyAlignment="1">
      <alignment horizontal="center"/>
    </xf>
    <xf numFmtId="14" fontId="74" fillId="0" borderId="2" xfId="0" applyNumberFormat="1" applyFont="1" applyBorder="1" applyAlignment="1">
      <alignment horizontal="center" vertical="center"/>
    </xf>
    <xf numFmtId="0" fontId="73" fillId="0" borderId="2" xfId="0" applyFont="1" applyBorder="1" applyAlignment="1">
      <alignment horizontal="center"/>
    </xf>
    <xf numFmtId="0" fontId="148" fillId="9" borderId="71" xfId="0" applyFont="1" applyFill="1" applyBorder="1" applyAlignment="1">
      <alignment horizontal="center" vertical="center"/>
    </xf>
    <xf numFmtId="0" fontId="148" fillId="9" borderId="72" xfId="0" applyFont="1" applyFill="1" applyBorder="1" applyAlignment="1">
      <alignment horizontal="center" vertical="center" wrapText="1"/>
    </xf>
    <xf numFmtId="0" fontId="148" fillId="9" borderId="73" xfId="0" applyFont="1" applyFill="1" applyBorder="1" applyAlignment="1">
      <alignment horizontal="center" vertical="center"/>
    </xf>
    <xf numFmtId="0" fontId="172" fillId="3" borderId="6" xfId="0" applyFont="1" applyFill="1" applyBorder="1" applyAlignment="1">
      <alignment horizontal="center" vertical="center"/>
    </xf>
    <xf numFmtId="0" fontId="172" fillId="3" borderId="7" xfId="0" applyFont="1" applyFill="1" applyBorder="1" applyAlignment="1">
      <alignment horizontal="left" vertical="center"/>
    </xf>
    <xf numFmtId="170" fontId="172" fillId="3" borderId="7" xfId="0" applyNumberFormat="1" applyFont="1" applyFill="1" applyBorder="1" applyAlignment="1">
      <alignment horizontal="center" vertical="center" wrapText="1"/>
    </xf>
    <xf numFmtId="14" fontId="172" fillId="3" borderId="7" xfId="0" applyNumberFormat="1" applyFont="1" applyFill="1" applyBorder="1" applyAlignment="1">
      <alignment horizontal="center" vertical="center"/>
    </xf>
    <xf numFmtId="0" fontId="172" fillId="3" borderId="13" xfId="0" applyFont="1" applyFill="1" applyBorder="1" applyAlignment="1">
      <alignment horizontal="left" vertical="center" wrapText="1"/>
    </xf>
    <xf numFmtId="0" fontId="172" fillId="3" borderId="8" xfId="0" applyFont="1" applyFill="1" applyBorder="1" applyAlignment="1">
      <alignment horizontal="center" vertical="center"/>
    </xf>
    <xf numFmtId="0" fontId="172" fillId="3" borderId="14" xfId="0" applyFont="1" applyFill="1" applyBorder="1" applyAlignment="1">
      <alignment horizontal="left" vertical="center" wrapText="1"/>
    </xf>
    <xf numFmtId="14" fontId="172" fillId="3" borderId="2" xfId="0" applyNumberFormat="1" applyFont="1" applyFill="1" applyBorder="1" applyAlignment="1">
      <alignment horizontal="left" vertical="center"/>
    </xf>
    <xf numFmtId="0" fontId="0" fillId="0" borderId="0" xfId="0" applyAlignment="1">
      <alignment horizontal="left" vertical="center"/>
    </xf>
    <xf numFmtId="14" fontId="168" fillId="3" borderId="2" xfId="0" applyNumberFormat="1" applyFont="1" applyFill="1" applyBorder="1" applyAlignment="1">
      <alignment horizontal="left" vertical="center"/>
    </xf>
    <xf numFmtId="170" fontId="130" fillId="3" borderId="2" xfId="0" applyNumberFormat="1" applyFont="1" applyFill="1" applyBorder="1" applyAlignment="1">
      <alignment horizontal="center" vertical="center"/>
    </xf>
    <xf numFmtId="0" fontId="172" fillId="3" borderId="10" xfId="0" applyFont="1" applyFill="1" applyBorder="1" applyAlignment="1">
      <alignment horizontal="center" vertical="center"/>
    </xf>
    <xf numFmtId="0" fontId="172" fillId="3" borderId="11" xfId="0" applyFont="1" applyFill="1" applyBorder="1" applyAlignment="1">
      <alignment horizontal="left" vertical="center"/>
    </xf>
    <xf numFmtId="170" fontId="172" fillId="0" borderId="11" xfId="0" applyNumberFormat="1" applyFont="1" applyBorder="1" applyAlignment="1">
      <alignment horizontal="center" vertical="center"/>
    </xf>
    <xf numFmtId="14" fontId="17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72" fillId="3" borderId="16" xfId="0" applyFont="1" applyFill="1" applyBorder="1" applyAlignment="1">
      <alignment horizontal="left" vertical="center" wrapText="1"/>
    </xf>
    <xf numFmtId="0" fontId="0" fillId="3" borderId="51" xfId="0" applyFill="1" applyBorder="1" applyAlignment="1">
      <alignment horizontal="center" vertical="top"/>
    </xf>
    <xf numFmtId="0" fontId="142" fillId="3" borderId="72" xfId="0" applyFont="1" applyFill="1" applyBorder="1" applyAlignment="1">
      <alignment horizontal="center" vertical="center"/>
    </xf>
    <xf numFmtId="0" fontId="72" fillId="0" borderId="2" xfId="0" applyFont="1" applyBorder="1" applyAlignment="1">
      <alignment horizontal="center"/>
    </xf>
    <xf numFmtId="14" fontId="72" fillId="0" borderId="2" xfId="0" applyNumberFormat="1" applyFont="1" applyBorder="1" applyAlignment="1">
      <alignment horizontal="center" vertical="center"/>
    </xf>
    <xf numFmtId="14" fontId="169" fillId="0" borderId="3" xfId="0" applyNumberFormat="1" applyFont="1" applyBorder="1" applyAlignment="1">
      <alignment horizontal="right"/>
    </xf>
    <xf numFmtId="0" fontId="172" fillId="0" borderId="3" xfId="0" applyFont="1" applyBorder="1" applyAlignment="1">
      <alignment horizontal="left"/>
    </xf>
    <xf numFmtId="0" fontId="169" fillId="0" borderId="23" xfId="0" applyFont="1" applyBorder="1" applyAlignment="1">
      <alignment horizontal="left"/>
    </xf>
    <xf numFmtId="0" fontId="71" fillId="0" borderId="2" xfId="0" applyFont="1" applyBorder="1" applyAlignment="1">
      <alignment horizontal="center"/>
    </xf>
    <xf numFmtId="0" fontId="172" fillId="0" borderId="46" xfId="0" applyFont="1" applyBorder="1" applyAlignment="1">
      <alignment horizontal="left" vertical="center" wrapText="1"/>
    </xf>
    <xf numFmtId="0" fontId="169" fillId="0" borderId="25" xfId="0" applyFont="1" applyBorder="1" applyAlignment="1">
      <alignment horizontal="left" vertical="top"/>
    </xf>
    <xf numFmtId="0" fontId="169" fillId="0" borderId="25" xfId="0" applyFont="1" applyBorder="1" applyAlignment="1">
      <alignment horizontal="left" vertical="center"/>
    </xf>
    <xf numFmtId="0" fontId="70" fillId="0" borderId="0" xfId="0" applyFont="1"/>
    <xf numFmtId="0" fontId="168" fillId="0" borderId="2" xfId="0" applyFont="1" applyBorder="1" applyAlignment="1">
      <alignment horizontal="left" vertical="center"/>
    </xf>
    <xf numFmtId="170" fontId="168" fillId="0" borderId="2" xfId="0" applyNumberFormat="1" applyFont="1" applyBorder="1" applyAlignment="1">
      <alignment horizontal="center" vertical="center" wrapText="1"/>
    </xf>
    <xf numFmtId="0" fontId="168" fillId="0" borderId="2" xfId="0" applyFont="1" applyBorder="1" applyAlignment="1">
      <alignment horizontal="left" vertical="center" wrapText="1"/>
    </xf>
    <xf numFmtId="14" fontId="168" fillId="0" borderId="2" xfId="0" applyNumberFormat="1" applyFont="1" applyBorder="1" applyAlignment="1">
      <alignment horizontal="center" vertical="center"/>
    </xf>
    <xf numFmtId="170" fontId="131" fillId="0" borderId="2" xfId="0" applyNumberFormat="1" applyFont="1" applyBorder="1" applyAlignment="1">
      <alignment horizontal="center" vertical="center"/>
    </xf>
    <xf numFmtId="14" fontId="142" fillId="0" borderId="2" xfId="0" applyNumberFormat="1" applyFont="1" applyBorder="1" applyAlignment="1">
      <alignment horizontal="center" vertical="center"/>
    </xf>
    <xf numFmtId="170" fontId="142" fillId="0" borderId="2" xfId="0" applyNumberFormat="1" applyFont="1" applyBorder="1" applyAlignment="1">
      <alignment horizontal="center" vertical="center"/>
    </xf>
    <xf numFmtId="0" fontId="168" fillId="0" borderId="3" xfId="0" applyFont="1" applyBorder="1" applyAlignment="1">
      <alignment horizontal="left" vertical="center"/>
    </xf>
    <xf numFmtId="0" fontId="168" fillId="0" borderId="3" xfId="0" applyFont="1" applyBorder="1" applyAlignment="1">
      <alignment horizontal="center" vertical="center"/>
    </xf>
    <xf numFmtId="0" fontId="136" fillId="0" borderId="2" xfId="0" applyFont="1" applyBorder="1" applyAlignment="1">
      <alignment horizontal="center"/>
    </xf>
    <xf numFmtId="174" fontId="136" fillId="0" borderId="2" xfId="0" applyNumberFormat="1" applyFont="1" applyBorder="1" applyAlignment="1">
      <alignment horizontal="center" vertical="center"/>
    </xf>
    <xf numFmtId="174" fontId="136" fillId="0" borderId="2" xfId="0" applyNumberFormat="1" applyFont="1" applyBorder="1" applyAlignment="1">
      <alignment horizontal="center"/>
    </xf>
    <xf numFmtId="0" fontId="70" fillId="0" borderId="2" xfId="0" applyFont="1" applyBorder="1" applyAlignment="1">
      <alignment horizontal="left" vertical="center"/>
    </xf>
    <xf numFmtId="0" fontId="70" fillId="0" borderId="0" xfId="0" applyFont="1" applyAlignment="1">
      <alignment horizontal="left" vertical="top"/>
    </xf>
    <xf numFmtId="0" fontId="172" fillId="9" borderId="2" xfId="0" applyFont="1" applyFill="1" applyBorder="1" applyAlignment="1">
      <alignment horizontal="left" vertical="top"/>
    </xf>
    <xf numFmtId="0" fontId="169" fillId="9" borderId="3" xfId="0" applyFont="1" applyFill="1" applyBorder="1" applyAlignment="1">
      <alignment horizontal="left"/>
    </xf>
    <xf numFmtId="0" fontId="69" fillId="0" borderId="2" xfId="0" applyFont="1" applyBorder="1" applyAlignment="1">
      <alignment horizontal="center"/>
    </xf>
    <xf numFmtId="0" fontId="0" fillId="31" borderId="0" xfId="0" applyFill="1"/>
    <xf numFmtId="0" fontId="249" fillId="0" borderId="4" xfId="0" applyFont="1" applyBorder="1" applyAlignment="1" applyProtection="1">
      <alignment horizontal="center" vertical="center" wrapText="1"/>
      <protection hidden="1"/>
    </xf>
    <xf numFmtId="0" fontId="249" fillId="0" borderId="4" xfId="0" applyFont="1" applyBorder="1" applyAlignment="1" applyProtection="1">
      <alignment vertical="center" wrapText="1"/>
      <protection hidden="1"/>
    </xf>
    <xf numFmtId="170" fontId="249" fillId="0" borderId="4" xfId="0" applyNumberFormat="1" applyFont="1" applyBorder="1" applyAlignment="1" applyProtection="1">
      <alignment horizontal="center" vertical="center"/>
      <protection hidden="1"/>
    </xf>
    <xf numFmtId="170" fontId="249" fillId="0" borderId="4" xfId="0" applyNumberFormat="1" applyFont="1" applyBorder="1" applyAlignment="1" applyProtection="1">
      <alignment horizontal="left" vertical="center" wrapText="1"/>
      <protection hidden="1"/>
    </xf>
    <xf numFmtId="0" fontId="249" fillId="0" borderId="2" xfId="0" applyFont="1" applyBorder="1" applyAlignment="1" applyProtection="1">
      <alignment horizontal="center" vertical="center" wrapText="1"/>
      <protection hidden="1"/>
    </xf>
    <xf numFmtId="0" fontId="249" fillId="0" borderId="2" xfId="0" applyFont="1" applyBorder="1" applyAlignment="1" applyProtection="1">
      <alignment vertical="center" wrapText="1"/>
      <protection hidden="1"/>
    </xf>
    <xf numFmtId="170" fontId="249" fillId="0" borderId="2" xfId="0" applyNumberFormat="1" applyFont="1" applyBorder="1" applyAlignment="1" applyProtection="1">
      <alignment horizontal="center" vertical="center"/>
      <protection hidden="1"/>
    </xf>
    <xf numFmtId="170" fontId="249" fillId="0" borderId="2" xfId="0" applyNumberFormat="1" applyFont="1" applyBorder="1" applyAlignment="1" applyProtection="1">
      <alignment vertical="center"/>
      <protection hidden="1"/>
    </xf>
    <xf numFmtId="170" fontId="249" fillId="0" borderId="2" xfId="0" applyNumberFormat="1" applyFont="1" applyBorder="1" applyAlignment="1" applyProtection="1">
      <alignment horizontal="center" vertical="center" wrapText="1"/>
      <protection hidden="1"/>
    </xf>
    <xf numFmtId="1" fontId="249" fillId="0" borderId="2" xfId="0" applyNumberFormat="1" applyFont="1" applyBorder="1" applyAlignment="1" applyProtection="1">
      <alignment horizontal="center" vertical="center"/>
      <protection hidden="1"/>
    </xf>
    <xf numFmtId="1" fontId="249" fillId="0" borderId="2" xfId="0" applyNumberFormat="1" applyFont="1" applyBorder="1" applyAlignment="1" applyProtection="1">
      <alignment horizontal="left" vertical="center" wrapText="1"/>
      <protection hidden="1"/>
    </xf>
    <xf numFmtId="0" fontId="249" fillId="5" borderId="2" xfId="0" applyFont="1" applyFill="1" applyBorder="1" applyAlignment="1" applyProtection="1">
      <alignment horizontal="center" vertical="center" wrapText="1"/>
      <protection hidden="1"/>
    </xf>
    <xf numFmtId="0" fontId="249" fillId="5" borderId="2" xfId="0" applyFont="1" applyFill="1" applyBorder="1" applyAlignment="1" applyProtection="1">
      <alignment vertical="center" wrapText="1"/>
      <protection hidden="1"/>
    </xf>
    <xf numFmtId="1" fontId="249" fillId="5" borderId="2" xfId="0" applyNumberFormat="1" applyFont="1" applyFill="1" applyBorder="1" applyAlignment="1" applyProtection="1">
      <alignment horizontal="center" vertical="center"/>
      <protection hidden="1"/>
    </xf>
    <xf numFmtId="1" fontId="249" fillId="5" borderId="2" xfId="0" applyNumberFormat="1" applyFont="1" applyFill="1" applyBorder="1" applyAlignment="1" applyProtection="1">
      <alignment horizontal="center" vertical="center" wrapText="1"/>
      <protection hidden="1"/>
    </xf>
    <xf numFmtId="1" fontId="249" fillId="3" borderId="2" xfId="0" applyNumberFormat="1" applyFont="1" applyFill="1" applyBorder="1" applyAlignment="1" applyProtection="1">
      <alignment horizontal="center" vertical="center"/>
      <protection hidden="1"/>
    </xf>
    <xf numFmtId="0" fontId="250" fillId="0" borderId="2" xfId="0" applyFont="1" applyBorder="1" applyAlignment="1" applyProtection="1">
      <alignment horizontal="center" vertical="center"/>
      <protection hidden="1"/>
    </xf>
    <xf numFmtId="170" fontId="249" fillId="5" borderId="2" xfId="0" applyNumberFormat="1" applyFont="1" applyFill="1" applyBorder="1" applyAlignment="1" applyProtection="1">
      <alignment horizontal="center" vertical="center"/>
      <protection hidden="1"/>
    </xf>
    <xf numFmtId="170" fontId="249" fillId="5" borderId="2" xfId="0" applyNumberFormat="1" applyFont="1" applyFill="1" applyBorder="1" applyAlignment="1" applyProtection="1">
      <alignment horizontal="center" vertical="center" wrapText="1"/>
      <protection hidden="1"/>
    </xf>
    <xf numFmtId="170" fontId="249" fillId="3" borderId="2" xfId="0" applyNumberFormat="1" applyFont="1" applyFill="1" applyBorder="1" applyAlignment="1" applyProtection="1">
      <alignment horizontal="center" vertical="center"/>
      <protection hidden="1"/>
    </xf>
    <xf numFmtId="0" fontId="250" fillId="3" borderId="33" xfId="0" applyFont="1" applyFill="1" applyBorder="1" applyProtection="1">
      <protection hidden="1"/>
    </xf>
    <xf numFmtId="1" fontId="251" fillId="3" borderId="33" xfId="0" applyNumberFormat="1" applyFont="1" applyFill="1" applyBorder="1" applyAlignment="1" applyProtection="1">
      <alignment horizontal="center" vertical="center"/>
      <protection hidden="1"/>
    </xf>
    <xf numFmtId="0" fontId="250" fillId="10" borderId="2" xfId="0" applyFont="1" applyFill="1" applyBorder="1" applyAlignment="1" applyProtection="1">
      <alignment horizontal="center"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wrapText="1"/>
      <protection hidden="1"/>
    </xf>
    <xf numFmtId="0" fontId="252" fillId="10" borderId="33" xfId="0" applyFont="1" applyFill="1" applyBorder="1" applyAlignment="1" applyProtection="1">
      <alignment horizontal="left" vertical="center" wrapText="1"/>
      <protection hidden="1"/>
    </xf>
    <xf numFmtId="0" fontId="252" fillId="10" borderId="2"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protection hidden="1"/>
    </xf>
    <xf numFmtId="0" fontId="142" fillId="0" borderId="2" xfId="0" applyFont="1" applyBorder="1" applyAlignment="1">
      <alignment horizontal="left" vertical="center" wrapText="1"/>
    </xf>
    <xf numFmtId="0" fontId="68" fillId="0" borderId="2" xfId="0" applyFont="1" applyBorder="1" applyAlignment="1">
      <alignment horizontal="center"/>
    </xf>
    <xf numFmtId="0" fontId="67" fillId="0" borderId="2" xfId="0" applyFont="1" applyBorder="1" applyAlignment="1">
      <alignment horizontal="center"/>
    </xf>
    <xf numFmtId="0" fontId="66" fillId="0" borderId="2" xfId="0" applyFont="1" applyBorder="1" applyAlignment="1">
      <alignment horizontal="center"/>
    </xf>
    <xf numFmtId="0" fontId="65" fillId="0" borderId="2" xfId="0" applyFont="1" applyBorder="1" applyAlignment="1">
      <alignment horizontal="center"/>
    </xf>
    <xf numFmtId="0" fontId="64" fillId="0" borderId="2" xfId="0" applyFont="1" applyBorder="1" applyAlignment="1">
      <alignment horizontal="center"/>
    </xf>
    <xf numFmtId="170" fontId="250" fillId="0" borderId="2" xfId="0" applyNumberFormat="1" applyFont="1" applyBorder="1" applyAlignment="1" applyProtection="1">
      <alignment horizontal="left" vertical="center" wrapText="1"/>
      <protection hidden="1"/>
    </xf>
    <xf numFmtId="0" fontId="63" fillId="0" borderId="2" xfId="0" applyFont="1" applyBorder="1"/>
    <xf numFmtId="0" fontId="63" fillId="0" borderId="2" xfId="0" applyFont="1" applyBorder="1" applyAlignment="1">
      <alignment horizontal="center"/>
    </xf>
    <xf numFmtId="0" fontId="62" fillId="0" borderId="2" xfId="0" applyFont="1" applyBorder="1" applyAlignment="1">
      <alignment horizontal="center"/>
    </xf>
    <xf numFmtId="0" fontId="172" fillId="0" borderId="0" xfId="0" applyFont="1"/>
    <xf numFmtId="0" fontId="61" fillId="0" borderId="2" xfId="0" applyFont="1" applyBorder="1" applyAlignment="1">
      <alignment horizontal="center"/>
    </xf>
    <xf numFmtId="0" fontId="59" fillId="0" borderId="2" xfId="0" applyFont="1" applyBorder="1" applyAlignment="1">
      <alignment horizontal="center"/>
    </xf>
    <xf numFmtId="14" fontId="59" fillId="0" borderId="2" xfId="0" applyNumberFormat="1" applyFont="1" applyBorder="1" applyAlignment="1">
      <alignment horizontal="center" vertical="center"/>
    </xf>
    <xf numFmtId="0" fontId="60" fillId="0" borderId="2" xfId="0" applyFont="1" applyBorder="1" applyAlignment="1">
      <alignment horizontal="center"/>
    </xf>
    <xf numFmtId="14" fontId="169" fillId="0" borderId="2" xfId="0" applyNumberFormat="1" applyFont="1" applyBorder="1" applyAlignment="1">
      <alignment horizontal="center" vertical="center"/>
    </xf>
    <xf numFmtId="14" fontId="169" fillId="0" borderId="2" xfId="0" applyNumberFormat="1" applyFont="1" applyBorder="1" applyAlignment="1">
      <alignment horizontal="center"/>
    </xf>
    <xf numFmtId="0" fontId="58" fillId="0" borderId="2" xfId="0" applyFont="1" applyBorder="1" applyAlignment="1">
      <alignment horizontal="center"/>
    </xf>
    <xf numFmtId="0" fontId="57" fillId="0" borderId="2" xfId="0" applyFont="1" applyBorder="1" applyAlignment="1">
      <alignment horizontal="center"/>
    </xf>
    <xf numFmtId="0" fontId="56" fillId="0" borderId="2" xfId="0" applyFont="1" applyBorder="1" applyAlignment="1">
      <alignment horizontal="center" vertical="center"/>
    </xf>
    <xf numFmtId="0" fontId="57" fillId="0" borderId="2" xfId="0" applyFont="1" applyBorder="1" applyAlignment="1">
      <alignment horizontal="center" vertical="center"/>
    </xf>
    <xf numFmtId="0" fontId="226" fillId="23" borderId="0" xfId="0" applyFont="1" applyFill="1" applyAlignment="1">
      <alignment wrapText="1"/>
    </xf>
    <xf numFmtId="1" fontId="225" fillId="15" borderId="42" xfId="1" applyNumberFormat="1" applyFont="1" applyFill="1" applyBorder="1" applyAlignment="1">
      <alignment horizontal="center" vertical="center"/>
    </xf>
    <xf numFmtId="1" fontId="228" fillId="15" borderId="42" xfId="1" applyNumberFormat="1" applyFont="1" applyFill="1" applyBorder="1" applyAlignment="1">
      <alignment horizontal="center" vertical="center"/>
    </xf>
    <xf numFmtId="0" fontId="55" fillId="0" borderId="2" xfId="0" applyFont="1" applyBorder="1" applyAlignment="1">
      <alignment horizontal="center"/>
    </xf>
    <xf numFmtId="0" fontId="54" fillId="0" borderId="2" xfId="0" applyFont="1" applyBorder="1" applyAlignment="1">
      <alignment horizontal="center"/>
    </xf>
    <xf numFmtId="0" fontId="53" fillId="0" borderId="2" xfId="0" applyFont="1" applyBorder="1" applyAlignment="1">
      <alignment horizontal="center"/>
    </xf>
    <xf numFmtId="0" fontId="52" fillId="0" borderId="2" xfId="0" applyFont="1" applyBorder="1" applyAlignment="1">
      <alignment horizontal="center"/>
    </xf>
    <xf numFmtId="0" fontId="52" fillId="0" borderId="0" xfId="0" applyFont="1"/>
    <xf numFmtId="0" fontId="51" fillId="0" borderId="2" xfId="0" applyFont="1" applyBorder="1" applyAlignment="1">
      <alignment horizontal="left"/>
    </xf>
    <xf numFmtId="14" fontId="169" fillId="0" borderId="3" xfId="0" applyNumberFormat="1" applyFont="1" applyBorder="1" applyAlignment="1">
      <alignment horizontal="center"/>
    </xf>
    <xf numFmtId="0" fontId="169" fillId="0" borderId="23" xfId="0" applyFont="1" applyBorder="1"/>
    <xf numFmtId="14" fontId="0" fillId="20" borderId="3" xfId="0" applyNumberFormat="1" applyFill="1" applyBorder="1" applyAlignment="1">
      <alignment vertical="center"/>
    </xf>
    <xf numFmtId="0" fontId="169" fillId="0" borderId="28" xfId="0" applyFont="1" applyBorder="1" applyAlignment="1">
      <alignment horizontal="left"/>
    </xf>
    <xf numFmtId="0" fontId="169" fillId="0" borderId="24" xfId="0" applyFont="1" applyBorder="1" applyAlignment="1">
      <alignment horizontal="left"/>
    </xf>
    <xf numFmtId="0" fontId="169" fillId="0" borderId="28" xfId="0" applyFont="1" applyBorder="1" applyAlignment="1">
      <alignment horizontal="center"/>
    </xf>
    <xf numFmtId="0" fontId="130" fillId="0" borderId="2" xfId="0" applyFont="1" applyBorder="1"/>
    <xf numFmtId="0" fontId="50" fillId="0" borderId="2" xfId="0" applyFont="1" applyBorder="1" applyAlignment="1">
      <alignment horizontal="center"/>
    </xf>
    <xf numFmtId="0" fontId="172" fillId="0" borderId="2" xfId="0" applyFont="1" applyBorder="1" applyAlignment="1">
      <alignment horizontal="center" vertical="top"/>
    </xf>
    <xf numFmtId="0" fontId="230" fillId="30" borderId="33" xfId="0" applyFont="1" applyFill="1" applyBorder="1" applyAlignment="1">
      <alignment horizontal="center" vertical="center"/>
    </xf>
    <xf numFmtId="1" fontId="228" fillId="0" borderId="2" xfId="1" applyNumberFormat="1" applyFont="1" applyFill="1" applyBorder="1" applyAlignment="1">
      <alignment horizontal="center" vertical="center"/>
    </xf>
    <xf numFmtId="0" fontId="225" fillId="0" borderId="2" xfId="0" applyFont="1" applyBorder="1" applyAlignment="1">
      <alignment horizontal="center" vertical="center"/>
    </xf>
    <xf numFmtId="0" fontId="230" fillId="18" borderId="0" xfId="0" applyFont="1" applyFill="1" applyAlignment="1">
      <alignment vertical="center"/>
    </xf>
    <xf numFmtId="0" fontId="236" fillId="0" borderId="0" xfId="0" applyFont="1" applyAlignment="1">
      <alignment vertical="center"/>
    </xf>
    <xf numFmtId="0" fontId="230" fillId="30" borderId="33" xfId="0" applyFont="1" applyFill="1" applyBorder="1" applyAlignment="1">
      <alignment vertical="center"/>
    </xf>
    <xf numFmtId="0" fontId="230" fillId="0" borderId="43" xfId="0" applyFont="1" applyBorder="1" applyAlignment="1">
      <alignment vertical="center"/>
    </xf>
    <xf numFmtId="0" fontId="230" fillId="30" borderId="46" xfId="0" applyFont="1" applyFill="1" applyBorder="1" applyAlignment="1">
      <alignment vertical="center"/>
    </xf>
    <xf numFmtId="0" fontId="230" fillId="3" borderId="46" xfId="0" applyFont="1" applyFill="1" applyBorder="1" applyAlignment="1">
      <alignment vertical="center"/>
    </xf>
    <xf numFmtId="0" fontId="230" fillId="3" borderId="35" xfId="0" applyFont="1" applyFill="1" applyBorder="1" applyAlignment="1">
      <alignment vertical="center"/>
    </xf>
    <xf numFmtId="0" fontId="230" fillId="30" borderId="35" xfId="0" applyFont="1" applyFill="1" applyBorder="1" applyAlignment="1">
      <alignment vertical="center"/>
    </xf>
    <xf numFmtId="0" fontId="230" fillId="3" borderId="20" xfId="0" applyFont="1" applyFill="1" applyBorder="1" applyAlignment="1">
      <alignment vertical="center"/>
    </xf>
    <xf numFmtId="0" fontId="229" fillId="0" borderId="4" xfId="0" applyFont="1" applyBorder="1" applyAlignment="1">
      <alignment horizontal="center" vertical="center"/>
    </xf>
    <xf numFmtId="0" fontId="49" fillId="0" borderId="2" xfId="0" applyFont="1" applyBorder="1" applyAlignment="1">
      <alignment horizontal="center" vertical="center"/>
    </xf>
    <xf numFmtId="0" fontId="49" fillId="0" borderId="2" xfId="0" applyFont="1" applyBorder="1" applyAlignment="1">
      <alignment horizontal="center"/>
    </xf>
    <xf numFmtId="0" fontId="48" fillId="0" borderId="2" xfId="0" applyFont="1" applyBorder="1"/>
    <xf numFmtId="0" fontId="48" fillId="0" borderId="2" xfId="0" applyFont="1" applyBorder="1" applyAlignment="1">
      <alignment horizontal="center"/>
    </xf>
    <xf numFmtId="0" fontId="47" fillId="0" borderId="2" xfId="0" applyFont="1" applyBorder="1" applyAlignment="1">
      <alignment horizontal="center"/>
    </xf>
    <xf numFmtId="0" fontId="45" fillId="0" borderId="2" xfId="0" applyFont="1" applyBorder="1" applyAlignment="1">
      <alignment horizontal="center"/>
    </xf>
    <xf numFmtId="0" fontId="169" fillId="0" borderId="24" xfId="0" applyFont="1" applyBorder="1" applyAlignment="1">
      <alignment horizontal="center"/>
    </xf>
    <xf numFmtId="0" fontId="46" fillId="0" borderId="3" xfId="0" applyFont="1" applyBorder="1" applyAlignment="1">
      <alignment horizontal="left"/>
    </xf>
    <xf numFmtId="0" fontId="44" fillId="0" borderId="2" xfId="0" applyFont="1" applyBorder="1" applyAlignment="1">
      <alignment horizontal="center"/>
    </xf>
    <xf numFmtId="0" fontId="44" fillId="20" borderId="0" xfId="0" applyFont="1" applyFill="1"/>
    <xf numFmtId="0" fontId="43" fillId="0" borderId="2" xfId="0" applyFont="1" applyBorder="1" applyAlignment="1">
      <alignment horizontal="center"/>
    </xf>
    <xf numFmtId="0" fontId="43" fillId="0" borderId="2" xfId="0" applyFont="1" applyBorder="1"/>
    <xf numFmtId="14" fontId="169" fillId="0" borderId="2" xfId="0" applyNumberFormat="1" applyFont="1" applyBorder="1" applyAlignment="1">
      <alignment horizontal="left" vertical="center"/>
    </xf>
    <xf numFmtId="0" fontId="42" fillId="0" borderId="2" xfId="0" applyFont="1" applyBorder="1" applyAlignment="1">
      <alignment horizontal="center"/>
    </xf>
    <xf numFmtId="0" fontId="41" fillId="0" borderId="2" xfId="0" applyFont="1" applyBorder="1" applyAlignment="1">
      <alignment horizontal="center"/>
    </xf>
    <xf numFmtId="0" fontId="172" fillId="0" borderId="2" xfId="0" applyFont="1" applyBorder="1" applyAlignment="1">
      <alignment wrapText="1"/>
    </xf>
    <xf numFmtId="0" fontId="40" fillId="0" borderId="0" xfId="0" applyFont="1"/>
    <xf numFmtId="0" fontId="39" fillId="0" borderId="2" xfId="0" applyFont="1" applyBorder="1" applyAlignment="1">
      <alignment horizontal="center"/>
    </xf>
    <xf numFmtId="0" fontId="39" fillId="0" borderId="0" xfId="0" applyFont="1"/>
    <xf numFmtId="14" fontId="0" fillId="0" borderId="0" xfId="0" applyNumberFormat="1"/>
    <xf numFmtId="14" fontId="39" fillId="0" borderId="0" xfId="0" applyNumberFormat="1" applyFont="1"/>
    <xf numFmtId="14" fontId="169" fillId="0" borderId="2" xfId="0" applyNumberFormat="1" applyFont="1" applyBorder="1" applyAlignment="1">
      <alignment horizontal="left"/>
    </xf>
    <xf numFmtId="0" fontId="40" fillId="0" borderId="2" xfId="0" applyFont="1" applyBorder="1" applyAlignment="1">
      <alignment horizontal="center"/>
    </xf>
    <xf numFmtId="0" fontId="38" fillId="0" borderId="2" xfId="0" applyFont="1" applyBorder="1" applyAlignment="1">
      <alignment horizontal="center"/>
    </xf>
    <xf numFmtId="14" fontId="37" fillId="0" borderId="0" xfId="0" applyNumberFormat="1" applyFont="1"/>
    <xf numFmtId="0" fontId="37" fillId="9" borderId="0" xfId="0" applyFont="1" applyFill="1"/>
    <xf numFmtId="0" fontId="37" fillId="20" borderId="0" xfId="0" applyFont="1" applyFill="1"/>
    <xf numFmtId="0" fontId="35" fillId="0" borderId="2" xfId="0" applyFont="1" applyBorder="1" applyAlignment="1">
      <alignment horizontal="center"/>
    </xf>
    <xf numFmtId="0" fontId="50" fillId="0" borderId="2" xfId="0" applyFont="1" applyBorder="1" applyAlignment="1">
      <alignment horizontal="left"/>
    </xf>
    <xf numFmtId="0" fontId="55" fillId="0" borderId="2" xfId="0" applyFont="1" applyBorder="1" applyAlignment="1">
      <alignment horizontal="left"/>
    </xf>
    <xf numFmtId="0" fontId="47" fillId="0" borderId="2" xfId="0" applyFont="1" applyBorder="1" applyAlignment="1">
      <alignment horizontal="left"/>
    </xf>
    <xf numFmtId="0" fontId="54" fillId="0" borderId="2" xfId="0" applyFont="1" applyBorder="1" applyAlignment="1">
      <alignment horizontal="left"/>
    </xf>
    <xf numFmtId="0" fontId="43" fillId="0" borderId="2" xfId="0" applyFont="1" applyBorder="1" applyAlignment="1">
      <alignment horizontal="left"/>
    </xf>
    <xf numFmtId="0" fontId="44" fillId="0" borderId="2" xfId="0" applyFont="1" applyBorder="1" applyAlignment="1">
      <alignment horizontal="left"/>
    </xf>
    <xf numFmtId="0" fontId="45" fillId="0" borderId="2" xfId="0" applyFont="1" applyBorder="1" applyAlignment="1">
      <alignment horizontal="left"/>
    </xf>
    <xf numFmtId="0" fontId="41" fillId="0" borderId="2" xfId="0" applyFont="1" applyBorder="1" applyAlignment="1">
      <alignment horizontal="left"/>
    </xf>
    <xf numFmtId="0" fontId="35" fillId="0" borderId="0" xfId="0" applyFont="1"/>
    <xf numFmtId="0" fontId="35" fillId="20" borderId="0" xfId="0" applyFont="1" applyFill="1"/>
    <xf numFmtId="0" fontId="39" fillId="0" borderId="2" xfId="0" applyFont="1" applyBorder="1" applyAlignment="1">
      <alignment horizontal="left"/>
    </xf>
    <xf numFmtId="0" fontId="169" fillId="0" borderId="2" xfId="0" applyFont="1" applyBorder="1" applyAlignment="1">
      <alignment horizontal="left" vertical="center" wrapText="1"/>
    </xf>
    <xf numFmtId="14" fontId="87" fillId="0" borderId="2" xfId="0" applyNumberFormat="1" applyFont="1" applyBorder="1" applyAlignment="1">
      <alignment horizontal="left" vertical="center"/>
    </xf>
    <xf numFmtId="14" fontId="81" fillId="0" borderId="2" xfId="0" applyNumberFormat="1" applyFont="1" applyBorder="1" applyAlignment="1">
      <alignment horizontal="left" vertical="center"/>
    </xf>
    <xf numFmtId="14" fontId="80" fillId="0" borderId="2" xfId="0" applyNumberFormat="1" applyFont="1" applyBorder="1" applyAlignment="1">
      <alignment horizontal="left" vertical="center"/>
    </xf>
    <xf numFmtId="14" fontId="75" fillId="0" borderId="2" xfId="0" applyNumberFormat="1" applyFont="1" applyBorder="1" applyAlignment="1">
      <alignment horizontal="left" vertical="center"/>
    </xf>
    <xf numFmtId="0" fontId="169" fillId="0" borderId="2" xfId="0" applyFont="1" applyBorder="1" applyAlignment="1">
      <alignment horizontal="left" wrapText="1"/>
    </xf>
    <xf numFmtId="0" fontId="48" fillId="0" borderId="2" xfId="0" applyFont="1" applyBorder="1" applyAlignment="1">
      <alignment horizontal="left"/>
    </xf>
    <xf numFmtId="0" fontId="48" fillId="0" borderId="2" xfId="0" applyFont="1" applyBorder="1" applyAlignment="1">
      <alignment horizontal="left" vertical="center"/>
    </xf>
    <xf numFmtId="14" fontId="0" fillId="15" borderId="0" xfId="0" applyNumberFormat="1" applyFill="1"/>
    <xf numFmtId="0" fontId="172" fillId="9" borderId="2" xfId="0" applyFont="1" applyFill="1" applyBorder="1" applyAlignment="1">
      <alignment horizontal="left"/>
    </xf>
    <xf numFmtId="14" fontId="169" fillId="3" borderId="2" xfId="0" applyNumberFormat="1" applyFont="1" applyFill="1" applyBorder="1" applyAlignment="1">
      <alignment horizontal="left"/>
    </xf>
    <xf numFmtId="14" fontId="169" fillId="9" borderId="2" xfId="0" applyNumberFormat="1" applyFont="1" applyFill="1" applyBorder="1" applyAlignment="1">
      <alignment horizontal="left"/>
    </xf>
    <xf numFmtId="14" fontId="169" fillId="3" borderId="2" xfId="0" applyNumberFormat="1" applyFont="1" applyFill="1" applyBorder="1" applyAlignment="1">
      <alignment horizontal="left" vertical="center"/>
    </xf>
    <xf numFmtId="14" fontId="169" fillId="0" borderId="2" xfId="0" applyNumberFormat="1" applyFont="1" applyBorder="1" applyAlignment="1">
      <alignment horizontal="left" vertical="top"/>
    </xf>
    <xf numFmtId="14" fontId="169" fillId="0" borderId="3" xfId="0" applyNumberFormat="1" applyFont="1" applyBorder="1" applyAlignment="1">
      <alignment horizontal="left" vertical="center"/>
    </xf>
    <xf numFmtId="14" fontId="169" fillId="0" borderId="3" xfId="0" applyNumberFormat="1" applyFont="1" applyBorder="1" applyAlignment="1">
      <alignment horizontal="left"/>
    </xf>
    <xf numFmtId="14" fontId="169" fillId="0" borderId="3" xfId="0" applyNumberFormat="1" applyFont="1" applyBorder="1" applyAlignment="1">
      <alignment horizontal="left" vertical="top"/>
    </xf>
    <xf numFmtId="1" fontId="225" fillId="0" borderId="42" xfId="1" applyNumberFormat="1" applyFont="1" applyFill="1" applyBorder="1" applyAlignment="1">
      <alignment horizontal="center" vertical="center" wrapText="1"/>
    </xf>
    <xf numFmtId="0" fontId="33" fillId="0" borderId="2" xfId="0" applyFont="1" applyBorder="1" applyAlignment="1">
      <alignment horizontal="center"/>
    </xf>
    <xf numFmtId="0" fontId="230" fillId="0" borderId="2" xfId="0" applyFont="1" applyBorder="1" applyAlignment="1">
      <alignment vertical="center"/>
    </xf>
    <xf numFmtId="0" fontId="36" fillId="0" borderId="3" xfId="0" applyFont="1" applyBorder="1" applyAlignment="1">
      <alignment horizontal="left"/>
    </xf>
    <xf numFmtId="0" fontId="32" fillId="0" borderId="2" xfId="0" applyFont="1" applyBorder="1" applyAlignment="1">
      <alignment horizontal="center"/>
    </xf>
    <xf numFmtId="0" fontId="32" fillId="20" borderId="0" xfId="0" applyFont="1" applyFill="1"/>
    <xf numFmtId="0" fontId="31" fillId="0" borderId="2" xfId="0" applyFont="1" applyBorder="1" applyAlignment="1">
      <alignment horizontal="left"/>
    </xf>
    <xf numFmtId="0" fontId="35" fillId="9" borderId="0" xfId="0" applyFont="1" applyFill="1"/>
    <xf numFmtId="0" fontId="30" fillId="0" borderId="2" xfId="0" applyFont="1" applyBorder="1" applyAlignment="1">
      <alignment horizontal="center"/>
    </xf>
    <xf numFmtId="0" fontId="30" fillId="0" borderId="0" xfId="0" applyFont="1"/>
    <xf numFmtId="14" fontId="0" fillId="0" borderId="2" xfId="0" applyNumberFormat="1" applyBorder="1" applyAlignment="1">
      <alignment horizontal="left"/>
    </xf>
    <xf numFmtId="0" fontId="38" fillId="0" borderId="2" xfId="0" applyFont="1" applyBorder="1" applyAlignment="1">
      <alignment horizontal="left"/>
    </xf>
    <xf numFmtId="14" fontId="39" fillId="0" borderId="2" xfId="0" applyNumberFormat="1" applyFont="1" applyBorder="1" applyAlignment="1">
      <alignment horizontal="left"/>
    </xf>
    <xf numFmtId="0" fontId="35" fillId="0" borderId="2" xfId="0" applyFont="1" applyBorder="1" applyAlignment="1">
      <alignment horizontal="left"/>
    </xf>
    <xf numFmtId="14" fontId="34" fillId="0" borderId="2" xfId="0" applyNumberFormat="1" applyFont="1" applyBorder="1" applyAlignment="1">
      <alignment horizontal="left"/>
    </xf>
    <xf numFmtId="0" fontId="40" fillId="0" borderId="2" xfId="0" applyFont="1" applyBorder="1" applyAlignment="1">
      <alignment horizontal="left"/>
    </xf>
    <xf numFmtId="0" fontId="33" fillId="0" borderId="2" xfId="0" applyFont="1" applyBorder="1" applyAlignment="1">
      <alignment horizontal="left"/>
    </xf>
    <xf numFmtId="0" fontId="32" fillId="0" borderId="2" xfId="0" applyFont="1" applyBorder="1" applyAlignment="1">
      <alignment horizontal="left"/>
    </xf>
    <xf numFmtId="0" fontId="31" fillId="0" borderId="2" xfId="0" applyFont="1" applyBorder="1" applyAlignment="1">
      <alignment horizontal="center"/>
    </xf>
    <xf numFmtId="0" fontId="29" fillId="0" borderId="0" xfId="0" applyFont="1"/>
    <xf numFmtId="0" fontId="29" fillId="0" borderId="2" xfId="0" applyFont="1" applyBorder="1"/>
    <xf numFmtId="0" fontId="29" fillId="0" borderId="2" xfId="0" applyFont="1" applyBorder="1" applyAlignment="1">
      <alignment horizontal="left"/>
    </xf>
    <xf numFmtId="0" fontId="77" fillId="0" borderId="2" xfId="0" applyFont="1" applyBorder="1"/>
    <xf numFmtId="0" fontId="142" fillId="0" borderId="0" xfId="0" applyFont="1"/>
    <xf numFmtId="0" fontId="142" fillId="0" borderId="2" xfId="0" applyFont="1" applyBorder="1"/>
    <xf numFmtId="170" fontId="130" fillId="0" borderId="2" xfId="0" applyNumberFormat="1" applyFont="1" applyBorder="1" applyAlignment="1">
      <alignment horizontal="center" vertical="center"/>
    </xf>
    <xf numFmtId="0" fontId="29" fillId="0" borderId="0" xfId="0" applyFont="1" applyAlignment="1">
      <alignment horizontal="center"/>
    </xf>
    <xf numFmtId="0" fontId="142" fillId="0" borderId="2" xfId="0" applyFont="1" applyBorder="1" applyAlignment="1">
      <alignment vertical="center"/>
    </xf>
    <xf numFmtId="14" fontId="29" fillId="0" borderId="2" xfId="0" applyNumberFormat="1" applyFont="1" applyBorder="1" applyAlignment="1">
      <alignment vertical="center"/>
    </xf>
    <xf numFmtId="0" fontId="28" fillId="0" borderId="2" xfId="0" applyFont="1" applyBorder="1" applyAlignment="1">
      <alignment horizontal="center"/>
    </xf>
    <xf numFmtId="0" fontId="28" fillId="0" borderId="2" xfId="0" applyFont="1" applyBorder="1" applyAlignment="1">
      <alignment horizontal="left"/>
    </xf>
    <xf numFmtId="0" fontId="27" fillId="0" borderId="2" xfId="0" applyFont="1" applyBorder="1" applyAlignment="1">
      <alignment horizontal="center"/>
    </xf>
    <xf numFmtId="0" fontId="26" fillId="0" borderId="2" xfId="0" applyFont="1" applyBorder="1" applyAlignment="1">
      <alignment horizontal="left"/>
    </xf>
    <xf numFmtId="0" fontId="25" fillId="0" borderId="2" xfId="0" applyFont="1" applyBorder="1" applyAlignment="1">
      <alignment horizontal="left"/>
    </xf>
    <xf numFmtId="14" fontId="25" fillId="0" borderId="2" xfId="0" applyNumberFormat="1" applyFont="1" applyBorder="1" applyAlignment="1">
      <alignment horizontal="left"/>
    </xf>
    <xf numFmtId="0" fontId="28" fillId="20" borderId="2" xfId="0" applyFont="1" applyFill="1" applyBorder="1" applyAlignment="1">
      <alignment horizontal="center"/>
    </xf>
    <xf numFmtId="0" fontId="25" fillId="0" borderId="0" xfId="0" applyFont="1"/>
    <xf numFmtId="14" fontId="25" fillId="0" borderId="0" xfId="0" applyNumberFormat="1" applyFont="1"/>
    <xf numFmtId="165" fontId="0" fillId="0" borderId="0" xfId="0" applyNumberFormat="1"/>
    <xf numFmtId="0" fontId="258" fillId="0" borderId="0" xfId="50"/>
    <xf numFmtId="0" fontId="259" fillId="0" borderId="0" xfId="0" applyFont="1"/>
    <xf numFmtId="165" fontId="259" fillId="0" borderId="0" xfId="0" applyNumberFormat="1" applyFont="1"/>
    <xf numFmtId="0" fontId="25" fillId="0" borderId="0" xfId="0" applyFont="1" applyAlignment="1">
      <alignment wrapText="1"/>
    </xf>
    <xf numFmtId="165" fontId="0" fillId="0" borderId="0" xfId="0" applyNumberFormat="1" applyAlignment="1">
      <alignment vertical="center"/>
    </xf>
    <xf numFmtId="0" fontId="260" fillId="0" borderId="0" xfId="0" applyFont="1"/>
    <xf numFmtId="165" fontId="260" fillId="0" borderId="0" xfId="0" applyNumberFormat="1" applyFont="1"/>
    <xf numFmtId="0" fontId="25" fillId="0" borderId="2" xfId="0" applyFont="1" applyBorder="1" applyAlignment="1">
      <alignment horizontal="center"/>
    </xf>
    <xf numFmtId="14" fontId="24" fillId="0" borderId="2" xfId="0" applyNumberFormat="1" applyFont="1" applyBorder="1" applyAlignment="1">
      <alignment horizontal="left"/>
    </xf>
    <xf numFmtId="0" fontId="24" fillId="0" borderId="2" xfId="0" applyFont="1" applyBorder="1" applyAlignment="1">
      <alignment horizontal="center"/>
    </xf>
    <xf numFmtId="0" fontId="24" fillId="0" borderId="2" xfId="0" applyFont="1" applyBorder="1"/>
    <xf numFmtId="0" fontId="24" fillId="0" borderId="2" xfId="0" applyFont="1" applyBorder="1" applyAlignment="1">
      <alignment horizontal="left"/>
    </xf>
    <xf numFmtId="0" fontId="27" fillId="0" borderId="2" xfId="0" applyFont="1" applyBorder="1" applyAlignment="1">
      <alignment horizontal="left"/>
    </xf>
    <xf numFmtId="0" fontId="29" fillId="0" borderId="2" xfId="0" applyFont="1" applyBorder="1" applyAlignment="1">
      <alignment horizontal="center"/>
    </xf>
    <xf numFmtId="0" fontId="26" fillId="0" borderId="2" xfId="0" applyFont="1" applyBorder="1" applyAlignment="1">
      <alignment horizontal="center"/>
    </xf>
    <xf numFmtId="0" fontId="27" fillId="20" borderId="2" xfId="0" applyFont="1" applyFill="1" applyBorder="1" applyAlignment="1">
      <alignment horizontal="center"/>
    </xf>
    <xf numFmtId="0" fontId="27" fillId="20" borderId="2" xfId="0" applyFont="1" applyFill="1" applyBorder="1" applyAlignment="1">
      <alignment horizontal="left"/>
    </xf>
    <xf numFmtId="0" fontId="39" fillId="20" borderId="2" xfId="0" applyFont="1" applyFill="1" applyBorder="1" applyAlignment="1">
      <alignment horizontal="left"/>
    </xf>
    <xf numFmtId="14" fontId="0" fillId="20" borderId="2" xfId="0" applyNumberFormat="1" applyFill="1" applyBorder="1" applyAlignment="1">
      <alignment horizontal="left"/>
    </xf>
    <xf numFmtId="2" fontId="142" fillId="0" borderId="2" xfId="0" applyNumberFormat="1" applyFont="1" applyBorder="1" applyAlignment="1">
      <alignment horizontal="center" vertical="center"/>
    </xf>
    <xf numFmtId="0" fontId="23" fillId="0" borderId="2" xfId="0" applyFont="1" applyBorder="1" applyAlignment="1">
      <alignment horizontal="center"/>
    </xf>
    <xf numFmtId="0" fontId="23" fillId="0" borderId="2" xfId="0" applyFont="1" applyBorder="1" applyAlignment="1">
      <alignment horizontal="left"/>
    </xf>
    <xf numFmtId="0" fontId="22" fillId="0" borderId="2" xfId="0" applyFont="1" applyBorder="1" applyAlignment="1">
      <alignment horizontal="left"/>
    </xf>
    <xf numFmtId="0" fontId="230" fillId="30" borderId="28" xfId="0" applyFont="1" applyFill="1" applyBorder="1" applyAlignment="1">
      <alignment vertical="center"/>
    </xf>
    <xf numFmtId="1" fontId="261" fillId="0" borderId="2" xfId="0" applyNumberFormat="1" applyFont="1" applyBorder="1" applyAlignment="1" applyProtection="1">
      <alignment horizontal="left" vertical="center" wrapText="1"/>
      <protection hidden="1"/>
    </xf>
    <xf numFmtId="0" fontId="21" fillId="0" borderId="2" xfId="0" applyFont="1" applyBorder="1" applyAlignment="1">
      <alignment horizontal="center"/>
    </xf>
    <xf numFmtId="0" fontId="194" fillId="0" borderId="2" xfId="0" applyFont="1" applyBorder="1" applyAlignment="1">
      <alignment horizontal="center" wrapText="1"/>
    </xf>
    <xf numFmtId="0" fontId="20" fillId="0" borderId="2" xfId="0" applyFont="1" applyBorder="1"/>
    <xf numFmtId="0" fontId="22" fillId="0" borderId="2" xfId="0" applyFont="1" applyBorder="1" applyAlignment="1">
      <alignment horizontal="center"/>
    </xf>
    <xf numFmtId="0" fontId="20" fillId="0" borderId="2" xfId="0" applyFont="1" applyBorder="1" applyAlignment="1">
      <alignment horizontal="center"/>
    </xf>
    <xf numFmtId="14" fontId="19" fillId="0" borderId="2" xfId="0" applyNumberFormat="1" applyFont="1" applyBorder="1" applyAlignment="1">
      <alignment horizontal="center"/>
    </xf>
    <xf numFmtId="14" fontId="19" fillId="0" borderId="2" xfId="0" applyNumberFormat="1" applyFont="1" applyBorder="1" applyAlignment="1">
      <alignment vertical="center"/>
    </xf>
    <xf numFmtId="0" fontId="169" fillId="9" borderId="2" xfId="0" applyFont="1" applyFill="1" applyBorder="1" applyAlignment="1">
      <alignment vertical="center"/>
    </xf>
    <xf numFmtId="14" fontId="169" fillId="9" borderId="2" xfId="0" applyNumberFormat="1" applyFont="1" applyFill="1" applyBorder="1" applyAlignment="1">
      <alignment horizontal="center"/>
    </xf>
    <xf numFmtId="14" fontId="0" fillId="9" borderId="2" xfId="0" applyNumberFormat="1" applyFill="1" applyBorder="1" applyAlignment="1">
      <alignment vertical="center"/>
    </xf>
    <xf numFmtId="0" fontId="169" fillId="9" borderId="0" xfId="0" applyFont="1" applyFill="1"/>
    <xf numFmtId="0" fontId="169" fillId="9" borderId="3" xfId="0" applyFont="1" applyFill="1" applyBorder="1" applyAlignment="1">
      <alignment horizontal="center"/>
    </xf>
    <xf numFmtId="14" fontId="0" fillId="9" borderId="3" xfId="0" applyNumberFormat="1" applyFill="1" applyBorder="1" applyAlignment="1">
      <alignment vertical="center"/>
    </xf>
    <xf numFmtId="0" fontId="169" fillId="9" borderId="0" xfId="0" applyFont="1" applyFill="1" applyAlignment="1">
      <alignment horizontal="left"/>
    </xf>
    <xf numFmtId="0" fontId="18" fillId="0" borderId="2" xfId="0" applyFont="1" applyBorder="1" applyAlignment="1">
      <alignment horizontal="center"/>
    </xf>
    <xf numFmtId="0" fontId="63" fillId="0" borderId="0" xfId="0" applyFont="1" applyAlignment="1">
      <alignment horizontal="center"/>
    </xf>
    <xf numFmtId="0" fontId="69" fillId="0" borderId="0" xfId="0" applyFont="1" applyAlignment="1">
      <alignment horizontal="center"/>
    </xf>
    <xf numFmtId="0" fontId="18" fillId="0" borderId="2" xfId="0" applyFont="1" applyBorder="1" applyAlignment="1">
      <alignment horizontal="left"/>
    </xf>
    <xf numFmtId="0" fontId="17" fillId="0" borderId="2" xfId="0" applyFont="1" applyBorder="1" applyAlignment="1">
      <alignment horizontal="center"/>
    </xf>
    <xf numFmtId="0" fontId="20" fillId="0" borderId="2" xfId="0" applyFont="1" applyBorder="1" applyAlignment="1">
      <alignment horizontal="left"/>
    </xf>
    <xf numFmtId="0" fontId="17" fillId="0" borderId="2" xfId="0" applyFont="1" applyBorder="1" applyAlignment="1">
      <alignment horizontal="left"/>
    </xf>
    <xf numFmtId="1" fontId="239" fillId="0" borderId="42" xfId="1" applyNumberFormat="1" applyFont="1" applyFill="1" applyBorder="1" applyAlignment="1">
      <alignment horizontal="center" vertical="center"/>
    </xf>
    <xf numFmtId="0" fontId="16" fillId="0" borderId="0" xfId="0" applyFont="1"/>
    <xf numFmtId="0" fontId="16" fillId="0" borderId="2" xfId="0" applyFont="1" applyBorder="1" applyAlignment="1">
      <alignment horizontal="center"/>
    </xf>
    <xf numFmtId="0" fontId="16" fillId="0" borderId="2" xfId="0" applyFont="1" applyBorder="1" applyAlignment="1">
      <alignment horizontal="left"/>
    </xf>
    <xf numFmtId="0" fontId="15" fillId="0" borderId="2" xfId="0" applyFont="1" applyBorder="1" applyAlignment="1">
      <alignment horizontal="center"/>
    </xf>
    <xf numFmtId="14" fontId="15" fillId="0" borderId="2" xfId="0" applyNumberFormat="1" applyFont="1" applyBorder="1" applyAlignment="1">
      <alignment horizontal="left"/>
    </xf>
    <xf numFmtId="0" fontId="15" fillId="0" borderId="2" xfId="0" applyFont="1" applyBorder="1" applyAlignment="1">
      <alignment horizontal="left"/>
    </xf>
    <xf numFmtId="0" fontId="169" fillId="3" borderId="2" xfId="0" applyFont="1" applyFill="1" applyBorder="1" applyAlignment="1">
      <alignment horizontal="center" vertical="top"/>
    </xf>
    <xf numFmtId="0" fontId="109" fillId="0" borderId="2" xfId="0" applyFont="1" applyBorder="1" applyAlignment="1">
      <alignment horizontal="center"/>
    </xf>
    <xf numFmtId="0" fontId="172" fillId="0" borderId="2" xfId="0" applyFont="1" applyBorder="1" applyAlignment="1">
      <alignment horizontal="center"/>
    </xf>
    <xf numFmtId="16" fontId="21" fillId="0" borderId="2" xfId="0" quotePrefix="1" applyNumberFormat="1" applyFont="1" applyBorder="1" applyAlignment="1">
      <alignment horizontal="center"/>
    </xf>
    <xf numFmtId="175" fontId="0" fillId="0" borderId="2" xfId="0" applyNumberFormat="1" applyBorder="1" applyAlignment="1">
      <alignment horizontal="center" vertical="center"/>
    </xf>
    <xf numFmtId="175" fontId="0" fillId="0" borderId="2" xfId="0" applyNumberFormat="1" applyBorder="1" applyAlignment="1">
      <alignment horizontal="center"/>
    </xf>
    <xf numFmtId="175" fontId="0" fillId="0" borderId="2" xfId="0" applyNumberFormat="1" applyBorder="1"/>
    <xf numFmtId="175" fontId="0" fillId="0" borderId="3" xfId="0" applyNumberFormat="1" applyBorder="1" applyAlignment="1">
      <alignment horizontal="center"/>
    </xf>
    <xf numFmtId="175" fontId="0" fillId="0" borderId="2" xfId="0" applyNumberFormat="1" applyBorder="1" applyAlignment="1">
      <alignment horizontal="right"/>
    </xf>
    <xf numFmtId="175" fontId="50" fillId="0" borderId="2" xfId="0" applyNumberFormat="1" applyFont="1" applyBorder="1"/>
    <xf numFmtId="175" fontId="0" fillId="30" borderId="2" xfId="0" applyNumberFormat="1" applyFill="1" applyBorder="1" applyAlignment="1">
      <alignment horizontal="center" vertical="center"/>
    </xf>
    <xf numFmtId="0" fontId="14" fillId="0" borderId="2" xfId="0" applyFont="1" applyBorder="1" applyAlignment="1">
      <alignment horizontal="center"/>
    </xf>
    <xf numFmtId="0" fontId="13" fillId="0" borderId="2" xfId="0" applyFont="1" applyBorder="1"/>
    <xf numFmtId="0" fontId="13" fillId="0" borderId="2" xfId="0" applyFont="1" applyBorder="1" applyAlignment="1">
      <alignment horizontal="center"/>
    </xf>
    <xf numFmtId="0" fontId="13" fillId="0" borderId="2" xfId="0" applyFont="1" applyBorder="1" applyAlignment="1">
      <alignment horizontal="left"/>
    </xf>
    <xf numFmtId="0" fontId="12" fillId="0" borderId="2" xfId="0" applyFont="1" applyBorder="1" applyAlignment="1">
      <alignment horizontal="center"/>
    </xf>
    <xf numFmtId="0" fontId="12" fillId="0" borderId="2" xfId="0" applyFont="1" applyBorder="1"/>
    <xf numFmtId="14" fontId="12" fillId="0" borderId="2" xfId="0" applyNumberFormat="1" applyFont="1" applyBorder="1" applyAlignment="1">
      <alignment horizontal="center"/>
    </xf>
    <xf numFmtId="0" fontId="25" fillId="9" borderId="0" xfId="0" applyFont="1" applyFill="1"/>
    <xf numFmtId="14" fontId="11" fillId="0" borderId="2" xfId="0" applyNumberFormat="1" applyFont="1" applyBorder="1" applyAlignment="1">
      <alignment horizontal="center"/>
    </xf>
    <xf numFmtId="0" fontId="11" fillId="0" borderId="2" xfId="0" applyFont="1" applyBorder="1" applyAlignment="1">
      <alignment horizontal="center"/>
    </xf>
    <xf numFmtId="0" fontId="17" fillId="9" borderId="2" xfId="0" applyFont="1" applyFill="1" applyBorder="1" applyAlignment="1">
      <alignment horizontal="left"/>
    </xf>
    <xf numFmtId="0" fontId="13" fillId="9" borderId="2" xfId="0" applyFont="1" applyFill="1" applyBorder="1"/>
    <xf numFmtId="0" fontId="9" fillId="0" borderId="0" xfId="0" applyFont="1"/>
    <xf numFmtId="14" fontId="0" fillId="9" borderId="2" xfId="0" applyNumberFormat="1" applyFill="1" applyBorder="1" applyAlignment="1">
      <alignment horizontal="center"/>
    </xf>
    <xf numFmtId="0" fontId="8" fillId="0" borderId="0" xfId="0" applyFont="1"/>
    <xf numFmtId="0" fontId="8" fillId="0" borderId="2" xfId="0" applyFont="1" applyBorder="1" applyAlignment="1">
      <alignment horizontal="center"/>
    </xf>
    <xf numFmtId="0" fontId="8" fillId="0" borderId="2" xfId="0" applyFont="1" applyBorder="1"/>
    <xf numFmtId="0" fontId="241" fillId="0" borderId="2" xfId="0" applyFont="1" applyBorder="1" applyAlignment="1">
      <alignment horizontal="center" vertical="center" wrapText="1" readingOrder="1"/>
    </xf>
    <xf numFmtId="0" fontId="241" fillId="0" borderId="2" xfId="0" applyFont="1" applyBorder="1" applyAlignment="1">
      <alignment horizontal="left" vertical="center" readingOrder="1"/>
    </xf>
    <xf numFmtId="0" fontId="148" fillId="0" borderId="2" xfId="0" applyFont="1" applyBorder="1" applyAlignment="1">
      <alignment horizontal="left" vertical="center" wrapText="1"/>
    </xf>
    <xf numFmtId="0" fontId="148" fillId="0" borderId="3" xfId="0" applyFont="1" applyBorder="1" applyAlignment="1">
      <alignment horizontal="left" vertical="center" wrapText="1"/>
    </xf>
    <xf numFmtId="0" fontId="265" fillId="0" borderId="2" xfId="0" applyFont="1" applyBorder="1" applyAlignment="1">
      <alignment horizontal="center" vertical="center" wrapText="1" readingOrder="1"/>
    </xf>
    <xf numFmtId="0" fontId="265" fillId="0" borderId="2" xfId="0" applyFont="1" applyBorder="1" applyAlignment="1">
      <alignment horizontal="left" vertical="center" readingOrder="1"/>
    </xf>
    <xf numFmtId="0" fontId="266" fillId="0" borderId="2" xfId="0" applyFont="1" applyBorder="1" applyAlignment="1">
      <alignment horizontal="center" vertical="center" wrapText="1" readingOrder="1"/>
    </xf>
    <xf numFmtId="0" fontId="266" fillId="0" borderId="2" xfId="0" applyFont="1" applyBorder="1" applyAlignment="1">
      <alignment horizontal="left" vertical="center" readingOrder="1"/>
    </xf>
    <xf numFmtId="0" fontId="267" fillId="0" borderId="2" xfId="0" applyFont="1" applyBorder="1" applyAlignment="1">
      <alignment horizontal="center" vertical="center" wrapText="1" readingOrder="1"/>
    </xf>
    <xf numFmtId="0" fontId="267" fillId="0" borderId="2" xfId="0" applyFont="1" applyBorder="1" applyAlignment="1">
      <alignment horizontal="left" vertical="center" readingOrder="1"/>
    </xf>
    <xf numFmtId="0" fontId="7" fillId="0" borderId="0" xfId="0" applyFont="1"/>
    <xf numFmtId="14" fontId="6" fillId="0" borderId="2" xfId="0" applyNumberFormat="1" applyFont="1" applyBorder="1" applyAlignment="1">
      <alignment horizontal="center"/>
    </xf>
    <xf numFmtId="14" fontId="5" fillId="0" borderId="2" xfId="0" applyNumberFormat="1" applyFont="1" applyBorder="1" applyAlignment="1">
      <alignment horizontal="center"/>
    </xf>
    <xf numFmtId="0" fontId="4" fillId="0" borderId="0" xfId="0" applyFont="1"/>
    <xf numFmtId="0" fontId="3" fillId="0" borderId="0" xfId="0" applyFont="1"/>
    <xf numFmtId="0" fontId="2" fillId="0" borderId="2" xfId="0" applyFont="1" applyBorder="1" applyAlignment="1">
      <alignment horizontal="center"/>
    </xf>
    <xf numFmtId="14" fontId="3" fillId="0" borderId="2" xfId="0" applyNumberFormat="1" applyFont="1" applyBorder="1" applyAlignment="1">
      <alignment horizontal="center"/>
    </xf>
    <xf numFmtId="0" fontId="3" fillId="0" borderId="2" xfId="0" applyFont="1" applyBorder="1"/>
    <xf numFmtId="0" fontId="10" fillId="0" borderId="2" xfId="0" applyFont="1" applyBorder="1" applyAlignment="1">
      <alignment horizontal="center"/>
    </xf>
    <xf numFmtId="0" fontId="10" fillId="0" borderId="2" xfId="0" applyFont="1" applyBorder="1"/>
    <xf numFmtId="0" fontId="259" fillId="0" borderId="2" xfId="0" applyFont="1" applyBorder="1" applyAlignment="1">
      <alignment wrapText="1"/>
    </xf>
    <xf numFmtId="0" fontId="6" fillId="0" borderId="2" xfId="0" applyFont="1" applyBorder="1" applyAlignment="1">
      <alignment horizontal="center"/>
    </xf>
    <xf numFmtId="0" fontId="3" fillId="0" borderId="2" xfId="0" applyFont="1" applyBorder="1" applyAlignment="1">
      <alignment horizontal="center"/>
    </xf>
    <xf numFmtId="0" fontId="169" fillId="0" borderId="2" xfId="0" applyFont="1" applyBorder="1" applyAlignment="1">
      <alignment horizontal="center" vertical="center" wrapText="1"/>
    </xf>
    <xf numFmtId="0" fontId="1" fillId="0" borderId="0" xfId="0" applyFont="1"/>
    <xf numFmtId="0" fontId="1" fillId="0" borderId="2" xfId="0" applyFont="1" applyBorder="1"/>
    <xf numFmtId="0" fontId="1" fillId="0" borderId="2" xfId="0" applyFont="1" applyBorder="1" applyAlignment="1">
      <alignment horizontal="center"/>
    </xf>
    <xf numFmtId="0" fontId="268" fillId="33" borderId="2" xfId="0" applyFont="1" applyFill="1" applyBorder="1" applyAlignment="1">
      <alignment horizontal="center" vertical="center"/>
    </xf>
    <xf numFmtId="0" fontId="268" fillId="0" borderId="0" xfId="0" applyFont="1" applyAlignment="1">
      <alignment vertical="top"/>
    </xf>
    <xf numFmtId="0" fontId="268" fillId="0" borderId="0" xfId="0" applyFont="1" applyAlignment="1">
      <alignment horizontal="left" vertical="top"/>
    </xf>
    <xf numFmtId="14" fontId="268" fillId="0" borderId="0" xfId="0" applyNumberFormat="1" applyFont="1" applyAlignment="1">
      <alignment vertical="top"/>
    </xf>
    <xf numFmtId="0" fontId="183" fillId="0" borderId="0" xfId="0" applyFont="1" applyAlignment="1">
      <alignment horizontal="center" vertical="center"/>
    </xf>
    <xf numFmtId="0" fontId="148" fillId="0" borderId="25" xfId="0" applyFont="1" applyBorder="1" applyAlignment="1">
      <alignment horizontal="center" vertical="center" wrapText="1"/>
    </xf>
    <xf numFmtId="0" fontId="148" fillId="0" borderId="33" xfId="0" applyFont="1" applyBorder="1" applyAlignment="1">
      <alignment horizontal="center" vertical="center" wrapText="1"/>
    </xf>
    <xf numFmtId="0" fontId="148" fillId="0" borderId="28" xfId="0" applyFont="1" applyBorder="1" applyAlignment="1">
      <alignment horizontal="center" vertical="center" wrapText="1"/>
    </xf>
    <xf numFmtId="0" fontId="148" fillId="0" borderId="23" xfId="0" applyFont="1" applyBorder="1" applyAlignment="1">
      <alignment horizontal="center" vertical="center" wrapText="1"/>
    </xf>
    <xf numFmtId="0" fontId="148" fillId="0" borderId="5" xfId="0" applyFont="1" applyBorder="1" applyAlignment="1">
      <alignment horizontal="center" vertical="center" wrapText="1"/>
    </xf>
    <xf numFmtId="0" fontId="148" fillId="0" borderId="24" xfId="0" applyFont="1" applyBorder="1" applyAlignment="1">
      <alignment horizontal="center" vertical="center" wrapText="1"/>
    </xf>
    <xf numFmtId="0" fontId="172" fillId="0" borderId="0" xfId="0" applyFont="1" applyAlignment="1">
      <alignment horizontal="center" vertical="center"/>
    </xf>
    <xf numFmtId="0" fontId="241" fillId="0" borderId="25" xfId="0" applyFont="1" applyBorder="1" applyAlignment="1">
      <alignment horizontal="center" vertical="center" wrapText="1" readingOrder="1"/>
    </xf>
    <xf numFmtId="0" fontId="241" fillId="0" borderId="33" xfId="0" applyFont="1" applyBorder="1" applyAlignment="1">
      <alignment horizontal="center" vertical="center" wrapText="1" readingOrder="1"/>
    </xf>
    <xf numFmtId="0" fontId="241" fillId="0" borderId="28" xfId="0" applyFont="1" applyBorder="1" applyAlignment="1">
      <alignment horizontal="center" vertical="center" wrapText="1" readingOrder="1"/>
    </xf>
    <xf numFmtId="0" fontId="250" fillId="10" borderId="25" xfId="0" applyFont="1" applyFill="1" applyBorder="1" applyAlignment="1" applyProtection="1">
      <alignment horizontal="center" vertical="center" wrapText="1"/>
      <protection hidden="1"/>
    </xf>
    <xf numFmtId="0" fontId="250" fillId="10" borderId="33" xfId="0" applyFont="1" applyFill="1" applyBorder="1" applyAlignment="1" applyProtection="1">
      <alignment horizontal="center" vertical="center" wrapText="1"/>
      <protection hidden="1"/>
    </xf>
    <xf numFmtId="0" fontId="250" fillId="10" borderId="28" xfId="0" applyFont="1" applyFill="1" applyBorder="1" applyAlignment="1" applyProtection="1">
      <alignment horizontal="center" vertical="center" wrapText="1"/>
      <protection hidden="1"/>
    </xf>
    <xf numFmtId="0" fontId="252" fillId="10" borderId="33" xfId="0" applyFont="1" applyFill="1" applyBorder="1" applyAlignment="1" applyProtection="1">
      <alignment horizontal="left"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41" fillId="0" borderId="25" xfId="0" applyFont="1" applyBorder="1" applyAlignment="1">
      <alignment horizontal="center" vertical="center" readingOrder="1"/>
    </xf>
    <xf numFmtId="0" fontId="241" fillId="0" borderId="33" xfId="0" applyFont="1" applyBorder="1" applyAlignment="1">
      <alignment horizontal="center" vertical="center" readingOrder="1"/>
    </xf>
    <xf numFmtId="0" fontId="241" fillId="0" borderId="28" xfId="0" applyFont="1" applyBorder="1" applyAlignment="1">
      <alignment horizontal="center" vertical="center" readingOrder="1"/>
    </xf>
    <xf numFmtId="0" fontId="241" fillId="0" borderId="23" xfId="0" applyFont="1" applyBorder="1" applyAlignment="1">
      <alignment horizontal="center" vertical="center" wrapText="1" readingOrder="1"/>
    </xf>
    <xf numFmtId="0" fontId="241" fillId="0" borderId="5" xfId="0" applyFont="1" applyBorder="1" applyAlignment="1">
      <alignment horizontal="center" vertical="center" wrapText="1" readingOrder="1"/>
    </xf>
    <xf numFmtId="0" fontId="241" fillId="0" borderId="24" xfId="0" applyFont="1" applyBorder="1" applyAlignment="1">
      <alignment horizontal="center" vertical="center" wrapText="1" readingOrder="1"/>
    </xf>
    <xf numFmtId="0" fontId="241" fillId="0" borderId="20" xfId="0" applyFont="1" applyBorder="1" applyAlignment="1">
      <alignment horizontal="center" vertical="center" wrapText="1" readingOrder="1"/>
    </xf>
    <xf numFmtId="0" fontId="241" fillId="0" borderId="0" xfId="0" applyFont="1" applyAlignment="1">
      <alignment horizontal="center" vertical="center" wrapText="1" readingOrder="1"/>
    </xf>
    <xf numFmtId="0" fontId="241" fillId="0" borderId="35" xfId="0" applyFont="1" applyBorder="1" applyAlignment="1">
      <alignment horizontal="center" vertical="center" wrapText="1" readingOrder="1"/>
    </xf>
    <xf numFmtId="0" fontId="241" fillId="0" borderId="26" xfId="0" applyFont="1" applyBorder="1" applyAlignment="1">
      <alignment horizontal="center" vertical="center" wrapText="1" readingOrder="1"/>
    </xf>
    <xf numFmtId="0" fontId="241" fillId="0" borderId="32" xfId="0" applyFont="1" applyBorder="1" applyAlignment="1">
      <alignment horizontal="center" vertical="center" wrapText="1" readingOrder="1"/>
    </xf>
    <xf numFmtId="0" fontId="241" fillId="0" borderId="27" xfId="0" applyFont="1" applyBorder="1" applyAlignment="1">
      <alignment horizontal="center" vertical="center" wrapText="1" readingOrder="1"/>
    </xf>
    <xf numFmtId="0" fontId="180" fillId="2" borderId="0" xfId="0" applyFont="1" applyFill="1" applyAlignment="1" applyProtection="1">
      <alignment horizontal="center"/>
      <protection hidden="1"/>
    </xf>
    <xf numFmtId="0" fontId="180" fillId="2" borderId="35" xfId="0" applyFont="1" applyFill="1" applyBorder="1" applyAlignment="1" applyProtection="1">
      <alignment horizontal="center"/>
      <protection hidden="1"/>
    </xf>
    <xf numFmtId="0" fontId="180" fillId="2" borderId="32" xfId="0" applyFont="1" applyFill="1" applyBorder="1" applyAlignment="1" applyProtection="1">
      <alignment horizontal="center"/>
      <protection hidden="1"/>
    </xf>
    <xf numFmtId="0" fontId="180" fillId="2" borderId="27" xfId="0" applyFont="1" applyFill="1" applyBorder="1" applyAlignment="1" applyProtection="1">
      <alignment horizontal="center"/>
      <protection hidden="1"/>
    </xf>
    <xf numFmtId="168" fontId="126" fillId="2" borderId="2" xfId="4" applyNumberFormat="1" applyFont="1" applyFill="1" applyBorder="1" applyAlignment="1" applyProtection="1">
      <alignment horizontal="center" vertical="center"/>
      <protection hidden="1"/>
    </xf>
    <xf numFmtId="0" fontId="177" fillId="2" borderId="33" xfId="0" applyFont="1" applyFill="1" applyBorder="1" applyAlignment="1" applyProtection="1">
      <alignment horizontal="center" vertical="center"/>
      <protection hidden="1"/>
    </xf>
    <xf numFmtId="0" fontId="177" fillId="2" borderId="28" xfId="0" applyFont="1" applyFill="1" applyBorder="1" applyAlignment="1" applyProtection="1">
      <alignment horizontal="center" vertical="center"/>
      <protection hidden="1"/>
    </xf>
    <xf numFmtId="168" fontId="178" fillId="2" borderId="23" xfId="17" applyNumberFormat="1" applyFont="1" applyFill="1" applyBorder="1" applyAlignment="1" applyProtection="1">
      <alignment horizontal="left" vertical="center" indent="3"/>
      <protection hidden="1"/>
    </xf>
    <xf numFmtId="168" fontId="178" fillId="2" borderId="5" xfId="17" applyNumberFormat="1" applyFont="1" applyFill="1" applyBorder="1" applyAlignment="1" applyProtection="1">
      <alignment horizontal="left" vertical="center" indent="3"/>
      <protection hidden="1"/>
    </xf>
    <xf numFmtId="168" fontId="178" fillId="2" borderId="24" xfId="17" applyNumberFormat="1" applyFont="1" applyFill="1" applyBorder="1" applyAlignment="1" applyProtection="1">
      <alignment horizontal="left" vertical="center" indent="3"/>
      <protection hidden="1"/>
    </xf>
    <xf numFmtId="168" fontId="178" fillId="2" borderId="20" xfId="17" applyNumberFormat="1" applyFont="1" applyFill="1" applyBorder="1" applyAlignment="1" applyProtection="1">
      <alignment horizontal="left" vertical="center" indent="3"/>
      <protection hidden="1"/>
    </xf>
    <xf numFmtId="168" fontId="178" fillId="2" borderId="0" xfId="17" applyNumberFormat="1" applyFont="1" applyFill="1" applyAlignment="1" applyProtection="1">
      <alignment horizontal="left" vertical="center" indent="3"/>
      <protection hidden="1"/>
    </xf>
    <xf numFmtId="168" fontId="178" fillId="2" borderId="35" xfId="17" applyNumberFormat="1" applyFont="1" applyFill="1" applyBorder="1" applyAlignment="1" applyProtection="1">
      <alignment horizontal="left" vertical="center" indent="3"/>
      <protection hidden="1"/>
    </xf>
    <xf numFmtId="0" fontId="181" fillId="5" borderId="2" xfId="0" applyFont="1" applyFill="1" applyBorder="1" applyAlignment="1" applyProtection="1">
      <alignment horizontal="center" vertical="center" wrapText="1"/>
      <protection hidden="1"/>
    </xf>
    <xf numFmtId="0" fontId="0" fillId="3" borderId="74"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0" fillId="3" borderId="0" xfId="0" applyFont="1" applyFill="1" applyAlignment="1">
      <alignment horizontal="center" vertical="top"/>
    </xf>
    <xf numFmtId="0" fontId="135" fillId="0" borderId="2" xfId="0" applyFont="1" applyBorder="1" applyAlignment="1">
      <alignment horizontal="center" vertical="center"/>
    </xf>
    <xf numFmtId="0" fontId="135" fillId="3" borderId="2" xfId="0" applyFont="1" applyFill="1" applyBorder="1" applyAlignment="1">
      <alignment horizontal="center" vertical="center" wrapText="1"/>
    </xf>
    <xf numFmtId="0" fontId="136"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left" vertical="center"/>
    </xf>
    <xf numFmtId="0" fontId="142" fillId="0" borderId="2" xfId="0" applyFont="1" applyBorder="1" applyAlignment="1">
      <alignment horizontal="center" vertical="center" wrapText="1"/>
    </xf>
    <xf numFmtId="0" fontId="172" fillId="0" borderId="3" xfId="0" applyFont="1" applyBorder="1" applyAlignment="1">
      <alignment horizontal="left" vertical="center" wrapText="1"/>
    </xf>
    <xf numFmtId="0" fontId="172" fillId="0" borderId="46" xfId="0" applyFont="1" applyBorder="1" applyAlignment="1">
      <alignment horizontal="left" vertical="center" wrapText="1"/>
    </xf>
    <xf numFmtId="0" fontId="172" fillId="0" borderId="4" xfId="0" applyFont="1" applyBorder="1" applyAlignment="1">
      <alignment horizontal="left" vertical="center" wrapText="1"/>
    </xf>
    <xf numFmtId="0" fontId="70" fillId="0" borderId="25" xfId="0" applyFont="1" applyBorder="1" applyAlignment="1">
      <alignment horizontal="center" vertical="top"/>
    </xf>
    <xf numFmtId="0" fontId="70" fillId="0" borderId="28" xfId="0" applyFont="1" applyBorder="1" applyAlignment="1">
      <alignment horizontal="center" vertical="top"/>
    </xf>
    <xf numFmtId="0" fontId="70" fillId="0" borderId="25" xfId="0" applyFont="1" applyBorder="1" applyAlignment="1">
      <alignment horizontal="center"/>
    </xf>
    <xf numFmtId="0" fontId="70" fillId="0" borderId="33" xfId="0" applyFont="1" applyBorder="1" applyAlignment="1">
      <alignment horizontal="center"/>
    </xf>
    <xf numFmtId="0" fontId="70" fillId="0" borderId="28" xfId="0" applyFont="1" applyBorder="1" applyAlignment="1">
      <alignment horizontal="center"/>
    </xf>
    <xf numFmtId="0" fontId="70" fillId="0" borderId="5" xfId="0" applyFont="1" applyBorder="1" applyAlignment="1">
      <alignment horizontal="center" vertical="top"/>
    </xf>
    <xf numFmtId="0" fontId="136" fillId="0" borderId="2" xfId="0" applyFont="1" applyBorder="1" applyAlignment="1">
      <alignment horizontal="left" vertical="center" wrapText="1"/>
    </xf>
    <xf numFmtId="0" fontId="148" fillId="3" borderId="25" xfId="0" applyFont="1" applyFill="1" applyBorder="1" applyAlignment="1">
      <alignment horizontal="center" vertical="center"/>
    </xf>
    <xf numFmtId="0" fontId="148" fillId="3" borderId="33" xfId="0" applyFont="1" applyFill="1" applyBorder="1" applyAlignment="1">
      <alignment horizontal="center" vertical="center"/>
    </xf>
    <xf numFmtId="0" fontId="148" fillId="3" borderId="28" xfId="0" applyFont="1" applyFill="1" applyBorder="1" applyAlignment="1">
      <alignment horizontal="center" vertical="center"/>
    </xf>
    <xf numFmtId="0" fontId="209" fillId="9" borderId="44" xfId="0" applyFont="1" applyFill="1" applyBorder="1" applyAlignment="1">
      <alignment horizontal="center" vertical="center" wrapText="1"/>
    </xf>
    <xf numFmtId="0" fontId="209" fillId="9" borderId="45" xfId="0" applyFont="1" applyFill="1" applyBorder="1" applyAlignment="1">
      <alignment horizontal="center" vertical="center" wrapText="1"/>
    </xf>
    <xf numFmtId="0" fontId="210" fillId="25" borderId="68" xfId="0" applyFont="1" applyFill="1" applyBorder="1" applyAlignment="1">
      <alignment horizontal="center" vertical="center" wrapText="1"/>
    </xf>
    <xf numFmtId="0" fontId="210" fillId="25" borderId="66" xfId="0" applyFont="1" applyFill="1" applyBorder="1" applyAlignment="1">
      <alignment horizontal="center" vertical="center" wrapText="1"/>
    </xf>
    <xf numFmtId="0" fontId="212" fillId="25" borderId="68" xfId="0" applyFont="1" applyFill="1" applyBorder="1" applyAlignment="1">
      <alignment horizontal="center" vertical="center" wrapText="1"/>
    </xf>
    <xf numFmtId="0" fontId="212" fillId="25" borderId="65" xfId="0" applyFont="1" applyFill="1" applyBorder="1" applyAlignment="1">
      <alignment horizontal="center" vertical="center" wrapText="1"/>
    </xf>
    <xf numFmtId="0" fontId="0" fillId="3" borderId="5" xfId="0" applyFill="1" applyBorder="1" applyAlignment="1">
      <alignment horizontal="center" vertical="top"/>
    </xf>
    <xf numFmtId="0" fontId="136" fillId="3" borderId="2" xfId="0" applyFont="1" applyFill="1" applyBorder="1" applyAlignment="1">
      <alignment horizontal="left" vertical="center"/>
    </xf>
    <xf numFmtId="0" fontId="13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35" fillId="0" borderId="6" xfId="0" applyFont="1" applyBorder="1" applyAlignment="1">
      <alignment horizontal="left" vertical="center"/>
    </xf>
    <xf numFmtId="0" fontId="135" fillId="0" borderId="7" xfId="0" applyFont="1" applyBorder="1" applyAlignment="1">
      <alignment horizontal="left" vertical="center"/>
    </xf>
    <xf numFmtId="0" fontId="135" fillId="0" borderId="13" xfId="0" applyFont="1" applyBorder="1" applyAlignment="1">
      <alignment horizontal="left" vertical="center"/>
    </xf>
    <xf numFmtId="0" fontId="135" fillId="3" borderId="8" xfId="0" applyFont="1" applyFill="1" applyBorder="1" applyAlignment="1">
      <alignment horizontal="left" vertical="center" wrapText="1"/>
    </xf>
    <xf numFmtId="0" fontId="135" fillId="3" borderId="2" xfId="0" applyFont="1" applyFill="1" applyBorder="1" applyAlignment="1">
      <alignment horizontal="left" vertical="center" wrapText="1"/>
    </xf>
    <xf numFmtId="0" fontId="135" fillId="3" borderId="14" xfId="0" applyFont="1" applyFill="1" applyBorder="1" applyAlignment="1">
      <alignment horizontal="left" vertical="center" wrapText="1"/>
    </xf>
    <xf numFmtId="0" fontId="136" fillId="0" borderId="8" xfId="0" applyFont="1" applyBorder="1" applyAlignment="1">
      <alignment horizontal="left" wrapText="1"/>
    </xf>
    <xf numFmtId="0" fontId="136" fillId="0" borderId="2" xfId="0" applyFont="1" applyBorder="1" applyAlignment="1">
      <alignment horizontal="left" wrapText="1"/>
    </xf>
    <xf numFmtId="0" fontId="13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42"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148" fillId="3" borderId="2" xfId="0" applyFont="1" applyFill="1" applyBorder="1" applyAlignment="1">
      <alignment horizontal="center" vertical="center"/>
    </xf>
    <xf numFmtId="0" fontId="172" fillId="3" borderId="3" xfId="0" applyFont="1" applyFill="1" applyBorder="1" applyAlignment="1">
      <alignment horizontal="left" vertical="center" wrapText="1"/>
    </xf>
    <xf numFmtId="0" fontId="172" fillId="3" borderId="46" xfId="0" applyFont="1" applyFill="1" applyBorder="1" applyAlignment="1">
      <alignment horizontal="left" vertical="center" wrapText="1"/>
    </xf>
    <xf numFmtId="0" fontId="172" fillId="3" borderId="4" xfId="0" applyFont="1" applyFill="1" applyBorder="1" applyAlignment="1">
      <alignment horizontal="left" vertical="center" wrapText="1"/>
    </xf>
    <xf numFmtId="0" fontId="135" fillId="0" borderId="17" xfId="0" applyFont="1" applyBorder="1" applyAlignment="1">
      <alignment horizontal="left" vertical="center"/>
    </xf>
    <xf numFmtId="0" fontId="135" fillId="0" borderId="18" xfId="0" applyFont="1" applyBorder="1" applyAlignment="1">
      <alignment horizontal="left" vertical="center"/>
    </xf>
    <xf numFmtId="0" fontId="135" fillId="0" borderId="19" xfId="0" applyFont="1" applyBorder="1" applyAlignment="1">
      <alignment horizontal="left" vertical="center"/>
    </xf>
    <xf numFmtId="0" fontId="190" fillId="3" borderId="69" xfId="0" applyFont="1" applyFill="1" applyBorder="1" applyAlignment="1">
      <alignment horizontal="left" vertical="center" wrapText="1"/>
    </xf>
    <xf numFmtId="0" fontId="190" fillId="3" borderId="33" xfId="0" applyFont="1" applyFill="1" applyBorder="1" applyAlignment="1">
      <alignment horizontal="left" vertical="center" wrapText="1"/>
    </xf>
    <xf numFmtId="0" fontId="190" fillId="3" borderId="70" xfId="0" applyFont="1" applyFill="1" applyBorder="1" applyAlignment="1">
      <alignment horizontal="left" vertical="center" wrapText="1"/>
    </xf>
    <xf numFmtId="0" fontId="135" fillId="3" borderId="69" xfId="0" applyFont="1" applyFill="1" applyBorder="1" applyAlignment="1">
      <alignment horizontal="left" vertical="center" wrapText="1"/>
    </xf>
    <xf numFmtId="0" fontId="135" fillId="3" borderId="33" xfId="0" applyFont="1" applyFill="1" applyBorder="1" applyAlignment="1">
      <alignment horizontal="left" vertical="center" wrapText="1"/>
    </xf>
    <xf numFmtId="0" fontId="135" fillId="3" borderId="70" xfId="0" applyFont="1" applyFill="1" applyBorder="1" applyAlignment="1">
      <alignment horizontal="left" vertical="center" wrapText="1"/>
    </xf>
    <xf numFmtId="0" fontId="136" fillId="0" borderId="69" xfId="0" applyFont="1" applyBorder="1" applyAlignment="1">
      <alignment horizontal="left" wrapText="1"/>
    </xf>
    <xf numFmtId="0" fontId="136" fillId="0" borderId="33" xfId="0" applyFont="1" applyBorder="1" applyAlignment="1">
      <alignment horizontal="left" wrapText="1"/>
    </xf>
    <xf numFmtId="0" fontId="136" fillId="0" borderId="70" xfId="0" applyFont="1" applyBorder="1" applyAlignment="1">
      <alignment horizontal="left" wrapText="1"/>
    </xf>
    <xf numFmtId="0" fontId="142" fillId="0" borderId="0" xfId="0" applyFont="1" applyAlignment="1">
      <alignment horizontal="center" vertical="top"/>
    </xf>
    <xf numFmtId="0" fontId="142" fillId="9" borderId="25" xfId="0" applyFont="1" applyFill="1" applyBorder="1" applyAlignment="1">
      <alignment horizontal="center"/>
    </xf>
    <xf numFmtId="0" fontId="142" fillId="9" borderId="33" xfId="0" applyFont="1" applyFill="1" applyBorder="1" applyAlignment="1">
      <alignment horizontal="center"/>
    </xf>
    <xf numFmtId="0" fontId="142" fillId="9" borderId="28" xfId="0" applyFont="1" applyFill="1" applyBorder="1" applyAlignment="1">
      <alignment horizontal="center"/>
    </xf>
    <xf numFmtId="0" fontId="142" fillId="0" borderId="2" xfId="0" applyFont="1" applyBorder="1" applyAlignment="1">
      <alignment horizontal="center" wrapText="1"/>
    </xf>
    <xf numFmtId="0" fontId="168" fillId="0" borderId="2" xfId="0" applyFont="1" applyBorder="1" applyAlignment="1">
      <alignment horizontal="center" vertical="center" wrapText="1"/>
    </xf>
    <xf numFmtId="0" fontId="168" fillId="0" borderId="3"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4" xfId="0" applyFont="1" applyBorder="1" applyAlignment="1">
      <alignment horizontal="center" vertical="center" wrapText="1"/>
    </xf>
    <xf numFmtId="0" fontId="151" fillId="0" borderId="25" xfId="0" applyFont="1" applyBorder="1" applyAlignment="1">
      <alignment horizontal="center" vertical="center"/>
    </xf>
    <xf numFmtId="0" fontId="151" fillId="0" borderId="28" xfId="0" applyFont="1" applyBorder="1" applyAlignment="1">
      <alignment horizontal="center" vertical="center"/>
    </xf>
    <xf numFmtId="0" fontId="151" fillId="11" borderId="2" xfId="0" applyFont="1" applyFill="1" applyBorder="1" applyAlignment="1">
      <alignment horizontal="center" vertical="center" wrapText="1"/>
    </xf>
    <xf numFmtId="0" fontId="151" fillId="11" borderId="2" xfId="0" applyFont="1" applyFill="1" applyBorder="1" applyAlignment="1">
      <alignment horizontal="center" vertical="center"/>
    </xf>
    <xf numFmtId="0" fontId="153" fillId="0" borderId="3" xfId="0" applyFont="1" applyBorder="1" applyAlignment="1">
      <alignment horizontal="center" vertical="center"/>
    </xf>
    <xf numFmtId="0" fontId="153" fillId="0" borderId="46" xfId="0" applyFont="1" applyBorder="1" applyAlignment="1">
      <alignment horizontal="center" vertical="center"/>
    </xf>
    <xf numFmtId="0" fontId="153" fillId="0" borderId="4" xfId="0" applyFont="1" applyBorder="1" applyAlignment="1">
      <alignment horizontal="center" vertical="center"/>
    </xf>
    <xf numFmtId="171" fontId="152" fillId="11" borderId="43" xfId="0" applyNumberFormat="1" applyFont="1" applyFill="1" applyBorder="1" applyAlignment="1">
      <alignment horizontal="center" vertical="center"/>
    </xf>
    <xf numFmtId="171" fontId="152" fillId="11" borderId="0" xfId="0" applyNumberFormat="1" applyFont="1" applyFill="1" applyAlignment="1">
      <alignment horizontal="center" vertical="center"/>
    </xf>
    <xf numFmtId="0" fontId="151" fillId="11" borderId="23" xfId="0" applyFont="1" applyFill="1" applyBorder="1" applyAlignment="1">
      <alignment horizontal="center" vertical="center"/>
    </xf>
    <xf numFmtId="0" fontId="151" fillId="11" borderId="24" xfId="0" applyFont="1" applyFill="1" applyBorder="1" applyAlignment="1">
      <alignment horizontal="center" vertical="center"/>
    </xf>
    <xf numFmtId="0" fontId="151" fillId="11" borderId="26" xfId="0" applyFont="1" applyFill="1" applyBorder="1" applyAlignment="1">
      <alignment horizontal="center" vertical="center"/>
    </xf>
    <xf numFmtId="0" fontId="151" fillId="11" borderId="27" xfId="0" applyFont="1" applyFill="1" applyBorder="1" applyAlignment="1">
      <alignment horizontal="center" vertical="center"/>
    </xf>
    <xf numFmtId="0" fontId="149" fillId="0" borderId="49" xfId="18" applyFont="1" applyBorder="1" applyAlignment="1">
      <alignment horizontal="center" vertical="center"/>
    </xf>
    <xf numFmtId="0" fontId="149" fillId="0" borderId="22" xfId="18" applyFont="1" applyBorder="1" applyAlignment="1">
      <alignment horizontal="center" vertical="center"/>
    </xf>
    <xf numFmtId="0" fontId="149" fillId="0" borderId="50" xfId="18" applyFont="1" applyBorder="1" applyAlignment="1">
      <alignment horizontal="center" vertical="center"/>
    </xf>
    <xf numFmtId="0" fontId="150" fillId="0" borderId="43" xfId="0" applyFont="1" applyBorder="1" applyAlignment="1">
      <alignment horizontal="center" vertical="center"/>
    </xf>
    <xf numFmtId="0" fontId="150" fillId="0" borderId="0" xfId="0" applyFont="1" applyAlignment="1">
      <alignment horizontal="center" vertical="center"/>
    </xf>
    <xf numFmtId="0" fontId="150" fillId="0" borderId="47" xfId="0" applyFont="1" applyBorder="1" applyAlignment="1">
      <alignment horizontal="center" vertical="center"/>
    </xf>
    <xf numFmtId="0" fontId="151" fillId="11" borderId="25" xfId="0" applyFont="1" applyFill="1" applyBorder="1" applyAlignment="1">
      <alignment horizontal="center" vertical="center"/>
    </xf>
    <xf numFmtId="0" fontId="151" fillId="11" borderId="33" xfId="0" applyFont="1" applyFill="1" applyBorder="1" applyAlignment="1">
      <alignment horizontal="center" vertical="center"/>
    </xf>
    <xf numFmtId="0" fontId="151" fillId="11" borderId="28" xfId="0" applyFont="1" applyFill="1" applyBorder="1" applyAlignment="1">
      <alignment horizontal="center" vertical="center"/>
    </xf>
    <xf numFmtId="0" fontId="151" fillId="3" borderId="0" xfId="0" applyFont="1" applyFill="1" applyAlignment="1">
      <alignment horizontal="center" vertical="center"/>
    </xf>
    <xf numFmtId="0" fontId="153" fillId="0" borderId="17" xfId="0" applyFont="1" applyBorder="1" applyAlignment="1">
      <alignment horizontal="center" vertical="center"/>
    </xf>
    <xf numFmtId="0" fontId="153" fillId="0" borderId="18" xfId="0" applyFont="1" applyBorder="1" applyAlignment="1">
      <alignment horizontal="center" vertical="center"/>
    </xf>
    <xf numFmtId="0" fontId="153" fillId="0" borderId="19" xfId="0" applyFont="1" applyBorder="1" applyAlignment="1">
      <alignment horizontal="center" vertical="center"/>
    </xf>
    <xf numFmtId="0" fontId="153" fillId="0" borderId="51" xfId="0" applyFont="1" applyBorder="1" applyAlignment="1">
      <alignment horizontal="center" vertical="center"/>
    </xf>
    <xf numFmtId="0" fontId="153" fillId="0" borderId="52" xfId="0" applyFont="1" applyBorder="1" applyAlignment="1">
      <alignment horizontal="center" vertical="center"/>
    </xf>
    <xf numFmtId="164" fontId="153" fillId="0" borderId="51" xfId="2" applyFont="1" applyFill="1" applyBorder="1" applyAlignment="1">
      <alignment horizontal="center" vertical="center"/>
    </xf>
    <xf numFmtId="164" fontId="153" fillId="0" borderId="52" xfId="2" applyFont="1" applyFill="1" applyBorder="1" applyAlignment="1">
      <alignment horizontal="center" vertical="center"/>
    </xf>
    <xf numFmtId="164" fontId="153" fillId="0" borderId="53" xfId="2"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62" fillId="13" borderId="47" xfId="0" applyFont="1" applyFill="1" applyBorder="1" applyAlignment="1">
      <alignment horizontal="center"/>
    </xf>
    <xf numFmtId="0" fontId="167" fillId="0" borderId="2" xfId="0" applyFont="1" applyBorder="1" applyAlignment="1">
      <alignment horizontal="left" vertical="center" wrapText="1"/>
    </xf>
    <xf numFmtId="0" fontId="167" fillId="0" borderId="2" xfId="0" applyFont="1" applyBorder="1" applyAlignment="1">
      <alignment horizontal="left" vertical="center"/>
    </xf>
    <xf numFmtId="0" fontId="153" fillId="0" borderId="53" xfId="0" applyFont="1" applyBorder="1" applyAlignment="1">
      <alignment horizontal="center" vertical="center"/>
    </xf>
    <xf numFmtId="0" fontId="150" fillId="0" borderId="44" xfId="0" applyFont="1" applyBorder="1" applyAlignment="1">
      <alignment horizontal="center" vertical="center"/>
    </xf>
    <xf numFmtId="0" fontId="150" fillId="0" borderId="45" xfId="0" applyFont="1" applyBorder="1" applyAlignment="1">
      <alignment horizontal="center" vertical="center"/>
    </xf>
    <xf numFmtId="0" fontId="150" fillId="0" borderId="48" xfId="0" applyFont="1" applyBorder="1" applyAlignment="1">
      <alignment horizontal="center" vertical="center"/>
    </xf>
    <xf numFmtId="0" fontId="168" fillId="0" borderId="2" xfId="0" applyFont="1" applyBorder="1" applyAlignment="1">
      <alignment vertical="center" wrapText="1"/>
    </xf>
    <xf numFmtId="0" fontId="168" fillId="0" borderId="3" xfId="0" applyFont="1" applyBorder="1" applyAlignment="1">
      <alignment vertical="center" wrapText="1"/>
    </xf>
    <xf numFmtId="0" fontId="168" fillId="0" borderId="33" xfId="0" applyFont="1" applyBorder="1" applyAlignment="1">
      <alignment vertical="center" wrapText="1"/>
    </xf>
    <xf numFmtId="0" fontId="168" fillId="0" borderId="4" xfId="0" applyFont="1" applyBorder="1" applyAlignment="1">
      <alignment vertical="center" wrapText="1"/>
    </xf>
    <xf numFmtId="0" fontId="174" fillId="22" borderId="25" xfId="0" applyFont="1" applyFill="1" applyBorder="1" applyAlignment="1">
      <alignment horizontal="center" vertical="center"/>
    </xf>
    <xf numFmtId="0" fontId="174" fillId="22" borderId="33" xfId="0" applyFont="1" applyFill="1" applyBorder="1" applyAlignment="1">
      <alignment horizontal="center" vertical="center"/>
    </xf>
    <xf numFmtId="0" fontId="142" fillId="0" borderId="2" xfId="0" applyFont="1" applyBorder="1" applyAlignment="1">
      <alignment horizontal="center"/>
    </xf>
    <xf numFmtId="0" fontId="255" fillId="0" borderId="51" xfId="0" applyFont="1" applyBorder="1" applyAlignment="1">
      <alignment horizontal="center" vertical="center"/>
    </xf>
    <xf numFmtId="0" fontId="255" fillId="0" borderId="52" xfId="0" applyFont="1" applyBorder="1" applyAlignment="1">
      <alignment horizontal="center" vertical="center"/>
    </xf>
    <xf numFmtId="0" fontId="255" fillId="0" borderId="22" xfId="0" applyFont="1" applyBorder="1" applyAlignment="1">
      <alignment horizontal="center" vertical="center"/>
    </xf>
    <xf numFmtId="0" fontId="233" fillId="3" borderId="51" xfId="24" applyFont="1" applyFill="1" applyBorder="1" applyAlignment="1">
      <alignment horizontal="center" vertical="center"/>
    </xf>
    <xf numFmtId="0" fontId="233" fillId="3" borderId="52" xfId="24" applyFont="1" applyFill="1" applyBorder="1" applyAlignment="1">
      <alignment horizontal="center" vertical="center"/>
    </xf>
    <xf numFmtId="173" fontId="233" fillId="3" borderId="2" xfId="24" applyNumberFormat="1" applyFont="1" applyFill="1" applyBorder="1" applyAlignment="1">
      <alignment horizontal="center" vertical="center"/>
    </xf>
    <xf numFmtId="0" fontId="233" fillId="3" borderId="62" xfId="24" applyFont="1" applyFill="1" applyBorder="1" applyAlignment="1">
      <alignment horizontal="left" vertical="center" wrapText="1"/>
    </xf>
    <xf numFmtId="0" fontId="233" fillId="3" borderId="4" xfId="24" applyFont="1" applyFill="1" applyBorder="1" applyAlignment="1">
      <alignment horizontal="left" vertical="center" wrapText="1"/>
    </xf>
    <xf numFmtId="0" fontId="233" fillId="3" borderId="63" xfId="24" applyFont="1" applyFill="1" applyBorder="1" applyAlignment="1">
      <alignment horizontal="left" vertical="center" wrapText="1"/>
    </xf>
    <xf numFmtId="0" fontId="233" fillId="3" borderId="8" xfId="24" applyFont="1" applyFill="1" applyBorder="1" applyAlignment="1">
      <alignment horizontal="left" vertical="center" wrapText="1"/>
    </xf>
    <xf numFmtId="0" fontId="233" fillId="3" borderId="2" xfId="24" applyFont="1" applyFill="1" applyBorder="1" applyAlignment="1">
      <alignment horizontal="left" vertical="center" wrapText="1"/>
    </xf>
    <xf numFmtId="0" fontId="233" fillId="3" borderId="14" xfId="24" applyFont="1" applyFill="1" applyBorder="1" applyAlignment="1">
      <alignment horizontal="left" vertical="center" wrapText="1"/>
    </xf>
    <xf numFmtId="0" fontId="215" fillId="3" borderId="22" xfId="24" applyFont="1" applyFill="1" applyBorder="1" applyAlignment="1">
      <alignment horizontal="center" vertical="center" wrapText="1"/>
    </xf>
    <xf numFmtId="0" fontId="215" fillId="3" borderId="22" xfId="0" applyFont="1" applyFill="1" applyBorder="1" applyAlignment="1">
      <alignment horizontal="center"/>
    </xf>
    <xf numFmtId="0" fontId="215" fillId="3" borderId="0" xfId="0" applyFont="1" applyFill="1" applyAlignment="1">
      <alignment horizontal="center"/>
    </xf>
    <xf numFmtId="0" fontId="216" fillId="3" borderId="0" xfId="24" applyFont="1" applyFill="1" applyAlignment="1">
      <alignment horizontal="center" vertical="center" wrapText="1"/>
    </xf>
    <xf numFmtId="0" fontId="216" fillId="3" borderId="0" xfId="0" applyFont="1" applyFill="1" applyAlignment="1">
      <alignment horizontal="center"/>
    </xf>
    <xf numFmtId="0" fontId="218" fillId="3" borderId="0" xfId="0" applyFont="1" applyFill="1" applyAlignment="1">
      <alignment horizontal="center"/>
    </xf>
    <xf numFmtId="0" fontId="233" fillId="3" borderId="8" xfId="24" applyFont="1" applyFill="1" applyBorder="1" applyAlignment="1">
      <alignment horizontal="center" vertical="center" wrapText="1"/>
    </xf>
    <xf numFmtId="0" fontId="233" fillId="3" borderId="2" xfId="24" applyFont="1" applyFill="1" applyBorder="1" applyAlignment="1">
      <alignment horizontal="center" vertical="center" wrapText="1"/>
    </xf>
    <xf numFmtId="170" fontId="233" fillId="3" borderId="2" xfId="24" applyNumberFormat="1" applyFont="1" applyFill="1" applyBorder="1" applyAlignment="1">
      <alignment horizontal="center" vertical="center" wrapText="1"/>
    </xf>
    <xf numFmtId="170" fontId="233" fillId="3" borderId="25" xfId="24" applyNumberFormat="1" applyFont="1" applyFill="1" applyBorder="1" applyAlignment="1">
      <alignment horizontal="center" vertical="center" wrapText="1"/>
    </xf>
    <xf numFmtId="170" fontId="233" fillId="3" borderId="33" xfId="24" applyNumberFormat="1" applyFont="1" applyFill="1" applyBorder="1" applyAlignment="1">
      <alignment horizontal="center" vertical="center" wrapText="1"/>
    </xf>
    <xf numFmtId="170" fontId="233" fillId="3" borderId="28" xfId="24" applyNumberFormat="1" applyFont="1" applyFill="1" applyBorder="1" applyAlignment="1">
      <alignment horizontal="center" vertical="center" wrapText="1"/>
    </xf>
    <xf numFmtId="170" fontId="233" fillId="3" borderId="14" xfId="24" applyNumberFormat="1" applyFont="1" applyFill="1" applyBorder="1" applyAlignment="1">
      <alignment horizontal="center" vertical="center" wrapText="1"/>
    </xf>
    <xf numFmtId="0" fontId="233" fillId="3" borderId="14" xfId="24" applyFont="1" applyFill="1" applyBorder="1" applyAlignment="1">
      <alignment horizontal="center" vertical="center" wrapText="1"/>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55" fillId="0" borderId="25" xfId="0" applyFont="1" applyBorder="1" applyAlignment="1">
      <alignment horizontal="center" vertical="center"/>
    </xf>
    <xf numFmtId="0" fontId="255" fillId="0" borderId="33" xfId="0" applyFont="1" applyBorder="1" applyAlignment="1">
      <alignment horizontal="center" vertical="center"/>
    </xf>
    <xf numFmtId="0" fontId="255" fillId="0" borderId="28" xfId="0" applyFont="1" applyBorder="1" applyAlignment="1">
      <alignment horizontal="center" vertical="center"/>
    </xf>
    <xf numFmtId="0" fontId="255" fillId="0" borderId="2" xfId="0" applyFont="1" applyBorder="1" applyAlignment="1">
      <alignment horizontal="center" vertical="center"/>
    </xf>
    <xf numFmtId="1" fontId="233" fillId="3" borderId="2" xfId="24" applyNumberFormat="1" applyFont="1" applyFill="1" applyBorder="1" applyAlignment="1">
      <alignment horizontal="center" vertical="center" wrapText="1"/>
    </xf>
    <xf numFmtId="1" fontId="233" fillId="3" borderId="14" xfId="24" applyNumberFormat="1" applyFont="1" applyFill="1" applyBorder="1" applyAlignment="1">
      <alignment horizontal="center" vertical="center" wrapText="1"/>
    </xf>
    <xf numFmtId="0" fontId="221" fillId="3" borderId="0" xfId="0" applyFont="1" applyFill="1" applyAlignment="1">
      <alignment horizontal="center" vertical="center"/>
    </xf>
    <xf numFmtId="0" fontId="215" fillId="22" borderId="0" xfId="24" applyFont="1" applyFill="1" applyAlignment="1">
      <alignment horizontal="center"/>
    </xf>
    <xf numFmtId="0" fontId="218" fillId="3" borderId="0" xfId="24" applyFont="1" applyFill="1" applyAlignment="1">
      <alignment horizontal="center" vertical="center" wrapText="1"/>
    </xf>
    <xf numFmtId="0" fontId="233" fillId="3" borderId="2" xfId="24" applyFont="1" applyFill="1" applyBorder="1" applyAlignment="1">
      <alignment horizontal="left" vertical="center"/>
    </xf>
    <xf numFmtId="0" fontId="230" fillId="30" borderId="25" xfId="0" applyFont="1" applyFill="1" applyBorder="1" applyAlignment="1">
      <alignment horizontal="center" vertical="center"/>
    </xf>
    <xf numFmtId="0" fontId="230" fillId="30" borderId="33" xfId="0" applyFont="1" applyFill="1" applyBorder="1" applyAlignment="1">
      <alignment horizontal="center" vertical="center"/>
    </xf>
    <xf numFmtId="49" fontId="224" fillId="0" borderId="5" xfId="0" applyNumberFormat="1" applyFont="1" applyBorder="1" applyAlignment="1">
      <alignment horizontal="left" vertical="center" wrapText="1"/>
    </xf>
    <xf numFmtId="0" fontId="218" fillId="3" borderId="32" xfId="0" applyFont="1" applyFill="1" applyBorder="1" applyAlignment="1">
      <alignment horizontal="center" vertical="center"/>
    </xf>
    <xf numFmtId="49" fontId="224" fillId="0" borderId="43" xfId="0" quotePrefix="1" applyNumberFormat="1" applyFont="1" applyBorder="1" applyAlignment="1">
      <alignment horizontal="center" vertical="center" wrapText="1"/>
    </xf>
    <xf numFmtId="49" fontId="224" fillId="0" borderId="0" xfId="0" quotePrefix="1" applyNumberFormat="1" applyFont="1" applyAlignment="1">
      <alignment horizontal="center" vertical="center" wrapText="1"/>
    </xf>
    <xf numFmtId="49" fontId="224" fillId="0" borderId="5" xfId="0" applyNumberFormat="1" applyFont="1" applyBorder="1" applyAlignment="1">
      <alignment horizontal="center" vertical="center" wrapText="1"/>
    </xf>
    <xf numFmtId="0" fontId="230" fillId="18" borderId="43" xfId="0" applyFont="1" applyFill="1" applyBorder="1" applyAlignment="1">
      <alignment horizontal="center" vertical="center"/>
    </xf>
    <xf numFmtId="0" fontId="230" fillId="18" borderId="0" xfId="0" applyFont="1" applyFill="1" applyAlignment="1">
      <alignment horizontal="center" vertical="center"/>
    </xf>
    <xf numFmtId="0" fontId="230" fillId="30" borderId="43" xfId="0" applyFont="1" applyFill="1" applyBorder="1" applyAlignment="1">
      <alignment horizontal="center" vertical="center"/>
    </xf>
    <xf numFmtId="0" fontId="230" fillId="30" borderId="0" xfId="0" applyFont="1" applyFill="1" applyAlignment="1">
      <alignment horizontal="center" vertical="center"/>
    </xf>
    <xf numFmtId="0" fontId="226" fillId="23" borderId="0" xfId="0" applyFont="1" applyFill="1" applyAlignment="1">
      <alignment horizontal="right" vertical="center" wrapText="1"/>
    </xf>
    <xf numFmtId="0" fontId="226" fillId="23" borderId="0" xfId="0" applyFont="1" applyFill="1" applyAlignment="1">
      <alignment horizontal="left" vertical="center" wrapText="1"/>
    </xf>
    <xf numFmtId="49" fontId="224" fillId="0" borderId="0" xfId="0" applyNumberFormat="1" applyFont="1" applyAlignment="1">
      <alignment horizontal="left" vertical="center" wrapText="1"/>
    </xf>
    <xf numFmtId="0" fontId="226" fillId="0" borderId="0" xfId="0" applyFont="1" applyAlignment="1">
      <alignment horizontal="center" wrapText="1"/>
    </xf>
    <xf numFmtId="0" fontId="230" fillId="30" borderId="2" xfId="0" applyFont="1" applyFill="1" applyBorder="1" applyAlignment="1">
      <alignment horizontal="center" vertical="center"/>
    </xf>
    <xf numFmtId="0" fontId="236" fillId="30" borderId="0" xfId="0" applyFont="1" applyFill="1" applyAlignment="1">
      <alignment horizontal="center" vertical="center"/>
    </xf>
    <xf numFmtId="49" fontId="224" fillId="0" borderId="0" xfId="0" applyNumberFormat="1" applyFont="1" applyAlignment="1">
      <alignment horizontal="right" vertical="center" wrapText="1"/>
    </xf>
    <xf numFmtId="0" fontId="230" fillId="18" borderId="25" xfId="0" applyFont="1" applyFill="1" applyBorder="1" applyAlignment="1">
      <alignment horizontal="center" vertical="center"/>
    </xf>
    <xf numFmtId="0" fontId="230" fillId="18" borderId="33" xfId="0" applyFont="1" applyFill="1" applyBorder="1" applyAlignment="1">
      <alignment horizontal="center" vertical="center"/>
    </xf>
    <xf numFmtId="0" fontId="230" fillId="18" borderId="28" xfId="0" applyFont="1" applyFill="1" applyBorder="1" applyAlignment="1">
      <alignment horizontal="center" vertical="center"/>
    </xf>
    <xf numFmtId="0" fontId="230" fillId="30" borderId="28" xfId="0" applyFont="1" applyFill="1" applyBorder="1" applyAlignment="1">
      <alignment horizontal="center" vertical="center"/>
    </xf>
    <xf numFmtId="0" fontId="234" fillId="0" borderId="0" xfId="0" applyFont="1" applyAlignment="1">
      <alignment horizontal="left" vertical="center" wrapText="1"/>
    </xf>
    <xf numFmtId="0" fontId="226" fillId="0" borderId="0" xfId="0" applyFont="1" applyAlignment="1">
      <alignment horizontal="center" vertical="center" wrapText="1"/>
    </xf>
    <xf numFmtId="0" fontId="226" fillId="30" borderId="43" xfId="0" applyFont="1" applyFill="1" applyBorder="1" applyAlignment="1">
      <alignment horizontal="center" wrapText="1"/>
    </xf>
    <xf numFmtId="0" fontId="226" fillId="30" borderId="0" xfId="0" applyFont="1" applyFill="1" applyAlignment="1">
      <alignment horizontal="center" wrapText="1"/>
    </xf>
    <xf numFmtId="0" fontId="230" fillId="0" borderId="0" xfId="0" applyFont="1" applyAlignment="1">
      <alignment horizontal="center" vertical="center"/>
    </xf>
    <xf numFmtId="49" fontId="224" fillId="0" borderId="0" xfId="0" applyNumberFormat="1" applyFont="1" applyAlignment="1">
      <alignment horizontal="center" vertical="center" wrapText="1"/>
    </xf>
    <xf numFmtId="0" fontId="232" fillId="30" borderId="0" xfId="0" applyFont="1" applyFill="1" applyAlignment="1">
      <alignment horizontal="left" vertical="center"/>
    </xf>
    <xf numFmtId="49" fontId="224" fillId="0" borderId="43" xfId="0" applyNumberFormat="1" applyFont="1" applyBorder="1" applyAlignment="1">
      <alignment horizontal="right" vertical="center" wrapText="1"/>
    </xf>
    <xf numFmtId="49" fontId="224" fillId="0" borderId="0" xfId="0" applyNumberFormat="1" applyFont="1" applyAlignment="1">
      <alignment vertical="center" wrapText="1"/>
    </xf>
    <xf numFmtId="0" fontId="236" fillId="3" borderId="0" xfId="0" applyFont="1" applyFill="1" applyAlignment="1">
      <alignment horizontal="center" vertical="center"/>
    </xf>
    <xf numFmtId="0" fontId="236" fillId="3" borderId="35" xfId="0" applyFont="1" applyFill="1" applyBorder="1" applyAlignment="1">
      <alignment horizontal="center" vertical="center"/>
    </xf>
    <xf numFmtId="0" fontId="230" fillId="3" borderId="0" xfId="0" applyFont="1" applyFill="1" applyAlignment="1">
      <alignment horizontal="center" vertical="center"/>
    </xf>
    <xf numFmtId="0" fontId="230" fillId="30" borderId="0" xfId="0" applyFont="1" applyFill="1" applyAlignment="1">
      <alignment horizontal="center"/>
    </xf>
    <xf numFmtId="0" fontId="230" fillId="30" borderId="25" xfId="0" applyFont="1" applyFill="1" applyBorder="1" applyAlignment="1">
      <alignment horizontal="center" vertical="center" wrapText="1"/>
    </xf>
    <xf numFmtId="0" fontId="230" fillId="30" borderId="33" xfId="0" applyFont="1" applyFill="1" applyBorder="1" applyAlignment="1">
      <alignment horizontal="center" vertical="center" wrapText="1"/>
    </xf>
    <xf numFmtId="0" fontId="230" fillId="30" borderId="28" xfId="0" applyFont="1" applyFill="1" applyBorder="1" applyAlignment="1">
      <alignment horizontal="center" vertical="center" wrapText="1"/>
    </xf>
    <xf numFmtId="0" fontId="230" fillId="3" borderId="20" xfId="0" applyFont="1" applyFill="1" applyBorder="1" applyAlignment="1">
      <alignment horizontal="center" vertical="center"/>
    </xf>
    <xf numFmtId="0" fontId="229" fillId="0" borderId="2" xfId="0" applyFont="1" applyBorder="1" applyAlignment="1">
      <alignment horizontal="left" vertical="center"/>
    </xf>
    <xf numFmtId="0" fontId="224" fillId="0" borderId="2" xfId="0" applyFont="1" applyBorder="1" applyAlignment="1">
      <alignment horizontal="center" vertical="center"/>
    </xf>
    <xf numFmtId="169" fontId="214" fillId="0" borderId="2" xfId="0" applyNumberFormat="1" applyFont="1" applyBorder="1" applyAlignment="1">
      <alignment horizontal="center" vertical="center"/>
    </xf>
    <xf numFmtId="0" fontId="229" fillId="0" borderId="2" xfId="0" applyFont="1" applyBorder="1" applyAlignment="1">
      <alignment horizontal="center" vertical="center"/>
    </xf>
    <xf numFmtId="0" fontId="244" fillId="0" borderId="2" xfId="0" applyFont="1" applyBorder="1" applyAlignment="1">
      <alignment horizontal="left" vertical="center"/>
    </xf>
    <xf numFmtId="0" fontId="244" fillId="0" borderId="2" xfId="0" applyFont="1" applyBorder="1" applyAlignment="1">
      <alignment horizontal="center" vertical="center"/>
    </xf>
    <xf numFmtId="0" fontId="229" fillId="0" borderId="0" xfId="0" applyFont="1" applyAlignment="1">
      <alignment horizontal="center"/>
    </xf>
    <xf numFmtId="0" fontId="229" fillId="0" borderId="4" xfId="0" applyFont="1" applyBorder="1" applyAlignment="1">
      <alignment horizontal="left" vertical="center"/>
    </xf>
    <xf numFmtId="0" fontId="231" fillId="0" borderId="25" xfId="0" applyFont="1" applyBorder="1" applyAlignment="1">
      <alignment horizontal="center"/>
    </xf>
    <xf numFmtId="0" fontId="231" fillId="0" borderId="33" xfId="0" applyFont="1" applyBorder="1" applyAlignment="1">
      <alignment horizontal="center"/>
    </xf>
    <xf numFmtId="169" fontId="214" fillId="20" borderId="2" xfId="0" applyNumberFormat="1" applyFont="1" applyFill="1" applyBorder="1" applyAlignment="1">
      <alignment horizontal="center" vertical="center"/>
    </xf>
    <xf numFmtId="165" fontId="224" fillId="0" borderId="25" xfId="1" applyFont="1" applyFill="1" applyBorder="1" applyAlignment="1">
      <alignment horizontal="left" vertical="center"/>
    </xf>
    <xf numFmtId="165" fontId="224" fillId="0" borderId="33" xfId="1" applyFont="1" applyFill="1" applyBorder="1" applyAlignment="1">
      <alignment horizontal="left" vertical="center"/>
    </xf>
    <xf numFmtId="165" fontId="224" fillId="0" borderId="28" xfId="1" applyFont="1" applyFill="1" applyBorder="1" applyAlignment="1">
      <alignment horizontal="left" vertical="center"/>
    </xf>
    <xf numFmtId="0" fontId="224" fillId="0" borderId="25" xfId="0" applyFont="1" applyBorder="1" applyAlignment="1">
      <alignment horizontal="center" vertical="center"/>
    </xf>
    <xf numFmtId="0" fontId="224" fillId="0" borderId="28" xfId="0" applyFont="1" applyBorder="1" applyAlignment="1">
      <alignment horizontal="center" vertical="center"/>
    </xf>
    <xf numFmtId="0" fontId="197" fillId="3" borderId="32" xfId="0" applyFont="1" applyFill="1" applyBorder="1" applyAlignment="1">
      <alignment horizontal="right" vertical="center"/>
    </xf>
    <xf numFmtId="0" fontId="197" fillId="3" borderId="32" xfId="0" applyFont="1" applyFill="1" applyBorder="1" applyAlignment="1">
      <alignment horizontal="center" vertical="center"/>
    </xf>
    <xf numFmtId="0" fontId="197" fillId="3" borderId="27" xfId="0" applyFont="1" applyFill="1" applyBorder="1" applyAlignment="1">
      <alignment horizontal="center" vertical="center"/>
    </xf>
    <xf numFmtId="0" fontId="196" fillId="3" borderId="8" xfId="24" applyFont="1" applyFill="1" applyBorder="1" applyAlignment="1">
      <alignment horizontal="center" vertical="center" wrapText="1"/>
    </xf>
    <xf numFmtId="0" fontId="196" fillId="3" borderId="2" xfId="24" applyFont="1" applyFill="1" applyBorder="1" applyAlignment="1">
      <alignment horizontal="center" vertical="center" wrapText="1"/>
    </xf>
    <xf numFmtId="0" fontId="196" fillId="3" borderId="2" xfId="24" applyFont="1" applyFill="1" applyBorder="1" applyAlignment="1">
      <alignment horizontal="left" vertical="center"/>
    </xf>
    <xf numFmtId="0" fontId="197" fillId="3" borderId="2" xfId="24" applyFont="1" applyFill="1" applyBorder="1" applyAlignment="1">
      <alignment horizontal="center" vertical="center" wrapText="1"/>
    </xf>
    <xf numFmtId="170" fontId="197" fillId="3" borderId="2" xfId="24" applyNumberFormat="1" applyFont="1" applyFill="1" applyBorder="1" applyAlignment="1">
      <alignment horizontal="center" vertical="center" wrapText="1"/>
    </xf>
    <xf numFmtId="0" fontId="197" fillId="3" borderId="14" xfId="24" applyFont="1" applyFill="1" applyBorder="1" applyAlignment="1">
      <alignment horizontal="center" vertical="center" wrapText="1"/>
    </xf>
    <xf numFmtId="0" fontId="196" fillId="3" borderId="2" xfId="24" applyFont="1" applyFill="1" applyBorder="1" applyAlignment="1">
      <alignment horizontal="left" vertical="center" wrapText="1"/>
    </xf>
    <xf numFmtId="0" fontId="197" fillId="3" borderId="25" xfId="24" applyFont="1" applyFill="1" applyBorder="1" applyAlignment="1">
      <alignment horizontal="center" vertical="center" wrapText="1"/>
    </xf>
    <xf numFmtId="0" fontId="197" fillId="3" borderId="28" xfId="24" applyFont="1" applyFill="1" applyBorder="1" applyAlignment="1">
      <alignment horizontal="center" vertical="center" wrapText="1"/>
    </xf>
    <xf numFmtId="0" fontId="198" fillId="0" borderId="25" xfId="0" applyFont="1" applyBorder="1" applyAlignment="1">
      <alignment horizontal="center" vertical="center"/>
    </xf>
    <xf numFmtId="0" fontId="198" fillId="0" borderId="33" xfId="0" applyFont="1" applyBorder="1" applyAlignment="1">
      <alignment horizontal="center" vertical="center"/>
    </xf>
    <xf numFmtId="0" fontId="198" fillId="0" borderId="28" xfId="0" applyFont="1" applyBorder="1" applyAlignment="1">
      <alignment horizontal="center" vertical="center"/>
    </xf>
    <xf numFmtId="0" fontId="198" fillId="0" borderId="2" xfId="0" applyFont="1" applyBorder="1" applyAlignment="1">
      <alignment horizontal="center" vertical="center"/>
    </xf>
    <xf numFmtId="0" fontId="197" fillId="3" borderId="0" xfId="0" applyFont="1" applyFill="1" applyAlignment="1">
      <alignment horizontal="center"/>
    </xf>
    <xf numFmtId="0" fontId="196" fillId="3" borderId="0" xfId="24" applyFont="1" applyFill="1" applyAlignment="1">
      <alignment horizontal="center" vertical="center"/>
    </xf>
    <xf numFmtId="0" fontId="196" fillId="22" borderId="0" xfId="24" applyFont="1" applyFill="1" applyAlignment="1">
      <alignment horizontal="center"/>
    </xf>
    <xf numFmtId="0" fontId="198" fillId="0" borderId="51" xfId="0" applyFont="1" applyBorder="1" applyAlignment="1">
      <alignment horizontal="center"/>
    </xf>
    <xf numFmtId="0" fontId="198" fillId="0" borderId="52" xfId="0" applyFont="1" applyBorder="1" applyAlignment="1">
      <alignment horizontal="center"/>
    </xf>
    <xf numFmtId="0" fontId="198" fillId="0" borderId="57" xfId="0" applyFont="1" applyBorder="1" applyAlignment="1">
      <alignment horizontal="center"/>
    </xf>
    <xf numFmtId="173" fontId="196" fillId="3" borderId="17" xfId="24" applyNumberFormat="1" applyFont="1" applyFill="1" applyBorder="1" applyAlignment="1">
      <alignment horizontal="right" vertical="center"/>
    </xf>
    <xf numFmtId="173" fontId="196" fillId="3" borderId="18" xfId="24" applyNumberFormat="1" applyFont="1" applyFill="1" applyBorder="1" applyAlignment="1">
      <alignment horizontal="right" vertical="center"/>
    </xf>
    <xf numFmtId="0" fontId="196" fillId="3" borderId="59" xfId="24" applyFont="1" applyFill="1" applyBorder="1" applyAlignment="1">
      <alignment horizontal="left" vertical="center"/>
    </xf>
    <xf numFmtId="0" fontId="197" fillId="3" borderId="60" xfId="0" applyFont="1" applyFill="1" applyBorder="1" applyAlignment="1">
      <alignment vertical="center"/>
    </xf>
    <xf numFmtId="0" fontId="197" fillId="3" borderId="61" xfId="0" applyFont="1" applyFill="1" applyBorder="1" applyAlignment="1">
      <alignment vertical="center"/>
    </xf>
    <xf numFmtId="0" fontId="196" fillId="3" borderId="62" xfId="24" applyFont="1" applyFill="1" applyBorder="1" applyAlignment="1">
      <alignment horizontal="left" vertical="center" wrapText="1"/>
    </xf>
    <xf numFmtId="0" fontId="196" fillId="3" borderId="4" xfId="24" applyFont="1" applyFill="1" applyBorder="1" applyAlignment="1">
      <alignment horizontal="left" vertical="center" wrapText="1"/>
    </xf>
    <xf numFmtId="0" fontId="196" fillId="3" borderId="63" xfId="24" applyFont="1" applyFill="1" applyBorder="1" applyAlignment="1">
      <alignment horizontal="left" vertical="center" wrapText="1"/>
    </xf>
    <xf numFmtId="0" fontId="196" fillId="3" borderId="8" xfId="24" applyFont="1" applyFill="1" applyBorder="1" applyAlignment="1">
      <alignment horizontal="left" vertical="center" wrapText="1"/>
    </xf>
    <xf numFmtId="0" fontId="196" fillId="3" borderId="14" xfId="24" applyFont="1" applyFill="1" applyBorder="1" applyAlignment="1">
      <alignment horizontal="left" vertical="center" wrapText="1"/>
    </xf>
    <xf numFmtId="0" fontId="197" fillId="3" borderId="22" xfId="24" applyFont="1" applyFill="1" applyBorder="1" applyAlignment="1">
      <alignment horizontal="center" vertical="center" wrapText="1"/>
    </xf>
    <xf numFmtId="0" fontId="197" fillId="3" borderId="22" xfId="0" applyFont="1" applyFill="1" applyBorder="1" applyAlignment="1">
      <alignment horizontal="center"/>
    </xf>
    <xf numFmtId="0" fontId="197" fillId="3" borderId="0" xfId="24" applyFont="1" applyFill="1" applyAlignment="1">
      <alignment horizontal="center" vertical="center" wrapText="1"/>
    </xf>
    <xf numFmtId="0" fontId="151" fillId="11" borderId="3" xfId="0" applyFont="1" applyFill="1" applyBorder="1" applyAlignment="1">
      <alignment horizontal="center" vertical="center" wrapText="1"/>
    </xf>
    <xf numFmtId="0" fontId="151" fillId="11" borderId="4" xfId="0" applyFont="1" applyFill="1" applyBorder="1" applyAlignment="1">
      <alignment horizontal="center" vertical="center" wrapText="1"/>
    </xf>
    <xf numFmtId="0" fontId="151" fillId="11" borderId="3" xfId="0" applyFont="1" applyFill="1" applyBorder="1" applyAlignment="1">
      <alignment horizontal="center" vertical="center"/>
    </xf>
    <xf numFmtId="0" fontId="151" fillId="11" borderId="4" xfId="0" applyFont="1" applyFill="1" applyBorder="1" applyAlignment="1">
      <alignment horizontal="center" vertical="center"/>
    </xf>
    <xf numFmtId="171" fontId="152" fillId="11" borderId="20" xfId="0" applyNumberFormat="1" applyFont="1" applyFill="1" applyBorder="1" applyAlignment="1">
      <alignment horizontal="center" vertical="center"/>
    </xf>
    <xf numFmtId="0" fontId="151" fillId="11" borderId="23" xfId="0" applyFont="1" applyFill="1" applyBorder="1" applyAlignment="1">
      <alignment horizontal="center" vertical="center" wrapText="1"/>
    </xf>
    <xf numFmtId="0" fontId="151" fillId="11" borderId="24" xfId="0" applyFont="1" applyFill="1" applyBorder="1" applyAlignment="1">
      <alignment horizontal="center" vertical="center" wrapText="1"/>
    </xf>
    <xf numFmtId="0" fontId="151" fillId="11" borderId="26" xfId="0" applyFont="1" applyFill="1" applyBorder="1" applyAlignment="1">
      <alignment horizontal="center" vertical="center" wrapText="1"/>
    </xf>
    <xf numFmtId="0" fontId="151" fillId="11" borderId="27" xfId="0" applyFont="1" applyFill="1" applyBorder="1" applyAlignment="1">
      <alignment horizontal="center" vertical="center" wrapText="1"/>
    </xf>
    <xf numFmtId="0" fontId="149" fillId="0" borderId="0" xfId="18" applyFont="1" applyAlignment="1">
      <alignment horizontal="center" vertical="center"/>
    </xf>
    <xf numFmtId="0" fontId="149" fillId="0" borderId="35" xfId="18" applyFont="1" applyBorder="1" applyAlignment="1">
      <alignment horizontal="center" vertical="center"/>
    </xf>
    <xf numFmtId="0" fontId="150" fillId="0" borderId="20" xfId="0" applyFont="1" applyBorder="1" applyAlignment="1">
      <alignment horizontal="center" vertical="center"/>
    </xf>
    <xf numFmtId="0" fontId="150" fillId="0" borderId="35" xfId="0" applyFont="1" applyBorder="1" applyAlignment="1">
      <alignment horizontal="center" vertical="center"/>
    </xf>
    <xf numFmtId="0" fontId="151" fillId="3" borderId="20" xfId="0" applyFont="1" applyFill="1" applyBorder="1" applyAlignment="1">
      <alignment horizontal="center" vertical="center"/>
    </xf>
    <xf numFmtId="0" fontId="142" fillId="0" borderId="2" xfId="0" applyFont="1" applyBorder="1" applyAlignment="1">
      <alignment horizontal="center" vertical="center"/>
    </xf>
    <xf numFmtId="0" fontId="0" fillId="0" borderId="0" xfId="0" applyAlignment="1">
      <alignment horizontal="center"/>
    </xf>
    <xf numFmtId="0" fontId="193" fillId="0" borderId="25" xfId="0" applyFont="1" applyBorder="1" applyAlignment="1">
      <alignment horizontal="center" vertical="center"/>
    </xf>
    <xf numFmtId="0" fontId="148" fillId="0" borderId="2" xfId="0" applyFont="1" applyBorder="1" applyAlignment="1">
      <alignment horizontal="center" wrapText="1"/>
    </xf>
    <xf numFmtId="0" fontId="148" fillId="0" borderId="2" xfId="0" applyFont="1" applyBorder="1" applyAlignment="1">
      <alignment horizontal="center"/>
    </xf>
    <xf numFmtId="0" fontId="0" fillId="0" borderId="2" xfId="0" applyBorder="1" applyAlignment="1">
      <alignment horizontal="center" vertical="center"/>
    </xf>
    <xf numFmtId="0" fontId="147" fillId="0" borderId="0" xfId="0" applyFont="1" applyAlignment="1">
      <alignment horizontal="center" vertical="top"/>
    </xf>
    <xf numFmtId="0" fontId="137" fillId="0" borderId="17" xfId="0" applyFont="1" applyBorder="1" applyAlignment="1">
      <alignment horizontal="center" vertical="center" wrapText="1"/>
    </xf>
    <xf numFmtId="0" fontId="137" fillId="0" borderId="18" xfId="0" applyFont="1" applyBorder="1" applyAlignment="1">
      <alignment horizontal="center" vertical="center" wrapText="1"/>
    </xf>
    <xf numFmtId="0" fontId="137" fillId="0" borderId="18" xfId="0" applyFont="1" applyBorder="1" applyAlignment="1">
      <alignment horizontal="center" vertical="center"/>
    </xf>
    <xf numFmtId="0" fontId="137" fillId="0" borderId="19" xfId="0" applyFont="1" applyBorder="1" applyAlignment="1">
      <alignment horizontal="center" vertical="center"/>
    </xf>
    <xf numFmtId="1" fontId="138" fillId="7" borderId="8" xfId="0" applyNumberFormat="1" applyFont="1" applyFill="1" applyBorder="1" applyAlignment="1">
      <alignment horizontal="center" vertical="center" wrapText="1"/>
    </xf>
    <xf numFmtId="1" fontId="138" fillId="7" borderId="10" xfId="0" applyNumberFormat="1" applyFont="1" applyFill="1" applyBorder="1" applyAlignment="1">
      <alignment horizontal="center" vertical="center" wrapText="1"/>
    </xf>
    <xf numFmtId="49" fontId="138" fillId="7" borderId="2" xfId="0" applyNumberFormat="1" applyFont="1" applyFill="1" applyBorder="1" applyAlignment="1">
      <alignment horizontal="center" vertical="center" wrapText="1"/>
    </xf>
    <xf numFmtId="49" fontId="138" fillId="7" borderId="11" xfId="0" applyNumberFormat="1" applyFont="1" applyFill="1" applyBorder="1" applyAlignment="1">
      <alignment horizontal="center" vertical="center" wrapText="1"/>
    </xf>
    <xf numFmtId="1" fontId="138" fillId="7" borderId="2" xfId="0" applyNumberFormat="1" applyFont="1" applyFill="1" applyBorder="1" applyAlignment="1">
      <alignment horizontal="center" vertical="center" wrapText="1"/>
    </xf>
    <xf numFmtId="1" fontId="138" fillId="7" borderId="11" xfId="0" applyNumberFormat="1" applyFont="1" applyFill="1" applyBorder="1" applyAlignment="1">
      <alignment horizontal="center" vertical="center" wrapText="1"/>
    </xf>
    <xf numFmtId="168" fontId="138" fillId="7" borderId="2" xfId="0" applyNumberFormat="1" applyFont="1" applyFill="1" applyBorder="1" applyAlignment="1">
      <alignment horizontal="center" vertical="center" wrapText="1"/>
    </xf>
    <xf numFmtId="168" fontId="138" fillId="7" borderId="11" xfId="0" applyNumberFormat="1" applyFont="1" applyFill="1" applyBorder="1" applyAlignment="1">
      <alignment horizontal="center" vertical="center" wrapText="1"/>
    </xf>
    <xf numFmtId="2" fontId="138" fillId="7" borderId="2" xfId="0" applyNumberFormat="1" applyFont="1" applyFill="1" applyBorder="1" applyAlignment="1">
      <alignment horizontal="center" vertical="center" wrapText="1"/>
    </xf>
    <xf numFmtId="2" fontId="138" fillId="7" borderId="11" xfId="0" applyNumberFormat="1" applyFont="1" applyFill="1" applyBorder="1" applyAlignment="1">
      <alignment horizontal="center" vertical="center" wrapText="1"/>
    </xf>
    <xf numFmtId="0" fontId="137" fillId="7" borderId="6" xfId="0" applyFont="1" applyFill="1" applyBorder="1" applyAlignment="1">
      <alignment horizontal="center" vertical="center" wrapText="1"/>
    </xf>
    <xf numFmtId="0" fontId="137" fillId="7" borderId="7" xfId="0" applyFont="1" applyFill="1" applyBorder="1" applyAlignment="1">
      <alignment horizontal="center" vertical="center" wrapText="1"/>
    </xf>
    <xf numFmtId="0" fontId="137" fillId="8" borderId="7" xfId="0" applyFont="1" applyFill="1" applyBorder="1" applyAlignment="1">
      <alignment horizontal="center" vertical="center"/>
    </xf>
    <xf numFmtId="0" fontId="137" fillId="8" borderId="12" xfId="0" applyFont="1" applyFill="1" applyBorder="1" applyAlignment="1">
      <alignment horizontal="center" vertical="center"/>
    </xf>
    <xf numFmtId="1" fontId="138" fillId="8" borderId="2" xfId="0" applyNumberFormat="1" applyFont="1" applyFill="1" applyBorder="1" applyAlignment="1">
      <alignment horizontal="center" vertical="center" wrapText="1"/>
    </xf>
    <xf numFmtId="1" fontId="138" fillId="8" borderId="2" xfId="0" applyNumberFormat="1" applyFont="1" applyFill="1" applyBorder="1" applyAlignment="1">
      <alignment horizontal="center" vertical="center"/>
    </xf>
    <xf numFmtId="170" fontId="138" fillId="8" borderId="2" xfId="0" applyNumberFormat="1" applyFont="1" applyFill="1" applyBorder="1" applyAlignment="1">
      <alignment horizontal="center" vertical="center"/>
    </xf>
    <xf numFmtId="170" fontId="138" fillId="8" borderId="14" xfId="0" applyNumberFormat="1" applyFont="1" applyFill="1" applyBorder="1" applyAlignment="1">
      <alignment horizontal="center" vertical="center"/>
    </xf>
    <xf numFmtId="1" fontId="138" fillId="8" borderId="11" xfId="0" applyNumberFormat="1" applyFont="1" applyFill="1" applyBorder="1" applyAlignment="1">
      <alignment horizontal="center" vertical="center" wrapText="1"/>
    </xf>
    <xf numFmtId="49" fontId="138" fillId="8" borderId="2" xfId="0" applyNumberFormat="1" applyFont="1" applyFill="1" applyBorder="1" applyAlignment="1">
      <alignment horizontal="center" vertical="center" wrapText="1"/>
    </xf>
    <xf numFmtId="49" fontId="138" fillId="8" borderId="11" xfId="0" applyNumberFormat="1" applyFont="1" applyFill="1" applyBorder="1" applyAlignment="1">
      <alignment horizontal="center" vertical="center" wrapText="1"/>
    </xf>
    <xf numFmtId="168" fontId="138" fillId="8" borderId="2" xfId="0" applyNumberFormat="1" applyFont="1" applyFill="1" applyBorder="1" applyAlignment="1">
      <alignment horizontal="center" vertical="center" wrapText="1"/>
    </xf>
    <xf numFmtId="168" fontId="138" fillId="8" borderId="11" xfId="0" applyNumberFormat="1" applyFont="1" applyFill="1" applyBorder="1" applyAlignment="1">
      <alignment horizontal="center" vertical="center" wrapText="1"/>
    </xf>
    <xf numFmtId="0" fontId="142" fillId="8" borderId="2" xfId="0" applyFont="1" applyFill="1" applyBorder="1" applyAlignment="1">
      <alignment horizontal="center" vertical="center" wrapText="1"/>
    </xf>
    <xf numFmtId="0" fontId="142" fillId="8" borderId="11" xfId="0" applyFont="1" applyFill="1" applyBorder="1" applyAlignment="1">
      <alignment horizontal="center" vertical="center" wrapText="1"/>
    </xf>
    <xf numFmtId="2" fontId="138" fillId="8" borderId="2" xfId="0" applyNumberFormat="1" applyFont="1" applyFill="1" applyBorder="1" applyAlignment="1">
      <alignment horizontal="center" vertical="center" wrapText="1"/>
    </xf>
    <xf numFmtId="2" fontId="138" fillId="8" borderId="11" xfId="0" applyNumberFormat="1" applyFont="1" applyFill="1" applyBorder="1" applyAlignment="1">
      <alignment horizontal="center" vertical="center" wrapText="1"/>
    </xf>
    <xf numFmtId="0" fontId="135" fillId="0" borderId="6" xfId="0" applyFont="1" applyBorder="1" applyAlignment="1">
      <alignment horizontal="center" vertical="center"/>
    </xf>
    <xf numFmtId="0" fontId="135" fillId="0" borderId="7" xfId="0" applyFont="1" applyBorder="1" applyAlignment="1">
      <alignment horizontal="center" vertical="center"/>
    </xf>
    <xf numFmtId="0" fontId="135" fillId="0" borderId="13" xfId="0" applyFont="1" applyBorder="1" applyAlignment="1">
      <alignment horizontal="center" vertical="center"/>
    </xf>
    <xf numFmtId="0" fontId="135" fillId="3" borderId="8" xfId="0" applyFont="1" applyFill="1" applyBorder="1" applyAlignment="1">
      <alignment horizontal="center" vertical="center" wrapText="1"/>
    </xf>
    <xf numFmtId="0" fontId="135" fillId="3" borderId="14" xfId="0" applyFont="1" applyFill="1" applyBorder="1" applyAlignment="1">
      <alignment horizontal="center" vertical="center" wrapText="1"/>
    </xf>
    <xf numFmtId="0" fontId="136" fillId="0" borderId="8" xfId="0" applyFont="1" applyBorder="1" applyAlignment="1">
      <alignment horizontal="center" wrapText="1"/>
    </xf>
    <xf numFmtId="0" fontId="136" fillId="0" borderId="14" xfId="0" applyFont="1" applyBorder="1" applyAlignment="1">
      <alignment horizontal="center" wrapText="1"/>
    </xf>
    <xf numFmtId="0" fontId="135" fillId="3" borderId="9" xfId="0" applyFont="1" applyFill="1" applyBorder="1" applyAlignment="1">
      <alignment horizontal="center" vertical="center" wrapText="1"/>
    </xf>
    <xf numFmtId="0" fontId="135" fillId="3" borderId="3" xfId="0" applyFont="1" applyFill="1" applyBorder="1" applyAlignment="1">
      <alignment horizontal="center" vertical="center" wrapText="1"/>
    </xf>
    <xf numFmtId="0" fontId="135" fillId="3" borderId="15" xfId="0" applyFont="1" applyFill="1" applyBorder="1" applyAlignment="1">
      <alignment horizontal="center" vertical="center" wrapText="1"/>
    </xf>
    <xf numFmtId="0" fontId="127" fillId="4" borderId="3" xfId="0" applyFont="1" applyFill="1" applyBorder="1" applyAlignment="1">
      <alignment horizontal="center" vertical="center" wrapText="1"/>
    </xf>
    <xf numFmtId="0" fontId="129" fillId="4" borderId="4" xfId="0" applyFont="1" applyFill="1" applyBorder="1"/>
    <xf numFmtId="0" fontId="129" fillId="4" borderId="4" xfId="0" applyFont="1" applyFill="1" applyBorder="1" applyAlignment="1">
      <alignment horizontal="center"/>
    </xf>
    <xf numFmtId="0" fontId="127" fillId="4" borderId="3" xfId="0" applyFont="1" applyFill="1" applyBorder="1" applyAlignment="1">
      <alignment horizontal="center" vertical="center" textRotation="90" wrapText="1"/>
    </xf>
    <xf numFmtId="1" fontId="127" fillId="3" borderId="0" xfId="0" applyNumberFormat="1" applyFont="1" applyFill="1" applyAlignment="1">
      <alignment horizontal="left" vertical="center" wrapText="1"/>
    </xf>
    <xf numFmtId="0" fontId="127" fillId="3" borderId="0" xfId="0" applyFont="1" applyFill="1" applyAlignment="1">
      <alignment horizontal="left" vertical="center" wrapText="1"/>
    </xf>
    <xf numFmtId="0" fontId="130" fillId="3" borderId="5" xfId="0" applyFont="1" applyFill="1" applyBorder="1" applyAlignment="1">
      <alignment horizontal="center" vertical="center"/>
    </xf>
    <xf numFmtId="0" fontId="130" fillId="3" borderId="0" xfId="0" applyFont="1" applyFill="1" applyAlignment="1">
      <alignment horizontal="center" vertical="center"/>
    </xf>
    <xf numFmtId="0" fontId="127" fillId="4" borderId="4" xfId="0" applyFont="1" applyFill="1" applyBorder="1" applyAlignment="1">
      <alignment horizontal="center" vertical="center" wrapText="1"/>
    </xf>
  </cellXfs>
  <cellStyles count="51">
    <cellStyle name="=C:\WINNT\SYSTEM32\COMMAND.COM" xfId="45" xr:uid="{34BF4AEE-2937-498E-8EF3-8128A2F939B7}"/>
    <cellStyle name="20% - Accent1" xfId="6" builtinId="30"/>
    <cellStyle name="Check Cell" xfId="4" builtinId="23"/>
    <cellStyle name="Check Cell 2" xfId="46" xr:uid="{D8BBCCFE-AEA2-4CE9-B25B-1B8577DA125D}"/>
    <cellStyle name="Comma" xfId="1" builtinId="3"/>
    <cellStyle name="Comma 2" xfId="47" xr:uid="{245091D1-09B8-4BA8-8752-F38D24B9D39E}"/>
    <cellStyle name="Comma 2 2 2" xfId="7" xr:uid="{00000000-0005-0000-0000-000031000000}"/>
    <cellStyle name="Comma 2 3 2" xfId="8" xr:uid="{00000000-0005-0000-0000-000032000000}"/>
    <cellStyle name="Comma 29" xfId="9" xr:uid="{00000000-0005-0000-0000-000033000000}"/>
    <cellStyle name="Currency" xfId="2" builtinId="4"/>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1" xfId="49" xr:uid="{2DD2E029-B88E-43BC-A7B8-614FE94AE8EB}"/>
    <cellStyle name="Normal 11 2" xfId="11" xr:uid="{00000000-0005-0000-0000-000035000000}"/>
    <cellStyle name="Normal 12" xfId="30" xr:uid="{7BCE2A68-F273-4274-A066-6B84FE569121}"/>
    <cellStyle name="Normal 13 2" xfId="12" xr:uid="{00000000-0005-0000-0000-000036000000}"/>
    <cellStyle name="Normal 14" xfId="13" xr:uid="{00000000-0005-0000-0000-000037000000}"/>
    <cellStyle name="Normal 17" xfId="32" xr:uid="{3A61A67E-AE39-428F-B759-757971D202D8}"/>
    <cellStyle name="Normal 18" xfId="33" xr:uid="{FAA132D2-8184-4FF2-9622-E2DADA8473DA}"/>
    <cellStyle name="Normal 19" xfId="34" xr:uid="{0C2472A0-BD30-4547-9BF8-8343B710AC75}"/>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3 3" xfId="20" xr:uid="{00000000-0005-0000-0000-00003E000000}"/>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7" xfId="40" xr:uid="{830D6DEA-C205-4B2C-80A9-DCCA2BF98C6A}"/>
    <cellStyle name="Normal 8" xfId="41" xr:uid="{1D0548D7-B338-44DC-A06B-FF5452568E1D}"/>
    <cellStyle name="Normal 8 2" xfId="27" xr:uid="{00000000-0005-0000-0000-000045000000}"/>
    <cellStyle name="Normal 9" xfId="42" xr:uid="{A03CB35C-55EF-4B9E-B505-94E080F332AA}"/>
    <cellStyle name="Normal 9 2" xfId="28" xr:uid="{00000000-0005-0000-0000-000046000000}"/>
    <cellStyle name="Normal 9 2 2" xfId="43" xr:uid="{0A0D74B9-F231-4D29-BCB7-743D98B5186D}"/>
    <cellStyle name="Percent" xfId="3" builtinId="5"/>
    <cellStyle name="Percent 2" xfId="29" xr:uid="{00000000-0005-0000-0000-000047000000}"/>
  </cellStyles>
  <dxfs count="4887">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ont>
        <color theme="0"/>
      </font>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lor theme="0"/>
      </font>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ill>
        <patternFill>
          <bgColor rgb="FF00B050"/>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294475" y="1534584"/>
          <a:ext cx="9702800"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25125"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57375"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41250"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73500"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25125"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986500"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05058" y="1533677"/>
          <a:ext cx="9702936"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11</xdr:row>
      <xdr:rowOff>183514</xdr:rowOff>
    </xdr:to>
    <xdr:sp macro="" textlink="">
      <xdr:nvSpPr>
        <xdr:cNvPr id="2" name="Text Box 6212">
          <a:extLst>
            <a:ext uri="{FF2B5EF4-FFF2-40B4-BE49-F238E27FC236}">
              <a16:creationId xmlns:a16="http://schemas.microsoft.com/office/drawing/2014/main" id="{99103793-7ADE-43C7-8092-132D05697DE9}"/>
            </a:ext>
          </a:extLst>
        </xdr:cNvPr>
        <xdr:cNvSpPr txBox="1">
          <a:spLocks noChangeArrowheads="1"/>
        </xdr:cNvSpPr>
      </xdr:nvSpPr>
      <xdr:spPr bwMode="auto">
        <a:xfrm>
          <a:off x="25253950" y="3149600"/>
          <a:ext cx="111125" cy="4883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5E85A29B-39F2-4AD8-AF50-33EE2B6DF498}"/>
            </a:ext>
          </a:extLst>
        </xdr:cNvPr>
        <xdr:cNvSpPr txBox="1">
          <a:spLocks noChangeArrowheads="1"/>
        </xdr:cNvSpPr>
      </xdr:nvSpPr>
      <xdr:spPr bwMode="auto">
        <a:xfrm>
          <a:off x="7277100" y="41148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A13CA7D0-C6A0-48FC-AF26-91FEECEC03C0}"/>
            </a:ext>
          </a:extLst>
        </xdr:cNvPr>
        <xdr:cNvGrpSpPr/>
      </xdr:nvGrpSpPr>
      <xdr:grpSpPr>
        <a:xfrm>
          <a:off x="19294475" y="1534584"/>
          <a:ext cx="9702800" cy="4931833"/>
          <a:chOff x="10153650" y="1536195"/>
          <a:chExt cx="2552700" cy="2203955"/>
        </a:xfrm>
      </xdr:grpSpPr>
      <xdr:sp macro="" textlink="">
        <xdr:nvSpPr>
          <xdr:cNvPr id="5" name="Rectangle 10693">
            <a:extLst>
              <a:ext uri="{FF2B5EF4-FFF2-40B4-BE49-F238E27FC236}">
                <a16:creationId xmlns:a16="http://schemas.microsoft.com/office/drawing/2014/main" id="{508E0493-97B2-F2E1-5986-21FC6544A4A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E93AA5E6-48E4-3947-8578-521B0ECADAF7}"/>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FC268537-45B3-860E-AA6A-774EF7F7E2FC}"/>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02870C5-1E11-E38A-4728-92690A53FAEF}"/>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A16B9A74-4410-AB6B-1F9D-17FF7F6F226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85EBE8B4-7139-A794-0C5E-28B0B38AF85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33B9236-2042-7707-4925-21A3DE40F4A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141FAE53-59ED-E1B4-7DC3-C552EAF97C69}"/>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754B35CA-E99A-C6DA-90A8-0EE115D34B2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2EF40204-3B9D-DC89-A3A8-B567D716A9E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F50F4E5-F497-F70C-6533-FFC02DE74DF9}"/>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868C44BF-3170-5F3D-8152-9E01D8AEF0F4}"/>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8E3A4A76-8B83-CE6F-6CBA-F4B5EB473108}"/>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40533916-1DDA-558C-F5DA-2030F6206FD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2268D736-A6AC-A7B3-084A-8BCAD79A568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D5D543B-A822-D720-23D9-5E2BCBFA3F59}"/>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86227E2E-CA44-B503-20DB-6285FC100E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C7039F1F-7074-6018-A921-2FB90727303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F48283B5-B49D-BC1C-2681-61973AE1D8E6}"/>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4E3EFD7E-91D6-7CAA-9549-9A600F76322D}"/>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4ABE74F-4867-4FC9-7131-6097F2764774}"/>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6F7F24B4-DBE6-CCBF-30E2-03E880169D17}"/>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A36E941E-9841-4CD5-9F7E-CFA27668DBE7}"/>
            </a:ext>
          </a:extLst>
        </xdr:cNvPr>
        <xdr:cNvSpPr>
          <a:spLocks noChangeShapeType="1"/>
        </xdr:cNvSpPr>
      </xdr:nvSpPr>
      <xdr:spPr bwMode="auto">
        <a:xfrm flipH="1">
          <a:off x="15954375" y="3591983"/>
          <a:ext cx="108267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F0C203BC-F2BF-421A-B8B6-453833AD7CBA}"/>
            </a:ext>
          </a:extLst>
        </xdr:cNvPr>
        <xdr:cNvPicPr>
          <a:picLocks noChangeAspect="1"/>
        </xdr:cNvPicPr>
      </xdr:nvPicPr>
      <xdr:blipFill>
        <a:blip xmlns:r="http://schemas.openxmlformats.org/officeDocument/2006/relationships" r:embed="rId1" cstate="print"/>
        <a:srcRect/>
        <a:stretch>
          <a:fillRect/>
        </a:stretch>
      </xdr:blipFill>
      <xdr:spPr bwMode="auto">
        <a:xfrm>
          <a:off x="24218900" y="3721100"/>
          <a:ext cx="161925" cy="9695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3A773C9D-7998-4EB5-AF6C-66170DE00536}"/>
            </a:ext>
          </a:extLst>
        </xdr:cNvPr>
        <xdr:cNvSpPr>
          <a:spLocks noChangeArrowheads="1"/>
        </xdr:cNvSpPr>
      </xdr:nvSpPr>
      <xdr:spPr bwMode="auto">
        <a:xfrm rot="5139476">
          <a:off x="22977657" y="246448"/>
          <a:ext cx="264894" cy="19422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7AC3E483-E6E9-41A6-9B61-2544C4842658}"/>
            </a:ext>
          </a:extLst>
        </xdr:cNvPr>
        <xdr:cNvSpPr>
          <a:spLocks noChangeArrowheads="1"/>
        </xdr:cNvSpPr>
      </xdr:nvSpPr>
      <xdr:spPr bwMode="auto">
        <a:xfrm>
          <a:off x="1397000" y="6076950"/>
          <a:ext cx="971550" cy="3175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A1E81F1B-DCD3-46A9-A9F1-1D1D42588EDB}"/>
            </a:ext>
          </a:extLst>
        </xdr:cNvPr>
        <xdr:cNvSpPr>
          <a:spLocks noChangeArrowheads="1"/>
        </xdr:cNvSpPr>
      </xdr:nvSpPr>
      <xdr:spPr bwMode="auto">
        <a:xfrm>
          <a:off x="314960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6AD55F0-431A-473A-A2C4-E09FF669BF33}"/>
            </a:ext>
          </a:extLst>
        </xdr:cNvPr>
        <xdr:cNvSpPr>
          <a:spLocks noChangeArrowheads="1"/>
        </xdr:cNvSpPr>
      </xdr:nvSpPr>
      <xdr:spPr bwMode="auto">
        <a:xfrm>
          <a:off x="4711700" y="6076950"/>
          <a:ext cx="7810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9E141972-EFCD-46FA-AEB6-63673BE7A460}"/>
            </a:ext>
          </a:extLst>
        </xdr:cNvPr>
        <xdr:cNvSpPr>
          <a:spLocks noChangeArrowheads="1"/>
        </xdr:cNvSpPr>
      </xdr:nvSpPr>
      <xdr:spPr bwMode="auto">
        <a:xfrm>
          <a:off x="6273800" y="6076950"/>
          <a:ext cx="8890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37231D07-0FEA-4842-96EC-FBEC847B4EBF}"/>
            </a:ext>
          </a:extLst>
        </xdr:cNvPr>
        <xdr:cNvSpPr>
          <a:spLocks noChangeArrowheads="1"/>
        </xdr:cNvSpPr>
      </xdr:nvSpPr>
      <xdr:spPr bwMode="auto">
        <a:xfrm>
          <a:off x="7943850" y="6076950"/>
          <a:ext cx="971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F1DFEB7E-F5A1-45BD-B5B1-CAC940433785}"/>
            </a:ext>
          </a:extLst>
        </xdr:cNvPr>
        <xdr:cNvSpPr>
          <a:spLocks noChangeArrowheads="1"/>
        </xdr:cNvSpPr>
      </xdr:nvSpPr>
      <xdr:spPr bwMode="auto">
        <a:xfrm>
          <a:off x="96964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0F9A41DE-728D-42CE-9BA4-F5E930ECB597}"/>
            </a:ext>
          </a:extLst>
        </xdr:cNvPr>
        <xdr:cNvSpPr>
          <a:spLocks noChangeArrowheads="1"/>
        </xdr:cNvSpPr>
      </xdr:nvSpPr>
      <xdr:spPr bwMode="auto">
        <a:xfrm>
          <a:off x="11258550" y="6076950"/>
          <a:ext cx="7810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D8E0BDE0-331A-40F2-8807-8FBB40145936}"/>
            </a:ext>
          </a:extLst>
        </xdr:cNvPr>
        <xdr:cNvSpPr>
          <a:spLocks noChangeArrowheads="1"/>
        </xdr:cNvSpPr>
      </xdr:nvSpPr>
      <xdr:spPr bwMode="auto">
        <a:xfrm>
          <a:off x="128206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5871C678-D5C4-400E-A3D6-DEF8A44AB97E}"/>
            </a:ext>
          </a:extLst>
        </xdr:cNvPr>
        <xdr:cNvSpPr>
          <a:spLocks noChangeArrowheads="1"/>
        </xdr:cNvSpPr>
      </xdr:nvSpPr>
      <xdr:spPr bwMode="auto">
        <a:xfrm>
          <a:off x="14382750" y="6076950"/>
          <a:ext cx="7810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4A290FFD-008B-44C8-9B6F-9B0E9F73B96F}"/>
            </a:ext>
          </a:extLst>
        </xdr:cNvPr>
        <xdr:cNvSpPr>
          <a:spLocks noChangeArrowheads="1"/>
        </xdr:cNvSpPr>
      </xdr:nvSpPr>
      <xdr:spPr bwMode="auto">
        <a:xfrm>
          <a:off x="15944850" y="6076950"/>
          <a:ext cx="9588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241A283A-F076-4D3C-BB90-03282FD33D79}"/>
            </a:ext>
          </a:extLst>
        </xdr:cNvPr>
        <xdr:cNvSpPr>
          <a:spLocks noChangeArrowheads="1"/>
        </xdr:cNvSpPr>
      </xdr:nvSpPr>
      <xdr:spPr bwMode="auto">
        <a:xfrm>
          <a:off x="17684750" y="6076950"/>
          <a:ext cx="7810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542CC048-9D48-4AD1-96E3-74C248EEC244}"/>
            </a:ext>
          </a:extLst>
        </xdr:cNvPr>
        <xdr:cNvSpPr>
          <a:spLocks noChangeArrowheads="1"/>
        </xdr:cNvSpPr>
      </xdr:nvSpPr>
      <xdr:spPr bwMode="auto">
        <a:xfrm>
          <a:off x="19246850" y="6076950"/>
          <a:ext cx="844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8C58E957-1C6F-46E3-9C3B-0D74C4BB9D56}"/>
            </a:ext>
          </a:extLst>
        </xdr:cNvPr>
        <xdr:cNvSpPr>
          <a:spLocks noChangeArrowheads="1"/>
        </xdr:cNvSpPr>
      </xdr:nvSpPr>
      <xdr:spPr bwMode="auto">
        <a:xfrm>
          <a:off x="20999450" y="6076950"/>
          <a:ext cx="7810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7609E721-0374-4D25-96F8-2608B7EC7FA3}"/>
            </a:ext>
          </a:extLst>
        </xdr:cNvPr>
        <xdr:cNvSpPr>
          <a:spLocks noChangeArrowheads="1"/>
        </xdr:cNvSpPr>
      </xdr:nvSpPr>
      <xdr:spPr bwMode="auto">
        <a:xfrm>
          <a:off x="22561550" y="6076950"/>
          <a:ext cx="8763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561B3FFE-89AD-442A-9B78-1577AADB2D93}"/>
            </a:ext>
          </a:extLst>
        </xdr:cNvPr>
        <xdr:cNvSpPr>
          <a:spLocks noChangeArrowheads="1"/>
        </xdr:cNvSpPr>
      </xdr:nvSpPr>
      <xdr:spPr bwMode="auto">
        <a:xfrm>
          <a:off x="14382750" y="6076950"/>
          <a:ext cx="7810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D941C07D-CBEB-4E44-90E2-5B3300DEB038}"/>
            </a:ext>
          </a:extLst>
        </xdr:cNvPr>
        <xdr:cNvSpPr>
          <a:spLocks noChangeArrowheads="1"/>
        </xdr:cNvSpPr>
      </xdr:nvSpPr>
      <xdr:spPr bwMode="auto">
        <a:xfrm>
          <a:off x="15944850" y="6076950"/>
          <a:ext cx="9588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B2B5E4D2-B4D5-4F37-A5B7-D97889A934EC}"/>
            </a:ext>
          </a:extLst>
        </xdr:cNvPr>
        <xdr:cNvSpPr>
          <a:spLocks noChangeArrowheads="1"/>
        </xdr:cNvSpPr>
      </xdr:nvSpPr>
      <xdr:spPr bwMode="auto">
        <a:xfrm>
          <a:off x="17684750" y="6076950"/>
          <a:ext cx="7810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ECC7A66C-0905-4A31-8A29-91E1500A1709}"/>
            </a:ext>
          </a:extLst>
        </xdr:cNvPr>
        <xdr:cNvSpPr>
          <a:spLocks noChangeArrowheads="1"/>
        </xdr:cNvSpPr>
      </xdr:nvSpPr>
      <xdr:spPr bwMode="auto">
        <a:xfrm>
          <a:off x="19246850" y="6076950"/>
          <a:ext cx="844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60C32387-5E77-427A-8075-502DFB0D0F50}"/>
            </a:ext>
          </a:extLst>
        </xdr:cNvPr>
        <xdr:cNvSpPr>
          <a:spLocks noChangeArrowheads="1"/>
        </xdr:cNvSpPr>
      </xdr:nvSpPr>
      <xdr:spPr bwMode="auto">
        <a:xfrm>
          <a:off x="209994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F93B405C-7926-4A91-94E0-34443F65608E}"/>
            </a:ext>
          </a:extLst>
        </xdr:cNvPr>
        <xdr:cNvSpPr>
          <a:spLocks noChangeArrowheads="1"/>
        </xdr:cNvSpPr>
      </xdr:nvSpPr>
      <xdr:spPr bwMode="auto">
        <a:xfrm>
          <a:off x="22561550" y="6076950"/>
          <a:ext cx="87630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52ED0C94-3A1D-4FEB-9F1B-0F276AD802D1}"/>
            </a:ext>
          </a:extLst>
        </xdr:cNvPr>
        <xdr:cNvSpPr>
          <a:spLocks noChangeArrowheads="1"/>
        </xdr:cNvSpPr>
      </xdr:nvSpPr>
      <xdr:spPr bwMode="auto">
        <a:xfrm>
          <a:off x="128206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B87ED576-4436-4DA3-A815-BF4C9BD2CC2E}"/>
            </a:ext>
          </a:extLst>
        </xdr:cNvPr>
        <xdr:cNvSpPr>
          <a:spLocks noChangeArrowheads="1"/>
        </xdr:cNvSpPr>
      </xdr:nvSpPr>
      <xdr:spPr bwMode="auto">
        <a:xfrm>
          <a:off x="143827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A169D7BD-48EA-4AFE-96A9-28E1C649CAF4}"/>
            </a:ext>
          </a:extLst>
        </xdr:cNvPr>
        <xdr:cNvSpPr>
          <a:spLocks noChangeArrowheads="1"/>
        </xdr:cNvSpPr>
      </xdr:nvSpPr>
      <xdr:spPr bwMode="auto">
        <a:xfrm>
          <a:off x="15944850" y="6076950"/>
          <a:ext cx="9588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1EB307D-92C5-4D7D-8F13-27C70314DAE6}"/>
            </a:ext>
          </a:extLst>
        </xdr:cNvPr>
        <xdr:cNvSpPr>
          <a:spLocks noChangeArrowheads="1"/>
        </xdr:cNvSpPr>
      </xdr:nvSpPr>
      <xdr:spPr bwMode="auto">
        <a:xfrm>
          <a:off x="17684750" y="6076950"/>
          <a:ext cx="7810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7EBAE215-E09C-448F-A8E4-D5C1B54B7432}"/>
            </a:ext>
          </a:extLst>
        </xdr:cNvPr>
        <xdr:cNvSpPr>
          <a:spLocks noChangeArrowheads="1"/>
        </xdr:cNvSpPr>
      </xdr:nvSpPr>
      <xdr:spPr bwMode="auto">
        <a:xfrm>
          <a:off x="19246850" y="6076950"/>
          <a:ext cx="844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6F10F38A-2224-432E-9711-5D104ED58094}"/>
            </a:ext>
          </a:extLst>
        </xdr:cNvPr>
        <xdr:cNvSpPr>
          <a:spLocks noChangeArrowheads="1"/>
        </xdr:cNvSpPr>
      </xdr:nvSpPr>
      <xdr:spPr bwMode="auto">
        <a:xfrm>
          <a:off x="20999450" y="6076950"/>
          <a:ext cx="7810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F06929CA-BE12-4ECA-A45D-C9FC0016BF28}"/>
            </a:ext>
          </a:extLst>
        </xdr:cNvPr>
        <xdr:cNvSpPr>
          <a:spLocks noChangeArrowheads="1"/>
        </xdr:cNvSpPr>
      </xdr:nvSpPr>
      <xdr:spPr bwMode="auto">
        <a:xfrm>
          <a:off x="22561550" y="6076950"/>
          <a:ext cx="87630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6749A572-AB19-4069-8F5B-E97B5C76EC35}"/>
            </a:ext>
          </a:extLst>
        </xdr:cNvPr>
        <xdr:cNvSpPr>
          <a:spLocks noChangeArrowheads="1"/>
        </xdr:cNvSpPr>
      </xdr:nvSpPr>
      <xdr:spPr bwMode="auto">
        <a:xfrm>
          <a:off x="1397000" y="8350250"/>
          <a:ext cx="971550" cy="4635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7913C1C9-6C64-41F5-B8EA-F853DD739E5B}"/>
            </a:ext>
          </a:extLst>
        </xdr:cNvPr>
        <xdr:cNvSpPr>
          <a:spLocks noChangeArrowheads="1"/>
        </xdr:cNvSpPr>
      </xdr:nvSpPr>
      <xdr:spPr bwMode="auto">
        <a:xfrm>
          <a:off x="314960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E7E1A031-9D92-48B4-A685-177194825102}"/>
            </a:ext>
          </a:extLst>
        </xdr:cNvPr>
        <xdr:cNvSpPr>
          <a:spLocks noChangeArrowheads="1"/>
        </xdr:cNvSpPr>
      </xdr:nvSpPr>
      <xdr:spPr bwMode="auto">
        <a:xfrm>
          <a:off x="471170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1E4F195C-5B42-4584-8D4E-501AB7166E23}"/>
            </a:ext>
          </a:extLst>
        </xdr:cNvPr>
        <xdr:cNvSpPr>
          <a:spLocks noChangeArrowheads="1"/>
        </xdr:cNvSpPr>
      </xdr:nvSpPr>
      <xdr:spPr bwMode="auto">
        <a:xfrm>
          <a:off x="6273800" y="8350250"/>
          <a:ext cx="889000" cy="4635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4CF55770-3ACF-40FE-8800-D1DCB7B7BB9F}"/>
            </a:ext>
          </a:extLst>
        </xdr:cNvPr>
        <xdr:cNvSpPr>
          <a:spLocks noChangeArrowheads="1"/>
        </xdr:cNvSpPr>
      </xdr:nvSpPr>
      <xdr:spPr bwMode="auto">
        <a:xfrm>
          <a:off x="7943850" y="8350250"/>
          <a:ext cx="971550" cy="4635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31C55A2E-E3B9-447A-9A62-29BF2282DF97}"/>
            </a:ext>
          </a:extLst>
        </xdr:cNvPr>
        <xdr:cNvSpPr>
          <a:spLocks noChangeArrowheads="1"/>
        </xdr:cNvSpPr>
      </xdr:nvSpPr>
      <xdr:spPr bwMode="auto">
        <a:xfrm>
          <a:off x="96964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03973C80-21F5-488B-9EA8-6EC19769C3BA}"/>
            </a:ext>
          </a:extLst>
        </xdr:cNvPr>
        <xdr:cNvSpPr>
          <a:spLocks noChangeArrowheads="1"/>
        </xdr:cNvSpPr>
      </xdr:nvSpPr>
      <xdr:spPr bwMode="auto">
        <a:xfrm>
          <a:off x="112585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FCD4CFC1-11C5-41F1-B933-8E0EF674AE29}"/>
            </a:ext>
          </a:extLst>
        </xdr:cNvPr>
        <xdr:cNvSpPr>
          <a:spLocks noChangeArrowheads="1"/>
        </xdr:cNvSpPr>
      </xdr:nvSpPr>
      <xdr:spPr bwMode="auto">
        <a:xfrm>
          <a:off x="128206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BAFA382E-4340-48F8-BBDA-CD2598EA0955}"/>
            </a:ext>
          </a:extLst>
        </xdr:cNvPr>
        <xdr:cNvSpPr>
          <a:spLocks noChangeArrowheads="1"/>
        </xdr:cNvSpPr>
      </xdr:nvSpPr>
      <xdr:spPr bwMode="auto">
        <a:xfrm>
          <a:off x="14382750" y="8350250"/>
          <a:ext cx="78105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1D918237-3106-4345-84AD-A0873B82586D}"/>
            </a:ext>
          </a:extLst>
        </xdr:cNvPr>
        <xdr:cNvSpPr>
          <a:spLocks noChangeArrowheads="1"/>
        </xdr:cNvSpPr>
      </xdr:nvSpPr>
      <xdr:spPr bwMode="auto">
        <a:xfrm>
          <a:off x="15944850" y="8350250"/>
          <a:ext cx="95885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D67F148D-A729-4BE2-B5A8-E02AA00A3DB9}"/>
            </a:ext>
          </a:extLst>
        </xdr:cNvPr>
        <xdr:cNvSpPr>
          <a:spLocks noChangeArrowheads="1"/>
        </xdr:cNvSpPr>
      </xdr:nvSpPr>
      <xdr:spPr bwMode="auto">
        <a:xfrm>
          <a:off x="17684750" y="8350250"/>
          <a:ext cx="78105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76F7D4D9-14E9-4482-BF54-BD7FA8C34F86}"/>
            </a:ext>
          </a:extLst>
        </xdr:cNvPr>
        <xdr:cNvSpPr>
          <a:spLocks noChangeArrowheads="1"/>
        </xdr:cNvSpPr>
      </xdr:nvSpPr>
      <xdr:spPr bwMode="auto">
        <a:xfrm>
          <a:off x="19246850" y="8350250"/>
          <a:ext cx="84455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1AC64C50-0E1A-48B3-B9B5-962235999070}"/>
            </a:ext>
          </a:extLst>
        </xdr:cNvPr>
        <xdr:cNvSpPr>
          <a:spLocks noChangeArrowheads="1"/>
        </xdr:cNvSpPr>
      </xdr:nvSpPr>
      <xdr:spPr bwMode="auto">
        <a:xfrm>
          <a:off x="20999450" y="8350250"/>
          <a:ext cx="78105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29986C3E-82C0-4045-9CC6-9EE1996181AE}"/>
            </a:ext>
          </a:extLst>
        </xdr:cNvPr>
        <xdr:cNvSpPr>
          <a:spLocks noChangeArrowheads="1"/>
        </xdr:cNvSpPr>
      </xdr:nvSpPr>
      <xdr:spPr bwMode="auto">
        <a:xfrm>
          <a:off x="22561550" y="8350250"/>
          <a:ext cx="876300" cy="4635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7EC5B909-4B30-4B50-BED4-408AB1640B20}"/>
            </a:ext>
          </a:extLst>
        </xdr:cNvPr>
        <xdr:cNvSpPr>
          <a:spLocks noChangeArrowheads="1"/>
        </xdr:cNvSpPr>
      </xdr:nvSpPr>
      <xdr:spPr bwMode="auto">
        <a:xfrm>
          <a:off x="143827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DE6B80C6-DCCA-4453-A5A6-9E941D5C35AC}"/>
            </a:ext>
          </a:extLst>
        </xdr:cNvPr>
        <xdr:cNvSpPr>
          <a:spLocks noChangeArrowheads="1"/>
        </xdr:cNvSpPr>
      </xdr:nvSpPr>
      <xdr:spPr bwMode="auto">
        <a:xfrm>
          <a:off x="15944850" y="8350250"/>
          <a:ext cx="958850" cy="4635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70B5B23D-C561-4AE0-87BD-63497D58353E}"/>
            </a:ext>
          </a:extLst>
        </xdr:cNvPr>
        <xdr:cNvSpPr>
          <a:spLocks noChangeArrowheads="1"/>
        </xdr:cNvSpPr>
      </xdr:nvSpPr>
      <xdr:spPr bwMode="auto">
        <a:xfrm>
          <a:off x="176847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610BB6C5-B60F-4317-AF07-3D8BC7ED1045}"/>
            </a:ext>
          </a:extLst>
        </xdr:cNvPr>
        <xdr:cNvSpPr>
          <a:spLocks noChangeArrowheads="1"/>
        </xdr:cNvSpPr>
      </xdr:nvSpPr>
      <xdr:spPr bwMode="auto">
        <a:xfrm>
          <a:off x="19246850" y="8350250"/>
          <a:ext cx="844550" cy="4635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EA376AD-0BA6-445C-8C20-AC9F22399DC8}"/>
            </a:ext>
          </a:extLst>
        </xdr:cNvPr>
        <xdr:cNvSpPr>
          <a:spLocks noChangeArrowheads="1"/>
        </xdr:cNvSpPr>
      </xdr:nvSpPr>
      <xdr:spPr bwMode="auto">
        <a:xfrm>
          <a:off x="209994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90E0354E-58DF-4F96-88D1-D6E486713BB2}"/>
            </a:ext>
          </a:extLst>
        </xdr:cNvPr>
        <xdr:cNvSpPr>
          <a:spLocks noChangeArrowheads="1"/>
        </xdr:cNvSpPr>
      </xdr:nvSpPr>
      <xdr:spPr bwMode="auto">
        <a:xfrm>
          <a:off x="22561550" y="8350250"/>
          <a:ext cx="876300" cy="4635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E93FDF4D-C09C-40B3-AB33-F85C89FD9454}"/>
            </a:ext>
          </a:extLst>
        </xdr:cNvPr>
        <xdr:cNvSpPr>
          <a:spLocks noChangeArrowheads="1"/>
        </xdr:cNvSpPr>
      </xdr:nvSpPr>
      <xdr:spPr bwMode="auto">
        <a:xfrm>
          <a:off x="128206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34D5A9C9-64E4-407E-9BDC-96946BD20839}"/>
            </a:ext>
          </a:extLst>
        </xdr:cNvPr>
        <xdr:cNvSpPr>
          <a:spLocks noChangeArrowheads="1"/>
        </xdr:cNvSpPr>
      </xdr:nvSpPr>
      <xdr:spPr bwMode="auto">
        <a:xfrm>
          <a:off x="143827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15961267-7B85-4FCC-B31F-F67CB146D5EA}"/>
            </a:ext>
          </a:extLst>
        </xdr:cNvPr>
        <xdr:cNvSpPr>
          <a:spLocks noChangeArrowheads="1"/>
        </xdr:cNvSpPr>
      </xdr:nvSpPr>
      <xdr:spPr bwMode="auto">
        <a:xfrm>
          <a:off x="15944850" y="8350250"/>
          <a:ext cx="958850" cy="4635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263A53EA-598A-40E4-869D-E90EBB073BB4}"/>
            </a:ext>
          </a:extLst>
        </xdr:cNvPr>
        <xdr:cNvSpPr>
          <a:spLocks noChangeArrowheads="1"/>
        </xdr:cNvSpPr>
      </xdr:nvSpPr>
      <xdr:spPr bwMode="auto">
        <a:xfrm>
          <a:off x="176847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4BD7ABA-1A65-4020-B530-757F0C132E75}"/>
            </a:ext>
          </a:extLst>
        </xdr:cNvPr>
        <xdr:cNvSpPr>
          <a:spLocks noChangeArrowheads="1"/>
        </xdr:cNvSpPr>
      </xdr:nvSpPr>
      <xdr:spPr bwMode="auto">
        <a:xfrm>
          <a:off x="19246850" y="8350250"/>
          <a:ext cx="844550" cy="4635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3BCACCB7-A645-46E2-B6EA-08F4C32BC1FB}"/>
            </a:ext>
          </a:extLst>
        </xdr:cNvPr>
        <xdr:cNvSpPr>
          <a:spLocks noChangeArrowheads="1"/>
        </xdr:cNvSpPr>
      </xdr:nvSpPr>
      <xdr:spPr bwMode="auto">
        <a:xfrm>
          <a:off x="20999450" y="8350250"/>
          <a:ext cx="781050" cy="4635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1FF25EBC-A516-40C4-A670-49E01B8343A6}"/>
            </a:ext>
          </a:extLst>
        </xdr:cNvPr>
        <xdr:cNvSpPr>
          <a:spLocks noChangeArrowheads="1"/>
        </xdr:cNvSpPr>
      </xdr:nvSpPr>
      <xdr:spPr bwMode="auto">
        <a:xfrm>
          <a:off x="22561550" y="8350250"/>
          <a:ext cx="876300" cy="4635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C0356B9F-8AB0-41EB-AC97-F9E462539C81}"/>
            </a:ext>
          </a:extLst>
        </xdr:cNvPr>
        <xdr:cNvSpPr>
          <a:spLocks noChangeArrowheads="1"/>
        </xdr:cNvSpPr>
      </xdr:nvSpPr>
      <xdr:spPr bwMode="auto">
        <a:xfrm>
          <a:off x="1397000" y="10909300"/>
          <a:ext cx="97155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6" name="AutoShape 46">
          <a:extLst>
            <a:ext uri="{FF2B5EF4-FFF2-40B4-BE49-F238E27FC236}">
              <a16:creationId xmlns:a16="http://schemas.microsoft.com/office/drawing/2014/main" id="{AEF11B8A-EEF4-4099-A22C-314450F8D10F}"/>
            </a:ext>
          </a:extLst>
        </xdr:cNvPr>
        <xdr:cNvSpPr>
          <a:spLocks noChangeArrowheads="1"/>
        </xdr:cNvSpPr>
      </xdr:nvSpPr>
      <xdr:spPr bwMode="auto">
        <a:xfrm>
          <a:off x="4711700" y="10909300"/>
          <a:ext cx="78105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7" name="AutoShape 46">
          <a:extLst>
            <a:ext uri="{FF2B5EF4-FFF2-40B4-BE49-F238E27FC236}">
              <a16:creationId xmlns:a16="http://schemas.microsoft.com/office/drawing/2014/main" id="{7012184C-8D68-4FA2-B1EB-00E614BC8668}"/>
            </a:ext>
          </a:extLst>
        </xdr:cNvPr>
        <xdr:cNvSpPr>
          <a:spLocks noChangeArrowheads="1"/>
        </xdr:cNvSpPr>
      </xdr:nvSpPr>
      <xdr:spPr bwMode="auto">
        <a:xfrm>
          <a:off x="6273800" y="10909300"/>
          <a:ext cx="8890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8" name="AutoShape 46">
          <a:extLst>
            <a:ext uri="{FF2B5EF4-FFF2-40B4-BE49-F238E27FC236}">
              <a16:creationId xmlns:a16="http://schemas.microsoft.com/office/drawing/2014/main" id="{A5B47580-E015-4691-8F07-B226983DC0B5}"/>
            </a:ext>
          </a:extLst>
        </xdr:cNvPr>
        <xdr:cNvSpPr>
          <a:spLocks noChangeArrowheads="1"/>
        </xdr:cNvSpPr>
      </xdr:nvSpPr>
      <xdr:spPr bwMode="auto">
        <a:xfrm>
          <a:off x="7943850" y="1090930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9" name="AutoShape 46">
          <a:extLst>
            <a:ext uri="{FF2B5EF4-FFF2-40B4-BE49-F238E27FC236}">
              <a16:creationId xmlns:a16="http://schemas.microsoft.com/office/drawing/2014/main" id="{2E235E7C-7E9F-471B-B809-DB2E82F0A3F5}"/>
            </a:ext>
          </a:extLst>
        </xdr:cNvPr>
        <xdr:cNvSpPr>
          <a:spLocks noChangeArrowheads="1"/>
        </xdr:cNvSpPr>
      </xdr:nvSpPr>
      <xdr:spPr bwMode="auto">
        <a:xfrm>
          <a:off x="9696450" y="109093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90" name="AutoShape 46">
          <a:extLst>
            <a:ext uri="{FF2B5EF4-FFF2-40B4-BE49-F238E27FC236}">
              <a16:creationId xmlns:a16="http://schemas.microsoft.com/office/drawing/2014/main" id="{AEB385DE-4B66-4297-AC51-93A09E57B69B}"/>
            </a:ext>
          </a:extLst>
        </xdr:cNvPr>
        <xdr:cNvSpPr>
          <a:spLocks noChangeArrowheads="1"/>
        </xdr:cNvSpPr>
      </xdr:nvSpPr>
      <xdr:spPr bwMode="auto">
        <a:xfrm>
          <a:off x="11258550" y="109093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1" name="AutoShape 46">
          <a:extLst>
            <a:ext uri="{FF2B5EF4-FFF2-40B4-BE49-F238E27FC236}">
              <a16:creationId xmlns:a16="http://schemas.microsoft.com/office/drawing/2014/main" id="{740F4040-8854-4530-ADB0-826F48D44261}"/>
            </a:ext>
          </a:extLst>
        </xdr:cNvPr>
        <xdr:cNvSpPr>
          <a:spLocks noChangeArrowheads="1"/>
        </xdr:cNvSpPr>
      </xdr:nvSpPr>
      <xdr:spPr bwMode="auto">
        <a:xfrm>
          <a:off x="12820650" y="109093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2" name="AutoShape 46">
          <a:extLst>
            <a:ext uri="{FF2B5EF4-FFF2-40B4-BE49-F238E27FC236}">
              <a16:creationId xmlns:a16="http://schemas.microsoft.com/office/drawing/2014/main" id="{647513A2-EF2D-4820-B060-94D8BD8ACEFC}"/>
            </a:ext>
          </a:extLst>
        </xdr:cNvPr>
        <xdr:cNvSpPr>
          <a:spLocks noChangeArrowheads="1"/>
        </xdr:cNvSpPr>
      </xdr:nvSpPr>
      <xdr:spPr bwMode="auto">
        <a:xfrm>
          <a:off x="14382750" y="1090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3" name="AutoShape 46">
          <a:extLst>
            <a:ext uri="{FF2B5EF4-FFF2-40B4-BE49-F238E27FC236}">
              <a16:creationId xmlns:a16="http://schemas.microsoft.com/office/drawing/2014/main" id="{C8556591-C74A-4091-9BAD-28F6208E0CE2}"/>
            </a:ext>
          </a:extLst>
        </xdr:cNvPr>
        <xdr:cNvSpPr>
          <a:spLocks noChangeArrowheads="1"/>
        </xdr:cNvSpPr>
      </xdr:nvSpPr>
      <xdr:spPr bwMode="auto">
        <a:xfrm>
          <a:off x="15944850" y="109093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4" name="AutoShape 46">
          <a:extLst>
            <a:ext uri="{FF2B5EF4-FFF2-40B4-BE49-F238E27FC236}">
              <a16:creationId xmlns:a16="http://schemas.microsoft.com/office/drawing/2014/main" id="{CEAE9AED-2733-4DD8-8BA0-E7EAA291AB18}"/>
            </a:ext>
          </a:extLst>
        </xdr:cNvPr>
        <xdr:cNvSpPr>
          <a:spLocks noChangeArrowheads="1"/>
        </xdr:cNvSpPr>
      </xdr:nvSpPr>
      <xdr:spPr bwMode="auto">
        <a:xfrm>
          <a:off x="17684750" y="1090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5" name="AutoShape 46">
          <a:extLst>
            <a:ext uri="{FF2B5EF4-FFF2-40B4-BE49-F238E27FC236}">
              <a16:creationId xmlns:a16="http://schemas.microsoft.com/office/drawing/2014/main" id="{92F610AE-F84E-4C55-81B0-9CDB5692B375}"/>
            </a:ext>
          </a:extLst>
        </xdr:cNvPr>
        <xdr:cNvSpPr>
          <a:spLocks noChangeArrowheads="1"/>
        </xdr:cNvSpPr>
      </xdr:nvSpPr>
      <xdr:spPr bwMode="auto">
        <a:xfrm>
          <a:off x="19246850" y="109093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6" name="AutoShape 46">
          <a:extLst>
            <a:ext uri="{FF2B5EF4-FFF2-40B4-BE49-F238E27FC236}">
              <a16:creationId xmlns:a16="http://schemas.microsoft.com/office/drawing/2014/main" id="{038FA3A1-D876-4283-9CDB-D86E9F729497}"/>
            </a:ext>
          </a:extLst>
        </xdr:cNvPr>
        <xdr:cNvSpPr>
          <a:spLocks noChangeArrowheads="1"/>
        </xdr:cNvSpPr>
      </xdr:nvSpPr>
      <xdr:spPr bwMode="auto">
        <a:xfrm>
          <a:off x="20999450" y="1090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7" name="AutoShape 46">
          <a:extLst>
            <a:ext uri="{FF2B5EF4-FFF2-40B4-BE49-F238E27FC236}">
              <a16:creationId xmlns:a16="http://schemas.microsoft.com/office/drawing/2014/main" id="{BCE082C8-C9E6-4278-A6EF-A69257DE998E}"/>
            </a:ext>
          </a:extLst>
        </xdr:cNvPr>
        <xdr:cNvSpPr>
          <a:spLocks noChangeArrowheads="1"/>
        </xdr:cNvSpPr>
      </xdr:nvSpPr>
      <xdr:spPr bwMode="auto">
        <a:xfrm>
          <a:off x="22561550" y="109093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8" name="AutoShape 46">
          <a:extLst>
            <a:ext uri="{FF2B5EF4-FFF2-40B4-BE49-F238E27FC236}">
              <a16:creationId xmlns:a16="http://schemas.microsoft.com/office/drawing/2014/main" id="{E93ADBC1-2438-4F3B-B853-51B447E0F904}"/>
            </a:ext>
          </a:extLst>
        </xdr:cNvPr>
        <xdr:cNvSpPr>
          <a:spLocks noChangeArrowheads="1"/>
        </xdr:cNvSpPr>
      </xdr:nvSpPr>
      <xdr:spPr bwMode="auto">
        <a:xfrm>
          <a:off x="14382750" y="109093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9" name="AutoShape 46">
          <a:extLst>
            <a:ext uri="{FF2B5EF4-FFF2-40B4-BE49-F238E27FC236}">
              <a16:creationId xmlns:a16="http://schemas.microsoft.com/office/drawing/2014/main" id="{CED0C35E-2697-40A7-B06D-2429AD010410}"/>
            </a:ext>
          </a:extLst>
        </xdr:cNvPr>
        <xdr:cNvSpPr>
          <a:spLocks noChangeArrowheads="1"/>
        </xdr:cNvSpPr>
      </xdr:nvSpPr>
      <xdr:spPr bwMode="auto">
        <a:xfrm>
          <a:off x="15944850" y="10909300"/>
          <a:ext cx="9588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100" name="AutoShape 46">
          <a:extLst>
            <a:ext uri="{FF2B5EF4-FFF2-40B4-BE49-F238E27FC236}">
              <a16:creationId xmlns:a16="http://schemas.microsoft.com/office/drawing/2014/main" id="{2890C897-AC4D-4852-A0C3-D62599BF8FEE}"/>
            </a:ext>
          </a:extLst>
        </xdr:cNvPr>
        <xdr:cNvSpPr>
          <a:spLocks noChangeArrowheads="1"/>
        </xdr:cNvSpPr>
      </xdr:nvSpPr>
      <xdr:spPr bwMode="auto">
        <a:xfrm>
          <a:off x="17684750" y="109093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1" name="AutoShape 46">
          <a:extLst>
            <a:ext uri="{FF2B5EF4-FFF2-40B4-BE49-F238E27FC236}">
              <a16:creationId xmlns:a16="http://schemas.microsoft.com/office/drawing/2014/main" id="{DA7FEDCC-FC50-493E-896F-69EC19294B5E}"/>
            </a:ext>
          </a:extLst>
        </xdr:cNvPr>
        <xdr:cNvSpPr>
          <a:spLocks noChangeArrowheads="1"/>
        </xdr:cNvSpPr>
      </xdr:nvSpPr>
      <xdr:spPr bwMode="auto">
        <a:xfrm>
          <a:off x="19246850" y="109093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2" name="AutoShape 46">
          <a:extLst>
            <a:ext uri="{FF2B5EF4-FFF2-40B4-BE49-F238E27FC236}">
              <a16:creationId xmlns:a16="http://schemas.microsoft.com/office/drawing/2014/main" id="{A89C3248-3444-4770-A7D2-EEEC907FAC47}"/>
            </a:ext>
          </a:extLst>
        </xdr:cNvPr>
        <xdr:cNvSpPr>
          <a:spLocks noChangeArrowheads="1"/>
        </xdr:cNvSpPr>
      </xdr:nvSpPr>
      <xdr:spPr bwMode="auto">
        <a:xfrm>
          <a:off x="20999450" y="1090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3" name="AutoShape 46">
          <a:extLst>
            <a:ext uri="{FF2B5EF4-FFF2-40B4-BE49-F238E27FC236}">
              <a16:creationId xmlns:a16="http://schemas.microsoft.com/office/drawing/2014/main" id="{26E556CD-9114-4EF8-B5E3-DF050B3C9F28}"/>
            </a:ext>
          </a:extLst>
        </xdr:cNvPr>
        <xdr:cNvSpPr>
          <a:spLocks noChangeArrowheads="1"/>
        </xdr:cNvSpPr>
      </xdr:nvSpPr>
      <xdr:spPr bwMode="auto">
        <a:xfrm>
          <a:off x="22561550" y="10909300"/>
          <a:ext cx="8763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4" name="AutoShape 46">
          <a:extLst>
            <a:ext uri="{FF2B5EF4-FFF2-40B4-BE49-F238E27FC236}">
              <a16:creationId xmlns:a16="http://schemas.microsoft.com/office/drawing/2014/main" id="{DD7BA9CA-96FB-46BC-9B3E-EC6024A24644}"/>
            </a:ext>
          </a:extLst>
        </xdr:cNvPr>
        <xdr:cNvSpPr>
          <a:spLocks noChangeArrowheads="1"/>
        </xdr:cNvSpPr>
      </xdr:nvSpPr>
      <xdr:spPr bwMode="auto">
        <a:xfrm>
          <a:off x="12820650" y="109093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5" name="AutoShape 46">
          <a:extLst>
            <a:ext uri="{FF2B5EF4-FFF2-40B4-BE49-F238E27FC236}">
              <a16:creationId xmlns:a16="http://schemas.microsoft.com/office/drawing/2014/main" id="{96D6D9BA-53F7-44B7-AF50-68C8E86411EF}"/>
            </a:ext>
          </a:extLst>
        </xdr:cNvPr>
        <xdr:cNvSpPr>
          <a:spLocks noChangeArrowheads="1"/>
        </xdr:cNvSpPr>
      </xdr:nvSpPr>
      <xdr:spPr bwMode="auto">
        <a:xfrm>
          <a:off x="14382750" y="109093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6" name="AutoShape 46">
          <a:extLst>
            <a:ext uri="{FF2B5EF4-FFF2-40B4-BE49-F238E27FC236}">
              <a16:creationId xmlns:a16="http://schemas.microsoft.com/office/drawing/2014/main" id="{9C1891A0-5D2F-49CD-AD8F-E361D0772D45}"/>
            </a:ext>
          </a:extLst>
        </xdr:cNvPr>
        <xdr:cNvSpPr>
          <a:spLocks noChangeArrowheads="1"/>
        </xdr:cNvSpPr>
      </xdr:nvSpPr>
      <xdr:spPr bwMode="auto">
        <a:xfrm>
          <a:off x="15944850" y="10909300"/>
          <a:ext cx="95885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7" name="AutoShape 46">
          <a:extLst>
            <a:ext uri="{FF2B5EF4-FFF2-40B4-BE49-F238E27FC236}">
              <a16:creationId xmlns:a16="http://schemas.microsoft.com/office/drawing/2014/main" id="{39030F11-7F29-4E81-9E05-81EF607ED364}"/>
            </a:ext>
          </a:extLst>
        </xdr:cNvPr>
        <xdr:cNvSpPr>
          <a:spLocks noChangeArrowheads="1"/>
        </xdr:cNvSpPr>
      </xdr:nvSpPr>
      <xdr:spPr bwMode="auto">
        <a:xfrm>
          <a:off x="17684750" y="109093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8" name="AutoShape 46">
          <a:extLst>
            <a:ext uri="{FF2B5EF4-FFF2-40B4-BE49-F238E27FC236}">
              <a16:creationId xmlns:a16="http://schemas.microsoft.com/office/drawing/2014/main" id="{E6166E08-C239-4528-8EDC-86F7594B5E99}"/>
            </a:ext>
          </a:extLst>
        </xdr:cNvPr>
        <xdr:cNvSpPr>
          <a:spLocks noChangeArrowheads="1"/>
        </xdr:cNvSpPr>
      </xdr:nvSpPr>
      <xdr:spPr bwMode="auto">
        <a:xfrm>
          <a:off x="19246850" y="109093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9" name="AutoShape 46">
          <a:extLst>
            <a:ext uri="{FF2B5EF4-FFF2-40B4-BE49-F238E27FC236}">
              <a16:creationId xmlns:a16="http://schemas.microsoft.com/office/drawing/2014/main" id="{E5E68A0A-B955-4A13-A5CC-BD3B98B46062}"/>
            </a:ext>
          </a:extLst>
        </xdr:cNvPr>
        <xdr:cNvSpPr>
          <a:spLocks noChangeArrowheads="1"/>
        </xdr:cNvSpPr>
      </xdr:nvSpPr>
      <xdr:spPr bwMode="auto">
        <a:xfrm>
          <a:off x="20999450" y="1090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10" name="AutoShape 46">
          <a:extLst>
            <a:ext uri="{FF2B5EF4-FFF2-40B4-BE49-F238E27FC236}">
              <a16:creationId xmlns:a16="http://schemas.microsoft.com/office/drawing/2014/main" id="{8B75A83A-38CC-4C6E-B6EB-B7F5D9B568E7}"/>
            </a:ext>
          </a:extLst>
        </xdr:cNvPr>
        <xdr:cNvSpPr>
          <a:spLocks noChangeArrowheads="1"/>
        </xdr:cNvSpPr>
      </xdr:nvSpPr>
      <xdr:spPr bwMode="auto">
        <a:xfrm>
          <a:off x="22561550" y="10909300"/>
          <a:ext cx="8763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1" name="AutoShape 46">
          <a:extLst>
            <a:ext uri="{FF2B5EF4-FFF2-40B4-BE49-F238E27FC236}">
              <a16:creationId xmlns:a16="http://schemas.microsoft.com/office/drawing/2014/main" id="{A9C961B5-B9EE-42C4-B217-AA5EBDF4AEED}"/>
            </a:ext>
          </a:extLst>
        </xdr:cNvPr>
        <xdr:cNvSpPr>
          <a:spLocks noChangeArrowheads="1"/>
        </xdr:cNvSpPr>
      </xdr:nvSpPr>
      <xdr:spPr bwMode="auto">
        <a:xfrm>
          <a:off x="1397000" y="13620750"/>
          <a:ext cx="97155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2" name="AutoShape 46">
          <a:extLst>
            <a:ext uri="{FF2B5EF4-FFF2-40B4-BE49-F238E27FC236}">
              <a16:creationId xmlns:a16="http://schemas.microsoft.com/office/drawing/2014/main" id="{73C9885A-0464-4B61-A00A-7FF1D8FF3253}"/>
            </a:ext>
          </a:extLst>
        </xdr:cNvPr>
        <xdr:cNvSpPr>
          <a:spLocks noChangeArrowheads="1"/>
        </xdr:cNvSpPr>
      </xdr:nvSpPr>
      <xdr:spPr bwMode="auto">
        <a:xfrm>
          <a:off x="314960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3" name="AutoShape 46">
          <a:extLst>
            <a:ext uri="{FF2B5EF4-FFF2-40B4-BE49-F238E27FC236}">
              <a16:creationId xmlns:a16="http://schemas.microsoft.com/office/drawing/2014/main" id="{F9FAD425-8910-4B76-9EF0-E3E125884C5D}"/>
            </a:ext>
          </a:extLst>
        </xdr:cNvPr>
        <xdr:cNvSpPr>
          <a:spLocks noChangeArrowheads="1"/>
        </xdr:cNvSpPr>
      </xdr:nvSpPr>
      <xdr:spPr bwMode="auto">
        <a:xfrm>
          <a:off x="4711700" y="13620750"/>
          <a:ext cx="78105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4" name="AutoShape 46">
          <a:extLst>
            <a:ext uri="{FF2B5EF4-FFF2-40B4-BE49-F238E27FC236}">
              <a16:creationId xmlns:a16="http://schemas.microsoft.com/office/drawing/2014/main" id="{9E6BCDF3-7BA3-4832-9D73-2130AEA58FA1}"/>
            </a:ext>
          </a:extLst>
        </xdr:cNvPr>
        <xdr:cNvSpPr>
          <a:spLocks noChangeArrowheads="1"/>
        </xdr:cNvSpPr>
      </xdr:nvSpPr>
      <xdr:spPr bwMode="auto">
        <a:xfrm>
          <a:off x="6273800" y="13620750"/>
          <a:ext cx="8890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5" name="AutoShape 46">
          <a:extLst>
            <a:ext uri="{FF2B5EF4-FFF2-40B4-BE49-F238E27FC236}">
              <a16:creationId xmlns:a16="http://schemas.microsoft.com/office/drawing/2014/main" id="{630E1178-5D5C-4176-AFC3-308417A2E40A}"/>
            </a:ext>
          </a:extLst>
        </xdr:cNvPr>
        <xdr:cNvSpPr>
          <a:spLocks noChangeArrowheads="1"/>
        </xdr:cNvSpPr>
      </xdr:nvSpPr>
      <xdr:spPr bwMode="auto">
        <a:xfrm>
          <a:off x="7943850" y="1362075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6" name="AutoShape 46">
          <a:extLst>
            <a:ext uri="{FF2B5EF4-FFF2-40B4-BE49-F238E27FC236}">
              <a16:creationId xmlns:a16="http://schemas.microsoft.com/office/drawing/2014/main" id="{2BD4D66C-2E91-4B3C-8E16-79D116586C10}"/>
            </a:ext>
          </a:extLst>
        </xdr:cNvPr>
        <xdr:cNvSpPr>
          <a:spLocks noChangeArrowheads="1"/>
        </xdr:cNvSpPr>
      </xdr:nvSpPr>
      <xdr:spPr bwMode="auto">
        <a:xfrm>
          <a:off x="9696450" y="136207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7" name="AutoShape 46">
          <a:extLst>
            <a:ext uri="{FF2B5EF4-FFF2-40B4-BE49-F238E27FC236}">
              <a16:creationId xmlns:a16="http://schemas.microsoft.com/office/drawing/2014/main" id="{BF24A425-B61D-4B8F-B38C-31F10E03D788}"/>
            </a:ext>
          </a:extLst>
        </xdr:cNvPr>
        <xdr:cNvSpPr>
          <a:spLocks noChangeArrowheads="1"/>
        </xdr:cNvSpPr>
      </xdr:nvSpPr>
      <xdr:spPr bwMode="auto">
        <a:xfrm>
          <a:off x="11258550" y="136207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8" name="AutoShape 46">
          <a:extLst>
            <a:ext uri="{FF2B5EF4-FFF2-40B4-BE49-F238E27FC236}">
              <a16:creationId xmlns:a16="http://schemas.microsoft.com/office/drawing/2014/main" id="{6DCC9D62-C7D9-4760-AF07-6CD5E38C1C1F}"/>
            </a:ext>
          </a:extLst>
        </xdr:cNvPr>
        <xdr:cNvSpPr>
          <a:spLocks noChangeArrowheads="1"/>
        </xdr:cNvSpPr>
      </xdr:nvSpPr>
      <xdr:spPr bwMode="auto">
        <a:xfrm>
          <a:off x="12820650" y="136207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9" name="AutoShape 46">
          <a:extLst>
            <a:ext uri="{FF2B5EF4-FFF2-40B4-BE49-F238E27FC236}">
              <a16:creationId xmlns:a16="http://schemas.microsoft.com/office/drawing/2014/main" id="{DBB99AE4-4205-4A68-9367-E66A806F1539}"/>
            </a:ext>
          </a:extLst>
        </xdr:cNvPr>
        <xdr:cNvSpPr>
          <a:spLocks noChangeArrowheads="1"/>
        </xdr:cNvSpPr>
      </xdr:nvSpPr>
      <xdr:spPr bwMode="auto">
        <a:xfrm>
          <a:off x="1438275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0" name="AutoShape 46">
          <a:extLst>
            <a:ext uri="{FF2B5EF4-FFF2-40B4-BE49-F238E27FC236}">
              <a16:creationId xmlns:a16="http://schemas.microsoft.com/office/drawing/2014/main" id="{BC1E79FF-F467-4F76-AF9F-40FD6DA76F5B}"/>
            </a:ext>
          </a:extLst>
        </xdr:cNvPr>
        <xdr:cNvSpPr>
          <a:spLocks noChangeArrowheads="1"/>
        </xdr:cNvSpPr>
      </xdr:nvSpPr>
      <xdr:spPr bwMode="auto">
        <a:xfrm>
          <a:off x="15944850" y="136207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1" name="AutoShape 46">
          <a:extLst>
            <a:ext uri="{FF2B5EF4-FFF2-40B4-BE49-F238E27FC236}">
              <a16:creationId xmlns:a16="http://schemas.microsoft.com/office/drawing/2014/main" id="{3052A008-698E-4FDC-B7B9-2816DC6D8E66}"/>
            </a:ext>
          </a:extLst>
        </xdr:cNvPr>
        <xdr:cNvSpPr>
          <a:spLocks noChangeArrowheads="1"/>
        </xdr:cNvSpPr>
      </xdr:nvSpPr>
      <xdr:spPr bwMode="auto">
        <a:xfrm>
          <a:off x="1768475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2" name="AutoShape 46">
          <a:extLst>
            <a:ext uri="{FF2B5EF4-FFF2-40B4-BE49-F238E27FC236}">
              <a16:creationId xmlns:a16="http://schemas.microsoft.com/office/drawing/2014/main" id="{6252D7F8-CBD5-4445-8FFC-80CBFE09346A}"/>
            </a:ext>
          </a:extLst>
        </xdr:cNvPr>
        <xdr:cNvSpPr>
          <a:spLocks noChangeArrowheads="1"/>
        </xdr:cNvSpPr>
      </xdr:nvSpPr>
      <xdr:spPr bwMode="auto">
        <a:xfrm>
          <a:off x="19246850" y="136207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3" name="AutoShape 46">
          <a:extLst>
            <a:ext uri="{FF2B5EF4-FFF2-40B4-BE49-F238E27FC236}">
              <a16:creationId xmlns:a16="http://schemas.microsoft.com/office/drawing/2014/main" id="{6E1A42F7-78FB-4DD5-82C1-5A5DB07CFBFE}"/>
            </a:ext>
          </a:extLst>
        </xdr:cNvPr>
        <xdr:cNvSpPr>
          <a:spLocks noChangeArrowheads="1"/>
        </xdr:cNvSpPr>
      </xdr:nvSpPr>
      <xdr:spPr bwMode="auto">
        <a:xfrm>
          <a:off x="2099945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4" name="AutoShape 46">
          <a:extLst>
            <a:ext uri="{FF2B5EF4-FFF2-40B4-BE49-F238E27FC236}">
              <a16:creationId xmlns:a16="http://schemas.microsoft.com/office/drawing/2014/main" id="{BA6625DA-9528-4A31-B323-25D52E75D127}"/>
            </a:ext>
          </a:extLst>
        </xdr:cNvPr>
        <xdr:cNvSpPr>
          <a:spLocks noChangeArrowheads="1"/>
        </xdr:cNvSpPr>
      </xdr:nvSpPr>
      <xdr:spPr bwMode="auto">
        <a:xfrm>
          <a:off x="22561550" y="136207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5" name="AutoShape 46">
          <a:extLst>
            <a:ext uri="{FF2B5EF4-FFF2-40B4-BE49-F238E27FC236}">
              <a16:creationId xmlns:a16="http://schemas.microsoft.com/office/drawing/2014/main" id="{E52B07B0-6E99-4EDB-8995-B87188B43D71}"/>
            </a:ext>
          </a:extLst>
        </xdr:cNvPr>
        <xdr:cNvSpPr>
          <a:spLocks noChangeArrowheads="1"/>
        </xdr:cNvSpPr>
      </xdr:nvSpPr>
      <xdr:spPr bwMode="auto">
        <a:xfrm>
          <a:off x="14382750" y="136207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6" name="AutoShape 46">
          <a:extLst>
            <a:ext uri="{FF2B5EF4-FFF2-40B4-BE49-F238E27FC236}">
              <a16:creationId xmlns:a16="http://schemas.microsoft.com/office/drawing/2014/main" id="{BDBEDF20-AEF4-4CE2-9234-C603A5C5D593}"/>
            </a:ext>
          </a:extLst>
        </xdr:cNvPr>
        <xdr:cNvSpPr>
          <a:spLocks noChangeArrowheads="1"/>
        </xdr:cNvSpPr>
      </xdr:nvSpPr>
      <xdr:spPr bwMode="auto">
        <a:xfrm>
          <a:off x="15944850" y="136207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7" name="AutoShape 46">
          <a:extLst>
            <a:ext uri="{FF2B5EF4-FFF2-40B4-BE49-F238E27FC236}">
              <a16:creationId xmlns:a16="http://schemas.microsoft.com/office/drawing/2014/main" id="{276B090C-4C1D-4FE3-9C8C-30E58E240455}"/>
            </a:ext>
          </a:extLst>
        </xdr:cNvPr>
        <xdr:cNvSpPr>
          <a:spLocks noChangeArrowheads="1"/>
        </xdr:cNvSpPr>
      </xdr:nvSpPr>
      <xdr:spPr bwMode="auto">
        <a:xfrm>
          <a:off x="17684750" y="1362075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8" name="AutoShape 46">
          <a:extLst>
            <a:ext uri="{FF2B5EF4-FFF2-40B4-BE49-F238E27FC236}">
              <a16:creationId xmlns:a16="http://schemas.microsoft.com/office/drawing/2014/main" id="{736F98FF-BB05-4C88-8B9B-FCA829D08D87}"/>
            </a:ext>
          </a:extLst>
        </xdr:cNvPr>
        <xdr:cNvSpPr>
          <a:spLocks noChangeArrowheads="1"/>
        </xdr:cNvSpPr>
      </xdr:nvSpPr>
      <xdr:spPr bwMode="auto">
        <a:xfrm>
          <a:off x="19246850" y="13620750"/>
          <a:ext cx="8445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9" name="AutoShape 46">
          <a:extLst>
            <a:ext uri="{FF2B5EF4-FFF2-40B4-BE49-F238E27FC236}">
              <a16:creationId xmlns:a16="http://schemas.microsoft.com/office/drawing/2014/main" id="{83D0ADA6-598F-482D-8BE5-CB5EAB1D5B7A}"/>
            </a:ext>
          </a:extLst>
        </xdr:cNvPr>
        <xdr:cNvSpPr>
          <a:spLocks noChangeArrowheads="1"/>
        </xdr:cNvSpPr>
      </xdr:nvSpPr>
      <xdr:spPr bwMode="auto">
        <a:xfrm>
          <a:off x="20999450" y="1362075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30" name="AutoShape 46">
          <a:extLst>
            <a:ext uri="{FF2B5EF4-FFF2-40B4-BE49-F238E27FC236}">
              <a16:creationId xmlns:a16="http://schemas.microsoft.com/office/drawing/2014/main" id="{A22AFF60-60D9-43B7-818D-B9A691FE9FF8}"/>
            </a:ext>
          </a:extLst>
        </xdr:cNvPr>
        <xdr:cNvSpPr>
          <a:spLocks noChangeArrowheads="1"/>
        </xdr:cNvSpPr>
      </xdr:nvSpPr>
      <xdr:spPr bwMode="auto">
        <a:xfrm>
          <a:off x="22561550" y="13620750"/>
          <a:ext cx="8763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1" name="AutoShape 46">
          <a:extLst>
            <a:ext uri="{FF2B5EF4-FFF2-40B4-BE49-F238E27FC236}">
              <a16:creationId xmlns:a16="http://schemas.microsoft.com/office/drawing/2014/main" id="{5D79184F-0B56-4892-AFFD-1B89418D5989}"/>
            </a:ext>
          </a:extLst>
        </xdr:cNvPr>
        <xdr:cNvSpPr>
          <a:spLocks noChangeArrowheads="1"/>
        </xdr:cNvSpPr>
      </xdr:nvSpPr>
      <xdr:spPr bwMode="auto">
        <a:xfrm>
          <a:off x="1282065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2" name="AutoShape 46">
          <a:extLst>
            <a:ext uri="{FF2B5EF4-FFF2-40B4-BE49-F238E27FC236}">
              <a16:creationId xmlns:a16="http://schemas.microsoft.com/office/drawing/2014/main" id="{7FBA5C3C-294B-44CF-84A1-3D226FBA610D}"/>
            </a:ext>
          </a:extLst>
        </xdr:cNvPr>
        <xdr:cNvSpPr>
          <a:spLocks noChangeArrowheads="1"/>
        </xdr:cNvSpPr>
      </xdr:nvSpPr>
      <xdr:spPr bwMode="auto">
        <a:xfrm>
          <a:off x="14382750" y="136207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3" name="AutoShape 46">
          <a:extLst>
            <a:ext uri="{FF2B5EF4-FFF2-40B4-BE49-F238E27FC236}">
              <a16:creationId xmlns:a16="http://schemas.microsoft.com/office/drawing/2014/main" id="{0100CF8F-A5C2-4595-B20C-F5CD7F7E26D8}"/>
            </a:ext>
          </a:extLst>
        </xdr:cNvPr>
        <xdr:cNvSpPr>
          <a:spLocks noChangeArrowheads="1"/>
        </xdr:cNvSpPr>
      </xdr:nvSpPr>
      <xdr:spPr bwMode="auto">
        <a:xfrm>
          <a:off x="15944850" y="136207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4" name="AutoShape 46">
          <a:extLst>
            <a:ext uri="{FF2B5EF4-FFF2-40B4-BE49-F238E27FC236}">
              <a16:creationId xmlns:a16="http://schemas.microsoft.com/office/drawing/2014/main" id="{D11DC419-A8F3-4A77-A220-421D2617C026}"/>
            </a:ext>
          </a:extLst>
        </xdr:cNvPr>
        <xdr:cNvSpPr>
          <a:spLocks noChangeArrowheads="1"/>
        </xdr:cNvSpPr>
      </xdr:nvSpPr>
      <xdr:spPr bwMode="auto">
        <a:xfrm>
          <a:off x="17684750" y="136207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5" name="AutoShape 46">
          <a:extLst>
            <a:ext uri="{FF2B5EF4-FFF2-40B4-BE49-F238E27FC236}">
              <a16:creationId xmlns:a16="http://schemas.microsoft.com/office/drawing/2014/main" id="{A89D8CF5-6EB3-4871-8343-C57E72F479B7}"/>
            </a:ext>
          </a:extLst>
        </xdr:cNvPr>
        <xdr:cNvSpPr>
          <a:spLocks noChangeArrowheads="1"/>
        </xdr:cNvSpPr>
      </xdr:nvSpPr>
      <xdr:spPr bwMode="auto">
        <a:xfrm>
          <a:off x="19246850" y="1362075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6" name="AutoShape 46">
          <a:extLst>
            <a:ext uri="{FF2B5EF4-FFF2-40B4-BE49-F238E27FC236}">
              <a16:creationId xmlns:a16="http://schemas.microsoft.com/office/drawing/2014/main" id="{9704AFD8-909F-44DF-A4FB-819DD1917B65}"/>
            </a:ext>
          </a:extLst>
        </xdr:cNvPr>
        <xdr:cNvSpPr>
          <a:spLocks noChangeArrowheads="1"/>
        </xdr:cNvSpPr>
      </xdr:nvSpPr>
      <xdr:spPr bwMode="auto">
        <a:xfrm>
          <a:off x="20999450" y="136207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7" name="AutoShape 46">
          <a:extLst>
            <a:ext uri="{FF2B5EF4-FFF2-40B4-BE49-F238E27FC236}">
              <a16:creationId xmlns:a16="http://schemas.microsoft.com/office/drawing/2014/main" id="{392AD721-A365-4D2D-992F-983D73348C45}"/>
            </a:ext>
          </a:extLst>
        </xdr:cNvPr>
        <xdr:cNvSpPr>
          <a:spLocks noChangeArrowheads="1"/>
        </xdr:cNvSpPr>
      </xdr:nvSpPr>
      <xdr:spPr bwMode="auto">
        <a:xfrm>
          <a:off x="22561550" y="13620750"/>
          <a:ext cx="8763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8" name="AutoShape 46">
          <a:extLst>
            <a:ext uri="{FF2B5EF4-FFF2-40B4-BE49-F238E27FC236}">
              <a16:creationId xmlns:a16="http://schemas.microsoft.com/office/drawing/2014/main" id="{2ABC676E-14F8-48A0-9085-C55115764AD8}"/>
            </a:ext>
          </a:extLst>
        </xdr:cNvPr>
        <xdr:cNvSpPr>
          <a:spLocks noChangeArrowheads="1"/>
        </xdr:cNvSpPr>
      </xdr:nvSpPr>
      <xdr:spPr bwMode="auto">
        <a:xfrm>
          <a:off x="1397000" y="168656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9" name="AutoShape 46">
          <a:extLst>
            <a:ext uri="{FF2B5EF4-FFF2-40B4-BE49-F238E27FC236}">
              <a16:creationId xmlns:a16="http://schemas.microsoft.com/office/drawing/2014/main" id="{1887CB11-4F23-4BF4-9DFC-B0F98C5167BD}"/>
            </a:ext>
          </a:extLst>
        </xdr:cNvPr>
        <xdr:cNvSpPr>
          <a:spLocks noChangeArrowheads="1"/>
        </xdr:cNvSpPr>
      </xdr:nvSpPr>
      <xdr:spPr bwMode="auto">
        <a:xfrm>
          <a:off x="314960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40" name="AutoShape 46">
          <a:extLst>
            <a:ext uri="{FF2B5EF4-FFF2-40B4-BE49-F238E27FC236}">
              <a16:creationId xmlns:a16="http://schemas.microsoft.com/office/drawing/2014/main" id="{FC14E70F-FE1B-4D60-9DC2-47A9FEDCC8A4}"/>
            </a:ext>
          </a:extLst>
        </xdr:cNvPr>
        <xdr:cNvSpPr>
          <a:spLocks noChangeArrowheads="1"/>
        </xdr:cNvSpPr>
      </xdr:nvSpPr>
      <xdr:spPr bwMode="auto">
        <a:xfrm>
          <a:off x="471170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1" name="AutoShape 46">
          <a:extLst>
            <a:ext uri="{FF2B5EF4-FFF2-40B4-BE49-F238E27FC236}">
              <a16:creationId xmlns:a16="http://schemas.microsoft.com/office/drawing/2014/main" id="{F434A782-6515-48BE-AAE1-23531D759241}"/>
            </a:ext>
          </a:extLst>
        </xdr:cNvPr>
        <xdr:cNvSpPr>
          <a:spLocks noChangeArrowheads="1"/>
        </xdr:cNvSpPr>
      </xdr:nvSpPr>
      <xdr:spPr bwMode="auto">
        <a:xfrm>
          <a:off x="6273800" y="16865600"/>
          <a:ext cx="8890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2" name="AutoShape 46">
          <a:extLst>
            <a:ext uri="{FF2B5EF4-FFF2-40B4-BE49-F238E27FC236}">
              <a16:creationId xmlns:a16="http://schemas.microsoft.com/office/drawing/2014/main" id="{48769E63-AADB-4208-994C-1B066D2BFEFD}"/>
            </a:ext>
          </a:extLst>
        </xdr:cNvPr>
        <xdr:cNvSpPr>
          <a:spLocks noChangeArrowheads="1"/>
        </xdr:cNvSpPr>
      </xdr:nvSpPr>
      <xdr:spPr bwMode="auto">
        <a:xfrm>
          <a:off x="7943850" y="1686560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3" name="AutoShape 46">
          <a:extLst>
            <a:ext uri="{FF2B5EF4-FFF2-40B4-BE49-F238E27FC236}">
              <a16:creationId xmlns:a16="http://schemas.microsoft.com/office/drawing/2014/main" id="{659D491E-C557-4947-8399-01D61ADC75A3}"/>
            </a:ext>
          </a:extLst>
        </xdr:cNvPr>
        <xdr:cNvSpPr>
          <a:spLocks noChangeArrowheads="1"/>
        </xdr:cNvSpPr>
      </xdr:nvSpPr>
      <xdr:spPr bwMode="auto">
        <a:xfrm>
          <a:off x="969645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4" name="AutoShape 46">
          <a:extLst>
            <a:ext uri="{FF2B5EF4-FFF2-40B4-BE49-F238E27FC236}">
              <a16:creationId xmlns:a16="http://schemas.microsoft.com/office/drawing/2014/main" id="{E7595238-4634-4473-A5AB-CC500F058670}"/>
            </a:ext>
          </a:extLst>
        </xdr:cNvPr>
        <xdr:cNvSpPr>
          <a:spLocks noChangeArrowheads="1"/>
        </xdr:cNvSpPr>
      </xdr:nvSpPr>
      <xdr:spPr bwMode="auto">
        <a:xfrm>
          <a:off x="1125855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5" name="AutoShape 46">
          <a:extLst>
            <a:ext uri="{FF2B5EF4-FFF2-40B4-BE49-F238E27FC236}">
              <a16:creationId xmlns:a16="http://schemas.microsoft.com/office/drawing/2014/main" id="{1E4F383E-7F82-49B8-8785-E77B87CDD99F}"/>
            </a:ext>
          </a:extLst>
        </xdr:cNvPr>
        <xdr:cNvSpPr>
          <a:spLocks noChangeArrowheads="1"/>
        </xdr:cNvSpPr>
      </xdr:nvSpPr>
      <xdr:spPr bwMode="auto">
        <a:xfrm>
          <a:off x="12820650" y="168656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6" name="AutoShape 46">
          <a:extLst>
            <a:ext uri="{FF2B5EF4-FFF2-40B4-BE49-F238E27FC236}">
              <a16:creationId xmlns:a16="http://schemas.microsoft.com/office/drawing/2014/main" id="{63AFBC2D-4044-426A-90B0-86B325779856}"/>
            </a:ext>
          </a:extLst>
        </xdr:cNvPr>
        <xdr:cNvSpPr>
          <a:spLocks noChangeArrowheads="1"/>
        </xdr:cNvSpPr>
      </xdr:nvSpPr>
      <xdr:spPr bwMode="auto">
        <a:xfrm>
          <a:off x="14382750" y="16865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7" name="AutoShape 46">
          <a:extLst>
            <a:ext uri="{FF2B5EF4-FFF2-40B4-BE49-F238E27FC236}">
              <a16:creationId xmlns:a16="http://schemas.microsoft.com/office/drawing/2014/main" id="{4EC5694A-92C3-4154-9727-FDDD6280DCD8}"/>
            </a:ext>
          </a:extLst>
        </xdr:cNvPr>
        <xdr:cNvSpPr>
          <a:spLocks noChangeArrowheads="1"/>
        </xdr:cNvSpPr>
      </xdr:nvSpPr>
      <xdr:spPr bwMode="auto">
        <a:xfrm>
          <a:off x="15944850" y="168656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8" name="AutoShape 46">
          <a:extLst>
            <a:ext uri="{FF2B5EF4-FFF2-40B4-BE49-F238E27FC236}">
              <a16:creationId xmlns:a16="http://schemas.microsoft.com/office/drawing/2014/main" id="{BFD890C3-E208-414E-A573-9CD0B73C2FB5}"/>
            </a:ext>
          </a:extLst>
        </xdr:cNvPr>
        <xdr:cNvSpPr>
          <a:spLocks noChangeArrowheads="1"/>
        </xdr:cNvSpPr>
      </xdr:nvSpPr>
      <xdr:spPr bwMode="auto">
        <a:xfrm>
          <a:off x="17684750" y="16865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9" name="AutoShape 46">
          <a:extLst>
            <a:ext uri="{FF2B5EF4-FFF2-40B4-BE49-F238E27FC236}">
              <a16:creationId xmlns:a16="http://schemas.microsoft.com/office/drawing/2014/main" id="{6B0D08E3-1EBC-467C-A436-E5D29481BFF0}"/>
            </a:ext>
          </a:extLst>
        </xdr:cNvPr>
        <xdr:cNvSpPr>
          <a:spLocks noChangeArrowheads="1"/>
        </xdr:cNvSpPr>
      </xdr:nvSpPr>
      <xdr:spPr bwMode="auto">
        <a:xfrm>
          <a:off x="19246850" y="168656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50" name="AutoShape 46">
          <a:extLst>
            <a:ext uri="{FF2B5EF4-FFF2-40B4-BE49-F238E27FC236}">
              <a16:creationId xmlns:a16="http://schemas.microsoft.com/office/drawing/2014/main" id="{1E5E3FDF-9CB5-4E2C-8090-6DFE3B2E2E66}"/>
            </a:ext>
          </a:extLst>
        </xdr:cNvPr>
        <xdr:cNvSpPr>
          <a:spLocks noChangeArrowheads="1"/>
        </xdr:cNvSpPr>
      </xdr:nvSpPr>
      <xdr:spPr bwMode="auto">
        <a:xfrm>
          <a:off x="20999450" y="16865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1" name="AutoShape 46">
          <a:extLst>
            <a:ext uri="{FF2B5EF4-FFF2-40B4-BE49-F238E27FC236}">
              <a16:creationId xmlns:a16="http://schemas.microsoft.com/office/drawing/2014/main" id="{05F60E9B-C50D-4323-AEDB-0D9974AC59BC}"/>
            </a:ext>
          </a:extLst>
        </xdr:cNvPr>
        <xdr:cNvSpPr>
          <a:spLocks noChangeArrowheads="1"/>
        </xdr:cNvSpPr>
      </xdr:nvSpPr>
      <xdr:spPr bwMode="auto">
        <a:xfrm>
          <a:off x="22561550" y="168656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2" name="AutoShape 46">
          <a:extLst>
            <a:ext uri="{FF2B5EF4-FFF2-40B4-BE49-F238E27FC236}">
              <a16:creationId xmlns:a16="http://schemas.microsoft.com/office/drawing/2014/main" id="{D809C43C-4F94-45E9-9AF4-508D28CE92FA}"/>
            </a:ext>
          </a:extLst>
        </xdr:cNvPr>
        <xdr:cNvSpPr>
          <a:spLocks noChangeArrowheads="1"/>
        </xdr:cNvSpPr>
      </xdr:nvSpPr>
      <xdr:spPr bwMode="auto">
        <a:xfrm>
          <a:off x="14382750" y="16865600"/>
          <a:ext cx="7810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3" name="AutoShape 46">
          <a:extLst>
            <a:ext uri="{FF2B5EF4-FFF2-40B4-BE49-F238E27FC236}">
              <a16:creationId xmlns:a16="http://schemas.microsoft.com/office/drawing/2014/main" id="{1F591B7D-69CA-47DD-9441-EE7859324B73}"/>
            </a:ext>
          </a:extLst>
        </xdr:cNvPr>
        <xdr:cNvSpPr>
          <a:spLocks noChangeArrowheads="1"/>
        </xdr:cNvSpPr>
      </xdr:nvSpPr>
      <xdr:spPr bwMode="auto">
        <a:xfrm>
          <a:off x="15944850" y="16865600"/>
          <a:ext cx="95885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4" name="AutoShape 46">
          <a:extLst>
            <a:ext uri="{FF2B5EF4-FFF2-40B4-BE49-F238E27FC236}">
              <a16:creationId xmlns:a16="http://schemas.microsoft.com/office/drawing/2014/main" id="{61649C13-679C-4904-851C-971FB2E48BC5}"/>
            </a:ext>
          </a:extLst>
        </xdr:cNvPr>
        <xdr:cNvSpPr>
          <a:spLocks noChangeArrowheads="1"/>
        </xdr:cNvSpPr>
      </xdr:nvSpPr>
      <xdr:spPr bwMode="auto">
        <a:xfrm>
          <a:off x="19246850" y="168656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5" name="AutoShape 46">
          <a:extLst>
            <a:ext uri="{FF2B5EF4-FFF2-40B4-BE49-F238E27FC236}">
              <a16:creationId xmlns:a16="http://schemas.microsoft.com/office/drawing/2014/main" id="{92D32445-004C-459F-84CD-E5BB5867F798}"/>
            </a:ext>
          </a:extLst>
        </xdr:cNvPr>
        <xdr:cNvSpPr>
          <a:spLocks noChangeArrowheads="1"/>
        </xdr:cNvSpPr>
      </xdr:nvSpPr>
      <xdr:spPr bwMode="auto">
        <a:xfrm>
          <a:off x="22561550" y="16865600"/>
          <a:ext cx="8763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6" name="AutoShape 46">
          <a:extLst>
            <a:ext uri="{FF2B5EF4-FFF2-40B4-BE49-F238E27FC236}">
              <a16:creationId xmlns:a16="http://schemas.microsoft.com/office/drawing/2014/main" id="{8667D347-C413-4017-BBF7-64465F84F280}"/>
            </a:ext>
          </a:extLst>
        </xdr:cNvPr>
        <xdr:cNvSpPr>
          <a:spLocks noChangeArrowheads="1"/>
        </xdr:cNvSpPr>
      </xdr:nvSpPr>
      <xdr:spPr bwMode="auto">
        <a:xfrm>
          <a:off x="1282065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7" name="AutoShape 46">
          <a:extLst>
            <a:ext uri="{FF2B5EF4-FFF2-40B4-BE49-F238E27FC236}">
              <a16:creationId xmlns:a16="http://schemas.microsoft.com/office/drawing/2014/main" id="{A4E74952-C26D-4390-8A03-48AD8B372224}"/>
            </a:ext>
          </a:extLst>
        </xdr:cNvPr>
        <xdr:cNvSpPr>
          <a:spLocks noChangeArrowheads="1"/>
        </xdr:cNvSpPr>
      </xdr:nvSpPr>
      <xdr:spPr bwMode="auto">
        <a:xfrm>
          <a:off x="14382750" y="16865600"/>
          <a:ext cx="78105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8" name="AutoShape 46">
          <a:extLst>
            <a:ext uri="{FF2B5EF4-FFF2-40B4-BE49-F238E27FC236}">
              <a16:creationId xmlns:a16="http://schemas.microsoft.com/office/drawing/2014/main" id="{7299958C-8BF0-484F-BFD6-B08CACAF76B4}"/>
            </a:ext>
          </a:extLst>
        </xdr:cNvPr>
        <xdr:cNvSpPr>
          <a:spLocks noChangeArrowheads="1"/>
        </xdr:cNvSpPr>
      </xdr:nvSpPr>
      <xdr:spPr bwMode="auto">
        <a:xfrm>
          <a:off x="15944850" y="16865600"/>
          <a:ext cx="9588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9" name="AutoShape 46">
          <a:extLst>
            <a:ext uri="{FF2B5EF4-FFF2-40B4-BE49-F238E27FC236}">
              <a16:creationId xmlns:a16="http://schemas.microsoft.com/office/drawing/2014/main" id="{0241735B-B82E-48CC-A387-6B860E41E55F}"/>
            </a:ext>
          </a:extLst>
        </xdr:cNvPr>
        <xdr:cNvSpPr>
          <a:spLocks noChangeArrowheads="1"/>
        </xdr:cNvSpPr>
      </xdr:nvSpPr>
      <xdr:spPr bwMode="auto">
        <a:xfrm>
          <a:off x="19246850" y="168656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60" name="AutoShape 46">
          <a:extLst>
            <a:ext uri="{FF2B5EF4-FFF2-40B4-BE49-F238E27FC236}">
              <a16:creationId xmlns:a16="http://schemas.microsoft.com/office/drawing/2014/main" id="{620BA855-436D-46D6-833E-4B3BA17FD99B}"/>
            </a:ext>
          </a:extLst>
        </xdr:cNvPr>
        <xdr:cNvSpPr>
          <a:spLocks noChangeArrowheads="1"/>
        </xdr:cNvSpPr>
      </xdr:nvSpPr>
      <xdr:spPr bwMode="auto">
        <a:xfrm>
          <a:off x="1397000" y="20853400"/>
          <a:ext cx="97155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1" name="AutoShape 46">
          <a:extLst>
            <a:ext uri="{FF2B5EF4-FFF2-40B4-BE49-F238E27FC236}">
              <a16:creationId xmlns:a16="http://schemas.microsoft.com/office/drawing/2014/main" id="{981D5D87-1C6B-4D44-AD24-072C820FA10B}"/>
            </a:ext>
          </a:extLst>
        </xdr:cNvPr>
        <xdr:cNvSpPr>
          <a:spLocks noChangeArrowheads="1"/>
        </xdr:cNvSpPr>
      </xdr:nvSpPr>
      <xdr:spPr bwMode="auto">
        <a:xfrm>
          <a:off x="314960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2" name="AutoShape 46">
          <a:extLst>
            <a:ext uri="{FF2B5EF4-FFF2-40B4-BE49-F238E27FC236}">
              <a16:creationId xmlns:a16="http://schemas.microsoft.com/office/drawing/2014/main" id="{2C0FA005-AA7A-4E14-97DB-1DD3607FBAEF}"/>
            </a:ext>
          </a:extLst>
        </xdr:cNvPr>
        <xdr:cNvSpPr>
          <a:spLocks noChangeArrowheads="1"/>
        </xdr:cNvSpPr>
      </xdr:nvSpPr>
      <xdr:spPr bwMode="auto">
        <a:xfrm>
          <a:off x="471170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3" name="AutoShape 46">
          <a:extLst>
            <a:ext uri="{FF2B5EF4-FFF2-40B4-BE49-F238E27FC236}">
              <a16:creationId xmlns:a16="http://schemas.microsoft.com/office/drawing/2014/main" id="{54A15983-37C7-4EEF-A6DD-D28F3BF5A5BD}"/>
            </a:ext>
          </a:extLst>
        </xdr:cNvPr>
        <xdr:cNvSpPr>
          <a:spLocks noChangeArrowheads="1"/>
        </xdr:cNvSpPr>
      </xdr:nvSpPr>
      <xdr:spPr bwMode="auto">
        <a:xfrm>
          <a:off x="6273800" y="20853400"/>
          <a:ext cx="8890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4" name="AutoShape 46">
          <a:extLst>
            <a:ext uri="{FF2B5EF4-FFF2-40B4-BE49-F238E27FC236}">
              <a16:creationId xmlns:a16="http://schemas.microsoft.com/office/drawing/2014/main" id="{229ED70D-9B41-42B0-8126-59C5E03E85FC}"/>
            </a:ext>
          </a:extLst>
        </xdr:cNvPr>
        <xdr:cNvSpPr>
          <a:spLocks noChangeArrowheads="1"/>
        </xdr:cNvSpPr>
      </xdr:nvSpPr>
      <xdr:spPr bwMode="auto">
        <a:xfrm>
          <a:off x="7943850" y="20853400"/>
          <a:ext cx="97155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5" name="AutoShape 46">
          <a:extLst>
            <a:ext uri="{FF2B5EF4-FFF2-40B4-BE49-F238E27FC236}">
              <a16:creationId xmlns:a16="http://schemas.microsoft.com/office/drawing/2014/main" id="{BC3AC658-2421-47D3-8A97-6FD3C1394C72}"/>
            </a:ext>
          </a:extLst>
        </xdr:cNvPr>
        <xdr:cNvSpPr>
          <a:spLocks noChangeArrowheads="1"/>
        </xdr:cNvSpPr>
      </xdr:nvSpPr>
      <xdr:spPr bwMode="auto">
        <a:xfrm>
          <a:off x="96964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6" name="AutoShape 46">
          <a:extLst>
            <a:ext uri="{FF2B5EF4-FFF2-40B4-BE49-F238E27FC236}">
              <a16:creationId xmlns:a16="http://schemas.microsoft.com/office/drawing/2014/main" id="{B87DE558-F972-4528-A197-0418DD25560F}"/>
            </a:ext>
          </a:extLst>
        </xdr:cNvPr>
        <xdr:cNvSpPr>
          <a:spLocks noChangeArrowheads="1"/>
        </xdr:cNvSpPr>
      </xdr:nvSpPr>
      <xdr:spPr bwMode="auto">
        <a:xfrm>
          <a:off x="112585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7" name="AutoShape 46">
          <a:extLst>
            <a:ext uri="{FF2B5EF4-FFF2-40B4-BE49-F238E27FC236}">
              <a16:creationId xmlns:a16="http://schemas.microsoft.com/office/drawing/2014/main" id="{DC6C406A-19B9-43BF-B206-DB92864FC42F}"/>
            </a:ext>
          </a:extLst>
        </xdr:cNvPr>
        <xdr:cNvSpPr>
          <a:spLocks noChangeArrowheads="1"/>
        </xdr:cNvSpPr>
      </xdr:nvSpPr>
      <xdr:spPr bwMode="auto">
        <a:xfrm>
          <a:off x="128206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8" name="AutoShape 46">
          <a:extLst>
            <a:ext uri="{FF2B5EF4-FFF2-40B4-BE49-F238E27FC236}">
              <a16:creationId xmlns:a16="http://schemas.microsoft.com/office/drawing/2014/main" id="{51A7B699-994B-4F29-AED5-DF188480E2B8}"/>
            </a:ext>
          </a:extLst>
        </xdr:cNvPr>
        <xdr:cNvSpPr>
          <a:spLocks noChangeArrowheads="1"/>
        </xdr:cNvSpPr>
      </xdr:nvSpPr>
      <xdr:spPr bwMode="auto">
        <a:xfrm>
          <a:off x="14382750" y="208534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9" name="AutoShape 46">
          <a:extLst>
            <a:ext uri="{FF2B5EF4-FFF2-40B4-BE49-F238E27FC236}">
              <a16:creationId xmlns:a16="http://schemas.microsoft.com/office/drawing/2014/main" id="{D2530727-DB2D-41D4-9341-476AC902DC6B}"/>
            </a:ext>
          </a:extLst>
        </xdr:cNvPr>
        <xdr:cNvSpPr>
          <a:spLocks noChangeArrowheads="1"/>
        </xdr:cNvSpPr>
      </xdr:nvSpPr>
      <xdr:spPr bwMode="auto">
        <a:xfrm>
          <a:off x="15944850" y="20853400"/>
          <a:ext cx="9588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0" name="AutoShape 46">
          <a:extLst>
            <a:ext uri="{FF2B5EF4-FFF2-40B4-BE49-F238E27FC236}">
              <a16:creationId xmlns:a16="http://schemas.microsoft.com/office/drawing/2014/main" id="{461AA19C-883C-4DF2-BC3B-541496366C0C}"/>
            </a:ext>
          </a:extLst>
        </xdr:cNvPr>
        <xdr:cNvSpPr>
          <a:spLocks noChangeArrowheads="1"/>
        </xdr:cNvSpPr>
      </xdr:nvSpPr>
      <xdr:spPr bwMode="auto">
        <a:xfrm>
          <a:off x="17684750" y="208534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1" name="AutoShape 46">
          <a:extLst>
            <a:ext uri="{FF2B5EF4-FFF2-40B4-BE49-F238E27FC236}">
              <a16:creationId xmlns:a16="http://schemas.microsoft.com/office/drawing/2014/main" id="{149ED5EE-CDDD-44F8-908B-BA62DF73AEBF}"/>
            </a:ext>
          </a:extLst>
        </xdr:cNvPr>
        <xdr:cNvSpPr>
          <a:spLocks noChangeArrowheads="1"/>
        </xdr:cNvSpPr>
      </xdr:nvSpPr>
      <xdr:spPr bwMode="auto">
        <a:xfrm>
          <a:off x="19246850" y="20853400"/>
          <a:ext cx="8445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2" name="AutoShape 46">
          <a:extLst>
            <a:ext uri="{FF2B5EF4-FFF2-40B4-BE49-F238E27FC236}">
              <a16:creationId xmlns:a16="http://schemas.microsoft.com/office/drawing/2014/main" id="{C9AC1AD8-C128-4D41-999E-F3AB96085131}"/>
            </a:ext>
          </a:extLst>
        </xdr:cNvPr>
        <xdr:cNvSpPr>
          <a:spLocks noChangeArrowheads="1"/>
        </xdr:cNvSpPr>
      </xdr:nvSpPr>
      <xdr:spPr bwMode="auto">
        <a:xfrm>
          <a:off x="20999450" y="208534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3" name="AutoShape 46">
          <a:extLst>
            <a:ext uri="{FF2B5EF4-FFF2-40B4-BE49-F238E27FC236}">
              <a16:creationId xmlns:a16="http://schemas.microsoft.com/office/drawing/2014/main" id="{8B455E22-491A-49ED-82AC-A861E087E22A}"/>
            </a:ext>
          </a:extLst>
        </xdr:cNvPr>
        <xdr:cNvSpPr>
          <a:spLocks noChangeArrowheads="1"/>
        </xdr:cNvSpPr>
      </xdr:nvSpPr>
      <xdr:spPr bwMode="auto">
        <a:xfrm>
          <a:off x="22561550" y="20853400"/>
          <a:ext cx="8763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4" name="AutoShape 46">
          <a:extLst>
            <a:ext uri="{FF2B5EF4-FFF2-40B4-BE49-F238E27FC236}">
              <a16:creationId xmlns:a16="http://schemas.microsoft.com/office/drawing/2014/main" id="{8FD47789-085C-490B-8D50-F049CB33B862}"/>
            </a:ext>
          </a:extLst>
        </xdr:cNvPr>
        <xdr:cNvSpPr>
          <a:spLocks noChangeArrowheads="1"/>
        </xdr:cNvSpPr>
      </xdr:nvSpPr>
      <xdr:spPr bwMode="auto">
        <a:xfrm>
          <a:off x="143827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5" name="AutoShape 46">
          <a:extLst>
            <a:ext uri="{FF2B5EF4-FFF2-40B4-BE49-F238E27FC236}">
              <a16:creationId xmlns:a16="http://schemas.microsoft.com/office/drawing/2014/main" id="{DDB6F5E4-2432-4465-8456-23DE2706DB02}"/>
            </a:ext>
          </a:extLst>
        </xdr:cNvPr>
        <xdr:cNvSpPr>
          <a:spLocks noChangeArrowheads="1"/>
        </xdr:cNvSpPr>
      </xdr:nvSpPr>
      <xdr:spPr bwMode="auto">
        <a:xfrm>
          <a:off x="15944850" y="20853400"/>
          <a:ext cx="9588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6" name="AutoShape 46">
          <a:extLst>
            <a:ext uri="{FF2B5EF4-FFF2-40B4-BE49-F238E27FC236}">
              <a16:creationId xmlns:a16="http://schemas.microsoft.com/office/drawing/2014/main" id="{35325425-DB4D-4FE8-A33D-F184391588B5}"/>
            </a:ext>
          </a:extLst>
        </xdr:cNvPr>
        <xdr:cNvSpPr>
          <a:spLocks noChangeArrowheads="1"/>
        </xdr:cNvSpPr>
      </xdr:nvSpPr>
      <xdr:spPr bwMode="auto">
        <a:xfrm>
          <a:off x="17684750" y="20853400"/>
          <a:ext cx="7810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7" name="AutoShape 46">
          <a:extLst>
            <a:ext uri="{FF2B5EF4-FFF2-40B4-BE49-F238E27FC236}">
              <a16:creationId xmlns:a16="http://schemas.microsoft.com/office/drawing/2014/main" id="{38620780-153D-418E-88FB-DFB8F2FC5233}"/>
            </a:ext>
          </a:extLst>
        </xdr:cNvPr>
        <xdr:cNvSpPr>
          <a:spLocks noChangeArrowheads="1"/>
        </xdr:cNvSpPr>
      </xdr:nvSpPr>
      <xdr:spPr bwMode="auto">
        <a:xfrm>
          <a:off x="19246850" y="20853400"/>
          <a:ext cx="84455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8" name="AutoShape 46">
          <a:extLst>
            <a:ext uri="{FF2B5EF4-FFF2-40B4-BE49-F238E27FC236}">
              <a16:creationId xmlns:a16="http://schemas.microsoft.com/office/drawing/2014/main" id="{DE29B945-0C9E-46FF-9285-085C2FA974E3}"/>
            </a:ext>
          </a:extLst>
        </xdr:cNvPr>
        <xdr:cNvSpPr>
          <a:spLocks noChangeArrowheads="1"/>
        </xdr:cNvSpPr>
      </xdr:nvSpPr>
      <xdr:spPr bwMode="auto">
        <a:xfrm>
          <a:off x="209994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9" name="AutoShape 46">
          <a:extLst>
            <a:ext uri="{FF2B5EF4-FFF2-40B4-BE49-F238E27FC236}">
              <a16:creationId xmlns:a16="http://schemas.microsoft.com/office/drawing/2014/main" id="{7BDBE558-4482-4872-A071-DEBBED882F01}"/>
            </a:ext>
          </a:extLst>
        </xdr:cNvPr>
        <xdr:cNvSpPr>
          <a:spLocks noChangeArrowheads="1"/>
        </xdr:cNvSpPr>
      </xdr:nvSpPr>
      <xdr:spPr bwMode="auto">
        <a:xfrm>
          <a:off x="22561550" y="20853400"/>
          <a:ext cx="8763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80" name="AutoShape 46">
          <a:extLst>
            <a:ext uri="{FF2B5EF4-FFF2-40B4-BE49-F238E27FC236}">
              <a16:creationId xmlns:a16="http://schemas.microsoft.com/office/drawing/2014/main" id="{F7D2EB23-0231-41AF-A359-FAF050AFF436}"/>
            </a:ext>
          </a:extLst>
        </xdr:cNvPr>
        <xdr:cNvSpPr>
          <a:spLocks noChangeArrowheads="1"/>
        </xdr:cNvSpPr>
      </xdr:nvSpPr>
      <xdr:spPr bwMode="auto">
        <a:xfrm>
          <a:off x="128206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1" name="AutoShape 46">
          <a:extLst>
            <a:ext uri="{FF2B5EF4-FFF2-40B4-BE49-F238E27FC236}">
              <a16:creationId xmlns:a16="http://schemas.microsoft.com/office/drawing/2014/main" id="{E4EFFB87-597E-4DD4-8008-47D3B63525DE}"/>
            </a:ext>
          </a:extLst>
        </xdr:cNvPr>
        <xdr:cNvSpPr>
          <a:spLocks noChangeArrowheads="1"/>
        </xdr:cNvSpPr>
      </xdr:nvSpPr>
      <xdr:spPr bwMode="auto">
        <a:xfrm>
          <a:off x="143827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2" name="AutoShape 46">
          <a:extLst>
            <a:ext uri="{FF2B5EF4-FFF2-40B4-BE49-F238E27FC236}">
              <a16:creationId xmlns:a16="http://schemas.microsoft.com/office/drawing/2014/main" id="{B78A88E3-83EA-4E2E-BCAF-9FED4249ECF1}"/>
            </a:ext>
          </a:extLst>
        </xdr:cNvPr>
        <xdr:cNvSpPr>
          <a:spLocks noChangeArrowheads="1"/>
        </xdr:cNvSpPr>
      </xdr:nvSpPr>
      <xdr:spPr bwMode="auto">
        <a:xfrm>
          <a:off x="15944850" y="20853400"/>
          <a:ext cx="9588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3" name="AutoShape 46">
          <a:extLst>
            <a:ext uri="{FF2B5EF4-FFF2-40B4-BE49-F238E27FC236}">
              <a16:creationId xmlns:a16="http://schemas.microsoft.com/office/drawing/2014/main" id="{12A822C7-2236-46D8-BE1C-7BAF97C6676C}"/>
            </a:ext>
          </a:extLst>
        </xdr:cNvPr>
        <xdr:cNvSpPr>
          <a:spLocks noChangeArrowheads="1"/>
        </xdr:cNvSpPr>
      </xdr:nvSpPr>
      <xdr:spPr bwMode="auto">
        <a:xfrm>
          <a:off x="17684750" y="208534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4" name="AutoShape 46">
          <a:extLst>
            <a:ext uri="{FF2B5EF4-FFF2-40B4-BE49-F238E27FC236}">
              <a16:creationId xmlns:a16="http://schemas.microsoft.com/office/drawing/2014/main" id="{277C8F07-A329-4F28-A805-CDA40830BBC2}"/>
            </a:ext>
          </a:extLst>
        </xdr:cNvPr>
        <xdr:cNvSpPr>
          <a:spLocks noChangeArrowheads="1"/>
        </xdr:cNvSpPr>
      </xdr:nvSpPr>
      <xdr:spPr bwMode="auto">
        <a:xfrm>
          <a:off x="19246850" y="20853400"/>
          <a:ext cx="84455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5" name="AutoShape 46">
          <a:extLst>
            <a:ext uri="{FF2B5EF4-FFF2-40B4-BE49-F238E27FC236}">
              <a16:creationId xmlns:a16="http://schemas.microsoft.com/office/drawing/2014/main" id="{E2891850-BCAC-43AB-B603-606744FF2D56}"/>
            </a:ext>
          </a:extLst>
        </xdr:cNvPr>
        <xdr:cNvSpPr>
          <a:spLocks noChangeArrowheads="1"/>
        </xdr:cNvSpPr>
      </xdr:nvSpPr>
      <xdr:spPr bwMode="auto">
        <a:xfrm>
          <a:off x="20999450" y="20853400"/>
          <a:ext cx="78105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6" name="AutoShape 46">
          <a:extLst>
            <a:ext uri="{FF2B5EF4-FFF2-40B4-BE49-F238E27FC236}">
              <a16:creationId xmlns:a16="http://schemas.microsoft.com/office/drawing/2014/main" id="{ECFEDE40-DB54-4AF7-B68C-83B14E0F47C3}"/>
            </a:ext>
          </a:extLst>
        </xdr:cNvPr>
        <xdr:cNvSpPr>
          <a:spLocks noChangeArrowheads="1"/>
        </xdr:cNvSpPr>
      </xdr:nvSpPr>
      <xdr:spPr bwMode="auto">
        <a:xfrm>
          <a:off x="22561550" y="20853400"/>
          <a:ext cx="8763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7" name="AutoShape 46">
          <a:extLst>
            <a:ext uri="{FF2B5EF4-FFF2-40B4-BE49-F238E27FC236}">
              <a16:creationId xmlns:a16="http://schemas.microsoft.com/office/drawing/2014/main" id="{6449D574-4E6B-4904-AE0C-0B7ED34FED31}"/>
            </a:ext>
          </a:extLst>
        </xdr:cNvPr>
        <xdr:cNvSpPr>
          <a:spLocks noChangeArrowheads="1"/>
        </xdr:cNvSpPr>
      </xdr:nvSpPr>
      <xdr:spPr bwMode="auto">
        <a:xfrm>
          <a:off x="1397000" y="24060150"/>
          <a:ext cx="97155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8" name="AutoShape 46">
          <a:extLst>
            <a:ext uri="{FF2B5EF4-FFF2-40B4-BE49-F238E27FC236}">
              <a16:creationId xmlns:a16="http://schemas.microsoft.com/office/drawing/2014/main" id="{B85020EE-D8E0-4CB3-B98A-E01A7178F603}"/>
            </a:ext>
          </a:extLst>
        </xdr:cNvPr>
        <xdr:cNvSpPr>
          <a:spLocks noChangeArrowheads="1"/>
        </xdr:cNvSpPr>
      </xdr:nvSpPr>
      <xdr:spPr bwMode="auto">
        <a:xfrm>
          <a:off x="314960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9" name="AutoShape 46">
          <a:extLst>
            <a:ext uri="{FF2B5EF4-FFF2-40B4-BE49-F238E27FC236}">
              <a16:creationId xmlns:a16="http://schemas.microsoft.com/office/drawing/2014/main" id="{90BB578F-6F21-4004-90EA-7912C5702B8B}"/>
            </a:ext>
          </a:extLst>
        </xdr:cNvPr>
        <xdr:cNvSpPr>
          <a:spLocks noChangeArrowheads="1"/>
        </xdr:cNvSpPr>
      </xdr:nvSpPr>
      <xdr:spPr bwMode="auto">
        <a:xfrm>
          <a:off x="471170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90" name="AutoShape 46">
          <a:extLst>
            <a:ext uri="{FF2B5EF4-FFF2-40B4-BE49-F238E27FC236}">
              <a16:creationId xmlns:a16="http://schemas.microsoft.com/office/drawing/2014/main" id="{5952C6AB-E9D7-44D7-8315-93FAA065022D}"/>
            </a:ext>
          </a:extLst>
        </xdr:cNvPr>
        <xdr:cNvSpPr>
          <a:spLocks noChangeArrowheads="1"/>
        </xdr:cNvSpPr>
      </xdr:nvSpPr>
      <xdr:spPr bwMode="auto">
        <a:xfrm>
          <a:off x="6273800" y="24060150"/>
          <a:ext cx="8890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1" name="AutoShape 46">
          <a:extLst>
            <a:ext uri="{FF2B5EF4-FFF2-40B4-BE49-F238E27FC236}">
              <a16:creationId xmlns:a16="http://schemas.microsoft.com/office/drawing/2014/main" id="{2220A5B1-AEB6-417E-A0B5-9D0DB4D56E6D}"/>
            </a:ext>
          </a:extLst>
        </xdr:cNvPr>
        <xdr:cNvSpPr>
          <a:spLocks noChangeArrowheads="1"/>
        </xdr:cNvSpPr>
      </xdr:nvSpPr>
      <xdr:spPr bwMode="auto">
        <a:xfrm>
          <a:off x="7943850" y="2406015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2" name="AutoShape 46">
          <a:extLst>
            <a:ext uri="{FF2B5EF4-FFF2-40B4-BE49-F238E27FC236}">
              <a16:creationId xmlns:a16="http://schemas.microsoft.com/office/drawing/2014/main" id="{5C7D81A7-8FA5-4803-945E-8A8F52012825}"/>
            </a:ext>
          </a:extLst>
        </xdr:cNvPr>
        <xdr:cNvSpPr>
          <a:spLocks noChangeArrowheads="1"/>
        </xdr:cNvSpPr>
      </xdr:nvSpPr>
      <xdr:spPr bwMode="auto">
        <a:xfrm>
          <a:off x="96964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3" name="AutoShape 46">
          <a:extLst>
            <a:ext uri="{FF2B5EF4-FFF2-40B4-BE49-F238E27FC236}">
              <a16:creationId xmlns:a16="http://schemas.microsoft.com/office/drawing/2014/main" id="{A0BF3037-5CF6-4684-8041-F07F90D7E0F1}"/>
            </a:ext>
          </a:extLst>
        </xdr:cNvPr>
        <xdr:cNvSpPr>
          <a:spLocks noChangeArrowheads="1"/>
        </xdr:cNvSpPr>
      </xdr:nvSpPr>
      <xdr:spPr bwMode="auto">
        <a:xfrm>
          <a:off x="11258550" y="2406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4" name="AutoShape 46">
          <a:extLst>
            <a:ext uri="{FF2B5EF4-FFF2-40B4-BE49-F238E27FC236}">
              <a16:creationId xmlns:a16="http://schemas.microsoft.com/office/drawing/2014/main" id="{1AC48A32-4A23-4949-A686-C4B26F5CFB4B}"/>
            </a:ext>
          </a:extLst>
        </xdr:cNvPr>
        <xdr:cNvSpPr>
          <a:spLocks noChangeArrowheads="1"/>
        </xdr:cNvSpPr>
      </xdr:nvSpPr>
      <xdr:spPr bwMode="auto">
        <a:xfrm>
          <a:off x="12820650" y="240601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6" name="AutoShape 46">
          <a:extLst>
            <a:ext uri="{FF2B5EF4-FFF2-40B4-BE49-F238E27FC236}">
              <a16:creationId xmlns:a16="http://schemas.microsoft.com/office/drawing/2014/main" id="{3274F302-0071-4E80-B35C-A768D1AE7767}"/>
            </a:ext>
          </a:extLst>
        </xdr:cNvPr>
        <xdr:cNvSpPr>
          <a:spLocks noChangeArrowheads="1"/>
        </xdr:cNvSpPr>
      </xdr:nvSpPr>
      <xdr:spPr bwMode="auto">
        <a:xfrm>
          <a:off x="15944850" y="240601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7" name="AutoShape 46">
          <a:extLst>
            <a:ext uri="{FF2B5EF4-FFF2-40B4-BE49-F238E27FC236}">
              <a16:creationId xmlns:a16="http://schemas.microsoft.com/office/drawing/2014/main" id="{DC1D411C-73B2-4544-AC09-7A6AD8CEC393}"/>
            </a:ext>
          </a:extLst>
        </xdr:cNvPr>
        <xdr:cNvSpPr>
          <a:spLocks noChangeArrowheads="1"/>
        </xdr:cNvSpPr>
      </xdr:nvSpPr>
      <xdr:spPr bwMode="auto">
        <a:xfrm>
          <a:off x="17684750" y="2406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8" name="AutoShape 46">
          <a:extLst>
            <a:ext uri="{FF2B5EF4-FFF2-40B4-BE49-F238E27FC236}">
              <a16:creationId xmlns:a16="http://schemas.microsoft.com/office/drawing/2014/main" id="{59058616-1B1D-4AB5-917D-948045C0F273}"/>
            </a:ext>
          </a:extLst>
        </xdr:cNvPr>
        <xdr:cNvSpPr>
          <a:spLocks noChangeArrowheads="1"/>
        </xdr:cNvSpPr>
      </xdr:nvSpPr>
      <xdr:spPr bwMode="auto">
        <a:xfrm>
          <a:off x="19246850" y="240601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9" name="AutoShape 46">
          <a:extLst>
            <a:ext uri="{FF2B5EF4-FFF2-40B4-BE49-F238E27FC236}">
              <a16:creationId xmlns:a16="http://schemas.microsoft.com/office/drawing/2014/main" id="{22847171-4B49-4FA9-8D51-406842B9D8CD}"/>
            </a:ext>
          </a:extLst>
        </xdr:cNvPr>
        <xdr:cNvSpPr>
          <a:spLocks noChangeArrowheads="1"/>
        </xdr:cNvSpPr>
      </xdr:nvSpPr>
      <xdr:spPr bwMode="auto">
        <a:xfrm>
          <a:off x="20999450" y="2406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0" name="AutoShape 46">
          <a:extLst>
            <a:ext uri="{FF2B5EF4-FFF2-40B4-BE49-F238E27FC236}">
              <a16:creationId xmlns:a16="http://schemas.microsoft.com/office/drawing/2014/main" id="{26484A52-D4D1-4B24-8C1C-32266C8B6029}"/>
            </a:ext>
          </a:extLst>
        </xdr:cNvPr>
        <xdr:cNvSpPr>
          <a:spLocks noChangeArrowheads="1"/>
        </xdr:cNvSpPr>
      </xdr:nvSpPr>
      <xdr:spPr bwMode="auto">
        <a:xfrm>
          <a:off x="22561550" y="240601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201" name="AutoShape 46">
          <a:extLst>
            <a:ext uri="{FF2B5EF4-FFF2-40B4-BE49-F238E27FC236}">
              <a16:creationId xmlns:a16="http://schemas.microsoft.com/office/drawing/2014/main" id="{484FF6BA-7204-443C-AC01-A03BAB7688E6}"/>
            </a:ext>
          </a:extLst>
        </xdr:cNvPr>
        <xdr:cNvSpPr>
          <a:spLocks noChangeArrowheads="1"/>
        </xdr:cNvSpPr>
      </xdr:nvSpPr>
      <xdr:spPr bwMode="auto">
        <a:xfrm>
          <a:off x="143827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2" name="AutoShape 46">
          <a:extLst>
            <a:ext uri="{FF2B5EF4-FFF2-40B4-BE49-F238E27FC236}">
              <a16:creationId xmlns:a16="http://schemas.microsoft.com/office/drawing/2014/main" id="{C7F6ED85-E81C-4726-810B-0EB2A9BB16CF}"/>
            </a:ext>
          </a:extLst>
        </xdr:cNvPr>
        <xdr:cNvSpPr>
          <a:spLocks noChangeArrowheads="1"/>
        </xdr:cNvSpPr>
      </xdr:nvSpPr>
      <xdr:spPr bwMode="auto">
        <a:xfrm>
          <a:off x="176847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3" name="AutoShape 46">
          <a:extLst>
            <a:ext uri="{FF2B5EF4-FFF2-40B4-BE49-F238E27FC236}">
              <a16:creationId xmlns:a16="http://schemas.microsoft.com/office/drawing/2014/main" id="{34FE24FC-7160-476D-BA62-190851B7A489}"/>
            </a:ext>
          </a:extLst>
        </xdr:cNvPr>
        <xdr:cNvSpPr>
          <a:spLocks noChangeArrowheads="1"/>
        </xdr:cNvSpPr>
      </xdr:nvSpPr>
      <xdr:spPr bwMode="auto">
        <a:xfrm>
          <a:off x="19246850" y="2406015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4" name="AutoShape 46">
          <a:extLst>
            <a:ext uri="{FF2B5EF4-FFF2-40B4-BE49-F238E27FC236}">
              <a16:creationId xmlns:a16="http://schemas.microsoft.com/office/drawing/2014/main" id="{E6CCF4EE-CCAC-4E75-BBC2-5EE4AC79B6BB}"/>
            </a:ext>
          </a:extLst>
        </xdr:cNvPr>
        <xdr:cNvSpPr>
          <a:spLocks noChangeArrowheads="1"/>
        </xdr:cNvSpPr>
      </xdr:nvSpPr>
      <xdr:spPr bwMode="auto">
        <a:xfrm>
          <a:off x="209994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5" name="AutoShape 46">
          <a:extLst>
            <a:ext uri="{FF2B5EF4-FFF2-40B4-BE49-F238E27FC236}">
              <a16:creationId xmlns:a16="http://schemas.microsoft.com/office/drawing/2014/main" id="{0473A1F2-0207-4AA4-B7E4-9A2A68EE61DC}"/>
            </a:ext>
          </a:extLst>
        </xdr:cNvPr>
        <xdr:cNvSpPr>
          <a:spLocks noChangeArrowheads="1"/>
        </xdr:cNvSpPr>
      </xdr:nvSpPr>
      <xdr:spPr bwMode="auto">
        <a:xfrm>
          <a:off x="22561550" y="240601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6" name="AutoShape 46">
          <a:extLst>
            <a:ext uri="{FF2B5EF4-FFF2-40B4-BE49-F238E27FC236}">
              <a16:creationId xmlns:a16="http://schemas.microsoft.com/office/drawing/2014/main" id="{8C797DCA-75DB-41CF-AFD7-FB0B55DC93FA}"/>
            </a:ext>
          </a:extLst>
        </xdr:cNvPr>
        <xdr:cNvSpPr>
          <a:spLocks noChangeArrowheads="1"/>
        </xdr:cNvSpPr>
      </xdr:nvSpPr>
      <xdr:spPr bwMode="auto">
        <a:xfrm>
          <a:off x="12820650" y="2406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8" name="AutoShape 46">
          <a:extLst>
            <a:ext uri="{FF2B5EF4-FFF2-40B4-BE49-F238E27FC236}">
              <a16:creationId xmlns:a16="http://schemas.microsoft.com/office/drawing/2014/main" id="{F4217183-D5BC-420F-9EBC-50EDFAD43249}"/>
            </a:ext>
          </a:extLst>
        </xdr:cNvPr>
        <xdr:cNvSpPr>
          <a:spLocks noChangeArrowheads="1"/>
        </xdr:cNvSpPr>
      </xdr:nvSpPr>
      <xdr:spPr bwMode="auto">
        <a:xfrm>
          <a:off x="15944850" y="24060150"/>
          <a:ext cx="95885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9" name="AutoShape 46">
          <a:extLst>
            <a:ext uri="{FF2B5EF4-FFF2-40B4-BE49-F238E27FC236}">
              <a16:creationId xmlns:a16="http://schemas.microsoft.com/office/drawing/2014/main" id="{4EA80CAE-0204-4E20-9B96-BC26D6CD966C}"/>
            </a:ext>
          </a:extLst>
        </xdr:cNvPr>
        <xdr:cNvSpPr>
          <a:spLocks noChangeArrowheads="1"/>
        </xdr:cNvSpPr>
      </xdr:nvSpPr>
      <xdr:spPr bwMode="auto">
        <a:xfrm>
          <a:off x="176847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10" name="AutoShape 46">
          <a:extLst>
            <a:ext uri="{FF2B5EF4-FFF2-40B4-BE49-F238E27FC236}">
              <a16:creationId xmlns:a16="http://schemas.microsoft.com/office/drawing/2014/main" id="{9F18B7D2-575C-460D-BBD6-659BF90AB650}"/>
            </a:ext>
          </a:extLst>
        </xdr:cNvPr>
        <xdr:cNvSpPr>
          <a:spLocks noChangeArrowheads="1"/>
        </xdr:cNvSpPr>
      </xdr:nvSpPr>
      <xdr:spPr bwMode="auto">
        <a:xfrm>
          <a:off x="19246850" y="2406015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11" name="AutoShape 46">
          <a:extLst>
            <a:ext uri="{FF2B5EF4-FFF2-40B4-BE49-F238E27FC236}">
              <a16:creationId xmlns:a16="http://schemas.microsoft.com/office/drawing/2014/main" id="{9D4F4079-B2EF-45E2-9452-552C5CFC3575}"/>
            </a:ext>
          </a:extLst>
        </xdr:cNvPr>
        <xdr:cNvSpPr>
          <a:spLocks noChangeArrowheads="1"/>
        </xdr:cNvSpPr>
      </xdr:nvSpPr>
      <xdr:spPr bwMode="auto">
        <a:xfrm>
          <a:off x="20999450" y="24060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12" name="AutoShape 46">
          <a:extLst>
            <a:ext uri="{FF2B5EF4-FFF2-40B4-BE49-F238E27FC236}">
              <a16:creationId xmlns:a16="http://schemas.microsoft.com/office/drawing/2014/main" id="{28A13075-13EA-4153-9A3C-710BC78F8690}"/>
            </a:ext>
          </a:extLst>
        </xdr:cNvPr>
        <xdr:cNvSpPr>
          <a:spLocks noChangeArrowheads="1"/>
        </xdr:cNvSpPr>
      </xdr:nvSpPr>
      <xdr:spPr bwMode="auto">
        <a:xfrm>
          <a:off x="22561550" y="240601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3" name="AutoShape 46">
          <a:extLst>
            <a:ext uri="{FF2B5EF4-FFF2-40B4-BE49-F238E27FC236}">
              <a16:creationId xmlns:a16="http://schemas.microsoft.com/office/drawing/2014/main" id="{236C90FC-0554-4848-8D72-202E35D09796}"/>
            </a:ext>
          </a:extLst>
        </xdr:cNvPr>
        <xdr:cNvSpPr>
          <a:spLocks noChangeArrowheads="1"/>
        </xdr:cNvSpPr>
      </xdr:nvSpPr>
      <xdr:spPr bwMode="auto">
        <a:xfrm>
          <a:off x="1397000" y="27362150"/>
          <a:ext cx="97155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4" name="AutoShape 46">
          <a:extLst>
            <a:ext uri="{FF2B5EF4-FFF2-40B4-BE49-F238E27FC236}">
              <a16:creationId xmlns:a16="http://schemas.microsoft.com/office/drawing/2014/main" id="{16BB3FE0-14EC-4B6E-BD48-B6EE659A9934}"/>
            </a:ext>
          </a:extLst>
        </xdr:cNvPr>
        <xdr:cNvSpPr>
          <a:spLocks noChangeArrowheads="1"/>
        </xdr:cNvSpPr>
      </xdr:nvSpPr>
      <xdr:spPr bwMode="auto">
        <a:xfrm>
          <a:off x="314960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5" name="AutoShape 46">
          <a:extLst>
            <a:ext uri="{FF2B5EF4-FFF2-40B4-BE49-F238E27FC236}">
              <a16:creationId xmlns:a16="http://schemas.microsoft.com/office/drawing/2014/main" id="{3A0BE01C-F8A8-473D-9748-6F058B803A4A}"/>
            </a:ext>
          </a:extLst>
        </xdr:cNvPr>
        <xdr:cNvSpPr>
          <a:spLocks noChangeArrowheads="1"/>
        </xdr:cNvSpPr>
      </xdr:nvSpPr>
      <xdr:spPr bwMode="auto">
        <a:xfrm>
          <a:off x="471170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6" name="AutoShape 46">
          <a:extLst>
            <a:ext uri="{FF2B5EF4-FFF2-40B4-BE49-F238E27FC236}">
              <a16:creationId xmlns:a16="http://schemas.microsoft.com/office/drawing/2014/main" id="{FCF5F122-17A3-41AF-B08C-FE9CAAD7C1A5}"/>
            </a:ext>
          </a:extLst>
        </xdr:cNvPr>
        <xdr:cNvSpPr>
          <a:spLocks noChangeArrowheads="1"/>
        </xdr:cNvSpPr>
      </xdr:nvSpPr>
      <xdr:spPr bwMode="auto">
        <a:xfrm>
          <a:off x="6273800" y="27362150"/>
          <a:ext cx="8890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7" name="AutoShape 46">
          <a:extLst>
            <a:ext uri="{FF2B5EF4-FFF2-40B4-BE49-F238E27FC236}">
              <a16:creationId xmlns:a16="http://schemas.microsoft.com/office/drawing/2014/main" id="{48B85579-C35D-4C7F-A1C4-0BE429C8C1FD}"/>
            </a:ext>
          </a:extLst>
        </xdr:cNvPr>
        <xdr:cNvSpPr>
          <a:spLocks noChangeArrowheads="1"/>
        </xdr:cNvSpPr>
      </xdr:nvSpPr>
      <xdr:spPr bwMode="auto">
        <a:xfrm>
          <a:off x="7943850" y="2736215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8" name="AutoShape 46">
          <a:extLst>
            <a:ext uri="{FF2B5EF4-FFF2-40B4-BE49-F238E27FC236}">
              <a16:creationId xmlns:a16="http://schemas.microsoft.com/office/drawing/2014/main" id="{9945B546-7A49-4010-8FCE-E1B5E977FBFC}"/>
            </a:ext>
          </a:extLst>
        </xdr:cNvPr>
        <xdr:cNvSpPr>
          <a:spLocks noChangeArrowheads="1"/>
        </xdr:cNvSpPr>
      </xdr:nvSpPr>
      <xdr:spPr bwMode="auto">
        <a:xfrm>
          <a:off x="96964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9" name="AutoShape 46">
          <a:extLst>
            <a:ext uri="{FF2B5EF4-FFF2-40B4-BE49-F238E27FC236}">
              <a16:creationId xmlns:a16="http://schemas.microsoft.com/office/drawing/2014/main" id="{23B4A7A7-0FB1-4855-B2E2-D7F835E22CDF}"/>
            </a:ext>
          </a:extLst>
        </xdr:cNvPr>
        <xdr:cNvSpPr>
          <a:spLocks noChangeArrowheads="1"/>
        </xdr:cNvSpPr>
      </xdr:nvSpPr>
      <xdr:spPr bwMode="auto">
        <a:xfrm>
          <a:off x="112585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20" name="AutoShape 46">
          <a:extLst>
            <a:ext uri="{FF2B5EF4-FFF2-40B4-BE49-F238E27FC236}">
              <a16:creationId xmlns:a16="http://schemas.microsoft.com/office/drawing/2014/main" id="{198AD340-A3B2-405E-BE7A-AB27C22B64BB}"/>
            </a:ext>
          </a:extLst>
        </xdr:cNvPr>
        <xdr:cNvSpPr>
          <a:spLocks noChangeArrowheads="1"/>
        </xdr:cNvSpPr>
      </xdr:nvSpPr>
      <xdr:spPr bwMode="auto">
        <a:xfrm>
          <a:off x="128206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1" name="AutoShape 46">
          <a:extLst>
            <a:ext uri="{FF2B5EF4-FFF2-40B4-BE49-F238E27FC236}">
              <a16:creationId xmlns:a16="http://schemas.microsoft.com/office/drawing/2014/main" id="{CE278F6B-B085-44BF-BD78-909C2CF582A8}"/>
            </a:ext>
          </a:extLst>
        </xdr:cNvPr>
        <xdr:cNvSpPr>
          <a:spLocks noChangeArrowheads="1"/>
        </xdr:cNvSpPr>
      </xdr:nvSpPr>
      <xdr:spPr bwMode="auto">
        <a:xfrm>
          <a:off x="14382750" y="27362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2" name="AutoShape 46">
          <a:extLst>
            <a:ext uri="{FF2B5EF4-FFF2-40B4-BE49-F238E27FC236}">
              <a16:creationId xmlns:a16="http://schemas.microsoft.com/office/drawing/2014/main" id="{3C50FCE9-7F02-4F34-A25F-18A7EF48C54C}"/>
            </a:ext>
          </a:extLst>
        </xdr:cNvPr>
        <xdr:cNvSpPr>
          <a:spLocks noChangeArrowheads="1"/>
        </xdr:cNvSpPr>
      </xdr:nvSpPr>
      <xdr:spPr bwMode="auto">
        <a:xfrm>
          <a:off x="15944850" y="273621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3" name="AutoShape 46">
          <a:extLst>
            <a:ext uri="{FF2B5EF4-FFF2-40B4-BE49-F238E27FC236}">
              <a16:creationId xmlns:a16="http://schemas.microsoft.com/office/drawing/2014/main" id="{7DE717DB-9286-4190-B8E5-67AA8D50CA8A}"/>
            </a:ext>
          </a:extLst>
        </xdr:cNvPr>
        <xdr:cNvSpPr>
          <a:spLocks noChangeArrowheads="1"/>
        </xdr:cNvSpPr>
      </xdr:nvSpPr>
      <xdr:spPr bwMode="auto">
        <a:xfrm>
          <a:off x="17684750" y="27362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4" name="AutoShape 46">
          <a:extLst>
            <a:ext uri="{FF2B5EF4-FFF2-40B4-BE49-F238E27FC236}">
              <a16:creationId xmlns:a16="http://schemas.microsoft.com/office/drawing/2014/main" id="{2BBE3EFF-63C8-4636-8C8F-22BEA28BD7DD}"/>
            </a:ext>
          </a:extLst>
        </xdr:cNvPr>
        <xdr:cNvSpPr>
          <a:spLocks noChangeArrowheads="1"/>
        </xdr:cNvSpPr>
      </xdr:nvSpPr>
      <xdr:spPr bwMode="auto">
        <a:xfrm>
          <a:off x="19246850" y="273621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5" name="AutoShape 46">
          <a:extLst>
            <a:ext uri="{FF2B5EF4-FFF2-40B4-BE49-F238E27FC236}">
              <a16:creationId xmlns:a16="http://schemas.microsoft.com/office/drawing/2014/main" id="{A0E344EE-D23A-428D-A3A3-4CBC9127F569}"/>
            </a:ext>
          </a:extLst>
        </xdr:cNvPr>
        <xdr:cNvSpPr>
          <a:spLocks noChangeArrowheads="1"/>
        </xdr:cNvSpPr>
      </xdr:nvSpPr>
      <xdr:spPr bwMode="auto">
        <a:xfrm>
          <a:off x="20999450" y="27362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6" name="AutoShape 46">
          <a:extLst>
            <a:ext uri="{FF2B5EF4-FFF2-40B4-BE49-F238E27FC236}">
              <a16:creationId xmlns:a16="http://schemas.microsoft.com/office/drawing/2014/main" id="{8C4E6DC4-23B2-4651-9485-833836FD5D05}"/>
            </a:ext>
          </a:extLst>
        </xdr:cNvPr>
        <xdr:cNvSpPr>
          <a:spLocks noChangeArrowheads="1"/>
        </xdr:cNvSpPr>
      </xdr:nvSpPr>
      <xdr:spPr bwMode="auto">
        <a:xfrm>
          <a:off x="22561550" y="273621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7" name="AutoShape 46">
          <a:extLst>
            <a:ext uri="{FF2B5EF4-FFF2-40B4-BE49-F238E27FC236}">
              <a16:creationId xmlns:a16="http://schemas.microsoft.com/office/drawing/2014/main" id="{F336CF5F-8742-4C63-8B10-46270CFA1CA0}"/>
            </a:ext>
          </a:extLst>
        </xdr:cNvPr>
        <xdr:cNvSpPr>
          <a:spLocks noChangeArrowheads="1"/>
        </xdr:cNvSpPr>
      </xdr:nvSpPr>
      <xdr:spPr bwMode="auto">
        <a:xfrm>
          <a:off x="143827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8" name="AutoShape 46">
          <a:extLst>
            <a:ext uri="{FF2B5EF4-FFF2-40B4-BE49-F238E27FC236}">
              <a16:creationId xmlns:a16="http://schemas.microsoft.com/office/drawing/2014/main" id="{453BE50D-8D98-4BB1-9D75-ACF83A9CDE1F}"/>
            </a:ext>
          </a:extLst>
        </xdr:cNvPr>
        <xdr:cNvSpPr>
          <a:spLocks noChangeArrowheads="1"/>
        </xdr:cNvSpPr>
      </xdr:nvSpPr>
      <xdr:spPr bwMode="auto">
        <a:xfrm>
          <a:off x="15944850" y="27362150"/>
          <a:ext cx="95885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9" name="AutoShape 46">
          <a:extLst>
            <a:ext uri="{FF2B5EF4-FFF2-40B4-BE49-F238E27FC236}">
              <a16:creationId xmlns:a16="http://schemas.microsoft.com/office/drawing/2014/main" id="{7C512048-6E74-4F9C-B4CA-46C3D2D7E8DC}"/>
            </a:ext>
          </a:extLst>
        </xdr:cNvPr>
        <xdr:cNvSpPr>
          <a:spLocks noChangeArrowheads="1"/>
        </xdr:cNvSpPr>
      </xdr:nvSpPr>
      <xdr:spPr bwMode="auto">
        <a:xfrm>
          <a:off x="176847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0" name="AutoShape 46">
          <a:extLst>
            <a:ext uri="{FF2B5EF4-FFF2-40B4-BE49-F238E27FC236}">
              <a16:creationId xmlns:a16="http://schemas.microsoft.com/office/drawing/2014/main" id="{244CFDB5-624F-4AD2-A330-1F9437009D26}"/>
            </a:ext>
          </a:extLst>
        </xdr:cNvPr>
        <xdr:cNvSpPr>
          <a:spLocks noChangeArrowheads="1"/>
        </xdr:cNvSpPr>
      </xdr:nvSpPr>
      <xdr:spPr bwMode="auto">
        <a:xfrm>
          <a:off x="19246850" y="2736215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1" name="AutoShape 46">
          <a:extLst>
            <a:ext uri="{FF2B5EF4-FFF2-40B4-BE49-F238E27FC236}">
              <a16:creationId xmlns:a16="http://schemas.microsoft.com/office/drawing/2014/main" id="{A78255AF-1FDD-401E-8074-B96D19C8B828}"/>
            </a:ext>
          </a:extLst>
        </xdr:cNvPr>
        <xdr:cNvSpPr>
          <a:spLocks noChangeArrowheads="1"/>
        </xdr:cNvSpPr>
      </xdr:nvSpPr>
      <xdr:spPr bwMode="auto">
        <a:xfrm>
          <a:off x="209994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2" name="AutoShape 46">
          <a:extLst>
            <a:ext uri="{FF2B5EF4-FFF2-40B4-BE49-F238E27FC236}">
              <a16:creationId xmlns:a16="http://schemas.microsoft.com/office/drawing/2014/main" id="{460FFB1A-A77D-4A31-8BDC-17CF5C29D4BD}"/>
            </a:ext>
          </a:extLst>
        </xdr:cNvPr>
        <xdr:cNvSpPr>
          <a:spLocks noChangeArrowheads="1"/>
        </xdr:cNvSpPr>
      </xdr:nvSpPr>
      <xdr:spPr bwMode="auto">
        <a:xfrm>
          <a:off x="22561550" y="27362150"/>
          <a:ext cx="8763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3" name="AutoShape 46">
          <a:extLst>
            <a:ext uri="{FF2B5EF4-FFF2-40B4-BE49-F238E27FC236}">
              <a16:creationId xmlns:a16="http://schemas.microsoft.com/office/drawing/2014/main" id="{FC3A34D8-03CE-466E-8636-3C35E4F66B55}"/>
            </a:ext>
          </a:extLst>
        </xdr:cNvPr>
        <xdr:cNvSpPr>
          <a:spLocks noChangeArrowheads="1"/>
        </xdr:cNvSpPr>
      </xdr:nvSpPr>
      <xdr:spPr bwMode="auto">
        <a:xfrm>
          <a:off x="128206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4" name="AutoShape 46">
          <a:extLst>
            <a:ext uri="{FF2B5EF4-FFF2-40B4-BE49-F238E27FC236}">
              <a16:creationId xmlns:a16="http://schemas.microsoft.com/office/drawing/2014/main" id="{322C3683-333D-465D-A827-E9E0C7A272F2}"/>
            </a:ext>
          </a:extLst>
        </xdr:cNvPr>
        <xdr:cNvSpPr>
          <a:spLocks noChangeArrowheads="1"/>
        </xdr:cNvSpPr>
      </xdr:nvSpPr>
      <xdr:spPr bwMode="auto">
        <a:xfrm>
          <a:off x="143827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5" name="AutoShape 46">
          <a:extLst>
            <a:ext uri="{FF2B5EF4-FFF2-40B4-BE49-F238E27FC236}">
              <a16:creationId xmlns:a16="http://schemas.microsoft.com/office/drawing/2014/main" id="{374E393B-0444-47B0-A95D-66702D2B85F6}"/>
            </a:ext>
          </a:extLst>
        </xdr:cNvPr>
        <xdr:cNvSpPr>
          <a:spLocks noChangeArrowheads="1"/>
        </xdr:cNvSpPr>
      </xdr:nvSpPr>
      <xdr:spPr bwMode="auto">
        <a:xfrm>
          <a:off x="15944850" y="27362150"/>
          <a:ext cx="95885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6" name="AutoShape 46">
          <a:extLst>
            <a:ext uri="{FF2B5EF4-FFF2-40B4-BE49-F238E27FC236}">
              <a16:creationId xmlns:a16="http://schemas.microsoft.com/office/drawing/2014/main" id="{B9595CC7-FEE5-457A-83FB-46826EDB8F4E}"/>
            </a:ext>
          </a:extLst>
        </xdr:cNvPr>
        <xdr:cNvSpPr>
          <a:spLocks noChangeArrowheads="1"/>
        </xdr:cNvSpPr>
      </xdr:nvSpPr>
      <xdr:spPr bwMode="auto">
        <a:xfrm>
          <a:off x="176847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7" name="AutoShape 46">
          <a:extLst>
            <a:ext uri="{FF2B5EF4-FFF2-40B4-BE49-F238E27FC236}">
              <a16:creationId xmlns:a16="http://schemas.microsoft.com/office/drawing/2014/main" id="{78124A49-80E6-4EAE-A72D-E282F0EFECF7}"/>
            </a:ext>
          </a:extLst>
        </xdr:cNvPr>
        <xdr:cNvSpPr>
          <a:spLocks noChangeArrowheads="1"/>
        </xdr:cNvSpPr>
      </xdr:nvSpPr>
      <xdr:spPr bwMode="auto">
        <a:xfrm>
          <a:off x="19246850" y="2736215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8" name="AutoShape 46">
          <a:extLst>
            <a:ext uri="{FF2B5EF4-FFF2-40B4-BE49-F238E27FC236}">
              <a16:creationId xmlns:a16="http://schemas.microsoft.com/office/drawing/2014/main" id="{44AEF7D7-C6D0-456B-ADD1-0452F550C28C}"/>
            </a:ext>
          </a:extLst>
        </xdr:cNvPr>
        <xdr:cNvSpPr>
          <a:spLocks noChangeArrowheads="1"/>
        </xdr:cNvSpPr>
      </xdr:nvSpPr>
      <xdr:spPr bwMode="auto">
        <a:xfrm>
          <a:off x="20999450" y="27362150"/>
          <a:ext cx="78105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9" name="AutoShape 46">
          <a:extLst>
            <a:ext uri="{FF2B5EF4-FFF2-40B4-BE49-F238E27FC236}">
              <a16:creationId xmlns:a16="http://schemas.microsoft.com/office/drawing/2014/main" id="{74F3933B-0340-468D-966C-0AA16E451E73}"/>
            </a:ext>
          </a:extLst>
        </xdr:cNvPr>
        <xdr:cNvSpPr>
          <a:spLocks noChangeArrowheads="1"/>
        </xdr:cNvSpPr>
      </xdr:nvSpPr>
      <xdr:spPr bwMode="auto">
        <a:xfrm>
          <a:off x="22561550" y="27362150"/>
          <a:ext cx="8763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40" name="AutoShape 46">
          <a:extLst>
            <a:ext uri="{FF2B5EF4-FFF2-40B4-BE49-F238E27FC236}">
              <a16:creationId xmlns:a16="http://schemas.microsoft.com/office/drawing/2014/main" id="{BD6A23EC-09D0-47EB-A777-E270BB1E0875}"/>
            </a:ext>
          </a:extLst>
        </xdr:cNvPr>
        <xdr:cNvSpPr>
          <a:spLocks noChangeArrowheads="1"/>
        </xdr:cNvSpPr>
      </xdr:nvSpPr>
      <xdr:spPr bwMode="auto">
        <a:xfrm>
          <a:off x="1397000" y="3067685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41" name="AutoShape 46">
          <a:extLst>
            <a:ext uri="{FF2B5EF4-FFF2-40B4-BE49-F238E27FC236}">
              <a16:creationId xmlns:a16="http://schemas.microsoft.com/office/drawing/2014/main" id="{AA8D9C65-04D6-4DAC-A2DA-D9043F87DF9D}"/>
            </a:ext>
          </a:extLst>
        </xdr:cNvPr>
        <xdr:cNvSpPr>
          <a:spLocks noChangeArrowheads="1"/>
        </xdr:cNvSpPr>
      </xdr:nvSpPr>
      <xdr:spPr bwMode="auto">
        <a:xfrm>
          <a:off x="314960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42" name="AutoShape 46">
          <a:extLst>
            <a:ext uri="{FF2B5EF4-FFF2-40B4-BE49-F238E27FC236}">
              <a16:creationId xmlns:a16="http://schemas.microsoft.com/office/drawing/2014/main" id="{2FB0FBD1-16C5-4DF4-B0CE-09A77A1814C9}"/>
            </a:ext>
          </a:extLst>
        </xdr:cNvPr>
        <xdr:cNvSpPr>
          <a:spLocks noChangeArrowheads="1"/>
        </xdr:cNvSpPr>
      </xdr:nvSpPr>
      <xdr:spPr bwMode="auto">
        <a:xfrm>
          <a:off x="471170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3" name="AutoShape 46">
          <a:extLst>
            <a:ext uri="{FF2B5EF4-FFF2-40B4-BE49-F238E27FC236}">
              <a16:creationId xmlns:a16="http://schemas.microsoft.com/office/drawing/2014/main" id="{59CB337F-D80A-48A4-ABF9-DB837C579256}"/>
            </a:ext>
          </a:extLst>
        </xdr:cNvPr>
        <xdr:cNvSpPr>
          <a:spLocks noChangeArrowheads="1"/>
        </xdr:cNvSpPr>
      </xdr:nvSpPr>
      <xdr:spPr bwMode="auto">
        <a:xfrm>
          <a:off x="6273800" y="306768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4" name="AutoShape 46">
          <a:extLst>
            <a:ext uri="{FF2B5EF4-FFF2-40B4-BE49-F238E27FC236}">
              <a16:creationId xmlns:a16="http://schemas.microsoft.com/office/drawing/2014/main" id="{3540C985-DF05-4F1C-9CEF-357450678DCF}"/>
            </a:ext>
          </a:extLst>
        </xdr:cNvPr>
        <xdr:cNvSpPr>
          <a:spLocks noChangeArrowheads="1"/>
        </xdr:cNvSpPr>
      </xdr:nvSpPr>
      <xdr:spPr bwMode="auto">
        <a:xfrm>
          <a:off x="7943850" y="3067685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6" name="AutoShape 46">
          <a:extLst>
            <a:ext uri="{FF2B5EF4-FFF2-40B4-BE49-F238E27FC236}">
              <a16:creationId xmlns:a16="http://schemas.microsoft.com/office/drawing/2014/main" id="{5AD6FA1D-12F6-4F77-A71D-F6CE765B74C2}"/>
            </a:ext>
          </a:extLst>
        </xdr:cNvPr>
        <xdr:cNvSpPr>
          <a:spLocks noChangeArrowheads="1"/>
        </xdr:cNvSpPr>
      </xdr:nvSpPr>
      <xdr:spPr bwMode="auto">
        <a:xfrm>
          <a:off x="1125855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7" name="AutoShape 46">
          <a:extLst>
            <a:ext uri="{FF2B5EF4-FFF2-40B4-BE49-F238E27FC236}">
              <a16:creationId xmlns:a16="http://schemas.microsoft.com/office/drawing/2014/main" id="{9CB4C979-5C46-48E0-B7A9-E01C954A0B3C}"/>
            </a:ext>
          </a:extLst>
        </xdr:cNvPr>
        <xdr:cNvSpPr>
          <a:spLocks noChangeArrowheads="1"/>
        </xdr:cNvSpPr>
      </xdr:nvSpPr>
      <xdr:spPr bwMode="auto">
        <a:xfrm>
          <a:off x="12820650" y="30676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8" name="AutoShape 46">
          <a:extLst>
            <a:ext uri="{FF2B5EF4-FFF2-40B4-BE49-F238E27FC236}">
              <a16:creationId xmlns:a16="http://schemas.microsoft.com/office/drawing/2014/main" id="{F990A0E7-BFD7-4D59-8A95-D21A871EC861}"/>
            </a:ext>
          </a:extLst>
        </xdr:cNvPr>
        <xdr:cNvSpPr>
          <a:spLocks noChangeArrowheads="1"/>
        </xdr:cNvSpPr>
      </xdr:nvSpPr>
      <xdr:spPr bwMode="auto">
        <a:xfrm>
          <a:off x="14382750" y="306768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9" name="AutoShape 46">
          <a:extLst>
            <a:ext uri="{FF2B5EF4-FFF2-40B4-BE49-F238E27FC236}">
              <a16:creationId xmlns:a16="http://schemas.microsoft.com/office/drawing/2014/main" id="{C1C74C87-5738-4789-83B2-7051C138C868}"/>
            </a:ext>
          </a:extLst>
        </xdr:cNvPr>
        <xdr:cNvSpPr>
          <a:spLocks noChangeArrowheads="1"/>
        </xdr:cNvSpPr>
      </xdr:nvSpPr>
      <xdr:spPr bwMode="auto">
        <a:xfrm>
          <a:off x="15944850" y="306768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0" name="AutoShape 46">
          <a:extLst>
            <a:ext uri="{FF2B5EF4-FFF2-40B4-BE49-F238E27FC236}">
              <a16:creationId xmlns:a16="http://schemas.microsoft.com/office/drawing/2014/main" id="{FA666351-6714-4280-89B2-8027392088A7}"/>
            </a:ext>
          </a:extLst>
        </xdr:cNvPr>
        <xdr:cNvSpPr>
          <a:spLocks noChangeArrowheads="1"/>
        </xdr:cNvSpPr>
      </xdr:nvSpPr>
      <xdr:spPr bwMode="auto">
        <a:xfrm>
          <a:off x="17684750" y="306768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1" name="AutoShape 46">
          <a:extLst>
            <a:ext uri="{FF2B5EF4-FFF2-40B4-BE49-F238E27FC236}">
              <a16:creationId xmlns:a16="http://schemas.microsoft.com/office/drawing/2014/main" id="{EA9376B2-5B44-4BEF-AE4F-97A63906CD98}"/>
            </a:ext>
          </a:extLst>
        </xdr:cNvPr>
        <xdr:cNvSpPr>
          <a:spLocks noChangeArrowheads="1"/>
        </xdr:cNvSpPr>
      </xdr:nvSpPr>
      <xdr:spPr bwMode="auto">
        <a:xfrm>
          <a:off x="19246850" y="306768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CBF60D93-F182-4A71-92DF-6DD38FEA687D}"/>
            </a:ext>
          </a:extLst>
        </xdr:cNvPr>
        <xdr:cNvSpPr>
          <a:spLocks noChangeArrowheads="1"/>
        </xdr:cNvSpPr>
      </xdr:nvSpPr>
      <xdr:spPr bwMode="auto">
        <a:xfrm>
          <a:off x="22561550" y="306768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4" name="AutoShape 46">
          <a:extLst>
            <a:ext uri="{FF2B5EF4-FFF2-40B4-BE49-F238E27FC236}">
              <a16:creationId xmlns:a16="http://schemas.microsoft.com/office/drawing/2014/main" id="{B317BAB6-E0BC-45B9-9056-11DADB665540}"/>
            </a:ext>
          </a:extLst>
        </xdr:cNvPr>
        <xdr:cNvSpPr>
          <a:spLocks noChangeArrowheads="1"/>
        </xdr:cNvSpPr>
      </xdr:nvSpPr>
      <xdr:spPr bwMode="auto">
        <a:xfrm>
          <a:off x="14382750" y="30676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5" name="AutoShape 46">
          <a:extLst>
            <a:ext uri="{FF2B5EF4-FFF2-40B4-BE49-F238E27FC236}">
              <a16:creationId xmlns:a16="http://schemas.microsoft.com/office/drawing/2014/main" id="{D9954D90-B1A8-4AE7-A429-FCF9EFB5B49E}"/>
            </a:ext>
          </a:extLst>
        </xdr:cNvPr>
        <xdr:cNvSpPr>
          <a:spLocks noChangeArrowheads="1"/>
        </xdr:cNvSpPr>
      </xdr:nvSpPr>
      <xdr:spPr bwMode="auto">
        <a:xfrm>
          <a:off x="15944850" y="306768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6" name="AutoShape 46">
          <a:extLst>
            <a:ext uri="{FF2B5EF4-FFF2-40B4-BE49-F238E27FC236}">
              <a16:creationId xmlns:a16="http://schemas.microsoft.com/office/drawing/2014/main" id="{4FF11F4A-ADC8-490A-9BA5-25604A6F407F}"/>
            </a:ext>
          </a:extLst>
        </xdr:cNvPr>
        <xdr:cNvSpPr>
          <a:spLocks noChangeArrowheads="1"/>
        </xdr:cNvSpPr>
      </xdr:nvSpPr>
      <xdr:spPr bwMode="auto">
        <a:xfrm>
          <a:off x="17684750" y="30676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7" name="AutoShape 46">
          <a:extLst>
            <a:ext uri="{FF2B5EF4-FFF2-40B4-BE49-F238E27FC236}">
              <a16:creationId xmlns:a16="http://schemas.microsoft.com/office/drawing/2014/main" id="{E9F748D4-5727-49BA-B0C6-02A7F3655580}"/>
            </a:ext>
          </a:extLst>
        </xdr:cNvPr>
        <xdr:cNvSpPr>
          <a:spLocks noChangeArrowheads="1"/>
        </xdr:cNvSpPr>
      </xdr:nvSpPr>
      <xdr:spPr bwMode="auto">
        <a:xfrm>
          <a:off x="19246850" y="306768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E45C7EEB-CCFF-4EED-B253-BC2F7A12F7F0}"/>
            </a:ext>
          </a:extLst>
        </xdr:cNvPr>
        <xdr:cNvSpPr>
          <a:spLocks noChangeArrowheads="1"/>
        </xdr:cNvSpPr>
      </xdr:nvSpPr>
      <xdr:spPr bwMode="auto">
        <a:xfrm>
          <a:off x="22561550" y="306768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60" name="AutoShape 46">
          <a:extLst>
            <a:ext uri="{FF2B5EF4-FFF2-40B4-BE49-F238E27FC236}">
              <a16:creationId xmlns:a16="http://schemas.microsoft.com/office/drawing/2014/main" id="{C2976EE4-7D51-4C51-A24B-34CF624DCD3B}"/>
            </a:ext>
          </a:extLst>
        </xdr:cNvPr>
        <xdr:cNvSpPr>
          <a:spLocks noChangeArrowheads="1"/>
        </xdr:cNvSpPr>
      </xdr:nvSpPr>
      <xdr:spPr bwMode="auto">
        <a:xfrm>
          <a:off x="1282065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61" name="AutoShape 46">
          <a:extLst>
            <a:ext uri="{FF2B5EF4-FFF2-40B4-BE49-F238E27FC236}">
              <a16:creationId xmlns:a16="http://schemas.microsoft.com/office/drawing/2014/main" id="{20AE5E31-432F-4177-81A7-6492AA228C44}"/>
            </a:ext>
          </a:extLst>
        </xdr:cNvPr>
        <xdr:cNvSpPr>
          <a:spLocks noChangeArrowheads="1"/>
        </xdr:cNvSpPr>
      </xdr:nvSpPr>
      <xdr:spPr bwMode="auto">
        <a:xfrm>
          <a:off x="1438275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62" name="AutoShape 46">
          <a:extLst>
            <a:ext uri="{FF2B5EF4-FFF2-40B4-BE49-F238E27FC236}">
              <a16:creationId xmlns:a16="http://schemas.microsoft.com/office/drawing/2014/main" id="{E8EDF0B9-7D76-4827-8210-F09481AE2912}"/>
            </a:ext>
          </a:extLst>
        </xdr:cNvPr>
        <xdr:cNvSpPr>
          <a:spLocks noChangeArrowheads="1"/>
        </xdr:cNvSpPr>
      </xdr:nvSpPr>
      <xdr:spPr bwMode="auto">
        <a:xfrm>
          <a:off x="15944850" y="306768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63" name="AutoShape 46">
          <a:extLst>
            <a:ext uri="{FF2B5EF4-FFF2-40B4-BE49-F238E27FC236}">
              <a16:creationId xmlns:a16="http://schemas.microsoft.com/office/drawing/2014/main" id="{73FF8BAC-6106-45A8-9ED6-2B058A3E068B}"/>
            </a:ext>
          </a:extLst>
        </xdr:cNvPr>
        <xdr:cNvSpPr>
          <a:spLocks noChangeArrowheads="1"/>
        </xdr:cNvSpPr>
      </xdr:nvSpPr>
      <xdr:spPr bwMode="auto">
        <a:xfrm>
          <a:off x="17684750" y="30676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64" name="AutoShape 46">
          <a:extLst>
            <a:ext uri="{FF2B5EF4-FFF2-40B4-BE49-F238E27FC236}">
              <a16:creationId xmlns:a16="http://schemas.microsoft.com/office/drawing/2014/main" id="{22E71074-EEE0-4E5B-A062-8C78E71EA55B}"/>
            </a:ext>
          </a:extLst>
        </xdr:cNvPr>
        <xdr:cNvSpPr>
          <a:spLocks noChangeArrowheads="1"/>
        </xdr:cNvSpPr>
      </xdr:nvSpPr>
      <xdr:spPr bwMode="auto">
        <a:xfrm>
          <a:off x="19246850" y="3067685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66" name="AutoShape 46">
          <a:extLst>
            <a:ext uri="{FF2B5EF4-FFF2-40B4-BE49-F238E27FC236}">
              <a16:creationId xmlns:a16="http://schemas.microsoft.com/office/drawing/2014/main" id="{C1E69A68-52EB-45F9-BE7C-F3247B8A7454}"/>
            </a:ext>
          </a:extLst>
        </xdr:cNvPr>
        <xdr:cNvSpPr>
          <a:spLocks noChangeArrowheads="1"/>
        </xdr:cNvSpPr>
      </xdr:nvSpPr>
      <xdr:spPr bwMode="auto">
        <a:xfrm>
          <a:off x="22561550" y="3067685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7" name="AutoShape 46">
          <a:extLst>
            <a:ext uri="{FF2B5EF4-FFF2-40B4-BE49-F238E27FC236}">
              <a16:creationId xmlns:a16="http://schemas.microsoft.com/office/drawing/2014/main" id="{27E42EE1-0443-4805-BDD6-F0BD10F178A1}"/>
            </a:ext>
          </a:extLst>
        </xdr:cNvPr>
        <xdr:cNvSpPr>
          <a:spLocks noChangeArrowheads="1"/>
        </xdr:cNvSpPr>
      </xdr:nvSpPr>
      <xdr:spPr bwMode="auto">
        <a:xfrm>
          <a:off x="1397000" y="3385185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8" name="AutoShape 46">
          <a:extLst>
            <a:ext uri="{FF2B5EF4-FFF2-40B4-BE49-F238E27FC236}">
              <a16:creationId xmlns:a16="http://schemas.microsoft.com/office/drawing/2014/main" id="{3D7F12D7-2461-4BF1-A59A-9D1C8839ECA1}"/>
            </a:ext>
          </a:extLst>
        </xdr:cNvPr>
        <xdr:cNvSpPr>
          <a:spLocks noChangeArrowheads="1"/>
        </xdr:cNvSpPr>
      </xdr:nvSpPr>
      <xdr:spPr bwMode="auto">
        <a:xfrm>
          <a:off x="314960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9" name="AutoShape 46">
          <a:extLst>
            <a:ext uri="{FF2B5EF4-FFF2-40B4-BE49-F238E27FC236}">
              <a16:creationId xmlns:a16="http://schemas.microsoft.com/office/drawing/2014/main" id="{B1A3A8D6-2AA4-41F7-907F-FF5846E05E84}"/>
            </a:ext>
          </a:extLst>
        </xdr:cNvPr>
        <xdr:cNvSpPr>
          <a:spLocks noChangeArrowheads="1"/>
        </xdr:cNvSpPr>
      </xdr:nvSpPr>
      <xdr:spPr bwMode="auto">
        <a:xfrm>
          <a:off x="471170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70" name="AutoShape 46">
          <a:extLst>
            <a:ext uri="{FF2B5EF4-FFF2-40B4-BE49-F238E27FC236}">
              <a16:creationId xmlns:a16="http://schemas.microsoft.com/office/drawing/2014/main" id="{730007C5-EABF-4744-9DF7-F7EE4E6FC9F5}"/>
            </a:ext>
          </a:extLst>
        </xdr:cNvPr>
        <xdr:cNvSpPr>
          <a:spLocks noChangeArrowheads="1"/>
        </xdr:cNvSpPr>
      </xdr:nvSpPr>
      <xdr:spPr bwMode="auto">
        <a:xfrm>
          <a:off x="6273800" y="338518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71" name="AutoShape 46">
          <a:extLst>
            <a:ext uri="{FF2B5EF4-FFF2-40B4-BE49-F238E27FC236}">
              <a16:creationId xmlns:a16="http://schemas.microsoft.com/office/drawing/2014/main" id="{D2DF5F4E-F950-49C9-A36D-A570ADC91CA5}"/>
            </a:ext>
          </a:extLst>
        </xdr:cNvPr>
        <xdr:cNvSpPr>
          <a:spLocks noChangeArrowheads="1"/>
        </xdr:cNvSpPr>
      </xdr:nvSpPr>
      <xdr:spPr bwMode="auto">
        <a:xfrm>
          <a:off x="7943850" y="3385185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72" name="AutoShape 46">
          <a:extLst>
            <a:ext uri="{FF2B5EF4-FFF2-40B4-BE49-F238E27FC236}">
              <a16:creationId xmlns:a16="http://schemas.microsoft.com/office/drawing/2014/main" id="{89CE44FF-0F5C-40C8-86F4-90C025FC0E67}"/>
            </a:ext>
          </a:extLst>
        </xdr:cNvPr>
        <xdr:cNvSpPr>
          <a:spLocks noChangeArrowheads="1"/>
        </xdr:cNvSpPr>
      </xdr:nvSpPr>
      <xdr:spPr bwMode="auto">
        <a:xfrm>
          <a:off x="96964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73" name="AutoShape 46">
          <a:extLst>
            <a:ext uri="{FF2B5EF4-FFF2-40B4-BE49-F238E27FC236}">
              <a16:creationId xmlns:a16="http://schemas.microsoft.com/office/drawing/2014/main" id="{90053843-A214-4E8F-9EAC-0342E573B2E2}"/>
            </a:ext>
          </a:extLst>
        </xdr:cNvPr>
        <xdr:cNvSpPr>
          <a:spLocks noChangeArrowheads="1"/>
        </xdr:cNvSpPr>
      </xdr:nvSpPr>
      <xdr:spPr bwMode="auto">
        <a:xfrm>
          <a:off x="112585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74" name="AutoShape 46">
          <a:extLst>
            <a:ext uri="{FF2B5EF4-FFF2-40B4-BE49-F238E27FC236}">
              <a16:creationId xmlns:a16="http://schemas.microsoft.com/office/drawing/2014/main" id="{A9BCC31A-0C24-4E30-B52B-531032F8AD0A}"/>
            </a:ext>
          </a:extLst>
        </xdr:cNvPr>
        <xdr:cNvSpPr>
          <a:spLocks noChangeArrowheads="1"/>
        </xdr:cNvSpPr>
      </xdr:nvSpPr>
      <xdr:spPr bwMode="auto">
        <a:xfrm>
          <a:off x="12820650" y="33851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5" name="AutoShape 46">
          <a:extLst>
            <a:ext uri="{FF2B5EF4-FFF2-40B4-BE49-F238E27FC236}">
              <a16:creationId xmlns:a16="http://schemas.microsoft.com/office/drawing/2014/main" id="{480B9628-FC68-4060-BD7C-ADBA6A0E0415}"/>
            </a:ext>
          </a:extLst>
        </xdr:cNvPr>
        <xdr:cNvSpPr>
          <a:spLocks noChangeArrowheads="1"/>
        </xdr:cNvSpPr>
      </xdr:nvSpPr>
      <xdr:spPr bwMode="auto">
        <a:xfrm>
          <a:off x="14382750" y="338518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6" name="AutoShape 46">
          <a:extLst>
            <a:ext uri="{FF2B5EF4-FFF2-40B4-BE49-F238E27FC236}">
              <a16:creationId xmlns:a16="http://schemas.microsoft.com/office/drawing/2014/main" id="{76F7C199-236E-4162-BBB1-98FD9D5E5567}"/>
            </a:ext>
          </a:extLst>
        </xdr:cNvPr>
        <xdr:cNvSpPr>
          <a:spLocks noChangeArrowheads="1"/>
        </xdr:cNvSpPr>
      </xdr:nvSpPr>
      <xdr:spPr bwMode="auto">
        <a:xfrm>
          <a:off x="15944850" y="338518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7" name="AutoShape 46">
          <a:extLst>
            <a:ext uri="{FF2B5EF4-FFF2-40B4-BE49-F238E27FC236}">
              <a16:creationId xmlns:a16="http://schemas.microsoft.com/office/drawing/2014/main" id="{286557F6-8748-4C52-AAF1-21CA4164E3EB}"/>
            </a:ext>
          </a:extLst>
        </xdr:cNvPr>
        <xdr:cNvSpPr>
          <a:spLocks noChangeArrowheads="1"/>
        </xdr:cNvSpPr>
      </xdr:nvSpPr>
      <xdr:spPr bwMode="auto">
        <a:xfrm>
          <a:off x="17684750" y="338518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8" name="AutoShape 46">
          <a:extLst>
            <a:ext uri="{FF2B5EF4-FFF2-40B4-BE49-F238E27FC236}">
              <a16:creationId xmlns:a16="http://schemas.microsoft.com/office/drawing/2014/main" id="{B5E55236-84F3-4967-BCF3-3BF21AA605C6}"/>
            </a:ext>
          </a:extLst>
        </xdr:cNvPr>
        <xdr:cNvSpPr>
          <a:spLocks noChangeArrowheads="1"/>
        </xdr:cNvSpPr>
      </xdr:nvSpPr>
      <xdr:spPr bwMode="auto">
        <a:xfrm>
          <a:off x="19246850" y="338518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9" name="AutoShape 46">
          <a:extLst>
            <a:ext uri="{FF2B5EF4-FFF2-40B4-BE49-F238E27FC236}">
              <a16:creationId xmlns:a16="http://schemas.microsoft.com/office/drawing/2014/main" id="{E73578D7-189A-430A-BA00-806FE4C7D289}"/>
            </a:ext>
          </a:extLst>
        </xdr:cNvPr>
        <xdr:cNvSpPr>
          <a:spLocks noChangeArrowheads="1"/>
        </xdr:cNvSpPr>
      </xdr:nvSpPr>
      <xdr:spPr bwMode="auto">
        <a:xfrm>
          <a:off x="20999450" y="338518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0" name="AutoShape 46">
          <a:extLst>
            <a:ext uri="{FF2B5EF4-FFF2-40B4-BE49-F238E27FC236}">
              <a16:creationId xmlns:a16="http://schemas.microsoft.com/office/drawing/2014/main" id="{5AA85097-BCA7-4921-9E1E-0495BAE8DADD}"/>
            </a:ext>
          </a:extLst>
        </xdr:cNvPr>
        <xdr:cNvSpPr>
          <a:spLocks noChangeArrowheads="1"/>
        </xdr:cNvSpPr>
      </xdr:nvSpPr>
      <xdr:spPr bwMode="auto">
        <a:xfrm>
          <a:off x="22561550" y="338518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1DC97E3D-C487-4111-A664-0104071F3597}"/>
            </a:ext>
          </a:extLst>
        </xdr:cNvPr>
        <xdr:cNvSpPr>
          <a:spLocks noChangeArrowheads="1"/>
        </xdr:cNvSpPr>
      </xdr:nvSpPr>
      <xdr:spPr bwMode="auto">
        <a:xfrm>
          <a:off x="14382750" y="33851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6C919043-E2E6-4D9F-8662-27A607AB9E88}"/>
            </a:ext>
          </a:extLst>
        </xdr:cNvPr>
        <xdr:cNvSpPr>
          <a:spLocks noChangeArrowheads="1"/>
        </xdr:cNvSpPr>
      </xdr:nvSpPr>
      <xdr:spPr bwMode="auto">
        <a:xfrm>
          <a:off x="15944850" y="338518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4283A96D-F557-42A1-98E1-63D32DC4113C}"/>
            </a:ext>
          </a:extLst>
        </xdr:cNvPr>
        <xdr:cNvSpPr>
          <a:spLocks noChangeArrowheads="1"/>
        </xdr:cNvSpPr>
      </xdr:nvSpPr>
      <xdr:spPr bwMode="auto">
        <a:xfrm>
          <a:off x="17684750" y="33851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AD283BB-951A-4215-9C43-175D184A2968}"/>
            </a:ext>
          </a:extLst>
        </xdr:cNvPr>
        <xdr:cNvSpPr>
          <a:spLocks noChangeArrowheads="1"/>
        </xdr:cNvSpPr>
      </xdr:nvSpPr>
      <xdr:spPr bwMode="auto">
        <a:xfrm>
          <a:off x="19246850" y="338518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C0D497C7-0EC2-4479-9F80-A8E0D3B654E8}"/>
            </a:ext>
          </a:extLst>
        </xdr:cNvPr>
        <xdr:cNvSpPr>
          <a:spLocks noChangeArrowheads="1"/>
        </xdr:cNvSpPr>
      </xdr:nvSpPr>
      <xdr:spPr bwMode="auto">
        <a:xfrm>
          <a:off x="20999450" y="338518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2874DA22-2D75-45A0-8E78-9F1050C5851D}"/>
            </a:ext>
          </a:extLst>
        </xdr:cNvPr>
        <xdr:cNvSpPr>
          <a:spLocks noChangeArrowheads="1"/>
        </xdr:cNvSpPr>
      </xdr:nvSpPr>
      <xdr:spPr bwMode="auto">
        <a:xfrm>
          <a:off x="22561550" y="338518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7" name="AutoShape 46">
          <a:extLst>
            <a:ext uri="{FF2B5EF4-FFF2-40B4-BE49-F238E27FC236}">
              <a16:creationId xmlns:a16="http://schemas.microsoft.com/office/drawing/2014/main" id="{DED25329-FA79-4F15-8391-F14D28A493BC}"/>
            </a:ext>
          </a:extLst>
        </xdr:cNvPr>
        <xdr:cNvSpPr>
          <a:spLocks noChangeArrowheads="1"/>
        </xdr:cNvSpPr>
      </xdr:nvSpPr>
      <xdr:spPr bwMode="auto">
        <a:xfrm>
          <a:off x="128206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8" name="AutoShape 46">
          <a:extLst>
            <a:ext uri="{FF2B5EF4-FFF2-40B4-BE49-F238E27FC236}">
              <a16:creationId xmlns:a16="http://schemas.microsoft.com/office/drawing/2014/main" id="{7D45C103-B2E9-45FF-99AD-11E00B520108}"/>
            </a:ext>
          </a:extLst>
        </xdr:cNvPr>
        <xdr:cNvSpPr>
          <a:spLocks noChangeArrowheads="1"/>
        </xdr:cNvSpPr>
      </xdr:nvSpPr>
      <xdr:spPr bwMode="auto">
        <a:xfrm>
          <a:off x="143827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9" name="AutoShape 46">
          <a:extLst>
            <a:ext uri="{FF2B5EF4-FFF2-40B4-BE49-F238E27FC236}">
              <a16:creationId xmlns:a16="http://schemas.microsoft.com/office/drawing/2014/main" id="{E44DCAFF-4D78-4CE4-B955-4E091D1634D3}"/>
            </a:ext>
          </a:extLst>
        </xdr:cNvPr>
        <xdr:cNvSpPr>
          <a:spLocks noChangeArrowheads="1"/>
        </xdr:cNvSpPr>
      </xdr:nvSpPr>
      <xdr:spPr bwMode="auto">
        <a:xfrm>
          <a:off x="15944850" y="338518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90" name="AutoShape 46">
          <a:extLst>
            <a:ext uri="{FF2B5EF4-FFF2-40B4-BE49-F238E27FC236}">
              <a16:creationId xmlns:a16="http://schemas.microsoft.com/office/drawing/2014/main" id="{D6BBDFE7-6364-4550-A2E7-1151C0B607EA}"/>
            </a:ext>
          </a:extLst>
        </xdr:cNvPr>
        <xdr:cNvSpPr>
          <a:spLocks noChangeArrowheads="1"/>
        </xdr:cNvSpPr>
      </xdr:nvSpPr>
      <xdr:spPr bwMode="auto">
        <a:xfrm>
          <a:off x="176847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91" name="AutoShape 46">
          <a:extLst>
            <a:ext uri="{FF2B5EF4-FFF2-40B4-BE49-F238E27FC236}">
              <a16:creationId xmlns:a16="http://schemas.microsoft.com/office/drawing/2014/main" id="{D5D82F3A-2481-4942-AC0D-BE87388DBDA6}"/>
            </a:ext>
          </a:extLst>
        </xdr:cNvPr>
        <xdr:cNvSpPr>
          <a:spLocks noChangeArrowheads="1"/>
        </xdr:cNvSpPr>
      </xdr:nvSpPr>
      <xdr:spPr bwMode="auto">
        <a:xfrm>
          <a:off x="19246850" y="3385185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92" name="AutoShape 46">
          <a:extLst>
            <a:ext uri="{FF2B5EF4-FFF2-40B4-BE49-F238E27FC236}">
              <a16:creationId xmlns:a16="http://schemas.microsoft.com/office/drawing/2014/main" id="{E7D5EFD1-6D06-4194-9265-8799587A50D8}"/>
            </a:ext>
          </a:extLst>
        </xdr:cNvPr>
        <xdr:cNvSpPr>
          <a:spLocks noChangeArrowheads="1"/>
        </xdr:cNvSpPr>
      </xdr:nvSpPr>
      <xdr:spPr bwMode="auto">
        <a:xfrm>
          <a:off x="20999450" y="338518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93" name="AutoShape 46">
          <a:extLst>
            <a:ext uri="{FF2B5EF4-FFF2-40B4-BE49-F238E27FC236}">
              <a16:creationId xmlns:a16="http://schemas.microsoft.com/office/drawing/2014/main" id="{65A759F5-2C53-4C85-8CBE-8EBC25ABF841}"/>
            </a:ext>
          </a:extLst>
        </xdr:cNvPr>
        <xdr:cNvSpPr>
          <a:spLocks noChangeArrowheads="1"/>
        </xdr:cNvSpPr>
      </xdr:nvSpPr>
      <xdr:spPr bwMode="auto">
        <a:xfrm>
          <a:off x="22561550" y="3385185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94" name="AutoShape 46">
          <a:extLst>
            <a:ext uri="{FF2B5EF4-FFF2-40B4-BE49-F238E27FC236}">
              <a16:creationId xmlns:a16="http://schemas.microsoft.com/office/drawing/2014/main" id="{1A3A655D-1AE8-47B9-B279-4A227EE4D57B}"/>
            </a:ext>
          </a:extLst>
        </xdr:cNvPr>
        <xdr:cNvSpPr>
          <a:spLocks noChangeArrowheads="1"/>
        </xdr:cNvSpPr>
      </xdr:nvSpPr>
      <xdr:spPr bwMode="auto">
        <a:xfrm>
          <a:off x="1397000" y="371094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95" name="AutoShape 46">
          <a:extLst>
            <a:ext uri="{FF2B5EF4-FFF2-40B4-BE49-F238E27FC236}">
              <a16:creationId xmlns:a16="http://schemas.microsoft.com/office/drawing/2014/main" id="{7ABE95CA-881B-428A-BDF4-43C38BFA3A65}"/>
            </a:ext>
          </a:extLst>
        </xdr:cNvPr>
        <xdr:cNvSpPr>
          <a:spLocks noChangeArrowheads="1"/>
        </xdr:cNvSpPr>
      </xdr:nvSpPr>
      <xdr:spPr bwMode="auto">
        <a:xfrm>
          <a:off x="314960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96" name="AutoShape 46">
          <a:extLst>
            <a:ext uri="{FF2B5EF4-FFF2-40B4-BE49-F238E27FC236}">
              <a16:creationId xmlns:a16="http://schemas.microsoft.com/office/drawing/2014/main" id="{4768C3B5-758D-4D13-969E-29103597D369}"/>
            </a:ext>
          </a:extLst>
        </xdr:cNvPr>
        <xdr:cNvSpPr>
          <a:spLocks noChangeArrowheads="1"/>
        </xdr:cNvSpPr>
      </xdr:nvSpPr>
      <xdr:spPr bwMode="auto">
        <a:xfrm>
          <a:off x="471170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7" name="AutoShape 46">
          <a:extLst>
            <a:ext uri="{FF2B5EF4-FFF2-40B4-BE49-F238E27FC236}">
              <a16:creationId xmlns:a16="http://schemas.microsoft.com/office/drawing/2014/main" id="{08CEBA11-95DB-4BCF-B74D-0D1D0DECA9E0}"/>
            </a:ext>
          </a:extLst>
        </xdr:cNvPr>
        <xdr:cNvSpPr>
          <a:spLocks noChangeArrowheads="1"/>
        </xdr:cNvSpPr>
      </xdr:nvSpPr>
      <xdr:spPr bwMode="auto">
        <a:xfrm>
          <a:off x="6273800" y="371094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8" name="AutoShape 46">
          <a:extLst>
            <a:ext uri="{FF2B5EF4-FFF2-40B4-BE49-F238E27FC236}">
              <a16:creationId xmlns:a16="http://schemas.microsoft.com/office/drawing/2014/main" id="{547EF327-8BA1-43C4-8A9C-5D78B78C8CAE}"/>
            </a:ext>
          </a:extLst>
        </xdr:cNvPr>
        <xdr:cNvSpPr>
          <a:spLocks noChangeArrowheads="1"/>
        </xdr:cNvSpPr>
      </xdr:nvSpPr>
      <xdr:spPr bwMode="auto">
        <a:xfrm>
          <a:off x="7943850" y="371094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9" name="AutoShape 46">
          <a:extLst>
            <a:ext uri="{FF2B5EF4-FFF2-40B4-BE49-F238E27FC236}">
              <a16:creationId xmlns:a16="http://schemas.microsoft.com/office/drawing/2014/main" id="{358CC78E-6D26-4AD5-A77A-3039089C8DC6}"/>
            </a:ext>
          </a:extLst>
        </xdr:cNvPr>
        <xdr:cNvSpPr>
          <a:spLocks noChangeArrowheads="1"/>
        </xdr:cNvSpPr>
      </xdr:nvSpPr>
      <xdr:spPr bwMode="auto">
        <a:xfrm>
          <a:off x="1125855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1" name="AutoShape 46">
          <a:extLst>
            <a:ext uri="{FF2B5EF4-FFF2-40B4-BE49-F238E27FC236}">
              <a16:creationId xmlns:a16="http://schemas.microsoft.com/office/drawing/2014/main" id="{F90369E6-74CD-4E2F-9C7C-A8DF16C97556}"/>
            </a:ext>
          </a:extLst>
        </xdr:cNvPr>
        <xdr:cNvSpPr>
          <a:spLocks noChangeArrowheads="1"/>
        </xdr:cNvSpPr>
      </xdr:nvSpPr>
      <xdr:spPr bwMode="auto">
        <a:xfrm>
          <a:off x="14382750" y="37109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2" name="AutoShape 46">
          <a:extLst>
            <a:ext uri="{FF2B5EF4-FFF2-40B4-BE49-F238E27FC236}">
              <a16:creationId xmlns:a16="http://schemas.microsoft.com/office/drawing/2014/main" id="{D9CCDF8E-B05C-4BB8-8D3A-DDAAFCFD1110}"/>
            </a:ext>
          </a:extLst>
        </xdr:cNvPr>
        <xdr:cNvSpPr>
          <a:spLocks noChangeArrowheads="1"/>
        </xdr:cNvSpPr>
      </xdr:nvSpPr>
      <xdr:spPr bwMode="auto">
        <a:xfrm>
          <a:off x="15944850" y="371094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3" name="AutoShape 46">
          <a:extLst>
            <a:ext uri="{FF2B5EF4-FFF2-40B4-BE49-F238E27FC236}">
              <a16:creationId xmlns:a16="http://schemas.microsoft.com/office/drawing/2014/main" id="{24834D97-AB4A-4115-A092-EE43FA80B8E2}"/>
            </a:ext>
          </a:extLst>
        </xdr:cNvPr>
        <xdr:cNvSpPr>
          <a:spLocks noChangeArrowheads="1"/>
        </xdr:cNvSpPr>
      </xdr:nvSpPr>
      <xdr:spPr bwMode="auto">
        <a:xfrm>
          <a:off x="17684750" y="371094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4" name="AutoShape 46">
          <a:extLst>
            <a:ext uri="{FF2B5EF4-FFF2-40B4-BE49-F238E27FC236}">
              <a16:creationId xmlns:a16="http://schemas.microsoft.com/office/drawing/2014/main" id="{DD954288-90B5-4C00-A961-D3FA095D6049}"/>
            </a:ext>
          </a:extLst>
        </xdr:cNvPr>
        <xdr:cNvSpPr>
          <a:spLocks noChangeArrowheads="1"/>
        </xdr:cNvSpPr>
      </xdr:nvSpPr>
      <xdr:spPr bwMode="auto">
        <a:xfrm>
          <a:off x="19246850" y="371094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5" name="AutoShape 46">
          <a:extLst>
            <a:ext uri="{FF2B5EF4-FFF2-40B4-BE49-F238E27FC236}">
              <a16:creationId xmlns:a16="http://schemas.microsoft.com/office/drawing/2014/main" id="{DCD14473-9188-45A3-BD39-178D616586B3}"/>
            </a:ext>
          </a:extLst>
        </xdr:cNvPr>
        <xdr:cNvSpPr>
          <a:spLocks noChangeArrowheads="1"/>
        </xdr:cNvSpPr>
      </xdr:nvSpPr>
      <xdr:spPr bwMode="auto">
        <a:xfrm>
          <a:off x="20999450" y="371094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6" name="AutoShape 46">
          <a:extLst>
            <a:ext uri="{FF2B5EF4-FFF2-40B4-BE49-F238E27FC236}">
              <a16:creationId xmlns:a16="http://schemas.microsoft.com/office/drawing/2014/main" id="{87169B78-8ACA-4D75-9E99-3A94B9935E7D}"/>
            </a:ext>
          </a:extLst>
        </xdr:cNvPr>
        <xdr:cNvSpPr>
          <a:spLocks noChangeArrowheads="1"/>
        </xdr:cNvSpPr>
      </xdr:nvSpPr>
      <xdr:spPr bwMode="auto">
        <a:xfrm>
          <a:off x="22561550" y="371094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7" name="AutoShape 46">
          <a:extLst>
            <a:ext uri="{FF2B5EF4-FFF2-40B4-BE49-F238E27FC236}">
              <a16:creationId xmlns:a16="http://schemas.microsoft.com/office/drawing/2014/main" id="{BF2B17B4-0CF1-457B-A37B-F29966399616}"/>
            </a:ext>
          </a:extLst>
        </xdr:cNvPr>
        <xdr:cNvSpPr>
          <a:spLocks noChangeArrowheads="1"/>
        </xdr:cNvSpPr>
      </xdr:nvSpPr>
      <xdr:spPr bwMode="auto">
        <a:xfrm>
          <a:off x="24218900" y="371094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8" name="AutoShape 46">
          <a:extLst>
            <a:ext uri="{FF2B5EF4-FFF2-40B4-BE49-F238E27FC236}">
              <a16:creationId xmlns:a16="http://schemas.microsoft.com/office/drawing/2014/main" id="{43A036DC-E19E-45A9-8C7B-9A262F39D6CA}"/>
            </a:ext>
          </a:extLst>
        </xdr:cNvPr>
        <xdr:cNvSpPr>
          <a:spLocks noChangeArrowheads="1"/>
        </xdr:cNvSpPr>
      </xdr:nvSpPr>
      <xdr:spPr bwMode="auto">
        <a:xfrm>
          <a:off x="15944850" y="371094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9" name="AutoShape 46">
          <a:extLst>
            <a:ext uri="{FF2B5EF4-FFF2-40B4-BE49-F238E27FC236}">
              <a16:creationId xmlns:a16="http://schemas.microsoft.com/office/drawing/2014/main" id="{693A973A-281B-4114-A28C-846CABCC4976}"/>
            </a:ext>
          </a:extLst>
        </xdr:cNvPr>
        <xdr:cNvSpPr>
          <a:spLocks noChangeArrowheads="1"/>
        </xdr:cNvSpPr>
      </xdr:nvSpPr>
      <xdr:spPr bwMode="auto">
        <a:xfrm>
          <a:off x="17684750" y="37109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10" name="AutoShape 46">
          <a:extLst>
            <a:ext uri="{FF2B5EF4-FFF2-40B4-BE49-F238E27FC236}">
              <a16:creationId xmlns:a16="http://schemas.microsoft.com/office/drawing/2014/main" id="{7D85949F-5D51-407D-A6B7-E210D4AC2056}"/>
            </a:ext>
          </a:extLst>
        </xdr:cNvPr>
        <xdr:cNvSpPr>
          <a:spLocks noChangeArrowheads="1"/>
        </xdr:cNvSpPr>
      </xdr:nvSpPr>
      <xdr:spPr bwMode="auto">
        <a:xfrm>
          <a:off x="19246850" y="371094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1" name="AutoShape 46">
          <a:extLst>
            <a:ext uri="{FF2B5EF4-FFF2-40B4-BE49-F238E27FC236}">
              <a16:creationId xmlns:a16="http://schemas.microsoft.com/office/drawing/2014/main" id="{6A48CA70-A54B-4B00-BCE6-E1D05D3C78E3}"/>
            </a:ext>
          </a:extLst>
        </xdr:cNvPr>
        <xdr:cNvSpPr>
          <a:spLocks noChangeArrowheads="1"/>
        </xdr:cNvSpPr>
      </xdr:nvSpPr>
      <xdr:spPr bwMode="auto">
        <a:xfrm>
          <a:off x="20999450" y="37109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2" name="AutoShape 46">
          <a:extLst>
            <a:ext uri="{FF2B5EF4-FFF2-40B4-BE49-F238E27FC236}">
              <a16:creationId xmlns:a16="http://schemas.microsoft.com/office/drawing/2014/main" id="{DD053864-DC85-4EF5-B78B-9E62B39F17B8}"/>
            </a:ext>
          </a:extLst>
        </xdr:cNvPr>
        <xdr:cNvSpPr>
          <a:spLocks noChangeArrowheads="1"/>
        </xdr:cNvSpPr>
      </xdr:nvSpPr>
      <xdr:spPr bwMode="auto">
        <a:xfrm>
          <a:off x="22561550" y="371094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3" name="AutoShape 46">
          <a:extLst>
            <a:ext uri="{FF2B5EF4-FFF2-40B4-BE49-F238E27FC236}">
              <a16:creationId xmlns:a16="http://schemas.microsoft.com/office/drawing/2014/main" id="{9E9F4768-5201-4DCE-BA6C-7E3E1EAAF516}"/>
            </a:ext>
          </a:extLst>
        </xdr:cNvPr>
        <xdr:cNvSpPr>
          <a:spLocks noChangeArrowheads="1"/>
        </xdr:cNvSpPr>
      </xdr:nvSpPr>
      <xdr:spPr bwMode="auto">
        <a:xfrm>
          <a:off x="24218900" y="371094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14" name="AutoShape 46">
          <a:extLst>
            <a:ext uri="{FF2B5EF4-FFF2-40B4-BE49-F238E27FC236}">
              <a16:creationId xmlns:a16="http://schemas.microsoft.com/office/drawing/2014/main" id="{1FC2E615-06B1-4196-95EB-6114A32AE4D9}"/>
            </a:ext>
          </a:extLst>
        </xdr:cNvPr>
        <xdr:cNvSpPr>
          <a:spLocks noChangeArrowheads="1"/>
        </xdr:cNvSpPr>
      </xdr:nvSpPr>
      <xdr:spPr bwMode="auto">
        <a:xfrm>
          <a:off x="1438275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15" name="AutoShape 46">
          <a:extLst>
            <a:ext uri="{FF2B5EF4-FFF2-40B4-BE49-F238E27FC236}">
              <a16:creationId xmlns:a16="http://schemas.microsoft.com/office/drawing/2014/main" id="{4CCC8F91-D629-47DA-93D0-4C2ECF69F0AA}"/>
            </a:ext>
          </a:extLst>
        </xdr:cNvPr>
        <xdr:cNvSpPr>
          <a:spLocks noChangeArrowheads="1"/>
        </xdr:cNvSpPr>
      </xdr:nvSpPr>
      <xdr:spPr bwMode="auto">
        <a:xfrm>
          <a:off x="15944850" y="371094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16" name="AutoShape 46">
          <a:extLst>
            <a:ext uri="{FF2B5EF4-FFF2-40B4-BE49-F238E27FC236}">
              <a16:creationId xmlns:a16="http://schemas.microsoft.com/office/drawing/2014/main" id="{D59D2841-69FD-4185-B7C0-6182F8EC8143}"/>
            </a:ext>
          </a:extLst>
        </xdr:cNvPr>
        <xdr:cNvSpPr>
          <a:spLocks noChangeArrowheads="1"/>
        </xdr:cNvSpPr>
      </xdr:nvSpPr>
      <xdr:spPr bwMode="auto">
        <a:xfrm>
          <a:off x="1768475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17" name="AutoShape 46">
          <a:extLst>
            <a:ext uri="{FF2B5EF4-FFF2-40B4-BE49-F238E27FC236}">
              <a16:creationId xmlns:a16="http://schemas.microsoft.com/office/drawing/2014/main" id="{4B1AECE6-01D8-4B92-8238-2D54BCC67551}"/>
            </a:ext>
          </a:extLst>
        </xdr:cNvPr>
        <xdr:cNvSpPr>
          <a:spLocks noChangeArrowheads="1"/>
        </xdr:cNvSpPr>
      </xdr:nvSpPr>
      <xdr:spPr bwMode="auto">
        <a:xfrm>
          <a:off x="19246850" y="371094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8" name="AutoShape 46">
          <a:extLst>
            <a:ext uri="{FF2B5EF4-FFF2-40B4-BE49-F238E27FC236}">
              <a16:creationId xmlns:a16="http://schemas.microsoft.com/office/drawing/2014/main" id="{19665AE7-4655-4972-9738-BF7DC617B560}"/>
            </a:ext>
          </a:extLst>
        </xdr:cNvPr>
        <xdr:cNvSpPr>
          <a:spLocks noChangeArrowheads="1"/>
        </xdr:cNvSpPr>
      </xdr:nvSpPr>
      <xdr:spPr bwMode="auto">
        <a:xfrm>
          <a:off x="2099945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9" name="AutoShape 46">
          <a:extLst>
            <a:ext uri="{FF2B5EF4-FFF2-40B4-BE49-F238E27FC236}">
              <a16:creationId xmlns:a16="http://schemas.microsoft.com/office/drawing/2014/main" id="{7A13D143-2421-4141-A16A-17E53823EFE8}"/>
            </a:ext>
          </a:extLst>
        </xdr:cNvPr>
        <xdr:cNvSpPr>
          <a:spLocks noChangeArrowheads="1"/>
        </xdr:cNvSpPr>
      </xdr:nvSpPr>
      <xdr:spPr bwMode="auto">
        <a:xfrm>
          <a:off x="22561550" y="371094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20" name="AutoShape 46">
          <a:extLst>
            <a:ext uri="{FF2B5EF4-FFF2-40B4-BE49-F238E27FC236}">
              <a16:creationId xmlns:a16="http://schemas.microsoft.com/office/drawing/2014/main" id="{8D6C270D-5374-46C3-8612-55936CEFCB90}"/>
            </a:ext>
          </a:extLst>
        </xdr:cNvPr>
        <xdr:cNvSpPr>
          <a:spLocks noChangeArrowheads="1"/>
        </xdr:cNvSpPr>
      </xdr:nvSpPr>
      <xdr:spPr bwMode="auto">
        <a:xfrm>
          <a:off x="24218900" y="371094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21" name="AutoShape 46">
          <a:extLst>
            <a:ext uri="{FF2B5EF4-FFF2-40B4-BE49-F238E27FC236}">
              <a16:creationId xmlns:a16="http://schemas.microsoft.com/office/drawing/2014/main" id="{56B257ED-AEC8-4259-8D1D-D15FB0FF062F}"/>
            </a:ext>
          </a:extLst>
        </xdr:cNvPr>
        <xdr:cNvSpPr>
          <a:spLocks noChangeArrowheads="1"/>
        </xdr:cNvSpPr>
      </xdr:nvSpPr>
      <xdr:spPr bwMode="auto">
        <a:xfrm>
          <a:off x="1397000" y="4060825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22" name="AutoShape 46">
          <a:extLst>
            <a:ext uri="{FF2B5EF4-FFF2-40B4-BE49-F238E27FC236}">
              <a16:creationId xmlns:a16="http://schemas.microsoft.com/office/drawing/2014/main" id="{87A70550-62E9-47B6-8D02-79C219B77C6D}"/>
            </a:ext>
          </a:extLst>
        </xdr:cNvPr>
        <xdr:cNvSpPr>
          <a:spLocks noChangeArrowheads="1"/>
        </xdr:cNvSpPr>
      </xdr:nvSpPr>
      <xdr:spPr bwMode="auto">
        <a:xfrm>
          <a:off x="3149600" y="406082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24" name="AutoShape 46">
          <a:extLst>
            <a:ext uri="{FF2B5EF4-FFF2-40B4-BE49-F238E27FC236}">
              <a16:creationId xmlns:a16="http://schemas.microsoft.com/office/drawing/2014/main" id="{9F492E1B-3925-4C77-BB2F-948DC4CFFEDB}"/>
            </a:ext>
          </a:extLst>
        </xdr:cNvPr>
        <xdr:cNvSpPr>
          <a:spLocks noChangeArrowheads="1"/>
        </xdr:cNvSpPr>
      </xdr:nvSpPr>
      <xdr:spPr bwMode="auto">
        <a:xfrm>
          <a:off x="6273800" y="406082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27" name="AutoShape 46">
          <a:extLst>
            <a:ext uri="{FF2B5EF4-FFF2-40B4-BE49-F238E27FC236}">
              <a16:creationId xmlns:a16="http://schemas.microsoft.com/office/drawing/2014/main" id="{FA061D8E-0AAF-471C-B873-8A68D34D4762}"/>
            </a:ext>
          </a:extLst>
        </xdr:cNvPr>
        <xdr:cNvSpPr>
          <a:spLocks noChangeArrowheads="1"/>
        </xdr:cNvSpPr>
      </xdr:nvSpPr>
      <xdr:spPr bwMode="auto">
        <a:xfrm>
          <a:off x="11258550" y="406082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28" name="AutoShape 46">
          <a:extLst>
            <a:ext uri="{FF2B5EF4-FFF2-40B4-BE49-F238E27FC236}">
              <a16:creationId xmlns:a16="http://schemas.microsoft.com/office/drawing/2014/main" id="{57A24FDE-93B6-4708-871C-54135B938D74}"/>
            </a:ext>
          </a:extLst>
        </xdr:cNvPr>
        <xdr:cNvSpPr>
          <a:spLocks noChangeArrowheads="1"/>
        </xdr:cNvSpPr>
      </xdr:nvSpPr>
      <xdr:spPr bwMode="auto">
        <a:xfrm>
          <a:off x="12820650" y="406082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9" name="AutoShape 46">
          <a:extLst>
            <a:ext uri="{FF2B5EF4-FFF2-40B4-BE49-F238E27FC236}">
              <a16:creationId xmlns:a16="http://schemas.microsoft.com/office/drawing/2014/main" id="{21A2CA31-A067-468E-B01B-C066977A34D6}"/>
            </a:ext>
          </a:extLst>
        </xdr:cNvPr>
        <xdr:cNvSpPr>
          <a:spLocks noChangeArrowheads="1"/>
        </xdr:cNvSpPr>
      </xdr:nvSpPr>
      <xdr:spPr bwMode="auto">
        <a:xfrm>
          <a:off x="14382750" y="406082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0" name="AutoShape 46">
          <a:extLst>
            <a:ext uri="{FF2B5EF4-FFF2-40B4-BE49-F238E27FC236}">
              <a16:creationId xmlns:a16="http://schemas.microsoft.com/office/drawing/2014/main" id="{5390E165-B1B1-468C-91CB-A893FCCA7E68}"/>
            </a:ext>
          </a:extLst>
        </xdr:cNvPr>
        <xdr:cNvSpPr>
          <a:spLocks noChangeArrowheads="1"/>
        </xdr:cNvSpPr>
      </xdr:nvSpPr>
      <xdr:spPr bwMode="auto">
        <a:xfrm>
          <a:off x="15944850" y="406082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1" name="AutoShape 46">
          <a:extLst>
            <a:ext uri="{FF2B5EF4-FFF2-40B4-BE49-F238E27FC236}">
              <a16:creationId xmlns:a16="http://schemas.microsoft.com/office/drawing/2014/main" id="{ECE6C863-3ADE-4BAF-8D0B-D48C72702572}"/>
            </a:ext>
          </a:extLst>
        </xdr:cNvPr>
        <xdr:cNvSpPr>
          <a:spLocks noChangeArrowheads="1"/>
        </xdr:cNvSpPr>
      </xdr:nvSpPr>
      <xdr:spPr bwMode="auto">
        <a:xfrm>
          <a:off x="17684750" y="406082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2" name="AutoShape 46">
          <a:extLst>
            <a:ext uri="{FF2B5EF4-FFF2-40B4-BE49-F238E27FC236}">
              <a16:creationId xmlns:a16="http://schemas.microsoft.com/office/drawing/2014/main" id="{4866BDB7-247F-4D77-A3C7-D0E5873636A9}"/>
            </a:ext>
          </a:extLst>
        </xdr:cNvPr>
        <xdr:cNvSpPr>
          <a:spLocks noChangeArrowheads="1"/>
        </xdr:cNvSpPr>
      </xdr:nvSpPr>
      <xdr:spPr bwMode="auto">
        <a:xfrm>
          <a:off x="19246850" y="406082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3" name="AutoShape 46">
          <a:extLst>
            <a:ext uri="{FF2B5EF4-FFF2-40B4-BE49-F238E27FC236}">
              <a16:creationId xmlns:a16="http://schemas.microsoft.com/office/drawing/2014/main" id="{D15A1AB6-2ADC-4714-B90A-B5B8E1EF5A44}"/>
            </a:ext>
          </a:extLst>
        </xdr:cNvPr>
        <xdr:cNvSpPr>
          <a:spLocks noChangeArrowheads="1"/>
        </xdr:cNvSpPr>
      </xdr:nvSpPr>
      <xdr:spPr bwMode="auto">
        <a:xfrm>
          <a:off x="20999450" y="406082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4" name="AutoShape 46">
          <a:extLst>
            <a:ext uri="{FF2B5EF4-FFF2-40B4-BE49-F238E27FC236}">
              <a16:creationId xmlns:a16="http://schemas.microsoft.com/office/drawing/2014/main" id="{9AA3FCE8-9E68-457A-872D-8523E4937D81}"/>
            </a:ext>
          </a:extLst>
        </xdr:cNvPr>
        <xdr:cNvSpPr>
          <a:spLocks noChangeArrowheads="1"/>
        </xdr:cNvSpPr>
      </xdr:nvSpPr>
      <xdr:spPr bwMode="auto">
        <a:xfrm>
          <a:off x="22561550" y="406082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5" name="AutoShape 46">
          <a:extLst>
            <a:ext uri="{FF2B5EF4-FFF2-40B4-BE49-F238E27FC236}">
              <a16:creationId xmlns:a16="http://schemas.microsoft.com/office/drawing/2014/main" id="{4682C1D0-FE92-41A9-B045-E17B47A54CA5}"/>
            </a:ext>
          </a:extLst>
        </xdr:cNvPr>
        <xdr:cNvSpPr>
          <a:spLocks noChangeArrowheads="1"/>
        </xdr:cNvSpPr>
      </xdr:nvSpPr>
      <xdr:spPr bwMode="auto">
        <a:xfrm>
          <a:off x="14382750" y="406082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6" name="AutoShape 46">
          <a:extLst>
            <a:ext uri="{FF2B5EF4-FFF2-40B4-BE49-F238E27FC236}">
              <a16:creationId xmlns:a16="http://schemas.microsoft.com/office/drawing/2014/main" id="{C233AC68-03B2-4704-8542-D5D744C4287D}"/>
            </a:ext>
          </a:extLst>
        </xdr:cNvPr>
        <xdr:cNvSpPr>
          <a:spLocks noChangeArrowheads="1"/>
        </xdr:cNvSpPr>
      </xdr:nvSpPr>
      <xdr:spPr bwMode="auto">
        <a:xfrm>
          <a:off x="15944850" y="406082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7" name="AutoShape 46">
          <a:extLst>
            <a:ext uri="{FF2B5EF4-FFF2-40B4-BE49-F238E27FC236}">
              <a16:creationId xmlns:a16="http://schemas.microsoft.com/office/drawing/2014/main" id="{9ADDCF3A-DA6B-4DDD-9123-2518337C0FE1}"/>
            </a:ext>
          </a:extLst>
        </xdr:cNvPr>
        <xdr:cNvSpPr>
          <a:spLocks noChangeArrowheads="1"/>
        </xdr:cNvSpPr>
      </xdr:nvSpPr>
      <xdr:spPr bwMode="auto">
        <a:xfrm>
          <a:off x="17684750" y="406082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8" name="AutoShape 46">
          <a:extLst>
            <a:ext uri="{FF2B5EF4-FFF2-40B4-BE49-F238E27FC236}">
              <a16:creationId xmlns:a16="http://schemas.microsoft.com/office/drawing/2014/main" id="{D6DA5107-FBFB-468F-BC60-C261018EC718}"/>
            </a:ext>
          </a:extLst>
        </xdr:cNvPr>
        <xdr:cNvSpPr>
          <a:spLocks noChangeArrowheads="1"/>
        </xdr:cNvSpPr>
      </xdr:nvSpPr>
      <xdr:spPr bwMode="auto">
        <a:xfrm>
          <a:off x="19246850" y="406082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9" name="AutoShape 46">
          <a:extLst>
            <a:ext uri="{FF2B5EF4-FFF2-40B4-BE49-F238E27FC236}">
              <a16:creationId xmlns:a16="http://schemas.microsoft.com/office/drawing/2014/main" id="{D406A082-579A-4D3C-95E0-0B9653968914}"/>
            </a:ext>
          </a:extLst>
        </xdr:cNvPr>
        <xdr:cNvSpPr>
          <a:spLocks noChangeArrowheads="1"/>
        </xdr:cNvSpPr>
      </xdr:nvSpPr>
      <xdr:spPr bwMode="auto">
        <a:xfrm>
          <a:off x="20999450" y="406082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40" name="AutoShape 46">
          <a:extLst>
            <a:ext uri="{FF2B5EF4-FFF2-40B4-BE49-F238E27FC236}">
              <a16:creationId xmlns:a16="http://schemas.microsoft.com/office/drawing/2014/main" id="{AC229198-0578-45E9-B333-AB9275C2BEA0}"/>
            </a:ext>
          </a:extLst>
        </xdr:cNvPr>
        <xdr:cNvSpPr>
          <a:spLocks noChangeArrowheads="1"/>
        </xdr:cNvSpPr>
      </xdr:nvSpPr>
      <xdr:spPr bwMode="auto">
        <a:xfrm>
          <a:off x="22561550" y="406082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41" name="AutoShape 46">
          <a:extLst>
            <a:ext uri="{FF2B5EF4-FFF2-40B4-BE49-F238E27FC236}">
              <a16:creationId xmlns:a16="http://schemas.microsoft.com/office/drawing/2014/main" id="{48D27F82-B7F7-432B-8AC4-C1C1A4E4B392}"/>
            </a:ext>
          </a:extLst>
        </xdr:cNvPr>
        <xdr:cNvSpPr>
          <a:spLocks noChangeArrowheads="1"/>
        </xdr:cNvSpPr>
      </xdr:nvSpPr>
      <xdr:spPr bwMode="auto">
        <a:xfrm>
          <a:off x="12820650" y="406082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42" name="AutoShape 46">
          <a:extLst>
            <a:ext uri="{FF2B5EF4-FFF2-40B4-BE49-F238E27FC236}">
              <a16:creationId xmlns:a16="http://schemas.microsoft.com/office/drawing/2014/main" id="{C1B8A0F1-97E1-438E-8B41-11153B31943C}"/>
            </a:ext>
          </a:extLst>
        </xdr:cNvPr>
        <xdr:cNvSpPr>
          <a:spLocks noChangeArrowheads="1"/>
        </xdr:cNvSpPr>
      </xdr:nvSpPr>
      <xdr:spPr bwMode="auto">
        <a:xfrm>
          <a:off x="14382750" y="406082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43" name="AutoShape 46">
          <a:extLst>
            <a:ext uri="{FF2B5EF4-FFF2-40B4-BE49-F238E27FC236}">
              <a16:creationId xmlns:a16="http://schemas.microsoft.com/office/drawing/2014/main" id="{DEEC15DE-D619-4435-8DF2-BE671A8A42FA}"/>
            </a:ext>
          </a:extLst>
        </xdr:cNvPr>
        <xdr:cNvSpPr>
          <a:spLocks noChangeArrowheads="1"/>
        </xdr:cNvSpPr>
      </xdr:nvSpPr>
      <xdr:spPr bwMode="auto">
        <a:xfrm>
          <a:off x="15944850" y="406082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44" name="AutoShape 46">
          <a:extLst>
            <a:ext uri="{FF2B5EF4-FFF2-40B4-BE49-F238E27FC236}">
              <a16:creationId xmlns:a16="http://schemas.microsoft.com/office/drawing/2014/main" id="{C642671D-A9DC-4734-9618-C2F3C203BE75}"/>
            </a:ext>
          </a:extLst>
        </xdr:cNvPr>
        <xdr:cNvSpPr>
          <a:spLocks noChangeArrowheads="1"/>
        </xdr:cNvSpPr>
      </xdr:nvSpPr>
      <xdr:spPr bwMode="auto">
        <a:xfrm>
          <a:off x="17684750" y="406082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45" name="AutoShape 46">
          <a:extLst>
            <a:ext uri="{FF2B5EF4-FFF2-40B4-BE49-F238E27FC236}">
              <a16:creationId xmlns:a16="http://schemas.microsoft.com/office/drawing/2014/main" id="{763B91B6-D27B-4771-B922-BD037C87E486}"/>
            </a:ext>
          </a:extLst>
        </xdr:cNvPr>
        <xdr:cNvSpPr>
          <a:spLocks noChangeArrowheads="1"/>
        </xdr:cNvSpPr>
      </xdr:nvSpPr>
      <xdr:spPr bwMode="auto">
        <a:xfrm>
          <a:off x="19246850" y="406082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46" name="AutoShape 46">
          <a:extLst>
            <a:ext uri="{FF2B5EF4-FFF2-40B4-BE49-F238E27FC236}">
              <a16:creationId xmlns:a16="http://schemas.microsoft.com/office/drawing/2014/main" id="{D0017B60-84F4-4991-94D1-E01CF6346B02}"/>
            </a:ext>
          </a:extLst>
        </xdr:cNvPr>
        <xdr:cNvSpPr>
          <a:spLocks noChangeArrowheads="1"/>
        </xdr:cNvSpPr>
      </xdr:nvSpPr>
      <xdr:spPr bwMode="auto">
        <a:xfrm>
          <a:off x="20999450" y="406082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47" name="AutoShape 46">
          <a:extLst>
            <a:ext uri="{FF2B5EF4-FFF2-40B4-BE49-F238E27FC236}">
              <a16:creationId xmlns:a16="http://schemas.microsoft.com/office/drawing/2014/main" id="{FE63C068-B104-4957-B490-73E140C16F9D}"/>
            </a:ext>
          </a:extLst>
        </xdr:cNvPr>
        <xdr:cNvSpPr>
          <a:spLocks noChangeArrowheads="1"/>
        </xdr:cNvSpPr>
      </xdr:nvSpPr>
      <xdr:spPr bwMode="auto">
        <a:xfrm>
          <a:off x="22561550" y="4060825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48" name="AutoShape 46">
          <a:extLst>
            <a:ext uri="{FF2B5EF4-FFF2-40B4-BE49-F238E27FC236}">
              <a16:creationId xmlns:a16="http://schemas.microsoft.com/office/drawing/2014/main" id="{6F9D1998-3648-4ABE-BE8F-EE0E8315F6F4}"/>
            </a:ext>
          </a:extLst>
        </xdr:cNvPr>
        <xdr:cNvSpPr>
          <a:spLocks noChangeArrowheads="1"/>
        </xdr:cNvSpPr>
      </xdr:nvSpPr>
      <xdr:spPr bwMode="auto">
        <a:xfrm>
          <a:off x="1397000" y="44361100"/>
          <a:ext cx="9715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49" name="AutoShape 46">
          <a:extLst>
            <a:ext uri="{FF2B5EF4-FFF2-40B4-BE49-F238E27FC236}">
              <a16:creationId xmlns:a16="http://schemas.microsoft.com/office/drawing/2014/main" id="{C22B5F81-267C-49AC-B3A6-A261CC1FBDA1}"/>
            </a:ext>
          </a:extLst>
        </xdr:cNvPr>
        <xdr:cNvSpPr>
          <a:spLocks noChangeArrowheads="1"/>
        </xdr:cNvSpPr>
      </xdr:nvSpPr>
      <xdr:spPr bwMode="auto">
        <a:xfrm>
          <a:off x="3149600" y="443611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50" name="AutoShape 46">
          <a:extLst>
            <a:ext uri="{FF2B5EF4-FFF2-40B4-BE49-F238E27FC236}">
              <a16:creationId xmlns:a16="http://schemas.microsoft.com/office/drawing/2014/main" id="{1C842176-7DB1-419C-A219-14115FE16C9B}"/>
            </a:ext>
          </a:extLst>
        </xdr:cNvPr>
        <xdr:cNvSpPr>
          <a:spLocks noChangeArrowheads="1"/>
        </xdr:cNvSpPr>
      </xdr:nvSpPr>
      <xdr:spPr bwMode="auto">
        <a:xfrm>
          <a:off x="471170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51" name="AutoShape 46">
          <a:extLst>
            <a:ext uri="{FF2B5EF4-FFF2-40B4-BE49-F238E27FC236}">
              <a16:creationId xmlns:a16="http://schemas.microsoft.com/office/drawing/2014/main" id="{EA81DF31-00F3-4755-8ACD-334598DFF9BE}"/>
            </a:ext>
          </a:extLst>
        </xdr:cNvPr>
        <xdr:cNvSpPr>
          <a:spLocks noChangeArrowheads="1"/>
        </xdr:cNvSpPr>
      </xdr:nvSpPr>
      <xdr:spPr bwMode="auto">
        <a:xfrm>
          <a:off x="6273800" y="44361100"/>
          <a:ext cx="8890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52" name="AutoShape 46">
          <a:extLst>
            <a:ext uri="{FF2B5EF4-FFF2-40B4-BE49-F238E27FC236}">
              <a16:creationId xmlns:a16="http://schemas.microsoft.com/office/drawing/2014/main" id="{A14D6E2E-D781-44C5-9D40-BA55D6C11AFF}"/>
            </a:ext>
          </a:extLst>
        </xdr:cNvPr>
        <xdr:cNvSpPr>
          <a:spLocks noChangeArrowheads="1"/>
        </xdr:cNvSpPr>
      </xdr:nvSpPr>
      <xdr:spPr bwMode="auto">
        <a:xfrm>
          <a:off x="7943850" y="44361100"/>
          <a:ext cx="9715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53" name="AutoShape 46">
          <a:extLst>
            <a:ext uri="{FF2B5EF4-FFF2-40B4-BE49-F238E27FC236}">
              <a16:creationId xmlns:a16="http://schemas.microsoft.com/office/drawing/2014/main" id="{7A22F99A-C9DC-4C46-8C15-9FE13D1D1C3D}"/>
            </a:ext>
          </a:extLst>
        </xdr:cNvPr>
        <xdr:cNvSpPr>
          <a:spLocks noChangeArrowheads="1"/>
        </xdr:cNvSpPr>
      </xdr:nvSpPr>
      <xdr:spPr bwMode="auto">
        <a:xfrm>
          <a:off x="969645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54" name="AutoShape 46">
          <a:extLst>
            <a:ext uri="{FF2B5EF4-FFF2-40B4-BE49-F238E27FC236}">
              <a16:creationId xmlns:a16="http://schemas.microsoft.com/office/drawing/2014/main" id="{7675BEB5-E1CB-4C28-9A17-0AFB873A7568}"/>
            </a:ext>
          </a:extLst>
        </xdr:cNvPr>
        <xdr:cNvSpPr>
          <a:spLocks noChangeArrowheads="1"/>
        </xdr:cNvSpPr>
      </xdr:nvSpPr>
      <xdr:spPr bwMode="auto">
        <a:xfrm>
          <a:off x="1125855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5" name="AutoShape 46">
          <a:extLst>
            <a:ext uri="{FF2B5EF4-FFF2-40B4-BE49-F238E27FC236}">
              <a16:creationId xmlns:a16="http://schemas.microsoft.com/office/drawing/2014/main" id="{0A62D253-9101-4DB6-A946-0FCA53B938AC}"/>
            </a:ext>
          </a:extLst>
        </xdr:cNvPr>
        <xdr:cNvSpPr>
          <a:spLocks noChangeArrowheads="1"/>
        </xdr:cNvSpPr>
      </xdr:nvSpPr>
      <xdr:spPr bwMode="auto">
        <a:xfrm>
          <a:off x="12820650" y="44361100"/>
          <a:ext cx="7810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6" name="AutoShape 46">
          <a:extLst>
            <a:ext uri="{FF2B5EF4-FFF2-40B4-BE49-F238E27FC236}">
              <a16:creationId xmlns:a16="http://schemas.microsoft.com/office/drawing/2014/main" id="{D81AA072-C705-41AB-B049-61698BFCF674}"/>
            </a:ext>
          </a:extLst>
        </xdr:cNvPr>
        <xdr:cNvSpPr>
          <a:spLocks noChangeArrowheads="1"/>
        </xdr:cNvSpPr>
      </xdr:nvSpPr>
      <xdr:spPr bwMode="auto">
        <a:xfrm>
          <a:off x="14382750" y="443611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7" name="AutoShape 46">
          <a:extLst>
            <a:ext uri="{FF2B5EF4-FFF2-40B4-BE49-F238E27FC236}">
              <a16:creationId xmlns:a16="http://schemas.microsoft.com/office/drawing/2014/main" id="{5B7A3A62-B323-43EB-A434-3176E0704C0F}"/>
            </a:ext>
          </a:extLst>
        </xdr:cNvPr>
        <xdr:cNvSpPr>
          <a:spLocks noChangeArrowheads="1"/>
        </xdr:cNvSpPr>
      </xdr:nvSpPr>
      <xdr:spPr bwMode="auto">
        <a:xfrm>
          <a:off x="15944850" y="44361100"/>
          <a:ext cx="9588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8" name="AutoShape 46">
          <a:extLst>
            <a:ext uri="{FF2B5EF4-FFF2-40B4-BE49-F238E27FC236}">
              <a16:creationId xmlns:a16="http://schemas.microsoft.com/office/drawing/2014/main" id="{CEB2F411-51D9-4862-9588-12A8B51ECE32}"/>
            </a:ext>
          </a:extLst>
        </xdr:cNvPr>
        <xdr:cNvSpPr>
          <a:spLocks noChangeArrowheads="1"/>
        </xdr:cNvSpPr>
      </xdr:nvSpPr>
      <xdr:spPr bwMode="auto">
        <a:xfrm>
          <a:off x="17684750" y="443611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9" name="AutoShape 46">
          <a:extLst>
            <a:ext uri="{FF2B5EF4-FFF2-40B4-BE49-F238E27FC236}">
              <a16:creationId xmlns:a16="http://schemas.microsoft.com/office/drawing/2014/main" id="{BFD01D80-07DC-40C6-BCBB-64C9237D2785}"/>
            </a:ext>
          </a:extLst>
        </xdr:cNvPr>
        <xdr:cNvSpPr>
          <a:spLocks noChangeArrowheads="1"/>
        </xdr:cNvSpPr>
      </xdr:nvSpPr>
      <xdr:spPr bwMode="auto">
        <a:xfrm>
          <a:off x="19246850" y="44361100"/>
          <a:ext cx="8445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0" name="AutoShape 46">
          <a:extLst>
            <a:ext uri="{FF2B5EF4-FFF2-40B4-BE49-F238E27FC236}">
              <a16:creationId xmlns:a16="http://schemas.microsoft.com/office/drawing/2014/main" id="{BE9A8278-ADA0-470A-83BE-FBEAA36D2823}"/>
            </a:ext>
          </a:extLst>
        </xdr:cNvPr>
        <xdr:cNvSpPr>
          <a:spLocks noChangeArrowheads="1"/>
        </xdr:cNvSpPr>
      </xdr:nvSpPr>
      <xdr:spPr bwMode="auto">
        <a:xfrm>
          <a:off x="20999450" y="443611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1" name="AutoShape 46">
          <a:extLst>
            <a:ext uri="{FF2B5EF4-FFF2-40B4-BE49-F238E27FC236}">
              <a16:creationId xmlns:a16="http://schemas.microsoft.com/office/drawing/2014/main" id="{127D44BA-A7EA-46B3-8995-2D4C5DBF1533}"/>
            </a:ext>
          </a:extLst>
        </xdr:cNvPr>
        <xdr:cNvSpPr>
          <a:spLocks noChangeArrowheads="1"/>
        </xdr:cNvSpPr>
      </xdr:nvSpPr>
      <xdr:spPr bwMode="auto">
        <a:xfrm>
          <a:off x="22561550" y="44361100"/>
          <a:ext cx="8763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62" name="AutoShape 46">
          <a:extLst>
            <a:ext uri="{FF2B5EF4-FFF2-40B4-BE49-F238E27FC236}">
              <a16:creationId xmlns:a16="http://schemas.microsoft.com/office/drawing/2014/main" id="{099FE0F7-5C39-4140-B190-447B827E867F}"/>
            </a:ext>
          </a:extLst>
        </xdr:cNvPr>
        <xdr:cNvSpPr>
          <a:spLocks noChangeArrowheads="1"/>
        </xdr:cNvSpPr>
      </xdr:nvSpPr>
      <xdr:spPr bwMode="auto">
        <a:xfrm>
          <a:off x="14382750" y="44361100"/>
          <a:ext cx="7810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63" name="AutoShape 46">
          <a:extLst>
            <a:ext uri="{FF2B5EF4-FFF2-40B4-BE49-F238E27FC236}">
              <a16:creationId xmlns:a16="http://schemas.microsoft.com/office/drawing/2014/main" id="{D1BFA6E6-2936-44D3-A1A0-56C7B88D125A}"/>
            </a:ext>
          </a:extLst>
        </xdr:cNvPr>
        <xdr:cNvSpPr>
          <a:spLocks noChangeArrowheads="1"/>
        </xdr:cNvSpPr>
      </xdr:nvSpPr>
      <xdr:spPr bwMode="auto">
        <a:xfrm>
          <a:off x="15944850" y="44361100"/>
          <a:ext cx="9588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4" name="AutoShape 46">
          <a:extLst>
            <a:ext uri="{FF2B5EF4-FFF2-40B4-BE49-F238E27FC236}">
              <a16:creationId xmlns:a16="http://schemas.microsoft.com/office/drawing/2014/main" id="{FA87F5C3-7148-4399-9027-B9145D64D092}"/>
            </a:ext>
          </a:extLst>
        </xdr:cNvPr>
        <xdr:cNvSpPr>
          <a:spLocks noChangeArrowheads="1"/>
        </xdr:cNvSpPr>
      </xdr:nvSpPr>
      <xdr:spPr bwMode="auto">
        <a:xfrm>
          <a:off x="17684750" y="44361100"/>
          <a:ext cx="7810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5" name="AutoShape 46">
          <a:extLst>
            <a:ext uri="{FF2B5EF4-FFF2-40B4-BE49-F238E27FC236}">
              <a16:creationId xmlns:a16="http://schemas.microsoft.com/office/drawing/2014/main" id="{BE56FABD-0EB3-4149-A8E9-4B15FA72E40F}"/>
            </a:ext>
          </a:extLst>
        </xdr:cNvPr>
        <xdr:cNvSpPr>
          <a:spLocks noChangeArrowheads="1"/>
        </xdr:cNvSpPr>
      </xdr:nvSpPr>
      <xdr:spPr bwMode="auto">
        <a:xfrm>
          <a:off x="19246850" y="44361100"/>
          <a:ext cx="8445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6" name="AutoShape 46">
          <a:extLst>
            <a:ext uri="{FF2B5EF4-FFF2-40B4-BE49-F238E27FC236}">
              <a16:creationId xmlns:a16="http://schemas.microsoft.com/office/drawing/2014/main" id="{89663344-5EBA-42D7-95CB-38D9378038C7}"/>
            </a:ext>
          </a:extLst>
        </xdr:cNvPr>
        <xdr:cNvSpPr>
          <a:spLocks noChangeArrowheads="1"/>
        </xdr:cNvSpPr>
      </xdr:nvSpPr>
      <xdr:spPr bwMode="auto">
        <a:xfrm>
          <a:off x="20999450" y="44361100"/>
          <a:ext cx="78105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7" name="AutoShape 46">
          <a:extLst>
            <a:ext uri="{FF2B5EF4-FFF2-40B4-BE49-F238E27FC236}">
              <a16:creationId xmlns:a16="http://schemas.microsoft.com/office/drawing/2014/main" id="{A845E595-1008-44D2-ADEB-6A592A787021}"/>
            </a:ext>
          </a:extLst>
        </xdr:cNvPr>
        <xdr:cNvSpPr>
          <a:spLocks noChangeArrowheads="1"/>
        </xdr:cNvSpPr>
      </xdr:nvSpPr>
      <xdr:spPr bwMode="auto">
        <a:xfrm>
          <a:off x="22561550" y="44361100"/>
          <a:ext cx="8763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68" name="AutoShape 46">
          <a:extLst>
            <a:ext uri="{FF2B5EF4-FFF2-40B4-BE49-F238E27FC236}">
              <a16:creationId xmlns:a16="http://schemas.microsoft.com/office/drawing/2014/main" id="{664CD22B-773D-4DB5-828E-ECF7EF8BEB41}"/>
            </a:ext>
          </a:extLst>
        </xdr:cNvPr>
        <xdr:cNvSpPr>
          <a:spLocks noChangeArrowheads="1"/>
        </xdr:cNvSpPr>
      </xdr:nvSpPr>
      <xdr:spPr bwMode="auto">
        <a:xfrm>
          <a:off x="12820650" y="44361100"/>
          <a:ext cx="78105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69" name="AutoShape 46">
          <a:extLst>
            <a:ext uri="{FF2B5EF4-FFF2-40B4-BE49-F238E27FC236}">
              <a16:creationId xmlns:a16="http://schemas.microsoft.com/office/drawing/2014/main" id="{BAB028AF-C4A6-4320-B4C2-9E829EAC59E8}"/>
            </a:ext>
          </a:extLst>
        </xdr:cNvPr>
        <xdr:cNvSpPr>
          <a:spLocks noChangeArrowheads="1"/>
        </xdr:cNvSpPr>
      </xdr:nvSpPr>
      <xdr:spPr bwMode="auto">
        <a:xfrm>
          <a:off x="1438275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70" name="AutoShape 46">
          <a:extLst>
            <a:ext uri="{FF2B5EF4-FFF2-40B4-BE49-F238E27FC236}">
              <a16:creationId xmlns:a16="http://schemas.microsoft.com/office/drawing/2014/main" id="{5B380F78-74B1-45EB-9D52-E8F3082A1CC0}"/>
            </a:ext>
          </a:extLst>
        </xdr:cNvPr>
        <xdr:cNvSpPr>
          <a:spLocks noChangeArrowheads="1"/>
        </xdr:cNvSpPr>
      </xdr:nvSpPr>
      <xdr:spPr bwMode="auto">
        <a:xfrm>
          <a:off x="15944850" y="44361100"/>
          <a:ext cx="9588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71" name="AutoShape 46">
          <a:extLst>
            <a:ext uri="{FF2B5EF4-FFF2-40B4-BE49-F238E27FC236}">
              <a16:creationId xmlns:a16="http://schemas.microsoft.com/office/drawing/2014/main" id="{AFD60D47-EB91-43E0-ADEB-6A98A50A47C4}"/>
            </a:ext>
          </a:extLst>
        </xdr:cNvPr>
        <xdr:cNvSpPr>
          <a:spLocks noChangeArrowheads="1"/>
        </xdr:cNvSpPr>
      </xdr:nvSpPr>
      <xdr:spPr bwMode="auto">
        <a:xfrm>
          <a:off x="1768475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72" name="AutoShape 46">
          <a:extLst>
            <a:ext uri="{FF2B5EF4-FFF2-40B4-BE49-F238E27FC236}">
              <a16:creationId xmlns:a16="http://schemas.microsoft.com/office/drawing/2014/main" id="{F01DD5A0-634B-45AF-BFB7-DBA254E90DDF}"/>
            </a:ext>
          </a:extLst>
        </xdr:cNvPr>
        <xdr:cNvSpPr>
          <a:spLocks noChangeArrowheads="1"/>
        </xdr:cNvSpPr>
      </xdr:nvSpPr>
      <xdr:spPr bwMode="auto">
        <a:xfrm>
          <a:off x="19246850" y="44361100"/>
          <a:ext cx="8445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73" name="AutoShape 46">
          <a:extLst>
            <a:ext uri="{FF2B5EF4-FFF2-40B4-BE49-F238E27FC236}">
              <a16:creationId xmlns:a16="http://schemas.microsoft.com/office/drawing/2014/main" id="{C734A071-3D42-441E-B4CA-D192D0C124CC}"/>
            </a:ext>
          </a:extLst>
        </xdr:cNvPr>
        <xdr:cNvSpPr>
          <a:spLocks noChangeArrowheads="1"/>
        </xdr:cNvSpPr>
      </xdr:nvSpPr>
      <xdr:spPr bwMode="auto">
        <a:xfrm>
          <a:off x="20999450" y="44361100"/>
          <a:ext cx="78105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74" name="AutoShape 46">
          <a:extLst>
            <a:ext uri="{FF2B5EF4-FFF2-40B4-BE49-F238E27FC236}">
              <a16:creationId xmlns:a16="http://schemas.microsoft.com/office/drawing/2014/main" id="{11A36BA1-D5CE-4F4D-AC82-8790E900E5A4}"/>
            </a:ext>
          </a:extLst>
        </xdr:cNvPr>
        <xdr:cNvSpPr>
          <a:spLocks noChangeArrowheads="1"/>
        </xdr:cNvSpPr>
      </xdr:nvSpPr>
      <xdr:spPr bwMode="auto">
        <a:xfrm>
          <a:off x="22561550" y="44361100"/>
          <a:ext cx="8763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75" name="AutoShape 46">
          <a:extLst>
            <a:ext uri="{FF2B5EF4-FFF2-40B4-BE49-F238E27FC236}">
              <a16:creationId xmlns:a16="http://schemas.microsoft.com/office/drawing/2014/main" id="{6D7F38A3-7CC8-403D-8788-E101EEE200E4}"/>
            </a:ext>
          </a:extLst>
        </xdr:cNvPr>
        <xdr:cNvSpPr>
          <a:spLocks noChangeArrowheads="1"/>
        </xdr:cNvSpPr>
      </xdr:nvSpPr>
      <xdr:spPr bwMode="auto">
        <a:xfrm>
          <a:off x="1397000" y="47466250"/>
          <a:ext cx="971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76" name="AutoShape 46">
          <a:extLst>
            <a:ext uri="{FF2B5EF4-FFF2-40B4-BE49-F238E27FC236}">
              <a16:creationId xmlns:a16="http://schemas.microsoft.com/office/drawing/2014/main" id="{979B1E2A-3C82-4FF6-BD8A-48F8D44CBB66}"/>
            </a:ext>
          </a:extLst>
        </xdr:cNvPr>
        <xdr:cNvSpPr>
          <a:spLocks noChangeArrowheads="1"/>
        </xdr:cNvSpPr>
      </xdr:nvSpPr>
      <xdr:spPr bwMode="auto">
        <a:xfrm>
          <a:off x="314960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77" name="AutoShape 46">
          <a:extLst>
            <a:ext uri="{FF2B5EF4-FFF2-40B4-BE49-F238E27FC236}">
              <a16:creationId xmlns:a16="http://schemas.microsoft.com/office/drawing/2014/main" id="{2C7B3088-78AC-43EA-A44B-94C07A6449D1}"/>
            </a:ext>
          </a:extLst>
        </xdr:cNvPr>
        <xdr:cNvSpPr>
          <a:spLocks noChangeArrowheads="1"/>
        </xdr:cNvSpPr>
      </xdr:nvSpPr>
      <xdr:spPr bwMode="auto">
        <a:xfrm>
          <a:off x="471170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78" name="AutoShape 46">
          <a:extLst>
            <a:ext uri="{FF2B5EF4-FFF2-40B4-BE49-F238E27FC236}">
              <a16:creationId xmlns:a16="http://schemas.microsoft.com/office/drawing/2014/main" id="{37A074D4-BCF0-4D4A-8C09-CE6AFBC1B7FB}"/>
            </a:ext>
          </a:extLst>
        </xdr:cNvPr>
        <xdr:cNvSpPr>
          <a:spLocks noChangeArrowheads="1"/>
        </xdr:cNvSpPr>
      </xdr:nvSpPr>
      <xdr:spPr bwMode="auto">
        <a:xfrm>
          <a:off x="6273800" y="47466250"/>
          <a:ext cx="8890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79" name="AutoShape 46">
          <a:extLst>
            <a:ext uri="{FF2B5EF4-FFF2-40B4-BE49-F238E27FC236}">
              <a16:creationId xmlns:a16="http://schemas.microsoft.com/office/drawing/2014/main" id="{C5F1844B-895B-4565-9EBC-3DB24F7310AD}"/>
            </a:ext>
          </a:extLst>
        </xdr:cNvPr>
        <xdr:cNvSpPr>
          <a:spLocks noChangeArrowheads="1"/>
        </xdr:cNvSpPr>
      </xdr:nvSpPr>
      <xdr:spPr bwMode="auto">
        <a:xfrm>
          <a:off x="7943850" y="47466250"/>
          <a:ext cx="971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80" name="AutoShape 46">
          <a:extLst>
            <a:ext uri="{FF2B5EF4-FFF2-40B4-BE49-F238E27FC236}">
              <a16:creationId xmlns:a16="http://schemas.microsoft.com/office/drawing/2014/main" id="{23549DC4-2FE1-4EE2-B86D-AAF26E613167}"/>
            </a:ext>
          </a:extLst>
        </xdr:cNvPr>
        <xdr:cNvSpPr>
          <a:spLocks noChangeArrowheads="1"/>
        </xdr:cNvSpPr>
      </xdr:nvSpPr>
      <xdr:spPr bwMode="auto">
        <a:xfrm>
          <a:off x="969645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81" name="AutoShape 46">
          <a:extLst>
            <a:ext uri="{FF2B5EF4-FFF2-40B4-BE49-F238E27FC236}">
              <a16:creationId xmlns:a16="http://schemas.microsoft.com/office/drawing/2014/main" id="{B11AAF1A-DDD7-4063-8B4C-BB1888350CC9}"/>
            </a:ext>
          </a:extLst>
        </xdr:cNvPr>
        <xdr:cNvSpPr>
          <a:spLocks noChangeArrowheads="1"/>
        </xdr:cNvSpPr>
      </xdr:nvSpPr>
      <xdr:spPr bwMode="auto">
        <a:xfrm>
          <a:off x="1125855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2" name="AutoShape 46">
          <a:extLst>
            <a:ext uri="{FF2B5EF4-FFF2-40B4-BE49-F238E27FC236}">
              <a16:creationId xmlns:a16="http://schemas.microsoft.com/office/drawing/2014/main" id="{13FDABF5-90A9-4A89-922C-1BD6BBE0E545}"/>
            </a:ext>
          </a:extLst>
        </xdr:cNvPr>
        <xdr:cNvSpPr>
          <a:spLocks noChangeArrowheads="1"/>
        </xdr:cNvSpPr>
      </xdr:nvSpPr>
      <xdr:spPr bwMode="auto">
        <a:xfrm>
          <a:off x="12820650" y="474662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3" name="AutoShape 46">
          <a:extLst>
            <a:ext uri="{FF2B5EF4-FFF2-40B4-BE49-F238E27FC236}">
              <a16:creationId xmlns:a16="http://schemas.microsoft.com/office/drawing/2014/main" id="{A3FF9955-0016-43BA-8D98-7A11D39F850A}"/>
            </a:ext>
          </a:extLst>
        </xdr:cNvPr>
        <xdr:cNvSpPr>
          <a:spLocks noChangeArrowheads="1"/>
        </xdr:cNvSpPr>
      </xdr:nvSpPr>
      <xdr:spPr bwMode="auto">
        <a:xfrm>
          <a:off x="14382750" y="474662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4" name="AutoShape 46">
          <a:extLst>
            <a:ext uri="{FF2B5EF4-FFF2-40B4-BE49-F238E27FC236}">
              <a16:creationId xmlns:a16="http://schemas.microsoft.com/office/drawing/2014/main" id="{43BEEF6D-3B7E-488A-945F-34ABD98EE70A}"/>
            </a:ext>
          </a:extLst>
        </xdr:cNvPr>
        <xdr:cNvSpPr>
          <a:spLocks noChangeArrowheads="1"/>
        </xdr:cNvSpPr>
      </xdr:nvSpPr>
      <xdr:spPr bwMode="auto">
        <a:xfrm>
          <a:off x="15944850" y="47466250"/>
          <a:ext cx="9588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5" name="AutoShape 46">
          <a:extLst>
            <a:ext uri="{FF2B5EF4-FFF2-40B4-BE49-F238E27FC236}">
              <a16:creationId xmlns:a16="http://schemas.microsoft.com/office/drawing/2014/main" id="{472F972E-C8FF-4202-A7C7-EE844A7589B6}"/>
            </a:ext>
          </a:extLst>
        </xdr:cNvPr>
        <xdr:cNvSpPr>
          <a:spLocks noChangeArrowheads="1"/>
        </xdr:cNvSpPr>
      </xdr:nvSpPr>
      <xdr:spPr bwMode="auto">
        <a:xfrm>
          <a:off x="17684750" y="474662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6" name="AutoShape 46">
          <a:extLst>
            <a:ext uri="{FF2B5EF4-FFF2-40B4-BE49-F238E27FC236}">
              <a16:creationId xmlns:a16="http://schemas.microsoft.com/office/drawing/2014/main" id="{34DF4AE4-3BC5-4CEF-8965-AFD11766A3F0}"/>
            </a:ext>
          </a:extLst>
        </xdr:cNvPr>
        <xdr:cNvSpPr>
          <a:spLocks noChangeArrowheads="1"/>
        </xdr:cNvSpPr>
      </xdr:nvSpPr>
      <xdr:spPr bwMode="auto">
        <a:xfrm>
          <a:off x="19246850" y="47466250"/>
          <a:ext cx="8445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7" name="AutoShape 46">
          <a:extLst>
            <a:ext uri="{FF2B5EF4-FFF2-40B4-BE49-F238E27FC236}">
              <a16:creationId xmlns:a16="http://schemas.microsoft.com/office/drawing/2014/main" id="{F9A3C150-1B2B-4D36-98CE-2B69F1713AF8}"/>
            </a:ext>
          </a:extLst>
        </xdr:cNvPr>
        <xdr:cNvSpPr>
          <a:spLocks noChangeArrowheads="1"/>
        </xdr:cNvSpPr>
      </xdr:nvSpPr>
      <xdr:spPr bwMode="auto">
        <a:xfrm>
          <a:off x="20999450" y="474662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8" name="AutoShape 46">
          <a:extLst>
            <a:ext uri="{FF2B5EF4-FFF2-40B4-BE49-F238E27FC236}">
              <a16:creationId xmlns:a16="http://schemas.microsoft.com/office/drawing/2014/main" id="{5AF9785A-D40E-4C60-8DF9-FFA7C7758C21}"/>
            </a:ext>
          </a:extLst>
        </xdr:cNvPr>
        <xdr:cNvSpPr>
          <a:spLocks noChangeArrowheads="1"/>
        </xdr:cNvSpPr>
      </xdr:nvSpPr>
      <xdr:spPr bwMode="auto">
        <a:xfrm>
          <a:off x="22561550" y="47466250"/>
          <a:ext cx="8763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9" name="AutoShape 46">
          <a:extLst>
            <a:ext uri="{FF2B5EF4-FFF2-40B4-BE49-F238E27FC236}">
              <a16:creationId xmlns:a16="http://schemas.microsoft.com/office/drawing/2014/main" id="{9FD9C1E9-1153-42E3-9A13-D031C8563016}"/>
            </a:ext>
          </a:extLst>
        </xdr:cNvPr>
        <xdr:cNvSpPr>
          <a:spLocks noChangeArrowheads="1"/>
        </xdr:cNvSpPr>
      </xdr:nvSpPr>
      <xdr:spPr bwMode="auto">
        <a:xfrm>
          <a:off x="14382750" y="474662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90" name="AutoShape 46">
          <a:extLst>
            <a:ext uri="{FF2B5EF4-FFF2-40B4-BE49-F238E27FC236}">
              <a16:creationId xmlns:a16="http://schemas.microsoft.com/office/drawing/2014/main" id="{DA765D3C-BD28-4C99-82CF-FE61B8803537}"/>
            </a:ext>
          </a:extLst>
        </xdr:cNvPr>
        <xdr:cNvSpPr>
          <a:spLocks noChangeArrowheads="1"/>
        </xdr:cNvSpPr>
      </xdr:nvSpPr>
      <xdr:spPr bwMode="auto">
        <a:xfrm>
          <a:off x="15944850" y="47466250"/>
          <a:ext cx="9588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91" name="AutoShape 46">
          <a:extLst>
            <a:ext uri="{FF2B5EF4-FFF2-40B4-BE49-F238E27FC236}">
              <a16:creationId xmlns:a16="http://schemas.microsoft.com/office/drawing/2014/main" id="{C5D90F5C-87BD-4785-A193-863647C03A1D}"/>
            </a:ext>
          </a:extLst>
        </xdr:cNvPr>
        <xdr:cNvSpPr>
          <a:spLocks noChangeArrowheads="1"/>
        </xdr:cNvSpPr>
      </xdr:nvSpPr>
      <xdr:spPr bwMode="auto">
        <a:xfrm>
          <a:off x="17684750" y="474662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92" name="AutoShape 46">
          <a:extLst>
            <a:ext uri="{FF2B5EF4-FFF2-40B4-BE49-F238E27FC236}">
              <a16:creationId xmlns:a16="http://schemas.microsoft.com/office/drawing/2014/main" id="{0D62DF34-309D-419A-B9EA-FE49926A147F}"/>
            </a:ext>
          </a:extLst>
        </xdr:cNvPr>
        <xdr:cNvSpPr>
          <a:spLocks noChangeArrowheads="1"/>
        </xdr:cNvSpPr>
      </xdr:nvSpPr>
      <xdr:spPr bwMode="auto">
        <a:xfrm>
          <a:off x="19246850" y="47466250"/>
          <a:ext cx="8445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93" name="AutoShape 46">
          <a:extLst>
            <a:ext uri="{FF2B5EF4-FFF2-40B4-BE49-F238E27FC236}">
              <a16:creationId xmlns:a16="http://schemas.microsoft.com/office/drawing/2014/main" id="{C267A0BB-E1A2-4916-BD45-00A534813141}"/>
            </a:ext>
          </a:extLst>
        </xdr:cNvPr>
        <xdr:cNvSpPr>
          <a:spLocks noChangeArrowheads="1"/>
        </xdr:cNvSpPr>
      </xdr:nvSpPr>
      <xdr:spPr bwMode="auto">
        <a:xfrm>
          <a:off x="20999450" y="474662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4" name="AutoShape 46">
          <a:extLst>
            <a:ext uri="{FF2B5EF4-FFF2-40B4-BE49-F238E27FC236}">
              <a16:creationId xmlns:a16="http://schemas.microsoft.com/office/drawing/2014/main" id="{C6002841-D9BA-444A-9B64-8FAB3C59F4F0}"/>
            </a:ext>
          </a:extLst>
        </xdr:cNvPr>
        <xdr:cNvSpPr>
          <a:spLocks noChangeArrowheads="1"/>
        </xdr:cNvSpPr>
      </xdr:nvSpPr>
      <xdr:spPr bwMode="auto">
        <a:xfrm>
          <a:off x="22561550" y="47466250"/>
          <a:ext cx="8763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95" name="AutoShape 46">
          <a:extLst>
            <a:ext uri="{FF2B5EF4-FFF2-40B4-BE49-F238E27FC236}">
              <a16:creationId xmlns:a16="http://schemas.microsoft.com/office/drawing/2014/main" id="{D9495E27-D99A-4518-BD70-85A167B8203D}"/>
            </a:ext>
          </a:extLst>
        </xdr:cNvPr>
        <xdr:cNvSpPr>
          <a:spLocks noChangeArrowheads="1"/>
        </xdr:cNvSpPr>
      </xdr:nvSpPr>
      <xdr:spPr bwMode="auto">
        <a:xfrm>
          <a:off x="1282065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96" name="AutoShape 46">
          <a:extLst>
            <a:ext uri="{FF2B5EF4-FFF2-40B4-BE49-F238E27FC236}">
              <a16:creationId xmlns:a16="http://schemas.microsoft.com/office/drawing/2014/main" id="{6B0C311A-C639-43BB-91D4-690378EAD298}"/>
            </a:ext>
          </a:extLst>
        </xdr:cNvPr>
        <xdr:cNvSpPr>
          <a:spLocks noChangeArrowheads="1"/>
        </xdr:cNvSpPr>
      </xdr:nvSpPr>
      <xdr:spPr bwMode="auto">
        <a:xfrm>
          <a:off x="1438275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97" name="AutoShape 46">
          <a:extLst>
            <a:ext uri="{FF2B5EF4-FFF2-40B4-BE49-F238E27FC236}">
              <a16:creationId xmlns:a16="http://schemas.microsoft.com/office/drawing/2014/main" id="{BEDB416E-0E0D-4B25-817A-A7E9DA4DA615}"/>
            </a:ext>
          </a:extLst>
        </xdr:cNvPr>
        <xdr:cNvSpPr>
          <a:spLocks noChangeArrowheads="1"/>
        </xdr:cNvSpPr>
      </xdr:nvSpPr>
      <xdr:spPr bwMode="auto">
        <a:xfrm>
          <a:off x="15944850" y="47466250"/>
          <a:ext cx="9588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98" name="AutoShape 46">
          <a:extLst>
            <a:ext uri="{FF2B5EF4-FFF2-40B4-BE49-F238E27FC236}">
              <a16:creationId xmlns:a16="http://schemas.microsoft.com/office/drawing/2014/main" id="{061AFFB7-4F44-4C41-ADCD-F4BA268CA11C}"/>
            </a:ext>
          </a:extLst>
        </xdr:cNvPr>
        <xdr:cNvSpPr>
          <a:spLocks noChangeArrowheads="1"/>
        </xdr:cNvSpPr>
      </xdr:nvSpPr>
      <xdr:spPr bwMode="auto">
        <a:xfrm>
          <a:off x="17684750" y="4746625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99" name="AutoShape 46">
          <a:extLst>
            <a:ext uri="{FF2B5EF4-FFF2-40B4-BE49-F238E27FC236}">
              <a16:creationId xmlns:a16="http://schemas.microsoft.com/office/drawing/2014/main" id="{03415BC2-C87D-41D3-996E-815EF9C2590C}"/>
            </a:ext>
          </a:extLst>
        </xdr:cNvPr>
        <xdr:cNvSpPr>
          <a:spLocks noChangeArrowheads="1"/>
        </xdr:cNvSpPr>
      </xdr:nvSpPr>
      <xdr:spPr bwMode="auto">
        <a:xfrm>
          <a:off x="19246850" y="47466250"/>
          <a:ext cx="844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400" name="AutoShape 46">
          <a:extLst>
            <a:ext uri="{FF2B5EF4-FFF2-40B4-BE49-F238E27FC236}">
              <a16:creationId xmlns:a16="http://schemas.microsoft.com/office/drawing/2014/main" id="{0644FCE0-B589-42BC-A022-FBB520B80F66}"/>
            </a:ext>
          </a:extLst>
        </xdr:cNvPr>
        <xdr:cNvSpPr>
          <a:spLocks noChangeArrowheads="1"/>
        </xdr:cNvSpPr>
      </xdr:nvSpPr>
      <xdr:spPr bwMode="auto">
        <a:xfrm>
          <a:off x="20999450" y="474662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401" name="AutoShape 46">
          <a:extLst>
            <a:ext uri="{FF2B5EF4-FFF2-40B4-BE49-F238E27FC236}">
              <a16:creationId xmlns:a16="http://schemas.microsoft.com/office/drawing/2014/main" id="{CC88E349-5DF8-4E8B-B950-20742E747624}"/>
            </a:ext>
          </a:extLst>
        </xdr:cNvPr>
        <xdr:cNvSpPr>
          <a:spLocks noChangeArrowheads="1"/>
        </xdr:cNvSpPr>
      </xdr:nvSpPr>
      <xdr:spPr bwMode="auto">
        <a:xfrm>
          <a:off x="22561550" y="47466250"/>
          <a:ext cx="8763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402" name="AutoShape 46">
          <a:extLst>
            <a:ext uri="{FF2B5EF4-FFF2-40B4-BE49-F238E27FC236}">
              <a16:creationId xmlns:a16="http://schemas.microsoft.com/office/drawing/2014/main" id="{C76080EB-E63A-4816-9886-F18AA860A7B0}"/>
            </a:ext>
          </a:extLst>
        </xdr:cNvPr>
        <xdr:cNvSpPr>
          <a:spLocks noChangeArrowheads="1"/>
        </xdr:cNvSpPr>
      </xdr:nvSpPr>
      <xdr:spPr bwMode="auto">
        <a:xfrm>
          <a:off x="1397000" y="513969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403" name="AutoShape 46">
          <a:extLst>
            <a:ext uri="{FF2B5EF4-FFF2-40B4-BE49-F238E27FC236}">
              <a16:creationId xmlns:a16="http://schemas.microsoft.com/office/drawing/2014/main" id="{606A4F8F-F638-48FC-8544-5A228F59D15D}"/>
            </a:ext>
          </a:extLst>
        </xdr:cNvPr>
        <xdr:cNvSpPr>
          <a:spLocks noChangeArrowheads="1"/>
        </xdr:cNvSpPr>
      </xdr:nvSpPr>
      <xdr:spPr bwMode="auto">
        <a:xfrm>
          <a:off x="314960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404" name="AutoShape 46">
          <a:extLst>
            <a:ext uri="{FF2B5EF4-FFF2-40B4-BE49-F238E27FC236}">
              <a16:creationId xmlns:a16="http://schemas.microsoft.com/office/drawing/2014/main" id="{B02F5793-0C8F-49E0-9D3D-B99B0DFA901C}"/>
            </a:ext>
          </a:extLst>
        </xdr:cNvPr>
        <xdr:cNvSpPr>
          <a:spLocks noChangeArrowheads="1"/>
        </xdr:cNvSpPr>
      </xdr:nvSpPr>
      <xdr:spPr bwMode="auto">
        <a:xfrm>
          <a:off x="471170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405" name="AutoShape 46">
          <a:extLst>
            <a:ext uri="{FF2B5EF4-FFF2-40B4-BE49-F238E27FC236}">
              <a16:creationId xmlns:a16="http://schemas.microsoft.com/office/drawing/2014/main" id="{41D0C176-47B0-4EB5-8117-29FB3FE06F35}"/>
            </a:ext>
          </a:extLst>
        </xdr:cNvPr>
        <xdr:cNvSpPr>
          <a:spLocks noChangeArrowheads="1"/>
        </xdr:cNvSpPr>
      </xdr:nvSpPr>
      <xdr:spPr bwMode="auto">
        <a:xfrm>
          <a:off x="6273800" y="51396900"/>
          <a:ext cx="8890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406" name="AutoShape 46">
          <a:extLst>
            <a:ext uri="{FF2B5EF4-FFF2-40B4-BE49-F238E27FC236}">
              <a16:creationId xmlns:a16="http://schemas.microsoft.com/office/drawing/2014/main" id="{C2E20349-DECE-4F2A-833F-BAAEDC2FF689}"/>
            </a:ext>
          </a:extLst>
        </xdr:cNvPr>
        <xdr:cNvSpPr>
          <a:spLocks noChangeArrowheads="1"/>
        </xdr:cNvSpPr>
      </xdr:nvSpPr>
      <xdr:spPr bwMode="auto">
        <a:xfrm>
          <a:off x="7943850" y="513969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407" name="AutoShape 46">
          <a:extLst>
            <a:ext uri="{FF2B5EF4-FFF2-40B4-BE49-F238E27FC236}">
              <a16:creationId xmlns:a16="http://schemas.microsoft.com/office/drawing/2014/main" id="{2558E687-8AF6-4655-BA7D-032ABD28E674}"/>
            </a:ext>
          </a:extLst>
        </xdr:cNvPr>
        <xdr:cNvSpPr>
          <a:spLocks noChangeArrowheads="1"/>
        </xdr:cNvSpPr>
      </xdr:nvSpPr>
      <xdr:spPr bwMode="auto">
        <a:xfrm>
          <a:off x="96964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408" name="AutoShape 46">
          <a:extLst>
            <a:ext uri="{FF2B5EF4-FFF2-40B4-BE49-F238E27FC236}">
              <a16:creationId xmlns:a16="http://schemas.microsoft.com/office/drawing/2014/main" id="{DCDC9FE7-DF9E-46FA-9D1D-C2031D59AE8F}"/>
            </a:ext>
          </a:extLst>
        </xdr:cNvPr>
        <xdr:cNvSpPr>
          <a:spLocks noChangeArrowheads="1"/>
        </xdr:cNvSpPr>
      </xdr:nvSpPr>
      <xdr:spPr bwMode="auto">
        <a:xfrm>
          <a:off x="112585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AACFC764-4413-4ACB-A46E-061AA0D7AF8D}"/>
            </a:ext>
          </a:extLst>
        </xdr:cNvPr>
        <xdr:cNvSpPr>
          <a:spLocks noChangeArrowheads="1"/>
        </xdr:cNvSpPr>
      </xdr:nvSpPr>
      <xdr:spPr bwMode="auto">
        <a:xfrm>
          <a:off x="12820650" y="513969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4FFCEF90-5507-4F4E-B73D-B392FA7045FE}"/>
            </a:ext>
          </a:extLst>
        </xdr:cNvPr>
        <xdr:cNvSpPr>
          <a:spLocks noChangeArrowheads="1"/>
        </xdr:cNvSpPr>
      </xdr:nvSpPr>
      <xdr:spPr bwMode="auto">
        <a:xfrm>
          <a:off x="143827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5F3449AA-6A5E-41BC-802C-4569963D85B8}"/>
            </a:ext>
          </a:extLst>
        </xdr:cNvPr>
        <xdr:cNvSpPr>
          <a:spLocks noChangeArrowheads="1"/>
        </xdr:cNvSpPr>
      </xdr:nvSpPr>
      <xdr:spPr bwMode="auto">
        <a:xfrm>
          <a:off x="15944850" y="513969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7B8AFC1-A387-41A8-97E3-AC4FC087FA59}"/>
            </a:ext>
          </a:extLst>
        </xdr:cNvPr>
        <xdr:cNvSpPr>
          <a:spLocks noChangeArrowheads="1"/>
        </xdr:cNvSpPr>
      </xdr:nvSpPr>
      <xdr:spPr bwMode="auto">
        <a:xfrm>
          <a:off x="176847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7B920F19-1A9D-4BFE-8299-538CC4AD5DF1}"/>
            </a:ext>
          </a:extLst>
        </xdr:cNvPr>
        <xdr:cNvSpPr>
          <a:spLocks noChangeArrowheads="1"/>
        </xdr:cNvSpPr>
      </xdr:nvSpPr>
      <xdr:spPr bwMode="auto">
        <a:xfrm>
          <a:off x="19246850" y="513969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B481F0AB-5DFC-489A-9BC5-5EE3E22F049E}"/>
            </a:ext>
          </a:extLst>
        </xdr:cNvPr>
        <xdr:cNvSpPr>
          <a:spLocks noChangeArrowheads="1"/>
        </xdr:cNvSpPr>
      </xdr:nvSpPr>
      <xdr:spPr bwMode="auto">
        <a:xfrm>
          <a:off x="22561550" y="513969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5" name="AutoShape 46">
          <a:extLst>
            <a:ext uri="{FF2B5EF4-FFF2-40B4-BE49-F238E27FC236}">
              <a16:creationId xmlns:a16="http://schemas.microsoft.com/office/drawing/2014/main" id="{366F9540-0F63-4C02-A44A-84982E04104E}"/>
            </a:ext>
          </a:extLst>
        </xdr:cNvPr>
        <xdr:cNvSpPr>
          <a:spLocks noChangeArrowheads="1"/>
        </xdr:cNvSpPr>
      </xdr:nvSpPr>
      <xdr:spPr bwMode="auto">
        <a:xfrm>
          <a:off x="14382750" y="513969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6" name="AutoShape 46">
          <a:extLst>
            <a:ext uri="{FF2B5EF4-FFF2-40B4-BE49-F238E27FC236}">
              <a16:creationId xmlns:a16="http://schemas.microsoft.com/office/drawing/2014/main" id="{DA582E00-968A-4038-8DF7-F6BB1E51A230}"/>
            </a:ext>
          </a:extLst>
        </xdr:cNvPr>
        <xdr:cNvSpPr>
          <a:spLocks noChangeArrowheads="1"/>
        </xdr:cNvSpPr>
      </xdr:nvSpPr>
      <xdr:spPr bwMode="auto">
        <a:xfrm>
          <a:off x="15944850" y="513969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7" name="AutoShape 46">
          <a:extLst>
            <a:ext uri="{FF2B5EF4-FFF2-40B4-BE49-F238E27FC236}">
              <a16:creationId xmlns:a16="http://schemas.microsoft.com/office/drawing/2014/main" id="{1098B524-BE65-4C0A-B56E-CFF59A2E7CB7}"/>
            </a:ext>
          </a:extLst>
        </xdr:cNvPr>
        <xdr:cNvSpPr>
          <a:spLocks noChangeArrowheads="1"/>
        </xdr:cNvSpPr>
      </xdr:nvSpPr>
      <xdr:spPr bwMode="auto">
        <a:xfrm>
          <a:off x="17684750" y="513969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8" name="AutoShape 46">
          <a:extLst>
            <a:ext uri="{FF2B5EF4-FFF2-40B4-BE49-F238E27FC236}">
              <a16:creationId xmlns:a16="http://schemas.microsoft.com/office/drawing/2014/main" id="{0E3EEE0A-9F95-4A83-8865-54C23C860389}"/>
            </a:ext>
          </a:extLst>
        </xdr:cNvPr>
        <xdr:cNvSpPr>
          <a:spLocks noChangeArrowheads="1"/>
        </xdr:cNvSpPr>
      </xdr:nvSpPr>
      <xdr:spPr bwMode="auto">
        <a:xfrm>
          <a:off x="19246850" y="513969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9" name="AutoShape 46">
          <a:extLst>
            <a:ext uri="{FF2B5EF4-FFF2-40B4-BE49-F238E27FC236}">
              <a16:creationId xmlns:a16="http://schemas.microsoft.com/office/drawing/2014/main" id="{FDBFAD82-0CF4-4106-96F1-2F497D28AAE0}"/>
            </a:ext>
          </a:extLst>
        </xdr:cNvPr>
        <xdr:cNvSpPr>
          <a:spLocks noChangeArrowheads="1"/>
        </xdr:cNvSpPr>
      </xdr:nvSpPr>
      <xdr:spPr bwMode="auto">
        <a:xfrm>
          <a:off x="22561550" y="513969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20" name="AutoShape 46">
          <a:extLst>
            <a:ext uri="{FF2B5EF4-FFF2-40B4-BE49-F238E27FC236}">
              <a16:creationId xmlns:a16="http://schemas.microsoft.com/office/drawing/2014/main" id="{7480D2F1-A96C-4791-9AA2-F144B33AD884}"/>
            </a:ext>
          </a:extLst>
        </xdr:cNvPr>
        <xdr:cNvSpPr>
          <a:spLocks noChangeArrowheads="1"/>
        </xdr:cNvSpPr>
      </xdr:nvSpPr>
      <xdr:spPr bwMode="auto">
        <a:xfrm>
          <a:off x="128206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21" name="AutoShape 46">
          <a:extLst>
            <a:ext uri="{FF2B5EF4-FFF2-40B4-BE49-F238E27FC236}">
              <a16:creationId xmlns:a16="http://schemas.microsoft.com/office/drawing/2014/main" id="{F7044550-00B2-4268-8B43-442C21D2975B}"/>
            </a:ext>
          </a:extLst>
        </xdr:cNvPr>
        <xdr:cNvSpPr>
          <a:spLocks noChangeArrowheads="1"/>
        </xdr:cNvSpPr>
      </xdr:nvSpPr>
      <xdr:spPr bwMode="auto">
        <a:xfrm>
          <a:off x="143827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22" name="AutoShape 46">
          <a:extLst>
            <a:ext uri="{FF2B5EF4-FFF2-40B4-BE49-F238E27FC236}">
              <a16:creationId xmlns:a16="http://schemas.microsoft.com/office/drawing/2014/main" id="{FA054A0D-060D-4302-B6D1-89D2D23ECFDB}"/>
            </a:ext>
          </a:extLst>
        </xdr:cNvPr>
        <xdr:cNvSpPr>
          <a:spLocks noChangeArrowheads="1"/>
        </xdr:cNvSpPr>
      </xdr:nvSpPr>
      <xdr:spPr bwMode="auto">
        <a:xfrm>
          <a:off x="15944850" y="513969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23" name="AutoShape 46">
          <a:extLst>
            <a:ext uri="{FF2B5EF4-FFF2-40B4-BE49-F238E27FC236}">
              <a16:creationId xmlns:a16="http://schemas.microsoft.com/office/drawing/2014/main" id="{68FC12FC-5F28-4049-B9EA-DE150BEBAA81}"/>
            </a:ext>
          </a:extLst>
        </xdr:cNvPr>
        <xdr:cNvSpPr>
          <a:spLocks noChangeArrowheads="1"/>
        </xdr:cNvSpPr>
      </xdr:nvSpPr>
      <xdr:spPr bwMode="auto">
        <a:xfrm>
          <a:off x="17684750" y="513969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24" name="AutoShape 46">
          <a:extLst>
            <a:ext uri="{FF2B5EF4-FFF2-40B4-BE49-F238E27FC236}">
              <a16:creationId xmlns:a16="http://schemas.microsoft.com/office/drawing/2014/main" id="{5945AB4F-068B-402A-A38A-0A2AC96231CE}"/>
            </a:ext>
          </a:extLst>
        </xdr:cNvPr>
        <xdr:cNvSpPr>
          <a:spLocks noChangeArrowheads="1"/>
        </xdr:cNvSpPr>
      </xdr:nvSpPr>
      <xdr:spPr bwMode="auto">
        <a:xfrm>
          <a:off x="19246850" y="513969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25" name="AutoShape 46">
          <a:extLst>
            <a:ext uri="{FF2B5EF4-FFF2-40B4-BE49-F238E27FC236}">
              <a16:creationId xmlns:a16="http://schemas.microsoft.com/office/drawing/2014/main" id="{04A3F34C-5984-4213-8A77-97B66C5B193D}"/>
            </a:ext>
          </a:extLst>
        </xdr:cNvPr>
        <xdr:cNvSpPr>
          <a:spLocks noChangeArrowheads="1"/>
        </xdr:cNvSpPr>
      </xdr:nvSpPr>
      <xdr:spPr bwMode="auto">
        <a:xfrm>
          <a:off x="22561550" y="513969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26" name="AutoShape 46">
          <a:extLst>
            <a:ext uri="{FF2B5EF4-FFF2-40B4-BE49-F238E27FC236}">
              <a16:creationId xmlns:a16="http://schemas.microsoft.com/office/drawing/2014/main" id="{4241A47E-AFF8-4837-81D2-8F56A89DF8F5}"/>
            </a:ext>
          </a:extLst>
        </xdr:cNvPr>
        <xdr:cNvSpPr>
          <a:spLocks noChangeArrowheads="1"/>
        </xdr:cNvSpPr>
      </xdr:nvSpPr>
      <xdr:spPr bwMode="auto">
        <a:xfrm>
          <a:off x="1397000" y="550545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27" name="AutoShape 46">
          <a:extLst>
            <a:ext uri="{FF2B5EF4-FFF2-40B4-BE49-F238E27FC236}">
              <a16:creationId xmlns:a16="http://schemas.microsoft.com/office/drawing/2014/main" id="{8CF9C84E-A9E1-4F40-A178-BD221B2FEC4D}"/>
            </a:ext>
          </a:extLst>
        </xdr:cNvPr>
        <xdr:cNvSpPr>
          <a:spLocks noChangeArrowheads="1"/>
        </xdr:cNvSpPr>
      </xdr:nvSpPr>
      <xdr:spPr bwMode="auto">
        <a:xfrm>
          <a:off x="471170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28" name="AutoShape 46">
          <a:extLst>
            <a:ext uri="{FF2B5EF4-FFF2-40B4-BE49-F238E27FC236}">
              <a16:creationId xmlns:a16="http://schemas.microsoft.com/office/drawing/2014/main" id="{00A64954-07B0-4857-8144-12D492347544}"/>
            </a:ext>
          </a:extLst>
        </xdr:cNvPr>
        <xdr:cNvSpPr>
          <a:spLocks noChangeArrowheads="1"/>
        </xdr:cNvSpPr>
      </xdr:nvSpPr>
      <xdr:spPr bwMode="auto">
        <a:xfrm>
          <a:off x="6273800" y="550545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29" name="AutoShape 46">
          <a:extLst>
            <a:ext uri="{FF2B5EF4-FFF2-40B4-BE49-F238E27FC236}">
              <a16:creationId xmlns:a16="http://schemas.microsoft.com/office/drawing/2014/main" id="{4AC17319-E613-41F4-90FF-8D3C3D3EA559}"/>
            </a:ext>
          </a:extLst>
        </xdr:cNvPr>
        <xdr:cNvSpPr>
          <a:spLocks noChangeArrowheads="1"/>
        </xdr:cNvSpPr>
      </xdr:nvSpPr>
      <xdr:spPr bwMode="auto">
        <a:xfrm>
          <a:off x="7943850" y="550545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30" name="AutoShape 46">
          <a:extLst>
            <a:ext uri="{FF2B5EF4-FFF2-40B4-BE49-F238E27FC236}">
              <a16:creationId xmlns:a16="http://schemas.microsoft.com/office/drawing/2014/main" id="{5A723F54-F94C-4596-B132-DB4449080B26}"/>
            </a:ext>
          </a:extLst>
        </xdr:cNvPr>
        <xdr:cNvSpPr>
          <a:spLocks noChangeArrowheads="1"/>
        </xdr:cNvSpPr>
      </xdr:nvSpPr>
      <xdr:spPr bwMode="auto">
        <a:xfrm>
          <a:off x="9629775" y="55102126"/>
          <a:ext cx="89535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31" name="AutoShape 46">
          <a:extLst>
            <a:ext uri="{FF2B5EF4-FFF2-40B4-BE49-F238E27FC236}">
              <a16:creationId xmlns:a16="http://schemas.microsoft.com/office/drawing/2014/main" id="{664201FA-CDFF-4D00-8DE6-596973EA30F1}"/>
            </a:ext>
          </a:extLst>
        </xdr:cNvPr>
        <xdr:cNvSpPr>
          <a:spLocks noChangeArrowheads="1"/>
        </xdr:cNvSpPr>
      </xdr:nvSpPr>
      <xdr:spPr bwMode="auto">
        <a:xfrm>
          <a:off x="11258550" y="550545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2" name="AutoShape 46">
          <a:extLst>
            <a:ext uri="{FF2B5EF4-FFF2-40B4-BE49-F238E27FC236}">
              <a16:creationId xmlns:a16="http://schemas.microsoft.com/office/drawing/2014/main" id="{8528D76A-85FE-4053-A502-404832F770DC}"/>
            </a:ext>
          </a:extLst>
        </xdr:cNvPr>
        <xdr:cNvSpPr>
          <a:spLocks noChangeArrowheads="1"/>
        </xdr:cNvSpPr>
      </xdr:nvSpPr>
      <xdr:spPr bwMode="auto">
        <a:xfrm>
          <a:off x="12820650" y="55054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3" name="AutoShape 46">
          <a:extLst>
            <a:ext uri="{FF2B5EF4-FFF2-40B4-BE49-F238E27FC236}">
              <a16:creationId xmlns:a16="http://schemas.microsoft.com/office/drawing/2014/main" id="{A3279B63-368B-4741-9B5E-EFDAC201AA06}"/>
            </a:ext>
          </a:extLst>
        </xdr:cNvPr>
        <xdr:cNvSpPr>
          <a:spLocks noChangeArrowheads="1"/>
        </xdr:cNvSpPr>
      </xdr:nvSpPr>
      <xdr:spPr bwMode="auto">
        <a:xfrm>
          <a:off x="1438275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4" name="AutoShape 46">
          <a:extLst>
            <a:ext uri="{FF2B5EF4-FFF2-40B4-BE49-F238E27FC236}">
              <a16:creationId xmlns:a16="http://schemas.microsoft.com/office/drawing/2014/main" id="{29219173-E241-44AA-881E-ED6DFF48E48E}"/>
            </a:ext>
          </a:extLst>
        </xdr:cNvPr>
        <xdr:cNvSpPr>
          <a:spLocks noChangeArrowheads="1"/>
        </xdr:cNvSpPr>
      </xdr:nvSpPr>
      <xdr:spPr bwMode="auto">
        <a:xfrm>
          <a:off x="15944850" y="550545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35" name="AutoShape 46">
          <a:extLst>
            <a:ext uri="{FF2B5EF4-FFF2-40B4-BE49-F238E27FC236}">
              <a16:creationId xmlns:a16="http://schemas.microsoft.com/office/drawing/2014/main" id="{DFAE100C-D1FE-48B7-9A35-8097EB6782C1}"/>
            </a:ext>
          </a:extLst>
        </xdr:cNvPr>
        <xdr:cNvSpPr>
          <a:spLocks noChangeArrowheads="1"/>
        </xdr:cNvSpPr>
      </xdr:nvSpPr>
      <xdr:spPr bwMode="auto">
        <a:xfrm>
          <a:off x="1768475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57B2BED8-F3EA-4BAA-A882-AB0F9618372C}"/>
            </a:ext>
          </a:extLst>
        </xdr:cNvPr>
        <xdr:cNvSpPr>
          <a:spLocks noChangeArrowheads="1"/>
        </xdr:cNvSpPr>
      </xdr:nvSpPr>
      <xdr:spPr bwMode="auto">
        <a:xfrm>
          <a:off x="19246850" y="550545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9B32EF35-A175-454A-9DE1-F55F24E038A0}"/>
            </a:ext>
          </a:extLst>
        </xdr:cNvPr>
        <xdr:cNvSpPr>
          <a:spLocks noChangeArrowheads="1"/>
        </xdr:cNvSpPr>
      </xdr:nvSpPr>
      <xdr:spPr bwMode="auto">
        <a:xfrm>
          <a:off x="2099945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F10658DC-D0CC-4BEF-90A3-C2E40526E9DD}"/>
            </a:ext>
          </a:extLst>
        </xdr:cNvPr>
        <xdr:cNvSpPr>
          <a:spLocks noChangeArrowheads="1"/>
        </xdr:cNvSpPr>
      </xdr:nvSpPr>
      <xdr:spPr bwMode="auto">
        <a:xfrm>
          <a:off x="22561550" y="550545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9" name="AutoShape 46">
          <a:extLst>
            <a:ext uri="{FF2B5EF4-FFF2-40B4-BE49-F238E27FC236}">
              <a16:creationId xmlns:a16="http://schemas.microsoft.com/office/drawing/2014/main" id="{D2D2D8EB-2C33-46FF-99E2-BED0D8084D8E}"/>
            </a:ext>
          </a:extLst>
        </xdr:cNvPr>
        <xdr:cNvSpPr>
          <a:spLocks noChangeArrowheads="1"/>
        </xdr:cNvSpPr>
      </xdr:nvSpPr>
      <xdr:spPr bwMode="auto">
        <a:xfrm>
          <a:off x="14382750" y="55054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40" name="AutoShape 46">
          <a:extLst>
            <a:ext uri="{FF2B5EF4-FFF2-40B4-BE49-F238E27FC236}">
              <a16:creationId xmlns:a16="http://schemas.microsoft.com/office/drawing/2014/main" id="{11826DE4-3C4D-453D-A405-00A4BC6E735B}"/>
            </a:ext>
          </a:extLst>
        </xdr:cNvPr>
        <xdr:cNvSpPr>
          <a:spLocks noChangeArrowheads="1"/>
        </xdr:cNvSpPr>
      </xdr:nvSpPr>
      <xdr:spPr bwMode="auto">
        <a:xfrm>
          <a:off x="15944850" y="550545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41" name="AutoShape 46">
          <a:extLst>
            <a:ext uri="{FF2B5EF4-FFF2-40B4-BE49-F238E27FC236}">
              <a16:creationId xmlns:a16="http://schemas.microsoft.com/office/drawing/2014/main" id="{B06C79BF-61B8-470C-AD73-0A0BC152EC68}"/>
            </a:ext>
          </a:extLst>
        </xdr:cNvPr>
        <xdr:cNvSpPr>
          <a:spLocks noChangeArrowheads="1"/>
        </xdr:cNvSpPr>
      </xdr:nvSpPr>
      <xdr:spPr bwMode="auto">
        <a:xfrm>
          <a:off x="19246850" y="550545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42" name="AutoShape 46">
          <a:extLst>
            <a:ext uri="{FF2B5EF4-FFF2-40B4-BE49-F238E27FC236}">
              <a16:creationId xmlns:a16="http://schemas.microsoft.com/office/drawing/2014/main" id="{6EAABC55-53CC-487D-862E-18E760D82257}"/>
            </a:ext>
          </a:extLst>
        </xdr:cNvPr>
        <xdr:cNvSpPr>
          <a:spLocks noChangeArrowheads="1"/>
        </xdr:cNvSpPr>
      </xdr:nvSpPr>
      <xdr:spPr bwMode="auto">
        <a:xfrm>
          <a:off x="20999450" y="55054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43" name="AutoShape 46">
          <a:extLst>
            <a:ext uri="{FF2B5EF4-FFF2-40B4-BE49-F238E27FC236}">
              <a16:creationId xmlns:a16="http://schemas.microsoft.com/office/drawing/2014/main" id="{64066B53-DB30-4E01-AC54-E91BD18B9686}"/>
            </a:ext>
          </a:extLst>
        </xdr:cNvPr>
        <xdr:cNvSpPr>
          <a:spLocks noChangeArrowheads="1"/>
        </xdr:cNvSpPr>
      </xdr:nvSpPr>
      <xdr:spPr bwMode="auto">
        <a:xfrm>
          <a:off x="22561550" y="550545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44" name="AutoShape 46">
          <a:extLst>
            <a:ext uri="{FF2B5EF4-FFF2-40B4-BE49-F238E27FC236}">
              <a16:creationId xmlns:a16="http://schemas.microsoft.com/office/drawing/2014/main" id="{5D8FF1F5-5A08-4A1D-B4FB-53990920B5BD}"/>
            </a:ext>
          </a:extLst>
        </xdr:cNvPr>
        <xdr:cNvSpPr>
          <a:spLocks noChangeArrowheads="1"/>
        </xdr:cNvSpPr>
      </xdr:nvSpPr>
      <xdr:spPr bwMode="auto">
        <a:xfrm>
          <a:off x="12820650" y="550545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45" name="AutoShape 46">
          <a:extLst>
            <a:ext uri="{FF2B5EF4-FFF2-40B4-BE49-F238E27FC236}">
              <a16:creationId xmlns:a16="http://schemas.microsoft.com/office/drawing/2014/main" id="{978D27CF-8CCF-410A-A8A2-6857B52F52D4}"/>
            </a:ext>
          </a:extLst>
        </xdr:cNvPr>
        <xdr:cNvSpPr>
          <a:spLocks noChangeArrowheads="1"/>
        </xdr:cNvSpPr>
      </xdr:nvSpPr>
      <xdr:spPr bwMode="auto">
        <a:xfrm>
          <a:off x="14382750" y="550545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46" name="AutoShape 46">
          <a:extLst>
            <a:ext uri="{FF2B5EF4-FFF2-40B4-BE49-F238E27FC236}">
              <a16:creationId xmlns:a16="http://schemas.microsoft.com/office/drawing/2014/main" id="{BF21FE63-003B-4166-AF60-A4180E2A7348}"/>
            </a:ext>
          </a:extLst>
        </xdr:cNvPr>
        <xdr:cNvSpPr>
          <a:spLocks noChangeArrowheads="1"/>
        </xdr:cNvSpPr>
      </xdr:nvSpPr>
      <xdr:spPr bwMode="auto">
        <a:xfrm>
          <a:off x="15944850" y="550545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47" name="AutoShape 46">
          <a:extLst>
            <a:ext uri="{FF2B5EF4-FFF2-40B4-BE49-F238E27FC236}">
              <a16:creationId xmlns:a16="http://schemas.microsoft.com/office/drawing/2014/main" id="{4F0B3A24-9F0C-4596-9179-79A6B4A49CF7}"/>
            </a:ext>
          </a:extLst>
        </xdr:cNvPr>
        <xdr:cNvSpPr>
          <a:spLocks noChangeArrowheads="1"/>
        </xdr:cNvSpPr>
      </xdr:nvSpPr>
      <xdr:spPr bwMode="auto">
        <a:xfrm>
          <a:off x="19246850" y="550545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48" name="AutoShape 46">
          <a:extLst>
            <a:ext uri="{FF2B5EF4-FFF2-40B4-BE49-F238E27FC236}">
              <a16:creationId xmlns:a16="http://schemas.microsoft.com/office/drawing/2014/main" id="{3DE3CFFE-8569-43E0-A467-553C6F70028E}"/>
            </a:ext>
          </a:extLst>
        </xdr:cNvPr>
        <xdr:cNvSpPr>
          <a:spLocks noChangeArrowheads="1"/>
        </xdr:cNvSpPr>
      </xdr:nvSpPr>
      <xdr:spPr bwMode="auto">
        <a:xfrm>
          <a:off x="2099945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49" name="AutoShape 46">
          <a:extLst>
            <a:ext uri="{FF2B5EF4-FFF2-40B4-BE49-F238E27FC236}">
              <a16:creationId xmlns:a16="http://schemas.microsoft.com/office/drawing/2014/main" id="{8F709913-67AA-4EF1-BDAA-217E942ED8D9}"/>
            </a:ext>
          </a:extLst>
        </xdr:cNvPr>
        <xdr:cNvSpPr>
          <a:spLocks noChangeArrowheads="1"/>
        </xdr:cNvSpPr>
      </xdr:nvSpPr>
      <xdr:spPr bwMode="auto">
        <a:xfrm>
          <a:off x="22561550" y="5505450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50" name="AutoShape 46">
          <a:extLst>
            <a:ext uri="{FF2B5EF4-FFF2-40B4-BE49-F238E27FC236}">
              <a16:creationId xmlns:a16="http://schemas.microsoft.com/office/drawing/2014/main" id="{9B7100C7-B675-4A68-9275-B6A6E5157B21}"/>
            </a:ext>
          </a:extLst>
        </xdr:cNvPr>
        <xdr:cNvSpPr>
          <a:spLocks noChangeArrowheads="1"/>
        </xdr:cNvSpPr>
      </xdr:nvSpPr>
      <xdr:spPr bwMode="auto">
        <a:xfrm>
          <a:off x="1397000" y="57937400"/>
          <a:ext cx="971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51" name="AutoShape 46">
          <a:extLst>
            <a:ext uri="{FF2B5EF4-FFF2-40B4-BE49-F238E27FC236}">
              <a16:creationId xmlns:a16="http://schemas.microsoft.com/office/drawing/2014/main" id="{AA309103-25C9-4125-AAA5-7CD83FD92F35}"/>
            </a:ext>
          </a:extLst>
        </xdr:cNvPr>
        <xdr:cNvSpPr>
          <a:spLocks noChangeArrowheads="1"/>
        </xdr:cNvSpPr>
      </xdr:nvSpPr>
      <xdr:spPr bwMode="auto">
        <a:xfrm>
          <a:off x="314960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52" name="AutoShape 46">
          <a:extLst>
            <a:ext uri="{FF2B5EF4-FFF2-40B4-BE49-F238E27FC236}">
              <a16:creationId xmlns:a16="http://schemas.microsoft.com/office/drawing/2014/main" id="{7E6599BA-C5F5-4EA2-8EB2-B758FCAE868A}"/>
            </a:ext>
          </a:extLst>
        </xdr:cNvPr>
        <xdr:cNvSpPr>
          <a:spLocks noChangeArrowheads="1"/>
        </xdr:cNvSpPr>
      </xdr:nvSpPr>
      <xdr:spPr bwMode="auto">
        <a:xfrm>
          <a:off x="471170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53" name="AutoShape 46">
          <a:extLst>
            <a:ext uri="{FF2B5EF4-FFF2-40B4-BE49-F238E27FC236}">
              <a16:creationId xmlns:a16="http://schemas.microsoft.com/office/drawing/2014/main" id="{261D7D34-1F23-4DB5-B4A8-75238ED52399}"/>
            </a:ext>
          </a:extLst>
        </xdr:cNvPr>
        <xdr:cNvSpPr>
          <a:spLocks noChangeArrowheads="1"/>
        </xdr:cNvSpPr>
      </xdr:nvSpPr>
      <xdr:spPr bwMode="auto">
        <a:xfrm>
          <a:off x="6273800" y="57937400"/>
          <a:ext cx="8890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54" name="AutoShape 46">
          <a:extLst>
            <a:ext uri="{FF2B5EF4-FFF2-40B4-BE49-F238E27FC236}">
              <a16:creationId xmlns:a16="http://schemas.microsoft.com/office/drawing/2014/main" id="{F7EF97A8-8B8A-4067-92F6-87DDDAD87D95}"/>
            </a:ext>
          </a:extLst>
        </xdr:cNvPr>
        <xdr:cNvSpPr>
          <a:spLocks noChangeArrowheads="1"/>
        </xdr:cNvSpPr>
      </xdr:nvSpPr>
      <xdr:spPr bwMode="auto">
        <a:xfrm>
          <a:off x="7943850" y="57937400"/>
          <a:ext cx="971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55" name="AutoShape 46">
          <a:extLst>
            <a:ext uri="{FF2B5EF4-FFF2-40B4-BE49-F238E27FC236}">
              <a16:creationId xmlns:a16="http://schemas.microsoft.com/office/drawing/2014/main" id="{7C7700E7-A8C1-4547-9690-A9BA5E3C43D3}"/>
            </a:ext>
          </a:extLst>
        </xdr:cNvPr>
        <xdr:cNvSpPr>
          <a:spLocks noChangeArrowheads="1"/>
        </xdr:cNvSpPr>
      </xdr:nvSpPr>
      <xdr:spPr bwMode="auto">
        <a:xfrm>
          <a:off x="96964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56" name="AutoShape 46">
          <a:extLst>
            <a:ext uri="{FF2B5EF4-FFF2-40B4-BE49-F238E27FC236}">
              <a16:creationId xmlns:a16="http://schemas.microsoft.com/office/drawing/2014/main" id="{471033E5-69D2-46F0-9534-A958C87449AE}"/>
            </a:ext>
          </a:extLst>
        </xdr:cNvPr>
        <xdr:cNvSpPr>
          <a:spLocks noChangeArrowheads="1"/>
        </xdr:cNvSpPr>
      </xdr:nvSpPr>
      <xdr:spPr bwMode="auto">
        <a:xfrm>
          <a:off x="112585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7" name="AutoShape 46">
          <a:extLst>
            <a:ext uri="{FF2B5EF4-FFF2-40B4-BE49-F238E27FC236}">
              <a16:creationId xmlns:a16="http://schemas.microsoft.com/office/drawing/2014/main" id="{37786C8A-D2A0-4AAB-AE3B-983F49A2FC9E}"/>
            </a:ext>
          </a:extLst>
        </xdr:cNvPr>
        <xdr:cNvSpPr>
          <a:spLocks noChangeArrowheads="1"/>
        </xdr:cNvSpPr>
      </xdr:nvSpPr>
      <xdr:spPr bwMode="auto">
        <a:xfrm>
          <a:off x="12820650" y="5793740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8" name="AutoShape 46">
          <a:extLst>
            <a:ext uri="{FF2B5EF4-FFF2-40B4-BE49-F238E27FC236}">
              <a16:creationId xmlns:a16="http://schemas.microsoft.com/office/drawing/2014/main" id="{12592E30-F938-40E5-B885-0E3EC8B3FCC8}"/>
            </a:ext>
          </a:extLst>
        </xdr:cNvPr>
        <xdr:cNvSpPr>
          <a:spLocks noChangeArrowheads="1"/>
        </xdr:cNvSpPr>
      </xdr:nvSpPr>
      <xdr:spPr bwMode="auto">
        <a:xfrm>
          <a:off x="14382750" y="5793740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9" name="AutoShape 46">
          <a:extLst>
            <a:ext uri="{FF2B5EF4-FFF2-40B4-BE49-F238E27FC236}">
              <a16:creationId xmlns:a16="http://schemas.microsoft.com/office/drawing/2014/main" id="{D3E0FA55-AC51-4868-8D64-473CE59D5C68}"/>
            </a:ext>
          </a:extLst>
        </xdr:cNvPr>
        <xdr:cNvSpPr>
          <a:spLocks noChangeArrowheads="1"/>
        </xdr:cNvSpPr>
      </xdr:nvSpPr>
      <xdr:spPr bwMode="auto">
        <a:xfrm>
          <a:off x="15944850" y="57937400"/>
          <a:ext cx="9588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0" name="AutoShape 46">
          <a:extLst>
            <a:ext uri="{FF2B5EF4-FFF2-40B4-BE49-F238E27FC236}">
              <a16:creationId xmlns:a16="http://schemas.microsoft.com/office/drawing/2014/main" id="{C2E8A307-6FA9-427C-A038-725C31A8962E}"/>
            </a:ext>
          </a:extLst>
        </xdr:cNvPr>
        <xdr:cNvSpPr>
          <a:spLocks noChangeArrowheads="1"/>
        </xdr:cNvSpPr>
      </xdr:nvSpPr>
      <xdr:spPr bwMode="auto">
        <a:xfrm>
          <a:off x="17684750" y="5793740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1" name="AutoShape 46">
          <a:extLst>
            <a:ext uri="{FF2B5EF4-FFF2-40B4-BE49-F238E27FC236}">
              <a16:creationId xmlns:a16="http://schemas.microsoft.com/office/drawing/2014/main" id="{84C37E7C-E69D-4BEC-9DDE-5A78574FBB6B}"/>
            </a:ext>
          </a:extLst>
        </xdr:cNvPr>
        <xdr:cNvSpPr>
          <a:spLocks noChangeArrowheads="1"/>
        </xdr:cNvSpPr>
      </xdr:nvSpPr>
      <xdr:spPr bwMode="auto">
        <a:xfrm>
          <a:off x="19246850" y="57937400"/>
          <a:ext cx="8445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2" name="AutoShape 46">
          <a:extLst>
            <a:ext uri="{FF2B5EF4-FFF2-40B4-BE49-F238E27FC236}">
              <a16:creationId xmlns:a16="http://schemas.microsoft.com/office/drawing/2014/main" id="{007F8CD6-E053-46BA-844C-48EABE67CF83}"/>
            </a:ext>
          </a:extLst>
        </xdr:cNvPr>
        <xdr:cNvSpPr>
          <a:spLocks noChangeArrowheads="1"/>
        </xdr:cNvSpPr>
      </xdr:nvSpPr>
      <xdr:spPr bwMode="auto">
        <a:xfrm>
          <a:off x="20999450" y="5793740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3" name="AutoShape 46">
          <a:extLst>
            <a:ext uri="{FF2B5EF4-FFF2-40B4-BE49-F238E27FC236}">
              <a16:creationId xmlns:a16="http://schemas.microsoft.com/office/drawing/2014/main" id="{0A3EC3AF-BAD0-4F17-9D07-54E72F5AF78E}"/>
            </a:ext>
          </a:extLst>
        </xdr:cNvPr>
        <xdr:cNvSpPr>
          <a:spLocks noChangeArrowheads="1"/>
        </xdr:cNvSpPr>
      </xdr:nvSpPr>
      <xdr:spPr bwMode="auto">
        <a:xfrm>
          <a:off x="22561550" y="57937400"/>
          <a:ext cx="8763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4" name="AutoShape 46">
          <a:extLst>
            <a:ext uri="{FF2B5EF4-FFF2-40B4-BE49-F238E27FC236}">
              <a16:creationId xmlns:a16="http://schemas.microsoft.com/office/drawing/2014/main" id="{3A295B3D-06F4-4B50-88FD-2089A813BAF4}"/>
            </a:ext>
          </a:extLst>
        </xdr:cNvPr>
        <xdr:cNvSpPr>
          <a:spLocks noChangeArrowheads="1"/>
        </xdr:cNvSpPr>
      </xdr:nvSpPr>
      <xdr:spPr bwMode="auto">
        <a:xfrm>
          <a:off x="14382750" y="5793740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5" name="AutoShape 46">
          <a:extLst>
            <a:ext uri="{FF2B5EF4-FFF2-40B4-BE49-F238E27FC236}">
              <a16:creationId xmlns:a16="http://schemas.microsoft.com/office/drawing/2014/main" id="{060F0AE6-E6D9-4B4E-9EBF-A265091C4DE0}"/>
            </a:ext>
          </a:extLst>
        </xdr:cNvPr>
        <xdr:cNvSpPr>
          <a:spLocks noChangeArrowheads="1"/>
        </xdr:cNvSpPr>
      </xdr:nvSpPr>
      <xdr:spPr bwMode="auto">
        <a:xfrm>
          <a:off x="15944850" y="57937400"/>
          <a:ext cx="9588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6" name="AutoShape 46">
          <a:extLst>
            <a:ext uri="{FF2B5EF4-FFF2-40B4-BE49-F238E27FC236}">
              <a16:creationId xmlns:a16="http://schemas.microsoft.com/office/drawing/2014/main" id="{F78F4588-604C-4D74-80B0-5443C7ECC570}"/>
            </a:ext>
          </a:extLst>
        </xdr:cNvPr>
        <xdr:cNvSpPr>
          <a:spLocks noChangeArrowheads="1"/>
        </xdr:cNvSpPr>
      </xdr:nvSpPr>
      <xdr:spPr bwMode="auto">
        <a:xfrm>
          <a:off x="17684750" y="5793740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7" name="AutoShape 46">
          <a:extLst>
            <a:ext uri="{FF2B5EF4-FFF2-40B4-BE49-F238E27FC236}">
              <a16:creationId xmlns:a16="http://schemas.microsoft.com/office/drawing/2014/main" id="{28EC02F9-90E2-4543-BABD-CA9733F09D29}"/>
            </a:ext>
          </a:extLst>
        </xdr:cNvPr>
        <xdr:cNvSpPr>
          <a:spLocks noChangeArrowheads="1"/>
        </xdr:cNvSpPr>
      </xdr:nvSpPr>
      <xdr:spPr bwMode="auto">
        <a:xfrm>
          <a:off x="19246850" y="57937400"/>
          <a:ext cx="8445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8" name="AutoShape 46">
          <a:extLst>
            <a:ext uri="{FF2B5EF4-FFF2-40B4-BE49-F238E27FC236}">
              <a16:creationId xmlns:a16="http://schemas.microsoft.com/office/drawing/2014/main" id="{F75AAA0A-D04C-49F4-B875-6E52092105EC}"/>
            </a:ext>
          </a:extLst>
        </xdr:cNvPr>
        <xdr:cNvSpPr>
          <a:spLocks noChangeArrowheads="1"/>
        </xdr:cNvSpPr>
      </xdr:nvSpPr>
      <xdr:spPr bwMode="auto">
        <a:xfrm>
          <a:off x="20999450" y="5793740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9" name="AutoShape 46">
          <a:extLst>
            <a:ext uri="{FF2B5EF4-FFF2-40B4-BE49-F238E27FC236}">
              <a16:creationId xmlns:a16="http://schemas.microsoft.com/office/drawing/2014/main" id="{D48B94FC-1A66-4613-838E-74D33BFD3764}"/>
            </a:ext>
          </a:extLst>
        </xdr:cNvPr>
        <xdr:cNvSpPr>
          <a:spLocks noChangeArrowheads="1"/>
        </xdr:cNvSpPr>
      </xdr:nvSpPr>
      <xdr:spPr bwMode="auto">
        <a:xfrm>
          <a:off x="22561550" y="57937400"/>
          <a:ext cx="8763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70" name="AutoShape 46">
          <a:extLst>
            <a:ext uri="{FF2B5EF4-FFF2-40B4-BE49-F238E27FC236}">
              <a16:creationId xmlns:a16="http://schemas.microsoft.com/office/drawing/2014/main" id="{A36AB368-ACDC-4BD0-A466-C2EB5DAD56A4}"/>
            </a:ext>
          </a:extLst>
        </xdr:cNvPr>
        <xdr:cNvSpPr>
          <a:spLocks noChangeArrowheads="1"/>
        </xdr:cNvSpPr>
      </xdr:nvSpPr>
      <xdr:spPr bwMode="auto">
        <a:xfrm>
          <a:off x="128206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71" name="AutoShape 46">
          <a:extLst>
            <a:ext uri="{FF2B5EF4-FFF2-40B4-BE49-F238E27FC236}">
              <a16:creationId xmlns:a16="http://schemas.microsoft.com/office/drawing/2014/main" id="{211201DD-2DB3-41D8-8836-6E234713AFDC}"/>
            </a:ext>
          </a:extLst>
        </xdr:cNvPr>
        <xdr:cNvSpPr>
          <a:spLocks noChangeArrowheads="1"/>
        </xdr:cNvSpPr>
      </xdr:nvSpPr>
      <xdr:spPr bwMode="auto">
        <a:xfrm>
          <a:off x="143827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72" name="AutoShape 46">
          <a:extLst>
            <a:ext uri="{FF2B5EF4-FFF2-40B4-BE49-F238E27FC236}">
              <a16:creationId xmlns:a16="http://schemas.microsoft.com/office/drawing/2014/main" id="{89A43045-97F4-45A8-8BF7-1A160D76CE2B}"/>
            </a:ext>
          </a:extLst>
        </xdr:cNvPr>
        <xdr:cNvSpPr>
          <a:spLocks noChangeArrowheads="1"/>
        </xdr:cNvSpPr>
      </xdr:nvSpPr>
      <xdr:spPr bwMode="auto">
        <a:xfrm>
          <a:off x="15944850" y="57937400"/>
          <a:ext cx="9588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73" name="AutoShape 46">
          <a:extLst>
            <a:ext uri="{FF2B5EF4-FFF2-40B4-BE49-F238E27FC236}">
              <a16:creationId xmlns:a16="http://schemas.microsoft.com/office/drawing/2014/main" id="{D752FB68-B4FA-473D-861E-875B7CD46FE6}"/>
            </a:ext>
          </a:extLst>
        </xdr:cNvPr>
        <xdr:cNvSpPr>
          <a:spLocks noChangeArrowheads="1"/>
        </xdr:cNvSpPr>
      </xdr:nvSpPr>
      <xdr:spPr bwMode="auto">
        <a:xfrm>
          <a:off x="176847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74" name="AutoShape 46">
          <a:extLst>
            <a:ext uri="{FF2B5EF4-FFF2-40B4-BE49-F238E27FC236}">
              <a16:creationId xmlns:a16="http://schemas.microsoft.com/office/drawing/2014/main" id="{AB5B0AF7-7075-404D-A7FE-83C0B5BFD5FF}"/>
            </a:ext>
          </a:extLst>
        </xdr:cNvPr>
        <xdr:cNvSpPr>
          <a:spLocks noChangeArrowheads="1"/>
        </xdr:cNvSpPr>
      </xdr:nvSpPr>
      <xdr:spPr bwMode="auto">
        <a:xfrm>
          <a:off x="19246850" y="57937400"/>
          <a:ext cx="8445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75" name="AutoShape 46">
          <a:extLst>
            <a:ext uri="{FF2B5EF4-FFF2-40B4-BE49-F238E27FC236}">
              <a16:creationId xmlns:a16="http://schemas.microsoft.com/office/drawing/2014/main" id="{90341DC3-3287-40A2-ACAF-368EB1AF99CC}"/>
            </a:ext>
          </a:extLst>
        </xdr:cNvPr>
        <xdr:cNvSpPr>
          <a:spLocks noChangeArrowheads="1"/>
        </xdr:cNvSpPr>
      </xdr:nvSpPr>
      <xdr:spPr bwMode="auto">
        <a:xfrm>
          <a:off x="20999450" y="57937400"/>
          <a:ext cx="78105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76" name="AutoShape 46">
          <a:extLst>
            <a:ext uri="{FF2B5EF4-FFF2-40B4-BE49-F238E27FC236}">
              <a16:creationId xmlns:a16="http://schemas.microsoft.com/office/drawing/2014/main" id="{595D9EE9-7145-4AE5-A1E4-9FC52C800917}"/>
            </a:ext>
          </a:extLst>
        </xdr:cNvPr>
        <xdr:cNvSpPr>
          <a:spLocks noChangeArrowheads="1"/>
        </xdr:cNvSpPr>
      </xdr:nvSpPr>
      <xdr:spPr bwMode="auto">
        <a:xfrm>
          <a:off x="22561550" y="57937400"/>
          <a:ext cx="8763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77" name="AutoShape 46">
          <a:extLst>
            <a:ext uri="{FF2B5EF4-FFF2-40B4-BE49-F238E27FC236}">
              <a16:creationId xmlns:a16="http://schemas.microsoft.com/office/drawing/2014/main" id="{685C1463-5CCF-4F64-B838-1A31FAF0BFED}"/>
            </a:ext>
          </a:extLst>
        </xdr:cNvPr>
        <xdr:cNvSpPr>
          <a:spLocks noChangeArrowheads="1"/>
        </xdr:cNvSpPr>
      </xdr:nvSpPr>
      <xdr:spPr bwMode="auto">
        <a:xfrm>
          <a:off x="1397000" y="614934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78" name="AutoShape 46">
          <a:extLst>
            <a:ext uri="{FF2B5EF4-FFF2-40B4-BE49-F238E27FC236}">
              <a16:creationId xmlns:a16="http://schemas.microsoft.com/office/drawing/2014/main" id="{72681FC8-10F3-456C-9E78-1BF0E3021195}"/>
            </a:ext>
          </a:extLst>
        </xdr:cNvPr>
        <xdr:cNvSpPr>
          <a:spLocks noChangeArrowheads="1"/>
        </xdr:cNvSpPr>
      </xdr:nvSpPr>
      <xdr:spPr bwMode="auto">
        <a:xfrm>
          <a:off x="314960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79" name="AutoShape 46">
          <a:extLst>
            <a:ext uri="{FF2B5EF4-FFF2-40B4-BE49-F238E27FC236}">
              <a16:creationId xmlns:a16="http://schemas.microsoft.com/office/drawing/2014/main" id="{478101E5-96E8-41CC-A902-8AA3D99BD970}"/>
            </a:ext>
          </a:extLst>
        </xdr:cNvPr>
        <xdr:cNvSpPr>
          <a:spLocks noChangeArrowheads="1"/>
        </xdr:cNvSpPr>
      </xdr:nvSpPr>
      <xdr:spPr bwMode="auto">
        <a:xfrm>
          <a:off x="471170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80" name="AutoShape 46">
          <a:extLst>
            <a:ext uri="{FF2B5EF4-FFF2-40B4-BE49-F238E27FC236}">
              <a16:creationId xmlns:a16="http://schemas.microsoft.com/office/drawing/2014/main" id="{85741CB5-B275-479D-A117-F0065A463FF2}"/>
            </a:ext>
          </a:extLst>
        </xdr:cNvPr>
        <xdr:cNvSpPr>
          <a:spLocks noChangeArrowheads="1"/>
        </xdr:cNvSpPr>
      </xdr:nvSpPr>
      <xdr:spPr bwMode="auto">
        <a:xfrm>
          <a:off x="6273800" y="614934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81" name="AutoShape 46">
          <a:extLst>
            <a:ext uri="{FF2B5EF4-FFF2-40B4-BE49-F238E27FC236}">
              <a16:creationId xmlns:a16="http://schemas.microsoft.com/office/drawing/2014/main" id="{C0091730-D6AD-438C-859D-16B47D32F9B9}"/>
            </a:ext>
          </a:extLst>
        </xdr:cNvPr>
        <xdr:cNvSpPr>
          <a:spLocks noChangeArrowheads="1"/>
        </xdr:cNvSpPr>
      </xdr:nvSpPr>
      <xdr:spPr bwMode="auto">
        <a:xfrm>
          <a:off x="7943850" y="614934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82" name="AutoShape 46">
          <a:extLst>
            <a:ext uri="{FF2B5EF4-FFF2-40B4-BE49-F238E27FC236}">
              <a16:creationId xmlns:a16="http://schemas.microsoft.com/office/drawing/2014/main" id="{E7A0B183-EA17-43A5-B759-C4EF9913372E}"/>
            </a:ext>
          </a:extLst>
        </xdr:cNvPr>
        <xdr:cNvSpPr>
          <a:spLocks noChangeArrowheads="1"/>
        </xdr:cNvSpPr>
      </xdr:nvSpPr>
      <xdr:spPr bwMode="auto">
        <a:xfrm>
          <a:off x="96964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83" name="AutoShape 46">
          <a:extLst>
            <a:ext uri="{FF2B5EF4-FFF2-40B4-BE49-F238E27FC236}">
              <a16:creationId xmlns:a16="http://schemas.microsoft.com/office/drawing/2014/main" id="{D8B6B4DB-E857-4F0C-8924-E399B53A3197}"/>
            </a:ext>
          </a:extLst>
        </xdr:cNvPr>
        <xdr:cNvSpPr>
          <a:spLocks noChangeArrowheads="1"/>
        </xdr:cNvSpPr>
      </xdr:nvSpPr>
      <xdr:spPr bwMode="auto">
        <a:xfrm>
          <a:off x="112585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4" name="AutoShape 46">
          <a:extLst>
            <a:ext uri="{FF2B5EF4-FFF2-40B4-BE49-F238E27FC236}">
              <a16:creationId xmlns:a16="http://schemas.microsoft.com/office/drawing/2014/main" id="{1DC9A3EF-EF13-4F70-A883-DD5051D5410B}"/>
            </a:ext>
          </a:extLst>
        </xdr:cNvPr>
        <xdr:cNvSpPr>
          <a:spLocks noChangeArrowheads="1"/>
        </xdr:cNvSpPr>
      </xdr:nvSpPr>
      <xdr:spPr bwMode="auto">
        <a:xfrm>
          <a:off x="12820650" y="61493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5" name="AutoShape 46">
          <a:extLst>
            <a:ext uri="{FF2B5EF4-FFF2-40B4-BE49-F238E27FC236}">
              <a16:creationId xmlns:a16="http://schemas.microsoft.com/office/drawing/2014/main" id="{F045BC64-F715-4185-8930-D898010A5B8F}"/>
            </a:ext>
          </a:extLst>
        </xdr:cNvPr>
        <xdr:cNvSpPr>
          <a:spLocks noChangeArrowheads="1"/>
        </xdr:cNvSpPr>
      </xdr:nvSpPr>
      <xdr:spPr bwMode="auto">
        <a:xfrm>
          <a:off x="14382750" y="614934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6" name="AutoShape 46">
          <a:extLst>
            <a:ext uri="{FF2B5EF4-FFF2-40B4-BE49-F238E27FC236}">
              <a16:creationId xmlns:a16="http://schemas.microsoft.com/office/drawing/2014/main" id="{41C5CF34-3191-4B1D-ADC3-B327138F2D6D}"/>
            </a:ext>
          </a:extLst>
        </xdr:cNvPr>
        <xdr:cNvSpPr>
          <a:spLocks noChangeArrowheads="1"/>
        </xdr:cNvSpPr>
      </xdr:nvSpPr>
      <xdr:spPr bwMode="auto">
        <a:xfrm>
          <a:off x="15944850" y="614934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7" name="AutoShape 46">
          <a:extLst>
            <a:ext uri="{FF2B5EF4-FFF2-40B4-BE49-F238E27FC236}">
              <a16:creationId xmlns:a16="http://schemas.microsoft.com/office/drawing/2014/main" id="{FBBBFC80-4E7E-4094-89C4-57CC15D3324A}"/>
            </a:ext>
          </a:extLst>
        </xdr:cNvPr>
        <xdr:cNvSpPr>
          <a:spLocks noChangeArrowheads="1"/>
        </xdr:cNvSpPr>
      </xdr:nvSpPr>
      <xdr:spPr bwMode="auto">
        <a:xfrm>
          <a:off x="17684750" y="614934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8" name="AutoShape 46">
          <a:extLst>
            <a:ext uri="{FF2B5EF4-FFF2-40B4-BE49-F238E27FC236}">
              <a16:creationId xmlns:a16="http://schemas.microsoft.com/office/drawing/2014/main" id="{FFAC1082-8F96-4BAE-AED8-EFC5C26AC2CC}"/>
            </a:ext>
          </a:extLst>
        </xdr:cNvPr>
        <xdr:cNvSpPr>
          <a:spLocks noChangeArrowheads="1"/>
        </xdr:cNvSpPr>
      </xdr:nvSpPr>
      <xdr:spPr bwMode="auto">
        <a:xfrm>
          <a:off x="19246850" y="614934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9" name="AutoShape 46">
          <a:extLst>
            <a:ext uri="{FF2B5EF4-FFF2-40B4-BE49-F238E27FC236}">
              <a16:creationId xmlns:a16="http://schemas.microsoft.com/office/drawing/2014/main" id="{D625D912-8501-45C1-9020-3FCAF74DCD27}"/>
            </a:ext>
          </a:extLst>
        </xdr:cNvPr>
        <xdr:cNvSpPr>
          <a:spLocks noChangeArrowheads="1"/>
        </xdr:cNvSpPr>
      </xdr:nvSpPr>
      <xdr:spPr bwMode="auto">
        <a:xfrm>
          <a:off x="20999450" y="614934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0" name="AutoShape 46">
          <a:extLst>
            <a:ext uri="{FF2B5EF4-FFF2-40B4-BE49-F238E27FC236}">
              <a16:creationId xmlns:a16="http://schemas.microsoft.com/office/drawing/2014/main" id="{EF44C5D6-C3F3-467B-96C0-2ADB40141F6C}"/>
            </a:ext>
          </a:extLst>
        </xdr:cNvPr>
        <xdr:cNvSpPr>
          <a:spLocks noChangeArrowheads="1"/>
        </xdr:cNvSpPr>
      </xdr:nvSpPr>
      <xdr:spPr bwMode="auto">
        <a:xfrm>
          <a:off x="22561550" y="614934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1" name="AutoShape 46">
          <a:extLst>
            <a:ext uri="{FF2B5EF4-FFF2-40B4-BE49-F238E27FC236}">
              <a16:creationId xmlns:a16="http://schemas.microsoft.com/office/drawing/2014/main" id="{F405CD3A-55E1-49D2-8BF7-90E04E25794B}"/>
            </a:ext>
          </a:extLst>
        </xdr:cNvPr>
        <xdr:cNvSpPr>
          <a:spLocks noChangeArrowheads="1"/>
        </xdr:cNvSpPr>
      </xdr:nvSpPr>
      <xdr:spPr bwMode="auto">
        <a:xfrm>
          <a:off x="14382750" y="61493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2" name="AutoShape 46">
          <a:extLst>
            <a:ext uri="{FF2B5EF4-FFF2-40B4-BE49-F238E27FC236}">
              <a16:creationId xmlns:a16="http://schemas.microsoft.com/office/drawing/2014/main" id="{CF90C4C2-7789-4B5F-94A9-BDC948AAC23D}"/>
            </a:ext>
          </a:extLst>
        </xdr:cNvPr>
        <xdr:cNvSpPr>
          <a:spLocks noChangeArrowheads="1"/>
        </xdr:cNvSpPr>
      </xdr:nvSpPr>
      <xdr:spPr bwMode="auto">
        <a:xfrm>
          <a:off x="15944850" y="614934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3" name="AutoShape 46">
          <a:extLst>
            <a:ext uri="{FF2B5EF4-FFF2-40B4-BE49-F238E27FC236}">
              <a16:creationId xmlns:a16="http://schemas.microsoft.com/office/drawing/2014/main" id="{D38B8448-1018-4584-B537-914FD528DBE9}"/>
            </a:ext>
          </a:extLst>
        </xdr:cNvPr>
        <xdr:cNvSpPr>
          <a:spLocks noChangeArrowheads="1"/>
        </xdr:cNvSpPr>
      </xdr:nvSpPr>
      <xdr:spPr bwMode="auto">
        <a:xfrm>
          <a:off x="17684750" y="61493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4" name="AutoShape 46">
          <a:extLst>
            <a:ext uri="{FF2B5EF4-FFF2-40B4-BE49-F238E27FC236}">
              <a16:creationId xmlns:a16="http://schemas.microsoft.com/office/drawing/2014/main" id="{FC199C72-CFF6-4CA8-890D-6FF8161BE086}"/>
            </a:ext>
          </a:extLst>
        </xdr:cNvPr>
        <xdr:cNvSpPr>
          <a:spLocks noChangeArrowheads="1"/>
        </xdr:cNvSpPr>
      </xdr:nvSpPr>
      <xdr:spPr bwMode="auto">
        <a:xfrm>
          <a:off x="19246850" y="614934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5" name="AutoShape 46">
          <a:extLst>
            <a:ext uri="{FF2B5EF4-FFF2-40B4-BE49-F238E27FC236}">
              <a16:creationId xmlns:a16="http://schemas.microsoft.com/office/drawing/2014/main" id="{DC34FEDD-F681-41EE-A20E-72654A641A46}"/>
            </a:ext>
          </a:extLst>
        </xdr:cNvPr>
        <xdr:cNvSpPr>
          <a:spLocks noChangeArrowheads="1"/>
        </xdr:cNvSpPr>
      </xdr:nvSpPr>
      <xdr:spPr bwMode="auto">
        <a:xfrm>
          <a:off x="20999450" y="614934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6" name="AutoShape 46">
          <a:extLst>
            <a:ext uri="{FF2B5EF4-FFF2-40B4-BE49-F238E27FC236}">
              <a16:creationId xmlns:a16="http://schemas.microsoft.com/office/drawing/2014/main" id="{30544D59-5212-4F9B-8DC7-9081CD829645}"/>
            </a:ext>
          </a:extLst>
        </xdr:cNvPr>
        <xdr:cNvSpPr>
          <a:spLocks noChangeArrowheads="1"/>
        </xdr:cNvSpPr>
      </xdr:nvSpPr>
      <xdr:spPr bwMode="auto">
        <a:xfrm>
          <a:off x="22561550" y="614934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7" name="AutoShape 46">
          <a:extLst>
            <a:ext uri="{FF2B5EF4-FFF2-40B4-BE49-F238E27FC236}">
              <a16:creationId xmlns:a16="http://schemas.microsoft.com/office/drawing/2014/main" id="{02E166D1-B4B5-430F-9000-2A28C5FC333D}"/>
            </a:ext>
          </a:extLst>
        </xdr:cNvPr>
        <xdr:cNvSpPr>
          <a:spLocks noChangeArrowheads="1"/>
        </xdr:cNvSpPr>
      </xdr:nvSpPr>
      <xdr:spPr bwMode="auto">
        <a:xfrm>
          <a:off x="128206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8" name="AutoShape 46">
          <a:extLst>
            <a:ext uri="{FF2B5EF4-FFF2-40B4-BE49-F238E27FC236}">
              <a16:creationId xmlns:a16="http://schemas.microsoft.com/office/drawing/2014/main" id="{AA7FBD6B-27F9-4078-B7E4-47917C066057}"/>
            </a:ext>
          </a:extLst>
        </xdr:cNvPr>
        <xdr:cNvSpPr>
          <a:spLocks noChangeArrowheads="1"/>
        </xdr:cNvSpPr>
      </xdr:nvSpPr>
      <xdr:spPr bwMode="auto">
        <a:xfrm>
          <a:off x="143827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9" name="AutoShape 46">
          <a:extLst>
            <a:ext uri="{FF2B5EF4-FFF2-40B4-BE49-F238E27FC236}">
              <a16:creationId xmlns:a16="http://schemas.microsoft.com/office/drawing/2014/main" id="{83B4FD05-7F39-4F70-B794-8F9C376AE6A8}"/>
            </a:ext>
          </a:extLst>
        </xdr:cNvPr>
        <xdr:cNvSpPr>
          <a:spLocks noChangeArrowheads="1"/>
        </xdr:cNvSpPr>
      </xdr:nvSpPr>
      <xdr:spPr bwMode="auto">
        <a:xfrm>
          <a:off x="15944850" y="614934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0" name="AutoShape 46">
          <a:extLst>
            <a:ext uri="{FF2B5EF4-FFF2-40B4-BE49-F238E27FC236}">
              <a16:creationId xmlns:a16="http://schemas.microsoft.com/office/drawing/2014/main" id="{4B7E446C-A192-4C9F-AAD1-5ED883D07C34}"/>
            </a:ext>
          </a:extLst>
        </xdr:cNvPr>
        <xdr:cNvSpPr>
          <a:spLocks noChangeArrowheads="1"/>
        </xdr:cNvSpPr>
      </xdr:nvSpPr>
      <xdr:spPr bwMode="auto">
        <a:xfrm>
          <a:off x="176847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1" name="AutoShape 46">
          <a:extLst>
            <a:ext uri="{FF2B5EF4-FFF2-40B4-BE49-F238E27FC236}">
              <a16:creationId xmlns:a16="http://schemas.microsoft.com/office/drawing/2014/main" id="{4B916C8D-8128-4749-AC5B-63E812A2D812}"/>
            </a:ext>
          </a:extLst>
        </xdr:cNvPr>
        <xdr:cNvSpPr>
          <a:spLocks noChangeArrowheads="1"/>
        </xdr:cNvSpPr>
      </xdr:nvSpPr>
      <xdr:spPr bwMode="auto">
        <a:xfrm>
          <a:off x="19246850" y="614934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2" name="AutoShape 46">
          <a:extLst>
            <a:ext uri="{FF2B5EF4-FFF2-40B4-BE49-F238E27FC236}">
              <a16:creationId xmlns:a16="http://schemas.microsoft.com/office/drawing/2014/main" id="{2C60077D-4A75-4863-9B14-BA815F12B984}"/>
            </a:ext>
          </a:extLst>
        </xdr:cNvPr>
        <xdr:cNvSpPr>
          <a:spLocks noChangeArrowheads="1"/>
        </xdr:cNvSpPr>
      </xdr:nvSpPr>
      <xdr:spPr bwMode="auto">
        <a:xfrm>
          <a:off x="20999450" y="61493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3" name="AutoShape 46">
          <a:extLst>
            <a:ext uri="{FF2B5EF4-FFF2-40B4-BE49-F238E27FC236}">
              <a16:creationId xmlns:a16="http://schemas.microsoft.com/office/drawing/2014/main" id="{BEC56FE6-C38C-4A06-BB9C-2427FFDE5311}"/>
            </a:ext>
          </a:extLst>
        </xdr:cNvPr>
        <xdr:cNvSpPr>
          <a:spLocks noChangeArrowheads="1"/>
        </xdr:cNvSpPr>
      </xdr:nvSpPr>
      <xdr:spPr bwMode="auto">
        <a:xfrm>
          <a:off x="22561550" y="6149340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504" name="AutoShape 46">
          <a:extLst>
            <a:ext uri="{FF2B5EF4-FFF2-40B4-BE49-F238E27FC236}">
              <a16:creationId xmlns:a16="http://schemas.microsoft.com/office/drawing/2014/main" id="{4996D751-041D-4773-859C-C81EA73D33D4}"/>
            </a:ext>
          </a:extLst>
        </xdr:cNvPr>
        <xdr:cNvSpPr>
          <a:spLocks noChangeArrowheads="1"/>
        </xdr:cNvSpPr>
      </xdr:nvSpPr>
      <xdr:spPr bwMode="auto">
        <a:xfrm>
          <a:off x="1397000" y="653542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505" name="AutoShape 46">
          <a:extLst>
            <a:ext uri="{FF2B5EF4-FFF2-40B4-BE49-F238E27FC236}">
              <a16:creationId xmlns:a16="http://schemas.microsoft.com/office/drawing/2014/main" id="{66646C39-A357-4F0D-A547-6E54B0D42E79}"/>
            </a:ext>
          </a:extLst>
        </xdr:cNvPr>
        <xdr:cNvSpPr>
          <a:spLocks noChangeArrowheads="1"/>
        </xdr:cNvSpPr>
      </xdr:nvSpPr>
      <xdr:spPr bwMode="auto">
        <a:xfrm>
          <a:off x="3149600" y="653542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506" name="AutoShape 46">
          <a:extLst>
            <a:ext uri="{FF2B5EF4-FFF2-40B4-BE49-F238E27FC236}">
              <a16:creationId xmlns:a16="http://schemas.microsoft.com/office/drawing/2014/main" id="{D1A75A8C-0BF5-43DF-BBCF-3346A0263A1C}"/>
            </a:ext>
          </a:extLst>
        </xdr:cNvPr>
        <xdr:cNvSpPr>
          <a:spLocks noChangeArrowheads="1"/>
        </xdr:cNvSpPr>
      </xdr:nvSpPr>
      <xdr:spPr bwMode="auto">
        <a:xfrm>
          <a:off x="4711700" y="653542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507" name="AutoShape 46">
          <a:extLst>
            <a:ext uri="{FF2B5EF4-FFF2-40B4-BE49-F238E27FC236}">
              <a16:creationId xmlns:a16="http://schemas.microsoft.com/office/drawing/2014/main" id="{07FF479B-DE7B-4FC0-B2B7-6C328C77E222}"/>
            </a:ext>
          </a:extLst>
        </xdr:cNvPr>
        <xdr:cNvSpPr>
          <a:spLocks noChangeArrowheads="1"/>
        </xdr:cNvSpPr>
      </xdr:nvSpPr>
      <xdr:spPr bwMode="auto">
        <a:xfrm>
          <a:off x="6273800" y="653542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508" name="AutoShape 46">
          <a:extLst>
            <a:ext uri="{FF2B5EF4-FFF2-40B4-BE49-F238E27FC236}">
              <a16:creationId xmlns:a16="http://schemas.microsoft.com/office/drawing/2014/main" id="{182990BC-70E6-4204-A626-5A92FAD901B2}"/>
            </a:ext>
          </a:extLst>
        </xdr:cNvPr>
        <xdr:cNvSpPr>
          <a:spLocks noChangeArrowheads="1"/>
        </xdr:cNvSpPr>
      </xdr:nvSpPr>
      <xdr:spPr bwMode="auto">
        <a:xfrm>
          <a:off x="7943850" y="653542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509" name="AutoShape 46">
          <a:extLst>
            <a:ext uri="{FF2B5EF4-FFF2-40B4-BE49-F238E27FC236}">
              <a16:creationId xmlns:a16="http://schemas.microsoft.com/office/drawing/2014/main" id="{5C68E050-0A77-4236-AF41-E882D53DC20C}"/>
            </a:ext>
          </a:extLst>
        </xdr:cNvPr>
        <xdr:cNvSpPr>
          <a:spLocks noChangeArrowheads="1"/>
        </xdr:cNvSpPr>
      </xdr:nvSpPr>
      <xdr:spPr bwMode="auto">
        <a:xfrm>
          <a:off x="96964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510" name="AutoShape 46">
          <a:extLst>
            <a:ext uri="{FF2B5EF4-FFF2-40B4-BE49-F238E27FC236}">
              <a16:creationId xmlns:a16="http://schemas.microsoft.com/office/drawing/2014/main" id="{5BD6D009-CBAC-4B8A-8F32-97FDEBC29454}"/>
            </a:ext>
          </a:extLst>
        </xdr:cNvPr>
        <xdr:cNvSpPr>
          <a:spLocks noChangeArrowheads="1"/>
        </xdr:cNvSpPr>
      </xdr:nvSpPr>
      <xdr:spPr bwMode="auto">
        <a:xfrm>
          <a:off x="11258550" y="653542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1" name="AutoShape 46">
          <a:extLst>
            <a:ext uri="{FF2B5EF4-FFF2-40B4-BE49-F238E27FC236}">
              <a16:creationId xmlns:a16="http://schemas.microsoft.com/office/drawing/2014/main" id="{B7D1296F-9924-4C81-B4D7-E835823FE12C}"/>
            </a:ext>
          </a:extLst>
        </xdr:cNvPr>
        <xdr:cNvSpPr>
          <a:spLocks noChangeArrowheads="1"/>
        </xdr:cNvSpPr>
      </xdr:nvSpPr>
      <xdr:spPr bwMode="auto">
        <a:xfrm>
          <a:off x="128206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2" name="AutoShape 46">
          <a:extLst>
            <a:ext uri="{FF2B5EF4-FFF2-40B4-BE49-F238E27FC236}">
              <a16:creationId xmlns:a16="http://schemas.microsoft.com/office/drawing/2014/main" id="{59C8BE05-22D9-481F-9E74-EE3FE0C1C526}"/>
            </a:ext>
          </a:extLst>
        </xdr:cNvPr>
        <xdr:cNvSpPr>
          <a:spLocks noChangeArrowheads="1"/>
        </xdr:cNvSpPr>
      </xdr:nvSpPr>
      <xdr:spPr bwMode="auto">
        <a:xfrm>
          <a:off x="14382750" y="653542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3" name="AutoShape 46">
          <a:extLst>
            <a:ext uri="{FF2B5EF4-FFF2-40B4-BE49-F238E27FC236}">
              <a16:creationId xmlns:a16="http://schemas.microsoft.com/office/drawing/2014/main" id="{F44256C8-2D73-4A7B-9A80-ABE7C5F948AF}"/>
            </a:ext>
          </a:extLst>
        </xdr:cNvPr>
        <xdr:cNvSpPr>
          <a:spLocks noChangeArrowheads="1"/>
        </xdr:cNvSpPr>
      </xdr:nvSpPr>
      <xdr:spPr bwMode="auto">
        <a:xfrm>
          <a:off x="15944850" y="653542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4" name="AutoShape 46">
          <a:extLst>
            <a:ext uri="{FF2B5EF4-FFF2-40B4-BE49-F238E27FC236}">
              <a16:creationId xmlns:a16="http://schemas.microsoft.com/office/drawing/2014/main" id="{C28AC9EE-0201-467B-A2A6-67D3A391AED1}"/>
            </a:ext>
          </a:extLst>
        </xdr:cNvPr>
        <xdr:cNvSpPr>
          <a:spLocks noChangeArrowheads="1"/>
        </xdr:cNvSpPr>
      </xdr:nvSpPr>
      <xdr:spPr bwMode="auto">
        <a:xfrm>
          <a:off x="17684750" y="653542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5" name="AutoShape 46">
          <a:extLst>
            <a:ext uri="{FF2B5EF4-FFF2-40B4-BE49-F238E27FC236}">
              <a16:creationId xmlns:a16="http://schemas.microsoft.com/office/drawing/2014/main" id="{15DFBBFF-3999-422C-AE6E-9B390D9DC75C}"/>
            </a:ext>
          </a:extLst>
        </xdr:cNvPr>
        <xdr:cNvSpPr>
          <a:spLocks noChangeArrowheads="1"/>
        </xdr:cNvSpPr>
      </xdr:nvSpPr>
      <xdr:spPr bwMode="auto">
        <a:xfrm>
          <a:off x="19246850" y="653542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6" name="AutoShape 46">
          <a:extLst>
            <a:ext uri="{FF2B5EF4-FFF2-40B4-BE49-F238E27FC236}">
              <a16:creationId xmlns:a16="http://schemas.microsoft.com/office/drawing/2014/main" id="{4EBCFC89-3A5C-4466-AB01-62BB9B7837CC}"/>
            </a:ext>
          </a:extLst>
        </xdr:cNvPr>
        <xdr:cNvSpPr>
          <a:spLocks noChangeArrowheads="1"/>
        </xdr:cNvSpPr>
      </xdr:nvSpPr>
      <xdr:spPr bwMode="auto">
        <a:xfrm>
          <a:off x="20999450" y="653542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7" name="AutoShape 46">
          <a:extLst>
            <a:ext uri="{FF2B5EF4-FFF2-40B4-BE49-F238E27FC236}">
              <a16:creationId xmlns:a16="http://schemas.microsoft.com/office/drawing/2014/main" id="{7D163038-7A41-4A23-B7F5-880107455143}"/>
            </a:ext>
          </a:extLst>
        </xdr:cNvPr>
        <xdr:cNvSpPr>
          <a:spLocks noChangeArrowheads="1"/>
        </xdr:cNvSpPr>
      </xdr:nvSpPr>
      <xdr:spPr bwMode="auto">
        <a:xfrm>
          <a:off x="22561550" y="653542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8" name="AutoShape 46">
          <a:extLst>
            <a:ext uri="{FF2B5EF4-FFF2-40B4-BE49-F238E27FC236}">
              <a16:creationId xmlns:a16="http://schemas.microsoft.com/office/drawing/2014/main" id="{69C6E925-EA0F-4190-A270-C903B07F0812}"/>
            </a:ext>
          </a:extLst>
        </xdr:cNvPr>
        <xdr:cNvSpPr>
          <a:spLocks noChangeArrowheads="1"/>
        </xdr:cNvSpPr>
      </xdr:nvSpPr>
      <xdr:spPr bwMode="auto">
        <a:xfrm>
          <a:off x="143827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9" name="AutoShape 46">
          <a:extLst>
            <a:ext uri="{FF2B5EF4-FFF2-40B4-BE49-F238E27FC236}">
              <a16:creationId xmlns:a16="http://schemas.microsoft.com/office/drawing/2014/main" id="{7D2CBE3C-0294-4D58-A231-28A6CFBA7876}"/>
            </a:ext>
          </a:extLst>
        </xdr:cNvPr>
        <xdr:cNvSpPr>
          <a:spLocks noChangeArrowheads="1"/>
        </xdr:cNvSpPr>
      </xdr:nvSpPr>
      <xdr:spPr bwMode="auto">
        <a:xfrm>
          <a:off x="15944850" y="653542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20" name="AutoShape 46">
          <a:extLst>
            <a:ext uri="{FF2B5EF4-FFF2-40B4-BE49-F238E27FC236}">
              <a16:creationId xmlns:a16="http://schemas.microsoft.com/office/drawing/2014/main" id="{B40586C2-CAC4-4E50-A889-38708A9094C1}"/>
            </a:ext>
          </a:extLst>
        </xdr:cNvPr>
        <xdr:cNvSpPr>
          <a:spLocks noChangeArrowheads="1"/>
        </xdr:cNvSpPr>
      </xdr:nvSpPr>
      <xdr:spPr bwMode="auto">
        <a:xfrm>
          <a:off x="176847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21" name="AutoShape 46">
          <a:extLst>
            <a:ext uri="{FF2B5EF4-FFF2-40B4-BE49-F238E27FC236}">
              <a16:creationId xmlns:a16="http://schemas.microsoft.com/office/drawing/2014/main" id="{FF6A1097-9FCE-452F-A3D8-CA7C1033DCB0}"/>
            </a:ext>
          </a:extLst>
        </xdr:cNvPr>
        <xdr:cNvSpPr>
          <a:spLocks noChangeArrowheads="1"/>
        </xdr:cNvSpPr>
      </xdr:nvSpPr>
      <xdr:spPr bwMode="auto">
        <a:xfrm>
          <a:off x="19246850" y="653542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22" name="AutoShape 46">
          <a:extLst>
            <a:ext uri="{FF2B5EF4-FFF2-40B4-BE49-F238E27FC236}">
              <a16:creationId xmlns:a16="http://schemas.microsoft.com/office/drawing/2014/main" id="{0A5A160D-D545-4827-953B-BBD5A796BC0C}"/>
            </a:ext>
          </a:extLst>
        </xdr:cNvPr>
        <xdr:cNvSpPr>
          <a:spLocks noChangeArrowheads="1"/>
        </xdr:cNvSpPr>
      </xdr:nvSpPr>
      <xdr:spPr bwMode="auto">
        <a:xfrm>
          <a:off x="209994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23" name="AutoShape 46">
          <a:extLst>
            <a:ext uri="{FF2B5EF4-FFF2-40B4-BE49-F238E27FC236}">
              <a16:creationId xmlns:a16="http://schemas.microsoft.com/office/drawing/2014/main" id="{E40D95F5-B0A9-44EC-A77B-134D1FF3B16B}"/>
            </a:ext>
          </a:extLst>
        </xdr:cNvPr>
        <xdr:cNvSpPr>
          <a:spLocks noChangeArrowheads="1"/>
        </xdr:cNvSpPr>
      </xdr:nvSpPr>
      <xdr:spPr bwMode="auto">
        <a:xfrm>
          <a:off x="22561550" y="653542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24" name="AutoShape 46">
          <a:extLst>
            <a:ext uri="{FF2B5EF4-FFF2-40B4-BE49-F238E27FC236}">
              <a16:creationId xmlns:a16="http://schemas.microsoft.com/office/drawing/2014/main" id="{DF8C0779-71F8-49E3-919B-700253ACB1CB}"/>
            </a:ext>
          </a:extLst>
        </xdr:cNvPr>
        <xdr:cNvSpPr>
          <a:spLocks noChangeArrowheads="1"/>
        </xdr:cNvSpPr>
      </xdr:nvSpPr>
      <xdr:spPr bwMode="auto">
        <a:xfrm>
          <a:off x="128206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25" name="AutoShape 46">
          <a:extLst>
            <a:ext uri="{FF2B5EF4-FFF2-40B4-BE49-F238E27FC236}">
              <a16:creationId xmlns:a16="http://schemas.microsoft.com/office/drawing/2014/main" id="{2D498385-C5F0-4C38-8FBC-2E58EB5C02D7}"/>
            </a:ext>
          </a:extLst>
        </xdr:cNvPr>
        <xdr:cNvSpPr>
          <a:spLocks noChangeArrowheads="1"/>
        </xdr:cNvSpPr>
      </xdr:nvSpPr>
      <xdr:spPr bwMode="auto">
        <a:xfrm>
          <a:off x="143827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26" name="AutoShape 46">
          <a:extLst>
            <a:ext uri="{FF2B5EF4-FFF2-40B4-BE49-F238E27FC236}">
              <a16:creationId xmlns:a16="http://schemas.microsoft.com/office/drawing/2014/main" id="{6A1EFB0C-BFE3-4A02-912F-EBF8D1869554}"/>
            </a:ext>
          </a:extLst>
        </xdr:cNvPr>
        <xdr:cNvSpPr>
          <a:spLocks noChangeArrowheads="1"/>
        </xdr:cNvSpPr>
      </xdr:nvSpPr>
      <xdr:spPr bwMode="auto">
        <a:xfrm>
          <a:off x="15944850" y="653542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27" name="AutoShape 46">
          <a:extLst>
            <a:ext uri="{FF2B5EF4-FFF2-40B4-BE49-F238E27FC236}">
              <a16:creationId xmlns:a16="http://schemas.microsoft.com/office/drawing/2014/main" id="{3F58224F-C427-47CD-81FD-FF3AB0334BAB}"/>
            </a:ext>
          </a:extLst>
        </xdr:cNvPr>
        <xdr:cNvSpPr>
          <a:spLocks noChangeArrowheads="1"/>
        </xdr:cNvSpPr>
      </xdr:nvSpPr>
      <xdr:spPr bwMode="auto">
        <a:xfrm>
          <a:off x="176847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28" name="AutoShape 46">
          <a:extLst>
            <a:ext uri="{FF2B5EF4-FFF2-40B4-BE49-F238E27FC236}">
              <a16:creationId xmlns:a16="http://schemas.microsoft.com/office/drawing/2014/main" id="{06E0D9BD-02B1-4B49-9707-6BDAC0EE2C8E}"/>
            </a:ext>
          </a:extLst>
        </xdr:cNvPr>
        <xdr:cNvSpPr>
          <a:spLocks noChangeArrowheads="1"/>
        </xdr:cNvSpPr>
      </xdr:nvSpPr>
      <xdr:spPr bwMode="auto">
        <a:xfrm>
          <a:off x="19246850" y="653542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29" name="AutoShape 46">
          <a:extLst>
            <a:ext uri="{FF2B5EF4-FFF2-40B4-BE49-F238E27FC236}">
              <a16:creationId xmlns:a16="http://schemas.microsoft.com/office/drawing/2014/main" id="{802252CA-1855-4C5F-8D40-A495217AFC9E}"/>
            </a:ext>
          </a:extLst>
        </xdr:cNvPr>
        <xdr:cNvSpPr>
          <a:spLocks noChangeArrowheads="1"/>
        </xdr:cNvSpPr>
      </xdr:nvSpPr>
      <xdr:spPr bwMode="auto">
        <a:xfrm>
          <a:off x="20999450" y="653542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30" name="AutoShape 46">
          <a:extLst>
            <a:ext uri="{FF2B5EF4-FFF2-40B4-BE49-F238E27FC236}">
              <a16:creationId xmlns:a16="http://schemas.microsoft.com/office/drawing/2014/main" id="{9098F589-69EF-4B18-9A7B-56F89CC51E64}"/>
            </a:ext>
          </a:extLst>
        </xdr:cNvPr>
        <xdr:cNvSpPr>
          <a:spLocks noChangeArrowheads="1"/>
        </xdr:cNvSpPr>
      </xdr:nvSpPr>
      <xdr:spPr bwMode="auto">
        <a:xfrm>
          <a:off x="22561550" y="653542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31" name="AutoShape 46">
          <a:extLst>
            <a:ext uri="{FF2B5EF4-FFF2-40B4-BE49-F238E27FC236}">
              <a16:creationId xmlns:a16="http://schemas.microsoft.com/office/drawing/2014/main" id="{A6549BDA-0CAA-4113-ACEC-F20B17BB783A}"/>
            </a:ext>
          </a:extLst>
        </xdr:cNvPr>
        <xdr:cNvSpPr>
          <a:spLocks noChangeArrowheads="1"/>
        </xdr:cNvSpPr>
      </xdr:nvSpPr>
      <xdr:spPr bwMode="auto">
        <a:xfrm>
          <a:off x="1397000" y="69043550"/>
          <a:ext cx="9715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32" name="AutoShape 46">
          <a:extLst>
            <a:ext uri="{FF2B5EF4-FFF2-40B4-BE49-F238E27FC236}">
              <a16:creationId xmlns:a16="http://schemas.microsoft.com/office/drawing/2014/main" id="{B0B1DB14-C5F0-4055-8791-3B5FB6685053}"/>
            </a:ext>
          </a:extLst>
        </xdr:cNvPr>
        <xdr:cNvSpPr>
          <a:spLocks noChangeArrowheads="1"/>
        </xdr:cNvSpPr>
      </xdr:nvSpPr>
      <xdr:spPr bwMode="auto">
        <a:xfrm>
          <a:off x="3149600" y="69043550"/>
          <a:ext cx="78105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33" name="AutoShape 46">
          <a:extLst>
            <a:ext uri="{FF2B5EF4-FFF2-40B4-BE49-F238E27FC236}">
              <a16:creationId xmlns:a16="http://schemas.microsoft.com/office/drawing/2014/main" id="{636AAAB7-E81B-4CEA-B40A-2B8C77F5D8DD}"/>
            </a:ext>
          </a:extLst>
        </xdr:cNvPr>
        <xdr:cNvSpPr>
          <a:spLocks noChangeArrowheads="1"/>
        </xdr:cNvSpPr>
      </xdr:nvSpPr>
      <xdr:spPr bwMode="auto">
        <a:xfrm>
          <a:off x="4711700" y="69043550"/>
          <a:ext cx="781050" cy="5334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34" name="AutoShape 46">
          <a:extLst>
            <a:ext uri="{FF2B5EF4-FFF2-40B4-BE49-F238E27FC236}">
              <a16:creationId xmlns:a16="http://schemas.microsoft.com/office/drawing/2014/main" id="{EA1E9072-78A1-4CF6-AB6A-30ADFFB04434}"/>
            </a:ext>
          </a:extLst>
        </xdr:cNvPr>
        <xdr:cNvSpPr>
          <a:spLocks noChangeArrowheads="1"/>
        </xdr:cNvSpPr>
      </xdr:nvSpPr>
      <xdr:spPr bwMode="auto">
        <a:xfrm>
          <a:off x="6273800" y="69043550"/>
          <a:ext cx="8890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35" name="AutoShape 46">
          <a:extLst>
            <a:ext uri="{FF2B5EF4-FFF2-40B4-BE49-F238E27FC236}">
              <a16:creationId xmlns:a16="http://schemas.microsoft.com/office/drawing/2014/main" id="{1C9DF1BD-A89E-4930-9F01-46E4A8D72DE8}"/>
            </a:ext>
          </a:extLst>
        </xdr:cNvPr>
        <xdr:cNvSpPr>
          <a:spLocks noChangeArrowheads="1"/>
        </xdr:cNvSpPr>
      </xdr:nvSpPr>
      <xdr:spPr bwMode="auto">
        <a:xfrm>
          <a:off x="7943850" y="69043550"/>
          <a:ext cx="9715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36" name="AutoShape 46">
          <a:extLst>
            <a:ext uri="{FF2B5EF4-FFF2-40B4-BE49-F238E27FC236}">
              <a16:creationId xmlns:a16="http://schemas.microsoft.com/office/drawing/2014/main" id="{A42F85A5-3344-4674-BBCC-292DDB7CDA1D}"/>
            </a:ext>
          </a:extLst>
        </xdr:cNvPr>
        <xdr:cNvSpPr>
          <a:spLocks noChangeArrowheads="1"/>
        </xdr:cNvSpPr>
      </xdr:nvSpPr>
      <xdr:spPr bwMode="auto">
        <a:xfrm>
          <a:off x="96964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37" name="AutoShape 46">
          <a:extLst>
            <a:ext uri="{FF2B5EF4-FFF2-40B4-BE49-F238E27FC236}">
              <a16:creationId xmlns:a16="http://schemas.microsoft.com/office/drawing/2014/main" id="{196F0465-EAB5-47C4-97F2-A0CF4A7AEDE2}"/>
            </a:ext>
          </a:extLst>
        </xdr:cNvPr>
        <xdr:cNvSpPr>
          <a:spLocks noChangeArrowheads="1"/>
        </xdr:cNvSpPr>
      </xdr:nvSpPr>
      <xdr:spPr bwMode="auto">
        <a:xfrm>
          <a:off x="11258550" y="69043550"/>
          <a:ext cx="78105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38" name="AutoShape 46">
          <a:extLst>
            <a:ext uri="{FF2B5EF4-FFF2-40B4-BE49-F238E27FC236}">
              <a16:creationId xmlns:a16="http://schemas.microsoft.com/office/drawing/2014/main" id="{34088F9A-140A-4484-BECC-2BD11F3F798D}"/>
            </a:ext>
          </a:extLst>
        </xdr:cNvPr>
        <xdr:cNvSpPr>
          <a:spLocks noChangeArrowheads="1"/>
        </xdr:cNvSpPr>
      </xdr:nvSpPr>
      <xdr:spPr bwMode="auto">
        <a:xfrm>
          <a:off x="128206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39" name="AutoShape 46">
          <a:extLst>
            <a:ext uri="{FF2B5EF4-FFF2-40B4-BE49-F238E27FC236}">
              <a16:creationId xmlns:a16="http://schemas.microsoft.com/office/drawing/2014/main" id="{3F9F3588-A3D2-4E76-9977-A1C00D14CE96}"/>
            </a:ext>
          </a:extLst>
        </xdr:cNvPr>
        <xdr:cNvSpPr>
          <a:spLocks noChangeArrowheads="1"/>
        </xdr:cNvSpPr>
      </xdr:nvSpPr>
      <xdr:spPr bwMode="auto">
        <a:xfrm>
          <a:off x="14382750" y="690435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0" name="AutoShape 46">
          <a:extLst>
            <a:ext uri="{FF2B5EF4-FFF2-40B4-BE49-F238E27FC236}">
              <a16:creationId xmlns:a16="http://schemas.microsoft.com/office/drawing/2014/main" id="{DF7E3B74-0AAF-4283-9242-7F369DA50E65}"/>
            </a:ext>
          </a:extLst>
        </xdr:cNvPr>
        <xdr:cNvSpPr>
          <a:spLocks noChangeArrowheads="1"/>
        </xdr:cNvSpPr>
      </xdr:nvSpPr>
      <xdr:spPr bwMode="auto">
        <a:xfrm>
          <a:off x="15944850" y="69043550"/>
          <a:ext cx="9588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1" name="AutoShape 46">
          <a:extLst>
            <a:ext uri="{FF2B5EF4-FFF2-40B4-BE49-F238E27FC236}">
              <a16:creationId xmlns:a16="http://schemas.microsoft.com/office/drawing/2014/main" id="{1E1D3567-CD09-4719-8856-EA5B7E7E17F1}"/>
            </a:ext>
          </a:extLst>
        </xdr:cNvPr>
        <xdr:cNvSpPr>
          <a:spLocks noChangeArrowheads="1"/>
        </xdr:cNvSpPr>
      </xdr:nvSpPr>
      <xdr:spPr bwMode="auto">
        <a:xfrm>
          <a:off x="17684750" y="690435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2" name="AutoShape 46">
          <a:extLst>
            <a:ext uri="{FF2B5EF4-FFF2-40B4-BE49-F238E27FC236}">
              <a16:creationId xmlns:a16="http://schemas.microsoft.com/office/drawing/2014/main" id="{72B17DCC-C25C-486B-B8FD-421AB80F62C6}"/>
            </a:ext>
          </a:extLst>
        </xdr:cNvPr>
        <xdr:cNvSpPr>
          <a:spLocks noChangeArrowheads="1"/>
        </xdr:cNvSpPr>
      </xdr:nvSpPr>
      <xdr:spPr bwMode="auto">
        <a:xfrm>
          <a:off x="19246850" y="69043550"/>
          <a:ext cx="8445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3" name="AutoShape 46">
          <a:extLst>
            <a:ext uri="{FF2B5EF4-FFF2-40B4-BE49-F238E27FC236}">
              <a16:creationId xmlns:a16="http://schemas.microsoft.com/office/drawing/2014/main" id="{B611B98D-412B-4D3C-B316-3B878EA875BF}"/>
            </a:ext>
          </a:extLst>
        </xdr:cNvPr>
        <xdr:cNvSpPr>
          <a:spLocks noChangeArrowheads="1"/>
        </xdr:cNvSpPr>
      </xdr:nvSpPr>
      <xdr:spPr bwMode="auto">
        <a:xfrm>
          <a:off x="20999450" y="69043550"/>
          <a:ext cx="7810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4" name="AutoShape 46">
          <a:extLst>
            <a:ext uri="{FF2B5EF4-FFF2-40B4-BE49-F238E27FC236}">
              <a16:creationId xmlns:a16="http://schemas.microsoft.com/office/drawing/2014/main" id="{04ED2D9C-6F24-434D-8380-DE58125B5070}"/>
            </a:ext>
          </a:extLst>
        </xdr:cNvPr>
        <xdr:cNvSpPr>
          <a:spLocks noChangeArrowheads="1"/>
        </xdr:cNvSpPr>
      </xdr:nvSpPr>
      <xdr:spPr bwMode="auto">
        <a:xfrm>
          <a:off x="22561550" y="69043550"/>
          <a:ext cx="8763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45" name="AutoShape 46">
          <a:extLst>
            <a:ext uri="{FF2B5EF4-FFF2-40B4-BE49-F238E27FC236}">
              <a16:creationId xmlns:a16="http://schemas.microsoft.com/office/drawing/2014/main" id="{42C10050-060D-46E2-8507-3BF6B0ABBB76}"/>
            </a:ext>
          </a:extLst>
        </xdr:cNvPr>
        <xdr:cNvSpPr>
          <a:spLocks noChangeArrowheads="1"/>
        </xdr:cNvSpPr>
      </xdr:nvSpPr>
      <xdr:spPr bwMode="auto">
        <a:xfrm>
          <a:off x="143827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6" name="AutoShape 46">
          <a:extLst>
            <a:ext uri="{FF2B5EF4-FFF2-40B4-BE49-F238E27FC236}">
              <a16:creationId xmlns:a16="http://schemas.microsoft.com/office/drawing/2014/main" id="{B93A1903-833A-4D51-9F8D-18B0BE9064DE}"/>
            </a:ext>
          </a:extLst>
        </xdr:cNvPr>
        <xdr:cNvSpPr>
          <a:spLocks noChangeArrowheads="1"/>
        </xdr:cNvSpPr>
      </xdr:nvSpPr>
      <xdr:spPr bwMode="auto">
        <a:xfrm>
          <a:off x="15944850" y="69043550"/>
          <a:ext cx="9588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7" name="AutoShape 46">
          <a:extLst>
            <a:ext uri="{FF2B5EF4-FFF2-40B4-BE49-F238E27FC236}">
              <a16:creationId xmlns:a16="http://schemas.microsoft.com/office/drawing/2014/main" id="{35255D6C-4B14-4089-A892-0709AABF78CB}"/>
            </a:ext>
          </a:extLst>
        </xdr:cNvPr>
        <xdr:cNvSpPr>
          <a:spLocks noChangeArrowheads="1"/>
        </xdr:cNvSpPr>
      </xdr:nvSpPr>
      <xdr:spPr bwMode="auto">
        <a:xfrm>
          <a:off x="176847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8" name="AutoShape 46">
          <a:extLst>
            <a:ext uri="{FF2B5EF4-FFF2-40B4-BE49-F238E27FC236}">
              <a16:creationId xmlns:a16="http://schemas.microsoft.com/office/drawing/2014/main" id="{02B95B70-9D34-480C-B125-E7BCC2125252}"/>
            </a:ext>
          </a:extLst>
        </xdr:cNvPr>
        <xdr:cNvSpPr>
          <a:spLocks noChangeArrowheads="1"/>
        </xdr:cNvSpPr>
      </xdr:nvSpPr>
      <xdr:spPr bwMode="auto">
        <a:xfrm>
          <a:off x="19246850" y="69043550"/>
          <a:ext cx="8445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9" name="AutoShape 46">
          <a:extLst>
            <a:ext uri="{FF2B5EF4-FFF2-40B4-BE49-F238E27FC236}">
              <a16:creationId xmlns:a16="http://schemas.microsoft.com/office/drawing/2014/main" id="{5D9E35ED-2431-4E19-BB05-65E7C439418D}"/>
            </a:ext>
          </a:extLst>
        </xdr:cNvPr>
        <xdr:cNvSpPr>
          <a:spLocks noChangeArrowheads="1"/>
        </xdr:cNvSpPr>
      </xdr:nvSpPr>
      <xdr:spPr bwMode="auto">
        <a:xfrm>
          <a:off x="209994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50" name="AutoShape 46">
          <a:extLst>
            <a:ext uri="{FF2B5EF4-FFF2-40B4-BE49-F238E27FC236}">
              <a16:creationId xmlns:a16="http://schemas.microsoft.com/office/drawing/2014/main" id="{65C12417-9BCD-4DBF-BB4D-43115ED284B7}"/>
            </a:ext>
          </a:extLst>
        </xdr:cNvPr>
        <xdr:cNvSpPr>
          <a:spLocks noChangeArrowheads="1"/>
        </xdr:cNvSpPr>
      </xdr:nvSpPr>
      <xdr:spPr bwMode="auto">
        <a:xfrm>
          <a:off x="22561550" y="69043550"/>
          <a:ext cx="8763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51" name="AutoShape 46">
          <a:extLst>
            <a:ext uri="{FF2B5EF4-FFF2-40B4-BE49-F238E27FC236}">
              <a16:creationId xmlns:a16="http://schemas.microsoft.com/office/drawing/2014/main" id="{D2EEBAC9-2B36-4197-96E7-748BD6AFC3B6}"/>
            </a:ext>
          </a:extLst>
        </xdr:cNvPr>
        <xdr:cNvSpPr>
          <a:spLocks noChangeArrowheads="1"/>
        </xdr:cNvSpPr>
      </xdr:nvSpPr>
      <xdr:spPr bwMode="auto">
        <a:xfrm>
          <a:off x="12820650" y="69043550"/>
          <a:ext cx="78105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52" name="AutoShape 46">
          <a:extLst>
            <a:ext uri="{FF2B5EF4-FFF2-40B4-BE49-F238E27FC236}">
              <a16:creationId xmlns:a16="http://schemas.microsoft.com/office/drawing/2014/main" id="{A75529D1-C458-4045-85AC-776A369BD8DF}"/>
            </a:ext>
          </a:extLst>
        </xdr:cNvPr>
        <xdr:cNvSpPr>
          <a:spLocks noChangeArrowheads="1"/>
        </xdr:cNvSpPr>
      </xdr:nvSpPr>
      <xdr:spPr bwMode="auto">
        <a:xfrm>
          <a:off x="14382750" y="69043550"/>
          <a:ext cx="78105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53" name="AutoShape 46">
          <a:extLst>
            <a:ext uri="{FF2B5EF4-FFF2-40B4-BE49-F238E27FC236}">
              <a16:creationId xmlns:a16="http://schemas.microsoft.com/office/drawing/2014/main" id="{BCA360E2-F14C-44A7-8445-FB6DA08071FA}"/>
            </a:ext>
          </a:extLst>
        </xdr:cNvPr>
        <xdr:cNvSpPr>
          <a:spLocks noChangeArrowheads="1"/>
        </xdr:cNvSpPr>
      </xdr:nvSpPr>
      <xdr:spPr bwMode="auto">
        <a:xfrm>
          <a:off x="15944850" y="69043550"/>
          <a:ext cx="95885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54" name="AutoShape 46">
          <a:extLst>
            <a:ext uri="{FF2B5EF4-FFF2-40B4-BE49-F238E27FC236}">
              <a16:creationId xmlns:a16="http://schemas.microsoft.com/office/drawing/2014/main" id="{9D19D3DD-169C-47EC-9B44-7CD247A8BAB5}"/>
            </a:ext>
          </a:extLst>
        </xdr:cNvPr>
        <xdr:cNvSpPr>
          <a:spLocks noChangeArrowheads="1"/>
        </xdr:cNvSpPr>
      </xdr:nvSpPr>
      <xdr:spPr bwMode="auto">
        <a:xfrm>
          <a:off x="176847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55" name="AutoShape 46">
          <a:extLst>
            <a:ext uri="{FF2B5EF4-FFF2-40B4-BE49-F238E27FC236}">
              <a16:creationId xmlns:a16="http://schemas.microsoft.com/office/drawing/2014/main" id="{E7066A94-9B95-4AF8-A4CD-AC5F1EFF9E1B}"/>
            </a:ext>
          </a:extLst>
        </xdr:cNvPr>
        <xdr:cNvSpPr>
          <a:spLocks noChangeArrowheads="1"/>
        </xdr:cNvSpPr>
      </xdr:nvSpPr>
      <xdr:spPr bwMode="auto">
        <a:xfrm>
          <a:off x="19246850" y="69043550"/>
          <a:ext cx="84455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56" name="AutoShape 46">
          <a:extLst>
            <a:ext uri="{FF2B5EF4-FFF2-40B4-BE49-F238E27FC236}">
              <a16:creationId xmlns:a16="http://schemas.microsoft.com/office/drawing/2014/main" id="{50F7E1A3-8CB6-438C-AB75-97467EBD683A}"/>
            </a:ext>
          </a:extLst>
        </xdr:cNvPr>
        <xdr:cNvSpPr>
          <a:spLocks noChangeArrowheads="1"/>
        </xdr:cNvSpPr>
      </xdr:nvSpPr>
      <xdr:spPr bwMode="auto">
        <a:xfrm>
          <a:off x="20999450" y="69043550"/>
          <a:ext cx="78105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57" name="AutoShape 46">
          <a:extLst>
            <a:ext uri="{FF2B5EF4-FFF2-40B4-BE49-F238E27FC236}">
              <a16:creationId xmlns:a16="http://schemas.microsoft.com/office/drawing/2014/main" id="{1D5C76A9-DC7D-4B65-83E2-0A18EE6E177D}"/>
            </a:ext>
          </a:extLst>
        </xdr:cNvPr>
        <xdr:cNvSpPr>
          <a:spLocks noChangeArrowheads="1"/>
        </xdr:cNvSpPr>
      </xdr:nvSpPr>
      <xdr:spPr bwMode="auto">
        <a:xfrm>
          <a:off x="22561550" y="69043550"/>
          <a:ext cx="8763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58" name="AutoShape 46">
          <a:extLst>
            <a:ext uri="{FF2B5EF4-FFF2-40B4-BE49-F238E27FC236}">
              <a16:creationId xmlns:a16="http://schemas.microsoft.com/office/drawing/2014/main" id="{2D3D34CF-714B-45A1-92EB-9D4B211AD092}"/>
            </a:ext>
          </a:extLst>
        </xdr:cNvPr>
        <xdr:cNvSpPr>
          <a:spLocks noChangeArrowheads="1"/>
        </xdr:cNvSpPr>
      </xdr:nvSpPr>
      <xdr:spPr bwMode="auto">
        <a:xfrm>
          <a:off x="1397000" y="724535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59" name="AutoShape 46">
          <a:extLst>
            <a:ext uri="{FF2B5EF4-FFF2-40B4-BE49-F238E27FC236}">
              <a16:creationId xmlns:a16="http://schemas.microsoft.com/office/drawing/2014/main" id="{68BE21E1-4CAC-45C3-8ED4-E54721C8AA61}"/>
            </a:ext>
          </a:extLst>
        </xdr:cNvPr>
        <xdr:cNvSpPr>
          <a:spLocks noChangeArrowheads="1"/>
        </xdr:cNvSpPr>
      </xdr:nvSpPr>
      <xdr:spPr bwMode="auto">
        <a:xfrm>
          <a:off x="3149600" y="72453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60" name="AutoShape 46">
          <a:extLst>
            <a:ext uri="{FF2B5EF4-FFF2-40B4-BE49-F238E27FC236}">
              <a16:creationId xmlns:a16="http://schemas.microsoft.com/office/drawing/2014/main" id="{B4A7F873-A5EF-4CD3-A30B-BD7886E593E1}"/>
            </a:ext>
          </a:extLst>
        </xdr:cNvPr>
        <xdr:cNvSpPr>
          <a:spLocks noChangeArrowheads="1"/>
        </xdr:cNvSpPr>
      </xdr:nvSpPr>
      <xdr:spPr bwMode="auto">
        <a:xfrm>
          <a:off x="471170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61" name="AutoShape 46">
          <a:extLst>
            <a:ext uri="{FF2B5EF4-FFF2-40B4-BE49-F238E27FC236}">
              <a16:creationId xmlns:a16="http://schemas.microsoft.com/office/drawing/2014/main" id="{558B93F9-495E-4080-ADD6-AD22A97CD458}"/>
            </a:ext>
          </a:extLst>
        </xdr:cNvPr>
        <xdr:cNvSpPr>
          <a:spLocks noChangeArrowheads="1"/>
        </xdr:cNvSpPr>
      </xdr:nvSpPr>
      <xdr:spPr bwMode="auto">
        <a:xfrm>
          <a:off x="6273800" y="724535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62" name="AutoShape 46">
          <a:extLst>
            <a:ext uri="{FF2B5EF4-FFF2-40B4-BE49-F238E27FC236}">
              <a16:creationId xmlns:a16="http://schemas.microsoft.com/office/drawing/2014/main" id="{0D7F6A6A-123D-416F-A72A-890C535950E0}"/>
            </a:ext>
          </a:extLst>
        </xdr:cNvPr>
        <xdr:cNvSpPr>
          <a:spLocks noChangeArrowheads="1"/>
        </xdr:cNvSpPr>
      </xdr:nvSpPr>
      <xdr:spPr bwMode="auto">
        <a:xfrm>
          <a:off x="7943850" y="724535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63" name="AutoShape 46">
          <a:extLst>
            <a:ext uri="{FF2B5EF4-FFF2-40B4-BE49-F238E27FC236}">
              <a16:creationId xmlns:a16="http://schemas.microsoft.com/office/drawing/2014/main" id="{3A42373A-5E04-4664-BEA5-FD5C57DCD95E}"/>
            </a:ext>
          </a:extLst>
        </xdr:cNvPr>
        <xdr:cNvSpPr>
          <a:spLocks noChangeArrowheads="1"/>
        </xdr:cNvSpPr>
      </xdr:nvSpPr>
      <xdr:spPr bwMode="auto">
        <a:xfrm>
          <a:off x="96964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64" name="AutoShape 46">
          <a:extLst>
            <a:ext uri="{FF2B5EF4-FFF2-40B4-BE49-F238E27FC236}">
              <a16:creationId xmlns:a16="http://schemas.microsoft.com/office/drawing/2014/main" id="{8C48C1F8-C48A-4E79-B9AA-8B1BB496CD3B}"/>
            </a:ext>
          </a:extLst>
        </xdr:cNvPr>
        <xdr:cNvSpPr>
          <a:spLocks noChangeArrowheads="1"/>
        </xdr:cNvSpPr>
      </xdr:nvSpPr>
      <xdr:spPr bwMode="auto">
        <a:xfrm>
          <a:off x="112585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5" name="AutoShape 46">
          <a:extLst>
            <a:ext uri="{FF2B5EF4-FFF2-40B4-BE49-F238E27FC236}">
              <a16:creationId xmlns:a16="http://schemas.microsoft.com/office/drawing/2014/main" id="{616A6265-0990-463A-85E3-417BC047658F}"/>
            </a:ext>
          </a:extLst>
        </xdr:cNvPr>
        <xdr:cNvSpPr>
          <a:spLocks noChangeArrowheads="1"/>
        </xdr:cNvSpPr>
      </xdr:nvSpPr>
      <xdr:spPr bwMode="auto">
        <a:xfrm>
          <a:off x="128206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6" name="AutoShape 46">
          <a:extLst>
            <a:ext uri="{FF2B5EF4-FFF2-40B4-BE49-F238E27FC236}">
              <a16:creationId xmlns:a16="http://schemas.microsoft.com/office/drawing/2014/main" id="{65BFF294-B3E6-4F6F-BA2F-BDD3F423D4C8}"/>
            </a:ext>
          </a:extLst>
        </xdr:cNvPr>
        <xdr:cNvSpPr>
          <a:spLocks noChangeArrowheads="1"/>
        </xdr:cNvSpPr>
      </xdr:nvSpPr>
      <xdr:spPr bwMode="auto">
        <a:xfrm>
          <a:off x="14382750" y="72453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7" name="AutoShape 46">
          <a:extLst>
            <a:ext uri="{FF2B5EF4-FFF2-40B4-BE49-F238E27FC236}">
              <a16:creationId xmlns:a16="http://schemas.microsoft.com/office/drawing/2014/main" id="{687AFB4A-27B7-40E5-8802-3F7CEF7D4453}"/>
            </a:ext>
          </a:extLst>
        </xdr:cNvPr>
        <xdr:cNvSpPr>
          <a:spLocks noChangeArrowheads="1"/>
        </xdr:cNvSpPr>
      </xdr:nvSpPr>
      <xdr:spPr bwMode="auto">
        <a:xfrm>
          <a:off x="15944850" y="724535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8" name="AutoShape 46">
          <a:extLst>
            <a:ext uri="{FF2B5EF4-FFF2-40B4-BE49-F238E27FC236}">
              <a16:creationId xmlns:a16="http://schemas.microsoft.com/office/drawing/2014/main" id="{3AE8A440-013F-4AA8-A5C9-BE6C093D00CE}"/>
            </a:ext>
          </a:extLst>
        </xdr:cNvPr>
        <xdr:cNvSpPr>
          <a:spLocks noChangeArrowheads="1"/>
        </xdr:cNvSpPr>
      </xdr:nvSpPr>
      <xdr:spPr bwMode="auto">
        <a:xfrm>
          <a:off x="17684750" y="72453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9" name="AutoShape 46">
          <a:extLst>
            <a:ext uri="{FF2B5EF4-FFF2-40B4-BE49-F238E27FC236}">
              <a16:creationId xmlns:a16="http://schemas.microsoft.com/office/drawing/2014/main" id="{47549119-B553-409C-8CC6-50B7D851BB23}"/>
            </a:ext>
          </a:extLst>
        </xdr:cNvPr>
        <xdr:cNvSpPr>
          <a:spLocks noChangeArrowheads="1"/>
        </xdr:cNvSpPr>
      </xdr:nvSpPr>
      <xdr:spPr bwMode="auto">
        <a:xfrm>
          <a:off x="19246850" y="724535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0" name="AutoShape 46">
          <a:extLst>
            <a:ext uri="{FF2B5EF4-FFF2-40B4-BE49-F238E27FC236}">
              <a16:creationId xmlns:a16="http://schemas.microsoft.com/office/drawing/2014/main" id="{2C0A3457-47A2-4907-BACF-892AAFBC37CA}"/>
            </a:ext>
          </a:extLst>
        </xdr:cNvPr>
        <xdr:cNvSpPr>
          <a:spLocks noChangeArrowheads="1"/>
        </xdr:cNvSpPr>
      </xdr:nvSpPr>
      <xdr:spPr bwMode="auto">
        <a:xfrm>
          <a:off x="20999450" y="72453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1" name="AutoShape 46">
          <a:extLst>
            <a:ext uri="{FF2B5EF4-FFF2-40B4-BE49-F238E27FC236}">
              <a16:creationId xmlns:a16="http://schemas.microsoft.com/office/drawing/2014/main" id="{EFBF5CA8-24F7-4C1D-B232-F2517065691F}"/>
            </a:ext>
          </a:extLst>
        </xdr:cNvPr>
        <xdr:cNvSpPr>
          <a:spLocks noChangeArrowheads="1"/>
        </xdr:cNvSpPr>
      </xdr:nvSpPr>
      <xdr:spPr bwMode="auto">
        <a:xfrm>
          <a:off x="22561550" y="724535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72" name="AutoShape 46">
          <a:extLst>
            <a:ext uri="{FF2B5EF4-FFF2-40B4-BE49-F238E27FC236}">
              <a16:creationId xmlns:a16="http://schemas.microsoft.com/office/drawing/2014/main" id="{BCD93DC1-D0E5-4B52-AF46-576DB21995C3}"/>
            </a:ext>
          </a:extLst>
        </xdr:cNvPr>
        <xdr:cNvSpPr>
          <a:spLocks noChangeArrowheads="1"/>
        </xdr:cNvSpPr>
      </xdr:nvSpPr>
      <xdr:spPr bwMode="auto">
        <a:xfrm>
          <a:off x="143827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73" name="AutoShape 46">
          <a:extLst>
            <a:ext uri="{FF2B5EF4-FFF2-40B4-BE49-F238E27FC236}">
              <a16:creationId xmlns:a16="http://schemas.microsoft.com/office/drawing/2014/main" id="{264E8F39-EAF2-43EB-B299-578DA73E1912}"/>
            </a:ext>
          </a:extLst>
        </xdr:cNvPr>
        <xdr:cNvSpPr>
          <a:spLocks noChangeArrowheads="1"/>
        </xdr:cNvSpPr>
      </xdr:nvSpPr>
      <xdr:spPr bwMode="auto">
        <a:xfrm>
          <a:off x="15944850" y="724535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4" name="AutoShape 46">
          <a:extLst>
            <a:ext uri="{FF2B5EF4-FFF2-40B4-BE49-F238E27FC236}">
              <a16:creationId xmlns:a16="http://schemas.microsoft.com/office/drawing/2014/main" id="{6C6ECA73-542A-4C9B-96E5-F540CBFBD30A}"/>
            </a:ext>
          </a:extLst>
        </xdr:cNvPr>
        <xdr:cNvSpPr>
          <a:spLocks noChangeArrowheads="1"/>
        </xdr:cNvSpPr>
      </xdr:nvSpPr>
      <xdr:spPr bwMode="auto">
        <a:xfrm>
          <a:off x="176847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5" name="AutoShape 46">
          <a:extLst>
            <a:ext uri="{FF2B5EF4-FFF2-40B4-BE49-F238E27FC236}">
              <a16:creationId xmlns:a16="http://schemas.microsoft.com/office/drawing/2014/main" id="{BAB43249-0AA9-44D8-B8B3-6E300A0130CB}"/>
            </a:ext>
          </a:extLst>
        </xdr:cNvPr>
        <xdr:cNvSpPr>
          <a:spLocks noChangeArrowheads="1"/>
        </xdr:cNvSpPr>
      </xdr:nvSpPr>
      <xdr:spPr bwMode="auto">
        <a:xfrm>
          <a:off x="19246850" y="724535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6" name="AutoShape 46">
          <a:extLst>
            <a:ext uri="{FF2B5EF4-FFF2-40B4-BE49-F238E27FC236}">
              <a16:creationId xmlns:a16="http://schemas.microsoft.com/office/drawing/2014/main" id="{5E98E29D-5530-4ED1-988C-23B7ACB9F37B}"/>
            </a:ext>
          </a:extLst>
        </xdr:cNvPr>
        <xdr:cNvSpPr>
          <a:spLocks noChangeArrowheads="1"/>
        </xdr:cNvSpPr>
      </xdr:nvSpPr>
      <xdr:spPr bwMode="auto">
        <a:xfrm>
          <a:off x="209994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7" name="AutoShape 46">
          <a:extLst>
            <a:ext uri="{FF2B5EF4-FFF2-40B4-BE49-F238E27FC236}">
              <a16:creationId xmlns:a16="http://schemas.microsoft.com/office/drawing/2014/main" id="{A5ED7832-1688-4A76-A492-125F57A6C9F6}"/>
            </a:ext>
          </a:extLst>
        </xdr:cNvPr>
        <xdr:cNvSpPr>
          <a:spLocks noChangeArrowheads="1"/>
        </xdr:cNvSpPr>
      </xdr:nvSpPr>
      <xdr:spPr bwMode="auto">
        <a:xfrm>
          <a:off x="22561550" y="724535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78" name="AutoShape 46">
          <a:extLst>
            <a:ext uri="{FF2B5EF4-FFF2-40B4-BE49-F238E27FC236}">
              <a16:creationId xmlns:a16="http://schemas.microsoft.com/office/drawing/2014/main" id="{D7AF8EB4-2CAA-4AA9-8EE3-4F882613E2F9}"/>
            </a:ext>
          </a:extLst>
        </xdr:cNvPr>
        <xdr:cNvSpPr>
          <a:spLocks noChangeArrowheads="1"/>
        </xdr:cNvSpPr>
      </xdr:nvSpPr>
      <xdr:spPr bwMode="auto">
        <a:xfrm>
          <a:off x="128206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79" name="AutoShape 46">
          <a:extLst>
            <a:ext uri="{FF2B5EF4-FFF2-40B4-BE49-F238E27FC236}">
              <a16:creationId xmlns:a16="http://schemas.microsoft.com/office/drawing/2014/main" id="{5DD77D7D-6FEC-41B4-B597-3B11DDD2A570}"/>
            </a:ext>
          </a:extLst>
        </xdr:cNvPr>
        <xdr:cNvSpPr>
          <a:spLocks noChangeArrowheads="1"/>
        </xdr:cNvSpPr>
      </xdr:nvSpPr>
      <xdr:spPr bwMode="auto">
        <a:xfrm>
          <a:off x="14382750" y="72453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80" name="AutoShape 46">
          <a:extLst>
            <a:ext uri="{FF2B5EF4-FFF2-40B4-BE49-F238E27FC236}">
              <a16:creationId xmlns:a16="http://schemas.microsoft.com/office/drawing/2014/main" id="{CDF3584F-5EFF-4262-8CE1-8F4CAB4D2FCE}"/>
            </a:ext>
          </a:extLst>
        </xdr:cNvPr>
        <xdr:cNvSpPr>
          <a:spLocks noChangeArrowheads="1"/>
        </xdr:cNvSpPr>
      </xdr:nvSpPr>
      <xdr:spPr bwMode="auto">
        <a:xfrm>
          <a:off x="15944850" y="724535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81" name="AutoShape 46">
          <a:extLst>
            <a:ext uri="{FF2B5EF4-FFF2-40B4-BE49-F238E27FC236}">
              <a16:creationId xmlns:a16="http://schemas.microsoft.com/office/drawing/2014/main" id="{5E19E5A6-46CA-41F1-A5FA-9E7959B0CEF7}"/>
            </a:ext>
          </a:extLst>
        </xdr:cNvPr>
        <xdr:cNvSpPr>
          <a:spLocks noChangeArrowheads="1"/>
        </xdr:cNvSpPr>
      </xdr:nvSpPr>
      <xdr:spPr bwMode="auto">
        <a:xfrm>
          <a:off x="17684750" y="724535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82" name="AutoShape 46">
          <a:extLst>
            <a:ext uri="{FF2B5EF4-FFF2-40B4-BE49-F238E27FC236}">
              <a16:creationId xmlns:a16="http://schemas.microsoft.com/office/drawing/2014/main" id="{3E8F099A-65DB-43CF-B5B8-BB37ABE53AC1}"/>
            </a:ext>
          </a:extLst>
        </xdr:cNvPr>
        <xdr:cNvSpPr>
          <a:spLocks noChangeArrowheads="1"/>
        </xdr:cNvSpPr>
      </xdr:nvSpPr>
      <xdr:spPr bwMode="auto">
        <a:xfrm>
          <a:off x="19246850" y="724535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83" name="AutoShape 46">
          <a:extLst>
            <a:ext uri="{FF2B5EF4-FFF2-40B4-BE49-F238E27FC236}">
              <a16:creationId xmlns:a16="http://schemas.microsoft.com/office/drawing/2014/main" id="{0483AC03-B068-4E18-8D22-FA63CD345E6B}"/>
            </a:ext>
          </a:extLst>
        </xdr:cNvPr>
        <xdr:cNvSpPr>
          <a:spLocks noChangeArrowheads="1"/>
        </xdr:cNvSpPr>
      </xdr:nvSpPr>
      <xdr:spPr bwMode="auto">
        <a:xfrm>
          <a:off x="20999450" y="724535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84" name="AutoShape 46">
          <a:extLst>
            <a:ext uri="{FF2B5EF4-FFF2-40B4-BE49-F238E27FC236}">
              <a16:creationId xmlns:a16="http://schemas.microsoft.com/office/drawing/2014/main" id="{E90ADC7B-A7D8-4719-B021-0EC300B91F5A}"/>
            </a:ext>
          </a:extLst>
        </xdr:cNvPr>
        <xdr:cNvSpPr>
          <a:spLocks noChangeArrowheads="1"/>
        </xdr:cNvSpPr>
      </xdr:nvSpPr>
      <xdr:spPr bwMode="auto">
        <a:xfrm>
          <a:off x="22561550" y="724535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85" name="AutoShape 46">
          <a:extLst>
            <a:ext uri="{FF2B5EF4-FFF2-40B4-BE49-F238E27FC236}">
              <a16:creationId xmlns:a16="http://schemas.microsoft.com/office/drawing/2014/main" id="{9D4182D4-10A4-44FC-946A-491085CFEFC4}"/>
            </a:ext>
          </a:extLst>
        </xdr:cNvPr>
        <xdr:cNvSpPr>
          <a:spLocks noChangeArrowheads="1"/>
        </xdr:cNvSpPr>
      </xdr:nvSpPr>
      <xdr:spPr bwMode="auto">
        <a:xfrm>
          <a:off x="1397000" y="759460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86" name="AutoShape 46">
          <a:extLst>
            <a:ext uri="{FF2B5EF4-FFF2-40B4-BE49-F238E27FC236}">
              <a16:creationId xmlns:a16="http://schemas.microsoft.com/office/drawing/2014/main" id="{D0E7EDB7-B0CF-45F6-A1BB-6EBD0899C148}"/>
            </a:ext>
          </a:extLst>
        </xdr:cNvPr>
        <xdr:cNvSpPr>
          <a:spLocks noChangeArrowheads="1"/>
        </xdr:cNvSpPr>
      </xdr:nvSpPr>
      <xdr:spPr bwMode="auto">
        <a:xfrm>
          <a:off x="3149600" y="75946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87" name="AutoShape 46">
          <a:extLst>
            <a:ext uri="{FF2B5EF4-FFF2-40B4-BE49-F238E27FC236}">
              <a16:creationId xmlns:a16="http://schemas.microsoft.com/office/drawing/2014/main" id="{3442EE9A-F7FA-4272-A421-CD3A8DEB2796}"/>
            </a:ext>
          </a:extLst>
        </xdr:cNvPr>
        <xdr:cNvSpPr>
          <a:spLocks noChangeArrowheads="1"/>
        </xdr:cNvSpPr>
      </xdr:nvSpPr>
      <xdr:spPr bwMode="auto">
        <a:xfrm>
          <a:off x="4711700" y="75946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88" name="AutoShape 46">
          <a:extLst>
            <a:ext uri="{FF2B5EF4-FFF2-40B4-BE49-F238E27FC236}">
              <a16:creationId xmlns:a16="http://schemas.microsoft.com/office/drawing/2014/main" id="{9E488048-73E7-4EA3-944D-2526B257F2F9}"/>
            </a:ext>
          </a:extLst>
        </xdr:cNvPr>
        <xdr:cNvSpPr>
          <a:spLocks noChangeArrowheads="1"/>
        </xdr:cNvSpPr>
      </xdr:nvSpPr>
      <xdr:spPr bwMode="auto">
        <a:xfrm>
          <a:off x="6273800" y="759460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89" name="AutoShape 46">
          <a:extLst>
            <a:ext uri="{FF2B5EF4-FFF2-40B4-BE49-F238E27FC236}">
              <a16:creationId xmlns:a16="http://schemas.microsoft.com/office/drawing/2014/main" id="{8FD90E53-9B33-465F-A233-9D50810C4EA6}"/>
            </a:ext>
          </a:extLst>
        </xdr:cNvPr>
        <xdr:cNvSpPr>
          <a:spLocks noChangeArrowheads="1"/>
        </xdr:cNvSpPr>
      </xdr:nvSpPr>
      <xdr:spPr bwMode="auto">
        <a:xfrm>
          <a:off x="7943850" y="759460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90" name="AutoShape 46">
          <a:extLst>
            <a:ext uri="{FF2B5EF4-FFF2-40B4-BE49-F238E27FC236}">
              <a16:creationId xmlns:a16="http://schemas.microsoft.com/office/drawing/2014/main" id="{BBBCC24A-A43D-4168-8FB5-7D6270F48FE6}"/>
            </a:ext>
          </a:extLst>
        </xdr:cNvPr>
        <xdr:cNvSpPr>
          <a:spLocks noChangeArrowheads="1"/>
        </xdr:cNvSpPr>
      </xdr:nvSpPr>
      <xdr:spPr bwMode="auto">
        <a:xfrm>
          <a:off x="9696450" y="75946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91" name="AutoShape 46">
          <a:extLst>
            <a:ext uri="{FF2B5EF4-FFF2-40B4-BE49-F238E27FC236}">
              <a16:creationId xmlns:a16="http://schemas.microsoft.com/office/drawing/2014/main" id="{C8AB8E1A-D855-46EE-8AB0-FC0F03E5A961}"/>
            </a:ext>
          </a:extLst>
        </xdr:cNvPr>
        <xdr:cNvSpPr>
          <a:spLocks noChangeArrowheads="1"/>
        </xdr:cNvSpPr>
      </xdr:nvSpPr>
      <xdr:spPr bwMode="auto">
        <a:xfrm>
          <a:off x="11258550" y="75946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2" name="AutoShape 46">
          <a:extLst>
            <a:ext uri="{FF2B5EF4-FFF2-40B4-BE49-F238E27FC236}">
              <a16:creationId xmlns:a16="http://schemas.microsoft.com/office/drawing/2014/main" id="{56997C19-3028-46C9-BA3E-CB89DBA6C8B7}"/>
            </a:ext>
          </a:extLst>
        </xdr:cNvPr>
        <xdr:cNvSpPr>
          <a:spLocks noChangeArrowheads="1"/>
        </xdr:cNvSpPr>
      </xdr:nvSpPr>
      <xdr:spPr bwMode="auto">
        <a:xfrm>
          <a:off x="12820650" y="75946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3" name="AutoShape 46">
          <a:extLst>
            <a:ext uri="{FF2B5EF4-FFF2-40B4-BE49-F238E27FC236}">
              <a16:creationId xmlns:a16="http://schemas.microsoft.com/office/drawing/2014/main" id="{6D419838-3666-45E7-A807-C005042EDEF9}"/>
            </a:ext>
          </a:extLst>
        </xdr:cNvPr>
        <xdr:cNvSpPr>
          <a:spLocks noChangeArrowheads="1"/>
        </xdr:cNvSpPr>
      </xdr:nvSpPr>
      <xdr:spPr bwMode="auto">
        <a:xfrm>
          <a:off x="143827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4" name="AutoShape 46">
          <a:extLst>
            <a:ext uri="{FF2B5EF4-FFF2-40B4-BE49-F238E27FC236}">
              <a16:creationId xmlns:a16="http://schemas.microsoft.com/office/drawing/2014/main" id="{47EBB3F2-B1E7-49CD-9461-251541255F52}"/>
            </a:ext>
          </a:extLst>
        </xdr:cNvPr>
        <xdr:cNvSpPr>
          <a:spLocks noChangeArrowheads="1"/>
        </xdr:cNvSpPr>
      </xdr:nvSpPr>
      <xdr:spPr bwMode="auto">
        <a:xfrm>
          <a:off x="15944850" y="759460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5" name="AutoShape 46">
          <a:extLst>
            <a:ext uri="{FF2B5EF4-FFF2-40B4-BE49-F238E27FC236}">
              <a16:creationId xmlns:a16="http://schemas.microsoft.com/office/drawing/2014/main" id="{20F3B771-344B-46CA-A2B9-DB56F8F852E9}"/>
            </a:ext>
          </a:extLst>
        </xdr:cNvPr>
        <xdr:cNvSpPr>
          <a:spLocks noChangeArrowheads="1"/>
        </xdr:cNvSpPr>
      </xdr:nvSpPr>
      <xdr:spPr bwMode="auto">
        <a:xfrm>
          <a:off x="176847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6" name="AutoShape 46">
          <a:extLst>
            <a:ext uri="{FF2B5EF4-FFF2-40B4-BE49-F238E27FC236}">
              <a16:creationId xmlns:a16="http://schemas.microsoft.com/office/drawing/2014/main" id="{A0E9B5A3-9CAE-4031-9108-1665F563EF3F}"/>
            </a:ext>
          </a:extLst>
        </xdr:cNvPr>
        <xdr:cNvSpPr>
          <a:spLocks noChangeArrowheads="1"/>
        </xdr:cNvSpPr>
      </xdr:nvSpPr>
      <xdr:spPr bwMode="auto">
        <a:xfrm>
          <a:off x="19246850" y="759460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7" name="AutoShape 46">
          <a:extLst>
            <a:ext uri="{FF2B5EF4-FFF2-40B4-BE49-F238E27FC236}">
              <a16:creationId xmlns:a16="http://schemas.microsoft.com/office/drawing/2014/main" id="{E4550E09-E34E-4D2E-B27A-83EA703C729E}"/>
            </a:ext>
          </a:extLst>
        </xdr:cNvPr>
        <xdr:cNvSpPr>
          <a:spLocks noChangeArrowheads="1"/>
        </xdr:cNvSpPr>
      </xdr:nvSpPr>
      <xdr:spPr bwMode="auto">
        <a:xfrm>
          <a:off x="209994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8" name="AutoShape 46">
          <a:extLst>
            <a:ext uri="{FF2B5EF4-FFF2-40B4-BE49-F238E27FC236}">
              <a16:creationId xmlns:a16="http://schemas.microsoft.com/office/drawing/2014/main" id="{41887C8C-8942-4627-8713-1AF781E8F090}"/>
            </a:ext>
          </a:extLst>
        </xdr:cNvPr>
        <xdr:cNvSpPr>
          <a:spLocks noChangeArrowheads="1"/>
        </xdr:cNvSpPr>
      </xdr:nvSpPr>
      <xdr:spPr bwMode="auto">
        <a:xfrm>
          <a:off x="22561550" y="759460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9" name="AutoShape 46">
          <a:extLst>
            <a:ext uri="{FF2B5EF4-FFF2-40B4-BE49-F238E27FC236}">
              <a16:creationId xmlns:a16="http://schemas.microsoft.com/office/drawing/2014/main" id="{28E087F9-25CD-4B5F-AD79-AD2AF4801121}"/>
            </a:ext>
          </a:extLst>
        </xdr:cNvPr>
        <xdr:cNvSpPr>
          <a:spLocks noChangeArrowheads="1"/>
        </xdr:cNvSpPr>
      </xdr:nvSpPr>
      <xdr:spPr bwMode="auto">
        <a:xfrm>
          <a:off x="14382750" y="75946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600" name="AutoShape 46">
          <a:extLst>
            <a:ext uri="{FF2B5EF4-FFF2-40B4-BE49-F238E27FC236}">
              <a16:creationId xmlns:a16="http://schemas.microsoft.com/office/drawing/2014/main" id="{B6AA7DE5-C4C0-4B5A-9159-5DBD8A43D893}"/>
            </a:ext>
          </a:extLst>
        </xdr:cNvPr>
        <xdr:cNvSpPr>
          <a:spLocks noChangeArrowheads="1"/>
        </xdr:cNvSpPr>
      </xdr:nvSpPr>
      <xdr:spPr bwMode="auto">
        <a:xfrm>
          <a:off x="15944850" y="759460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601" name="AutoShape 46">
          <a:extLst>
            <a:ext uri="{FF2B5EF4-FFF2-40B4-BE49-F238E27FC236}">
              <a16:creationId xmlns:a16="http://schemas.microsoft.com/office/drawing/2014/main" id="{3A0FEAF1-1138-4441-AF00-BB4E56C14C8F}"/>
            </a:ext>
          </a:extLst>
        </xdr:cNvPr>
        <xdr:cNvSpPr>
          <a:spLocks noChangeArrowheads="1"/>
        </xdr:cNvSpPr>
      </xdr:nvSpPr>
      <xdr:spPr bwMode="auto">
        <a:xfrm>
          <a:off x="17684750" y="75946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602" name="AutoShape 46">
          <a:extLst>
            <a:ext uri="{FF2B5EF4-FFF2-40B4-BE49-F238E27FC236}">
              <a16:creationId xmlns:a16="http://schemas.microsoft.com/office/drawing/2014/main" id="{270F7C96-362E-45EA-9EC4-3ACC32BFCDFD}"/>
            </a:ext>
          </a:extLst>
        </xdr:cNvPr>
        <xdr:cNvSpPr>
          <a:spLocks noChangeArrowheads="1"/>
        </xdr:cNvSpPr>
      </xdr:nvSpPr>
      <xdr:spPr bwMode="auto">
        <a:xfrm>
          <a:off x="19246850" y="759460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603" name="AutoShape 46">
          <a:extLst>
            <a:ext uri="{FF2B5EF4-FFF2-40B4-BE49-F238E27FC236}">
              <a16:creationId xmlns:a16="http://schemas.microsoft.com/office/drawing/2014/main" id="{FF1895E5-E88B-4D16-BE72-EBD5D80DA13F}"/>
            </a:ext>
          </a:extLst>
        </xdr:cNvPr>
        <xdr:cNvSpPr>
          <a:spLocks noChangeArrowheads="1"/>
        </xdr:cNvSpPr>
      </xdr:nvSpPr>
      <xdr:spPr bwMode="auto">
        <a:xfrm>
          <a:off x="20999450" y="75946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4" name="AutoShape 46">
          <a:extLst>
            <a:ext uri="{FF2B5EF4-FFF2-40B4-BE49-F238E27FC236}">
              <a16:creationId xmlns:a16="http://schemas.microsoft.com/office/drawing/2014/main" id="{BD127FF0-8F15-4C8E-A0B8-22766EBDF7A4}"/>
            </a:ext>
          </a:extLst>
        </xdr:cNvPr>
        <xdr:cNvSpPr>
          <a:spLocks noChangeArrowheads="1"/>
        </xdr:cNvSpPr>
      </xdr:nvSpPr>
      <xdr:spPr bwMode="auto">
        <a:xfrm>
          <a:off x="22561550" y="759460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605" name="AutoShape 46">
          <a:extLst>
            <a:ext uri="{FF2B5EF4-FFF2-40B4-BE49-F238E27FC236}">
              <a16:creationId xmlns:a16="http://schemas.microsoft.com/office/drawing/2014/main" id="{2B199A5A-166B-49A5-BA17-338A9B5B8D02}"/>
            </a:ext>
          </a:extLst>
        </xdr:cNvPr>
        <xdr:cNvSpPr>
          <a:spLocks noChangeArrowheads="1"/>
        </xdr:cNvSpPr>
      </xdr:nvSpPr>
      <xdr:spPr bwMode="auto">
        <a:xfrm>
          <a:off x="12820650" y="75946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606" name="AutoShape 46">
          <a:extLst>
            <a:ext uri="{FF2B5EF4-FFF2-40B4-BE49-F238E27FC236}">
              <a16:creationId xmlns:a16="http://schemas.microsoft.com/office/drawing/2014/main" id="{1ED6FEE1-BEFC-4A4A-A9C5-6239474C21D2}"/>
            </a:ext>
          </a:extLst>
        </xdr:cNvPr>
        <xdr:cNvSpPr>
          <a:spLocks noChangeArrowheads="1"/>
        </xdr:cNvSpPr>
      </xdr:nvSpPr>
      <xdr:spPr bwMode="auto">
        <a:xfrm>
          <a:off x="143827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607" name="AutoShape 46">
          <a:extLst>
            <a:ext uri="{FF2B5EF4-FFF2-40B4-BE49-F238E27FC236}">
              <a16:creationId xmlns:a16="http://schemas.microsoft.com/office/drawing/2014/main" id="{49A4D512-DE45-471B-85AA-57791EB2F7F2}"/>
            </a:ext>
          </a:extLst>
        </xdr:cNvPr>
        <xdr:cNvSpPr>
          <a:spLocks noChangeArrowheads="1"/>
        </xdr:cNvSpPr>
      </xdr:nvSpPr>
      <xdr:spPr bwMode="auto">
        <a:xfrm>
          <a:off x="15944850" y="759460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608" name="AutoShape 46">
          <a:extLst>
            <a:ext uri="{FF2B5EF4-FFF2-40B4-BE49-F238E27FC236}">
              <a16:creationId xmlns:a16="http://schemas.microsoft.com/office/drawing/2014/main" id="{63E9DD0A-24CC-4D87-9811-66E7050A2210}"/>
            </a:ext>
          </a:extLst>
        </xdr:cNvPr>
        <xdr:cNvSpPr>
          <a:spLocks noChangeArrowheads="1"/>
        </xdr:cNvSpPr>
      </xdr:nvSpPr>
      <xdr:spPr bwMode="auto">
        <a:xfrm>
          <a:off x="176847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609" name="AutoShape 46">
          <a:extLst>
            <a:ext uri="{FF2B5EF4-FFF2-40B4-BE49-F238E27FC236}">
              <a16:creationId xmlns:a16="http://schemas.microsoft.com/office/drawing/2014/main" id="{0D150968-DFEC-496B-9FCE-1DC48A689662}"/>
            </a:ext>
          </a:extLst>
        </xdr:cNvPr>
        <xdr:cNvSpPr>
          <a:spLocks noChangeArrowheads="1"/>
        </xdr:cNvSpPr>
      </xdr:nvSpPr>
      <xdr:spPr bwMode="auto">
        <a:xfrm>
          <a:off x="19246850" y="759460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610" name="AutoShape 46">
          <a:extLst>
            <a:ext uri="{FF2B5EF4-FFF2-40B4-BE49-F238E27FC236}">
              <a16:creationId xmlns:a16="http://schemas.microsoft.com/office/drawing/2014/main" id="{787D931F-E727-4D01-8D2D-6CCCD30448C3}"/>
            </a:ext>
          </a:extLst>
        </xdr:cNvPr>
        <xdr:cNvSpPr>
          <a:spLocks noChangeArrowheads="1"/>
        </xdr:cNvSpPr>
      </xdr:nvSpPr>
      <xdr:spPr bwMode="auto">
        <a:xfrm>
          <a:off x="20999450" y="75946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11" name="AutoShape 46">
          <a:extLst>
            <a:ext uri="{FF2B5EF4-FFF2-40B4-BE49-F238E27FC236}">
              <a16:creationId xmlns:a16="http://schemas.microsoft.com/office/drawing/2014/main" id="{0F289351-5DEE-4356-823E-BAE1FB60B6EB}"/>
            </a:ext>
          </a:extLst>
        </xdr:cNvPr>
        <xdr:cNvSpPr>
          <a:spLocks noChangeArrowheads="1"/>
        </xdr:cNvSpPr>
      </xdr:nvSpPr>
      <xdr:spPr bwMode="auto">
        <a:xfrm>
          <a:off x="22561550" y="75946000"/>
          <a:ext cx="8763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12" name="AutoShape 46">
          <a:extLst>
            <a:ext uri="{FF2B5EF4-FFF2-40B4-BE49-F238E27FC236}">
              <a16:creationId xmlns:a16="http://schemas.microsoft.com/office/drawing/2014/main" id="{F037877E-6DAB-4F9B-826D-F580A5915775}"/>
            </a:ext>
          </a:extLst>
        </xdr:cNvPr>
        <xdr:cNvSpPr>
          <a:spLocks noChangeArrowheads="1"/>
        </xdr:cNvSpPr>
      </xdr:nvSpPr>
      <xdr:spPr bwMode="auto">
        <a:xfrm>
          <a:off x="1397000" y="789940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13" name="AutoShape 46">
          <a:extLst>
            <a:ext uri="{FF2B5EF4-FFF2-40B4-BE49-F238E27FC236}">
              <a16:creationId xmlns:a16="http://schemas.microsoft.com/office/drawing/2014/main" id="{E33F4550-9D2B-4D89-A390-1BC7C9C2CCC0}"/>
            </a:ext>
          </a:extLst>
        </xdr:cNvPr>
        <xdr:cNvSpPr>
          <a:spLocks noChangeArrowheads="1"/>
        </xdr:cNvSpPr>
      </xdr:nvSpPr>
      <xdr:spPr bwMode="auto">
        <a:xfrm>
          <a:off x="314960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14" name="AutoShape 46">
          <a:extLst>
            <a:ext uri="{FF2B5EF4-FFF2-40B4-BE49-F238E27FC236}">
              <a16:creationId xmlns:a16="http://schemas.microsoft.com/office/drawing/2014/main" id="{6F61F8EB-7F17-48C8-81E0-3049D40E5988}"/>
            </a:ext>
          </a:extLst>
        </xdr:cNvPr>
        <xdr:cNvSpPr>
          <a:spLocks noChangeArrowheads="1"/>
        </xdr:cNvSpPr>
      </xdr:nvSpPr>
      <xdr:spPr bwMode="auto">
        <a:xfrm>
          <a:off x="471170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15" name="AutoShape 46">
          <a:extLst>
            <a:ext uri="{FF2B5EF4-FFF2-40B4-BE49-F238E27FC236}">
              <a16:creationId xmlns:a16="http://schemas.microsoft.com/office/drawing/2014/main" id="{658106D3-FAED-4512-AAF4-228AF779B134}"/>
            </a:ext>
          </a:extLst>
        </xdr:cNvPr>
        <xdr:cNvSpPr>
          <a:spLocks noChangeArrowheads="1"/>
        </xdr:cNvSpPr>
      </xdr:nvSpPr>
      <xdr:spPr bwMode="auto">
        <a:xfrm>
          <a:off x="6273800" y="78994000"/>
          <a:ext cx="8890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16" name="AutoShape 46">
          <a:extLst>
            <a:ext uri="{FF2B5EF4-FFF2-40B4-BE49-F238E27FC236}">
              <a16:creationId xmlns:a16="http://schemas.microsoft.com/office/drawing/2014/main" id="{25B417D3-87B4-4663-8C43-9DDB8C998157}"/>
            </a:ext>
          </a:extLst>
        </xdr:cNvPr>
        <xdr:cNvSpPr>
          <a:spLocks noChangeArrowheads="1"/>
        </xdr:cNvSpPr>
      </xdr:nvSpPr>
      <xdr:spPr bwMode="auto">
        <a:xfrm>
          <a:off x="7943850" y="78994000"/>
          <a:ext cx="971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17" name="AutoShape 46">
          <a:extLst>
            <a:ext uri="{FF2B5EF4-FFF2-40B4-BE49-F238E27FC236}">
              <a16:creationId xmlns:a16="http://schemas.microsoft.com/office/drawing/2014/main" id="{24A0A16B-BE2B-43C2-8F36-E57972362ED5}"/>
            </a:ext>
          </a:extLst>
        </xdr:cNvPr>
        <xdr:cNvSpPr>
          <a:spLocks noChangeArrowheads="1"/>
        </xdr:cNvSpPr>
      </xdr:nvSpPr>
      <xdr:spPr bwMode="auto">
        <a:xfrm>
          <a:off x="969645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18" name="AutoShape 46">
          <a:extLst>
            <a:ext uri="{FF2B5EF4-FFF2-40B4-BE49-F238E27FC236}">
              <a16:creationId xmlns:a16="http://schemas.microsoft.com/office/drawing/2014/main" id="{F581EDB3-C816-4D4E-B8DE-59DC126663C8}"/>
            </a:ext>
          </a:extLst>
        </xdr:cNvPr>
        <xdr:cNvSpPr>
          <a:spLocks noChangeArrowheads="1"/>
        </xdr:cNvSpPr>
      </xdr:nvSpPr>
      <xdr:spPr bwMode="auto">
        <a:xfrm>
          <a:off x="11258550" y="78994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19" name="AutoShape 46">
          <a:extLst>
            <a:ext uri="{FF2B5EF4-FFF2-40B4-BE49-F238E27FC236}">
              <a16:creationId xmlns:a16="http://schemas.microsoft.com/office/drawing/2014/main" id="{AFEC49D0-21E3-46E8-A674-13EC9C48293B}"/>
            </a:ext>
          </a:extLst>
        </xdr:cNvPr>
        <xdr:cNvSpPr>
          <a:spLocks noChangeArrowheads="1"/>
        </xdr:cNvSpPr>
      </xdr:nvSpPr>
      <xdr:spPr bwMode="auto">
        <a:xfrm>
          <a:off x="12820650" y="78994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0" name="AutoShape 46">
          <a:extLst>
            <a:ext uri="{FF2B5EF4-FFF2-40B4-BE49-F238E27FC236}">
              <a16:creationId xmlns:a16="http://schemas.microsoft.com/office/drawing/2014/main" id="{E461A558-95E2-494B-BBBD-ECE68292E0B5}"/>
            </a:ext>
          </a:extLst>
        </xdr:cNvPr>
        <xdr:cNvSpPr>
          <a:spLocks noChangeArrowheads="1"/>
        </xdr:cNvSpPr>
      </xdr:nvSpPr>
      <xdr:spPr bwMode="auto">
        <a:xfrm>
          <a:off x="1438275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1" name="AutoShape 46">
          <a:extLst>
            <a:ext uri="{FF2B5EF4-FFF2-40B4-BE49-F238E27FC236}">
              <a16:creationId xmlns:a16="http://schemas.microsoft.com/office/drawing/2014/main" id="{6566178C-7EEC-4206-9F75-B1DAEC0868B5}"/>
            </a:ext>
          </a:extLst>
        </xdr:cNvPr>
        <xdr:cNvSpPr>
          <a:spLocks noChangeArrowheads="1"/>
        </xdr:cNvSpPr>
      </xdr:nvSpPr>
      <xdr:spPr bwMode="auto">
        <a:xfrm>
          <a:off x="15944850" y="789940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2" name="AutoShape 46">
          <a:extLst>
            <a:ext uri="{FF2B5EF4-FFF2-40B4-BE49-F238E27FC236}">
              <a16:creationId xmlns:a16="http://schemas.microsoft.com/office/drawing/2014/main" id="{91C6F2AE-4472-4E55-B002-F39A43BA2D07}"/>
            </a:ext>
          </a:extLst>
        </xdr:cNvPr>
        <xdr:cNvSpPr>
          <a:spLocks noChangeArrowheads="1"/>
        </xdr:cNvSpPr>
      </xdr:nvSpPr>
      <xdr:spPr bwMode="auto">
        <a:xfrm>
          <a:off x="1768475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3" name="AutoShape 46">
          <a:extLst>
            <a:ext uri="{FF2B5EF4-FFF2-40B4-BE49-F238E27FC236}">
              <a16:creationId xmlns:a16="http://schemas.microsoft.com/office/drawing/2014/main" id="{F058BDEF-3710-49FF-98BE-0877ECC1BA61}"/>
            </a:ext>
          </a:extLst>
        </xdr:cNvPr>
        <xdr:cNvSpPr>
          <a:spLocks noChangeArrowheads="1"/>
        </xdr:cNvSpPr>
      </xdr:nvSpPr>
      <xdr:spPr bwMode="auto">
        <a:xfrm>
          <a:off x="19246850" y="789940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4" name="AutoShape 46">
          <a:extLst>
            <a:ext uri="{FF2B5EF4-FFF2-40B4-BE49-F238E27FC236}">
              <a16:creationId xmlns:a16="http://schemas.microsoft.com/office/drawing/2014/main" id="{6FF676B8-372E-407D-A198-B1A973EB6DC6}"/>
            </a:ext>
          </a:extLst>
        </xdr:cNvPr>
        <xdr:cNvSpPr>
          <a:spLocks noChangeArrowheads="1"/>
        </xdr:cNvSpPr>
      </xdr:nvSpPr>
      <xdr:spPr bwMode="auto">
        <a:xfrm>
          <a:off x="2099945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5" name="AutoShape 46">
          <a:extLst>
            <a:ext uri="{FF2B5EF4-FFF2-40B4-BE49-F238E27FC236}">
              <a16:creationId xmlns:a16="http://schemas.microsoft.com/office/drawing/2014/main" id="{CAC28D90-02DF-477D-9016-506E6452435B}"/>
            </a:ext>
          </a:extLst>
        </xdr:cNvPr>
        <xdr:cNvSpPr>
          <a:spLocks noChangeArrowheads="1"/>
        </xdr:cNvSpPr>
      </xdr:nvSpPr>
      <xdr:spPr bwMode="auto">
        <a:xfrm>
          <a:off x="22561550" y="789940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6" name="AutoShape 46">
          <a:extLst>
            <a:ext uri="{FF2B5EF4-FFF2-40B4-BE49-F238E27FC236}">
              <a16:creationId xmlns:a16="http://schemas.microsoft.com/office/drawing/2014/main" id="{9A50C0DE-7A4F-440B-887E-6D82EBC44686}"/>
            </a:ext>
          </a:extLst>
        </xdr:cNvPr>
        <xdr:cNvSpPr>
          <a:spLocks noChangeArrowheads="1"/>
        </xdr:cNvSpPr>
      </xdr:nvSpPr>
      <xdr:spPr bwMode="auto">
        <a:xfrm>
          <a:off x="14382750" y="78994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7" name="AutoShape 46">
          <a:extLst>
            <a:ext uri="{FF2B5EF4-FFF2-40B4-BE49-F238E27FC236}">
              <a16:creationId xmlns:a16="http://schemas.microsoft.com/office/drawing/2014/main" id="{EB5C07B8-B7F4-4998-A18C-EE5E2CB31E34}"/>
            </a:ext>
          </a:extLst>
        </xdr:cNvPr>
        <xdr:cNvSpPr>
          <a:spLocks noChangeArrowheads="1"/>
        </xdr:cNvSpPr>
      </xdr:nvSpPr>
      <xdr:spPr bwMode="auto">
        <a:xfrm>
          <a:off x="15944850" y="789940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8" name="AutoShape 46">
          <a:extLst>
            <a:ext uri="{FF2B5EF4-FFF2-40B4-BE49-F238E27FC236}">
              <a16:creationId xmlns:a16="http://schemas.microsoft.com/office/drawing/2014/main" id="{ACDD6336-898B-4F66-8DFA-5BD896D3CE0D}"/>
            </a:ext>
          </a:extLst>
        </xdr:cNvPr>
        <xdr:cNvSpPr>
          <a:spLocks noChangeArrowheads="1"/>
        </xdr:cNvSpPr>
      </xdr:nvSpPr>
      <xdr:spPr bwMode="auto">
        <a:xfrm>
          <a:off x="17684750" y="78994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9" name="AutoShape 46">
          <a:extLst>
            <a:ext uri="{FF2B5EF4-FFF2-40B4-BE49-F238E27FC236}">
              <a16:creationId xmlns:a16="http://schemas.microsoft.com/office/drawing/2014/main" id="{F1478EF8-48DC-454E-AC0F-1C760B00F2C4}"/>
            </a:ext>
          </a:extLst>
        </xdr:cNvPr>
        <xdr:cNvSpPr>
          <a:spLocks noChangeArrowheads="1"/>
        </xdr:cNvSpPr>
      </xdr:nvSpPr>
      <xdr:spPr bwMode="auto">
        <a:xfrm>
          <a:off x="19246850" y="789940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30" name="AutoShape 46">
          <a:extLst>
            <a:ext uri="{FF2B5EF4-FFF2-40B4-BE49-F238E27FC236}">
              <a16:creationId xmlns:a16="http://schemas.microsoft.com/office/drawing/2014/main" id="{92BC1008-D62B-4D32-A009-77BAD0529BAD}"/>
            </a:ext>
          </a:extLst>
        </xdr:cNvPr>
        <xdr:cNvSpPr>
          <a:spLocks noChangeArrowheads="1"/>
        </xdr:cNvSpPr>
      </xdr:nvSpPr>
      <xdr:spPr bwMode="auto">
        <a:xfrm>
          <a:off x="20999450" y="78994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31" name="AutoShape 46">
          <a:extLst>
            <a:ext uri="{FF2B5EF4-FFF2-40B4-BE49-F238E27FC236}">
              <a16:creationId xmlns:a16="http://schemas.microsoft.com/office/drawing/2014/main" id="{4E7EDA99-4437-42FB-92FB-2329C7DF7031}"/>
            </a:ext>
          </a:extLst>
        </xdr:cNvPr>
        <xdr:cNvSpPr>
          <a:spLocks noChangeArrowheads="1"/>
        </xdr:cNvSpPr>
      </xdr:nvSpPr>
      <xdr:spPr bwMode="auto">
        <a:xfrm>
          <a:off x="22561550" y="789940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32" name="AutoShape 46">
          <a:extLst>
            <a:ext uri="{FF2B5EF4-FFF2-40B4-BE49-F238E27FC236}">
              <a16:creationId xmlns:a16="http://schemas.microsoft.com/office/drawing/2014/main" id="{9FFFB79E-BD97-4AD3-9B7B-F556BCE3796F}"/>
            </a:ext>
          </a:extLst>
        </xdr:cNvPr>
        <xdr:cNvSpPr>
          <a:spLocks noChangeArrowheads="1"/>
        </xdr:cNvSpPr>
      </xdr:nvSpPr>
      <xdr:spPr bwMode="auto">
        <a:xfrm>
          <a:off x="12820650" y="78994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33" name="AutoShape 46">
          <a:extLst>
            <a:ext uri="{FF2B5EF4-FFF2-40B4-BE49-F238E27FC236}">
              <a16:creationId xmlns:a16="http://schemas.microsoft.com/office/drawing/2014/main" id="{C7292922-9C77-4267-AB18-19ED8E164704}"/>
            </a:ext>
          </a:extLst>
        </xdr:cNvPr>
        <xdr:cNvSpPr>
          <a:spLocks noChangeArrowheads="1"/>
        </xdr:cNvSpPr>
      </xdr:nvSpPr>
      <xdr:spPr bwMode="auto">
        <a:xfrm>
          <a:off x="14382750" y="78994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34" name="AutoShape 46">
          <a:extLst>
            <a:ext uri="{FF2B5EF4-FFF2-40B4-BE49-F238E27FC236}">
              <a16:creationId xmlns:a16="http://schemas.microsoft.com/office/drawing/2014/main" id="{B9E128E9-CCAA-45BE-B697-0483F696731C}"/>
            </a:ext>
          </a:extLst>
        </xdr:cNvPr>
        <xdr:cNvSpPr>
          <a:spLocks noChangeArrowheads="1"/>
        </xdr:cNvSpPr>
      </xdr:nvSpPr>
      <xdr:spPr bwMode="auto">
        <a:xfrm>
          <a:off x="15944850" y="789940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35" name="AutoShape 46">
          <a:extLst>
            <a:ext uri="{FF2B5EF4-FFF2-40B4-BE49-F238E27FC236}">
              <a16:creationId xmlns:a16="http://schemas.microsoft.com/office/drawing/2014/main" id="{3D151834-FFDA-4AD1-9EDB-889D4781148D}"/>
            </a:ext>
          </a:extLst>
        </xdr:cNvPr>
        <xdr:cNvSpPr>
          <a:spLocks noChangeArrowheads="1"/>
        </xdr:cNvSpPr>
      </xdr:nvSpPr>
      <xdr:spPr bwMode="auto">
        <a:xfrm>
          <a:off x="17684750" y="78994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36" name="AutoShape 46">
          <a:extLst>
            <a:ext uri="{FF2B5EF4-FFF2-40B4-BE49-F238E27FC236}">
              <a16:creationId xmlns:a16="http://schemas.microsoft.com/office/drawing/2014/main" id="{D0BEBDFC-62E7-491C-8CCC-D1423C47DB7C}"/>
            </a:ext>
          </a:extLst>
        </xdr:cNvPr>
        <xdr:cNvSpPr>
          <a:spLocks noChangeArrowheads="1"/>
        </xdr:cNvSpPr>
      </xdr:nvSpPr>
      <xdr:spPr bwMode="auto">
        <a:xfrm>
          <a:off x="19246850" y="789940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37" name="AutoShape 46">
          <a:extLst>
            <a:ext uri="{FF2B5EF4-FFF2-40B4-BE49-F238E27FC236}">
              <a16:creationId xmlns:a16="http://schemas.microsoft.com/office/drawing/2014/main" id="{A4819790-4057-4980-9798-F7EDC534D4D7}"/>
            </a:ext>
          </a:extLst>
        </xdr:cNvPr>
        <xdr:cNvSpPr>
          <a:spLocks noChangeArrowheads="1"/>
        </xdr:cNvSpPr>
      </xdr:nvSpPr>
      <xdr:spPr bwMode="auto">
        <a:xfrm>
          <a:off x="20999450" y="78994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38" name="AutoShape 46">
          <a:extLst>
            <a:ext uri="{FF2B5EF4-FFF2-40B4-BE49-F238E27FC236}">
              <a16:creationId xmlns:a16="http://schemas.microsoft.com/office/drawing/2014/main" id="{4EA9528E-1378-4B1D-8908-3634525E62E3}"/>
            </a:ext>
          </a:extLst>
        </xdr:cNvPr>
        <xdr:cNvSpPr>
          <a:spLocks noChangeArrowheads="1"/>
        </xdr:cNvSpPr>
      </xdr:nvSpPr>
      <xdr:spPr bwMode="auto">
        <a:xfrm>
          <a:off x="22561550" y="789940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39" name="AutoShape 46">
          <a:extLst>
            <a:ext uri="{FF2B5EF4-FFF2-40B4-BE49-F238E27FC236}">
              <a16:creationId xmlns:a16="http://schemas.microsoft.com/office/drawing/2014/main" id="{B6BB1CB1-FD8A-4662-824E-057AEA5CF833}"/>
            </a:ext>
          </a:extLst>
        </xdr:cNvPr>
        <xdr:cNvSpPr>
          <a:spLocks noChangeArrowheads="1"/>
        </xdr:cNvSpPr>
      </xdr:nvSpPr>
      <xdr:spPr bwMode="auto">
        <a:xfrm>
          <a:off x="1397000" y="820801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40" name="AutoShape 46">
          <a:extLst>
            <a:ext uri="{FF2B5EF4-FFF2-40B4-BE49-F238E27FC236}">
              <a16:creationId xmlns:a16="http://schemas.microsoft.com/office/drawing/2014/main" id="{B9B0469F-7FB9-4039-8751-361C382C6581}"/>
            </a:ext>
          </a:extLst>
        </xdr:cNvPr>
        <xdr:cNvSpPr>
          <a:spLocks noChangeArrowheads="1"/>
        </xdr:cNvSpPr>
      </xdr:nvSpPr>
      <xdr:spPr bwMode="auto">
        <a:xfrm>
          <a:off x="314960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41" name="AutoShape 46">
          <a:extLst>
            <a:ext uri="{FF2B5EF4-FFF2-40B4-BE49-F238E27FC236}">
              <a16:creationId xmlns:a16="http://schemas.microsoft.com/office/drawing/2014/main" id="{D3B5215D-8A34-4B55-90DF-67328C116BA6}"/>
            </a:ext>
          </a:extLst>
        </xdr:cNvPr>
        <xdr:cNvSpPr>
          <a:spLocks noChangeArrowheads="1"/>
        </xdr:cNvSpPr>
      </xdr:nvSpPr>
      <xdr:spPr bwMode="auto">
        <a:xfrm>
          <a:off x="471170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42" name="AutoShape 46">
          <a:extLst>
            <a:ext uri="{FF2B5EF4-FFF2-40B4-BE49-F238E27FC236}">
              <a16:creationId xmlns:a16="http://schemas.microsoft.com/office/drawing/2014/main" id="{47B69C20-A250-440D-A738-7DB3BA3E3D26}"/>
            </a:ext>
          </a:extLst>
        </xdr:cNvPr>
        <xdr:cNvSpPr>
          <a:spLocks noChangeArrowheads="1"/>
        </xdr:cNvSpPr>
      </xdr:nvSpPr>
      <xdr:spPr bwMode="auto">
        <a:xfrm>
          <a:off x="6273800" y="82080100"/>
          <a:ext cx="8890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43" name="AutoShape 46">
          <a:extLst>
            <a:ext uri="{FF2B5EF4-FFF2-40B4-BE49-F238E27FC236}">
              <a16:creationId xmlns:a16="http://schemas.microsoft.com/office/drawing/2014/main" id="{729A3239-4BAE-43C3-8E1C-6B39091CBFA2}"/>
            </a:ext>
          </a:extLst>
        </xdr:cNvPr>
        <xdr:cNvSpPr>
          <a:spLocks noChangeArrowheads="1"/>
        </xdr:cNvSpPr>
      </xdr:nvSpPr>
      <xdr:spPr bwMode="auto">
        <a:xfrm>
          <a:off x="7943850" y="820801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44" name="AutoShape 46">
          <a:extLst>
            <a:ext uri="{FF2B5EF4-FFF2-40B4-BE49-F238E27FC236}">
              <a16:creationId xmlns:a16="http://schemas.microsoft.com/office/drawing/2014/main" id="{286B5834-C921-4C91-8F19-FE88992F2DF9}"/>
            </a:ext>
          </a:extLst>
        </xdr:cNvPr>
        <xdr:cNvSpPr>
          <a:spLocks noChangeArrowheads="1"/>
        </xdr:cNvSpPr>
      </xdr:nvSpPr>
      <xdr:spPr bwMode="auto">
        <a:xfrm>
          <a:off x="96964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45" name="AutoShape 46">
          <a:extLst>
            <a:ext uri="{FF2B5EF4-FFF2-40B4-BE49-F238E27FC236}">
              <a16:creationId xmlns:a16="http://schemas.microsoft.com/office/drawing/2014/main" id="{BDA8D074-EFE3-4E5D-9E4C-BB197466EB83}"/>
            </a:ext>
          </a:extLst>
        </xdr:cNvPr>
        <xdr:cNvSpPr>
          <a:spLocks noChangeArrowheads="1"/>
        </xdr:cNvSpPr>
      </xdr:nvSpPr>
      <xdr:spPr bwMode="auto">
        <a:xfrm>
          <a:off x="112585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6" name="AutoShape 46">
          <a:extLst>
            <a:ext uri="{FF2B5EF4-FFF2-40B4-BE49-F238E27FC236}">
              <a16:creationId xmlns:a16="http://schemas.microsoft.com/office/drawing/2014/main" id="{6A349748-4E54-4C78-936F-60384003D30A}"/>
            </a:ext>
          </a:extLst>
        </xdr:cNvPr>
        <xdr:cNvSpPr>
          <a:spLocks noChangeArrowheads="1"/>
        </xdr:cNvSpPr>
      </xdr:nvSpPr>
      <xdr:spPr bwMode="auto">
        <a:xfrm>
          <a:off x="128206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7" name="AutoShape 46">
          <a:extLst>
            <a:ext uri="{FF2B5EF4-FFF2-40B4-BE49-F238E27FC236}">
              <a16:creationId xmlns:a16="http://schemas.microsoft.com/office/drawing/2014/main" id="{C00AE340-B54E-4D7A-A9CD-7A4E90D736CC}"/>
            </a:ext>
          </a:extLst>
        </xdr:cNvPr>
        <xdr:cNvSpPr>
          <a:spLocks noChangeArrowheads="1"/>
        </xdr:cNvSpPr>
      </xdr:nvSpPr>
      <xdr:spPr bwMode="auto">
        <a:xfrm>
          <a:off x="14382750" y="82080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8" name="AutoShape 46">
          <a:extLst>
            <a:ext uri="{FF2B5EF4-FFF2-40B4-BE49-F238E27FC236}">
              <a16:creationId xmlns:a16="http://schemas.microsoft.com/office/drawing/2014/main" id="{0F8CFBF2-C681-4A47-A417-E6C576E9317F}"/>
            </a:ext>
          </a:extLst>
        </xdr:cNvPr>
        <xdr:cNvSpPr>
          <a:spLocks noChangeArrowheads="1"/>
        </xdr:cNvSpPr>
      </xdr:nvSpPr>
      <xdr:spPr bwMode="auto">
        <a:xfrm>
          <a:off x="15944850" y="820801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9" name="AutoShape 46">
          <a:extLst>
            <a:ext uri="{FF2B5EF4-FFF2-40B4-BE49-F238E27FC236}">
              <a16:creationId xmlns:a16="http://schemas.microsoft.com/office/drawing/2014/main" id="{48C40118-B3BE-4DF5-9AAC-504D782E8AF9}"/>
            </a:ext>
          </a:extLst>
        </xdr:cNvPr>
        <xdr:cNvSpPr>
          <a:spLocks noChangeArrowheads="1"/>
        </xdr:cNvSpPr>
      </xdr:nvSpPr>
      <xdr:spPr bwMode="auto">
        <a:xfrm>
          <a:off x="17684750" y="82080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0" name="AutoShape 46">
          <a:extLst>
            <a:ext uri="{FF2B5EF4-FFF2-40B4-BE49-F238E27FC236}">
              <a16:creationId xmlns:a16="http://schemas.microsoft.com/office/drawing/2014/main" id="{940249F1-C24C-460C-B3E8-E5C7B34D879F}"/>
            </a:ext>
          </a:extLst>
        </xdr:cNvPr>
        <xdr:cNvSpPr>
          <a:spLocks noChangeArrowheads="1"/>
        </xdr:cNvSpPr>
      </xdr:nvSpPr>
      <xdr:spPr bwMode="auto">
        <a:xfrm>
          <a:off x="19246850" y="820801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1" name="AutoShape 46">
          <a:extLst>
            <a:ext uri="{FF2B5EF4-FFF2-40B4-BE49-F238E27FC236}">
              <a16:creationId xmlns:a16="http://schemas.microsoft.com/office/drawing/2014/main" id="{48EA9FCE-1989-400F-ABEA-E6E7FA871E1D}"/>
            </a:ext>
          </a:extLst>
        </xdr:cNvPr>
        <xdr:cNvSpPr>
          <a:spLocks noChangeArrowheads="1"/>
        </xdr:cNvSpPr>
      </xdr:nvSpPr>
      <xdr:spPr bwMode="auto">
        <a:xfrm>
          <a:off x="20999450" y="82080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2" name="AutoShape 46">
          <a:extLst>
            <a:ext uri="{FF2B5EF4-FFF2-40B4-BE49-F238E27FC236}">
              <a16:creationId xmlns:a16="http://schemas.microsoft.com/office/drawing/2014/main" id="{203C0656-3C43-4F0F-B0E0-D2E2253484F6}"/>
            </a:ext>
          </a:extLst>
        </xdr:cNvPr>
        <xdr:cNvSpPr>
          <a:spLocks noChangeArrowheads="1"/>
        </xdr:cNvSpPr>
      </xdr:nvSpPr>
      <xdr:spPr bwMode="auto">
        <a:xfrm>
          <a:off x="22561550" y="820801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53" name="AutoShape 46">
          <a:extLst>
            <a:ext uri="{FF2B5EF4-FFF2-40B4-BE49-F238E27FC236}">
              <a16:creationId xmlns:a16="http://schemas.microsoft.com/office/drawing/2014/main" id="{4A47530A-51A2-4BA1-A41C-7B3A063DD092}"/>
            </a:ext>
          </a:extLst>
        </xdr:cNvPr>
        <xdr:cNvSpPr>
          <a:spLocks noChangeArrowheads="1"/>
        </xdr:cNvSpPr>
      </xdr:nvSpPr>
      <xdr:spPr bwMode="auto">
        <a:xfrm>
          <a:off x="143827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4" name="AutoShape 46">
          <a:extLst>
            <a:ext uri="{FF2B5EF4-FFF2-40B4-BE49-F238E27FC236}">
              <a16:creationId xmlns:a16="http://schemas.microsoft.com/office/drawing/2014/main" id="{825C51DD-5EA6-4430-8675-3C065CE1B0D5}"/>
            </a:ext>
          </a:extLst>
        </xdr:cNvPr>
        <xdr:cNvSpPr>
          <a:spLocks noChangeArrowheads="1"/>
        </xdr:cNvSpPr>
      </xdr:nvSpPr>
      <xdr:spPr bwMode="auto">
        <a:xfrm>
          <a:off x="15944850" y="820801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5" name="AutoShape 46">
          <a:extLst>
            <a:ext uri="{FF2B5EF4-FFF2-40B4-BE49-F238E27FC236}">
              <a16:creationId xmlns:a16="http://schemas.microsoft.com/office/drawing/2014/main" id="{0573D6C6-1059-4A1C-85ED-67264D892E44}"/>
            </a:ext>
          </a:extLst>
        </xdr:cNvPr>
        <xdr:cNvSpPr>
          <a:spLocks noChangeArrowheads="1"/>
        </xdr:cNvSpPr>
      </xdr:nvSpPr>
      <xdr:spPr bwMode="auto">
        <a:xfrm>
          <a:off x="176847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6" name="AutoShape 46">
          <a:extLst>
            <a:ext uri="{FF2B5EF4-FFF2-40B4-BE49-F238E27FC236}">
              <a16:creationId xmlns:a16="http://schemas.microsoft.com/office/drawing/2014/main" id="{B8FD10BC-D4FE-483C-BAF7-BB01559A3B05}"/>
            </a:ext>
          </a:extLst>
        </xdr:cNvPr>
        <xdr:cNvSpPr>
          <a:spLocks noChangeArrowheads="1"/>
        </xdr:cNvSpPr>
      </xdr:nvSpPr>
      <xdr:spPr bwMode="auto">
        <a:xfrm>
          <a:off x="19246850" y="820801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7" name="AutoShape 46">
          <a:extLst>
            <a:ext uri="{FF2B5EF4-FFF2-40B4-BE49-F238E27FC236}">
              <a16:creationId xmlns:a16="http://schemas.microsoft.com/office/drawing/2014/main" id="{557F6183-AD56-488F-8688-20CB1DDC5634}"/>
            </a:ext>
          </a:extLst>
        </xdr:cNvPr>
        <xdr:cNvSpPr>
          <a:spLocks noChangeArrowheads="1"/>
        </xdr:cNvSpPr>
      </xdr:nvSpPr>
      <xdr:spPr bwMode="auto">
        <a:xfrm>
          <a:off x="20999450" y="82080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8" name="AutoShape 46">
          <a:extLst>
            <a:ext uri="{FF2B5EF4-FFF2-40B4-BE49-F238E27FC236}">
              <a16:creationId xmlns:a16="http://schemas.microsoft.com/office/drawing/2014/main" id="{1471CB8C-5B5A-4F59-9C44-107A8712EAD6}"/>
            </a:ext>
          </a:extLst>
        </xdr:cNvPr>
        <xdr:cNvSpPr>
          <a:spLocks noChangeArrowheads="1"/>
        </xdr:cNvSpPr>
      </xdr:nvSpPr>
      <xdr:spPr bwMode="auto">
        <a:xfrm>
          <a:off x="22561550" y="820801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59" name="AutoShape 46">
          <a:extLst>
            <a:ext uri="{FF2B5EF4-FFF2-40B4-BE49-F238E27FC236}">
              <a16:creationId xmlns:a16="http://schemas.microsoft.com/office/drawing/2014/main" id="{C23FC22C-D266-4F77-A5A7-647DEE0CE873}"/>
            </a:ext>
          </a:extLst>
        </xdr:cNvPr>
        <xdr:cNvSpPr>
          <a:spLocks noChangeArrowheads="1"/>
        </xdr:cNvSpPr>
      </xdr:nvSpPr>
      <xdr:spPr bwMode="auto">
        <a:xfrm>
          <a:off x="12820650" y="82080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60" name="AutoShape 46">
          <a:extLst>
            <a:ext uri="{FF2B5EF4-FFF2-40B4-BE49-F238E27FC236}">
              <a16:creationId xmlns:a16="http://schemas.microsoft.com/office/drawing/2014/main" id="{922F53AA-ADD0-42F5-82BE-FC0CE53A6A65}"/>
            </a:ext>
          </a:extLst>
        </xdr:cNvPr>
        <xdr:cNvSpPr>
          <a:spLocks noChangeArrowheads="1"/>
        </xdr:cNvSpPr>
      </xdr:nvSpPr>
      <xdr:spPr bwMode="auto">
        <a:xfrm>
          <a:off x="14382750" y="82080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61" name="AutoShape 46">
          <a:extLst>
            <a:ext uri="{FF2B5EF4-FFF2-40B4-BE49-F238E27FC236}">
              <a16:creationId xmlns:a16="http://schemas.microsoft.com/office/drawing/2014/main" id="{CA72F5FE-5C4E-4227-AAEA-0237A55FBF19}"/>
            </a:ext>
          </a:extLst>
        </xdr:cNvPr>
        <xdr:cNvSpPr>
          <a:spLocks noChangeArrowheads="1"/>
        </xdr:cNvSpPr>
      </xdr:nvSpPr>
      <xdr:spPr bwMode="auto">
        <a:xfrm>
          <a:off x="15944850" y="820801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62" name="AutoShape 46">
          <a:extLst>
            <a:ext uri="{FF2B5EF4-FFF2-40B4-BE49-F238E27FC236}">
              <a16:creationId xmlns:a16="http://schemas.microsoft.com/office/drawing/2014/main" id="{00E269FE-DBB0-444C-B24C-79220AA13AF2}"/>
            </a:ext>
          </a:extLst>
        </xdr:cNvPr>
        <xdr:cNvSpPr>
          <a:spLocks noChangeArrowheads="1"/>
        </xdr:cNvSpPr>
      </xdr:nvSpPr>
      <xdr:spPr bwMode="auto">
        <a:xfrm>
          <a:off x="17684750" y="82080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63" name="AutoShape 46">
          <a:extLst>
            <a:ext uri="{FF2B5EF4-FFF2-40B4-BE49-F238E27FC236}">
              <a16:creationId xmlns:a16="http://schemas.microsoft.com/office/drawing/2014/main" id="{E85C6D84-42B5-41CD-BB3B-E76036DEE413}"/>
            </a:ext>
          </a:extLst>
        </xdr:cNvPr>
        <xdr:cNvSpPr>
          <a:spLocks noChangeArrowheads="1"/>
        </xdr:cNvSpPr>
      </xdr:nvSpPr>
      <xdr:spPr bwMode="auto">
        <a:xfrm>
          <a:off x="19246850" y="820801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64" name="AutoShape 46">
          <a:extLst>
            <a:ext uri="{FF2B5EF4-FFF2-40B4-BE49-F238E27FC236}">
              <a16:creationId xmlns:a16="http://schemas.microsoft.com/office/drawing/2014/main" id="{7E724322-83F7-488C-8DD3-3B22E593DEE7}"/>
            </a:ext>
          </a:extLst>
        </xdr:cNvPr>
        <xdr:cNvSpPr>
          <a:spLocks noChangeArrowheads="1"/>
        </xdr:cNvSpPr>
      </xdr:nvSpPr>
      <xdr:spPr bwMode="auto">
        <a:xfrm>
          <a:off x="20999450" y="82080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65" name="AutoShape 46">
          <a:extLst>
            <a:ext uri="{FF2B5EF4-FFF2-40B4-BE49-F238E27FC236}">
              <a16:creationId xmlns:a16="http://schemas.microsoft.com/office/drawing/2014/main" id="{C03ABB72-409A-4B25-83F3-E9F23ADAFC30}"/>
            </a:ext>
          </a:extLst>
        </xdr:cNvPr>
        <xdr:cNvSpPr>
          <a:spLocks noChangeArrowheads="1"/>
        </xdr:cNvSpPr>
      </xdr:nvSpPr>
      <xdr:spPr bwMode="auto">
        <a:xfrm>
          <a:off x="22561550" y="820801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66" name="AutoShape 46">
          <a:extLst>
            <a:ext uri="{FF2B5EF4-FFF2-40B4-BE49-F238E27FC236}">
              <a16:creationId xmlns:a16="http://schemas.microsoft.com/office/drawing/2014/main" id="{D14C41E2-87FB-4209-912D-D0F29E388F0A}"/>
            </a:ext>
          </a:extLst>
        </xdr:cNvPr>
        <xdr:cNvSpPr>
          <a:spLocks noChangeArrowheads="1"/>
        </xdr:cNvSpPr>
      </xdr:nvSpPr>
      <xdr:spPr bwMode="auto">
        <a:xfrm>
          <a:off x="1397000" y="855091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67" name="AutoShape 46">
          <a:extLst>
            <a:ext uri="{FF2B5EF4-FFF2-40B4-BE49-F238E27FC236}">
              <a16:creationId xmlns:a16="http://schemas.microsoft.com/office/drawing/2014/main" id="{AE1938D4-4D2E-446B-AB52-BFFA8DDEDEB5}"/>
            </a:ext>
          </a:extLst>
        </xdr:cNvPr>
        <xdr:cNvSpPr>
          <a:spLocks noChangeArrowheads="1"/>
        </xdr:cNvSpPr>
      </xdr:nvSpPr>
      <xdr:spPr bwMode="auto">
        <a:xfrm>
          <a:off x="3149600" y="85509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68" name="AutoShape 46">
          <a:extLst>
            <a:ext uri="{FF2B5EF4-FFF2-40B4-BE49-F238E27FC236}">
              <a16:creationId xmlns:a16="http://schemas.microsoft.com/office/drawing/2014/main" id="{AFEE2EE2-6A33-42F3-A8ED-807D6485528E}"/>
            </a:ext>
          </a:extLst>
        </xdr:cNvPr>
        <xdr:cNvSpPr>
          <a:spLocks noChangeArrowheads="1"/>
        </xdr:cNvSpPr>
      </xdr:nvSpPr>
      <xdr:spPr bwMode="auto">
        <a:xfrm>
          <a:off x="4711700" y="85509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69" name="AutoShape 46">
          <a:extLst>
            <a:ext uri="{FF2B5EF4-FFF2-40B4-BE49-F238E27FC236}">
              <a16:creationId xmlns:a16="http://schemas.microsoft.com/office/drawing/2014/main" id="{1D8DD1F1-732C-44EC-8F4B-E4E5BBAFCB22}"/>
            </a:ext>
          </a:extLst>
        </xdr:cNvPr>
        <xdr:cNvSpPr>
          <a:spLocks noChangeArrowheads="1"/>
        </xdr:cNvSpPr>
      </xdr:nvSpPr>
      <xdr:spPr bwMode="auto">
        <a:xfrm>
          <a:off x="6273800" y="855091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70" name="AutoShape 46">
          <a:extLst>
            <a:ext uri="{FF2B5EF4-FFF2-40B4-BE49-F238E27FC236}">
              <a16:creationId xmlns:a16="http://schemas.microsoft.com/office/drawing/2014/main" id="{6C8E55A5-5C2A-479C-8819-7EADA474B22C}"/>
            </a:ext>
          </a:extLst>
        </xdr:cNvPr>
        <xdr:cNvSpPr>
          <a:spLocks noChangeArrowheads="1"/>
        </xdr:cNvSpPr>
      </xdr:nvSpPr>
      <xdr:spPr bwMode="auto">
        <a:xfrm>
          <a:off x="9313333" y="106870502"/>
          <a:ext cx="1164166" cy="5080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71" name="AutoShape 46">
          <a:extLst>
            <a:ext uri="{FF2B5EF4-FFF2-40B4-BE49-F238E27FC236}">
              <a16:creationId xmlns:a16="http://schemas.microsoft.com/office/drawing/2014/main" id="{B19A1EDF-8CD7-4E44-B71B-E24C0014A8E9}"/>
            </a:ext>
          </a:extLst>
        </xdr:cNvPr>
        <xdr:cNvSpPr>
          <a:spLocks noChangeArrowheads="1"/>
        </xdr:cNvSpPr>
      </xdr:nvSpPr>
      <xdr:spPr bwMode="auto">
        <a:xfrm>
          <a:off x="9696450" y="85509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72" name="AutoShape 46">
          <a:extLst>
            <a:ext uri="{FF2B5EF4-FFF2-40B4-BE49-F238E27FC236}">
              <a16:creationId xmlns:a16="http://schemas.microsoft.com/office/drawing/2014/main" id="{73EECA57-9B62-47F2-B518-53F0BBE84B14}"/>
            </a:ext>
          </a:extLst>
        </xdr:cNvPr>
        <xdr:cNvSpPr>
          <a:spLocks noChangeArrowheads="1"/>
        </xdr:cNvSpPr>
      </xdr:nvSpPr>
      <xdr:spPr bwMode="auto">
        <a:xfrm>
          <a:off x="112585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73" name="AutoShape 46">
          <a:extLst>
            <a:ext uri="{FF2B5EF4-FFF2-40B4-BE49-F238E27FC236}">
              <a16:creationId xmlns:a16="http://schemas.microsoft.com/office/drawing/2014/main" id="{B5EF1C65-1AB7-44E1-A6ED-D59C86CB1FE4}"/>
            </a:ext>
          </a:extLst>
        </xdr:cNvPr>
        <xdr:cNvSpPr>
          <a:spLocks noChangeArrowheads="1"/>
        </xdr:cNvSpPr>
      </xdr:nvSpPr>
      <xdr:spPr bwMode="auto">
        <a:xfrm>
          <a:off x="12820650" y="85509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74" name="AutoShape 46">
          <a:extLst>
            <a:ext uri="{FF2B5EF4-FFF2-40B4-BE49-F238E27FC236}">
              <a16:creationId xmlns:a16="http://schemas.microsoft.com/office/drawing/2014/main" id="{994307B7-BDD5-4905-8DE8-52246BC50C0B}"/>
            </a:ext>
          </a:extLst>
        </xdr:cNvPr>
        <xdr:cNvSpPr>
          <a:spLocks noChangeArrowheads="1"/>
        </xdr:cNvSpPr>
      </xdr:nvSpPr>
      <xdr:spPr bwMode="auto">
        <a:xfrm>
          <a:off x="128206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75" name="Group 1008">
          <a:extLst>
            <a:ext uri="{FF2B5EF4-FFF2-40B4-BE49-F238E27FC236}">
              <a16:creationId xmlns:a16="http://schemas.microsoft.com/office/drawing/2014/main" id="{248D512E-CFD1-4B4E-B668-468D2F11C81C}"/>
            </a:ext>
          </a:extLst>
        </xdr:cNvPr>
        <xdr:cNvGrpSpPr>
          <a:grpSpLocks/>
        </xdr:cNvGrpSpPr>
      </xdr:nvGrpSpPr>
      <xdr:grpSpPr bwMode="auto">
        <a:xfrm>
          <a:off x="10525125" y="67198875"/>
          <a:ext cx="228600" cy="428625"/>
          <a:chOff x="5475762" y="47760700"/>
          <a:chExt cx="314325" cy="230209"/>
        </a:xfrm>
      </xdr:grpSpPr>
      <xdr:cxnSp macro="">
        <xdr:nvCxnSpPr>
          <xdr:cNvPr id="676" name="Straight Connector 675">
            <a:extLst>
              <a:ext uri="{FF2B5EF4-FFF2-40B4-BE49-F238E27FC236}">
                <a16:creationId xmlns:a16="http://schemas.microsoft.com/office/drawing/2014/main" id="{BF4B54B1-597A-EC28-92FC-0BB582BA8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77" name="Straight Connector 529">
            <a:extLst>
              <a:ext uri="{FF2B5EF4-FFF2-40B4-BE49-F238E27FC236}">
                <a16:creationId xmlns:a16="http://schemas.microsoft.com/office/drawing/2014/main" id="{9D7666D6-8C80-D0E4-6CE6-7A4C75E48FA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78" name="Straight Connector 531">
            <a:extLst>
              <a:ext uri="{FF2B5EF4-FFF2-40B4-BE49-F238E27FC236}">
                <a16:creationId xmlns:a16="http://schemas.microsoft.com/office/drawing/2014/main" id="{94F7F1DA-06AB-EDEA-893E-1881CB1A37F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79" name="Straight Connector 533">
            <a:extLst>
              <a:ext uri="{FF2B5EF4-FFF2-40B4-BE49-F238E27FC236}">
                <a16:creationId xmlns:a16="http://schemas.microsoft.com/office/drawing/2014/main" id="{57C63A4E-A529-D3C6-3A4C-0A539DACC0F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80" name="Straight Connector 535">
            <a:extLst>
              <a:ext uri="{FF2B5EF4-FFF2-40B4-BE49-F238E27FC236}">
                <a16:creationId xmlns:a16="http://schemas.microsoft.com/office/drawing/2014/main" id="{28C687BF-3456-1612-F456-D51AC8693C1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81" name="Straight Connector 537">
            <a:extLst>
              <a:ext uri="{FF2B5EF4-FFF2-40B4-BE49-F238E27FC236}">
                <a16:creationId xmlns:a16="http://schemas.microsoft.com/office/drawing/2014/main" id="{78EDCC56-EE54-81ED-278A-996FB009FAA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48</xdr:row>
      <xdr:rowOff>220752</xdr:rowOff>
    </xdr:to>
    <xdr:pic>
      <xdr:nvPicPr>
        <xdr:cNvPr id="682" name="Picture 11597">
          <a:extLst>
            <a:ext uri="{FF2B5EF4-FFF2-40B4-BE49-F238E27FC236}">
              <a16:creationId xmlns:a16="http://schemas.microsoft.com/office/drawing/2014/main" id="{6017CA3D-FEEC-44BE-8C08-15B136D9A1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762320" y="17289929"/>
          <a:ext cx="8467" cy="774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83" name="AutoShape 46">
          <a:extLst>
            <a:ext uri="{FF2B5EF4-FFF2-40B4-BE49-F238E27FC236}">
              <a16:creationId xmlns:a16="http://schemas.microsoft.com/office/drawing/2014/main" id="{E6A33AD9-DF77-49D3-A33E-B1632C05CD38}"/>
            </a:ext>
          </a:extLst>
        </xdr:cNvPr>
        <xdr:cNvSpPr>
          <a:spLocks noChangeArrowheads="1"/>
        </xdr:cNvSpPr>
      </xdr:nvSpPr>
      <xdr:spPr bwMode="auto">
        <a:xfrm>
          <a:off x="209994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84" name="AutoShape 46">
          <a:extLst>
            <a:ext uri="{FF2B5EF4-FFF2-40B4-BE49-F238E27FC236}">
              <a16:creationId xmlns:a16="http://schemas.microsoft.com/office/drawing/2014/main" id="{CE572895-5A69-410B-8A47-452CBF382842}"/>
            </a:ext>
          </a:extLst>
        </xdr:cNvPr>
        <xdr:cNvSpPr>
          <a:spLocks noChangeArrowheads="1"/>
        </xdr:cNvSpPr>
      </xdr:nvSpPr>
      <xdr:spPr bwMode="auto">
        <a:xfrm>
          <a:off x="20999450" y="513969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85" name="AutoShape 46">
          <a:extLst>
            <a:ext uri="{FF2B5EF4-FFF2-40B4-BE49-F238E27FC236}">
              <a16:creationId xmlns:a16="http://schemas.microsoft.com/office/drawing/2014/main" id="{208EF691-333B-42AB-BED2-805153877C5F}"/>
            </a:ext>
          </a:extLst>
        </xdr:cNvPr>
        <xdr:cNvSpPr>
          <a:spLocks noChangeArrowheads="1"/>
        </xdr:cNvSpPr>
      </xdr:nvSpPr>
      <xdr:spPr bwMode="auto">
        <a:xfrm>
          <a:off x="20999450" y="513969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86" name="AutoShape 46">
          <a:extLst>
            <a:ext uri="{FF2B5EF4-FFF2-40B4-BE49-F238E27FC236}">
              <a16:creationId xmlns:a16="http://schemas.microsoft.com/office/drawing/2014/main" id="{85541796-AC54-4429-BB00-24F6AA712558}"/>
            </a:ext>
          </a:extLst>
        </xdr:cNvPr>
        <xdr:cNvSpPr>
          <a:spLocks noChangeArrowheads="1"/>
        </xdr:cNvSpPr>
      </xdr:nvSpPr>
      <xdr:spPr bwMode="auto">
        <a:xfrm>
          <a:off x="3149600" y="550545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87" name="AutoShape 46">
          <a:extLst>
            <a:ext uri="{FF2B5EF4-FFF2-40B4-BE49-F238E27FC236}">
              <a16:creationId xmlns:a16="http://schemas.microsoft.com/office/drawing/2014/main" id="{65166E1F-3FF0-4ABC-B168-4D3A7C8AC834}"/>
            </a:ext>
          </a:extLst>
        </xdr:cNvPr>
        <xdr:cNvSpPr>
          <a:spLocks noChangeArrowheads="1"/>
        </xdr:cNvSpPr>
      </xdr:nvSpPr>
      <xdr:spPr bwMode="auto">
        <a:xfrm>
          <a:off x="1397000" y="886968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88" name="AutoShape 46">
          <a:extLst>
            <a:ext uri="{FF2B5EF4-FFF2-40B4-BE49-F238E27FC236}">
              <a16:creationId xmlns:a16="http://schemas.microsoft.com/office/drawing/2014/main" id="{C613148E-5AAA-4746-BA92-2DFCBF139466}"/>
            </a:ext>
          </a:extLst>
        </xdr:cNvPr>
        <xdr:cNvSpPr>
          <a:spLocks noChangeArrowheads="1"/>
        </xdr:cNvSpPr>
      </xdr:nvSpPr>
      <xdr:spPr bwMode="auto">
        <a:xfrm>
          <a:off x="3149600" y="886968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89" name="AutoShape 46">
          <a:extLst>
            <a:ext uri="{FF2B5EF4-FFF2-40B4-BE49-F238E27FC236}">
              <a16:creationId xmlns:a16="http://schemas.microsoft.com/office/drawing/2014/main" id="{F56D4EDD-0541-41A3-BEFA-9991DBE23759}"/>
            </a:ext>
          </a:extLst>
        </xdr:cNvPr>
        <xdr:cNvSpPr>
          <a:spLocks noChangeArrowheads="1"/>
        </xdr:cNvSpPr>
      </xdr:nvSpPr>
      <xdr:spPr bwMode="auto">
        <a:xfrm>
          <a:off x="4711700" y="886968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90" name="AutoShape 46">
          <a:extLst>
            <a:ext uri="{FF2B5EF4-FFF2-40B4-BE49-F238E27FC236}">
              <a16:creationId xmlns:a16="http://schemas.microsoft.com/office/drawing/2014/main" id="{FBA764EC-2B08-4C5D-9B9F-9F2BDC506CCB}"/>
            </a:ext>
          </a:extLst>
        </xdr:cNvPr>
        <xdr:cNvSpPr>
          <a:spLocks noChangeArrowheads="1"/>
        </xdr:cNvSpPr>
      </xdr:nvSpPr>
      <xdr:spPr bwMode="auto">
        <a:xfrm>
          <a:off x="6273800" y="8869680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91" name="AutoShape 46">
          <a:extLst>
            <a:ext uri="{FF2B5EF4-FFF2-40B4-BE49-F238E27FC236}">
              <a16:creationId xmlns:a16="http://schemas.microsoft.com/office/drawing/2014/main" id="{983F7D59-A46E-4A46-8F02-73BB6C08AB48}"/>
            </a:ext>
          </a:extLst>
        </xdr:cNvPr>
        <xdr:cNvSpPr>
          <a:spLocks noChangeArrowheads="1"/>
        </xdr:cNvSpPr>
      </xdr:nvSpPr>
      <xdr:spPr bwMode="auto">
        <a:xfrm>
          <a:off x="7943850" y="88696800"/>
          <a:ext cx="971550" cy="558800"/>
        </a:xfrm>
        <a:prstGeom prst="triangle">
          <a:avLst>
            <a:gd name="adj" fmla="val 50000"/>
          </a:avLst>
        </a:prstGeom>
        <a:solidFill>
          <a:srgbClr val="FFFF00"/>
        </a:solidFill>
        <a:ln w="9525">
          <a:solidFill>
            <a:srgbClr val="000000"/>
          </a:solidFill>
          <a:miter lim="800000"/>
          <a:headEnd/>
          <a:tailEnd/>
        </a:ln>
      </xdr:spPr>
      <xdr:txBody>
        <a:bodyPr/>
        <a:lstStyle/>
        <a:p>
          <a:r>
            <a:rPr lang="en-IN" sz="1400" b="1">
              <a:solidFill>
                <a:srgbClr val="FF0000"/>
              </a:solidFill>
            </a:rPr>
            <a:t>ROW</a:t>
          </a:r>
        </a:p>
      </xdr:txBody>
    </xdr:sp>
    <xdr:clientData/>
  </xdr:twoCellAnchor>
  <xdr:twoCellAnchor>
    <xdr:from>
      <xdr:col>11</xdr:col>
      <xdr:colOff>0</xdr:colOff>
      <xdr:row>223</xdr:row>
      <xdr:rowOff>57150</xdr:rowOff>
    </xdr:from>
    <xdr:to>
      <xdr:col>12</xdr:col>
      <xdr:colOff>0</xdr:colOff>
      <xdr:row>224</xdr:row>
      <xdr:rowOff>190500</xdr:rowOff>
    </xdr:to>
    <xdr:sp macro="" textlink="">
      <xdr:nvSpPr>
        <xdr:cNvPr id="692" name="AutoShape 46">
          <a:extLst>
            <a:ext uri="{FF2B5EF4-FFF2-40B4-BE49-F238E27FC236}">
              <a16:creationId xmlns:a16="http://schemas.microsoft.com/office/drawing/2014/main" id="{68A74B7B-47DD-48B5-8BA5-B1C92E848B62}"/>
            </a:ext>
          </a:extLst>
        </xdr:cNvPr>
        <xdr:cNvSpPr>
          <a:spLocks noChangeArrowheads="1"/>
        </xdr:cNvSpPr>
      </xdr:nvSpPr>
      <xdr:spPr bwMode="auto">
        <a:xfrm>
          <a:off x="9696450" y="886968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93" name="AutoShape 46">
          <a:extLst>
            <a:ext uri="{FF2B5EF4-FFF2-40B4-BE49-F238E27FC236}">
              <a16:creationId xmlns:a16="http://schemas.microsoft.com/office/drawing/2014/main" id="{6890705D-D854-488C-949B-DD7CC7BB3966}"/>
            </a:ext>
          </a:extLst>
        </xdr:cNvPr>
        <xdr:cNvSpPr>
          <a:spLocks noChangeArrowheads="1"/>
        </xdr:cNvSpPr>
      </xdr:nvSpPr>
      <xdr:spPr bwMode="auto">
        <a:xfrm>
          <a:off x="112585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94" name="AutoShape 46">
          <a:extLst>
            <a:ext uri="{FF2B5EF4-FFF2-40B4-BE49-F238E27FC236}">
              <a16:creationId xmlns:a16="http://schemas.microsoft.com/office/drawing/2014/main" id="{60812BA2-7033-40E3-91E9-3CDD2D901C6E}"/>
            </a:ext>
          </a:extLst>
        </xdr:cNvPr>
        <xdr:cNvSpPr>
          <a:spLocks noChangeArrowheads="1"/>
        </xdr:cNvSpPr>
      </xdr:nvSpPr>
      <xdr:spPr bwMode="auto">
        <a:xfrm>
          <a:off x="12820650" y="8869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95" name="AutoShape 46">
          <a:extLst>
            <a:ext uri="{FF2B5EF4-FFF2-40B4-BE49-F238E27FC236}">
              <a16:creationId xmlns:a16="http://schemas.microsoft.com/office/drawing/2014/main" id="{F06E3B0B-DDA6-43D1-9D09-740196ABC519}"/>
            </a:ext>
          </a:extLst>
        </xdr:cNvPr>
        <xdr:cNvSpPr>
          <a:spLocks noChangeArrowheads="1"/>
        </xdr:cNvSpPr>
      </xdr:nvSpPr>
      <xdr:spPr bwMode="auto">
        <a:xfrm>
          <a:off x="128206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6" name="AutoShape 46">
          <a:extLst>
            <a:ext uri="{FF2B5EF4-FFF2-40B4-BE49-F238E27FC236}">
              <a16:creationId xmlns:a16="http://schemas.microsoft.com/office/drawing/2014/main" id="{244EE72B-18D8-4F0F-97C3-3C096D40E1B9}"/>
            </a:ext>
          </a:extLst>
        </xdr:cNvPr>
        <xdr:cNvSpPr>
          <a:spLocks noChangeArrowheads="1"/>
        </xdr:cNvSpPr>
      </xdr:nvSpPr>
      <xdr:spPr bwMode="auto">
        <a:xfrm>
          <a:off x="143827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7" name="AutoShape 46">
          <a:extLst>
            <a:ext uri="{FF2B5EF4-FFF2-40B4-BE49-F238E27FC236}">
              <a16:creationId xmlns:a16="http://schemas.microsoft.com/office/drawing/2014/main" id="{FEB03035-C255-4239-8492-F7A699FF09BA}"/>
            </a:ext>
          </a:extLst>
        </xdr:cNvPr>
        <xdr:cNvSpPr>
          <a:spLocks noChangeArrowheads="1"/>
        </xdr:cNvSpPr>
      </xdr:nvSpPr>
      <xdr:spPr bwMode="auto">
        <a:xfrm>
          <a:off x="15944850" y="855091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8" name="AutoShape 46">
          <a:extLst>
            <a:ext uri="{FF2B5EF4-FFF2-40B4-BE49-F238E27FC236}">
              <a16:creationId xmlns:a16="http://schemas.microsoft.com/office/drawing/2014/main" id="{563CAE38-CA67-4E76-B180-6AB967EF5D34}"/>
            </a:ext>
          </a:extLst>
        </xdr:cNvPr>
        <xdr:cNvSpPr>
          <a:spLocks noChangeArrowheads="1"/>
        </xdr:cNvSpPr>
      </xdr:nvSpPr>
      <xdr:spPr bwMode="auto">
        <a:xfrm>
          <a:off x="176847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9" name="AutoShape 46">
          <a:extLst>
            <a:ext uri="{FF2B5EF4-FFF2-40B4-BE49-F238E27FC236}">
              <a16:creationId xmlns:a16="http://schemas.microsoft.com/office/drawing/2014/main" id="{7F5A59F7-9302-4B93-9761-3DCF542CBDA4}"/>
            </a:ext>
          </a:extLst>
        </xdr:cNvPr>
        <xdr:cNvSpPr>
          <a:spLocks noChangeArrowheads="1"/>
        </xdr:cNvSpPr>
      </xdr:nvSpPr>
      <xdr:spPr bwMode="auto">
        <a:xfrm>
          <a:off x="19246850" y="855091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0" name="AutoShape 46">
          <a:extLst>
            <a:ext uri="{FF2B5EF4-FFF2-40B4-BE49-F238E27FC236}">
              <a16:creationId xmlns:a16="http://schemas.microsoft.com/office/drawing/2014/main" id="{826E8BD9-A730-41D6-9BF6-54BED36B5696}"/>
            </a:ext>
          </a:extLst>
        </xdr:cNvPr>
        <xdr:cNvSpPr>
          <a:spLocks noChangeArrowheads="1"/>
        </xdr:cNvSpPr>
      </xdr:nvSpPr>
      <xdr:spPr bwMode="auto">
        <a:xfrm>
          <a:off x="209994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1" name="AutoShape 46">
          <a:extLst>
            <a:ext uri="{FF2B5EF4-FFF2-40B4-BE49-F238E27FC236}">
              <a16:creationId xmlns:a16="http://schemas.microsoft.com/office/drawing/2014/main" id="{4E07F212-A45E-4EDA-8A78-0C39125C6CD6}"/>
            </a:ext>
          </a:extLst>
        </xdr:cNvPr>
        <xdr:cNvSpPr>
          <a:spLocks noChangeArrowheads="1"/>
        </xdr:cNvSpPr>
      </xdr:nvSpPr>
      <xdr:spPr bwMode="auto">
        <a:xfrm>
          <a:off x="22561550" y="855091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702" name="AutoShape 46">
          <a:extLst>
            <a:ext uri="{FF2B5EF4-FFF2-40B4-BE49-F238E27FC236}">
              <a16:creationId xmlns:a16="http://schemas.microsoft.com/office/drawing/2014/main" id="{67C63DCD-F46C-47C3-A2DD-9066FD1824DD}"/>
            </a:ext>
          </a:extLst>
        </xdr:cNvPr>
        <xdr:cNvSpPr>
          <a:spLocks noChangeArrowheads="1"/>
        </xdr:cNvSpPr>
      </xdr:nvSpPr>
      <xdr:spPr bwMode="auto">
        <a:xfrm>
          <a:off x="14382750" y="85509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703" name="AutoShape 46">
          <a:extLst>
            <a:ext uri="{FF2B5EF4-FFF2-40B4-BE49-F238E27FC236}">
              <a16:creationId xmlns:a16="http://schemas.microsoft.com/office/drawing/2014/main" id="{FABDB54C-A0B7-4A2E-BD80-12A863216FD2}"/>
            </a:ext>
          </a:extLst>
        </xdr:cNvPr>
        <xdr:cNvSpPr>
          <a:spLocks noChangeArrowheads="1"/>
        </xdr:cNvSpPr>
      </xdr:nvSpPr>
      <xdr:spPr bwMode="auto">
        <a:xfrm>
          <a:off x="15944850" y="855091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704" name="AutoShape 46">
          <a:extLst>
            <a:ext uri="{FF2B5EF4-FFF2-40B4-BE49-F238E27FC236}">
              <a16:creationId xmlns:a16="http://schemas.microsoft.com/office/drawing/2014/main" id="{1888424E-EE95-4120-BE44-8FBAD2817599}"/>
            </a:ext>
          </a:extLst>
        </xdr:cNvPr>
        <xdr:cNvSpPr>
          <a:spLocks noChangeArrowheads="1"/>
        </xdr:cNvSpPr>
      </xdr:nvSpPr>
      <xdr:spPr bwMode="auto">
        <a:xfrm>
          <a:off x="17684750" y="85509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5" name="AutoShape 46">
          <a:extLst>
            <a:ext uri="{FF2B5EF4-FFF2-40B4-BE49-F238E27FC236}">
              <a16:creationId xmlns:a16="http://schemas.microsoft.com/office/drawing/2014/main" id="{421A4C34-46E6-43AC-B6EA-1F61CEDE3511}"/>
            </a:ext>
          </a:extLst>
        </xdr:cNvPr>
        <xdr:cNvSpPr>
          <a:spLocks noChangeArrowheads="1"/>
        </xdr:cNvSpPr>
      </xdr:nvSpPr>
      <xdr:spPr bwMode="auto">
        <a:xfrm>
          <a:off x="19246850" y="855091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6" name="AutoShape 46">
          <a:extLst>
            <a:ext uri="{FF2B5EF4-FFF2-40B4-BE49-F238E27FC236}">
              <a16:creationId xmlns:a16="http://schemas.microsoft.com/office/drawing/2014/main" id="{36DB08E8-25C5-4714-9A52-D7667C46F481}"/>
            </a:ext>
          </a:extLst>
        </xdr:cNvPr>
        <xdr:cNvSpPr>
          <a:spLocks noChangeArrowheads="1"/>
        </xdr:cNvSpPr>
      </xdr:nvSpPr>
      <xdr:spPr bwMode="auto">
        <a:xfrm>
          <a:off x="20999450" y="855091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7" name="AutoShape 46">
          <a:extLst>
            <a:ext uri="{FF2B5EF4-FFF2-40B4-BE49-F238E27FC236}">
              <a16:creationId xmlns:a16="http://schemas.microsoft.com/office/drawing/2014/main" id="{DB81BEA7-4A29-4A08-9580-2DD91DE54B9D}"/>
            </a:ext>
          </a:extLst>
        </xdr:cNvPr>
        <xdr:cNvSpPr>
          <a:spLocks noChangeArrowheads="1"/>
        </xdr:cNvSpPr>
      </xdr:nvSpPr>
      <xdr:spPr bwMode="auto">
        <a:xfrm>
          <a:off x="22561550" y="855091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708" name="AutoShape 46">
          <a:extLst>
            <a:ext uri="{FF2B5EF4-FFF2-40B4-BE49-F238E27FC236}">
              <a16:creationId xmlns:a16="http://schemas.microsoft.com/office/drawing/2014/main" id="{3EEBFB8A-6F42-4F49-99DE-877FA5E86CB4}"/>
            </a:ext>
          </a:extLst>
        </xdr:cNvPr>
        <xdr:cNvSpPr>
          <a:spLocks noChangeArrowheads="1"/>
        </xdr:cNvSpPr>
      </xdr:nvSpPr>
      <xdr:spPr bwMode="auto">
        <a:xfrm>
          <a:off x="143827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709" name="AutoShape 46">
          <a:extLst>
            <a:ext uri="{FF2B5EF4-FFF2-40B4-BE49-F238E27FC236}">
              <a16:creationId xmlns:a16="http://schemas.microsoft.com/office/drawing/2014/main" id="{62A0BBAD-678A-4C37-B5F3-8D8CBE8DB4B2}"/>
            </a:ext>
          </a:extLst>
        </xdr:cNvPr>
        <xdr:cNvSpPr>
          <a:spLocks noChangeArrowheads="1"/>
        </xdr:cNvSpPr>
      </xdr:nvSpPr>
      <xdr:spPr bwMode="auto">
        <a:xfrm>
          <a:off x="15944850" y="855091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710" name="AutoShape 46">
          <a:extLst>
            <a:ext uri="{FF2B5EF4-FFF2-40B4-BE49-F238E27FC236}">
              <a16:creationId xmlns:a16="http://schemas.microsoft.com/office/drawing/2014/main" id="{25E74E24-9F06-4BF2-95FE-97855B23FF68}"/>
            </a:ext>
          </a:extLst>
        </xdr:cNvPr>
        <xdr:cNvSpPr>
          <a:spLocks noChangeArrowheads="1"/>
        </xdr:cNvSpPr>
      </xdr:nvSpPr>
      <xdr:spPr bwMode="auto">
        <a:xfrm>
          <a:off x="17684750" y="855091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11" name="AutoShape 46">
          <a:extLst>
            <a:ext uri="{FF2B5EF4-FFF2-40B4-BE49-F238E27FC236}">
              <a16:creationId xmlns:a16="http://schemas.microsoft.com/office/drawing/2014/main" id="{EC661345-CE93-47C3-92F2-68F5C254175B}"/>
            </a:ext>
          </a:extLst>
        </xdr:cNvPr>
        <xdr:cNvSpPr>
          <a:spLocks noChangeArrowheads="1"/>
        </xdr:cNvSpPr>
      </xdr:nvSpPr>
      <xdr:spPr bwMode="auto">
        <a:xfrm>
          <a:off x="19246850" y="855091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12" name="AutoShape 46">
          <a:extLst>
            <a:ext uri="{FF2B5EF4-FFF2-40B4-BE49-F238E27FC236}">
              <a16:creationId xmlns:a16="http://schemas.microsoft.com/office/drawing/2014/main" id="{8708E858-2849-4663-B637-0C8B7924058A}"/>
            </a:ext>
          </a:extLst>
        </xdr:cNvPr>
        <xdr:cNvSpPr>
          <a:spLocks noChangeArrowheads="1"/>
        </xdr:cNvSpPr>
      </xdr:nvSpPr>
      <xdr:spPr bwMode="auto">
        <a:xfrm>
          <a:off x="20999450" y="855091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13" name="AutoShape 46">
          <a:extLst>
            <a:ext uri="{FF2B5EF4-FFF2-40B4-BE49-F238E27FC236}">
              <a16:creationId xmlns:a16="http://schemas.microsoft.com/office/drawing/2014/main" id="{CBDB85AF-673F-4FD0-A002-26637F83ADF6}"/>
            </a:ext>
          </a:extLst>
        </xdr:cNvPr>
        <xdr:cNvSpPr>
          <a:spLocks noChangeArrowheads="1"/>
        </xdr:cNvSpPr>
      </xdr:nvSpPr>
      <xdr:spPr bwMode="auto">
        <a:xfrm>
          <a:off x="22561550" y="855091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4" name="AutoShape 46">
          <a:extLst>
            <a:ext uri="{FF2B5EF4-FFF2-40B4-BE49-F238E27FC236}">
              <a16:creationId xmlns:a16="http://schemas.microsoft.com/office/drawing/2014/main" id="{1AF6A6D7-7CD9-4C57-9C3E-8FD658273F68}"/>
            </a:ext>
          </a:extLst>
        </xdr:cNvPr>
        <xdr:cNvSpPr>
          <a:spLocks noChangeArrowheads="1"/>
        </xdr:cNvSpPr>
      </xdr:nvSpPr>
      <xdr:spPr bwMode="auto">
        <a:xfrm>
          <a:off x="143827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5" name="AutoShape 46">
          <a:extLst>
            <a:ext uri="{FF2B5EF4-FFF2-40B4-BE49-F238E27FC236}">
              <a16:creationId xmlns:a16="http://schemas.microsoft.com/office/drawing/2014/main" id="{24B7013D-4C46-45B1-B51A-6B00E56166C8}"/>
            </a:ext>
          </a:extLst>
        </xdr:cNvPr>
        <xdr:cNvSpPr>
          <a:spLocks noChangeArrowheads="1"/>
        </xdr:cNvSpPr>
      </xdr:nvSpPr>
      <xdr:spPr bwMode="auto">
        <a:xfrm>
          <a:off x="15944850" y="886968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6" name="AutoShape 46">
          <a:extLst>
            <a:ext uri="{FF2B5EF4-FFF2-40B4-BE49-F238E27FC236}">
              <a16:creationId xmlns:a16="http://schemas.microsoft.com/office/drawing/2014/main" id="{C2091574-5641-483C-9A35-4B9F1B77A19E}"/>
            </a:ext>
          </a:extLst>
        </xdr:cNvPr>
        <xdr:cNvSpPr>
          <a:spLocks noChangeArrowheads="1"/>
        </xdr:cNvSpPr>
      </xdr:nvSpPr>
      <xdr:spPr bwMode="auto">
        <a:xfrm>
          <a:off x="176847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7" name="AutoShape 46">
          <a:extLst>
            <a:ext uri="{FF2B5EF4-FFF2-40B4-BE49-F238E27FC236}">
              <a16:creationId xmlns:a16="http://schemas.microsoft.com/office/drawing/2014/main" id="{9EB69B71-2279-4E18-888F-97A73244695D}"/>
            </a:ext>
          </a:extLst>
        </xdr:cNvPr>
        <xdr:cNvSpPr>
          <a:spLocks noChangeArrowheads="1"/>
        </xdr:cNvSpPr>
      </xdr:nvSpPr>
      <xdr:spPr bwMode="auto">
        <a:xfrm>
          <a:off x="19246850" y="886968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8" name="AutoShape 46">
          <a:extLst>
            <a:ext uri="{FF2B5EF4-FFF2-40B4-BE49-F238E27FC236}">
              <a16:creationId xmlns:a16="http://schemas.microsoft.com/office/drawing/2014/main" id="{FC39B91D-E7F5-4601-BECC-DB521131BCE0}"/>
            </a:ext>
          </a:extLst>
        </xdr:cNvPr>
        <xdr:cNvSpPr>
          <a:spLocks noChangeArrowheads="1"/>
        </xdr:cNvSpPr>
      </xdr:nvSpPr>
      <xdr:spPr bwMode="auto">
        <a:xfrm>
          <a:off x="209994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9" name="AutoShape 46">
          <a:extLst>
            <a:ext uri="{FF2B5EF4-FFF2-40B4-BE49-F238E27FC236}">
              <a16:creationId xmlns:a16="http://schemas.microsoft.com/office/drawing/2014/main" id="{421965CE-CA82-4C3D-9EA6-540DE903D9FC}"/>
            </a:ext>
          </a:extLst>
        </xdr:cNvPr>
        <xdr:cNvSpPr>
          <a:spLocks noChangeArrowheads="1"/>
        </xdr:cNvSpPr>
      </xdr:nvSpPr>
      <xdr:spPr bwMode="auto">
        <a:xfrm>
          <a:off x="22561550" y="886968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20" name="AutoShape 46">
          <a:extLst>
            <a:ext uri="{FF2B5EF4-FFF2-40B4-BE49-F238E27FC236}">
              <a16:creationId xmlns:a16="http://schemas.microsoft.com/office/drawing/2014/main" id="{5ED45D6A-7747-49FD-A9D8-AB7FD6C81168}"/>
            </a:ext>
          </a:extLst>
        </xdr:cNvPr>
        <xdr:cNvSpPr>
          <a:spLocks noChangeArrowheads="1"/>
        </xdr:cNvSpPr>
      </xdr:nvSpPr>
      <xdr:spPr bwMode="auto">
        <a:xfrm>
          <a:off x="14382750" y="8869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21" name="AutoShape 46">
          <a:extLst>
            <a:ext uri="{FF2B5EF4-FFF2-40B4-BE49-F238E27FC236}">
              <a16:creationId xmlns:a16="http://schemas.microsoft.com/office/drawing/2014/main" id="{C67DF858-7941-44CE-A3BE-FF1882FAEE5C}"/>
            </a:ext>
          </a:extLst>
        </xdr:cNvPr>
        <xdr:cNvSpPr>
          <a:spLocks noChangeArrowheads="1"/>
        </xdr:cNvSpPr>
      </xdr:nvSpPr>
      <xdr:spPr bwMode="auto">
        <a:xfrm>
          <a:off x="15944850" y="886968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22" name="AutoShape 46">
          <a:extLst>
            <a:ext uri="{FF2B5EF4-FFF2-40B4-BE49-F238E27FC236}">
              <a16:creationId xmlns:a16="http://schemas.microsoft.com/office/drawing/2014/main" id="{5F295B28-0BE9-4CDA-8EB6-E6A130016235}"/>
            </a:ext>
          </a:extLst>
        </xdr:cNvPr>
        <xdr:cNvSpPr>
          <a:spLocks noChangeArrowheads="1"/>
        </xdr:cNvSpPr>
      </xdr:nvSpPr>
      <xdr:spPr bwMode="auto">
        <a:xfrm>
          <a:off x="17684750" y="8869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23" name="AutoShape 46">
          <a:extLst>
            <a:ext uri="{FF2B5EF4-FFF2-40B4-BE49-F238E27FC236}">
              <a16:creationId xmlns:a16="http://schemas.microsoft.com/office/drawing/2014/main" id="{F145D1CE-6B8E-4D79-9171-8DA9B9708ACA}"/>
            </a:ext>
          </a:extLst>
        </xdr:cNvPr>
        <xdr:cNvSpPr>
          <a:spLocks noChangeArrowheads="1"/>
        </xdr:cNvSpPr>
      </xdr:nvSpPr>
      <xdr:spPr bwMode="auto">
        <a:xfrm>
          <a:off x="19246850" y="886968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24" name="AutoShape 46">
          <a:extLst>
            <a:ext uri="{FF2B5EF4-FFF2-40B4-BE49-F238E27FC236}">
              <a16:creationId xmlns:a16="http://schemas.microsoft.com/office/drawing/2014/main" id="{6C256098-BD62-4F9F-B2B7-51756ABC7B75}"/>
            </a:ext>
          </a:extLst>
        </xdr:cNvPr>
        <xdr:cNvSpPr>
          <a:spLocks noChangeArrowheads="1"/>
        </xdr:cNvSpPr>
      </xdr:nvSpPr>
      <xdr:spPr bwMode="auto">
        <a:xfrm>
          <a:off x="20999450" y="8869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5" name="AutoShape 46">
          <a:extLst>
            <a:ext uri="{FF2B5EF4-FFF2-40B4-BE49-F238E27FC236}">
              <a16:creationId xmlns:a16="http://schemas.microsoft.com/office/drawing/2014/main" id="{E4F3F243-44C9-4CEE-9577-660D48DC40F4}"/>
            </a:ext>
          </a:extLst>
        </xdr:cNvPr>
        <xdr:cNvSpPr>
          <a:spLocks noChangeArrowheads="1"/>
        </xdr:cNvSpPr>
      </xdr:nvSpPr>
      <xdr:spPr bwMode="auto">
        <a:xfrm>
          <a:off x="22561550" y="886968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26" name="AutoShape 46">
          <a:extLst>
            <a:ext uri="{FF2B5EF4-FFF2-40B4-BE49-F238E27FC236}">
              <a16:creationId xmlns:a16="http://schemas.microsoft.com/office/drawing/2014/main" id="{F0497214-7E1A-46C6-B574-5D5DCC6969D0}"/>
            </a:ext>
          </a:extLst>
        </xdr:cNvPr>
        <xdr:cNvSpPr>
          <a:spLocks noChangeArrowheads="1"/>
        </xdr:cNvSpPr>
      </xdr:nvSpPr>
      <xdr:spPr bwMode="auto">
        <a:xfrm>
          <a:off x="143827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27" name="AutoShape 46">
          <a:extLst>
            <a:ext uri="{FF2B5EF4-FFF2-40B4-BE49-F238E27FC236}">
              <a16:creationId xmlns:a16="http://schemas.microsoft.com/office/drawing/2014/main" id="{CEF9A9B6-96AC-411C-A844-271ECEB733D7}"/>
            </a:ext>
          </a:extLst>
        </xdr:cNvPr>
        <xdr:cNvSpPr>
          <a:spLocks noChangeArrowheads="1"/>
        </xdr:cNvSpPr>
      </xdr:nvSpPr>
      <xdr:spPr bwMode="auto">
        <a:xfrm>
          <a:off x="15944850" y="886968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28" name="AutoShape 46">
          <a:extLst>
            <a:ext uri="{FF2B5EF4-FFF2-40B4-BE49-F238E27FC236}">
              <a16:creationId xmlns:a16="http://schemas.microsoft.com/office/drawing/2014/main" id="{8A9654E8-5114-4C70-A377-6E0D9510C292}"/>
            </a:ext>
          </a:extLst>
        </xdr:cNvPr>
        <xdr:cNvSpPr>
          <a:spLocks noChangeArrowheads="1"/>
        </xdr:cNvSpPr>
      </xdr:nvSpPr>
      <xdr:spPr bwMode="auto">
        <a:xfrm>
          <a:off x="17684750" y="886968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29" name="AutoShape 46">
          <a:extLst>
            <a:ext uri="{FF2B5EF4-FFF2-40B4-BE49-F238E27FC236}">
              <a16:creationId xmlns:a16="http://schemas.microsoft.com/office/drawing/2014/main" id="{08C1CF65-374E-42BD-85E0-DE38A075FB59}"/>
            </a:ext>
          </a:extLst>
        </xdr:cNvPr>
        <xdr:cNvSpPr>
          <a:spLocks noChangeArrowheads="1"/>
        </xdr:cNvSpPr>
      </xdr:nvSpPr>
      <xdr:spPr bwMode="auto">
        <a:xfrm>
          <a:off x="19246850" y="886968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30" name="AutoShape 46">
          <a:extLst>
            <a:ext uri="{FF2B5EF4-FFF2-40B4-BE49-F238E27FC236}">
              <a16:creationId xmlns:a16="http://schemas.microsoft.com/office/drawing/2014/main" id="{A21FFEBF-1AFA-4BF2-875D-6AB25A4320EB}"/>
            </a:ext>
          </a:extLst>
        </xdr:cNvPr>
        <xdr:cNvSpPr>
          <a:spLocks noChangeArrowheads="1"/>
        </xdr:cNvSpPr>
      </xdr:nvSpPr>
      <xdr:spPr bwMode="auto">
        <a:xfrm>
          <a:off x="20999450" y="8869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31" name="AutoShape 46">
          <a:extLst>
            <a:ext uri="{FF2B5EF4-FFF2-40B4-BE49-F238E27FC236}">
              <a16:creationId xmlns:a16="http://schemas.microsoft.com/office/drawing/2014/main" id="{205D79B7-C744-4460-8808-F23D64418490}"/>
            </a:ext>
          </a:extLst>
        </xdr:cNvPr>
        <xdr:cNvSpPr>
          <a:spLocks noChangeArrowheads="1"/>
        </xdr:cNvSpPr>
      </xdr:nvSpPr>
      <xdr:spPr bwMode="auto">
        <a:xfrm>
          <a:off x="22561550" y="88696800"/>
          <a:ext cx="8763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32" name="AutoShape 46">
          <a:extLst>
            <a:ext uri="{FF2B5EF4-FFF2-40B4-BE49-F238E27FC236}">
              <a16:creationId xmlns:a16="http://schemas.microsoft.com/office/drawing/2014/main" id="{01D72EAF-74F6-4DF9-8A32-344D7F0AD65C}"/>
            </a:ext>
          </a:extLst>
        </xdr:cNvPr>
        <xdr:cNvSpPr>
          <a:spLocks noChangeArrowheads="1"/>
        </xdr:cNvSpPr>
      </xdr:nvSpPr>
      <xdr:spPr bwMode="auto">
        <a:xfrm>
          <a:off x="1397000" y="920750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33" name="AutoShape 46">
          <a:extLst>
            <a:ext uri="{FF2B5EF4-FFF2-40B4-BE49-F238E27FC236}">
              <a16:creationId xmlns:a16="http://schemas.microsoft.com/office/drawing/2014/main" id="{A32E6BDB-73D5-41E2-BDC4-FF25A98136A7}"/>
            </a:ext>
          </a:extLst>
        </xdr:cNvPr>
        <xdr:cNvSpPr>
          <a:spLocks noChangeArrowheads="1"/>
        </xdr:cNvSpPr>
      </xdr:nvSpPr>
      <xdr:spPr bwMode="auto">
        <a:xfrm>
          <a:off x="314960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34" name="AutoShape 46">
          <a:extLst>
            <a:ext uri="{FF2B5EF4-FFF2-40B4-BE49-F238E27FC236}">
              <a16:creationId xmlns:a16="http://schemas.microsoft.com/office/drawing/2014/main" id="{7D1B7D10-A39E-4009-B2FC-E377E3C4A033}"/>
            </a:ext>
          </a:extLst>
        </xdr:cNvPr>
        <xdr:cNvSpPr>
          <a:spLocks noChangeArrowheads="1"/>
        </xdr:cNvSpPr>
      </xdr:nvSpPr>
      <xdr:spPr bwMode="auto">
        <a:xfrm>
          <a:off x="4711700" y="92075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35" name="AutoShape 46">
          <a:extLst>
            <a:ext uri="{FF2B5EF4-FFF2-40B4-BE49-F238E27FC236}">
              <a16:creationId xmlns:a16="http://schemas.microsoft.com/office/drawing/2014/main" id="{F501DAB2-432E-4A62-8D56-134623CC0168}"/>
            </a:ext>
          </a:extLst>
        </xdr:cNvPr>
        <xdr:cNvSpPr>
          <a:spLocks noChangeArrowheads="1"/>
        </xdr:cNvSpPr>
      </xdr:nvSpPr>
      <xdr:spPr bwMode="auto">
        <a:xfrm>
          <a:off x="6273800" y="9207500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36" name="AutoShape 46">
          <a:extLst>
            <a:ext uri="{FF2B5EF4-FFF2-40B4-BE49-F238E27FC236}">
              <a16:creationId xmlns:a16="http://schemas.microsoft.com/office/drawing/2014/main" id="{9ED4AF06-DB26-447F-AA95-77B8D2B46C71}"/>
            </a:ext>
          </a:extLst>
        </xdr:cNvPr>
        <xdr:cNvSpPr>
          <a:spLocks noChangeArrowheads="1"/>
        </xdr:cNvSpPr>
      </xdr:nvSpPr>
      <xdr:spPr bwMode="auto">
        <a:xfrm>
          <a:off x="7943850" y="9207500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37" name="AutoShape 46">
          <a:extLst>
            <a:ext uri="{FF2B5EF4-FFF2-40B4-BE49-F238E27FC236}">
              <a16:creationId xmlns:a16="http://schemas.microsoft.com/office/drawing/2014/main" id="{F7FE5DD3-EF08-429A-97F5-48A4B077A19E}"/>
            </a:ext>
          </a:extLst>
        </xdr:cNvPr>
        <xdr:cNvSpPr>
          <a:spLocks noChangeArrowheads="1"/>
        </xdr:cNvSpPr>
      </xdr:nvSpPr>
      <xdr:spPr bwMode="auto">
        <a:xfrm>
          <a:off x="11281833" y="114907483"/>
          <a:ext cx="1227667" cy="556684"/>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38" name="AutoShape 46">
          <a:extLst>
            <a:ext uri="{FF2B5EF4-FFF2-40B4-BE49-F238E27FC236}">
              <a16:creationId xmlns:a16="http://schemas.microsoft.com/office/drawing/2014/main" id="{64C80AC5-BA7D-4974-B734-48C669155D16}"/>
            </a:ext>
          </a:extLst>
        </xdr:cNvPr>
        <xdr:cNvSpPr>
          <a:spLocks noChangeArrowheads="1"/>
        </xdr:cNvSpPr>
      </xdr:nvSpPr>
      <xdr:spPr bwMode="auto">
        <a:xfrm>
          <a:off x="112585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39" name="AutoShape 46">
          <a:extLst>
            <a:ext uri="{FF2B5EF4-FFF2-40B4-BE49-F238E27FC236}">
              <a16:creationId xmlns:a16="http://schemas.microsoft.com/office/drawing/2014/main" id="{AB4D8519-C8CB-4903-80C7-81A5ECC68706}"/>
            </a:ext>
          </a:extLst>
        </xdr:cNvPr>
        <xdr:cNvSpPr>
          <a:spLocks noChangeArrowheads="1"/>
        </xdr:cNvSpPr>
      </xdr:nvSpPr>
      <xdr:spPr bwMode="auto">
        <a:xfrm>
          <a:off x="128206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40" name="AutoShape 46">
          <a:extLst>
            <a:ext uri="{FF2B5EF4-FFF2-40B4-BE49-F238E27FC236}">
              <a16:creationId xmlns:a16="http://schemas.microsoft.com/office/drawing/2014/main" id="{36F834C9-3859-4649-B15B-D1EA9DAA7BBE}"/>
            </a:ext>
          </a:extLst>
        </xdr:cNvPr>
        <xdr:cNvSpPr>
          <a:spLocks noChangeArrowheads="1"/>
        </xdr:cNvSpPr>
      </xdr:nvSpPr>
      <xdr:spPr bwMode="auto">
        <a:xfrm>
          <a:off x="12820650" y="92075000"/>
          <a:ext cx="78105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1" name="AutoShape 46">
          <a:extLst>
            <a:ext uri="{FF2B5EF4-FFF2-40B4-BE49-F238E27FC236}">
              <a16:creationId xmlns:a16="http://schemas.microsoft.com/office/drawing/2014/main" id="{400CA310-CB60-4041-AB2D-39F90E93ADAE}"/>
            </a:ext>
          </a:extLst>
        </xdr:cNvPr>
        <xdr:cNvSpPr>
          <a:spLocks noChangeArrowheads="1"/>
        </xdr:cNvSpPr>
      </xdr:nvSpPr>
      <xdr:spPr bwMode="auto">
        <a:xfrm>
          <a:off x="14382750" y="92075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2" name="AutoShape 46">
          <a:extLst>
            <a:ext uri="{FF2B5EF4-FFF2-40B4-BE49-F238E27FC236}">
              <a16:creationId xmlns:a16="http://schemas.microsoft.com/office/drawing/2014/main" id="{9D2392B8-A140-4A4D-9498-EB51A0CD6C99}"/>
            </a:ext>
          </a:extLst>
        </xdr:cNvPr>
        <xdr:cNvSpPr>
          <a:spLocks noChangeArrowheads="1"/>
        </xdr:cNvSpPr>
      </xdr:nvSpPr>
      <xdr:spPr bwMode="auto">
        <a:xfrm>
          <a:off x="15944850" y="920750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3" name="AutoShape 46">
          <a:extLst>
            <a:ext uri="{FF2B5EF4-FFF2-40B4-BE49-F238E27FC236}">
              <a16:creationId xmlns:a16="http://schemas.microsoft.com/office/drawing/2014/main" id="{63DD488B-5A6B-4D08-973A-7B1E8996AA6C}"/>
            </a:ext>
          </a:extLst>
        </xdr:cNvPr>
        <xdr:cNvSpPr>
          <a:spLocks noChangeArrowheads="1"/>
        </xdr:cNvSpPr>
      </xdr:nvSpPr>
      <xdr:spPr bwMode="auto">
        <a:xfrm>
          <a:off x="17684750" y="92075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4" name="AutoShape 46">
          <a:extLst>
            <a:ext uri="{FF2B5EF4-FFF2-40B4-BE49-F238E27FC236}">
              <a16:creationId xmlns:a16="http://schemas.microsoft.com/office/drawing/2014/main" id="{F7DCD212-A543-4488-B2B4-D89F61CA55F3}"/>
            </a:ext>
          </a:extLst>
        </xdr:cNvPr>
        <xdr:cNvSpPr>
          <a:spLocks noChangeArrowheads="1"/>
        </xdr:cNvSpPr>
      </xdr:nvSpPr>
      <xdr:spPr bwMode="auto">
        <a:xfrm>
          <a:off x="19246850" y="920750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5" name="AutoShape 46">
          <a:extLst>
            <a:ext uri="{FF2B5EF4-FFF2-40B4-BE49-F238E27FC236}">
              <a16:creationId xmlns:a16="http://schemas.microsoft.com/office/drawing/2014/main" id="{89BBB827-44E3-4621-8BE6-8844700D107A}"/>
            </a:ext>
          </a:extLst>
        </xdr:cNvPr>
        <xdr:cNvSpPr>
          <a:spLocks noChangeArrowheads="1"/>
        </xdr:cNvSpPr>
      </xdr:nvSpPr>
      <xdr:spPr bwMode="auto">
        <a:xfrm>
          <a:off x="20999450" y="92075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6" name="AutoShape 46">
          <a:extLst>
            <a:ext uri="{FF2B5EF4-FFF2-40B4-BE49-F238E27FC236}">
              <a16:creationId xmlns:a16="http://schemas.microsoft.com/office/drawing/2014/main" id="{66474388-9D67-494A-9B72-E60BC6D836BB}"/>
            </a:ext>
          </a:extLst>
        </xdr:cNvPr>
        <xdr:cNvSpPr>
          <a:spLocks noChangeArrowheads="1"/>
        </xdr:cNvSpPr>
      </xdr:nvSpPr>
      <xdr:spPr bwMode="auto">
        <a:xfrm>
          <a:off x="22561550" y="920750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7" name="AutoShape 46">
          <a:extLst>
            <a:ext uri="{FF2B5EF4-FFF2-40B4-BE49-F238E27FC236}">
              <a16:creationId xmlns:a16="http://schemas.microsoft.com/office/drawing/2014/main" id="{906933CC-BAE3-4FA1-8F5A-5889BA221DF1}"/>
            </a:ext>
          </a:extLst>
        </xdr:cNvPr>
        <xdr:cNvSpPr>
          <a:spLocks noChangeArrowheads="1"/>
        </xdr:cNvSpPr>
      </xdr:nvSpPr>
      <xdr:spPr bwMode="auto">
        <a:xfrm>
          <a:off x="143827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8" name="AutoShape 46">
          <a:extLst>
            <a:ext uri="{FF2B5EF4-FFF2-40B4-BE49-F238E27FC236}">
              <a16:creationId xmlns:a16="http://schemas.microsoft.com/office/drawing/2014/main" id="{03782D32-B777-4161-A404-F19663CCCD0F}"/>
            </a:ext>
          </a:extLst>
        </xdr:cNvPr>
        <xdr:cNvSpPr>
          <a:spLocks noChangeArrowheads="1"/>
        </xdr:cNvSpPr>
      </xdr:nvSpPr>
      <xdr:spPr bwMode="auto">
        <a:xfrm>
          <a:off x="15944850" y="920750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9" name="AutoShape 46">
          <a:extLst>
            <a:ext uri="{FF2B5EF4-FFF2-40B4-BE49-F238E27FC236}">
              <a16:creationId xmlns:a16="http://schemas.microsoft.com/office/drawing/2014/main" id="{247F9224-BCDD-4A28-A430-149319CB0B25}"/>
            </a:ext>
          </a:extLst>
        </xdr:cNvPr>
        <xdr:cNvSpPr>
          <a:spLocks noChangeArrowheads="1"/>
        </xdr:cNvSpPr>
      </xdr:nvSpPr>
      <xdr:spPr bwMode="auto">
        <a:xfrm>
          <a:off x="176847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50" name="AutoShape 46">
          <a:extLst>
            <a:ext uri="{FF2B5EF4-FFF2-40B4-BE49-F238E27FC236}">
              <a16:creationId xmlns:a16="http://schemas.microsoft.com/office/drawing/2014/main" id="{C74A7723-1541-473B-9B71-1D3699E65552}"/>
            </a:ext>
          </a:extLst>
        </xdr:cNvPr>
        <xdr:cNvSpPr>
          <a:spLocks noChangeArrowheads="1"/>
        </xdr:cNvSpPr>
      </xdr:nvSpPr>
      <xdr:spPr bwMode="auto">
        <a:xfrm>
          <a:off x="19246850" y="920750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51" name="AutoShape 46">
          <a:extLst>
            <a:ext uri="{FF2B5EF4-FFF2-40B4-BE49-F238E27FC236}">
              <a16:creationId xmlns:a16="http://schemas.microsoft.com/office/drawing/2014/main" id="{1D6BECA8-C3DD-45D6-886D-D3251B33F649}"/>
            </a:ext>
          </a:extLst>
        </xdr:cNvPr>
        <xdr:cNvSpPr>
          <a:spLocks noChangeArrowheads="1"/>
        </xdr:cNvSpPr>
      </xdr:nvSpPr>
      <xdr:spPr bwMode="auto">
        <a:xfrm>
          <a:off x="209994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52" name="AutoShape 46">
          <a:extLst>
            <a:ext uri="{FF2B5EF4-FFF2-40B4-BE49-F238E27FC236}">
              <a16:creationId xmlns:a16="http://schemas.microsoft.com/office/drawing/2014/main" id="{544E8464-53C2-4D2D-9864-9F31EACBFD7A}"/>
            </a:ext>
          </a:extLst>
        </xdr:cNvPr>
        <xdr:cNvSpPr>
          <a:spLocks noChangeArrowheads="1"/>
        </xdr:cNvSpPr>
      </xdr:nvSpPr>
      <xdr:spPr bwMode="auto">
        <a:xfrm>
          <a:off x="22561550" y="920750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53" name="AutoShape 46">
          <a:extLst>
            <a:ext uri="{FF2B5EF4-FFF2-40B4-BE49-F238E27FC236}">
              <a16:creationId xmlns:a16="http://schemas.microsoft.com/office/drawing/2014/main" id="{A9C24838-DFFE-458A-A984-FFD979F23A2A}"/>
            </a:ext>
          </a:extLst>
        </xdr:cNvPr>
        <xdr:cNvSpPr>
          <a:spLocks noChangeArrowheads="1"/>
        </xdr:cNvSpPr>
      </xdr:nvSpPr>
      <xdr:spPr bwMode="auto">
        <a:xfrm>
          <a:off x="14382750" y="920750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54" name="AutoShape 46">
          <a:extLst>
            <a:ext uri="{FF2B5EF4-FFF2-40B4-BE49-F238E27FC236}">
              <a16:creationId xmlns:a16="http://schemas.microsoft.com/office/drawing/2014/main" id="{CCDF7146-B5CA-4364-851C-6C9FB9C38F50}"/>
            </a:ext>
          </a:extLst>
        </xdr:cNvPr>
        <xdr:cNvSpPr>
          <a:spLocks noChangeArrowheads="1"/>
        </xdr:cNvSpPr>
      </xdr:nvSpPr>
      <xdr:spPr bwMode="auto">
        <a:xfrm>
          <a:off x="15944850" y="920750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55" name="AutoShape 46">
          <a:extLst>
            <a:ext uri="{FF2B5EF4-FFF2-40B4-BE49-F238E27FC236}">
              <a16:creationId xmlns:a16="http://schemas.microsoft.com/office/drawing/2014/main" id="{9C9A4811-9D7F-4A5F-9AC2-6F775111CA3A}"/>
            </a:ext>
          </a:extLst>
        </xdr:cNvPr>
        <xdr:cNvSpPr>
          <a:spLocks noChangeArrowheads="1"/>
        </xdr:cNvSpPr>
      </xdr:nvSpPr>
      <xdr:spPr bwMode="auto">
        <a:xfrm>
          <a:off x="17684750" y="920750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56" name="AutoShape 46">
          <a:extLst>
            <a:ext uri="{FF2B5EF4-FFF2-40B4-BE49-F238E27FC236}">
              <a16:creationId xmlns:a16="http://schemas.microsoft.com/office/drawing/2014/main" id="{499238E2-EE76-4F05-8E34-D6B0E8EF2C07}"/>
            </a:ext>
          </a:extLst>
        </xdr:cNvPr>
        <xdr:cNvSpPr>
          <a:spLocks noChangeArrowheads="1"/>
        </xdr:cNvSpPr>
      </xdr:nvSpPr>
      <xdr:spPr bwMode="auto">
        <a:xfrm>
          <a:off x="19246850" y="920750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57" name="AutoShape 46">
          <a:extLst>
            <a:ext uri="{FF2B5EF4-FFF2-40B4-BE49-F238E27FC236}">
              <a16:creationId xmlns:a16="http://schemas.microsoft.com/office/drawing/2014/main" id="{55AA11D5-2791-4D4E-AA89-A7D010067F90}"/>
            </a:ext>
          </a:extLst>
        </xdr:cNvPr>
        <xdr:cNvSpPr>
          <a:spLocks noChangeArrowheads="1"/>
        </xdr:cNvSpPr>
      </xdr:nvSpPr>
      <xdr:spPr bwMode="auto">
        <a:xfrm>
          <a:off x="20999450" y="920750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58" name="AutoShape 46">
          <a:extLst>
            <a:ext uri="{FF2B5EF4-FFF2-40B4-BE49-F238E27FC236}">
              <a16:creationId xmlns:a16="http://schemas.microsoft.com/office/drawing/2014/main" id="{E89CAAFD-DE27-4CA9-BDEA-16678941D19E}"/>
            </a:ext>
          </a:extLst>
        </xdr:cNvPr>
        <xdr:cNvSpPr>
          <a:spLocks noChangeArrowheads="1"/>
        </xdr:cNvSpPr>
      </xdr:nvSpPr>
      <xdr:spPr bwMode="auto">
        <a:xfrm>
          <a:off x="22561550" y="920750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59" name="AutoShape 46">
          <a:extLst>
            <a:ext uri="{FF2B5EF4-FFF2-40B4-BE49-F238E27FC236}">
              <a16:creationId xmlns:a16="http://schemas.microsoft.com/office/drawing/2014/main" id="{9CB4F928-2AC9-4BD2-8024-89826D645F88}"/>
            </a:ext>
          </a:extLst>
        </xdr:cNvPr>
        <xdr:cNvSpPr>
          <a:spLocks noChangeArrowheads="1"/>
        </xdr:cNvSpPr>
      </xdr:nvSpPr>
      <xdr:spPr bwMode="auto">
        <a:xfrm>
          <a:off x="1397000" y="955103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60" name="AutoShape 46">
          <a:extLst>
            <a:ext uri="{FF2B5EF4-FFF2-40B4-BE49-F238E27FC236}">
              <a16:creationId xmlns:a16="http://schemas.microsoft.com/office/drawing/2014/main" id="{A7800665-BE14-4C1D-BF44-B5A0FD7F9B69}"/>
            </a:ext>
          </a:extLst>
        </xdr:cNvPr>
        <xdr:cNvSpPr>
          <a:spLocks noChangeArrowheads="1"/>
        </xdr:cNvSpPr>
      </xdr:nvSpPr>
      <xdr:spPr bwMode="auto">
        <a:xfrm>
          <a:off x="3149600" y="955103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61" name="AutoShape 46">
          <a:extLst>
            <a:ext uri="{FF2B5EF4-FFF2-40B4-BE49-F238E27FC236}">
              <a16:creationId xmlns:a16="http://schemas.microsoft.com/office/drawing/2014/main" id="{15F6A248-A1DB-4ACE-9C62-B636DC747C51}"/>
            </a:ext>
          </a:extLst>
        </xdr:cNvPr>
        <xdr:cNvSpPr>
          <a:spLocks noChangeArrowheads="1"/>
        </xdr:cNvSpPr>
      </xdr:nvSpPr>
      <xdr:spPr bwMode="auto">
        <a:xfrm>
          <a:off x="4711700" y="955103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62" name="AutoShape 46">
          <a:extLst>
            <a:ext uri="{FF2B5EF4-FFF2-40B4-BE49-F238E27FC236}">
              <a16:creationId xmlns:a16="http://schemas.microsoft.com/office/drawing/2014/main" id="{80711986-113F-445E-9178-2D2EA1F219FC}"/>
            </a:ext>
          </a:extLst>
        </xdr:cNvPr>
        <xdr:cNvSpPr>
          <a:spLocks noChangeArrowheads="1"/>
        </xdr:cNvSpPr>
      </xdr:nvSpPr>
      <xdr:spPr bwMode="auto">
        <a:xfrm>
          <a:off x="6273800" y="955103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63" name="AutoShape 46">
          <a:extLst>
            <a:ext uri="{FF2B5EF4-FFF2-40B4-BE49-F238E27FC236}">
              <a16:creationId xmlns:a16="http://schemas.microsoft.com/office/drawing/2014/main" id="{13D69D35-D755-4F31-9247-CE4F04133112}"/>
            </a:ext>
          </a:extLst>
        </xdr:cNvPr>
        <xdr:cNvSpPr>
          <a:spLocks noChangeArrowheads="1"/>
        </xdr:cNvSpPr>
      </xdr:nvSpPr>
      <xdr:spPr bwMode="auto">
        <a:xfrm>
          <a:off x="7943850" y="955103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64" name="AutoShape 46">
          <a:extLst>
            <a:ext uri="{FF2B5EF4-FFF2-40B4-BE49-F238E27FC236}">
              <a16:creationId xmlns:a16="http://schemas.microsoft.com/office/drawing/2014/main" id="{347E2AF3-E202-499C-A627-D8C9D9E96852}"/>
            </a:ext>
          </a:extLst>
        </xdr:cNvPr>
        <xdr:cNvSpPr>
          <a:spLocks noChangeArrowheads="1"/>
        </xdr:cNvSpPr>
      </xdr:nvSpPr>
      <xdr:spPr bwMode="auto">
        <a:xfrm>
          <a:off x="9696450" y="955103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65" name="AutoShape 46">
          <a:extLst>
            <a:ext uri="{FF2B5EF4-FFF2-40B4-BE49-F238E27FC236}">
              <a16:creationId xmlns:a16="http://schemas.microsoft.com/office/drawing/2014/main" id="{A8CDFC9F-0C92-4AD5-ADC2-597109739C6D}"/>
            </a:ext>
          </a:extLst>
        </xdr:cNvPr>
        <xdr:cNvSpPr>
          <a:spLocks noChangeArrowheads="1"/>
        </xdr:cNvSpPr>
      </xdr:nvSpPr>
      <xdr:spPr bwMode="auto">
        <a:xfrm>
          <a:off x="112585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66" name="AutoShape 46">
          <a:extLst>
            <a:ext uri="{FF2B5EF4-FFF2-40B4-BE49-F238E27FC236}">
              <a16:creationId xmlns:a16="http://schemas.microsoft.com/office/drawing/2014/main" id="{45F67D46-51C0-438E-9B8C-9E5E7A6A5047}"/>
            </a:ext>
          </a:extLst>
        </xdr:cNvPr>
        <xdr:cNvSpPr>
          <a:spLocks noChangeArrowheads="1"/>
        </xdr:cNvSpPr>
      </xdr:nvSpPr>
      <xdr:spPr bwMode="auto">
        <a:xfrm>
          <a:off x="12820650" y="955103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67" name="AutoShape 46">
          <a:extLst>
            <a:ext uri="{FF2B5EF4-FFF2-40B4-BE49-F238E27FC236}">
              <a16:creationId xmlns:a16="http://schemas.microsoft.com/office/drawing/2014/main" id="{A993B8CB-1D6A-421F-AC16-668F0973682D}"/>
            </a:ext>
          </a:extLst>
        </xdr:cNvPr>
        <xdr:cNvSpPr>
          <a:spLocks noChangeArrowheads="1"/>
        </xdr:cNvSpPr>
      </xdr:nvSpPr>
      <xdr:spPr bwMode="auto">
        <a:xfrm>
          <a:off x="128206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8" name="AutoShape 46">
          <a:extLst>
            <a:ext uri="{FF2B5EF4-FFF2-40B4-BE49-F238E27FC236}">
              <a16:creationId xmlns:a16="http://schemas.microsoft.com/office/drawing/2014/main" id="{14FBC61B-4C35-41E4-8414-A9C644CFF305}"/>
            </a:ext>
          </a:extLst>
        </xdr:cNvPr>
        <xdr:cNvSpPr>
          <a:spLocks noChangeArrowheads="1"/>
        </xdr:cNvSpPr>
      </xdr:nvSpPr>
      <xdr:spPr bwMode="auto">
        <a:xfrm>
          <a:off x="143827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9" name="AutoShape 46">
          <a:extLst>
            <a:ext uri="{FF2B5EF4-FFF2-40B4-BE49-F238E27FC236}">
              <a16:creationId xmlns:a16="http://schemas.microsoft.com/office/drawing/2014/main" id="{8B798106-6161-4BED-98DD-C0E58E37D0EE}"/>
            </a:ext>
          </a:extLst>
        </xdr:cNvPr>
        <xdr:cNvSpPr>
          <a:spLocks noChangeArrowheads="1"/>
        </xdr:cNvSpPr>
      </xdr:nvSpPr>
      <xdr:spPr bwMode="auto">
        <a:xfrm>
          <a:off x="15944850" y="955103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0" name="AutoShape 46">
          <a:extLst>
            <a:ext uri="{FF2B5EF4-FFF2-40B4-BE49-F238E27FC236}">
              <a16:creationId xmlns:a16="http://schemas.microsoft.com/office/drawing/2014/main" id="{F983700C-CE80-4D0C-A899-B58EE4B2FAFD}"/>
            </a:ext>
          </a:extLst>
        </xdr:cNvPr>
        <xdr:cNvSpPr>
          <a:spLocks noChangeArrowheads="1"/>
        </xdr:cNvSpPr>
      </xdr:nvSpPr>
      <xdr:spPr bwMode="auto">
        <a:xfrm>
          <a:off x="176847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1" name="AutoShape 46">
          <a:extLst>
            <a:ext uri="{FF2B5EF4-FFF2-40B4-BE49-F238E27FC236}">
              <a16:creationId xmlns:a16="http://schemas.microsoft.com/office/drawing/2014/main" id="{51B1A578-04F5-4E5F-A4AA-032746FCCB3D}"/>
            </a:ext>
          </a:extLst>
        </xdr:cNvPr>
        <xdr:cNvSpPr>
          <a:spLocks noChangeArrowheads="1"/>
        </xdr:cNvSpPr>
      </xdr:nvSpPr>
      <xdr:spPr bwMode="auto">
        <a:xfrm>
          <a:off x="19246850" y="955103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2" name="AutoShape 46">
          <a:extLst>
            <a:ext uri="{FF2B5EF4-FFF2-40B4-BE49-F238E27FC236}">
              <a16:creationId xmlns:a16="http://schemas.microsoft.com/office/drawing/2014/main" id="{25A86DE4-92B6-4BC0-BB8C-EB306BCC3813}"/>
            </a:ext>
          </a:extLst>
        </xdr:cNvPr>
        <xdr:cNvSpPr>
          <a:spLocks noChangeArrowheads="1"/>
        </xdr:cNvSpPr>
      </xdr:nvSpPr>
      <xdr:spPr bwMode="auto">
        <a:xfrm>
          <a:off x="209994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3" name="AutoShape 46">
          <a:extLst>
            <a:ext uri="{FF2B5EF4-FFF2-40B4-BE49-F238E27FC236}">
              <a16:creationId xmlns:a16="http://schemas.microsoft.com/office/drawing/2014/main" id="{8BFA08D8-E999-4E8E-A9D6-FC295F66E5FB}"/>
            </a:ext>
          </a:extLst>
        </xdr:cNvPr>
        <xdr:cNvSpPr>
          <a:spLocks noChangeArrowheads="1"/>
        </xdr:cNvSpPr>
      </xdr:nvSpPr>
      <xdr:spPr bwMode="auto">
        <a:xfrm>
          <a:off x="22561550" y="955103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74" name="AutoShape 46">
          <a:extLst>
            <a:ext uri="{FF2B5EF4-FFF2-40B4-BE49-F238E27FC236}">
              <a16:creationId xmlns:a16="http://schemas.microsoft.com/office/drawing/2014/main" id="{EF1FABC3-D5F5-409B-8A5C-8CA7C561FBE3}"/>
            </a:ext>
          </a:extLst>
        </xdr:cNvPr>
        <xdr:cNvSpPr>
          <a:spLocks noChangeArrowheads="1"/>
        </xdr:cNvSpPr>
      </xdr:nvSpPr>
      <xdr:spPr bwMode="auto">
        <a:xfrm>
          <a:off x="14382750" y="955103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5" name="AutoShape 46">
          <a:extLst>
            <a:ext uri="{FF2B5EF4-FFF2-40B4-BE49-F238E27FC236}">
              <a16:creationId xmlns:a16="http://schemas.microsoft.com/office/drawing/2014/main" id="{2ADF17CB-9A2F-4A8A-8B3F-7A6B3596265D}"/>
            </a:ext>
          </a:extLst>
        </xdr:cNvPr>
        <xdr:cNvSpPr>
          <a:spLocks noChangeArrowheads="1"/>
        </xdr:cNvSpPr>
      </xdr:nvSpPr>
      <xdr:spPr bwMode="auto">
        <a:xfrm>
          <a:off x="15944850" y="955103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6" name="AutoShape 46">
          <a:extLst>
            <a:ext uri="{FF2B5EF4-FFF2-40B4-BE49-F238E27FC236}">
              <a16:creationId xmlns:a16="http://schemas.microsoft.com/office/drawing/2014/main" id="{F24DEA2A-8770-4920-B5E1-DE9FF863EE4D}"/>
            </a:ext>
          </a:extLst>
        </xdr:cNvPr>
        <xdr:cNvSpPr>
          <a:spLocks noChangeArrowheads="1"/>
        </xdr:cNvSpPr>
      </xdr:nvSpPr>
      <xdr:spPr bwMode="auto">
        <a:xfrm>
          <a:off x="17684750" y="955103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7" name="AutoShape 46">
          <a:extLst>
            <a:ext uri="{FF2B5EF4-FFF2-40B4-BE49-F238E27FC236}">
              <a16:creationId xmlns:a16="http://schemas.microsoft.com/office/drawing/2014/main" id="{33ACC3CE-8CA3-4323-95CB-CD2D58F40E27}"/>
            </a:ext>
          </a:extLst>
        </xdr:cNvPr>
        <xdr:cNvSpPr>
          <a:spLocks noChangeArrowheads="1"/>
        </xdr:cNvSpPr>
      </xdr:nvSpPr>
      <xdr:spPr bwMode="auto">
        <a:xfrm>
          <a:off x="19246850" y="955103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8" name="AutoShape 46">
          <a:extLst>
            <a:ext uri="{FF2B5EF4-FFF2-40B4-BE49-F238E27FC236}">
              <a16:creationId xmlns:a16="http://schemas.microsoft.com/office/drawing/2014/main" id="{1B2690C0-E37C-4DA1-80AF-22A7192B38E4}"/>
            </a:ext>
          </a:extLst>
        </xdr:cNvPr>
        <xdr:cNvSpPr>
          <a:spLocks noChangeArrowheads="1"/>
        </xdr:cNvSpPr>
      </xdr:nvSpPr>
      <xdr:spPr bwMode="auto">
        <a:xfrm>
          <a:off x="20999450" y="955103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9" name="AutoShape 46">
          <a:extLst>
            <a:ext uri="{FF2B5EF4-FFF2-40B4-BE49-F238E27FC236}">
              <a16:creationId xmlns:a16="http://schemas.microsoft.com/office/drawing/2014/main" id="{87BDD66D-382C-48DB-952F-A005440AAE19}"/>
            </a:ext>
          </a:extLst>
        </xdr:cNvPr>
        <xdr:cNvSpPr>
          <a:spLocks noChangeArrowheads="1"/>
        </xdr:cNvSpPr>
      </xdr:nvSpPr>
      <xdr:spPr bwMode="auto">
        <a:xfrm>
          <a:off x="22561550" y="955103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80" name="AutoShape 46">
          <a:extLst>
            <a:ext uri="{FF2B5EF4-FFF2-40B4-BE49-F238E27FC236}">
              <a16:creationId xmlns:a16="http://schemas.microsoft.com/office/drawing/2014/main" id="{FD4F811B-F696-47A3-9D5D-4467FE1FCC54}"/>
            </a:ext>
          </a:extLst>
        </xdr:cNvPr>
        <xdr:cNvSpPr>
          <a:spLocks noChangeArrowheads="1"/>
        </xdr:cNvSpPr>
      </xdr:nvSpPr>
      <xdr:spPr bwMode="auto">
        <a:xfrm>
          <a:off x="143827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81" name="AutoShape 46">
          <a:extLst>
            <a:ext uri="{FF2B5EF4-FFF2-40B4-BE49-F238E27FC236}">
              <a16:creationId xmlns:a16="http://schemas.microsoft.com/office/drawing/2014/main" id="{C166C8EF-1FDB-4502-BA63-6F847E6A975E}"/>
            </a:ext>
          </a:extLst>
        </xdr:cNvPr>
        <xdr:cNvSpPr>
          <a:spLocks noChangeArrowheads="1"/>
        </xdr:cNvSpPr>
      </xdr:nvSpPr>
      <xdr:spPr bwMode="auto">
        <a:xfrm>
          <a:off x="15944850" y="955103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82" name="AutoShape 46">
          <a:extLst>
            <a:ext uri="{FF2B5EF4-FFF2-40B4-BE49-F238E27FC236}">
              <a16:creationId xmlns:a16="http://schemas.microsoft.com/office/drawing/2014/main" id="{B4F9D04A-9820-45F8-98E2-1525936E9762}"/>
            </a:ext>
          </a:extLst>
        </xdr:cNvPr>
        <xdr:cNvSpPr>
          <a:spLocks noChangeArrowheads="1"/>
        </xdr:cNvSpPr>
      </xdr:nvSpPr>
      <xdr:spPr bwMode="auto">
        <a:xfrm>
          <a:off x="17684750" y="955103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83" name="AutoShape 46">
          <a:extLst>
            <a:ext uri="{FF2B5EF4-FFF2-40B4-BE49-F238E27FC236}">
              <a16:creationId xmlns:a16="http://schemas.microsoft.com/office/drawing/2014/main" id="{B3C9F31C-89F2-47BD-A027-444251C8D5E0}"/>
            </a:ext>
          </a:extLst>
        </xdr:cNvPr>
        <xdr:cNvSpPr>
          <a:spLocks noChangeArrowheads="1"/>
        </xdr:cNvSpPr>
      </xdr:nvSpPr>
      <xdr:spPr bwMode="auto">
        <a:xfrm>
          <a:off x="19246850" y="955103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84" name="AutoShape 46">
          <a:extLst>
            <a:ext uri="{FF2B5EF4-FFF2-40B4-BE49-F238E27FC236}">
              <a16:creationId xmlns:a16="http://schemas.microsoft.com/office/drawing/2014/main" id="{A7C35847-84F1-4F5C-B1FB-DF0ADFA7F9EC}"/>
            </a:ext>
          </a:extLst>
        </xdr:cNvPr>
        <xdr:cNvSpPr>
          <a:spLocks noChangeArrowheads="1"/>
        </xdr:cNvSpPr>
      </xdr:nvSpPr>
      <xdr:spPr bwMode="auto">
        <a:xfrm>
          <a:off x="20999450" y="955103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85" name="AutoShape 46">
          <a:extLst>
            <a:ext uri="{FF2B5EF4-FFF2-40B4-BE49-F238E27FC236}">
              <a16:creationId xmlns:a16="http://schemas.microsoft.com/office/drawing/2014/main" id="{E6D1D2ED-CCA1-4F27-86DB-696879341D67}"/>
            </a:ext>
          </a:extLst>
        </xdr:cNvPr>
        <xdr:cNvSpPr>
          <a:spLocks noChangeArrowheads="1"/>
        </xdr:cNvSpPr>
      </xdr:nvSpPr>
      <xdr:spPr bwMode="auto">
        <a:xfrm>
          <a:off x="22561550" y="955103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86" name="AutoShape 46">
          <a:extLst>
            <a:ext uri="{FF2B5EF4-FFF2-40B4-BE49-F238E27FC236}">
              <a16:creationId xmlns:a16="http://schemas.microsoft.com/office/drawing/2014/main" id="{66B362A6-BF6F-469A-B09B-A42D2CC8796E}"/>
            </a:ext>
          </a:extLst>
        </xdr:cNvPr>
        <xdr:cNvSpPr>
          <a:spLocks noChangeArrowheads="1"/>
        </xdr:cNvSpPr>
      </xdr:nvSpPr>
      <xdr:spPr bwMode="auto">
        <a:xfrm>
          <a:off x="1397000" y="989901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87" name="AutoShape 46">
          <a:extLst>
            <a:ext uri="{FF2B5EF4-FFF2-40B4-BE49-F238E27FC236}">
              <a16:creationId xmlns:a16="http://schemas.microsoft.com/office/drawing/2014/main" id="{62E3455C-8DFE-418B-8B0A-31B3C30780F8}"/>
            </a:ext>
          </a:extLst>
        </xdr:cNvPr>
        <xdr:cNvSpPr>
          <a:spLocks noChangeArrowheads="1"/>
        </xdr:cNvSpPr>
      </xdr:nvSpPr>
      <xdr:spPr bwMode="auto">
        <a:xfrm>
          <a:off x="3149600" y="989901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88" name="AutoShape 46">
          <a:extLst>
            <a:ext uri="{FF2B5EF4-FFF2-40B4-BE49-F238E27FC236}">
              <a16:creationId xmlns:a16="http://schemas.microsoft.com/office/drawing/2014/main" id="{35CC5530-CC21-4CA2-BF11-21AA28D8FD72}"/>
            </a:ext>
          </a:extLst>
        </xdr:cNvPr>
        <xdr:cNvSpPr>
          <a:spLocks noChangeArrowheads="1"/>
        </xdr:cNvSpPr>
      </xdr:nvSpPr>
      <xdr:spPr bwMode="auto">
        <a:xfrm>
          <a:off x="4711700" y="989901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89" name="AutoShape 46">
          <a:extLst>
            <a:ext uri="{FF2B5EF4-FFF2-40B4-BE49-F238E27FC236}">
              <a16:creationId xmlns:a16="http://schemas.microsoft.com/office/drawing/2014/main" id="{50033FFC-D2B5-43A3-A2C7-E0EFA2AC3639}"/>
            </a:ext>
          </a:extLst>
        </xdr:cNvPr>
        <xdr:cNvSpPr>
          <a:spLocks noChangeArrowheads="1"/>
        </xdr:cNvSpPr>
      </xdr:nvSpPr>
      <xdr:spPr bwMode="auto">
        <a:xfrm>
          <a:off x="6273800" y="989901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90" name="AutoShape 46">
          <a:extLst>
            <a:ext uri="{FF2B5EF4-FFF2-40B4-BE49-F238E27FC236}">
              <a16:creationId xmlns:a16="http://schemas.microsoft.com/office/drawing/2014/main" id="{89F1B995-BA75-4305-8C09-20FB08330DBA}"/>
            </a:ext>
          </a:extLst>
        </xdr:cNvPr>
        <xdr:cNvSpPr>
          <a:spLocks noChangeArrowheads="1"/>
        </xdr:cNvSpPr>
      </xdr:nvSpPr>
      <xdr:spPr bwMode="auto">
        <a:xfrm>
          <a:off x="7943850" y="989901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91" name="AutoShape 46">
          <a:extLst>
            <a:ext uri="{FF2B5EF4-FFF2-40B4-BE49-F238E27FC236}">
              <a16:creationId xmlns:a16="http://schemas.microsoft.com/office/drawing/2014/main" id="{2A5F6B78-589F-439B-B186-726ACA3EC31B}"/>
            </a:ext>
          </a:extLst>
        </xdr:cNvPr>
        <xdr:cNvSpPr>
          <a:spLocks noChangeArrowheads="1"/>
        </xdr:cNvSpPr>
      </xdr:nvSpPr>
      <xdr:spPr bwMode="auto">
        <a:xfrm>
          <a:off x="9696450" y="989901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92" name="AutoShape 46">
          <a:extLst>
            <a:ext uri="{FF2B5EF4-FFF2-40B4-BE49-F238E27FC236}">
              <a16:creationId xmlns:a16="http://schemas.microsoft.com/office/drawing/2014/main" id="{7B25DDCF-803B-465D-82DF-DC8A892C6B6A}"/>
            </a:ext>
          </a:extLst>
        </xdr:cNvPr>
        <xdr:cNvSpPr>
          <a:spLocks noChangeArrowheads="1"/>
        </xdr:cNvSpPr>
      </xdr:nvSpPr>
      <xdr:spPr bwMode="auto">
        <a:xfrm>
          <a:off x="112585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93" name="AutoShape 46">
          <a:extLst>
            <a:ext uri="{FF2B5EF4-FFF2-40B4-BE49-F238E27FC236}">
              <a16:creationId xmlns:a16="http://schemas.microsoft.com/office/drawing/2014/main" id="{161ABF73-A81A-4994-AB81-DB00B1F11A87}"/>
            </a:ext>
          </a:extLst>
        </xdr:cNvPr>
        <xdr:cNvSpPr>
          <a:spLocks noChangeArrowheads="1"/>
        </xdr:cNvSpPr>
      </xdr:nvSpPr>
      <xdr:spPr bwMode="auto">
        <a:xfrm>
          <a:off x="12820650" y="989901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94" name="AutoShape 46">
          <a:extLst>
            <a:ext uri="{FF2B5EF4-FFF2-40B4-BE49-F238E27FC236}">
              <a16:creationId xmlns:a16="http://schemas.microsoft.com/office/drawing/2014/main" id="{44484490-5216-4CFB-A0CF-2DEB3EA9A6EF}"/>
            </a:ext>
          </a:extLst>
        </xdr:cNvPr>
        <xdr:cNvSpPr>
          <a:spLocks noChangeArrowheads="1"/>
        </xdr:cNvSpPr>
      </xdr:nvSpPr>
      <xdr:spPr bwMode="auto">
        <a:xfrm>
          <a:off x="128206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5" name="AutoShape 46">
          <a:extLst>
            <a:ext uri="{FF2B5EF4-FFF2-40B4-BE49-F238E27FC236}">
              <a16:creationId xmlns:a16="http://schemas.microsoft.com/office/drawing/2014/main" id="{E7B63FE8-68CB-4D1B-976F-3B46826981DB}"/>
            </a:ext>
          </a:extLst>
        </xdr:cNvPr>
        <xdr:cNvSpPr>
          <a:spLocks noChangeArrowheads="1"/>
        </xdr:cNvSpPr>
      </xdr:nvSpPr>
      <xdr:spPr bwMode="auto">
        <a:xfrm>
          <a:off x="143827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6" name="AutoShape 46">
          <a:extLst>
            <a:ext uri="{FF2B5EF4-FFF2-40B4-BE49-F238E27FC236}">
              <a16:creationId xmlns:a16="http://schemas.microsoft.com/office/drawing/2014/main" id="{BED0DE2A-A21F-4381-9D48-068FCD440DC4}"/>
            </a:ext>
          </a:extLst>
        </xdr:cNvPr>
        <xdr:cNvSpPr>
          <a:spLocks noChangeArrowheads="1"/>
        </xdr:cNvSpPr>
      </xdr:nvSpPr>
      <xdr:spPr bwMode="auto">
        <a:xfrm>
          <a:off x="15944850" y="989901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7" name="AutoShape 46">
          <a:extLst>
            <a:ext uri="{FF2B5EF4-FFF2-40B4-BE49-F238E27FC236}">
              <a16:creationId xmlns:a16="http://schemas.microsoft.com/office/drawing/2014/main" id="{153A941C-5860-42FC-B982-AB001B5E4C7E}"/>
            </a:ext>
          </a:extLst>
        </xdr:cNvPr>
        <xdr:cNvSpPr>
          <a:spLocks noChangeArrowheads="1"/>
        </xdr:cNvSpPr>
      </xdr:nvSpPr>
      <xdr:spPr bwMode="auto">
        <a:xfrm>
          <a:off x="176847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8" name="AutoShape 46">
          <a:extLst>
            <a:ext uri="{FF2B5EF4-FFF2-40B4-BE49-F238E27FC236}">
              <a16:creationId xmlns:a16="http://schemas.microsoft.com/office/drawing/2014/main" id="{62F8CBAE-0343-4E7A-812D-5B2C8E77FC9F}"/>
            </a:ext>
          </a:extLst>
        </xdr:cNvPr>
        <xdr:cNvSpPr>
          <a:spLocks noChangeArrowheads="1"/>
        </xdr:cNvSpPr>
      </xdr:nvSpPr>
      <xdr:spPr bwMode="auto">
        <a:xfrm>
          <a:off x="19246850" y="989901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9" name="AutoShape 46">
          <a:extLst>
            <a:ext uri="{FF2B5EF4-FFF2-40B4-BE49-F238E27FC236}">
              <a16:creationId xmlns:a16="http://schemas.microsoft.com/office/drawing/2014/main" id="{ED744132-133F-42A8-AE6F-B0B45AC50E99}"/>
            </a:ext>
          </a:extLst>
        </xdr:cNvPr>
        <xdr:cNvSpPr>
          <a:spLocks noChangeArrowheads="1"/>
        </xdr:cNvSpPr>
      </xdr:nvSpPr>
      <xdr:spPr bwMode="auto">
        <a:xfrm>
          <a:off x="209994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0" name="AutoShape 46">
          <a:extLst>
            <a:ext uri="{FF2B5EF4-FFF2-40B4-BE49-F238E27FC236}">
              <a16:creationId xmlns:a16="http://schemas.microsoft.com/office/drawing/2014/main" id="{91DB8559-8C40-479B-A54E-979A3CF16548}"/>
            </a:ext>
          </a:extLst>
        </xdr:cNvPr>
        <xdr:cNvSpPr>
          <a:spLocks noChangeArrowheads="1"/>
        </xdr:cNvSpPr>
      </xdr:nvSpPr>
      <xdr:spPr bwMode="auto">
        <a:xfrm>
          <a:off x="22561550" y="989901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801" name="AutoShape 46">
          <a:extLst>
            <a:ext uri="{FF2B5EF4-FFF2-40B4-BE49-F238E27FC236}">
              <a16:creationId xmlns:a16="http://schemas.microsoft.com/office/drawing/2014/main" id="{00F147DF-91BC-46E6-9F39-FB7CC3346027}"/>
            </a:ext>
          </a:extLst>
        </xdr:cNvPr>
        <xdr:cNvSpPr>
          <a:spLocks noChangeArrowheads="1"/>
        </xdr:cNvSpPr>
      </xdr:nvSpPr>
      <xdr:spPr bwMode="auto">
        <a:xfrm>
          <a:off x="14382750" y="989901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802" name="AutoShape 46">
          <a:extLst>
            <a:ext uri="{FF2B5EF4-FFF2-40B4-BE49-F238E27FC236}">
              <a16:creationId xmlns:a16="http://schemas.microsoft.com/office/drawing/2014/main" id="{5C005B4B-2D2D-4905-BBCF-C5FDBA51DDDB}"/>
            </a:ext>
          </a:extLst>
        </xdr:cNvPr>
        <xdr:cNvSpPr>
          <a:spLocks noChangeArrowheads="1"/>
        </xdr:cNvSpPr>
      </xdr:nvSpPr>
      <xdr:spPr bwMode="auto">
        <a:xfrm>
          <a:off x="15944850" y="989901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803" name="AutoShape 46">
          <a:extLst>
            <a:ext uri="{FF2B5EF4-FFF2-40B4-BE49-F238E27FC236}">
              <a16:creationId xmlns:a16="http://schemas.microsoft.com/office/drawing/2014/main" id="{42D6B164-8D85-4101-B6AA-65A4BC49CEC2}"/>
            </a:ext>
          </a:extLst>
        </xdr:cNvPr>
        <xdr:cNvSpPr>
          <a:spLocks noChangeArrowheads="1"/>
        </xdr:cNvSpPr>
      </xdr:nvSpPr>
      <xdr:spPr bwMode="auto">
        <a:xfrm>
          <a:off x="17684750" y="989901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804" name="AutoShape 46">
          <a:extLst>
            <a:ext uri="{FF2B5EF4-FFF2-40B4-BE49-F238E27FC236}">
              <a16:creationId xmlns:a16="http://schemas.microsoft.com/office/drawing/2014/main" id="{67489DD1-BDFC-4E16-8A00-0E660EF0D791}"/>
            </a:ext>
          </a:extLst>
        </xdr:cNvPr>
        <xdr:cNvSpPr>
          <a:spLocks noChangeArrowheads="1"/>
        </xdr:cNvSpPr>
      </xdr:nvSpPr>
      <xdr:spPr bwMode="auto">
        <a:xfrm>
          <a:off x="19246850" y="989901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5" name="AutoShape 46">
          <a:extLst>
            <a:ext uri="{FF2B5EF4-FFF2-40B4-BE49-F238E27FC236}">
              <a16:creationId xmlns:a16="http://schemas.microsoft.com/office/drawing/2014/main" id="{8AD8C050-6686-4E50-A439-07DCFD5F503D}"/>
            </a:ext>
          </a:extLst>
        </xdr:cNvPr>
        <xdr:cNvSpPr>
          <a:spLocks noChangeArrowheads="1"/>
        </xdr:cNvSpPr>
      </xdr:nvSpPr>
      <xdr:spPr bwMode="auto">
        <a:xfrm>
          <a:off x="20999450" y="989901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6" name="AutoShape 46">
          <a:extLst>
            <a:ext uri="{FF2B5EF4-FFF2-40B4-BE49-F238E27FC236}">
              <a16:creationId xmlns:a16="http://schemas.microsoft.com/office/drawing/2014/main" id="{6C276DDB-1EAE-4426-AA3F-4D7D4A3949BB}"/>
            </a:ext>
          </a:extLst>
        </xdr:cNvPr>
        <xdr:cNvSpPr>
          <a:spLocks noChangeArrowheads="1"/>
        </xdr:cNvSpPr>
      </xdr:nvSpPr>
      <xdr:spPr bwMode="auto">
        <a:xfrm>
          <a:off x="22561550" y="989901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807" name="AutoShape 46">
          <a:extLst>
            <a:ext uri="{FF2B5EF4-FFF2-40B4-BE49-F238E27FC236}">
              <a16:creationId xmlns:a16="http://schemas.microsoft.com/office/drawing/2014/main" id="{41E18B45-69FE-4107-9AE8-676569DB5E2A}"/>
            </a:ext>
          </a:extLst>
        </xdr:cNvPr>
        <xdr:cNvSpPr>
          <a:spLocks noChangeArrowheads="1"/>
        </xdr:cNvSpPr>
      </xdr:nvSpPr>
      <xdr:spPr bwMode="auto">
        <a:xfrm>
          <a:off x="143827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808" name="AutoShape 46">
          <a:extLst>
            <a:ext uri="{FF2B5EF4-FFF2-40B4-BE49-F238E27FC236}">
              <a16:creationId xmlns:a16="http://schemas.microsoft.com/office/drawing/2014/main" id="{9CA8A3C2-5CDE-4BE0-862D-36804CBE8D95}"/>
            </a:ext>
          </a:extLst>
        </xdr:cNvPr>
        <xdr:cNvSpPr>
          <a:spLocks noChangeArrowheads="1"/>
        </xdr:cNvSpPr>
      </xdr:nvSpPr>
      <xdr:spPr bwMode="auto">
        <a:xfrm>
          <a:off x="15944850" y="989901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809" name="AutoShape 46">
          <a:extLst>
            <a:ext uri="{FF2B5EF4-FFF2-40B4-BE49-F238E27FC236}">
              <a16:creationId xmlns:a16="http://schemas.microsoft.com/office/drawing/2014/main" id="{0DC04042-8295-43AB-A8F8-37ABC72D3EF1}"/>
            </a:ext>
          </a:extLst>
        </xdr:cNvPr>
        <xdr:cNvSpPr>
          <a:spLocks noChangeArrowheads="1"/>
        </xdr:cNvSpPr>
      </xdr:nvSpPr>
      <xdr:spPr bwMode="auto">
        <a:xfrm>
          <a:off x="17684750" y="989901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810" name="AutoShape 46">
          <a:extLst>
            <a:ext uri="{FF2B5EF4-FFF2-40B4-BE49-F238E27FC236}">
              <a16:creationId xmlns:a16="http://schemas.microsoft.com/office/drawing/2014/main" id="{BD04035B-133F-4195-AFBA-57B01DEB3164}"/>
            </a:ext>
          </a:extLst>
        </xdr:cNvPr>
        <xdr:cNvSpPr>
          <a:spLocks noChangeArrowheads="1"/>
        </xdr:cNvSpPr>
      </xdr:nvSpPr>
      <xdr:spPr bwMode="auto">
        <a:xfrm>
          <a:off x="19246850" y="989901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11" name="AutoShape 46">
          <a:extLst>
            <a:ext uri="{FF2B5EF4-FFF2-40B4-BE49-F238E27FC236}">
              <a16:creationId xmlns:a16="http://schemas.microsoft.com/office/drawing/2014/main" id="{A7A25570-AD3E-454B-8F52-D46CDAC5E9A7}"/>
            </a:ext>
          </a:extLst>
        </xdr:cNvPr>
        <xdr:cNvSpPr>
          <a:spLocks noChangeArrowheads="1"/>
        </xdr:cNvSpPr>
      </xdr:nvSpPr>
      <xdr:spPr bwMode="auto">
        <a:xfrm>
          <a:off x="20999450" y="989901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12" name="AutoShape 46">
          <a:extLst>
            <a:ext uri="{FF2B5EF4-FFF2-40B4-BE49-F238E27FC236}">
              <a16:creationId xmlns:a16="http://schemas.microsoft.com/office/drawing/2014/main" id="{B475EA57-3F73-465D-9EB8-B822C5B1C575}"/>
            </a:ext>
          </a:extLst>
        </xdr:cNvPr>
        <xdr:cNvSpPr>
          <a:spLocks noChangeArrowheads="1"/>
        </xdr:cNvSpPr>
      </xdr:nvSpPr>
      <xdr:spPr bwMode="auto">
        <a:xfrm>
          <a:off x="22561550" y="989901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13" name="AutoShape 46">
          <a:extLst>
            <a:ext uri="{FF2B5EF4-FFF2-40B4-BE49-F238E27FC236}">
              <a16:creationId xmlns:a16="http://schemas.microsoft.com/office/drawing/2014/main" id="{3A3F3565-58C9-47FA-A984-15FEF8FD0C1A}"/>
            </a:ext>
          </a:extLst>
        </xdr:cNvPr>
        <xdr:cNvSpPr>
          <a:spLocks noChangeArrowheads="1"/>
        </xdr:cNvSpPr>
      </xdr:nvSpPr>
      <xdr:spPr bwMode="auto">
        <a:xfrm>
          <a:off x="1397000" y="1018476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14" name="AutoShape 46">
          <a:extLst>
            <a:ext uri="{FF2B5EF4-FFF2-40B4-BE49-F238E27FC236}">
              <a16:creationId xmlns:a16="http://schemas.microsoft.com/office/drawing/2014/main" id="{D78E06E4-2A25-4170-A602-8FE51BCEEEA5}"/>
            </a:ext>
          </a:extLst>
        </xdr:cNvPr>
        <xdr:cNvSpPr>
          <a:spLocks noChangeArrowheads="1"/>
        </xdr:cNvSpPr>
      </xdr:nvSpPr>
      <xdr:spPr bwMode="auto">
        <a:xfrm>
          <a:off x="3149600" y="1018476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16" name="AutoShape 46">
          <a:extLst>
            <a:ext uri="{FF2B5EF4-FFF2-40B4-BE49-F238E27FC236}">
              <a16:creationId xmlns:a16="http://schemas.microsoft.com/office/drawing/2014/main" id="{7FF83CC7-E177-4C02-AED0-9C892952D8E1}"/>
            </a:ext>
          </a:extLst>
        </xdr:cNvPr>
        <xdr:cNvSpPr>
          <a:spLocks noChangeArrowheads="1"/>
        </xdr:cNvSpPr>
      </xdr:nvSpPr>
      <xdr:spPr bwMode="auto">
        <a:xfrm>
          <a:off x="6273800" y="101847650"/>
          <a:ext cx="8890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17" name="AutoShape 46">
          <a:extLst>
            <a:ext uri="{FF2B5EF4-FFF2-40B4-BE49-F238E27FC236}">
              <a16:creationId xmlns:a16="http://schemas.microsoft.com/office/drawing/2014/main" id="{E8BCB840-D895-49A8-BA2F-6437516821AB}"/>
            </a:ext>
          </a:extLst>
        </xdr:cNvPr>
        <xdr:cNvSpPr>
          <a:spLocks noChangeArrowheads="1"/>
        </xdr:cNvSpPr>
      </xdr:nvSpPr>
      <xdr:spPr bwMode="auto">
        <a:xfrm>
          <a:off x="7943850" y="101847650"/>
          <a:ext cx="971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18" name="AutoShape 46">
          <a:extLst>
            <a:ext uri="{FF2B5EF4-FFF2-40B4-BE49-F238E27FC236}">
              <a16:creationId xmlns:a16="http://schemas.microsoft.com/office/drawing/2014/main" id="{06DE6FA5-8D65-4997-9D88-E53DD65C970B}"/>
            </a:ext>
          </a:extLst>
        </xdr:cNvPr>
        <xdr:cNvSpPr>
          <a:spLocks noChangeArrowheads="1"/>
        </xdr:cNvSpPr>
      </xdr:nvSpPr>
      <xdr:spPr bwMode="auto">
        <a:xfrm>
          <a:off x="9696450" y="10184765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19" name="AutoShape 46">
          <a:extLst>
            <a:ext uri="{FF2B5EF4-FFF2-40B4-BE49-F238E27FC236}">
              <a16:creationId xmlns:a16="http://schemas.microsoft.com/office/drawing/2014/main" id="{50537185-B23F-4986-ABC3-D09BF7822629}"/>
            </a:ext>
          </a:extLst>
        </xdr:cNvPr>
        <xdr:cNvSpPr>
          <a:spLocks noChangeArrowheads="1"/>
        </xdr:cNvSpPr>
      </xdr:nvSpPr>
      <xdr:spPr bwMode="auto">
        <a:xfrm>
          <a:off x="11258550" y="1018476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20" name="AutoShape 46">
          <a:extLst>
            <a:ext uri="{FF2B5EF4-FFF2-40B4-BE49-F238E27FC236}">
              <a16:creationId xmlns:a16="http://schemas.microsoft.com/office/drawing/2014/main" id="{1518B35C-7B61-4EAF-AC4A-036E1CBB49CC}"/>
            </a:ext>
          </a:extLst>
        </xdr:cNvPr>
        <xdr:cNvSpPr>
          <a:spLocks noChangeArrowheads="1"/>
        </xdr:cNvSpPr>
      </xdr:nvSpPr>
      <xdr:spPr bwMode="auto">
        <a:xfrm>
          <a:off x="128206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21" name="AutoShape 46">
          <a:extLst>
            <a:ext uri="{FF2B5EF4-FFF2-40B4-BE49-F238E27FC236}">
              <a16:creationId xmlns:a16="http://schemas.microsoft.com/office/drawing/2014/main" id="{93D84789-C472-4779-885D-EF5EFF0518CF}"/>
            </a:ext>
          </a:extLst>
        </xdr:cNvPr>
        <xdr:cNvSpPr>
          <a:spLocks noChangeArrowheads="1"/>
        </xdr:cNvSpPr>
      </xdr:nvSpPr>
      <xdr:spPr bwMode="auto">
        <a:xfrm>
          <a:off x="12820650" y="1018476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A238D6E5-9B53-4DBD-95C4-06C4BE71C83F}"/>
            </a:ext>
          </a:extLst>
        </xdr:cNvPr>
        <xdr:cNvSpPr>
          <a:spLocks noChangeArrowheads="1"/>
        </xdr:cNvSpPr>
      </xdr:nvSpPr>
      <xdr:spPr bwMode="auto">
        <a:xfrm>
          <a:off x="14382750" y="1018476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F7B6F040-A877-4953-B138-BB16E27B8F12}"/>
            </a:ext>
          </a:extLst>
        </xdr:cNvPr>
        <xdr:cNvSpPr>
          <a:spLocks noChangeArrowheads="1"/>
        </xdr:cNvSpPr>
      </xdr:nvSpPr>
      <xdr:spPr bwMode="auto">
        <a:xfrm>
          <a:off x="15944850" y="1018476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80992CE7-4F4B-4883-B29A-BCF321C9682B}"/>
            </a:ext>
          </a:extLst>
        </xdr:cNvPr>
        <xdr:cNvSpPr>
          <a:spLocks noChangeArrowheads="1"/>
        </xdr:cNvSpPr>
      </xdr:nvSpPr>
      <xdr:spPr bwMode="auto">
        <a:xfrm>
          <a:off x="17684750" y="1018476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C4D224AB-1B53-4BD1-83CD-70081494F86B}"/>
            </a:ext>
          </a:extLst>
        </xdr:cNvPr>
        <xdr:cNvSpPr>
          <a:spLocks noChangeArrowheads="1"/>
        </xdr:cNvSpPr>
      </xdr:nvSpPr>
      <xdr:spPr bwMode="auto">
        <a:xfrm>
          <a:off x="19246850" y="1018476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26805ED8-A6A6-4EE2-8150-B14C51F4FF96}"/>
            </a:ext>
          </a:extLst>
        </xdr:cNvPr>
        <xdr:cNvSpPr>
          <a:spLocks noChangeArrowheads="1"/>
        </xdr:cNvSpPr>
      </xdr:nvSpPr>
      <xdr:spPr bwMode="auto">
        <a:xfrm>
          <a:off x="20999450" y="1018476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243D2BA5-B41B-4695-82E3-15481521523D}"/>
            </a:ext>
          </a:extLst>
        </xdr:cNvPr>
        <xdr:cNvSpPr>
          <a:spLocks noChangeArrowheads="1"/>
        </xdr:cNvSpPr>
      </xdr:nvSpPr>
      <xdr:spPr bwMode="auto">
        <a:xfrm>
          <a:off x="22561550" y="1018476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8" name="AutoShape 46">
          <a:extLst>
            <a:ext uri="{FF2B5EF4-FFF2-40B4-BE49-F238E27FC236}">
              <a16:creationId xmlns:a16="http://schemas.microsoft.com/office/drawing/2014/main" id="{3831BAA1-528B-4D24-A70E-B4C24CB3D576}"/>
            </a:ext>
          </a:extLst>
        </xdr:cNvPr>
        <xdr:cNvSpPr>
          <a:spLocks noChangeArrowheads="1"/>
        </xdr:cNvSpPr>
      </xdr:nvSpPr>
      <xdr:spPr bwMode="auto">
        <a:xfrm>
          <a:off x="143827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9" name="AutoShape 46">
          <a:extLst>
            <a:ext uri="{FF2B5EF4-FFF2-40B4-BE49-F238E27FC236}">
              <a16:creationId xmlns:a16="http://schemas.microsoft.com/office/drawing/2014/main" id="{E234B53A-209D-476C-8B13-88C460574D9E}"/>
            </a:ext>
          </a:extLst>
        </xdr:cNvPr>
        <xdr:cNvSpPr>
          <a:spLocks noChangeArrowheads="1"/>
        </xdr:cNvSpPr>
      </xdr:nvSpPr>
      <xdr:spPr bwMode="auto">
        <a:xfrm>
          <a:off x="15944850" y="1018476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30" name="AutoShape 46">
          <a:extLst>
            <a:ext uri="{FF2B5EF4-FFF2-40B4-BE49-F238E27FC236}">
              <a16:creationId xmlns:a16="http://schemas.microsoft.com/office/drawing/2014/main" id="{6745DCB0-AB4F-45BD-8BF8-CF618C9BD9B8}"/>
            </a:ext>
          </a:extLst>
        </xdr:cNvPr>
        <xdr:cNvSpPr>
          <a:spLocks noChangeArrowheads="1"/>
        </xdr:cNvSpPr>
      </xdr:nvSpPr>
      <xdr:spPr bwMode="auto">
        <a:xfrm>
          <a:off x="176847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31" name="AutoShape 46">
          <a:extLst>
            <a:ext uri="{FF2B5EF4-FFF2-40B4-BE49-F238E27FC236}">
              <a16:creationId xmlns:a16="http://schemas.microsoft.com/office/drawing/2014/main" id="{D2C985C9-6B11-4A2B-9592-E019AA52BDDC}"/>
            </a:ext>
          </a:extLst>
        </xdr:cNvPr>
        <xdr:cNvSpPr>
          <a:spLocks noChangeArrowheads="1"/>
        </xdr:cNvSpPr>
      </xdr:nvSpPr>
      <xdr:spPr bwMode="auto">
        <a:xfrm>
          <a:off x="19246850" y="1018476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32" name="AutoShape 46">
          <a:extLst>
            <a:ext uri="{FF2B5EF4-FFF2-40B4-BE49-F238E27FC236}">
              <a16:creationId xmlns:a16="http://schemas.microsoft.com/office/drawing/2014/main" id="{AD92D7C8-B312-4636-8C8C-0BB490A999CE}"/>
            </a:ext>
          </a:extLst>
        </xdr:cNvPr>
        <xdr:cNvSpPr>
          <a:spLocks noChangeArrowheads="1"/>
        </xdr:cNvSpPr>
      </xdr:nvSpPr>
      <xdr:spPr bwMode="auto">
        <a:xfrm>
          <a:off x="209994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33" name="AutoShape 46">
          <a:extLst>
            <a:ext uri="{FF2B5EF4-FFF2-40B4-BE49-F238E27FC236}">
              <a16:creationId xmlns:a16="http://schemas.microsoft.com/office/drawing/2014/main" id="{90CB4C30-AC8D-49CE-BCEC-70B64B59350B}"/>
            </a:ext>
          </a:extLst>
        </xdr:cNvPr>
        <xdr:cNvSpPr>
          <a:spLocks noChangeArrowheads="1"/>
        </xdr:cNvSpPr>
      </xdr:nvSpPr>
      <xdr:spPr bwMode="auto">
        <a:xfrm>
          <a:off x="22561550" y="1018476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34" name="AutoShape 46">
          <a:extLst>
            <a:ext uri="{FF2B5EF4-FFF2-40B4-BE49-F238E27FC236}">
              <a16:creationId xmlns:a16="http://schemas.microsoft.com/office/drawing/2014/main" id="{2CE40B56-37DD-40FD-8BFD-CCF20B9BDD68}"/>
            </a:ext>
          </a:extLst>
        </xdr:cNvPr>
        <xdr:cNvSpPr>
          <a:spLocks noChangeArrowheads="1"/>
        </xdr:cNvSpPr>
      </xdr:nvSpPr>
      <xdr:spPr bwMode="auto">
        <a:xfrm>
          <a:off x="14382750" y="101847650"/>
          <a:ext cx="78105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35" name="AutoShape 46">
          <a:extLst>
            <a:ext uri="{FF2B5EF4-FFF2-40B4-BE49-F238E27FC236}">
              <a16:creationId xmlns:a16="http://schemas.microsoft.com/office/drawing/2014/main" id="{A8122283-D98A-494A-BBB6-6B3A9C721F2D}"/>
            </a:ext>
          </a:extLst>
        </xdr:cNvPr>
        <xdr:cNvSpPr>
          <a:spLocks noChangeArrowheads="1"/>
        </xdr:cNvSpPr>
      </xdr:nvSpPr>
      <xdr:spPr bwMode="auto">
        <a:xfrm>
          <a:off x="15944850" y="1018476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36" name="AutoShape 46">
          <a:extLst>
            <a:ext uri="{FF2B5EF4-FFF2-40B4-BE49-F238E27FC236}">
              <a16:creationId xmlns:a16="http://schemas.microsoft.com/office/drawing/2014/main" id="{BC00D955-52EC-430B-9B25-DB04EB0128AC}"/>
            </a:ext>
          </a:extLst>
        </xdr:cNvPr>
        <xdr:cNvSpPr>
          <a:spLocks noChangeArrowheads="1"/>
        </xdr:cNvSpPr>
      </xdr:nvSpPr>
      <xdr:spPr bwMode="auto">
        <a:xfrm>
          <a:off x="176847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37" name="AutoShape 46">
          <a:extLst>
            <a:ext uri="{FF2B5EF4-FFF2-40B4-BE49-F238E27FC236}">
              <a16:creationId xmlns:a16="http://schemas.microsoft.com/office/drawing/2014/main" id="{6FA61536-9364-4684-B133-C4250082C4DD}"/>
            </a:ext>
          </a:extLst>
        </xdr:cNvPr>
        <xdr:cNvSpPr>
          <a:spLocks noChangeArrowheads="1"/>
        </xdr:cNvSpPr>
      </xdr:nvSpPr>
      <xdr:spPr bwMode="auto">
        <a:xfrm>
          <a:off x="19246850" y="1018476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38" name="AutoShape 46">
          <a:extLst>
            <a:ext uri="{FF2B5EF4-FFF2-40B4-BE49-F238E27FC236}">
              <a16:creationId xmlns:a16="http://schemas.microsoft.com/office/drawing/2014/main" id="{13C5CDB4-8B06-4A62-897B-C0BF14289CBA}"/>
            </a:ext>
          </a:extLst>
        </xdr:cNvPr>
        <xdr:cNvSpPr>
          <a:spLocks noChangeArrowheads="1"/>
        </xdr:cNvSpPr>
      </xdr:nvSpPr>
      <xdr:spPr bwMode="auto">
        <a:xfrm>
          <a:off x="20999450" y="1018476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39" name="AutoShape 46">
          <a:extLst>
            <a:ext uri="{FF2B5EF4-FFF2-40B4-BE49-F238E27FC236}">
              <a16:creationId xmlns:a16="http://schemas.microsoft.com/office/drawing/2014/main" id="{7C85CC5B-F331-4F5E-8B3F-23388D5E8132}"/>
            </a:ext>
          </a:extLst>
        </xdr:cNvPr>
        <xdr:cNvSpPr>
          <a:spLocks noChangeArrowheads="1"/>
        </xdr:cNvSpPr>
      </xdr:nvSpPr>
      <xdr:spPr bwMode="auto">
        <a:xfrm>
          <a:off x="22561550" y="1018476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40" name="AutoShape 46">
          <a:extLst>
            <a:ext uri="{FF2B5EF4-FFF2-40B4-BE49-F238E27FC236}">
              <a16:creationId xmlns:a16="http://schemas.microsoft.com/office/drawing/2014/main" id="{48A2CE9E-7CCF-4DD2-B4DF-C8EEE4AD0668}"/>
            </a:ext>
          </a:extLst>
        </xdr:cNvPr>
        <xdr:cNvSpPr>
          <a:spLocks noChangeArrowheads="1"/>
        </xdr:cNvSpPr>
      </xdr:nvSpPr>
      <xdr:spPr bwMode="auto">
        <a:xfrm>
          <a:off x="1397000" y="1049147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41" name="AutoShape 46">
          <a:extLst>
            <a:ext uri="{FF2B5EF4-FFF2-40B4-BE49-F238E27FC236}">
              <a16:creationId xmlns:a16="http://schemas.microsoft.com/office/drawing/2014/main" id="{A9860837-2111-4EED-B05F-CA405EEEB5AD}"/>
            </a:ext>
          </a:extLst>
        </xdr:cNvPr>
        <xdr:cNvSpPr>
          <a:spLocks noChangeArrowheads="1"/>
        </xdr:cNvSpPr>
      </xdr:nvSpPr>
      <xdr:spPr bwMode="auto">
        <a:xfrm>
          <a:off x="314960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42" name="AutoShape 46">
          <a:extLst>
            <a:ext uri="{FF2B5EF4-FFF2-40B4-BE49-F238E27FC236}">
              <a16:creationId xmlns:a16="http://schemas.microsoft.com/office/drawing/2014/main" id="{FB76891E-8699-49B8-9676-66F065F931A4}"/>
            </a:ext>
          </a:extLst>
        </xdr:cNvPr>
        <xdr:cNvSpPr>
          <a:spLocks noChangeArrowheads="1"/>
        </xdr:cNvSpPr>
      </xdr:nvSpPr>
      <xdr:spPr bwMode="auto">
        <a:xfrm>
          <a:off x="471170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43" name="AutoShape 46">
          <a:extLst>
            <a:ext uri="{FF2B5EF4-FFF2-40B4-BE49-F238E27FC236}">
              <a16:creationId xmlns:a16="http://schemas.microsoft.com/office/drawing/2014/main" id="{58A2892C-BA86-4926-A953-D2D6C2040EC1}"/>
            </a:ext>
          </a:extLst>
        </xdr:cNvPr>
        <xdr:cNvSpPr>
          <a:spLocks noChangeArrowheads="1"/>
        </xdr:cNvSpPr>
      </xdr:nvSpPr>
      <xdr:spPr bwMode="auto">
        <a:xfrm>
          <a:off x="6273800" y="10491470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44" name="AutoShape 46">
          <a:extLst>
            <a:ext uri="{FF2B5EF4-FFF2-40B4-BE49-F238E27FC236}">
              <a16:creationId xmlns:a16="http://schemas.microsoft.com/office/drawing/2014/main" id="{0904FCE4-EE01-4F8C-914B-85B9D142262A}"/>
            </a:ext>
          </a:extLst>
        </xdr:cNvPr>
        <xdr:cNvSpPr>
          <a:spLocks noChangeArrowheads="1"/>
        </xdr:cNvSpPr>
      </xdr:nvSpPr>
      <xdr:spPr bwMode="auto">
        <a:xfrm>
          <a:off x="7943850" y="1049147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45" name="AutoShape 46">
          <a:extLst>
            <a:ext uri="{FF2B5EF4-FFF2-40B4-BE49-F238E27FC236}">
              <a16:creationId xmlns:a16="http://schemas.microsoft.com/office/drawing/2014/main" id="{94E291C4-B00C-452E-B5DF-3A970217A958}"/>
            </a:ext>
          </a:extLst>
        </xdr:cNvPr>
        <xdr:cNvSpPr>
          <a:spLocks noChangeArrowheads="1"/>
        </xdr:cNvSpPr>
      </xdr:nvSpPr>
      <xdr:spPr bwMode="auto">
        <a:xfrm>
          <a:off x="9696450" y="104914700"/>
          <a:ext cx="78105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46" name="AutoShape 46">
          <a:extLst>
            <a:ext uri="{FF2B5EF4-FFF2-40B4-BE49-F238E27FC236}">
              <a16:creationId xmlns:a16="http://schemas.microsoft.com/office/drawing/2014/main" id="{DB36784F-F7E2-43DC-81B7-5C07D7A8C601}"/>
            </a:ext>
          </a:extLst>
        </xdr:cNvPr>
        <xdr:cNvSpPr>
          <a:spLocks noChangeArrowheads="1"/>
        </xdr:cNvSpPr>
      </xdr:nvSpPr>
      <xdr:spPr bwMode="auto">
        <a:xfrm>
          <a:off x="112585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47" name="AutoShape 46">
          <a:extLst>
            <a:ext uri="{FF2B5EF4-FFF2-40B4-BE49-F238E27FC236}">
              <a16:creationId xmlns:a16="http://schemas.microsoft.com/office/drawing/2014/main" id="{2E769A1F-6BCA-48E1-927A-6DE12FD50C64}"/>
            </a:ext>
          </a:extLst>
        </xdr:cNvPr>
        <xdr:cNvSpPr>
          <a:spLocks noChangeArrowheads="1"/>
        </xdr:cNvSpPr>
      </xdr:nvSpPr>
      <xdr:spPr bwMode="auto">
        <a:xfrm>
          <a:off x="128206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48" name="AutoShape 46">
          <a:extLst>
            <a:ext uri="{FF2B5EF4-FFF2-40B4-BE49-F238E27FC236}">
              <a16:creationId xmlns:a16="http://schemas.microsoft.com/office/drawing/2014/main" id="{943A2ECF-4CF5-44AE-9998-6FC085BB76B6}"/>
            </a:ext>
          </a:extLst>
        </xdr:cNvPr>
        <xdr:cNvSpPr>
          <a:spLocks noChangeArrowheads="1"/>
        </xdr:cNvSpPr>
      </xdr:nvSpPr>
      <xdr:spPr bwMode="auto">
        <a:xfrm>
          <a:off x="12820650" y="104914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B83840BC-8D1E-4EF7-970F-9BE7DC629F07}"/>
            </a:ext>
          </a:extLst>
        </xdr:cNvPr>
        <xdr:cNvSpPr>
          <a:spLocks noChangeArrowheads="1"/>
        </xdr:cNvSpPr>
      </xdr:nvSpPr>
      <xdr:spPr bwMode="auto">
        <a:xfrm>
          <a:off x="15944850" y="1049147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936F811E-C067-4A08-BB52-ABD8051AC70F}"/>
            </a:ext>
          </a:extLst>
        </xdr:cNvPr>
        <xdr:cNvSpPr>
          <a:spLocks noChangeArrowheads="1"/>
        </xdr:cNvSpPr>
      </xdr:nvSpPr>
      <xdr:spPr bwMode="auto">
        <a:xfrm>
          <a:off x="17684750" y="104914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8F903978-0B73-490C-BFA7-40F995EAA382}"/>
            </a:ext>
          </a:extLst>
        </xdr:cNvPr>
        <xdr:cNvSpPr>
          <a:spLocks noChangeArrowheads="1"/>
        </xdr:cNvSpPr>
      </xdr:nvSpPr>
      <xdr:spPr bwMode="auto">
        <a:xfrm>
          <a:off x="19246850" y="1049147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225C1C80-33A6-4045-9646-97CB55783A3D}"/>
            </a:ext>
          </a:extLst>
        </xdr:cNvPr>
        <xdr:cNvSpPr>
          <a:spLocks noChangeArrowheads="1"/>
        </xdr:cNvSpPr>
      </xdr:nvSpPr>
      <xdr:spPr bwMode="auto">
        <a:xfrm>
          <a:off x="20999450" y="104914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4A6BCC7F-0A47-4075-BBB5-5CB20AD08847}"/>
            </a:ext>
          </a:extLst>
        </xdr:cNvPr>
        <xdr:cNvSpPr>
          <a:spLocks noChangeArrowheads="1"/>
        </xdr:cNvSpPr>
      </xdr:nvSpPr>
      <xdr:spPr bwMode="auto">
        <a:xfrm>
          <a:off x="22561550" y="1049147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E84667A0-0658-4069-8F62-4C968B059167}"/>
            </a:ext>
          </a:extLst>
        </xdr:cNvPr>
        <xdr:cNvSpPr>
          <a:spLocks noChangeArrowheads="1"/>
        </xdr:cNvSpPr>
      </xdr:nvSpPr>
      <xdr:spPr bwMode="auto">
        <a:xfrm>
          <a:off x="24218900" y="104914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55" name="AutoShape 46">
          <a:extLst>
            <a:ext uri="{FF2B5EF4-FFF2-40B4-BE49-F238E27FC236}">
              <a16:creationId xmlns:a16="http://schemas.microsoft.com/office/drawing/2014/main" id="{6A717E72-10C0-413E-951F-98E9A22D4C35}"/>
            </a:ext>
          </a:extLst>
        </xdr:cNvPr>
        <xdr:cNvSpPr>
          <a:spLocks noChangeArrowheads="1"/>
        </xdr:cNvSpPr>
      </xdr:nvSpPr>
      <xdr:spPr bwMode="auto">
        <a:xfrm>
          <a:off x="15944850" y="1049147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6" name="AutoShape 46">
          <a:extLst>
            <a:ext uri="{FF2B5EF4-FFF2-40B4-BE49-F238E27FC236}">
              <a16:creationId xmlns:a16="http://schemas.microsoft.com/office/drawing/2014/main" id="{E50BEB67-B07D-4DAF-ACCC-A064813A94DA}"/>
            </a:ext>
          </a:extLst>
        </xdr:cNvPr>
        <xdr:cNvSpPr>
          <a:spLocks noChangeArrowheads="1"/>
        </xdr:cNvSpPr>
      </xdr:nvSpPr>
      <xdr:spPr bwMode="auto">
        <a:xfrm>
          <a:off x="176847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7" name="AutoShape 46">
          <a:extLst>
            <a:ext uri="{FF2B5EF4-FFF2-40B4-BE49-F238E27FC236}">
              <a16:creationId xmlns:a16="http://schemas.microsoft.com/office/drawing/2014/main" id="{582AED0F-629A-4D95-B5C0-F8FCD8253BC4}"/>
            </a:ext>
          </a:extLst>
        </xdr:cNvPr>
        <xdr:cNvSpPr>
          <a:spLocks noChangeArrowheads="1"/>
        </xdr:cNvSpPr>
      </xdr:nvSpPr>
      <xdr:spPr bwMode="auto">
        <a:xfrm>
          <a:off x="19246850" y="1049147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8" name="AutoShape 46">
          <a:extLst>
            <a:ext uri="{FF2B5EF4-FFF2-40B4-BE49-F238E27FC236}">
              <a16:creationId xmlns:a16="http://schemas.microsoft.com/office/drawing/2014/main" id="{A53F05B6-62AB-4B07-ABCA-BF9B8802BA55}"/>
            </a:ext>
          </a:extLst>
        </xdr:cNvPr>
        <xdr:cNvSpPr>
          <a:spLocks noChangeArrowheads="1"/>
        </xdr:cNvSpPr>
      </xdr:nvSpPr>
      <xdr:spPr bwMode="auto">
        <a:xfrm>
          <a:off x="209994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9" name="AutoShape 46">
          <a:extLst>
            <a:ext uri="{FF2B5EF4-FFF2-40B4-BE49-F238E27FC236}">
              <a16:creationId xmlns:a16="http://schemas.microsoft.com/office/drawing/2014/main" id="{1DF705AD-C7F6-4860-A19C-268031BBD06D}"/>
            </a:ext>
          </a:extLst>
        </xdr:cNvPr>
        <xdr:cNvSpPr>
          <a:spLocks noChangeArrowheads="1"/>
        </xdr:cNvSpPr>
      </xdr:nvSpPr>
      <xdr:spPr bwMode="auto">
        <a:xfrm>
          <a:off x="22561550" y="1049147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60" name="AutoShape 46">
          <a:extLst>
            <a:ext uri="{FF2B5EF4-FFF2-40B4-BE49-F238E27FC236}">
              <a16:creationId xmlns:a16="http://schemas.microsoft.com/office/drawing/2014/main" id="{5F5C2FCC-5E61-4C2B-B103-B8390A336FE4}"/>
            </a:ext>
          </a:extLst>
        </xdr:cNvPr>
        <xdr:cNvSpPr>
          <a:spLocks noChangeArrowheads="1"/>
        </xdr:cNvSpPr>
      </xdr:nvSpPr>
      <xdr:spPr bwMode="auto">
        <a:xfrm>
          <a:off x="24218900" y="104914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61" name="AutoShape 46">
          <a:extLst>
            <a:ext uri="{FF2B5EF4-FFF2-40B4-BE49-F238E27FC236}">
              <a16:creationId xmlns:a16="http://schemas.microsoft.com/office/drawing/2014/main" id="{A54E0EC0-667E-4F54-8DCD-1DDBBC571DF3}"/>
            </a:ext>
          </a:extLst>
        </xdr:cNvPr>
        <xdr:cNvSpPr>
          <a:spLocks noChangeArrowheads="1"/>
        </xdr:cNvSpPr>
      </xdr:nvSpPr>
      <xdr:spPr bwMode="auto">
        <a:xfrm>
          <a:off x="15944850" y="104914700"/>
          <a:ext cx="95885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62" name="AutoShape 46">
          <a:extLst>
            <a:ext uri="{FF2B5EF4-FFF2-40B4-BE49-F238E27FC236}">
              <a16:creationId xmlns:a16="http://schemas.microsoft.com/office/drawing/2014/main" id="{7625E79A-2B6C-4BCB-BFCD-7FB270FF60C2}"/>
            </a:ext>
          </a:extLst>
        </xdr:cNvPr>
        <xdr:cNvSpPr>
          <a:spLocks noChangeArrowheads="1"/>
        </xdr:cNvSpPr>
      </xdr:nvSpPr>
      <xdr:spPr bwMode="auto">
        <a:xfrm>
          <a:off x="176847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63" name="AutoShape 46">
          <a:extLst>
            <a:ext uri="{FF2B5EF4-FFF2-40B4-BE49-F238E27FC236}">
              <a16:creationId xmlns:a16="http://schemas.microsoft.com/office/drawing/2014/main" id="{4DEC12B6-9CE4-4764-8D81-1F28BAB92013}"/>
            </a:ext>
          </a:extLst>
        </xdr:cNvPr>
        <xdr:cNvSpPr>
          <a:spLocks noChangeArrowheads="1"/>
        </xdr:cNvSpPr>
      </xdr:nvSpPr>
      <xdr:spPr bwMode="auto">
        <a:xfrm>
          <a:off x="19246850" y="104914700"/>
          <a:ext cx="844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64" name="AutoShape 46">
          <a:extLst>
            <a:ext uri="{FF2B5EF4-FFF2-40B4-BE49-F238E27FC236}">
              <a16:creationId xmlns:a16="http://schemas.microsoft.com/office/drawing/2014/main" id="{E4308ED3-0CB6-4BDB-B2A6-4A41ECA36F85}"/>
            </a:ext>
          </a:extLst>
        </xdr:cNvPr>
        <xdr:cNvSpPr>
          <a:spLocks noChangeArrowheads="1"/>
        </xdr:cNvSpPr>
      </xdr:nvSpPr>
      <xdr:spPr bwMode="auto">
        <a:xfrm>
          <a:off x="20999450" y="104914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65" name="AutoShape 46">
          <a:extLst>
            <a:ext uri="{FF2B5EF4-FFF2-40B4-BE49-F238E27FC236}">
              <a16:creationId xmlns:a16="http://schemas.microsoft.com/office/drawing/2014/main" id="{F1843DDC-2E9D-43E2-AD60-4CB9FD8C1A5C}"/>
            </a:ext>
          </a:extLst>
        </xdr:cNvPr>
        <xdr:cNvSpPr>
          <a:spLocks noChangeArrowheads="1"/>
        </xdr:cNvSpPr>
      </xdr:nvSpPr>
      <xdr:spPr bwMode="auto">
        <a:xfrm>
          <a:off x="22561550" y="1049147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66" name="AutoShape 46">
          <a:extLst>
            <a:ext uri="{FF2B5EF4-FFF2-40B4-BE49-F238E27FC236}">
              <a16:creationId xmlns:a16="http://schemas.microsoft.com/office/drawing/2014/main" id="{08972403-2A1E-42DA-84C0-DDEEB331877E}"/>
            </a:ext>
          </a:extLst>
        </xdr:cNvPr>
        <xdr:cNvSpPr>
          <a:spLocks noChangeArrowheads="1"/>
        </xdr:cNvSpPr>
      </xdr:nvSpPr>
      <xdr:spPr bwMode="auto">
        <a:xfrm>
          <a:off x="24218900" y="104914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67" name="AutoShape 46">
          <a:extLst>
            <a:ext uri="{FF2B5EF4-FFF2-40B4-BE49-F238E27FC236}">
              <a16:creationId xmlns:a16="http://schemas.microsoft.com/office/drawing/2014/main" id="{6A38EDB4-4BB7-4090-AFC8-216B44C3E7AB}"/>
            </a:ext>
          </a:extLst>
        </xdr:cNvPr>
        <xdr:cNvSpPr>
          <a:spLocks noChangeArrowheads="1"/>
        </xdr:cNvSpPr>
      </xdr:nvSpPr>
      <xdr:spPr bwMode="auto">
        <a:xfrm>
          <a:off x="1397000" y="1077468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68" name="AutoShape 46">
          <a:extLst>
            <a:ext uri="{FF2B5EF4-FFF2-40B4-BE49-F238E27FC236}">
              <a16:creationId xmlns:a16="http://schemas.microsoft.com/office/drawing/2014/main" id="{05A7104D-2849-4158-807D-E87912267E10}"/>
            </a:ext>
          </a:extLst>
        </xdr:cNvPr>
        <xdr:cNvSpPr>
          <a:spLocks noChangeArrowheads="1"/>
        </xdr:cNvSpPr>
      </xdr:nvSpPr>
      <xdr:spPr bwMode="auto">
        <a:xfrm>
          <a:off x="314960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69" name="AutoShape 46">
          <a:extLst>
            <a:ext uri="{FF2B5EF4-FFF2-40B4-BE49-F238E27FC236}">
              <a16:creationId xmlns:a16="http://schemas.microsoft.com/office/drawing/2014/main" id="{754D124C-952F-4C3E-A943-449340BDDBFF}"/>
            </a:ext>
          </a:extLst>
        </xdr:cNvPr>
        <xdr:cNvSpPr>
          <a:spLocks noChangeArrowheads="1"/>
        </xdr:cNvSpPr>
      </xdr:nvSpPr>
      <xdr:spPr bwMode="auto">
        <a:xfrm>
          <a:off x="471170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70" name="AutoShape 46">
          <a:extLst>
            <a:ext uri="{FF2B5EF4-FFF2-40B4-BE49-F238E27FC236}">
              <a16:creationId xmlns:a16="http://schemas.microsoft.com/office/drawing/2014/main" id="{B0F8DEB4-0203-4EF2-81D7-2C6080767749}"/>
            </a:ext>
          </a:extLst>
        </xdr:cNvPr>
        <xdr:cNvSpPr>
          <a:spLocks noChangeArrowheads="1"/>
        </xdr:cNvSpPr>
      </xdr:nvSpPr>
      <xdr:spPr bwMode="auto">
        <a:xfrm>
          <a:off x="6273800" y="10774680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71" name="AutoShape 46">
          <a:extLst>
            <a:ext uri="{FF2B5EF4-FFF2-40B4-BE49-F238E27FC236}">
              <a16:creationId xmlns:a16="http://schemas.microsoft.com/office/drawing/2014/main" id="{AC17980D-C1C2-4AC6-822D-AE258227DBFB}"/>
            </a:ext>
          </a:extLst>
        </xdr:cNvPr>
        <xdr:cNvSpPr>
          <a:spLocks noChangeArrowheads="1"/>
        </xdr:cNvSpPr>
      </xdr:nvSpPr>
      <xdr:spPr bwMode="auto">
        <a:xfrm>
          <a:off x="7943850" y="107746800"/>
          <a:ext cx="97155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72" name="AutoShape 46">
          <a:extLst>
            <a:ext uri="{FF2B5EF4-FFF2-40B4-BE49-F238E27FC236}">
              <a16:creationId xmlns:a16="http://schemas.microsoft.com/office/drawing/2014/main" id="{9E4CE095-A6F7-4F7D-B338-277C31CA65E1}"/>
            </a:ext>
          </a:extLst>
        </xdr:cNvPr>
        <xdr:cNvSpPr>
          <a:spLocks noChangeArrowheads="1"/>
        </xdr:cNvSpPr>
      </xdr:nvSpPr>
      <xdr:spPr bwMode="auto">
        <a:xfrm>
          <a:off x="9696450" y="1077468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73" name="AutoShape 46">
          <a:extLst>
            <a:ext uri="{FF2B5EF4-FFF2-40B4-BE49-F238E27FC236}">
              <a16:creationId xmlns:a16="http://schemas.microsoft.com/office/drawing/2014/main" id="{C213242F-90E9-4C7E-BD4B-9BB6EF6EA7C2}"/>
            </a:ext>
          </a:extLst>
        </xdr:cNvPr>
        <xdr:cNvSpPr>
          <a:spLocks noChangeArrowheads="1"/>
        </xdr:cNvSpPr>
      </xdr:nvSpPr>
      <xdr:spPr bwMode="auto">
        <a:xfrm>
          <a:off x="11258550" y="10774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75" name="AutoShape 46">
          <a:extLst>
            <a:ext uri="{FF2B5EF4-FFF2-40B4-BE49-F238E27FC236}">
              <a16:creationId xmlns:a16="http://schemas.microsoft.com/office/drawing/2014/main" id="{05A5A246-FB80-4084-A33B-D96EDEB46664}"/>
            </a:ext>
          </a:extLst>
        </xdr:cNvPr>
        <xdr:cNvSpPr>
          <a:spLocks noChangeArrowheads="1"/>
        </xdr:cNvSpPr>
      </xdr:nvSpPr>
      <xdr:spPr bwMode="auto">
        <a:xfrm>
          <a:off x="15255875" y="110388400"/>
          <a:ext cx="1317625"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76" name="Group 1008">
          <a:extLst>
            <a:ext uri="{FF2B5EF4-FFF2-40B4-BE49-F238E27FC236}">
              <a16:creationId xmlns:a16="http://schemas.microsoft.com/office/drawing/2014/main" id="{4D028907-64BB-4B26-BDA9-CB189672B5D7}"/>
            </a:ext>
          </a:extLst>
        </xdr:cNvPr>
        <xdr:cNvGrpSpPr>
          <a:grpSpLocks/>
        </xdr:cNvGrpSpPr>
      </xdr:nvGrpSpPr>
      <xdr:grpSpPr bwMode="auto">
        <a:xfrm>
          <a:off x="14557375" y="136763125"/>
          <a:ext cx="228600" cy="206375"/>
          <a:chOff x="5475762" y="47760700"/>
          <a:chExt cx="314325" cy="230209"/>
        </a:xfrm>
      </xdr:grpSpPr>
      <xdr:cxnSp macro="">
        <xdr:nvCxnSpPr>
          <xdr:cNvPr id="877" name="Straight Connector 876">
            <a:extLst>
              <a:ext uri="{FF2B5EF4-FFF2-40B4-BE49-F238E27FC236}">
                <a16:creationId xmlns:a16="http://schemas.microsoft.com/office/drawing/2014/main" id="{9D42A616-FBA1-12AD-38FD-7FFDAAA531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8" name="Straight Connector 529">
            <a:extLst>
              <a:ext uri="{FF2B5EF4-FFF2-40B4-BE49-F238E27FC236}">
                <a16:creationId xmlns:a16="http://schemas.microsoft.com/office/drawing/2014/main" id="{4AB20060-754F-88B2-E716-246A63E6793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9" name="Straight Connector 531">
            <a:extLst>
              <a:ext uri="{FF2B5EF4-FFF2-40B4-BE49-F238E27FC236}">
                <a16:creationId xmlns:a16="http://schemas.microsoft.com/office/drawing/2014/main" id="{E773E0FA-BE83-F224-45D8-BE286B6D9DB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0" name="Straight Connector 533">
            <a:extLst>
              <a:ext uri="{FF2B5EF4-FFF2-40B4-BE49-F238E27FC236}">
                <a16:creationId xmlns:a16="http://schemas.microsoft.com/office/drawing/2014/main" id="{DDB4027D-BC09-214F-34AF-B157E7AE553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1" name="Straight Connector 535">
            <a:extLst>
              <a:ext uri="{FF2B5EF4-FFF2-40B4-BE49-F238E27FC236}">
                <a16:creationId xmlns:a16="http://schemas.microsoft.com/office/drawing/2014/main" id="{3B7D68F3-E2A0-AB64-42C7-9BB3757D112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2" name="Straight Connector 537">
            <a:extLst>
              <a:ext uri="{FF2B5EF4-FFF2-40B4-BE49-F238E27FC236}">
                <a16:creationId xmlns:a16="http://schemas.microsoft.com/office/drawing/2014/main" id="{2D211178-4552-87AF-F2D2-3A8BDA156B3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83" name="Group 1008">
          <a:extLst>
            <a:ext uri="{FF2B5EF4-FFF2-40B4-BE49-F238E27FC236}">
              <a16:creationId xmlns:a16="http://schemas.microsoft.com/office/drawing/2014/main" id="{C9A24E57-2F3C-406D-B224-075C762FBDBF}"/>
            </a:ext>
          </a:extLst>
        </xdr:cNvPr>
        <xdr:cNvGrpSpPr>
          <a:grpSpLocks/>
        </xdr:cNvGrpSpPr>
      </xdr:nvGrpSpPr>
      <xdr:grpSpPr bwMode="auto">
        <a:xfrm>
          <a:off x="12541250" y="136763125"/>
          <a:ext cx="228600" cy="206375"/>
          <a:chOff x="5475762" y="47760700"/>
          <a:chExt cx="314325" cy="230209"/>
        </a:xfrm>
      </xdr:grpSpPr>
      <xdr:cxnSp macro="">
        <xdr:nvCxnSpPr>
          <xdr:cNvPr id="884" name="Straight Connector 883">
            <a:extLst>
              <a:ext uri="{FF2B5EF4-FFF2-40B4-BE49-F238E27FC236}">
                <a16:creationId xmlns:a16="http://schemas.microsoft.com/office/drawing/2014/main" id="{16B34B1B-5613-8AE7-57CA-7317ED66D4D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5" name="Straight Connector 529">
            <a:extLst>
              <a:ext uri="{FF2B5EF4-FFF2-40B4-BE49-F238E27FC236}">
                <a16:creationId xmlns:a16="http://schemas.microsoft.com/office/drawing/2014/main" id="{993A8D33-A1AC-714E-7B1D-E60FDD93E5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6" name="Straight Connector 531">
            <a:extLst>
              <a:ext uri="{FF2B5EF4-FFF2-40B4-BE49-F238E27FC236}">
                <a16:creationId xmlns:a16="http://schemas.microsoft.com/office/drawing/2014/main" id="{892F1BFF-473E-5778-4CA2-987A7CE3E02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7" name="Straight Connector 533">
            <a:extLst>
              <a:ext uri="{FF2B5EF4-FFF2-40B4-BE49-F238E27FC236}">
                <a16:creationId xmlns:a16="http://schemas.microsoft.com/office/drawing/2014/main" id="{3C02201B-6DC4-120C-BBBD-00DFF20376E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8" name="Straight Connector 535">
            <a:extLst>
              <a:ext uri="{FF2B5EF4-FFF2-40B4-BE49-F238E27FC236}">
                <a16:creationId xmlns:a16="http://schemas.microsoft.com/office/drawing/2014/main" id="{9AAEBF5F-2DAE-C825-EAA4-D825127E93C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9" name="Straight Connector 537">
            <a:extLst>
              <a:ext uri="{FF2B5EF4-FFF2-40B4-BE49-F238E27FC236}">
                <a16:creationId xmlns:a16="http://schemas.microsoft.com/office/drawing/2014/main" id="{EED20AD8-BEC9-F2C7-C139-255CD5EC9B9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90" name="Group 1008">
          <a:extLst>
            <a:ext uri="{FF2B5EF4-FFF2-40B4-BE49-F238E27FC236}">
              <a16:creationId xmlns:a16="http://schemas.microsoft.com/office/drawing/2014/main" id="{D85D1DE3-C20A-4EFE-B84B-0E701A049493}"/>
            </a:ext>
          </a:extLst>
        </xdr:cNvPr>
        <xdr:cNvGrpSpPr>
          <a:grpSpLocks/>
        </xdr:cNvGrpSpPr>
      </xdr:nvGrpSpPr>
      <xdr:grpSpPr bwMode="auto">
        <a:xfrm>
          <a:off x="8191500" y="136763125"/>
          <a:ext cx="228600" cy="206375"/>
          <a:chOff x="5475762" y="47760700"/>
          <a:chExt cx="314325" cy="230209"/>
        </a:xfrm>
      </xdr:grpSpPr>
      <xdr:cxnSp macro="">
        <xdr:nvCxnSpPr>
          <xdr:cNvPr id="891" name="Straight Connector 890">
            <a:extLst>
              <a:ext uri="{FF2B5EF4-FFF2-40B4-BE49-F238E27FC236}">
                <a16:creationId xmlns:a16="http://schemas.microsoft.com/office/drawing/2014/main" id="{E33FEC13-7B5F-38B2-D287-1F2D9180EDBB}"/>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2" name="Straight Connector 529">
            <a:extLst>
              <a:ext uri="{FF2B5EF4-FFF2-40B4-BE49-F238E27FC236}">
                <a16:creationId xmlns:a16="http://schemas.microsoft.com/office/drawing/2014/main" id="{2CCF9943-99A9-7666-EBAA-3CACCB88D6E9}"/>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3" name="Straight Connector 531">
            <a:extLst>
              <a:ext uri="{FF2B5EF4-FFF2-40B4-BE49-F238E27FC236}">
                <a16:creationId xmlns:a16="http://schemas.microsoft.com/office/drawing/2014/main" id="{7A98710B-75EC-7C84-71A7-48A603DCC8FA}"/>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4" name="Straight Connector 533">
            <a:extLst>
              <a:ext uri="{FF2B5EF4-FFF2-40B4-BE49-F238E27FC236}">
                <a16:creationId xmlns:a16="http://schemas.microsoft.com/office/drawing/2014/main" id="{DD607DB4-F55F-EB0E-A9DD-23EE735DEB89}"/>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5" name="Straight Connector 535">
            <a:extLst>
              <a:ext uri="{FF2B5EF4-FFF2-40B4-BE49-F238E27FC236}">
                <a16:creationId xmlns:a16="http://schemas.microsoft.com/office/drawing/2014/main" id="{D057588D-A982-3FB6-811A-E26824DF8C1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6" name="Straight Connector 537">
            <a:extLst>
              <a:ext uri="{FF2B5EF4-FFF2-40B4-BE49-F238E27FC236}">
                <a16:creationId xmlns:a16="http://schemas.microsoft.com/office/drawing/2014/main" id="{DF4EC277-63ED-5347-A472-6B8814EF0BB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97" name="Group 1008">
          <a:extLst>
            <a:ext uri="{FF2B5EF4-FFF2-40B4-BE49-F238E27FC236}">
              <a16:creationId xmlns:a16="http://schemas.microsoft.com/office/drawing/2014/main" id="{365D01D8-CD96-476E-83C9-E9BDAC7A1B0D}"/>
            </a:ext>
          </a:extLst>
        </xdr:cNvPr>
        <xdr:cNvGrpSpPr>
          <a:grpSpLocks/>
        </xdr:cNvGrpSpPr>
      </xdr:nvGrpSpPr>
      <xdr:grpSpPr bwMode="auto">
        <a:xfrm>
          <a:off x="6175375" y="136763125"/>
          <a:ext cx="228600" cy="206375"/>
          <a:chOff x="5475762" y="47760700"/>
          <a:chExt cx="314325" cy="230209"/>
        </a:xfrm>
      </xdr:grpSpPr>
      <xdr:cxnSp macro="">
        <xdr:nvCxnSpPr>
          <xdr:cNvPr id="898" name="Straight Connector 897">
            <a:extLst>
              <a:ext uri="{FF2B5EF4-FFF2-40B4-BE49-F238E27FC236}">
                <a16:creationId xmlns:a16="http://schemas.microsoft.com/office/drawing/2014/main" id="{CC70274D-1FC5-02A1-1E41-17A7609BA9A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9" name="Straight Connector 529">
            <a:extLst>
              <a:ext uri="{FF2B5EF4-FFF2-40B4-BE49-F238E27FC236}">
                <a16:creationId xmlns:a16="http://schemas.microsoft.com/office/drawing/2014/main" id="{AA70F434-29FC-97E7-222E-F1A629573BC2}"/>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0" name="Straight Connector 531">
            <a:extLst>
              <a:ext uri="{FF2B5EF4-FFF2-40B4-BE49-F238E27FC236}">
                <a16:creationId xmlns:a16="http://schemas.microsoft.com/office/drawing/2014/main" id="{68E1ADB8-7E0D-40EA-5978-0D75D854132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1" name="Straight Connector 533">
            <a:extLst>
              <a:ext uri="{FF2B5EF4-FFF2-40B4-BE49-F238E27FC236}">
                <a16:creationId xmlns:a16="http://schemas.microsoft.com/office/drawing/2014/main" id="{D949638D-2EA8-A38B-60EA-A95BA97C3344}"/>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2" name="Straight Connector 535">
            <a:extLst>
              <a:ext uri="{FF2B5EF4-FFF2-40B4-BE49-F238E27FC236}">
                <a16:creationId xmlns:a16="http://schemas.microsoft.com/office/drawing/2014/main" id="{68ABF5BA-1433-2BED-00A8-EDBA17F46AB1}"/>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3" name="Straight Connector 537">
            <a:extLst>
              <a:ext uri="{FF2B5EF4-FFF2-40B4-BE49-F238E27FC236}">
                <a16:creationId xmlns:a16="http://schemas.microsoft.com/office/drawing/2014/main" id="{F4AB4370-59C8-E9A0-6577-9F15DD60DF8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904" name="Group 1008">
          <a:extLst>
            <a:ext uri="{FF2B5EF4-FFF2-40B4-BE49-F238E27FC236}">
              <a16:creationId xmlns:a16="http://schemas.microsoft.com/office/drawing/2014/main" id="{6018A935-C904-49BC-971D-BCB21F30EB51}"/>
            </a:ext>
          </a:extLst>
        </xdr:cNvPr>
        <xdr:cNvGrpSpPr>
          <a:grpSpLocks/>
        </xdr:cNvGrpSpPr>
      </xdr:nvGrpSpPr>
      <xdr:grpSpPr bwMode="auto">
        <a:xfrm>
          <a:off x="4032250" y="136763125"/>
          <a:ext cx="228600" cy="206375"/>
          <a:chOff x="5475762" y="47760700"/>
          <a:chExt cx="314325" cy="230209"/>
        </a:xfrm>
      </xdr:grpSpPr>
      <xdr:cxnSp macro="">
        <xdr:nvCxnSpPr>
          <xdr:cNvPr id="905" name="Straight Connector 904">
            <a:extLst>
              <a:ext uri="{FF2B5EF4-FFF2-40B4-BE49-F238E27FC236}">
                <a16:creationId xmlns:a16="http://schemas.microsoft.com/office/drawing/2014/main" id="{9F1A510A-EA4F-1C68-C223-AB50435E787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6" name="Straight Connector 529">
            <a:extLst>
              <a:ext uri="{FF2B5EF4-FFF2-40B4-BE49-F238E27FC236}">
                <a16:creationId xmlns:a16="http://schemas.microsoft.com/office/drawing/2014/main" id="{54DE50FF-7889-CA97-339C-90F07DF579B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7" name="Straight Connector 531">
            <a:extLst>
              <a:ext uri="{FF2B5EF4-FFF2-40B4-BE49-F238E27FC236}">
                <a16:creationId xmlns:a16="http://schemas.microsoft.com/office/drawing/2014/main" id="{04D5CB44-4892-594D-32CF-9016B396E24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8" name="Straight Connector 533">
            <a:extLst>
              <a:ext uri="{FF2B5EF4-FFF2-40B4-BE49-F238E27FC236}">
                <a16:creationId xmlns:a16="http://schemas.microsoft.com/office/drawing/2014/main" id="{E21D4727-DCD9-ED61-7965-E3940E2A823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9" name="Straight Connector 535">
            <a:extLst>
              <a:ext uri="{FF2B5EF4-FFF2-40B4-BE49-F238E27FC236}">
                <a16:creationId xmlns:a16="http://schemas.microsoft.com/office/drawing/2014/main" id="{E081D673-B19E-1E22-B438-5D42FA222EB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0" name="Straight Connector 537">
            <a:extLst>
              <a:ext uri="{FF2B5EF4-FFF2-40B4-BE49-F238E27FC236}">
                <a16:creationId xmlns:a16="http://schemas.microsoft.com/office/drawing/2014/main" id="{0648C5B6-10F2-A5B8-4E16-E09BE41594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911" name="Group 1008">
          <a:extLst>
            <a:ext uri="{FF2B5EF4-FFF2-40B4-BE49-F238E27FC236}">
              <a16:creationId xmlns:a16="http://schemas.microsoft.com/office/drawing/2014/main" id="{F73C4C06-9869-4CA0-80F4-BFEFFD309545}"/>
            </a:ext>
          </a:extLst>
        </xdr:cNvPr>
        <xdr:cNvGrpSpPr>
          <a:grpSpLocks/>
        </xdr:cNvGrpSpPr>
      </xdr:nvGrpSpPr>
      <xdr:grpSpPr bwMode="auto">
        <a:xfrm>
          <a:off x="16573500" y="136763125"/>
          <a:ext cx="228600" cy="206375"/>
          <a:chOff x="5475762" y="47760700"/>
          <a:chExt cx="314325" cy="230209"/>
        </a:xfrm>
      </xdr:grpSpPr>
      <xdr:cxnSp macro="">
        <xdr:nvCxnSpPr>
          <xdr:cNvPr id="912" name="Straight Connector 911">
            <a:extLst>
              <a:ext uri="{FF2B5EF4-FFF2-40B4-BE49-F238E27FC236}">
                <a16:creationId xmlns:a16="http://schemas.microsoft.com/office/drawing/2014/main" id="{4FECE698-B831-97E9-B67A-D63CD087D12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3" name="Straight Connector 529">
            <a:extLst>
              <a:ext uri="{FF2B5EF4-FFF2-40B4-BE49-F238E27FC236}">
                <a16:creationId xmlns:a16="http://schemas.microsoft.com/office/drawing/2014/main" id="{4E612719-A975-C9E2-8A67-98A03A004C0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4" name="Straight Connector 531">
            <a:extLst>
              <a:ext uri="{FF2B5EF4-FFF2-40B4-BE49-F238E27FC236}">
                <a16:creationId xmlns:a16="http://schemas.microsoft.com/office/drawing/2014/main" id="{06DBA7F3-06E0-7695-FA31-9DE97F4938A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5" name="Straight Connector 533">
            <a:extLst>
              <a:ext uri="{FF2B5EF4-FFF2-40B4-BE49-F238E27FC236}">
                <a16:creationId xmlns:a16="http://schemas.microsoft.com/office/drawing/2014/main" id="{27CAAEFA-897B-0148-4959-E43A8CAD8E3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6" name="Straight Connector 535">
            <a:extLst>
              <a:ext uri="{FF2B5EF4-FFF2-40B4-BE49-F238E27FC236}">
                <a16:creationId xmlns:a16="http://schemas.microsoft.com/office/drawing/2014/main" id="{4AB2B74B-FFCC-1726-D008-785AA67A339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7" name="Straight Connector 537">
            <a:extLst>
              <a:ext uri="{FF2B5EF4-FFF2-40B4-BE49-F238E27FC236}">
                <a16:creationId xmlns:a16="http://schemas.microsoft.com/office/drawing/2014/main" id="{1F449BAE-6282-2BA7-BFAD-649A32BE367F}"/>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18" name="Group 1008">
          <a:extLst>
            <a:ext uri="{FF2B5EF4-FFF2-40B4-BE49-F238E27FC236}">
              <a16:creationId xmlns:a16="http://schemas.microsoft.com/office/drawing/2014/main" id="{52C4AA8A-3D24-4237-BEF9-994B67395AD0}"/>
            </a:ext>
          </a:extLst>
        </xdr:cNvPr>
        <xdr:cNvGrpSpPr>
          <a:grpSpLocks/>
        </xdr:cNvGrpSpPr>
      </xdr:nvGrpSpPr>
      <xdr:grpSpPr bwMode="auto">
        <a:xfrm>
          <a:off x="10525125" y="136763125"/>
          <a:ext cx="228600" cy="206375"/>
          <a:chOff x="5475762" y="47760700"/>
          <a:chExt cx="314325" cy="230209"/>
        </a:xfrm>
      </xdr:grpSpPr>
      <xdr:cxnSp macro="">
        <xdr:nvCxnSpPr>
          <xdr:cNvPr id="919" name="Straight Connector 918">
            <a:extLst>
              <a:ext uri="{FF2B5EF4-FFF2-40B4-BE49-F238E27FC236}">
                <a16:creationId xmlns:a16="http://schemas.microsoft.com/office/drawing/2014/main" id="{6C9C79C6-178F-C351-09E8-368450B708A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0" name="Straight Connector 529">
            <a:extLst>
              <a:ext uri="{FF2B5EF4-FFF2-40B4-BE49-F238E27FC236}">
                <a16:creationId xmlns:a16="http://schemas.microsoft.com/office/drawing/2014/main" id="{64A10855-0FE9-0E9A-FA44-9FA33581F2B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1" name="Straight Connector 531">
            <a:extLst>
              <a:ext uri="{FF2B5EF4-FFF2-40B4-BE49-F238E27FC236}">
                <a16:creationId xmlns:a16="http://schemas.microsoft.com/office/drawing/2014/main" id="{C45F0280-EB48-E714-7F5F-B16B1FC742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2" name="Straight Connector 533">
            <a:extLst>
              <a:ext uri="{FF2B5EF4-FFF2-40B4-BE49-F238E27FC236}">
                <a16:creationId xmlns:a16="http://schemas.microsoft.com/office/drawing/2014/main" id="{4FE5FE8D-CEE5-3E36-CBAB-E5528BAD8CA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3" name="Straight Connector 535">
            <a:extLst>
              <a:ext uri="{FF2B5EF4-FFF2-40B4-BE49-F238E27FC236}">
                <a16:creationId xmlns:a16="http://schemas.microsoft.com/office/drawing/2014/main" id="{C296F9DE-4762-2297-9131-2603D075327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4" name="Straight Connector 537">
            <a:extLst>
              <a:ext uri="{FF2B5EF4-FFF2-40B4-BE49-F238E27FC236}">
                <a16:creationId xmlns:a16="http://schemas.microsoft.com/office/drawing/2014/main" id="{8DC16DBB-23D1-4BE5-5A3F-2918817AF0B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25" name="AutoShape 46">
          <a:extLst>
            <a:ext uri="{FF2B5EF4-FFF2-40B4-BE49-F238E27FC236}">
              <a16:creationId xmlns:a16="http://schemas.microsoft.com/office/drawing/2014/main" id="{195D2F54-5675-4784-B729-88B0A579AD76}"/>
            </a:ext>
          </a:extLst>
        </xdr:cNvPr>
        <xdr:cNvSpPr>
          <a:spLocks noChangeArrowheads="1"/>
        </xdr:cNvSpPr>
      </xdr:nvSpPr>
      <xdr:spPr bwMode="auto">
        <a:xfrm>
          <a:off x="14382750" y="10774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26" name="AutoShape 46">
          <a:extLst>
            <a:ext uri="{FF2B5EF4-FFF2-40B4-BE49-F238E27FC236}">
              <a16:creationId xmlns:a16="http://schemas.microsoft.com/office/drawing/2014/main" id="{D8ABF5B7-650B-422A-B972-91B86CA684F9}"/>
            </a:ext>
          </a:extLst>
        </xdr:cNvPr>
        <xdr:cNvSpPr>
          <a:spLocks noChangeArrowheads="1"/>
        </xdr:cNvSpPr>
      </xdr:nvSpPr>
      <xdr:spPr bwMode="auto">
        <a:xfrm>
          <a:off x="15944850" y="1077468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7" name="AutoShape 46">
          <a:extLst>
            <a:ext uri="{FF2B5EF4-FFF2-40B4-BE49-F238E27FC236}">
              <a16:creationId xmlns:a16="http://schemas.microsoft.com/office/drawing/2014/main" id="{43FA2C29-65C7-4417-A38D-7A9C2EB38F5E}"/>
            </a:ext>
          </a:extLst>
        </xdr:cNvPr>
        <xdr:cNvSpPr>
          <a:spLocks noChangeArrowheads="1"/>
        </xdr:cNvSpPr>
      </xdr:nvSpPr>
      <xdr:spPr bwMode="auto">
        <a:xfrm>
          <a:off x="17684750" y="10774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8" name="AutoShape 46">
          <a:extLst>
            <a:ext uri="{FF2B5EF4-FFF2-40B4-BE49-F238E27FC236}">
              <a16:creationId xmlns:a16="http://schemas.microsoft.com/office/drawing/2014/main" id="{D765A077-C9C0-4BD5-8DBF-90BAFFB64478}"/>
            </a:ext>
          </a:extLst>
        </xdr:cNvPr>
        <xdr:cNvSpPr>
          <a:spLocks noChangeArrowheads="1"/>
        </xdr:cNvSpPr>
      </xdr:nvSpPr>
      <xdr:spPr bwMode="auto">
        <a:xfrm>
          <a:off x="19246850" y="1077468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9" name="AutoShape 46">
          <a:extLst>
            <a:ext uri="{FF2B5EF4-FFF2-40B4-BE49-F238E27FC236}">
              <a16:creationId xmlns:a16="http://schemas.microsoft.com/office/drawing/2014/main" id="{13FB753C-B5FA-4C46-B292-65883DB0CE3A}"/>
            </a:ext>
          </a:extLst>
        </xdr:cNvPr>
        <xdr:cNvSpPr>
          <a:spLocks noChangeArrowheads="1"/>
        </xdr:cNvSpPr>
      </xdr:nvSpPr>
      <xdr:spPr bwMode="auto">
        <a:xfrm>
          <a:off x="20999450" y="1077468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30" name="AutoShape 46">
          <a:extLst>
            <a:ext uri="{FF2B5EF4-FFF2-40B4-BE49-F238E27FC236}">
              <a16:creationId xmlns:a16="http://schemas.microsoft.com/office/drawing/2014/main" id="{75EFB1D1-6874-44B4-9951-6AB7864ECCCE}"/>
            </a:ext>
          </a:extLst>
        </xdr:cNvPr>
        <xdr:cNvSpPr>
          <a:spLocks noChangeArrowheads="1"/>
        </xdr:cNvSpPr>
      </xdr:nvSpPr>
      <xdr:spPr bwMode="auto">
        <a:xfrm>
          <a:off x="22561550" y="1077468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31" name="AutoShape 46">
          <a:extLst>
            <a:ext uri="{FF2B5EF4-FFF2-40B4-BE49-F238E27FC236}">
              <a16:creationId xmlns:a16="http://schemas.microsoft.com/office/drawing/2014/main" id="{F93CBCFC-8B4F-47A9-923E-E9B0472D7025}"/>
            </a:ext>
          </a:extLst>
        </xdr:cNvPr>
        <xdr:cNvSpPr>
          <a:spLocks noChangeArrowheads="1"/>
        </xdr:cNvSpPr>
      </xdr:nvSpPr>
      <xdr:spPr bwMode="auto">
        <a:xfrm>
          <a:off x="1438275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32" name="AutoShape 46">
          <a:extLst>
            <a:ext uri="{FF2B5EF4-FFF2-40B4-BE49-F238E27FC236}">
              <a16:creationId xmlns:a16="http://schemas.microsoft.com/office/drawing/2014/main" id="{B205F304-66E7-461A-A2C2-9876AB633645}"/>
            </a:ext>
          </a:extLst>
        </xdr:cNvPr>
        <xdr:cNvSpPr>
          <a:spLocks noChangeArrowheads="1"/>
        </xdr:cNvSpPr>
      </xdr:nvSpPr>
      <xdr:spPr bwMode="auto">
        <a:xfrm>
          <a:off x="15944850" y="1077468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33" name="AutoShape 46">
          <a:extLst>
            <a:ext uri="{FF2B5EF4-FFF2-40B4-BE49-F238E27FC236}">
              <a16:creationId xmlns:a16="http://schemas.microsoft.com/office/drawing/2014/main" id="{EA25C481-3F13-40AA-B3DE-CA2DE29B7A30}"/>
            </a:ext>
          </a:extLst>
        </xdr:cNvPr>
        <xdr:cNvSpPr>
          <a:spLocks noChangeArrowheads="1"/>
        </xdr:cNvSpPr>
      </xdr:nvSpPr>
      <xdr:spPr bwMode="auto">
        <a:xfrm>
          <a:off x="1768475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34" name="AutoShape 46">
          <a:extLst>
            <a:ext uri="{FF2B5EF4-FFF2-40B4-BE49-F238E27FC236}">
              <a16:creationId xmlns:a16="http://schemas.microsoft.com/office/drawing/2014/main" id="{80FACF9D-F52C-4ACF-A7C2-2C15EFAC5C62}"/>
            </a:ext>
          </a:extLst>
        </xdr:cNvPr>
        <xdr:cNvSpPr>
          <a:spLocks noChangeArrowheads="1"/>
        </xdr:cNvSpPr>
      </xdr:nvSpPr>
      <xdr:spPr bwMode="auto">
        <a:xfrm>
          <a:off x="19246850" y="107746800"/>
          <a:ext cx="84455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35" name="AutoShape 46">
          <a:extLst>
            <a:ext uri="{FF2B5EF4-FFF2-40B4-BE49-F238E27FC236}">
              <a16:creationId xmlns:a16="http://schemas.microsoft.com/office/drawing/2014/main" id="{37B83FC5-5C16-46C5-8A8D-6A64A71D0848}"/>
            </a:ext>
          </a:extLst>
        </xdr:cNvPr>
        <xdr:cNvSpPr>
          <a:spLocks noChangeArrowheads="1"/>
        </xdr:cNvSpPr>
      </xdr:nvSpPr>
      <xdr:spPr bwMode="auto">
        <a:xfrm>
          <a:off x="2099945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36" name="AutoShape 46">
          <a:extLst>
            <a:ext uri="{FF2B5EF4-FFF2-40B4-BE49-F238E27FC236}">
              <a16:creationId xmlns:a16="http://schemas.microsoft.com/office/drawing/2014/main" id="{19E64A98-8BE2-431B-A861-9F161780DD84}"/>
            </a:ext>
          </a:extLst>
        </xdr:cNvPr>
        <xdr:cNvSpPr>
          <a:spLocks noChangeArrowheads="1"/>
        </xdr:cNvSpPr>
      </xdr:nvSpPr>
      <xdr:spPr bwMode="auto">
        <a:xfrm>
          <a:off x="22561550" y="1077468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37" name="Group 1008">
          <a:extLst>
            <a:ext uri="{FF2B5EF4-FFF2-40B4-BE49-F238E27FC236}">
              <a16:creationId xmlns:a16="http://schemas.microsoft.com/office/drawing/2014/main" id="{B1DFC963-F791-4417-A3F7-446EA0D28AB6}"/>
            </a:ext>
          </a:extLst>
        </xdr:cNvPr>
        <xdr:cNvGrpSpPr>
          <a:grpSpLocks/>
        </xdr:cNvGrpSpPr>
      </xdr:nvGrpSpPr>
      <xdr:grpSpPr bwMode="auto">
        <a:xfrm>
          <a:off x="18986500" y="136779000"/>
          <a:ext cx="228600" cy="190500"/>
          <a:chOff x="5475762" y="47760700"/>
          <a:chExt cx="314325" cy="230209"/>
        </a:xfrm>
      </xdr:grpSpPr>
      <xdr:cxnSp macro="">
        <xdr:nvCxnSpPr>
          <xdr:cNvPr id="938" name="Straight Connector 937">
            <a:extLst>
              <a:ext uri="{FF2B5EF4-FFF2-40B4-BE49-F238E27FC236}">
                <a16:creationId xmlns:a16="http://schemas.microsoft.com/office/drawing/2014/main" id="{D113225A-2899-BE5D-DD6E-70008DDB996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9" name="Straight Connector 529">
            <a:extLst>
              <a:ext uri="{FF2B5EF4-FFF2-40B4-BE49-F238E27FC236}">
                <a16:creationId xmlns:a16="http://schemas.microsoft.com/office/drawing/2014/main" id="{FCD2D032-AB5C-FE61-CBFC-660509B1590F}"/>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0" name="Straight Connector 531">
            <a:extLst>
              <a:ext uri="{FF2B5EF4-FFF2-40B4-BE49-F238E27FC236}">
                <a16:creationId xmlns:a16="http://schemas.microsoft.com/office/drawing/2014/main" id="{9DD47AFB-8722-9B3A-B587-D7575178ED9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1" name="Straight Connector 533">
            <a:extLst>
              <a:ext uri="{FF2B5EF4-FFF2-40B4-BE49-F238E27FC236}">
                <a16:creationId xmlns:a16="http://schemas.microsoft.com/office/drawing/2014/main" id="{36BA9BE9-0E7F-2C2B-1CDA-EAE864EA05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2" name="Straight Connector 535">
            <a:extLst>
              <a:ext uri="{FF2B5EF4-FFF2-40B4-BE49-F238E27FC236}">
                <a16:creationId xmlns:a16="http://schemas.microsoft.com/office/drawing/2014/main" id="{78F96EF1-7A7D-4972-5F57-B74E3AB9359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3" name="Straight Connector 537">
            <a:extLst>
              <a:ext uri="{FF2B5EF4-FFF2-40B4-BE49-F238E27FC236}">
                <a16:creationId xmlns:a16="http://schemas.microsoft.com/office/drawing/2014/main" id="{D4482ABF-B52C-1950-8C12-821CF8B831A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44" name="Group 1008">
          <a:extLst>
            <a:ext uri="{FF2B5EF4-FFF2-40B4-BE49-F238E27FC236}">
              <a16:creationId xmlns:a16="http://schemas.microsoft.com/office/drawing/2014/main" id="{3AFFEF75-9FEE-4DB4-A24D-B311CF0DA179}"/>
            </a:ext>
          </a:extLst>
        </xdr:cNvPr>
        <xdr:cNvGrpSpPr>
          <a:grpSpLocks/>
        </xdr:cNvGrpSpPr>
      </xdr:nvGrpSpPr>
      <xdr:grpSpPr bwMode="auto">
        <a:xfrm>
          <a:off x="21224875" y="136763125"/>
          <a:ext cx="228600" cy="206375"/>
          <a:chOff x="5475762" y="47760700"/>
          <a:chExt cx="314325" cy="230209"/>
        </a:xfrm>
      </xdr:grpSpPr>
      <xdr:cxnSp macro="">
        <xdr:nvCxnSpPr>
          <xdr:cNvPr id="945" name="Straight Connector 944">
            <a:extLst>
              <a:ext uri="{FF2B5EF4-FFF2-40B4-BE49-F238E27FC236}">
                <a16:creationId xmlns:a16="http://schemas.microsoft.com/office/drawing/2014/main" id="{C97F6599-53EE-FEA4-A483-7F4D8B46BA3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6" name="Straight Connector 529">
            <a:extLst>
              <a:ext uri="{FF2B5EF4-FFF2-40B4-BE49-F238E27FC236}">
                <a16:creationId xmlns:a16="http://schemas.microsoft.com/office/drawing/2014/main" id="{9BC053EE-0BA0-2125-6A34-25702C1C12B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7" name="Straight Connector 531">
            <a:extLst>
              <a:ext uri="{FF2B5EF4-FFF2-40B4-BE49-F238E27FC236}">
                <a16:creationId xmlns:a16="http://schemas.microsoft.com/office/drawing/2014/main" id="{C26884F9-4C4A-E06B-1046-B445B32DC6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8" name="Straight Connector 533">
            <a:extLst>
              <a:ext uri="{FF2B5EF4-FFF2-40B4-BE49-F238E27FC236}">
                <a16:creationId xmlns:a16="http://schemas.microsoft.com/office/drawing/2014/main" id="{6D846424-3C4C-EC61-EA0E-993F84D2855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9" name="Straight Connector 535">
            <a:extLst>
              <a:ext uri="{FF2B5EF4-FFF2-40B4-BE49-F238E27FC236}">
                <a16:creationId xmlns:a16="http://schemas.microsoft.com/office/drawing/2014/main" id="{65E0801E-CF1F-349B-9353-39EFE8F6180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0" name="Straight Connector 537">
            <a:extLst>
              <a:ext uri="{FF2B5EF4-FFF2-40B4-BE49-F238E27FC236}">
                <a16:creationId xmlns:a16="http://schemas.microsoft.com/office/drawing/2014/main" id="{CD9C2924-7EC3-6E0C-F45E-398429F5311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51" name="Group 1008">
          <a:extLst>
            <a:ext uri="{FF2B5EF4-FFF2-40B4-BE49-F238E27FC236}">
              <a16:creationId xmlns:a16="http://schemas.microsoft.com/office/drawing/2014/main" id="{70DC8DB8-2E9F-45C2-9FC6-4D8047594FEF}"/>
            </a:ext>
          </a:extLst>
        </xdr:cNvPr>
        <xdr:cNvGrpSpPr>
          <a:grpSpLocks/>
        </xdr:cNvGrpSpPr>
      </xdr:nvGrpSpPr>
      <xdr:grpSpPr bwMode="auto">
        <a:xfrm>
          <a:off x="24193500" y="136763125"/>
          <a:ext cx="228600" cy="206375"/>
          <a:chOff x="5475762" y="47760700"/>
          <a:chExt cx="314325" cy="230209"/>
        </a:xfrm>
      </xdr:grpSpPr>
      <xdr:cxnSp macro="">
        <xdr:nvCxnSpPr>
          <xdr:cNvPr id="952" name="Straight Connector 951">
            <a:extLst>
              <a:ext uri="{FF2B5EF4-FFF2-40B4-BE49-F238E27FC236}">
                <a16:creationId xmlns:a16="http://schemas.microsoft.com/office/drawing/2014/main" id="{DA262642-FFE2-A7DD-4385-8052DCD3072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3" name="Straight Connector 529">
            <a:extLst>
              <a:ext uri="{FF2B5EF4-FFF2-40B4-BE49-F238E27FC236}">
                <a16:creationId xmlns:a16="http://schemas.microsoft.com/office/drawing/2014/main" id="{18E3EFBC-2BD0-9CA7-EB50-CA64B57AA0D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4" name="Straight Connector 531">
            <a:extLst>
              <a:ext uri="{FF2B5EF4-FFF2-40B4-BE49-F238E27FC236}">
                <a16:creationId xmlns:a16="http://schemas.microsoft.com/office/drawing/2014/main" id="{0F99BC05-E9B4-D3D4-A038-DDFCBA645E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5" name="Straight Connector 533">
            <a:extLst>
              <a:ext uri="{FF2B5EF4-FFF2-40B4-BE49-F238E27FC236}">
                <a16:creationId xmlns:a16="http://schemas.microsoft.com/office/drawing/2014/main" id="{54C3BBF2-B259-76D3-AE72-A3873B0407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6" name="Straight Connector 535">
            <a:extLst>
              <a:ext uri="{FF2B5EF4-FFF2-40B4-BE49-F238E27FC236}">
                <a16:creationId xmlns:a16="http://schemas.microsoft.com/office/drawing/2014/main" id="{6539E5E6-F7D5-3AE3-F082-7E4B45DB6A7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7" name="Straight Connector 537">
            <a:extLst>
              <a:ext uri="{FF2B5EF4-FFF2-40B4-BE49-F238E27FC236}">
                <a16:creationId xmlns:a16="http://schemas.microsoft.com/office/drawing/2014/main" id="{F1871F93-F8CE-0F7A-9C59-E0A39AE29F9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58" name="AutoShape 46">
          <a:extLst>
            <a:ext uri="{FF2B5EF4-FFF2-40B4-BE49-F238E27FC236}">
              <a16:creationId xmlns:a16="http://schemas.microsoft.com/office/drawing/2014/main" id="{B0A60D6B-5525-460C-B475-D3B11960AA85}"/>
            </a:ext>
          </a:extLst>
        </xdr:cNvPr>
        <xdr:cNvSpPr>
          <a:spLocks noChangeArrowheads="1"/>
        </xdr:cNvSpPr>
      </xdr:nvSpPr>
      <xdr:spPr bwMode="auto">
        <a:xfrm>
          <a:off x="17748250" y="134597775"/>
          <a:ext cx="1238250" cy="56197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59" name="AutoShape 46">
          <a:extLst>
            <a:ext uri="{FF2B5EF4-FFF2-40B4-BE49-F238E27FC236}">
              <a16:creationId xmlns:a16="http://schemas.microsoft.com/office/drawing/2014/main" id="{C6E13FAD-47AC-45CD-9D72-06CCC30E4DFA}"/>
            </a:ext>
          </a:extLst>
        </xdr:cNvPr>
        <xdr:cNvSpPr>
          <a:spLocks noChangeArrowheads="1"/>
        </xdr:cNvSpPr>
      </xdr:nvSpPr>
      <xdr:spPr bwMode="auto">
        <a:xfrm>
          <a:off x="15944850" y="1077468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60" name="AutoShape 46">
          <a:extLst>
            <a:ext uri="{FF2B5EF4-FFF2-40B4-BE49-F238E27FC236}">
              <a16:creationId xmlns:a16="http://schemas.microsoft.com/office/drawing/2014/main" id="{8F752F8B-7285-4848-A879-AC1D215C45EF}"/>
            </a:ext>
          </a:extLst>
        </xdr:cNvPr>
        <xdr:cNvSpPr>
          <a:spLocks noChangeArrowheads="1"/>
        </xdr:cNvSpPr>
      </xdr:nvSpPr>
      <xdr:spPr bwMode="auto">
        <a:xfrm>
          <a:off x="1768475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62" name="AutoShape 46">
          <a:extLst>
            <a:ext uri="{FF2B5EF4-FFF2-40B4-BE49-F238E27FC236}">
              <a16:creationId xmlns:a16="http://schemas.microsoft.com/office/drawing/2014/main" id="{0CF59A5A-98FF-43D4-B6E0-9FD05425D0F6}"/>
            </a:ext>
          </a:extLst>
        </xdr:cNvPr>
        <xdr:cNvSpPr>
          <a:spLocks noChangeArrowheads="1"/>
        </xdr:cNvSpPr>
      </xdr:nvSpPr>
      <xdr:spPr bwMode="auto">
        <a:xfrm>
          <a:off x="20999450" y="1077468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63" name="AutoShape 46">
          <a:extLst>
            <a:ext uri="{FF2B5EF4-FFF2-40B4-BE49-F238E27FC236}">
              <a16:creationId xmlns:a16="http://schemas.microsoft.com/office/drawing/2014/main" id="{A6DA2B02-A06A-40D3-A757-02CE20794618}"/>
            </a:ext>
          </a:extLst>
        </xdr:cNvPr>
        <xdr:cNvSpPr>
          <a:spLocks noChangeArrowheads="1"/>
        </xdr:cNvSpPr>
      </xdr:nvSpPr>
      <xdr:spPr bwMode="auto">
        <a:xfrm>
          <a:off x="22561550" y="1077468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64" name="AutoShape 46">
          <a:extLst>
            <a:ext uri="{FF2B5EF4-FFF2-40B4-BE49-F238E27FC236}">
              <a16:creationId xmlns:a16="http://schemas.microsoft.com/office/drawing/2014/main" id="{C3C4AFC5-BC22-476B-99A8-E5F9E3780705}"/>
            </a:ext>
          </a:extLst>
        </xdr:cNvPr>
        <xdr:cNvSpPr>
          <a:spLocks noChangeArrowheads="1"/>
        </xdr:cNvSpPr>
      </xdr:nvSpPr>
      <xdr:spPr bwMode="auto">
        <a:xfrm>
          <a:off x="1397000" y="11076305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65" name="AutoShape 46">
          <a:extLst>
            <a:ext uri="{FF2B5EF4-FFF2-40B4-BE49-F238E27FC236}">
              <a16:creationId xmlns:a16="http://schemas.microsoft.com/office/drawing/2014/main" id="{3D45930E-4328-4C8A-9657-0348B9208073}"/>
            </a:ext>
          </a:extLst>
        </xdr:cNvPr>
        <xdr:cNvSpPr>
          <a:spLocks noChangeArrowheads="1"/>
        </xdr:cNvSpPr>
      </xdr:nvSpPr>
      <xdr:spPr bwMode="auto">
        <a:xfrm>
          <a:off x="314960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66" name="AutoShape 46">
          <a:extLst>
            <a:ext uri="{FF2B5EF4-FFF2-40B4-BE49-F238E27FC236}">
              <a16:creationId xmlns:a16="http://schemas.microsoft.com/office/drawing/2014/main" id="{48C19981-680A-4280-8C17-E56BF6C3EE97}"/>
            </a:ext>
          </a:extLst>
        </xdr:cNvPr>
        <xdr:cNvSpPr>
          <a:spLocks noChangeArrowheads="1"/>
        </xdr:cNvSpPr>
      </xdr:nvSpPr>
      <xdr:spPr bwMode="auto">
        <a:xfrm>
          <a:off x="4931833" y="137979150"/>
          <a:ext cx="1227667" cy="556684"/>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67" name="AutoShape 46">
          <a:extLst>
            <a:ext uri="{FF2B5EF4-FFF2-40B4-BE49-F238E27FC236}">
              <a16:creationId xmlns:a16="http://schemas.microsoft.com/office/drawing/2014/main" id="{AF2AEEC2-7747-4305-9E15-6491E6C5249C}"/>
            </a:ext>
          </a:extLst>
        </xdr:cNvPr>
        <xdr:cNvSpPr>
          <a:spLocks noChangeArrowheads="1"/>
        </xdr:cNvSpPr>
      </xdr:nvSpPr>
      <xdr:spPr bwMode="auto">
        <a:xfrm>
          <a:off x="6273800" y="11076305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68" name="AutoShape 46">
          <a:extLst>
            <a:ext uri="{FF2B5EF4-FFF2-40B4-BE49-F238E27FC236}">
              <a16:creationId xmlns:a16="http://schemas.microsoft.com/office/drawing/2014/main" id="{599263C1-C3F5-4B4A-B050-4EF6ACCCCB55}"/>
            </a:ext>
          </a:extLst>
        </xdr:cNvPr>
        <xdr:cNvSpPr>
          <a:spLocks noChangeArrowheads="1"/>
        </xdr:cNvSpPr>
      </xdr:nvSpPr>
      <xdr:spPr bwMode="auto">
        <a:xfrm>
          <a:off x="7943850" y="11076305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69" name="AutoShape 46">
          <a:extLst>
            <a:ext uri="{FF2B5EF4-FFF2-40B4-BE49-F238E27FC236}">
              <a16:creationId xmlns:a16="http://schemas.microsoft.com/office/drawing/2014/main" id="{8120C550-1517-4B43-87CF-89008692C9B4}"/>
            </a:ext>
          </a:extLst>
        </xdr:cNvPr>
        <xdr:cNvSpPr>
          <a:spLocks noChangeArrowheads="1"/>
        </xdr:cNvSpPr>
      </xdr:nvSpPr>
      <xdr:spPr bwMode="auto">
        <a:xfrm>
          <a:off x="96964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70" name="AutoShape 46">
          <a:extLst>
            <a:ext uri="{FF2B5EF4-FFF2-40B4-BE49-F238E27FC236}">
              <a16:creationId xmlns:a16="http://schemas.microsoft.com/office/drawing/2014/main" id="{1153F3F6-14D3-4405-A6FB-0B88ADE3F413}"/>
            </a:ext>
          </a:extLst>
        </xdr:cNvPr>
        <xdr:cNvSpPr>
          <a:spLocks noChangeArrowheads="1"/>
        </xdr:cNvSpPr>
      </xdr:nvSpPr>
      <xdr:spPr bwMode="auto">
        <a:xfrm>
          <a:off x="112585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71" name="AutoShape 46">
          <a:extLst>
            <a:ext uri="{FF2B5EF4-FFF2-40B4-BE49-F238E27FC236}">
              <a16:creationId xmlns:a16="http://schemas.microsoft.com/office/drawing/2014/main" id="{8658591E-0C24-4D6A-AB34-B762428E36A8}"/>
            </a:ext>
          </a:extLst>
        </xdr:cNvPr>
        <xdr:cNvSpPr>
          <a:spLocks noChangeArrowheads="1"/>
        </xdr:cNvSpPr>
      </xdr:nvSpPr>
      <xdr:spPr bwMode="auto">
        <a:xfrm>
          <a:off x="128206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72" name="AutoShape 46">
          <a:extLst>
            <a:ext uri="{FF2B5EF4-FFF2-40B4-BE49-F238E27FC236}">
              <a16:creationId xmlns:a16="http://schemas.microsoft.com/office/drawing/2014/main" id="{6E3A0221-F432-43FA-9B92-21E7A668D61B}"/>
            </a:ext>
          </a:extLst>
        </xdr:cNvPr>
        <xdr:cNvSpPr>
          <a:spLocks noChangeArrowheads="1"/>
        </xdr:cNvSpPr>
      </xdr:nvSpPr>
      <xdr:spPr bwMode="auto">
        <a:xfrm>
          <a:off x="128206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3" name="AutoShape 46">
          <a:extLst>
            <a:ext uri="{FF2B5EF4-FFF2-40B4-BE49-F238E27FC236}">
              <a16:creationId xmlns:a16="http://schemas.microsoft.com/office/drawing/2014/main" id="{9133054D-C237-4AA0-A31D-7AEF20841E87}"/>
            </a:ext>
          </a:extLst>
        </xdr:cNvPr>
        <xdr:cNvSpPr>
          <a:spLocks noChangeArrowheads="1"/>
        </xdr:cNvSpPr>
      </xdr:nvSpPr>
      <xdr:spPr bwMode="auto">
        <a:xfrm>
          <a:off x="14382750" y="1107630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4" name="AutoShape 46">
          <a:extLst>
            <a:ext uri="{FF2B5EF4-FFF2-40B4-BE49-F238E27FC236}">
              <a16:creationId xmlns:a16="http://schemas.microsoft.com/office/drawing/2014/main" id="{89E0FA7E-DDFD-4D60-A625-1A551AB5B71E}"/>
            </a:ext>
          </a:extLst>
        </xdr:cNvPr>
        <xdr:cNvSpPr>
          <a:spLocks noChangeArrowheads="1"/>
        </xdr:cNvSpPr>
      </xdr:nvSpPr>
      <xdr:spPr bwMode="auto">
        <a:xfrm>
          <a:off x="15944850" y="11076305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5" name="AutoShape 46">
          <a:extLst>
            <a:ext uri="{FF2B5EF4-FFF2-40B4-BE49-F238E27FC236}">
              <a16:creationId xmlns:a16="http://schemas.microsoft.com/office/drawing/2014/main" id="{22F94D8F-0F4F-4DD7-8FD5-A484AF5BA52F}"/>
            </a:ext>
          </a:extLst>
        </xdr:cNvPr>
        <xdr:cNvSpPr>
          <a:spLocks noChangeArrowheads="1"/>
        </xdr:cNvSpPr>
      </xdr:nvSpPr>
      <xdr:spPr bwMode="auto">
        <a:xfrm>
          <a:off x="17684750" y="1107630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6" name="AutoShape 46">
          <a:extLst>
            <a:ext uri="{FF2B5EF4-FFF2-40B4-BE49-F238E27FC236}">
              <a16:creationId xmlns:a16="http://schemas.microsoft.com/office/drawing/2014/main" id="{83152425-F0A5-4EE2-848F-A4A381919FD1}"/>
            </a:ext>
          </a:extLst>
        </xdr:cNvPr>
        <xdr:cNvSpPr>
          <a:spLocks noChangeArrowheads="1"/>
        </xdr:cNvSpPr>
      </xdr:nvSpPr>
      <xdr:spPr bwMode="auto">
        <a:xfrm>
          <a:off x="19246850" y="11076305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7" name="AutoShape 46">
          <a:extLst>
            <a:ext uri="{FF2B5EF4-FFF2-40B4-BE49-F238E27FC236}">
              <a16:creationId xmlns:a16="http://schemas.microsoft.com/office/drawing/2014/main" id="{6B9D2857-1EBB-47C5-A25F-05560D1F8F89}"/>
            </a:ext>
          </a:extLst>
        </xdr:cNvPr>
        <xdr:cNvSpPr>
          <a:spLocks noChangeArrowheads="1"/>
        </xdr:cNvSpPr>
      </xdr:nvSpPr>
      <xdr:spPr bwMode="auto">
        <a:xfrm>
          <a:off x="20999450" y="11076305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8" name="AutoShape 46">
          <a:extLst>
            <a:ext uri="{FF2B5EF4-FFF2-40B4-BE49-F238E27FC236}">
              <a16:creationId xmlns:a16="http://schemas.microsoft.com/office/drawing/2014/main" id="{F131AF30-4783-4176-867D-917AAC0F1DF4}"/>
            </a:ext>
          </a:extLst>
        </xdr:cNvPr>
        <xdr:cNvSpPr>
          <a:spLocks noChangeArrowheads="1"/>
        </xdr:cNvSpPr>
      </xdr:nvSpPr>
      <xdr:spPr bwMode="auto">
        <a:xfrm>
          <a:off x="22561550" y="11076305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9" name="AutoShape 46">
          <a:extLst>
            <a:ext uri="{FF2B5EF4-FFF2-40B4-BE49-F238E27FC236}">
              <a16:creationId xmlns:a16="http://schemas.microsoft.com/office/drawing/2014/main" id="{0475F0BE-927F-476B-9730-19B347E2F8F5}"/>
            </a:ext>
          </a:extLst>
        </xdr:cNvPr>
        <xdr:cNvSpPr>
          <a:spLocks noChangeArrowheads="1"/>
        </xdr:cNvSpPr>
      </xdr:nvSpPr>
      <xdr:spPr bwMode="auto">
        <a:xfrm>
          <a:off x="143827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80" name="AutoShape 46">
          <a:extLst>
            <a:ext uri="{FF2B5EF4-FFF2-40B4-BE49-F238E27FC236}">
              <a16:creationId xmlns:a16="http://schemas.microsoft.com/office/drawing/2014/main" id="{1B771B87-55AE-4FE8-8A53-4AC4CDC0E41E}"/>
            </a:ext>
          </a:extLst>
        </xdr:cNvPr>
        <xdr:cNvSpPr>
          <a:spLocks noChangeArrowheads="1"/>
        </xdr:cNvSpPr>
      </xdr:nvSpPr>
      <xdr:spPr bwMode="auto">
        <a:xfrm>
          <a:off x="15944850" y="11076305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81" name="AutoShape 46">
          <a:extLst>
            <a:ext uri="{FF2B5EF4-FFF2-40B4-BE49-F238E27FC236}">
              <a16:creationId xmlns:a16="http://schemas.microsoft.com/office/drawing/2014/main" id="{F45093BD-5F1D-487A-8B93-9B2793B8C220}"/>
            </a:ext>
          </a:extLst>
        </xdr:cNvPr>
        <xdr:cNvSpPr>
          <a:spLocks noChangeArrowheads="1"/>
        </xdr:cNvSpPr>
      </xdr:nvSpPr>
      <xdr:spPr bwMode="auto">
        <a:xfrm>
          <a:off x="176847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82" name="AutoShape 46">
          <a:extLst>
            <a:ext uri="{FF2B5EF4-FFF2-40B4-BE49-F238E27FC236}">
              <a16:creationId xmlns:a16="http://schemas.microsoft.com/office/drawing/2014/main" id="{8EB78766-251E-489B-87F4-A5724BCC58EC}"/>
            </a:ext>
          </a:extLst>
        </xdr:cNvPr>
        <xdr:cNvSpPr>
          <a:spLocks noChangeArrowheads="1"/>
        </xdr:cNvSpPr>
      </xdr:nvSpPr>
      <xdr:spPr bwMode="auto">
        <a:xfrm>
          <a:off x="19246850" y="1107630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83" name="AutoShape 46">
          <a:extLst>
            <a:ext uri="{FF2B5EF4-FFF2-40B4-BE49-F238E27FC236}">
              <a16:creationId xmlns:a16="http://schemas.microsoft.com/office/drawing/2014/main" id="{1C20EAFF-0E70-4274-B32D-3C88EAE69D27}"/>
            </a:ext>
          </a:extLst>
        </xdr:cNvPr>
        <xdr:cNvSpPr>
          <a:spLocks noChangeArrowheads="1"/>
        </xdr:cNvSpPr>
      </xdr:nvSpPr>
      <xdr:spPr bwMode="auto">
        <a:xfrm>
          <a:off x="209994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84" name="AutoShape 46">
          <a:extLst>
            <a:ext uri="{FF2B5EF4-FFF2-40B4-BE49-F238E27FC236}">
              <a16:creationId xmlns:a16="http://schemas.microsoft.com/office/drawing/2014/main" id="{9234D6BA-A335-4608-AB9E-4B0BECD1F547}"/>
            </a:ext>
          </a:extLst>
        </xdr:cNvPr>
        <xdr:cNvSpPr>
          <a:spLocks noChangeArrowheads="1"/>
        </xdr:cNvSpPr>
      </xdr:nvSpPr>
      <xdr:spPr bwMode="auto">
        <a:xfrm>
          <a:off x="22561550" y="1107630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85" name="AutoShape 46">
          <a:extLst>
            <a:ext uri="{FF2B5EF4-FFF2-40B4-BE49-F238E27FC236}">
              <a16:creationId xmlns:a16="http://schemas.microsoft.com/office/drawing/2014/main" id="{C12A5696-C831-4F5B-B512-53B23A753A09}"/>
            </a:ext>
          </a:extLst>
        </xdr:cNvPr>
        <xdr:cNvSpPr>
          <a:spLocks noChangeArrowheads="1"/>
        </xdr:cNvSpPr>
      </xdr:nvSpPr>
      <xdr:spPr bwMode="auto">
        <a:xfrm>
          <a:off x="143827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86" name="AutoShape 46">
          <a:extLst>
            <a:ext uri="{FF2B5EF4-FFF2-40B4-BE49-F238E27FC236}">
              <a16:creationId xmlns:a16="http://schemas.microsoft.com/office/drawing/2014/main" id="{94D9EAFD-8FFA-424E-AD2D-60C7ABC91668}"/>
            </a:ext>
          </a:extLst>
        </xdr:cNvPr>
        <xdr:cNvSpPr>
          <a:spLocks noChangeArrowheads="1"/>
        </xdr:cNvSpPr>
      </xdr:nvSpPr>
      <xdr:spPr bwMode="auto">
        <a:xfrm>
          <a:off x="15944850" y="11076305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87" name="AutoShape 46">
          <a:extLst>
            <a:ext uri="{FF2B5EF4-FFF2-40B4-BE49-F238E27FC236}">
              <a16:creationId xmlns:a16="http://schemas.microsoft.com/office/drawing/2014/main" id="{D47DB3E6-9FE1-445C-99CA-8313A9EEF140}"/>
            </a:ext>
          </a:extLst>
        </xdr:cNvPr>
        <xdr:cNvSpPr>
          <a:spLocks noChangeArrowheads="1"/>
        </xdr:cNvSpPr>
      </xdr:nvSpPr>
      <xdr:spPr bwMode="auto">
        <a:xfrm>
          <a:off x="176847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88" name="AutoShape 46">
          <a:extLst>
            <a:ext uri="{FF2B5EF4-FFF2-40B4-BE49-F238E27FC236}">
              <a16:creationId xmlns:a16="http://schemas.microsoft.com/office/drawing/2014/main" id="{73D47773-B1EF-419B-9984-1F5B57220F16}"/>
            </a:ext>
          </a:extLst>
        </xdr:cNvPr>
        <xdr:cNvSpPr>
          <a:spLocks noChangeArrowheads="1"/>
        </xdr:cNvSpPr>
      </xdr:nvSpPr>
      <xdr:spPr bwMode="auto">
        <a:xfrm>
          <a:off x="19246850" y="11076305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89" name="AutoShape 46">
          <a:extLst>
            <a:ext uri="{FF2B5EF4-FFF2-40B4-BE49-F238E27FC236}">
              <a16:creationId xmlns:a16="http://schemas.microsoft.com/office/drawing/2014/main" id="{10D5B6DA-ECBA-41FA-A0FF-06CC835CC0D7}"/>
            </a:ext>
          </a:extLst>
        </xdr:cNvPr>
        <xdr:cNvSpPr>
          <a:spLocks noChangeArrowheads="1"/>
        </xdr:cNvSpPr>
      </xdr:nvSpPr>
      <xdr:spPr bwMode="auto">
        <a:xfrm>
          <a:off x="20999450" y="11076305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90" name="AutoShape 46">
          <a:extLst>
            <a:ext uri="{FF2B5EF4-FFF2-40B4-BE49-F238E27FC236}">
              <a16:creationId xmlns:a16="http://schemas.microsoft.com/office/drawing/2014/main" id="{90B39161-D5BB-4A04-AA65-DFBD3111C944}"/>
            </a:ext>
          </a:extLst>
        </xdr:cNvPr>
        <xdr:cNvSpPr>
          <a:spLocks noChangeArrowheads="1"/>
        </xdr:cNvSpPr>
      </xdr:nvSpPr>
      <xdr:spPr bwMode="auto">
        <a:xfrm>
          <a:off x="22561550" y="11076305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91" name="AutoShape 46">
          <a:extLst>
            <a:ext uri="{FF2B5EF4-FFF2-40B4-BE49-F238E27FC236}">
              <a16:creationId xmlns:a16="http://schemas.microsoft.com/office/drawing/2014/main" id="{86DF333B-97B5-48CA-882D-23C2F6D11D44}"/>
            </a:ext>
          </a:extLst>
        </xdr:cNvPr>
        <xdr:cNvSpPr>
          <a:spLocks noChangeArrowheads="1"/>
        </xdr:cNvSpPr>
      </xdr:nvSpPr>
      <xdr:spPr bwMode="auto">
        <a:xfrm>
          <a:off x="1397000" y="1136777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92" name="AutoShape 46">
          <a:extLst>
            <a:ext uri="{FF2B5EF4-FFF2-40B4-BE49-F238E27FC236}">
              <a16:creationId xmlns:a16="http://schemas.microsoft.com/office/drawing/2014/main" id="{1E88EB32-DFE9-4858-90BE-EE7EB5AA1238}"/>
            </a:ext>
          </a:extLst>
        </xdr:cNvPr>
        <xdr:cNvSpPr>
          <a:spLocks noChangeArrowheads="1"/>
        </xdr:cNvSpPr>
      </xdr:nvSpPr>
      <xdr:spPr bwMode="auto">
        <a:xfrm>
          <a:off x="314960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93" name="AutoShape 46">
          <a:extLst>
            <a:ext uri="{FF2B5EF4-FFF2-40B4-BE49-F238E27FC236}">
              <a16:creationId xmlns:a16="http://schemas.microsoft.com/office/drawing/2014/main" id="{8F7132F9-4E2C-4E82-BD17-931C11A49055}"/>
            </a:ext>
          </a:extLst>
        </xdr:cNvPr>
        <xdr:cNvSpPr>
          <a:spLocks noChangeArrowheads="1"/>
        </xdr:cNvSpPr>
      </xdr:nvSpPr>
      <xdr:spPr bwMode="auto">
        <a:xfrm>
          <a:off x="471170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94" name="AutoShape 46">
          <a:extLst>
            <a:ext uri="{FF2B5EF4-FFF2-40B4-BE49-F238E27FC236}">
              <a16:creationId xmlns:a16="http://schemas.microsoft.com/office/drawing/2014/main" id="{3F8B18D5-8F99-4348-88A3-F71A9D6D0703}"/>
            </a:ext>
          </a:extLst>
        </xdr:cNvPr>
        <xdr:cNvSpPr>
          <a:spLocks noChangeArrowheads="1"/>
        </xdr:cNvSpPr>
      </xdr:nvSpPr>
      <xdr:spPr bwMode="auto">
        <a:xfrm>
          <a:off x="6273800" y="11367770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95" name="AutoShape 46">
          <a:extLst>
            <a:ext uri="{FF2B5EF4-FFF2-40B4-BE49-F238E27FC236}">
              <a16:creationId xmlns:a16="http://schemas.microsoft.com/office/drawing/2014/main" id="{92D8DDA4-923F-41A6-95D0-364633F7DED6}"/>
            </a:ext>
          </a:extLst>
        </xdr:cNvPr>
        <xdr:cNvSpPr>
          <a:spLocks noChangeArrowheads="1"/>
        </xdr:cNvSpPr>
      </xdr:nvSpPr>
      <xdr:spPr bwMode="auto">
        <a:xfrm>
          <a:off x="7943850" y="1136777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96" name="AutoShape 46">
          <a:extLst>
            <a:ext uri="{FF2B5EF4-FFF2-40B4-BE49-F238E27FC236}">
              <a16:creationId xmlns:a16="http://schemas.microsoft.com/office/drawing/2014/main" id="{B4434483-BE2C-4511-A4AD-DFE24971FED2}"/>
            </a:ext>
          </a:extLst>
        </xdr:cNvPr>
        <xdr:cNvSpPr>
          <a:spLocks noChangeArrowheads="1"/>
        </xdr:cNvSpPr>
      </xdr:nvSpPr>
      <xdr:spPr bwMode="auto">
        <a:xfrm>
          <a:off x="96964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97" name="AutoShape 46">
          <a:extLst>
            <a:ext uri="{FF2B5EF4-FFF2-40B4-BE49-F238E27FC236}">
              <a16:creationId xmlns:a16="http://schemas.microsoft.com/office/drawing/2014/main" id="{21661271-EEA0-42C5-A9C8-832CFC943182}"/>
            </a:ext>
          </a:extLst>
        </xdr:cNvPr>
        <xdr:cNvSpPr>
          <a:spLocks noChangeArrowheads="1"/>
        </xdr:cNvSpPr>
      </xdr:nvSpPr>
      <xdr:spPr bwMode="auto">
        <a:xfrm>
          <a:off x="112585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98" name="AutoShape 46">
          <a:extLst>
            <a:ext uri="{FF2B5EF4-FFF2-40B4-BE49-F238E27FC236}">
              <a16:creationId xmlns:a16="http://schemas.microsoft.com/office/drawing/2014/main" id="{652EE5DF-6B1E-474F-9573-78362BEE9F40}"/>
            </a:ext>
          </a:extLst>
        </xdr:cNvPr>
        <xdr:cNvSpPr>
          <a:spLocks noChangeArrowheads="1"/>
        </xdr:cNvSpPr>
      </xdr:nvSpPr>
      <xdr:spPr bwMode="auto">
        <a:xfrm>
          <a:off x="128206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99" name="AutoShape 46">
          <a:extLst>
            <a:ext uri="{FF2B5EF4-FFF2-40B4-BE49-F238E27FC236}">
              <a16:creationId xmlns:a16="http://schemas.microsoft.com/office/drawing/2014/main" id="{F8293BE3-ED0E-4799-96ED-E99BDC47E6B9}"/>
            </a:ext>
          </a:extLst>
        </xdr:cNvPr>
        <xdr:cNvSpPr>
          <a:spLocks noChangeArrowheads="1"/>
        </xdr:cNvSpPr>
      </xdr:nvSpPr>
      <xdr:spPr bwMode="auto">
        <a:xfrm>
          <a:off x="12820650" y="113677700"/>
          <a:ext cx="78105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1000" name="AutoShape 46">
          <a:extLst>
            <a:ext uri="{FF2B5EF4-FFF2-40B4-BE49-F238E27FC236}">
              <a16:creationId xmlns:a16="http://schemas.microsoft.com/office/drawing/2014/main" id="{89CAA619-4BBD-4B49-A93D-0A0EE48CF6C6}"/>
            </a:ext>
          </a:extLst>
        </xdr:cNvPr>
        <xdr:cNvSpPr>
          <a:spLocks noChangeArrowheads="1"/>
        </xdr:cNvSpPr>
      </xdr:nvSpPr>
      <xdr:spPr bwMode="auto">
        <a:xfrm>
          <a:off x="14382750" y="113677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1001" name="AutoShape 46">
          <a:extLst>
            <a:ext uri="{FF2B5EF4-FFF2-40B4-BE49-F238E27FC236}">
              <a16:creationId xmlns:a16="http://schemas.microsoft.com/office/drawing/2014/main" id="{AB441D94-39FE-48E7-9C36-2A39376EAB86}"/>
            </a:ext>
          </a:extLst>
        </xdr:cNvPr>
        <xdr:cNvSpPr>
          <a:spLocks noChangeArrowheads="1"/>
        </xdr:cNvSpPr>
      </xdr:nvSpPr>
      <xdr:spPr bwMode="auto">
        <a:xfrm>
          <a:off x="15944850" y="1136777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1002" name="AutoShape 46">
          <a:extLst>
            <a:ext uri="{FF2B5EF4-FFF2-40B4-BE49-F238E27FC236}">
              <a16:creationId xmlns:a16="http://schemas.microsoft.com/office/drawing/2014/main" id="{9A02CCEE-AA0C-4D4B-9F1A-5EB869182CA4}"/>
            </a:ext>
          </a:extLst>
        </xdr:cNvPr>
        <xdr:cNvSpPr>
          <a:spLocks noChangeArrowheads="1"/>
        </xdr:cNvSpPr>
      </xdr:nvSpPr>
      <xdr:spPr bwMode="auto">
        <a:xfrm>
          <a:off x="17684750" y="113677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1003" name="AutoShape 46">
          <a:extLst>
            <a:ext uri="{FF2B5EF4-FFF2-40B4-BE49-F238E27FC236}">
              <a16:creationId xmlns:a16="http://schemas.microsoft.com/office/drawing/2014/main" id="{0B3F6AB1-AD0D-448A-9CF1-615F946A0653}"/>
            </a:ext>
          </a:extLst>
        </xdr:cNvPr>
        <xdr:cNvSpPr>
          <a:spLocks noChangeArrowheads="1"/>
        </xdr:cNvSpPr>
      </xdr:nvSpPr>
      <xdr:spPr bwMode="auto">
        <a:xfrm>
          <a:off x="19246850" y="1136777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4" name="AutoShape 46">
          <a:extLst>
            <a:ext uri="{FF2B5EF4-FFF2-40B4-BE49-F238E27FC236}">
              <a16:creationId xmlns:a16="http://schemas.microsoft.com/office/drawing/2014/main" id="{1AAE7C96-EE1A-4B08-BD73-209CC8A66428}"/>
            </a:ext>
          </a:extLst>
        </xdr:cNvPr>
        <xdr:cNvSpPr>
          <a:spLocks noChangeArrowheads="1"/>
        </xdr:cNvSpPr>
      </xdr:nvSpPr>
      <xdr:spPr bwMode="auto">
        <a:xfrm>
          <a:off x="20999450" y="113677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5" name="AutoShape 46">
          <a:extLst>
            <a:ext uri="{FF2B5EF4-FFF2-40B4-BE49-F238E27FC236}">
              <a16:creationId xmlns:a16="http://schemas.microsoft.com/office/drawing/2014/main" id="{331DCA0F-98AC-4656-B18B-785DFC7D3F52}"/>
            </a:ext>
          </a:extLst>
        </xdr:cNvPr>
        <xdr:cNvSpPr>
          <a:spLocks noChangeArrowheads="1"/>
        </xdr:cNvSpPr>
      </xdr:nvSpPr>
      <xdr:spPr bwMode="auto">
        <a:xfrm>
          <a:off x="22561550" y="1136777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1006" name="AutoShape 46">
          <a:extLst>
            <a:ext uri="{FF2B5EF4-FFF2-40B4-BE49-F238E27FC236}">
              <a16:creationId xmlns:a16="http://schemas.microsoft.com/office/drawing/2014/main" id="{82F58CA5-2785-4104-B155-7BBDD236B585}"/>
            </a:ext>
          </a:extLst>
        </xdr:cNvPr>
        <xdr:cNvSpPr>
          <a:spLocks noChangeArrowheads="1"/>
        </xdr:cNvSpPr>
      </xdr:nvSpPr>
      <xdr:spPr bwMode="auto">
        <a:xfrm>
          <a:off x="143827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1008" name="AutoShape 46">
          <a:extLst>
            <a:ext uri="{FF2B5EF4-FFF2-40B4-BE49-F238E27FC236}">
              <a16:creationId xmlns:a16="http://schemas.microsoft.com/office/drawing/2014/main" id="{8B65B033-5BD0-4806-9AA2-D0713C42A334}"/>
            </a:ext>
          </a:extLst>
        </xdr:cNvPr>
        <xdr:cNvSpPr>
          <a:spLocks noChangeArrowheads="1"/>
        </xdr:cNvSpPr>
      </xdr:nvSpPr>
      <xdr:spPr bwMode="auto">
        <a:xfrm>
          <a:off x="176847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1009" name="AutoShape 46">
          <a:extLst>
            <a:ext uri="{FF2B5EF4-FFF2-40B4-BE49-F238E27FC236}">
              <a16:creationId xmlns:a16="http://schemas.microsoft.com/office/drawing/2014/main" id="{86DA4C38-4223-46D6-8115-0CE10E6D1B43}"/>
            </a:ext>
          </a:extLst>
        </xdr:cNvPr>
        <xdr:cNvSpPr>
          <a:spLocks noChangeArrowheads="1"/>
        </xdr:cNvSpPr>
      </xdr:nvSpPr>
      <xdr:spPr bwMode="auto">
        <a:xfrm>
          <a:off x="19246850" y="1136777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10" name="AutoShape 46">
          <a:extLst>
            <a:ext uri="{FF2B5EF4-FFF2-40B4-BE49-F238E27FC236}">
              <a16:creationId xmlns:a16="http://schemas.microsoft.com/office/drawing/2014/main" id="{A38DCF9C-4AA7-4B0D-891B-3F8BFBE1847B}"/>
            </a:ext>
          </a:extLst>
        </xdr:cNvPr>
        <xdr:cNvSpPr>
          <a:spLocks noChangeArrowheads="1"/>
        </xdr:cNvSpPr>
      </xdr:nvSpPr>
      <xdr:spPr bwMode="auto">
        <a:xfrm>
          <a:off x="209994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11" name="AutoShape 46">
          <a:extLst>
            <a:ext uri="{FF2B5EF4-FFF2-40B4-BE49-F238E27FC236}">
              <a16:creationId xmlns:a16="http://schemas.microsoft.com/office/drawing/2014/main" id="{FFC7EEAC-4FE1-4ED2-A4F3-0E2DBBE77319}"/>
            </a:ext>
          </a:extLst>
        </xdr:cNvPr>
        <xdr:cNvSpPr>
          <a:spLocks noChangeArrowheads="1"/>
        </xdr:cNvSpPr>
      </xdr:nvSpPr>
      <xdr:spPr bwMode="auto">
        <a:xfrm>
          <a:off x="22561550" y="1136777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1012" name="AutoShape 46">
          <a:extLst>
            <a:ext uri="{FF2B5EF4-FFF2-40B4-BE49-F238E27FC236}">
              <a16:creationId xmlns:a16="http://schemas.microsoft.com/office/drawing/2014/main" id="{4C3513E0-33F1-4B77-8EDB-576E2B359D11}"/>
            </a:ext>
          </a:extLst>
        </xdr:cNvPr>
        <xdr:cNvSpPr>
          <a:spLocks noChangeArrowheads="1"/>
        </xdr:cNvSpPr>
      </xdr:nvSpPr>
      <xdr:spPr bwMode="auto">
        <a:xfrm>
          <a:off x="143827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1014" name="AutoShape 46">
          <a:extLst>
            <a:ext uri="{FF2B5EF4-FFF2-40B4-BE49-F238E27FC236}">
              <a16:creationId xmlns:a16="http://schemas.microsoft.com/office/drawing/2014/main" id="{632E173E-CAE9-4126-86DF-8B4BA7D4D493}"/>
            </a:ext>
          </a:extLst>
        </xdr:cNvPr>
        <xdr:cNvSpPr>
          <a:spLocks noChangeArrowheads="1"/>
        </xdr:cNvSpPr>
      </xdr:nvSpPr>
      <xdr:spPr bwMode="auto">
        <a:xfrm>
          <a:off x="176847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1015" name="AutoShape 46">
          <a:extLst>
            <a:ext uri="{FF2B5EF4-FFF2-40B4-BE49-F238E27FC236}">
              <a16:creationId xmlns:a16="http://schemas.microsoft.com/office/drawing/2014/main" id="{5994F702-6F4F-4D3F-994D-C507861C3C1A}"/>
            </a:ext>
          </a:extLst>
        </xdr:cNvPr>
        <xdr:cNvSpPr>
          <a:spLocks noChangeArrowheads="1"/>
        </xdr:cNvSpPr>
      </xdr:nvSpPr>
      <xdr:spPr bwMode="auto">
        <a:xfrm>
          <a:off x="19246850" y="1136777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16" name="AutoShape 46">
          <a:extLst>
            <a:ext uri="{FF2B5EF4-FFF2-40B4-BE49-F238E27FC236}">
              <a16:creationId xmlns:a16="http://schemas.microsoft.com/office/drawing/2014/main" id="{C03562CE-DFF6-458D-B168-1C15BD948441}"/>
            </a:ext>
          </a:extLst>
        </xdr:cNvPr>
        <xdr:cNvSpPr>
          <a:spLocks noChangeArrowheads="1"/>
        </xdr:cNvSpPr>
      </xdr:nvSpPr>
      <xdr:spPr bwMode="auto">
        <a:xfrm>
          <a:off x="20999450" y="113677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17" name="AutoShape 46">
          <a:extLst>
            <a:ext uri="{FF2B5EF4-FFF2-40B4-BE49-F238E27FC236}">
              <a16:creationId xmlns:a16="http://schemas.microsoft.com/office/drawing/2014/main" id="{11625CAE-D9DF-40B7-9C48-C7C14E23252A}"/>
            </a:ext>
          </a:extLst>
        </xdr:cNvPr>
        <xdr:cNvSpPr>
          <a:spLocks noChangeArrowheads="1"/>
        </xdr:cNvSpPr>
      </xdr:nvSpPr>
      <xdr:spPr bwMode="auto">
        <a:xfrm>
          <a:off x="22561550" y="1136777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18" name="AutoShape 46">
          <a:extLst>
            <a:ext uri="{FF2B5EF4-FFF2-40B4-BE49-F238E27FC236}">
              <a16:creationId xmlns:a16="http://schemas.microsoft.com/office/drawing/2014/main" id="{371D3249-C58B-47C2-81D2-652EEBC0DB31}"/>
            </a:ext>
          </a:extLst>
        </xdr:cNvPr>
        <xdr:cNvSpPr>
          <a:spLocks noChangeArrowheads="1"/>
        </xdr:cNvSpPr>
      </xdr:nvSpPr>
      <xdr:spPr bwMode="auto">
        <a:xfrm>
          <a:off x="1397000" y="1166876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19" name="AutoShape 46">
          <a:extLst>
            <a:ext uri="{FF2B5EF4-FFF2-40B4-BE49-F238E27FC236}">
              <a16:creationId xmlns:a16="http://schemas.microsoft.com/office/drawing/2014/main" id="{B2A6F40E-1E27-43E3-9C40-B39A3D0051E3}"/>
            </a:ext>
          </a:extLst>
        </xdr:cNvPr>
        <xdr:cNvSpPr>
          <a:spLocks noChangeArrowheads="1"/>
        </xdr:cNvSpPr>
      </xdr:nvSpPr>
      <xdr:spPr bwMode="auto">
        <a:xfrm>
          <a:off x="314960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20" name="AutoShape 46">
          <a:extLst>
            <a:ext uri="{FF2B5EF4-FFF2-40B4-BE49-F238E27FC236}">
              <a16:creationId xmlns:a16="http://schemas.microsoft.com/office/drawing/2014/main" id="{EC07A034-6D8C-4C41-8DE5-897137C4F12F}"/>
            </a:ext>
          </a:extLst>
        </xdr:cNvPr>
        <xdr:cNvSpPr>
          <a:spLocks noChangeArrowheads="1"/>
        </xdr:cNvSpPr>
      </xdr:nvSpPr>
      <xdr:spPr bwMode="auto">
        <a:xfrm>
          <a:off x="471170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21" name="AutoShape 46">
          <a:extLst>
            <a:ext uri="{FF2B5EF4-FFF2-40B4-BE49-F238E27FC236}">
              <a16:creationId xmlns:a16="http://schemas.microsoft.com/office/drawing/2014/main" id="{02EEB60D-E3B9-49FA-8E25-686A2B7AF55F}"/>
            </a:ext>
          </a:extLst>
        </xdr:cNvPr>
        <xdr:cNvSpPr>
          <a:spLocks noChangeArrowheads="1"/>
        </xdr:cNvSpPr>
      </xdr:nvSpPr>
      <xdr:spPr bwMode="auto">
        <a:xfrm>
          <a:off x="6273800" y="116687600"/>
          <a:ext cx="8890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22" name="AutoShape 46">
          <a:extLst>
            <a:ext uri="{FF2B5EF4-FFF2-40B4-BE49-F238E27FC236}">
              <a16:creationId xmlns:a16="http://schemas.microsoft.com/office/drawing/2014/main" id="{DD87E2D5-2498-4C69-965B-FE58C10D2957}"/>
            </a:ext>
          </a:extLst>
        </xdr:cNvPr>
        <xdr:cNvSpPr>
          <a:spLocks noChangeArrowheads="1"/>
        </xdr:cNvSpPr>
      </xdr:nvSpPr>
      <xdr:spPr bwMode="auto">
        <a:xfrm>
          <a:off x="7943850" y="116687600"/>
          <a:ext cx="971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23" name="AutoShape 46">
          <a:extLst>
            <a:ext uri="{FF2B5EF4-FFF2-40B4-BE49-F238E27FC236}">
              <a16:creationId xmlns:a16="http://schemas.microsoft.com/office/drawing/2014/main" id="{BC814814-6EDF-4787-8F9A-62B0607FFA0F}"/>
            </a:ext>
          </a:extLst>
        </xdr:cNvPr>
        <xdr:cNvSpPr>
          <a:spLocks noChangeArrowheads="1"/>
        </xdr:cNvSpPr>
      </xdr:nvSpPr>
      <xdr:spPr bwMode="auto">
        <a:xfrm>
          <a:off x="96964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24" name="AutoShape 46">
          <a:extLst>
            <a:ext uri="{FF2B5EF4-FFF2-40B4-BE49-F238E27FC236}">
              <a16:creationId xmlns:a16="http://schemas.microsoft.com/office/drawing/2014/main" id="{813B4C61-BA0F-4078-8716-C1B699AEF520}"/>
            </a:ext>
          </a:extLst>
        </xdr:cNvPr>
        <xdr:cNvSpPr>
          <a:spLocks noChangeArrowheads="1"/>
        </xdr:cNvSpPr>
      </xdr:nvSpPr>
      <xdr:spPr bwMode="auto">
        <a:xfrm>
          <a:off x="112585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25" name="AutoShape 46">
          <a:extLst>
            <a:ext uri="{FF2B5EF4-FFF2-40B4-BE49-F238E27FC236}">
              <a16:creationId xmlns:a16="http://schemas.microsoft.com/office/drawing/2014/main" id="{45A14195-78C7-4816-A3D9-80BC56B08B40}"/>
            </a:ext>
          </a:extLst>
        </xdr:cNvPr>
        <xdr:cNvSpPr>
          <a:spLocks noChangeArrowheads="1"/>
        </xdr:cNvSpPr>
      </xdr:nvSpPr>
      <xdr:spPr bwMode="auto">
        <a:xfrm>
          <a:off x="128206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26" name="AutoShape 46">
          <a:extLst>
            <a:ext uri="{FF2B5EF4-FFF2-40B4-BE49-F238E27FC236}">
              <a16:creationId xmlns:a16="http://schemas.microsoft.com/office/drawing/2014/main" id="{E3DC9C77-C7AB-4B9D-AF03-1D910C767573}"/>
            </a:ext>
          </a:extLst>
        </xdr:cNvPr>
        <xdr:cNvSpPr>
          <a:spLocks noChangeArrowheads="1"/>
        </xdr:cNvSpPr>
      </xdr:nvSpPr>
      <xdr:spPr bwMode="auto">
        <a:xfrm>
          <a:off x="128206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7" name="AutoShape 46">
          <a:extLst>
            <a:ext uri="{FF2B5EF4-FFF2-40B4-BE49-F238E27FC236}">
              <a16:creationId xmlns:a16="http://schemas.microsoft.com/office/drawing/2014/main" id="{7FB39172-5C36-49AC-86E3-44945A55EAF4}"/>
            </a:ext>
          </a:extLst>
        </xdr:cNvPr>
        <xdr:cNvSpPr>
          <a:spLocks noChangeArrowheads="1"/>
        </xdr:cNvSpPr>
      </xdr:nvSpPr>
      <xdr:spPr bwMode="auto">
        <a:xfrm>
          <a:off x="14382750" y="116687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8" name="AutoShape 46">
          <a:extLst>
            <a:ext uri="{FF2B5EF4-FFF2-40B4-BE49-F238E27FC236}">
              <a16:creationId xmlns:a16="http://schemas.microsoft.com/office/drawing/2014/main" id="{CD251EB8-32C0-4ECE-AC93-D580A6605CDB}"/>
            </a:ext>
          </a:extLst>
        </xdr:cNvPr>
        <xdr:cNvSpPr>
          <a:spLocks noChangeArrowheads="1"/>
        </xdr:cNvSpPr>
      </xdr:nvSpPr>
      <xdr:spPr bwMode="auto">
        <a:xfrm>
          <a:off x="15944850" y="116687600"/>
          <a:ext cx="9588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9" name="AutoShape 46">
          <a:extLst>
            <a:ext uri="{FF2B5EF4-FFF2-40B4-BE49-F238E27FC236}">
              <a16:creationId xmlns:a16="http://schemas.microsoft.com/office/drawing/2014/main" id="{74F2DB70-6FA4-42E6-993A-CC19036E9FE6}"/>
            </a:ext>
          </a:extLst>
        </xdr:cNvPr>
        <xdr:cNvSpPr>
          <a:spLocks noChangeArrowheads="1"/>
        </xdr:cNvSpPr>
      </xdr:nvSpPr>
      <xdr:spPr bwMode="auto">
        <a:xfrm>
          <a:off x="17684750" y="116687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30" name="AutoShape 46">
          <a:extLst>
            <a:ext uri="{FF2B5EF4-FFF2-40B4-BE49-F238E27FC236}">
              <a16:creationId xmlns:a16="http://schemas.microsoft.com/office/drawing/2014/main" id="{D674E4BD-C07D-474B-8ED6-5C0C4B1303F5}"/>
            </a:ext>
          </a:extLst>
        </xdr:cNvPr>
        <xdr:cNvSpPr>
          <a:spLocks noChangeArrowheads="1"/>
        </xdr:cNvSpPr>
      </xdr:nvSpPr>
      <xdr:spPr bwMode="auto">
        <a:xfrm>
          <a:off x="19246850" y="116687600"/>
          <a:ext cx="844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31" name="AutoShape 46">
          <a:extLst>
            <a:ext uri="{FF2B5EF4-FFF2-40B4-BE49-F238E27FC236}">
              <a16:creationId xmlns:a16="http://schemas.microsoft.com/office/drawing/2014/main" id="{65B8D3ED-2ED4-4EB3-B821-38B5F71AC55A}"/>
            </a:ext>
          </a:extLst>
        </xdr:cNvPr>
        <xdr:cNvSpPr>
          <a:spLocks noChangeArrowheads="1"/>
        </xdr:cNvSpPr>
      </xdr:nvSpPr>
      <xdr:spPr bwMode="auto">
        <a:xfrm>
          <a:off x="22561550" y="1166876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32" name="AutoShape 46">
          <a:extLst>
            <a:ext uri="{FF2B5EF4-FFF2-40B4-BE49-F238E27FC236}">
              <a16:creationId xmlns:a16="http://schemas.microsoft.com/office/drawing/2014/main" id="{8BD0514C-6F84-41F8-8F8B-C2D1E0807D14}"/>
            </a:ext>
          </a:extLst>
        </xdr:cNvPr>
        <xdr:cNvSpPr>
          <a:spLocks noChangeArrowheads="1"/>
        </xdr:cNvSpPr>
      </xdr:nvSpPr>
      <xdr:spPr bwMode="auto">
        <a:xfrm>
          <a:off x="24218900" y="1166876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33" name="AutoShape 46">
          <a:extLst>
            <a:ext uri="{FF2B5EF4-FFF2-40B4-BE49-F238E27FC236}">
              <a16:creationId xmlns:a16="http://schemas.microsoft.com/office/drawing/2014/main" id="{6C4EBF9E-389D-4021-B35B-384FDA099D71}"/>
            </a:ext>
          </a:extLst>
        </xdr:cNvPr>
        <xdr:cNvSpPr>
          <a:spLocks noChangeArrowheads="1"/>
        </xdr:cNvSpPr>
      </xdr:nvSpPr>
      <xdr:spPr bwMode="auto">
        <a:xfrm>
          <a:off x="14382750" y="1166876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34" name="AutoShape 46">
          <a:extLst>
            <a:ext uri="{FF2B5EF4-FFF2-40B4-BE49-F238E27FC236}">
              <a16:creationId xmlns:a16="http://schemas.microsoft.com/office/drawing/2014/main" id="{277C7D44-4E44-4C82-8EDC-1EB24EE34B75}"/>
            </a:ext>
          </a:extLst>
        </xdr:cNvPr>
        <xdr:cNvSpPr>
          <a:spLocks noChangeArrowheads="1"/>
        </xdr:cNvSpPr>
      </xdr:nvSpPr>
      <xdr:spPr bwMode="auto">
        <a:xfrm>
          <a:off x="15944850" y="116687600"/>
          <a:ext cx="9588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35" name="AutoShape 46">
          <a:extLst>
            <a:ext uri="{FF2B5EF4-FFF2-40B4-BE49-F238E27FC236}">
              <a16:creationId xmlns:a16="http://schemas.microsoft.com/office/drawing/2014/main" id="{C42896F2-6261-4542-A79B-D64077DF2935}"/>
            </a:ext>
          </a:extLst>
        </xdr:cNvPr>
        <xdr:cNvSpPr>
          <a:spLocks noChangeArrowheads="1"/>
        </xdr:cNvSpPr>
      </xdr:nvSpPr>
      <xdr:spPr bwMode="auto">
        <a:xfrm>
          <a:off x="176847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36" name="AutoShape 46">
          <a:extLst>
            <a:ext uri="{FF2B5EF4-FFF2-40B4-BE49-F238E27FC236}">
              <a16:creationId xmlns:a16="http://schemas.microsoft.com/office/drawing/2014/main" id="{4DDA9569-C130-4473-B822-B7601204867F}"/>
            </a:ext>
          </a:extLst>
        </xdr:cNvPr>
        <xdr:cNvSpPr>
          <a:spLocks noChangeArrowheads="1"/>
        </xdr:cNvSpPr>
      </xdr:nvSpPr>
      <xdr:spPr bwMode="auto">
        <a:xfrm>
          <a:off x="19246850" y="1166876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37" name="AutoShape 46">
          <a:extLst>
            <a:ext uri="{FF2B5EF4-FFF2-40B4-BE49-F238E27FC236}">
              <a16:creationId xmlns:a16="http://schemas.microsoft.com/office/drawing/2014/main" id="{73ABDF27-E5CF-4E85-8035-F7E96AD00AC5}"/>
            </a:ext>
          </a:extLst>
        </xdr:cNvPr>
        <xdr:cNvSpPr>
          <a:spLocks noChangeArrowheads="1"/>
        </xdr:cNvSpPr>
      </xdr:nvSpPr>
      <xdr:spPr bwMode="auto">
        <a:xfrm>
          <a:off x="22561550" y="116687600"/>
          <a:ext cx="8763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38" name="AutoShape 46">
          <a:extLst>
            <a:ext uri="{FF2B5EF4-FFF2-40B4-BE49-F238E27FC236}">
              <a16:creationId xmlns:a16="http://schemas.microsoft.com/office/drawing/2014/main" id="{5086D1A2-6A3C-4606-8270-3B81DD832EE2}"/>
            </a:ext>
          </a:extLst>
        </xdr:cNvPr>
        <xdr:cNvSpPr>
          <a:spLocks noChangeArrowheads="1"/>
        </xdr:cNvSpPr>
      </xdr:nvSpPr>
      <xdr:spPr bwMode="auto">
        <a:xfrm>
          <a:off x="24218900" y="1166876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39" name="AutoShape 46">
          <a:extLst>
            <a:ext uri="{FF2B5EF4-FFF2-40B4-BE49-F238E27FC236}">
              <a16:creationId xmlns:a16="http://schemas.microsoft.com/office/drawing/2014/main" id="{9F3FDE82-27BC-47CD-8438-380AC5A1609F}"/>
            </a:ext>
          </a:extLst>
        </xdr:cNvPr>
        <xdr:cNvSpPr>
          <a:spLocks noChangeArrowheads="1"/>
        </xdr:cNvSpPr>
      </xdr:nvSpPr>
      <xdr:spPr bwMode="auto">
        <a:xfrm>
          <a:off x="143827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40" name="AutoShape 46">
          <a:extLst>
            <a:ext uri="{FF2B5EF4-FFF2-40B4-BE49-F238E27FC236}">
              <a16:creationId xmlns:a16="http://schemas.microsoft.com/office/drawing/2014/main" id="{A8C59883-29E5-4080-B4AD-A4D5861D8BC4}"/>
            </a:ext>
          </a:extLst>
        </xdr:cNvPr>
        <xdr:cNvSpPr>
          <a:spLocks noChangeArrowheads="1"/>
        </xdr:cNvSpPr>
      </xdr:nvSpPr>
      <xdr:spPr bwMode="auto">
        <a:xfrm>
          <a:off x="15944850" y="116687600"/>
          <a:ext cx="9588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41" name="AutoShape 46">
          <a:extLst>
            <a:ext uri="{FF2B5EF4-FFF2-40B4-BE49-F238E27FC236}">
              <a16:creationId xmlns:a16="http://schemas.microsoft.com/office/drawing/2014/main" id="{93CF0930-928D-41DC-93DC-9402C27DE58D}"/>
            </a:ext>
          </a:extLst>
        </xdr:cNvPr>
        <xdr:cNvSpPr>
          <a:spLocks noChangeArrowheads="1"/>
        </xdr:cNvSpPr>
      </xdr:nvSpPr>
      <xdr:spPr bwMode="auto">
        <a:xfrm>
          <a:off x="176847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42" name="AutoShape 46">
          <a:extLst>
            <a:ext uri="{FF2B5EF4-FFF2-40B4-BE49-F238E27FC236}">
              <a16:creationId xmlns:a16="http://schemas.microsoft.com/office/drawing/2014/main" id="{859CC0B7-82D3-4E2C-A65F-CE54E3DBF527}"/>
            </a:ext>
          </a:extLst>
        </xdr:cNvPr>
        <xdr:cNvSpPr>
          <a:spLocks noChangeArrowheads="1"/>
        </xdr:cNvSpPr>
      </xdr:nvSpPr>
      <xdr:spPr bwMode="auto">
        <a:xfrm>
          <a:off x="19246850" y="116687600"/>
          <a:ext cx="844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43" name="AutoShape 46">
          <a:extLst>
            <a:ext uri="{FF2B5EF4-FFF2-40B4-BE49-F238E27FC236}">
              <a16:creationId xmlns:a16="http://schemas.microsoft.com/office/drawing/2014/main" id="{99F89C90-A7B2-4EB0-8611-7A7629AAB3B3}"/>
            </a:ext>
          </a:extLst>
        </xdr:cNvPr>
        <xdr:cNvSpPr>
          <a:spLocks noChangeArrowheads="1"/>
        </xdr:cNvSpPr>
      </xdr:nvSpPr>
      <xdr:spPr bwMode="auto">
        <a:xfrm>
          <a:off x="22561550" y="116687600"/>
          <a:ext cx="8763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44" name="AutoShape 46">
          <a:extLst>
            <a:ext uri="{FF2B5EF4-FFF2-40B4-BE49-F238E27FC236}">
              <a16:creationId xmlns:a16="http://schemas.microsoft.com/office/drawing/2014/main" id="{FE65F659-9A8C-4ADA-BC8F-9A3170DB6FFB}"/>
            </a:ext>
          </a:extLst>
        </xdr:cNvPr>
        <xdr:cNvSpPr>
          <a:spLocks noChangeArrowheads="1"/>
        </xdr:cNvSpPr>
      </xdr:nvSpPr>
      <xdr:spPr bwMode="auto">
        <a:xfrm>
          <a:off x="24218900" y="1166876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45" name="AutoShape 46">
          <a:extLst>
            <a:ext uri="{FF2B5EF4-FFF2-40B4-BE49-F238E27FC236}">
              <a16:creationId xmlns:a16="http://schemas.microsoft.com/office/drawing/2014/main" id="{006499C5-1C61-4687-953C-07D379FA9B1A}"/>
            </a:ext>
          </a:extLst>
        </xdr:cNvPr>
        <xdr:cNvSpPr>
          <a:spLocks noChangeArrowheads="1"/>
        </xdr:cNvSpPr>
      </xdr:nvSpPr>
      <xdr:spPr bwMode="auto">
        <a:xfrm>
          <a:off x="777875" y="149456775"/>
          <a:ext cx="1238250"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46" name="AutoShape 46">
          <a:extLst>
            <a:ext uri="{FF2B5EF4-FFF2-40B4-BE49-F238E27FC236}">
              <a16:creationId xmlns:a16="http://schemas.microsoft.com/office/drawing/2014/main" id="{4D9AE1A7-EFE5-4CE8-9A8A-2B48A393A455}"/>
            </a:ext>
          </a:extLst>
        </xdr:cNvPr>
        <xdr:cNvSpPr>
          <a:spLocks noChangeArrowheads="1"/>
        </xdr:cNvSpPr>
      </xdr:nvSpPr>
      <xdr:spPr bwMode="auto">
        <a:xfrm>
          <a:off x="2795443" y="149387984"/>
          <a:ext cx="1157432" cy="536479"/>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47" name="AutoShape 46">
          <a:extLst>
            <a:ext uri="{FF2B5EF4-FFF2-40B4-BE49-F238E27FC236}">
              <a16:creationId xmlns:a16="http://schemas.microsoft.com/office/drawing/2014/main" id="{D6A83F9C-5BE7-4A73-8EE7-4AC9093B65B9}"/>
            </a:ext>
          </a:extLst>
        </xdr:cNvPr>
        <xdr:cNvSpPr>
          <a:spLocks noChangeArrowheads="1"/>
        </xdr:cNvSpPr>
      </xdr:nvSpPr>
      <xdr:spPr bwMode="auto">
        <a:xfrm>
          <a:off x="4852459" y="149033441"/>
          <a:ext cx="1375833" cy="552354"/>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48" name="AutoShape 46">
          <a:extLst>
            <a:ext uri="{FF2B5EF4-FFF2-40B4-BE49-F238E27FC236}">
              <a16:creationId xmlns:a16="http://schemas.microsoft.com/office/drawing/2014/main" id="{BC6D18A7-35D1-4D4C-AAE3-3BE6C439AD9D}"/>
            </a:ext>
          </a:extLst>
        </xdr:cNvPr>
        <xdr:cNvSpPr>
          <a:spLocks noChangeArrowheads="1"/>
        </xdr:cNvSpPr>
      </xdr:nvSpPr>
      <xdr:spPr bwMode="auto">
        <a:xfrm>
          <a:off x="6937375" y="149504400"/>
          <a:ext cx="1238250"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49" name="AutoShape 46">
          <a:extLst>
            <a:ext uri="{FF2B5EF4-FFF2-40B4-BE49-F238E27FC236}">
              <a16:creationId xmlns:a16="http://schemas.microsoft.com/office/drawing/2014/main" id="{5FBA535B-C135-42D1-BEE2-6F364DC6DB83}"/>
            </a:ext>
          </a:extLst>
        </xdr:cNvPr>
        <xdr:cNvSpPr>
          <a:spLocks noChangeArrowheads="1"/>
        </xdr:cNvSpPr>
      </xdr:nvSpPr>
      <xdr:spPr bwMode="auto">
        <a:xfrm>
          <a:off x="9286875" y="149440900"/>
          <a:ext cx="1238250"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50" name="AutoShape 46">
          <a:extLst>
            <a:ext uri="{FF2B5EF4-FFF2-40B4-BE49-F238E27FC236}">
              <a16:creationId xmlns:a16="http://schemas.microsoft.com/office/drawing/2014/main" id="{736A7FC4-968B-478D-9143-9F15D5B4EC2F}"/>
            </a:ext>
          </a:extLst>
        </xdr:cNvPr>
        <xdr:cNvSpPr>
          <a:spLocks noChangeArrowheads="1"/>
        </xdr:cNvSpPr>
      </xdr:nvSpPr>
      <xdr:spPr bwMode="auto">
        <a:xfrm>
          <a:off x="11303000" y="149488525"/>
          <a:ext cx="1238250"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51" name="AutoShape 46">
          <a:extLst>
            <a:ext uri="{FF2B5EF4-FFF2-40B4-BE49-F238E27FC236}">
              <a16:creationId xmlns:a16="http://schemas.microsoft.com/office/drawing/2014/main" id="{16024337-9D7E-48A0-A63D-3FA7B4D3A48E}"/>
            </a:ext>
          </a:extLst>
        </xdr:cNvPr>
        <xdr:cNvSpPr>
          <a:spLocks noChangeArrowheads="1"/>
        </xdr:cNvSpPr>
      </xdr:nvSpPr>
      <xdr:spPr bwMode="auto">
        <a:xfrm>
          <a:off x="13303250" y="149456775"/>
          <a:ext cx="1238250"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52" name="Oval 1051">
          <a:extLst>
            <a:ext uri="{FF2B5EF4-FFF2-40B4-BE49-F238E27FC236}">
              <a16:creationId xmlns:a16="http://schemas.microsoft.com/office/drawing/2014/main" id="{DA163812-EE57-4EA4-9365-FAD93B504031}"/>
            </a:ext>
          </a:extLst>
        </xdr:cNvPr>
        <xdr:cNvSpPr/>
      </xdr:nvSpPr>
      <xdr:spPr>
        <a:xfrm>
          <a:off x="17136533" y="21124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53" name="Group 1052">
          <a:extLst>
            <a:ext uri="{FF2B5EF4-FFF2-40B4-BE49-F238E27FC236}">
              <a16:creationId xmlns:a16="http://schemas.microsoft.com/office/drawing/2014/main" id="{864F7D71-460E-45D4-B122-A44BC416D389}"/>
            </a:ext>
          </a:extLst>
        </xdr:cNvPr>
        <xdr:cNvGrpSpPr/>
      </xdr:nvGrpSpPr>
      <xdr:grpSpPr>
        <a:xfrm>
          <a:off x="19305058" y="1533677"/>
          <a:ext cx="9702936" cy="4931833"/>
          <a:chOff x="10153650" y="1536195"/>
          <a:chExt cx="2552700" cy="2203955"/>
        </a:xfrm>
      </xdr:grpSpPr>
      <xdr:sp macro="" textlink="">
        <xdr:nvSpPr>
          <xdr:cNvPr id="1054" name="Rectangle 10693">
            <a:extLst>
              <a:ext uri="{FF2B5EF4-FFF2-40B4-BE49-F238E27FC236}">
                <a16:creationId xmlns:a16="http://schemas.microsoft.com/office/drawing/2014/main" id="{898F3D7B-1DFA-8D11-6FDB-1A59D7E8A9B8}"/>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55" name="Rectangle 10709">
            <a:extLst>
              <a:ext uri="{FF2B5EF4-FFF2-40B4-BE49-F238E27FC236}">
                <a16:creationId xmlns:a16="http://schemas.microsoft.com/office/drawing/2014/main" id="{478A5B33-0E58-62D5-0C5B-6A7C58FAE1C4}"/>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56" name="Group 1055">
            <a:extLst>
              <a:ext uri="{FF2B5EF4-FFF2-40B4-BE49-F238E27FC236}">
                <a16:creationId xmlns:a16="http://schemas.microsoft.com/office/drawing/2014/main" id="{314ACBAC-2ECF-119D-33B4-AD3EF2573F32}"/>
              </a:ext>
            </a:extLst>
          </xdr:cNvPr>
          <xdr:cNvGrpSpPr/>
        </xdr:nvGrpSpPr>
        <xdr:grpSpPr>
          <a:xfrm>
            <a:off x="10153650" y="1536195"/>
            <a:ext cx="2552700" cy="2203955"/>
            <a:chOff x="10153650" y="1536195"/>
            <a:chExt cx="2552700" cy="2203955"/>
          </a:xfrm>
        </xdr:grpSpPr>
        <xdr:sp macro="" textlink="">
          <xdr:nvSpPr>
            <xdr:cNvPr id="1057" name="Rectangle 10690">
              <a:extLst>
                <a:ext uri="{FF2B5EF4-FFF2-40B4-BE49-F238E27FC236}">
                  <a16:creationId xmlns:a16="http://schemas.microsoft.com/office/drawing/2014/main" id="{56556A83-E9A6-8EEE-638B-415286587C9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58" name="AutoShape 10694">
              <a:extLst>
                <a:ext uri="{FF2B5EF4-FFF2-40B4-BE49-F238E27FC236}">
                  <a16:creationId xmlns:a16="http://schemas.microsoft.com/office/drawing/2014/main" id="{4EAF1B2F-CBA8-F108-841D-3A6CFC36AC9B}"/>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59" name="Freeform 10695">
              <a:extLst>
                <a:ext uri="{FF2B5EF4-FFF2-40B4-BE49-F238E27FC236}">
                  <a16:creationId xmlns:a16="http://schemas.microsoft.com/office/drawing/2014/main" id="{C09233E0-FC91-3496-0F57-2FE92008FBA5}"/>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60" name="Rectangle 10696">
              <a:extLst>
                <a:ext uri="{FF2B5EF4-FFF2-40B4-BE49-F238E27FC236}">
                  <a16:creationId xmlns:a16="http://schemas.microsoft.com/office/drawing/2014/main" id="{8B775B3A-F900-6647-DD2A-BB10457ECC90}"/>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61" name="AutoShape 10700">
              <a:extLst>
                <a:ext uri="{FF2B5EF4-FFF2-40B4-BE49-F238E27FC236}">
                  <a16:creationId xmlns:a16="http://schemas.microsoft.com/office/drawing/2014/main" id="{732E031C-79D1-5D89-FA84-7BA22C6C32FB}"/>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62" name="Freeform 10706">
              <a:extLst>
                <a:ext uri="{FF2B5EF4-FFF2-40B4-BE49-F238E27FC236}">
                  <a16:creationId xmlns:a16="http://schemas.microsoft.com/office/drawing/2014/main" id="{19F13C47-BDDD-F492-38EB-DC3CFD0C4F90}"/>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63" name="Freeform 10707">
              <a:extLst>
                <a:ext uri="{FF2B5EF4-FFF2-40B4-BE49-F238E27FC236}">
                  <a16:creationId xmlns:a16="http://schemas.microsoft.com/office/drawing/2014/main" id="{7687E716-F5EF-C820-68C0-D43F37E9C05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64" name="Line 10711">
              <a:extLst>
                <a:ext uri="{FF2B5EF4-FFF2-40B4-BE49-F238E27FC236}">
                  <a16:creationId xmlns:a16="http://schemas.microsoft.com/office/drawing/2014/main" id="{AAB523E9-8994-56C8-386C-BC583CDC683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65" name="Line 10719">
              <a:extLst>
                <a:ext uri="{FF2B5EF4-FFF2-40B4-BE49-F238E27FC236}">
                  <a16:creationId xmlns:a16="http://schemas.microsoft.com/office/drawing/2014/main" id="{AC8E6710-8767-2712-63EB-F9D9C2FE59F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66" name="Line 10711">
              <a:extLst>
                <a:ext uri="{FF2B5EF4-FFF2-40B4-BE49-F238E27FC236}">
                  <a16:creationId xmlns:a16="http://schemas.microsoft.com/office/drawing/2014/main" id="{D7FA67B4-A3CC-FEA4-92D8-C55F56AB1E7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67" name="Group 1008">
              <a:extLst>
                <a:ext uri="{FF2B5EF4-FFF2-40B4-BE49-F238E27FC236}">
                  <a16:creationId xmlns:a16="http://schemas.microsoft.com/office/drawing/2014/main" id="{2D989602-0DD8-B69A-EC9E-3CC224E0B07A}"/>
                </a:ext>
              </a:extLst>
            </xdr:cNvPr>
            <xdr:cNvGrpSpPr>
              <a:grpSpLocks/>
            </xdr:cNvGrpSpPr>
          </xdr:nvGrpSpPr>
          <xdr:grpSpPr bwMode="auto">
            <a:xfrm>
              <a:off x="12030075" y="3435569"/>
              <a:ext cx="228600" cy="126570"/>
              <a:chOff x="5475762" y="47903507"/>
              <a:chExt cx="314325" cy="87402"/>
            </a:xfrm>
          </xdr:grpSpPr>
          <xdr:cxnSp macro="">
            <xdr:nvCxnSpPr>
              <xdr:cNvPr id="1070" name="Straight Connector 531">
                <a:extLst>
                  <a:ext uri="{FF2B5EF4-FFF2-40B4-BE49-F238E27FC236}">
                    <a16:creationId xmlns:a16="http://schemas.microsoft.com/office/drawing/2014/main" id="{AC039220-E0CA-4B1F-D55C-61659B55916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71" name="Straight Connector 533">
                <a:extLst>
                  <a:ext uri="{FF2B5EF4-FFF2-40B4-BE49-F238E27FC236}">
                    <a16:creationId xmlns:a16="http://schemas.microsoft.com/office/drawing/2014/main" id="{026DD4E0-DE41-B874-74FA-59D55D9E1DC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72" name="Straight Connector 535">
                <a:extLst>
                  <a:ext uri="{FF2B5EF4-FFF2-40B4-BE49-F238E27FC236}">
                    <a16:creationId xmlns:a16="http://schemas.microsoft.com/office/drawing/2014/main" id="{5CF95491-303B-823E-C078-6E1AB9F4E93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73" name="Straight Connector 537">
                <a:extLst>
                  <a:ext uri="{FF2B5EF4-FFF2-40B4-BE49-F238E27FC236}">
                    <a16:creationId xmlns:a16="http://schemas.microsoft.com/office/drawing/2014/main" id="{E5CF933C-026C-9CDC-86D1-D0E2CE809A5F}"/>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68" name="Straight Arrow Connector 1067">
              <a:extLst>
                <a:ext uri="{FF2B5EF4-FFF2-40B4-BE49-F238E27FC236}">
                  <a16:creationId xmlns:a16="http://schemas.microsoft.com/office/drawing/2014/main" id="{FDFE645B-4CD9-08F5-54F0-110BB8389F9E}"/>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69" name="Straight Arrow Connector 1068">
              <a:extLst>
                <a:ext uri="{FF2B5EF4-FFF2-40B4-BE49-F238E27FC236}">
                  <a16:creationId xmlns:a16="http://schemas.microsoft.com/office/drawing/2014/main" id="{1E5D7D0A-8572-2D4F-C9DC-CB196752C9FF}"/>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74" name="AutoShape 46">
          <a:extLst>
            <a:ext uri="{FF2B5EF4-FFF2-40B4-BE49-F238E27FC236}">
              <a16:creationId xmlns:a16="http://schemas.microsoft.com/office/drawing/2014/main" id="{6BB1F0FD-9F65-4834-8B24-6C1220E9B046}"/>
            </a:ext>
          </a:extLst>
        </xdr:cNvPr>
        <xdr:cNvSpPr>
          <a:spLocks noChangeArrowheads="1"/>
        </xdr:cNvSpPr>
      </xdr:nvSpPr>
      <xdr:spPr bwMode="auto">
        <a:xfrm>
          <a:off x="12753974" y="119351425"/>
          <a:ext cx="858611" cy="70439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75" name="Picture 7">
          <a:extLst>
            <a:ext uri="{FF2B5EF4-FFF2-40B4-BE49-F238E27FC236}">
              <a16:creationId xmlns:a16="http://schemas.microsoft.com/office/drawing/2014/main" id="{862325ED-D235-4A11-94C1-23C1BEFA1429}"/>
            </a:ext>
          </a:extLst>
        </xdr:cNvPr>
        <xdr:cNvPicPr>
          <a:picLocks noChangeAspect="1"/>
        </xdr:cNvPicPr>
      </xdr:nvPicPr>
      <xdr:blipFill>
        <a:blip xmlns:r="http://schemas.openxmlformats.org/officeDocument/2006/relationships" r:embed="rId1" cstate="print"/>
        <a:srcRect/>
        <a:stretch>
          <a:fillRect/>
        </a:stretch>
      </xdr:blipFill>
      <xdr:spPr bwMode="auto">
        <a:xfrm>
          <a:off x="10518170" y="5863167"/>
          <a:ext cx="662759" cy="1296458"/>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76" name="Picture 7">
          <a:extLst>
            <a:ext uri="{FF2B5EF4-FFF2-40B4-BE49-F238E27FC236}">
              <a16:creationId xmlns:a16="http://schemas.microsoft.com/office/drawing/2014/main" id="{84E80431-4E8B-4EA0-A336-FCF3914FDDAE}"/>
            </a:ext>
          </a:extLst>
        </xdr:cNvPr>
        <xdr:cNvPicPr>
          <a:picLocks noChangeAspect="1"/>
        </xdr:cNvPicPr>
      </xdr:nvPicPr>
      <xdr:blipFill>
        <a:blip xmlns:r="http://schemas.openxmlformats.org/officeDocument/2006/relationships" r:embed="rId1" cstate="print"/>
        <a:srcRect/>
        <a:stretch>
          <a:fillRect/>
        </a:stretch>
      </xdr:blipFill>
      <xdr:spPr bwMode="auto">
        <a:xfrm>
          <a:off x="9056915" y="7923590"/>
          <a:ext cx="703035" cy="9114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77" name="Picture 7">
          <a:extLst>
            <a:ext uri="{FF2B5EF4-FFF2-40B4-BE49-F238E27FC236}">
              <a16:creationId xmlns:a16="http://schemas.microsoft.com/office/drawing/2014/main" id="{72232C49-4518-462C-B351-9DFD723D6136}"/>
            </a:ext>
          </a:extLst>
        </xdr:cNvPr>
        <xdr:cNvPicPr>
          <a:picLocks noChangeAspect="1"/>
        </xdr:cNvPicPr>
      </xdr:nvPicPr>
      <xdr:blipFill>
        <a:blip xmlns:r="http://schemas.openxmlformats.org/officeDocument/2006/relationships" r:embed="rId1" cstate="print"/>
        <a:srcRect/>
        <a:stretch>
          <a:fillRect/>
        </a:stretch>
      </xdr:blipFill>
      <xdr:spPr bwMode="auto">
        <a:xfrm>
          <a:off x="23557592" y="2607310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78" name="Picture 7">
          <a:extLst>
            <a:ext uri="{FF2B5EF4-FFF2-40B4-BE49-F238E27FC236}">
              <a16:creationId xmlns:a16="http://schemas.microsoft.com/office/drawing/2014/main" id="{364E916A-0435-4356-ABF1-D9065DA6E5DB}"/>
            </a:ext>
          </a:extLst>
        </xdr:cNvPr>
        <xdr:cNvPicPr>
          <a:picLocks noChangeAspect="1"/>
        </xdr:cNvPicPr>
      </xdr:nvPicPr>
      <xdr:blipFill>
        <a:blip xmlns:r="http://schemas.openxmlformats.org/officeDocument/2006/relationships" r:embed="rId1" cstate="print"/>
        <a:srcRect/>
        <a:stretch>
          <a:fillRect/>
        </a:stretch>
      </xdr:blipFill>
      <xdr:spPr bwMode="auto">
        <a:xfrm>
          <a:off x="7230231" y="119084725"/>
          <a:ext cx="684968" cy="115713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79" name="Picture 7">
          <a:extLst>
            <a:ext uri="{FF2B5EF4-FFF2-40B4-BE49-F238E27FC236}">
              <a16:creationId xmlns:a16="http://schemas.microsoft.com/office/drawing/2014/main" id="{9C4DC43F-5E27-45F0-B36F-2840F7C778FD}"/>
            </a:ext>
          </a:extLst>
        </xdr:cNvPr>
        <xdr:cNvPicPr>
          <a:picLocks noChangeAspect="1"/>
        </xdr:cNvPicPr>
      </xdr:nvPicPr>
      <xdr:blipFill>
        <a:blip xmlns:r="http://schemas.openxmlformats.org/officeDocument/2006/relationships" r:embed="rId1" cstate="print"/>
        <a:srcRect/>
        <a:stretch>
          <a:fillRect/>
        </a:stretch>
      </xdr:blipFill>
      <xdr:spPr bwMode="auto">
        <a:xfrm>
          <a:off x="8406191" y="5921375"/>
          <a:ext cx="769559" cy="1282622"/>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80" name="Equals 2636">
          <a:extLst>
            <a:ext uri="{FF2B5EF4-FFF2-40B4-BE49-F238E27FC236}">
              <a16:creationId xmlns:a16="http://schemas.microsoft.com/office/drawing/2014/main" id="{85E01174-8F0E-4A93-AA63-53E08FD598EC}"/>
            </a:ext>
          </a:extLst>
        </xdr:cNvPr>
        <xdr:cNvSpPr/>
      </xdr:nvSpPr>
      <xdr:spPr>
        <a:xfrm rot="5400000">
          <a:off x="23285449" y="6003929"/>
          <a:ext cx="10773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81" name="Group 1115">
          <a:extLst>
            <a:ext uri="{FF2B5EF4-FFF2-40B4-BE49-F238E27FC236}">
              <a16:creationId xmlns:a16="http://schemas.microsoft.com/office/drawing/2014/main" id="{12D49B5D-03AE-4AF4-A871-8AA55F706A11}"/>
            </a:ext>
          </a:extLst>
        </xdr:cNvPr>
        <xdr:cNvGrpSpPr>
          <a:grpSpLocks/>
        </xdr:cNvGrpSpPr>
      </xdr:nvGrpSpPr>
      <xdr:grpSpPr bwMode="auto">
        <a:xfrm>
          <a:off x="29019045" y="55721250"/>
          <a:ext cx="486229" cy="1524000"/>
          <a:chOff x="5424645" y="49113913"/>
          <a:chExt cx="313716" cy="343844"/>
        </a:xfrm>
      </xdr:grpSpPr>
      <xdr:cxnSp macro="">
        <xdr:nvCxnSpPr>
          <xdr:cNvPr id="1082" name="Straight Connector 1107">
            <a:extLst>
              <a:ext uri="{FF2B5EF4-FFF2-40B4-BE49-F238E27FC236}">
                <a16:creationId xmlns:a16="http://schemas.microsoft.com/office/drawing/2014/main" id="{E658E911-1785-2D20-8B6C-75EDFEF6B6D8}"/>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83" name="Straight Connector 1108">
            <a:extLst>
              <a:ext uri="{FF2B5EF4-FFF2-40B4-BE49-F238E27FC236}">
                <a16:creationId xmlns:a16="http://schemas.microsoft.com/office/drawing/2014/main" id="{5F42AF19-749C-F605-5E4B-E513C66773E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84" name="Straight Connector 1109">
            <a:extLst>
              <a:ext uri="{FF2B5EF4-FFF2-40B4-BE49-F238E27FC236}">
                <a16:creationId xmlns:a16="http://schemas.microsoft.com/office/drawing/2014/main" id="{18544DAF-FC08-C411-C62B-3AC9D3101AF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85" name="Straight Connector 1111">
            <a:extLst>
              <a:ext uri="{FF2B5EF4-FFF2-40B4-BE49-F238E27FC236}">
                <a16:creationId xmlns:a16="http://schemas.microsoft.com/office/drawing/2014/main" id="{B2451681-85D6-85EA-01D8-639F7A41278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86" name="Straight Connector 1112">
            <a:extLst>
              <a:ext uri="{FF2B5EF4-FFF2-40B4-BE49-F238E27FC236}">
                <a16:creationId xmlns:a16="http://schemas.microsoft.com/office/drawing/2014/main" id="{9816D9AF-694B-306E-226D-B7A573EB7DA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87" name="Straight Connector 1113">
            <a:extLst>
              <a:ext uri="{FF2B5EF4-FFF2-40B4-BE49-F238E27FC236}">
                <a16:creationId xmlns:a16="http://schemas.microsoft.com/office/drawing/2014/main" id="{A412E5CC-7179-C595-C44A-78C87B8C4AF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88" name="Straight Connector 1114">
            <a:extLst>
              <a:ext uri="{FF2B5EF4-FFF2-40B4-BE49-F238E27FC236}">
                <a16:creationId xmlns:a16="http://schemas.microsoft.com/office/drawing/2014/main" id="{4C0CEEB6-FFEF-A72C-A37D-CFD6ACE65C1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89" name="Picture 7">
          <a:extLst>
            <a:ext uri="{FF2B5EF4-FFF2-40B4-BE49-F238E27FC236}">
              <a16:creationId xmlns:a16="http://schemas.microsoft.com/office/drawing/2014/main" id="{81FBDE77-2A22-46E4-BCB6-1B8CCC02BED4}"/>
            </a:ext>
          </a:extLst>
        </xdr:cNvPr>
        <xdr:cNvPicPr>
          <a:picLocks noChangeAspect="1"/>
        </xdr:cNvPicPr>
      </xdr:nvPicPr>
      <xdr:blipFill>
        <a:blip xmlns:r="http://schemas.openxmlformats.org/officeDocument/2006/relationships" r:embed="rId1" cstate="print"/>
        <a:srcRect/>
        <a:stretch>
          <a:fillRect/>
        </a:stretch>
      </xdr:blipFill>
      <xdr:spPr bwMode="auto">
        <a:xfrm>
          <a:off x="8961967" y="4710188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90" name="Picture 7">
          <a:extLst>
            <a:ext uri="{FF2B5EF4-FFF2-40B4-BE49-F238E27FC236}">
              <a16:creationId xmlns:a16="http://schemas.microsoft.com/office/drawing/2014/main" id="{9B59000E-0AEF-4062-8F70-9ED7498E953E}"/>
            </a:ext>
          </a:extLst>
        </xdr:cNvPr>
        <xdr:cNvPicPr>
          <a:picLocks noChangeAspect="1"/>
        </xdr:cNvPicPr>
      </xdr:nvPicPr>
      <xdr:blipFill>
        <a:blip xmlns:r="http://schemas.openxmlformats.org/officeDocument/2006/relationships" r:embed="rId1" cstate="print"/>
        <a:srcRect/>
        <a:stretch>
          <a:fillRect/>
        </a:stretch>
      </xdr:blipFill>
      <xdr:spPr bwMode="auto">
        <a:xfrm>
          <a:off x="18650252" y="509150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91" name="Picture 7">
          <a:extLst>
            <a:ext uri="{FF2B5EF4-FFF2-40B4-BE49-F238E27FC236}">
              <a16:creationId xmlns:a16="http://schemas.microsoft.com/office/drawing/2014/main" id="{6EDD6FDA-77D1-4C8A-AB25-6FD5BA43FCF5}"/>
            </a:ext>
          </a:extLst>
        </xdr:cNvPr>
        <xdr:cNvPicPr>
          <a:picLocks noChangeAspect="1"/>
        </xdr:cNvPicPr>
      </xdr:nvPicPr>
      <xdr:blipFill>
        <a:blip xmlns:r="http://schemas.openxmlformats.org/officeDocument/2006/relationships" r:embed="rId1" cstate="print"/>
        <a:srcRect/>
        <a:stretch>
          <a:fillRect/>
        </a:stretch>
      </xdr:blipFill>
      <xdr:spPr bwMode="auto">
        <a:xfrm>
          <a:off x="2457753" y="9168130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92" name="Equals 2636">
          <a:extLst>
            <a:ext uri="{FF2B5EF4-FFF2-40B4-BE49-F238E27FC236}">
              <a16:creationId xmlns:a16="http://schemas.microsoft.com/office/drawing/2014/main" id="{351B9782-CB16-4122-8519-E05028266C55}"/>
            </a:ext>
          </a:extLst>
        </xdr:cNvPr>
        <xdr:cNvSpPr/>
      </xdr:nvSpPr>
      <xdr:spPr>
        <a:xfrm rot="5400000">
          <a:off x="10321925" y="956373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93" name="Equals 2636">
          <a:extLst>
            <a:ext uri="{FF2B5EF4-FFF2-40B4-BE49-F238E27FC236}">
              <a16:creationId xmlns:a16="http://schemas.microsoft.com/office/drawing/2014/main" id="{4692A156-C6C9-49D3-9D50-58148C623762}"/>
            </a:ext>
          </a:extLst>
        </xdr:cNvPr>
        <xdr:cNvSpPr/>
      </xdr:nvSpPr>
      <xdr:spPr>
        <a:xfrm rot="5400000">
          <a:off x="21615477" y="11371360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94" name="Picture 7">
          <a:extLst>
            <a:ext uri="{FF2B5EF4-FFF2-40B4-BE49-F238E27FC236}">
              <a16:creationId xmlns:a16="http://schemas.microsoft.com/office/drawing/2014/main" id="{DC3E6F9C-557D-46B0-86E3-8E3D673E5FE0}"/>
            </a:ext>
          </a:extLst>
        </xdr:cNvPr>
        <xdr:cNvPicPr>
          <a:picLocks noChangeAspect="1"/>
        </xdr:cNvPicPr>
      </xdr:nvPicPr>
      <xdr:blipFill>
        <a:blip xmlns:r="http://schemas.openxmlformats.org/officeDocument/2006/relationships" r:embed="rId1" cstate="print"/>
        <a:srcRect/>
        <a:stretch>
          <a:fillRect/>
        </a:stretch>
      </xdr:blipFill>
      <xdr:spPr bwMode="auto">
        <a:xfrm>
          <a:off x="2457449" y="118941850"/>
          <a:ext cx="713318" cy="132087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179</xdr:row>
      <xdr:rowOff>17400</xdr:rowOff>
    </xdr:to>
    <xdr:pic>
      <xdr:nvPicPr>
        <xdr:cNvPr id="1096" name="Picture 1095">
          <a:extLst>
            <a:ext uri="{FF2B5EF4-FFF2-40B4-BE49-F238E27FC236}">
              <a16:creationId xmlns:a16="http://schemas.microsoft.com/office/drawing/2014/main" id="{DD71A3CB-87F3-4F2D-90A9-9E1460983B5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30651" y="70164325"/>
          <a:ext cx="299110" cy="522225"/>
        </a:xfrm>
        <a:prstGeom prst="rect">
          <a:avLst/>
        </a:prstGeom>
      </xdr:spPr>
    </xdr:pic>
    <xdr:clientData/>
  </xdr:twoCellAnchor>
  <xdr:twoCellAnchor editAs="oneCell">
    <xdr:from>
      <xdr:col>2</xdr:col>
      <xdr:colOff>0</xdr:colOff>
      <xdr:row>176</xdr:row>
      <xdr:rowOff>0</xdr:rowOff>
    </xdr:from>
    <xdr:to>
      <xdr:col>2</xdr:col>
      <xdr:colOff>299110</xdr:colOff>
      <xdr:row>178</xdr:row>
      <xdr:rowOff>158159</xdr:rowOff>
    </xdr:to>
    <xdr:pic>
      <xdr:nvPicPr>
        <xdr:cNvPr id="1097" name="Picture 1096">
          <a:extLst>
            <a:ext uri="{FF2B5EF4-FFF2-40B4-BE49-F238E27FC236}">
              <a16:creationId xmlns:a16="http://schemas.microsoft.com/office/drawing/2014/main" id="{634CF684-CDA4-4834-B327-2A210190DC5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68550" y="70116700"/>
          <a:ext cx="299110" cy="526459"/>
        </a:xfrm>
        <a:prstGeom prst="rect">
          <a:avLst/>
        </a:prstGeom>
      </xdr:spPr>
    </xdr:pic>
    <xdr:clientData/>
  </xdr:twoCellAnchor>
  <xdr:twoCellAnchor editAs="oneCell">
    <xdr:from>
      <xdr:col>20</xdr:col>
      <xdr:colOff>0</xdr:colOff>
      <xdr:row>176</xdr:row>
      <xdr:rowOff>0</xdr:rowOff>
    </xdr:from>
    <xdr:to>
      <xdr:col>20</xdr:col>
      <xdr:colOff>299110</xdr:colOff>
      <xdr:row>178</xdr:row>
      <xdr:rowOff>158159</xdr:rowOff>
    </xdr:to>
    <xdr:pic>
      <xdr:nvPicPr>
        <xdr:cNvPr id="1098" name="Picture 1097">
          <a:extLst>
            <a:ext uri="{FF2B5EF4-FFF2-40B4-BE49-F238E27FC236}">
              <a16:creationId xmlns:a16="http://schemas.microsoft.com/office/drawing/2014/main" id="{832D0CD6-E600-4B0D-BB07-BFBFD9BB91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03700" y="70116700"/>
          <a:ext cx="299110" cy="526459"/>
        </a:xfrm>
        <a:prstGeom prst="rect">
          <a:avLst/>
        </a:prstGeom>
      </xdr:spPr>
    </xdr:pic>
    <xdr:clientData/>
  </xdr:twoCellAnchor>
  <xdr:twoCellAnchor editAs="oneCell">
    <xdr:from>
      <xdr:col>24</xdr:col>
      <xdr:colOff>0</xdr:colOff>
      <xdr:row>168</xdr:row>
      <xdr:rowOff>0</xdr:rowOff>
    </xdr:from>
    <xdr:to>
      <xdr:col>24</xdr:col>
      <xdr:colOff>299110</xdr:colOff>
      <xdr:row>170</xdr:row>
      <xdr:rowOff>158158</xdr:rowOff>
    </xdr:to>
    <xdr:pic>
      <xdr:nvPicPr>
        <xdr:cNvPr id="1099" name="Picture 1098">
          <a:extLst>
            <a:ext uri="{FF2B5EF4-FFF2-40B4-BE49-F238E27FC236}">
              <a16:creationId xmlns:a16="http://schemas.microsoft.com/office/drawing/2014/main" id="{74104C6B-C54A-48F6-8F14-6FC555D8AF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91400" y="66459100"/>
          <a:ext cx="299110" cy="526458"/>
        </a:xfrm>
        <a:prstGeom prst="rect">
          <a:avLst/>
        </a:prstGeom>
      </xdr:spPr>
    </xdr:pic>
    <xdr:clientData/>
  </xdr:twoCellAnchor>
  <xdr:twoCellAnchor editAs="oneCell">
    <xdr:from>
      <xdr:col>12</xdr:col>
      <xdr:colOff>0</xdr:colOff>
      <xdr:row>168</xdr:row>
      <xdr:rowOff>0</xdr:rowOff>
    </xdr:from>
    <xdr:to>
      <xdr:col>12</xdr:col>
      <xdr:colOff>299110</xdr:colOff>
      <xdr:row>170</xdr:row>
      <xdr:rowOff>158158</xdr:rowOff>
    </xdr:to>
    <xdr:pic>
      <xdr:nvPicPr>
        <xdr:cNvPr id="1100" name="Picture 1099">
          <a:extLst>
            <a:ext uri="{FF2B5EF4-FFF2-40B4-BE49-F238E27FC236}">
              <a16:creationId xmlns:a16="http://schemas.microsoft.com/office/drawing/2014/main" id="{2CBC5391-A092-46B4-A883-4654D8AF23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00" y="66459100"/>
          <a:ext cx="299110" cy="526458"/>
        </a:xfrm>
        <a:prstGeom prst="rect">
          <a:avLst/>
        </a:prstGeom>
      </xdr:spPr>
    </xdr:pic>
    <xdr:clientData/>
  </xdr:twoCellAnchor>
  <xdr:twoCellAnchor editAs="oneCell">
    <xdr:from>
      <xdr:col>20</xdr:col>
      <xdr:colOff>0</xdr:colOff>
      <xdr:row>168</xdr:row>
      <xdr:rowOff>0</xdr:rowOff>
    </xdr:from>
    <xdr:to>
      <xdr:col>20</xdr:col>
      <xdr:colOff>299110</xdr:colOff>
      <xdr:row>170</xdr:row>
      <xdr:rowOff>158158</xdr:rowOff>
    </xdr:to>
    <xdr:pic>
      <xdr:nvPicPr>
        <xdr:cNvPr id="1101" name="Picture 1100">
          <a:extLst>
            <a:ext uri="{FF2B5EF4-FFF2-40B4-BE49-F238E27FC236}">
              <a16:creationId xmlns:a16="http://schemas.microsoft.com/office/drawing/2014/main" id="{BA40DE92-8C72-4165-B052-CE645FD065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03700" y="66459100"/>
          <a:ext cx="299110" cy="526458"/>
        </a:xfrm>
        <a:prstGeom prst="rect">
          <a:avLst/>
        </a:prstGeom>
      </xdr:spPr>
    </xdr:pic>
    <xdr:clientData/>
  </xdr:twoCellAnchor>
  <xdr:twoCellAnchor editAs="oneCell">
    <xdr:from>
      <xdr:col>22</xdr:col>
      <xdr:colOff>0</xdr:colOff>
      <xdr:row>168</xdr:row>
      <xdr:rowOff>0</xdr:rowOff>
    </xdr:from>
    <xdr:to>
      <xdr:col>22</xdr:col>
      <xdr:colOff>299110</xdr:colOff>
      <xdr:row>170</xdr:row>
      <xdr:rowOff>158158</xdr:rowOff>
    </xdr:to>
    <xdr:pic>
      <xdr:nvPicPr>
        <xdr:cNvPr id="1102" name="Picture 1101">
          <a:extLst>
            <a:ext uri="{FF2B5EF4-FFF2-40B4-BE49-F238E27FC236}">
              <a16:creationId xmlns:a16="http://schemas.microsoft.com/office/drawing/2014/main" id="{8F3CB422-FADB-42F2-8099-0AEDE3C4393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65800" y="66459100"/>
          <a:ext cx="299110" cy="526458"/>
        </a:xfrm>
        <a:prstGeom prst="rect">
          <a:avLst/>
        </a:prstGeom>
      </xdr:spPr>
    </xdr:pic>
    <xdr:clientData/>
  </xdr:twoCellAnchor>
  <xdr:twoCellAnchor editAs="oneCell">
    <xdr:from>
      <xdr:col>12</xdr:col>
      <xdr:colOff>0</xdr:colOff>
      <xdr:row>176</xdr:row>
      <xdr:rowOff>0</xdr:rowOff>
    </xdr:from>
    <xdr:to>
      <xdr:col>12</xdr:col>
      <xdr:colOff>299110</xdr:colOff>
      <xdr:row>178</xdr:row>
      <xdr:rowOff>158159</xdr:rowOff>
    </xdr:to>
    <xdr:pic>
      <xdr:nvPicPr>
        <xdr:cNvPr id="1103" name="Picture 1102">
          <a:extLst>
            <a:ext uri="{FF2B5EF4-FFF2-40B4-BE49-F238E27FC236}">
              <a16:creationId xmlns:a16="http://schemas.microsoft.com/office/drawing/2014/main" id="{E8B4ED0E-3407-4925-BF13-989D676D7DF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00" y="70116700"/>
          <a:ext cx="299110" cy="526459"/>
        </a:xfrm>
        <a:prstGeom prst="rect">
          <a:avLst/>
        </a:prstGeom>
      </xdr:spPr>
    </xdr:pic>
    <xdr:clientData/>
  </xdr:twoCellAnchor>
  <xdr:twoCellAnchor editAs="oneCell">
    <xdr:from>
      <xdr:col>18</xdr:col>
      <xdr:colOff>0</xdr:colOff>
      <xdr:row>176</xdr:row>
      <xdr:rowOff>0</xdr:rowOff>
    </xdr:from>
    <xdr:to>
      <xdr:col>18</xdr:col>
      <xdr:colOff>299110</xdr:colOff>
      <xdr:row>178</xdr:row>
      <xdr:rowOff>158159</xdr:rowOff>
    </xdr:to>
    <xdr:pic>
      <xdr:nvPicPr>
        <xdr:cNvPr id="1104" name="Picture 1103">
          <a:extLst>
            <a:ext uri="{FF2B5EF4-FFF2-40B4-BE49-F238E27FC236}">
              <a16:creationId xmlns:a16="http://schemas.microsoft.com/office/drawing/2014/main" id="{D1A3D751-601E-42FC-9416-138E48E5078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163800" y="70116700"/>
          <a:ext cx="299110" cy="526459"/>
        </a:xfrm>
        <a:prstGeom prst="rect">
          <a:avLst/>
        </a:prstGeom>
      </xdr:spPr>
    </xdr:pic>
    <xdr:clientData/>
  </xdr:twoCellAnchor>
  <xdr:twoCellAnchor editAs="oneCell">
    <xdr:from>
      <xdr:col>28</xdr:col>
      <xdr:colOff>0</xdr:colOff>
      <xdr:row>176</xdr:row>
      <xdr:rowOff>0</xdr:rowOff>
    </xdr:from>
    <xdr:to>
      <xdr:col>28</xdr:col>
      <xdr:colOff>299110</xdr:colOff>
      <xdr:row>178</xdr:row>
      <xdr:rowOff>158159</xdr:rowOff>
    </xdr:to>
    <xdr:pic>
      <xdr:nvPicPr>
        <xdr:cNvPr id="1105" name="Picture 1104">
          <a:extLst>
            <a:ext uri="{FF2B5EF4-FFF2-40B4-BE49-F238E27FC236}">
              <a16:creationId xmlns:a16="http://schemas.microsoft.com/office/drawing/2014/main" id="{3F8BD1FD-7E07-4CE6-95D3-54AE225BA2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437850" y="70116700"/>
          <a:ext cx="299110" cy="526459"/>
        </a:xfrm>
        <a:prstGeom prst="rect">
          <a:avLst/>
        </a:prstGeom>
      </xdr:spPr>
    </xdr:pic>
    <xdr:clientData/>
  </xdr:twoCellAnchor>
  <xdr:twoCellAnchor editAs="oneCell">
    <xdr:from>
      <xdr:col>24</xdr:col>
      <xdr:colOff>0</xdr:colOff>
      <xdr:row>202</xdr:row>
      <xdr:rowOff>0</xdr:rowOff>
    </xdr:from>
    <xdr:to>
      <xdr:col>24</xdr:col>
      <xdr:colOff>299110</xdr:colOff>
      <xdr:row>204</xdr:row>
      <xdr:rowOff>158160</xdr:rowOff>
    </xdr:to>
    <xdr:pic>
      <xdr:nvPicPr>
        <xdr:cNvPr id="1106" name="Picture 1105">
          <a:extLst>
            <a:ext uri="{FF2B5EF4-FFF2-40B4-BE49-F238E27FC236}">
              <a16:creationId xmlns:a16="http://schemas.microsoft.com/office/drawing/2014/main" id="{AA328501-4354-430B-B0B8-BC266FB019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91400" y="80105250"/>
          <a:ext cx="299110" cy="526460"/>
        </a:xfrm>
        <a:prstGeom prst="rect">
          <a:avLst/>
        </a:prstGeom>
      </xdr:spPr>
    </xdr:pic>
    <xdr:clientData/>
  </xdr:twoCellAnchor>
  <xdr:twoCellAnchor editAs="oneCell">
    <xdr:from>
      <xdr:col>10</xdr:col>
      <xdr:colOff>115453</xdr:colOff>
      <xdr:row>168</xdr:row>
      <xdr:rowOff>0</xdr:rowOff>
    </xdr:from>
    <xdr:to>
      <xdr:col>10</xdr:col>
      <xdr:colOff>414563</xdr:colOff>
      <xdr:row>170</xdr:row>
      <xdr:rowOff>158158</xdr:rowOff>
    </xdr:to>
    <xdr:pic>
      <xdr:nvPicPr>
        <xdr:cNvPr id="1107" name="Picture 1106">
          <a:extLst>
            <a:ext uri="{FF2B5EF4-FFF2-40B4-BE49-F238E27FC236}">
              <a16:creationId xmlns:a16="http://schemas.microsoft.com/office/drawing/2014/main" id="{B7DE7AAD-BD4A-4FB4-9266-F5EFA2195C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05817" y="66524909"/>
          <a:ext cx="299110" cy="1012522"/>
        </a:xfrm>
        <a:prstGeom prst="rect">
          <a:avLst/>
        </a:prstGeom>
      </xdr:spPr>
    </xdr:pic>
    <xdr:clientData/>
  </xdr:twoCellAnchor>
  <xdr:twoCellAnchor editAs="oneCell">
    <xdr:from>
      <xdr:col>6</xdr:col>
      <xdr:colOff>0</xdr:colOff>
      <xdr:row>185</xdr:row>
      <xdr:rowOff>0</xdr:rowOff>
    </xdr:from>
    <xdr:to>
      <xdr:col>6</xdr:col>
      <xdr:colOff>299110</xdr:colOff>
      <xdr:row>187</xdr:row>
      <xdr:rowOff>158160</xdr:rowOff>
    </xdr:to>
    <xdr:pic>
      <xdr:nvPicPr>
        <xdr:cNvPr id="1108" name="Picture 1107">
          <a:extLst>
            <a:ext uri="{FF2B5EF4-FFF2-40B4-BE49-F238E27FC236}">
              <a16:creationId xmlns:a16="http://schemas.microsoft.com/office/drawing/2014/main" id="{2249F00D-0325-4644-A984-10C4891D49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92750" y="73564750"/>
          <a:ext cx="299110" cy="526460"/>
        </a:xfrm>
        <a:prstGeom prst="rect">
          <a:avLst/>
        </a:prstGeom>
      </xdr:spPr>
    </xdr:pic>
    <xdr:clientData/>
  </xdr:twoCellAnchor>
  <xdr:twoCellAnchor editAs="oneCell">
    <xdr:from>
      <xdr:col>16</xdr:col>
      <xdr:colOff>0</xdr:colOff>
      <xdr:row>176</xdr:row>
      <xdr:rowOff>0</xdr:rowOff>
    </xdr:from>
    <xdr:to>
      <xdr:col>16</xdr:col>
      <xdr:colOff>299110</xdr:colOff>
      <xdr:row>178</xdr:row>
      <xdr:rowOff>158159</xdr:rowOff>
    </xdr:to>
    <xdr:pic>
      <xdr:nvPicPr>
        <xdr:cNvPr id="1109" name="Picture 1108">
          <a:extLst>
            <a:ext uri="{FF2B5EF4-FFF2-40B4-BE49-F238E27FC236}">
              <a16:creationId xmlns:a16="http://schemas.microsoft.com/office/drawing/2014/main" id="{8C9D58FE-3E84-47EF-80FC-079CEA8217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01700" y="70116700"/>
          <a:ext cx="299110" cy="526459"/>
        </a:xfrm>
        <a:prstGeom prst="rect">
          <a:avLst/>
        </a:prstGeom>
      </xdr:spPr>
    </xdr:pic>
    <xdr:clientData/>
  </xdr:twoCellAnchor>
  <xdr:twoCellAnchor editAs="oneCell">
    <xdr:from>
      <xdr:col>14</xdr:col>
      <xdr:colOff>0</xdr:colOff>
      <xdr:row>176</xdr:row>
      <xdr:rowOff>0</xdr:rowOff>
    </xdr:from>
    <xdr:to>
      <xdr:col>14</xdr:col>
      <xdr:colOff>299110</xdr:colOff>
      <xdr:row>178</xdr:row>
      <xdr:rowOff>158159</xdr:rowOff>
    </xdr:to>
    <xdr:pic>
      <xdr:nvPicPr>
        <xdr:cNvPr id="1110" name="Picture 1109">
          <a:extLst>
            <a:ext uri="{FF2B5EF4-FFF2-40B4-BE49-F238E27FC236}">
              <a16:creationId xmlns:a16="http://schemas.microsoft.com/office/drawing/2014/main" id="{2F4D5D86-A00F-499F-A744-12520DF075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39600" y="70116700"/>
          <a:ext cx="299110" cy="526459"/>
        </a:xfrm>
        <a:prstGeom prst="rect">
          <a:avLst/>
        </a:prstGeom>
      </xdr:spPr>
    </xdr:pic>
    <xdr:clientData/>
  </xdr:twoCellAnchor>
  <xdr:twoCellAnchor editAs="oneCell">
    <xdr:from>
      <xdr:col>8</xdr:col>
      <xdr:colOff>0</xdr:colOff>
      <xdr:row>176</xdr:row>
      <xdr:rowOff>0</xdr:rowOff>
    </xdr:from>
    <xdr:to>
      <xdr:col>8</xdr:col>
      <xdr:colOff>299110</xdr:colOff>
      <xdr:row>178</xdr:row>
      <xdr:rowOff>158159</xdr:rowOff>
    </xdr:to>
    <xdr:pic>
      <xdr:nvPicPr>
        <xdr:cNvPr id="1111" name="Picture 1110">
          <a:extLst>
            <a:ext uri="{FF2B5EF4-FFF2-40B4-BE49-F238E27FC236}">
              <a16:creationId xmlns:a16="http://schemas.microsoft.com/office/drawing/2014/main" id="{1D6D8927-60B8-499D-B6CF-6BA9CA6D9AD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62800" y="70116700"/>
          <a:ext cx="299110" cy="526459"/>
        </a:xfrm>
        <a:prstGeom prst="rect">
          <a:avLst/>
        </a:prstGeom>
      </xdr:spPr>
    </xdr:pic>
    <xdr:clientData/>
  </xdr:twoCellAnchor>
  <xdr:twoCellAnchor editAs="oneCell">
    <xdr:from>
      <xdr:col>28</xdr:col>
      <xdr:colOff>0</xdr:colOff>
      <xdr:row>202</xdr:row>
      <xdr:rowOff>0</xdr:rowOff>
    </xdr:from>
    <xdr:to>
      <xdr:col>28</xdr:col>
      <xdr:colOff>299110</xdr:colOff>
      <xdr:row>204</xdr:row>
      <xdr:rowOff>158160</xdr:rowOff>
    </xdr:to>
    <xdr:pic>
      <xdr:nvPicPr>
        <xdr:cNvPr id="1113" name="Picture 1112">
          <a:extLst>
            <a:ext uri="{FF2B5EF4-FFF2-40B4-BE49-F238E27FC236}">
              <a16:creationId xmlns:a16="http://schemas.microsoft.com/office/drawing/2014/main" id="{1BECC942-09B5-41E6-A3BD-831A0153725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437850" y="80105250"/>
          <a:ext cx="299110" cy="526460"/>
        </a:xfrm>
        <a:prstGeom prst="rect">
          <a:avLst/>
        </a:prstGeom>
      </xdr:spPr>
    </xdr:pic>
    <xdr:clientData/>
  </xdr:twoCellAnchor>
  <xdr:twoCellAnchor editAs="oneCell">
    <xdr:from>
      <xdr:col>2</xdr:col>
      <xdr:colOff>0</xdr:colOff>
      <xdr:row>210</xdr:row>
      <xdr:rowOff>0</xdr:rowOff>
    </xdr:from>
    <xdr:to>
      <xdr:col>2</xdr:col>
      <xdr:colOff>299110</xdr:colOff>
      <xdr:row>213</xdr:row>
      <xdr:rowOff>36451</xdr:rowOff>
    </xdr:to>
    <xdr:pic>
      <xdr:nvPicPr>
        <xdr:cNvPr id="1114" name="Picture 1113">
          <a:extLst>
            <a:ext uri="{FF2B5EF4-FFF2-40B4-BE49-F238E27FC236}">
              <a16:creationId xmlns:a16="http://schemas.microsoft.com/office/drawing/2014/main" id="{D86DD0EB-8449-4D03-9B7E-63DD978DD9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68550" y="83178650"/>
          <a:ext cx="299110" cy="588901"/>
        </a:xfrm>
        <a:prstGeom prst="rect">
          <a:avLst/>
        </a:prstGeom>
      </xdr:spPr>
    </xdr:pic>
    <xdr:clientData/>
  </xdr:twoCellAnchor>
  <xdr:twoCellAnchor editAs="oneCell">
    <xdr:from>
      <xdr:col>26</xdr:col>
      <xdr:colOff>0</xdr:colOff>
      <xdr:row>168</xdr:row>
      <xdr:rowOff>0</xdr:rowOff>
    </xdr:from>
    <xdr:to>
      <xdr:col>26</xdr:col>
      <xdr:colOff>299110</xdr:colOff>
      <xdr:row>170</xdr:row>
      <xdr:rowOff>158158</xdr:rowOff>
    </xdr:to>
    <xdr:pic>
      <xdr:nvPicPr>
        <xdr:cNvPr id="1115" name="Picture 1114">
          <a:extLst>
            <a:ext uri="{FF2B5EF4-FFF2-40B4-BE49-F238E27FC236}">
              <a16:creationId xmlns:a16="http://schemas.microsoft.com/office/drawing/2014/main" id="{FB18400A-2EEA-422C-B2C9-47C11B3CA8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780500" y="66459100"/>
          <a:ext cx="299110" cy="526458"/>
        </a:xfrm>
        <a:prstGeom prst="rect">
          <a:avLst/>
        </a:prstGeom>
      </xdr:spPr>
    </xdr:pic>
    <xdr:clientData/>
  </xdr:twoCellAnchor>
  <xdr:twoCellAnchor editAs="oneCell">
    <xdr:from>
      <xdr:col>12</xdr:col>
      <xdr:colOff>0</xdr:colOff>
      <xdr:row>185</xdr:row>
      <xdr:rowOff>0</xdr:rowOff>
    </xdr:from>
    <xdr:to>
      <xdr:col>12</xdr:col>
      <xdr:colOff>299110</xdr:colOff>
      <xdr:row>187</xdr:row>
      <xdr:rowOff>158160</xdr:rowOff>
    </xdr:to>
    <xdr:pic>
      <xdr:nvPicPr>
        <xdr:cNvPr id="1116" name="Picture 1115">
          <a:extLst>
            <a:ext uri="{FF2B5EF4-FFF2-40B4-BE49-F238E27FC236}">
              <a16:creationId xmlns:a16="http://schemas.microsoft.com/office/drawing/2014/main" id="{BA5B18FA-4B34-4561-BA9B-4FF9BF9979C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00" y="73564750"/>
          <a:ext cx="299110" cy="526460"/>
        </a:xfrm>
        <a:prstGeom prst="rect">
          <a:avLst/>
        </a:prstGeom>
      </xdr:spPr>
    </xdr:pic>
    <xdr:clientData/>
  </xdr:twoCellAnchor>
  <xdr:twoCellAnchor editAs="oneCell">
    <xdr:from>
      <xdr:col>6</xdr:col>
      <xdr:colOff>0</xdr:colOff>
      <xdr:row>150</xdr:row>
      <xdr:rowOff>0</xdr:rowOff>
    </xdr:from>
    <xdr:to>
      <xdr:col>6</xdr:col>
      <xdr:colOff>299110</xdr:colOff>
      <xdr:row>152</xdr:row>
      <xdr:rowOff>158160</xdr:rowOff>
    </xdr:to>
    <xdr:pic>
      <xdr:nvPicPr>
        <xdr:cNvPr id="1117" name="Picture 1116">
          <a:extLst>
            <a:ext uri="{FF2B5EF4-FFF2-40B4-BE49-F238E27FC236}">
              <a16:creationId xmlns:a16="http://schemas.microsoft.com/office/drawing/2014/main" id="{20C8305E-B4EC-4E19-BB77-650C0187B7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92750" y="59004200"/>
          <a:ext cx="299110" cy="526459"/>
        </a:xfrm>
        <a:prstGeom prst="rect">
          <a:avLst/>
        </a:prstGeom>
      </xdr:spPr>
    </xdr:pic>
    <xdr:clientData/>
  </xdr:twoCellAnchor>
  <xdr:twoCellAnchor editAs="oneCell">
    <xdr:from>
      <xdr:col>10</xdr:col>
      <xdr:colOff>0</xdr:colOff>
      <xdr:row>210</xdr:row>
      <xdr:rowOff>0</xdr:rowOff>
    </xdr:from>
    <xdr:to>
      <xdr:col>10</xdr:col>
      <xdr:colOff>299110</xdr:colOff>
      <xdr:row>213</xdr:row>
      <xdr:rowOff>36451</xdr:rowOff>
    </xdr:to>
    <xdr:pic>
      <xdr:nvPicPr>
        <xdr:cNvPr id="1118" name="Picture 1117">
          <a:extLst>
            <a:ext uri="{FF2B5EF4-FFF2-40B4-BE49-F238E27FC236}">
              <a16:creationId xmlns:a16="http://schemas.microsoft.com/office/drawing/2014/main" id="{11D6CB10-4DD9-489A-8A31-AA9444B849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15400" y="83178650"/>
          <a:ext cx="299110" cy="588901"/>
        </a:xfrm>
        <a:prstGeom prst="rect">
          <a:avLst/>
        </a:prstGeom>
      </xdr:spPr>
    </xdr:pic>
    <xdr:clientData/>
  </xdr:twoCellAnchor>
  <xdr:twoCellAnchor editAs="oneCell">
    <xdr:from>
      <xdr:col>10</xdr:col>
      <xdr:colOff>0</xdr:colOff>
      <xdr:row>150</xdr:row>
      <xdr:rowOff>0</xdr:rowOff>
    </xdr:from>
    <xdr:to>
      <xdr:col>10</xdr:col>
      <xdr:colOff>299110</xdr:colOff>
      <xdr:row>152</xdr:row>
      <xdr:rowOff>158160</xdr:rowOff>
    </xdr:to>
    <xdr:pic>
      <xdr:nvPicPr>
        <xdr:cNvPr id="1119" name="Picture 1118">
          <a:extLst>
            <a:ext uri="{FF2B5EF4-FFF2-40B4-BE49-F238E27FC236}">
              <a16:creationId xmlns:a16="http://schemas.microsoft.com/office/drawing/2014/main" id="{37F2A23A-848A-4745-AA48-720ADD06CF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15400" y="59004200"/>
          <a:ext cx="299110" cy="526459"/>
        </a:xfrm>
        <a:prstGeom prst="rect">
          <a:avLst/>
        </a:prstGeom>
      </xdr:spPr>
    </xdr:pic>
    <xdr:clientData/>
  </xdr:twoCellAnchor>
  <xdr:twoCellAnchor editAs="oneCell">
    <xdr:from>
      <xdr:col>14</xdr:col>
      <xdr:colOff>0</xdr:colOff>
      <xdr:row>210</xdr:row>
      <xdr:rowOff>0</xdr:rowOff>
    </xdr:from>
    <xdr:to>
      <xdr:col>14</xdr:col>
      <xdr:colOff>299110</xdr:colOff>
      <xdr:row>213</xdr:row>
      <xdr:rowOff>36451</xdr:rowOff>
    </xdr:to>
    <xdr:pic>
      <xdr:nvPicPr>
        <xdr:cNvPr id="1120" name="Picture 1119">
          <a:extLst>
            <a:ext uri="{FF2B5EF4-FFF2-40B4-BE49-F238E27FC236}">
              <a16:creationId xmlns:a16="http://schemas.microsoft.com/office/drawing/2014/main" id="{35EA1BE1-1B2D-43C5-AA22-11DE05B67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39600" y="83178650"/>
          <a:ext cx="299110" cy="588901"/>
        </a:xfrm>
        <a:prstGeom prst="rect">
          <a:avLst/>
        </a:prstGeom>
      </xdr:spPr>
    </xdr:pic>
    <xdr:clientData/>
  </xdr:twoCellAnchor>
  <xdr:twoCellAnchor editAs="oneCell">
    <xdr:from>
      <xdr:col>8</xdr:col>
      <xdr:colOff>0</xdr:colOff>
      <xdr:row>150</xdr:row>
      <xdr:rowOff>0</xdr:rowOff>
    </xdr:from>
    <xdr:to>
      <xdr:col>8</xdr:col>
      <xdr:colOff>299110</xdr:colOff>
      <xdr:row>152</xdr:row>
      <xdr:rowOff>158160</xdr:rowOff>
    </xdr:to>
    <xdr:pic>
      <xdr:nvPicPr>
        <xdr:cNvPr id="1121" name="Picture 1120">
          <a:extLst>
            <a:ext uri="{FF2B5EF4-FFF2-40B4-BE49-F238E27FC236}">
              <a16:creationId xmlns:a16="http://schemas.microsoft.com/office/drawing/2014/main" id="{E412B73A-E26A-4CEB-BF17-D3EA8948BD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62800" y="59004200"/>
          <a:ext cx="299110" cy="526459"/>
        </a:xfrm>
        <a:prstGeom prst="rect">
          <a:avLst/>
        </a:prstGeom>
      </xdr:spPr>
    </xdr:pic>
    <xdr:clientData/>
  </xdr:twoCellAnchor>
  <xdr:twoCellAnchor editAs="oneCell">
    <xdr:from>
      <xdr:col>12</xdr:col>
      <xdr:colOff>0</xdr:colOff>
      <xdr:row>150</xdr:row>
      <xdr:rowOff>0</xdr:rowOff>
    </xdr:from>
    <xdr:to>
      <xdr:col>12</xdr:col>
      <xdr:colOff>299110</xdr:colOff>
      <xdr:row>152</xdr:row>
      <xdr:rowOff>158160</xdr:rowOff>
    </xdr:to>
    <xdr:pic>
      <xdr:nvPicPr>
        <xdr:cNvPr id="1122" name="Picture 1121">
          <a:extLst>
            <a:ext uri="{FF2B5EF4-FFF2-40B4-BE49-F238E27FC236}">
              <a16:creationId xmlns:a16="http://schemas.microsoft.com/office/drawing/2014/main" id="{98FB3D8F-4BCD-416E-BCB1-13AF26EC41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00" y="59004200"/>
          <a:ext cx="299110" cy="526459"/>
        </a:xfrm>
        <a:prstGeom prst="rect">
          <a:avLst/>
        </a:prstGeom>
      </xdr:spPr>
    </xdr:pic>
    <xdr:clientData/>
  </xdr:twoCellAnchor>
  <xdr:twoCellAnchor editAs="oneCell">
    <xdr:from>
      <xdr:col>14</xdr:col>
      <xdr:colOff>0</xdr:colOff>
      <xdr:row>150</xdr:row>
      <xdr:rowOff>0</xdr:rowOff>
    </xdr:from>
    <xdr:to>
      <xdr:col>14</xdr:col>
      <xdr:colOff>299110</xdr:colOff>
      <xdr:row>152</xdr:row>
      <xdr:rowOff>158160</xdr:rowOff>
    </xdr:to>
    <xdr:pic>
      <xdr:nvPicPr>
        <xdr:cNvPr id="1123" name="Picture 1122">
          <a:extLst>
            <a:ext uri="{FF2B5EF4-FFF2-40B4-BE49-F238E27FC236}">
              <a16:creationId xmlns:a16="http://schemas.microsoft.com/office/drawing/2014/main" id="{0A1407E3-C8B7-40FD-95BA-CA2241C4F6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39600" y="59004200"/>
          <a:ext cx="299110" cy="526459"/>
        </a:xfrm>
        <a:prstGeom prst="rect">
          <a:avLst/>
        </a:prstGeom>
      </xdr:spPr>
    </xdr:pic>
    <xdr:clientData/>
  </xdr:twoCellAnchor>
  <xdr:twoCellAnchor editAs="oneCell">
    <xdr:from>
      <xdr:col>22</xdr:col>
      <xdr:colOff>0</xdr:colOff>
      <xdr:row>158</xdr:row>
      <xdr:rowOff>527050</xdr:rowOff>
    </xdr:from>
    <xdr:to>
      <xdr:col>22</xdr:col>
      <xdr:colOff>299110</xdr:colOff>
      <xdr:row>159</xdr:row>
      <xdr:rowOff>285160</xdr:rowOff>
    </xdr:to>
    <xdr:pic>
      <xdr:nvPicPr>
        <xdr:cNvPr id="1124" name="Picture 1123">
          <a:extLst>
            <a:ext uri="{FF2B5EF4-FFF2-40B4-BE49-F238E27FC236}">
              <a16:creationId xmlns:a16="http://schemas.microsoft.com/office/drawing/2014/main" id="{702A8DBB-D057-4F8E-87A7-44AA5C82E7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65800" y="62598300"/>
          <a:ext cx="299110" cy="526460"/>
        </a:xfrm>
        <a:prstGeom prst="rect">
          <a:avLst/>
        </a:prstGeom>
      </xdr:spPr>
    </xdr:pic>
    <xdr:clientData/>
  </xdr:twoCellAnchor>
  <xdr:twoCellAnchor editAs="oneCell">
    <xdr:from>
      <xdr:col>16</xdr:col>
      <xdr:colOff>0</xdr:colOff>
      <xdr:row>218</xdr:row>
      <xdr:rowOff>95250</xdr:rowOff>
    </xdr:from>
    <xdr:to>
      <xdr:col>16</xdr:col>
      <xdr:colOff>299110</xdr:colOff>
      <xdr:row>221</xdr:row>
      <xdr:rowOff>69259</xdr:rowOff>
    </xdr:to>
    <xdr:pic>
      <xdr:nvPicPr>
        <xdr:cNvPr id="1125" name="Picture 1124">
          <a:extLst>
            <a:ext uri="{FF2B5EF4-FFF2-40B4-BE49-F238E27FC236}">
              <a16:creationId xmlns:a16="http://schemas.microsoft.com/office/drawing/2014/main" id="{B9DB8640-883C-4AA4-A2E0-05C028079D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01700" y="86721950"/>
          <a:ext cx="299110" cy="526459"/>
        </a:xfrm>
        <a:prstGeom prst="rect">
          <a:avLst/>
        </a:prstGeom>
      </xdr:spPr>
    </xdr:pic>
    <xdr:clientData/>
  </xdr:twoCellAnchor>
  <xdr:twoCellAnchor editAs="oneCell">
    <xdr:from>
      <xdr:col>14</xdr:col>
      <xdr:colOff>9525</xdr:colOff>
      <xdr:row>225</xdr:row>
      <xdr:rowOff>406400</xdr:rowOff>
    </xdr:from>
    <xdr:to>
      <xdr:col>14</xdr:col>
      <xdr:colOff>308635</xdr:colOff>
      <xdr:row>226</xdr:row>
      <xdr:rowOff>62909</xdr:rowOff>
    </xdr:to>
    <xdr:pic>
      <xdr:nvPicPr>
        <xdr:cNvPr id="1126" name="Picture 1125">
          <a:extLst>
            <a:ext uri="{FF2B5EF4-FFF2-40B4-BE49-F238E27FC236}">
              <a16:creationId xmlns:a16="http://schemas.microsoft.com/office/drawing/2014/main" id="{92E20554-A4A3-4B70-A70C-AA432F445F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49125" y="89681050"/>
          <a:ext cx="299110" cy="526459"/>
        </a:xfrm>
        <a:prstGeom prst="rect">
          <a:avLst/>
        </a:prstGeom>
      </xdr:spPr>
    </xdr:pic>
    <xdr:clientData/>
  </xdr:twoCellAnchor>
  <xdr:twoCellAnchor editAs="oneCell">
    <xdr:from>
      <xdr:col>8</xdr:col>
      <xdr:colOff>0</xdr:colOff>
      <xdr:row>225</xdr:row>
      <xdr:rowOff>428625</xdr:rowOff>
    </xdr:from>
    <xdr:to>
      <xdr:col>8</xdr:col>
      <xdr:colOff>299110</xdr:colOff>
      <xdr:row>226</xdr:row>
      <xdr:rowOff>59734</xdr:rowOff>
    </xdr:to>
    <xdr:pic>
      <xdr:nvPicPr>
        <xdr:cNvPr id="1127" name="Picture 1126">
          <a:extLst>
            <a:ext uri="{FF2B5EF4-FFF2-40B4-BE49-F238E27FC236}">
              <a16:creationId xmlns:a16="http://schemas.microsoft.com/office/drawing/2014/main" id="{98D950BB-653B-4E30-8514-0801FE321A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62800" y="89703275"/>
          <a:ext cx="299110" cy="526459"/>
        </a:xfrm>
        <a:prstGeom prst="rect">
          <a:avLst/>
        </a:prstGeom>
      </xdr:spPr>
    </xdr:pic>
    <xdr:clientData/>
  </xdr:twoCellAnchor>
  <xdr:twoCellAnchor editAs="oneCell">
    <xdr:from>
      <xdr:col>10</xdr:col>
      <xdr:colOff>57150</xdr:colOff>
      <xdr:row>225</xdr:row>
      <xdr:rowOff>454025</xdr:rowOff>
    </xdr:from>
    <xdr:to>
      <xdr:col>10</xdr:col>
      <xdr:colOff>356260</xdr:colOff>
      <xdr:row>226</xdr:row>
      <xdr:rowOff>59734</xdr:rowOff>
    </xdr:to>
    <xdr:pic>
      <xdr:nvPicPr>
        <xdr:cNvPr id="1128" name="Picture 1127">
          <a:extLst>
            <a:ext uri="{FF2B5EF4-FFF2-40B4-BE49-F238E27FC236}">
              <a16:creationId xmlns:a16="http://schemas.microsoft.com/office/drawing/2014/main" id="{84A302B4-BEF8-42E7-B3C0-FC2A896F92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72550" y="89728675"/>
          <a:ext cx="299110" cy="526459"/>
        </a:xfrm>
        <a:prstGeom prst="rect">
          <a:avLst/>
        </a:prstGeom>
      </xdr:spPr>
    </xdr:pic>
    <xdr:clientData/>
  </xdr:twoCellAnchor>
  <xdr:twoCellAnchor editAs="oneCell">
    <xdr:from>
      <xdr:col>20</xdr:col>
      <xdr:colOff>0</xdr:colOff>
      <xdr:row>140</xdr:row>
      <xdr:rowOff>492125</xdr:rowOff>
    </xdr:from>
    <xdr:to>
      <xdr:col>20</xdr:col>
      <xdr:colOff>276885</xdr:colOff>
      <xdr:row>140</xdr:row>
      <xdr:rowOff>1269409</xdr:rowOff>
    </xdr:to>
    <xdr:pic>
      <xdr:nvPicPr>
        <xdr:cNvPr id="1129" name="Picture 1128">
          <a:extLst>
            <a:ext uri="{FF2B5EF4-FFF2-40B4-BE49-F238E27FC236}">
              <a16:creationId xmlns:a16="http://schemas.microsoft.com/office/drawing/2014/main" id="{27445C88-0D88-4D2A-BC49-805057A0CA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50125" y="574516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185</xdr:row>
      <xdr:rowOff>281984</xdr:rowOff>
    </xdr:to>
    <xdr:pic>
      <xdr:nvPicPr>
        <xdr:cNvPr id="1130" name="Picture 1129">
          <a:extLst>
            <a:ext uri="{FF2B5EF4-FFF2-40B4-BE49-F238E27FC236}">
              <a16:creationId xmlns:a16="http://schemas.microsoft.com/office/drawing/2014/main" id="{5A2D6449-7537-4712-9946-5170A6C6266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08275" y="74285475"/>
          <a:ext cx="283235" cy="1104309"/>
        </a:xfrm>
        <a:prstGeom prst="rect">
          <a:avLst/>
        </a:prstGeom>
      </xdr:spPr>
    </xdr:pic>
    <xdr:clientData/>
  </xdr:twoCellAnchor>
  <xdr:twoCellAnchor editAs="oneCell">
    <xdr:from>
      <xdr:col>4</xdr:col>
      <xdr:colOff>0</xdr:colOff>
      <xdr:row>243</xdr:row>
      <xdr:rowOff>381000</xdr:rowOff>
    </xdr:from>
    <xdr:to>
      <xdr:col>4</xdr:col>
      <xdr:colOff>299110</xdr:colOff>
      <xdr:row>244</xdr:row>
      <xdr:rowOff>62909</xdr:rowOff>
    </xdr:to>
    <xdr:pic>
      <xdr:nvPicPr>
        <xdr:cNvPr id="1131" name="Picture 1130">
          <a:extLst>
            <a:ext uri="{FF2B5EF4-FFF2-40B4-BE49-F238E27FC236}">
              <a16:creationId xmlns:a16="http://schemas.microsoft.com/office/drawing/2014/main" id="{D7D3E3F5-A9D3-48A0-A302-B23FD56438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30650" y="96469200"/>
          <a:ext cx="299110" cy="526459"/>
        </a:xfrm>
        <a:prstGeom prst="rect">
          <a:avLst/>
        </a:prstGeom>
      </xdr:spPr>
    </xdr:pic>
    <xdr:clientData/>
  </xdr:twoCellAnchor>
  <xdr:twoCellAnchor editAs="oneCell">
    <xdr:from>
      <xdr:col>6</xdr:col>
      <xdr:colOff>25400</xdr:colOff>
      <xdr:row>243</xdr:row>
      <xdr:rowOff>501650</xdr:rowOff>
    </xdr:from>
    <xdr:to>
      <xdr:col>6</xdr:col>
      <xdr:colOff>314985</xdr:colOff>
      <xdr:row>244</xdr:row>
      <xdr:rowOff>62909</xdr:rowOff>
    </xdr:to>
    <xdr:pic>
      <xdr:nvPicPr>
        <xdr:cNvPr id="1132" name="Picture 1131">
          <a:extLst>
            <a:ext uri="{FF2B5EF4-FFF2-40B4-BE49-F238E27FC236}">
              <a16:creationId xmlns:a16="http://schemas.microsoft.com/office/drawing/2014/main" id="{54F7D1F8-F618-4982-A4E0-F2630DE507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62650" y="98815525"/>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202</xdr:row>
      <xdr:rowOff>291509</xdr:rowOff>
    </xdr:to>
    <xdr:pic>
      <xdr:nvPicPr>
        <xdr:cNvPr id="1133" name="Picture 1132">
          <a:extLst>
            <a:ext uri="{FF2B5EF4-FFF2-40B4-BE49-F238E27FC236}">
              <a16:creationId xmlns:a16="http://schemas.microsoft.com/office/drawing/2014/main" id="{A1701F99-C935-49ED-BF1C-E2B89608A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03700" y="79949675"/>
          <a:ext cx="299110" cy="520109"/>
        </a:xfrm>
        <a:prstGeom prst="rect">
          <a:avLst/>
        </a:prstGeom>
      </xdr:spPr>
    </xdr:pic>
    <xdr:clientData/>
  </xdr:twoCellAnchor>
  <xdr:twoCellAnchor editAs="oneCell">
    <xdr:from>
      <xdr:col>18</xdr:col>
      <xdr:colOff>31750</xdr:colOff>
      <xdr:row>122</xdr:row>
      <xdr:rowOff>492125</xdr:rowOff>
    </xdr:from>
    <xdr:to>
      <xdr:col>18</xdr:col>
      <xdr:colOff>324510</xdr:colOff>
      <xdr:row>123</xdr:row>
      <xdr:rowOff>281984</xdr:rowOff>
    </xdr:to>
    <xdr:pic>
      <xdr:nvPicPr>
        <xdr:cNvPr id="1134" name="Picture 1133">
          <a:extLst>
            <a:ext uri="{FF2B5EF4-FFF2-40B4-BE49-F238E27FC236}">
              <a16:creationId xmlns:a16="http://schemas.microsoft.com/office/drawing/2014/main" id="{9C421A2C-ACEC-46DC-88E3-B61290C6AF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195550" y="48491775"/>
          <a:ext cx="292760" cy="526459"/>
        </a:xfrm>
        <a:prstGeom prst="rect">
          <a:avLst/>
        </a:prstGeom>
      </xdr:spPr>
    </xdr:pic>
    <xdr:clientData/>
  </xdr:twoCellAnchor>
  <xdr:twoCellAnchor editAs="oneCell">
    <xdr:from>
      <xdr:col>26</xdr:col>
      <xdr:colOff>0</xdr:colOff>
      <xdr:row>209</xdr:row>
      <xdr:rowOff>523875</xdr:rowOff>
    </xdr:from>
    <xdr:to>
      <xdr:col>26</xdr:col>
      <xdr:colOff>299110</xdr:colOff>
      <xdr:row>210</xdr:row>
      <xdr:rowOff>12109</xdr:rowOff>
    </xdr:to>
    <xdr:pic>
      <xdr:nvPicPr>
        <xdr:cNvPr id="1135" name="Picture 1134">
          <a:extLst>
            <a:ext uri="{FF2B5EF4-FFF2-40B4-BE49-F238E27FC236}">
              <a16:creationId xmlns:a16="http://schemas.microsoft.com/office/drawing/2014/main" id="{82736281-8C98-49AD-BBB9-1759EA075F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780500" y="83162775"/>
          <a:ext cx="299110" cy="526459"/>
        </a:xfrm>
        <a:prstGeom prst="rect">
          <a:avLst/>
        </a:prstGeom>
      </xdr:spPr>
    </xdr:pic>
    <xdr:clientData/>
  </xdr:twoCellAnchor>
  <xdr:twoCellAnchor editAs="oneCell">
    <xdr:from>
      <xdr:col>16</xdr:col>
      <xdr:colOff>31750</xdr:colOff>
      <xdr:row>122</xdr:row>
      <xdr:rowOff>396875</xdr:rowOff>
    </xdr:from>
    <xdr:to>
      <xdr:col>16</xdr:col>
      <xdr:colOff>330860</xdr:colOff>
      <xdr:row>123</xdr:row>
      <xdr:rowOff>278809</xdr:rowOff>
    </xdr:to>
    <xdr:pic>
      <xdr:nvPicPr>
        <xdr:cNvPr id="1136" name="Picture 1135">
          <a:extLst>
            <a:ext uri="{FF2B5EF4-FFF2-40B4-BE49-F238E27FC236}">
              <a16:creationId xmlns:a16="http://schemas.microsoft.com/office/drawing/2014/main" id="{71857CDF-24AC-40F9-B566-9454A804C7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33450" y="48396525"/>
          <a:ext cx="299110" cy="523284"/>
        </a:xfrm>
        <a:prstGeom prst="rect">
          <a:avLst/>
        </a:prstGeom>
      </xdr:spPr>
    </xdr:pic>
    <xdr:clientData/>
  </xdr:twoCellAnchor>
  <xdr:twoCellAnchor editAs="oneCell">
    <xdr:from>
      <xdr:col>16</xdr:col>
      <xdr:colOff>0</xdr:colOff>
      <xdr:row>193</xdr:row>
      <xdr:rowOff>355600</xdr:rowOff>
    </xdr:from>
    <xdr:to>
      <xdr:col>16</xdr:col>
      <xdr:colOff>299110</xdr:colOff>
      <xdr:row>194</xdr:row>
      <xdr:rowOff>278809</xdr:rowOff>
    </xdr:to>
    <xdr:pic>
      <xdr:nvPicPr>
        <xdr:cNvPr id="1137" name="Picture 1136">
          <a:extLst>
            <a:ext uri="{FF2B5EF4-FFF2-40B4-BE49-F238E27FC236}">
              <a16:creationId xmlns:a16="http://schemas.microsoft.com/office/drawing/2014/main" id="{D6FBAF17-316B-4B72-B66F-0335CA25ED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01700" y="76866750"/>
          <a:ext cx="299110" cy="520109"/>
        </a:xfrm>
        <a:prstGeom prst="rect">
          <a:avLst/>
        </a:prstGeom>
      </xdr:spPr>
    </xdr:pic>
    <xdr:clientData/>
  </xdr:twoCellAnchor>
  <xdr:twoCellAnchor editAs="oneCell">
    <xdr:from>
      <xdr:col>18</xdr:col>
      <xdr:colOff>12700</xdr:colOff>
      <xdr:row>193</xdr:row>
      <xdr:rowOff>431800</xdr:rowOff>
    </xdr:from>
    <xdr:to>
      <xdr:col>18</xdr:col>
      <xdr:colOff>311810</xdr:colOff>
      <xdr:row>194</xdr:row>
      <xdr:rowOff>278809</xdr:rowOff>
    </xdr:to>
    <xdr:pic>
      <xdr:nvPicPr>
        <xdr:cNvPr id="1138" name="Picture 1137">
          <a:extLst>
            <a:ext uri="{FF2B5EF4-FFF2-40B4-BE49-F238E27FC236}">
              <a16:creationId xmlns:a16="http://schemas.microsoft.com/office/drawing/2014/main" id="{C710B023-235C-4021-8513-3C2EA0CD50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176500" y="76942950"/>
          <a:ext cx="299110" cy="520109"/>
        </a:xfrm>
        <a:prstGeom prst="rect">
          <a:avLst/>
        </a:prstGeom>
      </xdr:spPr>
    </xdr:pic>
    <xdr:clientData/>
  </xdr:twoCellAnchor>
  <xdr:twoCellAnchor editAs="oneCell">
    <xdr:from>
      <xdr:col>4</xdr:col>
      <xdr:colOff>0</xdr:colOff>
      <xdr:row>201</xdr:row>
      <xdr:rowOff>301625</xdr:rowOff>
    </xdr:from>
    <xdr:to>
      <xdr:col>4</xdr:col>
      <xdr:colOff>299110</xdr:colOff>
      <xdr:row>202</xdr:row>
      <xdr:rowOff>291509</xdr:rowOff>
    </xdr:to>
    <xdr:pic>
      <xdr:nvPicPr>
        <xdr:cNvPr id="1139" name="Picture 1138">
          <a:extLst>
            <a:ext uri="{FF2B5EF4-FFF2-40B4-BE49-F238E27FC236}">
              <a16:creationId xmlns:a16="http://schemas.microsoft.com/office/drawing/2014/main" id="{F80E3E59-3ACB-424C-A5B0-81D804D3BC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30650" y="79854425"/>
          <a:ext cx="299110" cy="520109"/>
        </a:xfrm>
        <a:prstGeom prst="rect">
          <a:avLst/>
        </a:prstGeom>
      </xdr:spPr>
    </xdr:pic>
    <xdr:clientData/>
  </xdr:twoCellAnchor>
  <xdr:twoCellAnchor editAs="oneCell">
    <xdr:from>
      <xdr:col>6</xdr:col>
      <xdr:colOff>0</xdr:colOff>
      <xdr:row>202</xdr:row>
      <xdr:rowOff>15875</xdr:rowOff>
    </xdr:from>
    <xdr:to>
      <xdr:col>6</xdr:col>
      <xdr:colOff>299110</xdr:colOff>
      <xdr:row>204</xdr:row>
      <xdr:rowOff>174034</xdr:rowOff>
    </xdr:to>
    <xdr:pic>
      <xdr:nvPicPr>
        <xdr:cNvPr id="1140" name="Picture 1139">
          <a:extLst>
            <a:ext uri="{FF2B5EF4-FFF2-40B4-BE49-F238E27FC236}">
              <a16:creationId xmlns:a16="http://schemas.microsoft.com/office/drawing/2014/main" id="{6FE083D4-D5CF-48AC-B856-B3FB9E688C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92750" y="80121125"/>
          <a:ext cx="299110" cy="526459"/>
        </a:xfrm>
        <a:prstGeom prst="rect">
          <a:avLst/>
        </a:prstGeom>
      </xdr:spPr>
    </xdr:pic>
    <xdr:clientData/>
  </xdr:twoCellAnchor>
  <xdr:twoCellAnchor editAs="oneCell">
    <xdr:from>
      <xdr:col>12</xdr:col>
      <xdr:colOff>0</xdr:colOff>
      <xdr:row>225</xdr:row>
      <xdr:rowOff>428625</xdr:rowOff>
    </xdr:from>
    <xdr:to>
      <xdr:col>12</xdr:col>
      <xdr:colOff>299110</xdr:colOff>
      <xdr:row>227</xdr:row>
      <xdr:rowOff>166626</xdr:rowOff>
    </xdr:to>
    <xdr:pic>
      <xdr:nvPicPr>
        <xdr:cNvPr id="1141" name="Picture 1140">
          <a:extLst>
            <a:ext uri="{FF2B5EF4-FFF2-40B4-BE49-F238E27FC236}">
              <a16:creationId xmlns:a16="http://schemas.microsoft.com/office/drawing/2014/main" id="{4732A452-F4D1-4C9A-810F-7D435591C82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00" y="89703275"/>
          <a:ext cx="299110" cy="595251"/>
        </a:xfrm>
        <a:prstGeom prst="rect">
          <a:avLst/>
        </a:prstGeom>
      </xdr:spPr>
    </xdr:pic>
    <xdr:clientData/>
  </xdr:twoCellAnchor>
  <xdr:twoCellAnchor editAs="oneCell">
    <xdr:from>
      <xdr:col>12</xdr:col>
      <xdr:colOff>38100</xdr:colOff>
      <xdr:row>217</xdr:row>
      <xdr:rowOff>495300</xdr:rowOff>
    </xdr:from>
    <xdr:to>
      <xdr:col>12</xdr:col>
      <xdr:colOff>337210</xdr:colOff>
      <xdr:row>218</xdr:row>
      <xdr:rowOff>59734</xdr:rowOff>
    </xdr:to>
    <xdr:pic>
      <xdr:nvPicPr>
        <xdr:cNvPr id="1142" name="Picture 1141">
          <a:extLst>
            <a:ext uri="{FF2B5EF4-FFF2-40B4-BE49-F238E27FC236}">
              <a16:creationId xmlns:a16="http://schemas.microsoft.com/office/drawing/2014/main" id="{D12A30C6-7355-4B6E-BA68-4433B16B44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15600" y="86582250"/>
          <a:ext cx="299110" cy="523284"/>
        </a:xfrm>
        <a:prstGeom prst="rect">
          <a:avLst/>
        </a:prstGeom>
      </xdr:spPr>
    </xdr:pic>
    <xdr:clientData/>
  </xdr:twoCellAnchor>
  <xdr:twoCellAnchor editAs="oneCell">
    <xdr:from>
      <xdr:col>18</xdr:col>
      <xdr:colOff>0</xdr:colOff>
      <xdr:row>185</xdr:row>
      <xdr:rowOff>111125</xdr:rowOff>
    </xdr:from>
    <xdr:to>
      <xdr:col>18</xdr:col>
      <xdr:colOff>299110</xdr:colOff>
      <xdr:row>187</xdr:row>
      <xdr:rowOff>513759</xdr:rowOff>
    </xdr:to>
    <xdr:pic>
      <xdr:nvPicPr>
        <xdr:cNvPr id="1143" name="Picture 1142">
          <a:extLst>
            <a:ext uri="{FF2B5EF4-FFF2-40B4-BE49-F238E27FC236}">
              <a16:creationId xmlns:a16="http://schemas.microsoft.com/office/drawing/2014/main" id="{60EA10B7-5461-4831-A040-FE98E8C216D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163800" y="73675875"/>
          <a:ext cx="299110" cy="526459"/>
        </a:xfrm>
        <a:prstGeom prst="rect">
          <a:avLst/>
        </a:prstGeom>
      </xdr:spPr>
    </xdr:pic>
    <xdr:clientData/>
  </xdr:twoCellAnchor>
  <xdr:twoCellAnchor editAs="oneCell">
    <xdr:from>
      <xdr:col>22</xdr:col>
      <xdr:colOff>0</xdr:colOff>
      <xdr:row>141</xdr:row>
      <xdr:rowOff>63500</xdr:rowOff>
    </xdr:from>
    <xdr:to>
      <xdr:col>22</xdr:col>
      <xdr:colOff>292760</xdr:colOff>
      <xdr:row>144</xdr:row>
      <xdr:rowOff>37509</xdr:rowOff>
    </xdr:to>
    <xdr:pic>
      <xdr:nvPicPr>
        <xdr:cNvPr id="1144" name="Picture 1143">
          <a:extLst>
            <a:ext uri="{FF2B5EF4-FFF2-40B4-BE49-F238E27FC236}">
              <a16:creationId xmlns:a16="http://schemas.microsoft.com/office/drawing/2014/main" id="{F2B655B0-1C2F-41D1-848D-DBB4FC0519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65800" y="56222900"/>
          <a:ext cx="292760" cy="5264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45" name="AutoShape 46">
          <a:extLst>
            <a:ext uri="{FF2B5EF4-FFF2-40B4-BE49-F238E27FC236}">
              <a16:creationId xmlns:a16="http://schemas.microsoft.com/office/drawing/2014/main" id="{1C85829C-F557-4506-84AE-492AD92B0921}"/>
            </a:ext>
          </a:extLst>
        </xdr:cNvPr>
        <xdr:cNvSpPr>
          <a:spLocks noChangeArrowheads="1"/>
        </xdr:cNvSpPr>
      </xdr:nvSpPr>
      <xdr:spPr bwMode="auto">
        <a:xfrm>
          <a:off x="14382750" y="1049147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46" name="AutoShape 46">
          <a:extLst>
            <a:ext uri="{FF2B5EF4-FFF2-40B4-BE49-F238E27FC236}">
              <a16:creationId xmlns:a16="http://schemas.microsoft.com/office/drawing/2014/main" id="{F0993307-A67D-4C4D-9FA3-035038B7637A}"/>
            </a:ext>
          </a:extLst>
        </xdr:cNvPr>
        <xdr:cNvSpPr>
          <a:spLocks noChangeArrowheads="1"/>
        </xdr:cNvSpPr>
      </xdr:nvSpPr>
      <xdr:spPr bwMode="auto">
        <a:xfrm>
          <a:off x="14382750" y="1049147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47" name="AutoShape 46">
          <a:extLst>
            <a:ext uri="{FF2B5EF4-FFF2-40B4-BE49-F238E27FC236}">
              <a16:creationId xmlns:a16="http://schemas.microsoft.com/office/drawing/2014/main" id="{4A89D852-8B2A-4410-9D06-7321709964BE}"/>
            </a:ext>
          </a:extLst>
        </xdr:cNvPr>
        <xdr:cNvSpPr>
          <a:spLocks noChangeArrowheads="1"/>
        </xdr:cNvSpPr>
      </xdr:nvSpPr>
      <xdr:spPr bwMode="auto">
        <a:xfrm>
          <a:off x="20999450" y="116687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48" name="AutoShape 46">
          <a:extLst>
            <a:ext uri="{FF2B5EF4-FFF2-40B4-BE49-F238E27FC236}">
              <a16:creationId xmlns:a16="http://schemas.microsoft.com/office/drawing/2014/main" id="{C5D48806-2FC5-4F06-996F-247F9F2444CD}"/>
            </a:ext>
          </a:extLst>
        </xdr:cNvPr>
        <xdr:cNvSpPr>
          <a:spLocks noChangeArrowheads="1"/>
        </xdr:cNvSpPr>
      </xdr:nvSpPr>
      <xdr:spPr bwMode="auto">
        <a:xfrm>
          <a:off x="20999450" y="1166876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49" name="AutoShape 46">
          <a:extLst>
            <a:ext uri="{FF2B5EF4-FFF2-40B4-BE49-F238E27FC236}">
              <a16:creationId xmlns:a16="http://schemas.microsoft.com/office/drawing/2014/main" id="{1CE36B2A-ECED-4E87-94D7-40BFCFB00F5C}"/>
            </a:ext>
          </a:extLst>
        </xdr:cNvPr>
        <xdr:cNvSpPr>
          <a:spLocks noChangeArrowheads="1"/>
        </xdr:cNvSpPr>
      </xdr:nvSpPr>
      <xdr:spPr bwMode="auto">
        <a:xfrm>
          <a:off x="20999450" y="1166876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50" name="Freeform 1130">
          <a:extLst>
            <a:ext uri="{FF2B5EF4-FFF2-40B4-BE49-F238E27FC236}">
              <a16:creationId xmlns:a16="http://schemas.microsoft.com/office/drawing/2014/main" id="{9D2012FE-67D4-4F6C-9F11-5E7EA291D83A}"/>
            </a:ext>
          </a:extLst>
        </xdr:cNvPr>
        <xdr:cNvSpPr>
          <a:spLocks noChangeArrowheads="1"/>
        </xdr:cNvSpPr>
      </xdr:nvSpPr>
      <xdr:spPr bwMode="auto">
        <a:xfrm rot="5139476">
          <a:off x="18533626" y="101759190"/>
          <a:ext cx="655305" cy="7810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185</xdr:row>
      <xdr:rowOff>281985</xdr:rowOff>
    </xdr:to>
    <xdr:pic>
      <xdr:nvPicPr>
        <xdr:cNvPr id="1151" name="Picture 1150">
          <a:extLst>
            <a:ext uri="{FF2B5EF4-FFF2-40B4-BE49-F238E27FC236}">
              <a16:creationId xmlns:a16="http://schemas.microsoft.com/office/drawing/2014/main" id="{27107B8A-D4A6-4BEC-91AE-FC42ED87CE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39600" y="73548875"/>
          <a:ext cx="299110" cy="526460"/>
        </a:xfrm>
        <a:prstGeom prst="rect">
          <a:avLst/>
        </a:prstGeom>
      </xdr:spPr>
    </xdr:pic>
    <xdr:clientData/>
  </xdr:twoCellAnchor>
  <xdr:twoCellAnchor editAs="oneCell">
    <xdr:from>
      <xdr:col>26</xdr:col>
      <xdr:colOff>0</xdr:colOff>
      <xdr:row>201</xdr:row>
      <xdr:rowOff>508000</xdr:rowOff>
    </xdr:from>
    <xdr:to>
      <xdr:col>26</xdr:col>
      <xdr:colOff>299110</xdr:colOff>
      <xdr:row>202</xdr:row>
      <xdr:rowOff>297860</xdr:rowOff>
    </xdr:to>
    <xdr:pic>
      <xdr:nvPicPr>
        <xdr:cNvPr id="1152" name="Picture 1151">
          <a:extLst>
            <a:ext uri="{FF2B5EF4-FFF2-40B4-BE49-F238E27FC236}">
              <a16:creationId xmlns:a16="http://schemas.microsoft.com/office/drawing/2014/main" id="{28365DDF-35D6-4DAF-8BED-F9B6061503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780500" y="80060800"/>
          <a:ext cx="299110" cy="523285"/>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53" name="Picture 7">
          <a:extLst>
            <a:ext uri="{FF2B5EF4-FFF2-40B4-BE49-F238E27FC236}">
              <a16:creationId xmlns:a16="http://schemas.microsoft.com/office/drawing/2014/main" id="{CCDA24A1-B264-4FF7-A823-52DC721D80B9}"/>
            </a:ext>
          </a:extLst>
        </xdr:cNvPr>
        <xdr:cNvPicPr>
          <a:picLocks noChangeAspect="1"/>
        </xdr:cNvPicPr>
      </xdr:nvPicPr>
      <xdr:blipFill>
        <a:blip xmlns:r="http://schemas.openxmlformats.org/officeDocument/2006/relationships" r:embed="rId1" cstate="print"/>
        <a:srcRect/>
        <a:stretch>
          <a:fillRect/>
        </a:stretch>
      </xdr:blipFill>
      <xdr:spPr bwMode="auto">
        <a:xfrm>
          <a:off x="2540000" y="30988000"/>
          <a:ext cx="377675" cy="1240742"/>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54" name="AutoShape 46">
          <a:extLst>
            <a:ext uri="{FF2B5EF4-FFF2-40B4-BE49-F238E27FC236}">
              <a16:creationId xmlns:a16="http://schemas.microsoft.com/office/drawing/2014/main" id="{2C4079B0-E2C9-4D37-B828-0B6979BD3516}"/>
            </a:ext>
          </a:extLst>
        </xdr:cNvPr>
        <xdr:cNvSpPr>
          <a:spLocks noChangeArrowheads="1"/>
        </xdr:cNvSpPr>
      </xdr:nvSpPr>
      <xdr:spPr bwMode="auto">
        <a:xfrm>
          <a:off x="9696450" y="371094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55" name="Equals 2636">
          <a:extLst>
            <a:ext uri="{FF2B5EF4-FFF2-40B4-BE49-F238E27FC236}">
              <a16:creationId xmlns:a16="http://schemas.microsoft.com/office/drawing/2014/main" id="{D044D4B8-515B-466A-89E1-A73177CFC7A9}"/>
            </a:ext>
          </a:extLst>
        </xdr:cNvPr>
        <xdr:cNvSpPr/>
      </xdr:nvSpPr>
      <xdr:spPr>
        <a:xfrm rot="5400000">
          <a:off x="8566376" y="4428467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56" name="Equals 2636">
          <a:extLst>
            <a:ext uri="{FF2B5EF4-FFF2-40B4-BE49-F238E27FC236}">
              <a16:creationId xmlns:a16="http://schemas.microsoft.com/office/drawing/2014/main" id="{7B776136-43D4-4F76-A62A-9620018AC1CE}"/>
            </a:ext>
          </a:extLst>
        </xdr:cNvPr>
        <xdr:cNvSpPr/>
      </xdr:nvSpPr>
      <xdr:spPr>
        <a:xfrm rot="5400000">
          <a:off x="19947164" y="4756921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57" name="Block Arc 1156">
          <a:extLst>
            <a:ext uri="{FF2B5EF4-FFF2-40B4-BE49-F238E27FC236}">
              <a16:creationId xmlns:a16="http://schemas.microsoft.com/office/drawing/2014/main" id="{C1A47683-F9EE-4A87-B216-18D837F19BC6}"/>
            </a:ext>
          </a:extLst>
        </xdr:cNvPr>
        <xdr:cNvSpPr/>
      </xdr:nvSpPr>
      <xdr:spPr>
        <a:xfrm>
          <a:off x="13601700" y="116859050"/>
          <a:ext cx="83185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58" name="Equals 2636">
          <a:extLst>
            <a:ext uri="{FF2B5EF4-FFF2-40B4-BE49-F238E27FC236}">
              <a16:creationId xmlns:a16="http://schemas.microsoft.com/office/drawing/2014/main" id="{0EC01621-792F-48E2-ADD9-75F59B885676}"/>
            </a:ext>
          </a:extLst>
        </xdr:cNvPr>
        <xdr:cNvSpPr/>
      </xdr:nvSpPr>
      <xdr:spPr>
        <a:xfrm rot="5400000">
          <a:off x="23180372" y="9895235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59" name="Equals 2636">
          <a:extLst>
            <a:ext uri="{FF2B5EF4-FFF2-40B4-BE49-F238E27FC236}">
              <a16:creationId xmlns:a16="http://schemas.microsoft.com/office/drawing/2014/main" id="{615B6BD2-4141-4813-B794-F71FC8BD14B7}"/>
            </a:ext>
          </a:extLst>
        </xdr:cNvPr>
        <xdr:cNvSpPr/>
      </xdr:nvSpPr>
      <xdr:spPr>
        <a:xfrm rot="5400000">
          <a:off x="8848725" y="7907972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60" name="Block Arc 1159">
          <a:extLst>
            <a:ext uri="{FF2B5EF4-FFF2-40B4-BE49-F238E27FC236}">
              <a16:creationId xmlns:a16="http://schemas.microsoft.com/office/drawing/2014/main" id="{F3C4E26D-1A4A-4774-BA6F-49231EED842C}"/>
            </a:ext>
          </a:extLst>
        </xdr:cNvPr>
        <xdr:cNvSpPr/>
      </xdr:nvSpPr>
      <xdr:spPr>
        <a:xfrm>
          <a:off x="7162800" y="105098850"/>
          <a:ext cx="7747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61" name="Block Arc 1160">
          <a:extLst>
            <a:ext uri="{FF2B5EF4-FFF2-40B4-BE49-F238E27FC236}">
              <a16:creationId xmlns:a16="http://schemas.microsoft.com/office/drawing/2014/main" id="{1AE11FB1-ECB3-460C-82B1-862765D4A87B}"/>
            </a:ext>
          </a:extLst>
        </xdr:cNvPr>
        <xdr:cNvSpPr/>
      </xdr:nvSpPr>
      <xdr:spPr>
        <a:xfrm>
          <a:off x="18465800" y="85667850"/>
          <a:ext cx="83185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62" name="Block Arc 1161">
          <a:extLst>
            <a:ext uri="{FF2B5EF4-FFF2-40B4-BE49-F238E27FC236}">
              <a16:creationId xmlns:a16="http://schemas.microsoft.com/office/drawing/2014/main" id="{6F656BEB-56E9-4A65-A459-5BA83CB63ED5}"/>
            </a:ext>
          </a:extLst>
        </xdr:cNvPr>
        <xdr:cNvSpPr/>
      </xdr:nvSpPr>
      <xdr:spPr>
        <a:xfrm>
          <a:off x="5556250" y="8553132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63" name="Equals 2636">
          <a:extLst>
            <a:ext uri="{FF2B5EF4-FFF2-40B4-BE49-F238E27FC236}">
              <a16:creationId xmlns:a16="http://schemas.microsoft.com/office/drawing/2014/main" id="{E0CFC032-DBAE-47E7-8F77-0E534F884286}"/>
            </a:ext>
          </a:extLst>
        </xdr:cNvPr>
        <xdr:cNvSpPr/>
      </xdr:nvSpPr>
      <xdr:spPr>
        <a:xfrm rot="5400000">
          <a:off x="16840200" y="616648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28</xdr:col>
      <xdr:colOff>712712</xdr:colOff>
      <xdr:row>299</xdr:row>
      <xdr:rowOff>111125</xdr:rowOff>
    </xdr:to>
    <xdr:grpSp>
      <xdr:nvGrpSpPr>
        <xdr:cNvPr id="1164" name="Group 1115">
          <a:extLst>
            <a:ext uri="{FF2B5EF4-FFF2-40B4-BE49-F238E27FC236}">
              <a16:creationId xmlns:a16="http://schemas.microsoft.com/office/drawing/2014/main" id="{4321B8C8-41B7-4BB5-B552-494AE6E9DFDF}"/>
            </a:ext>
          </a:extLst>
        </xdr:cNvPr>
        <xdr:cNvGrpSpPr>
          <a:grpSpLocks/>
        </xdr:cNvGrpSpPr>
      </xdr:nvGrpSpPr>
      <xdr:grpSpPr bwMode="auto">
        <a:xfrm>
          <a:off x="31157333" y="145770600"/>
          <a:ext cx="479879" cy="1089025"/>
          <a:chOff x="5424645" y="49113913"/>
          <a:chExt cx="313716" cy="343844"/>
        </a:xfrm>
      </xdr:grpSpPr>
      <xdr:cxnSp macro="">
        <xdr:nvCxnSpPr>
          <xdr:cNvPr id="1165" name="Straight Connector 1107">
            <a:extLst>
              <a:ext uri="{FF2B5EF4-FFF2-40B4-BE49-F238E27FC236}">
                <a16:creationId xmlns:a16="http://schemas.microsoft.com/office/drawing/2014/main" id="{964B0B8C-91EE-3070-5397-2F22CBE805BA}"/>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66" name="Straight Connector 1108">
            <a:extLst>
              <a:ext uri="{FF2B5EF4-FFF2-40B4-BE49-F238E27FC236}">
                <a16:creationId xmlns:a16="http://schemas.microsoft.com/office/drawing/2014/main" id="{A2CEC1E4-D419-3C10-A8F9-3C6555FA2602}"/>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7" name="Straight Connector 1109">
            <a:extLst>
              <a:ext uri="{FF2B5EF4-FFF2-40B4-BE49-F238E27FC236}">
                <a16:creationId xmlns:a16="http://schemas.microsoft.com/office/drawing/2014/main" id="{E714B92C-5466-DEFF-147B-A04F133D4C8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8" name="Straight Connector 1111">
            <a:extLst>
              <a:ext uri="{FF2B5EF4-FFF2-40B4-BE49-F238E27FC236}">
                <a16:creationId xmlns:a16="http://schemas.microsoft.com/office/drawing/2014/main" id="{F0C7BD43-83A5-C7D9-45D7-8D75EFE2584D}"/>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9" name="Straight Connector 1112">
            <a:extLst>
              <a:ext uri="{FF2B5EF4-FFF2-40B4-BE49-F238E27FC236}">
                <a16:creationId xmlns:a16="http://schemas.microsoft.com/office/drawing/2014/main" id="{7060C0A1-472B-8552-8F79-FBBBE991A55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70" name="Straight Connector 1113">
            <a:extLst>
              <a:ext uri="{FF2B5EF4-FFF2-40B4-BE49-F238E27FC236}">
                <a16:creationId xmlns:a16="http://schemas.microsoft.com/office/drawing/2014/main" id="{E12EEC7A-9BEC-ACF2-0548-C68927F5F65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71" name="Straight Connector 1114">
            <a:extLst>
              <a:ext uri="{FF2B5EF4-FFF2-40B4-BE49-F238E27FC236}">
                <a16:creationId xmlns:a16="http://schemas.microsoft.com/office/drawing/2014/main" id="{CEC6E4A9-95C5-69FC-0B30-5104283FB7D9}"/>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72" name="Block Arc 1171">
          <a:extLst>
            <a:ext uri="{FF2B5EF4-FFF2-40B4-BE49-F238E27FC236}">
              <a16:creationId xmlns:a16="http://schemas.microsoft.com/office/drawing/2014/main" id="{FF1D1CC2-CC42-49B2-ADEF-535EC44F5D39}"/>
            </a:ext>
          </a:extLst>
        </xdr:cNvPr>
        <xdr:cNvSpPr/>
      </xdr:nvSpPr>
      <xdr:spPr>
        <a:xfrm>
          <a:off x="10477500" y="3705225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73" name="Picture 7">
          <a:extLst>
            <a:ext uri="{FF2B5EF4-FFF2-40B4-BE49-F238E27FC236}">
              <a16:creationId xmlns:a16="http://schemas.microsoft.com/office/drawing/2014/main" id="{147479E2-3CC2-4A81-AEA0-CCC448C90C00}"/>
            </a:ext>
          </a:extLst>
        </xdr:cNvPr>
        <xdr:cNvPicPr>
          <a:picLocks noChangeAspect="1"/>
        </xdr:cNvPicPr>
      </xdr:nvPicPr>
      <xdr:blipFill>
        <a:blip xmlns:r="http://schemas.openxmlformats.org/officeDocument/2006/relationships" r:embed="rId1" cstate="print"/>
        <a:srcRect/>
        <a:stretch>
          <a:fillRect/>
        </a:stretch>
      </xdr:blipFill>
      <xdr:spPr bwMode="auto">
        <a:xfrm>
          <a:off x="15316200" y="1103058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74" name="Block Arc 1173">
          <a:extLst>
            <a:ext uri="{FF2B5EF4-FFF2-40B4-BE49-F238E27FC236}">
              <a16:creationId xmlns:a16="http://schemas.microsoft.com/office/drawing/2014/main" id="{E125543A-A48F-4E49-8D3F-29218CDE0FD5}"/>
            </a:ext>
          </a:extLst>
        </xdr:cNvPr>
        <xdr:cNvSpPr/>
      </xdr:nvSpPr>
      <xdr:spPr>
        <a:xfrm>
          <a:off x="23437850" y="306197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75" name="Group 1115">
          <a:extLst>
            <a:ext uri="{FF2B5EF4-FFF2-40B4-BE49-F238E27FC236}">
              <a16:creationId xmlns:a16="http://schemas.microsoft.com/office/drawing/2014/main" id="{FB30C7D4-2D30-49A0-A073-547F5D1C177D}"/>
            </a:ext>
          </a:extLst>
        </xdr:cNvPr>
        <xdr:cNvGrpSpPr>
          <a:grpSpLocks/>
        </xdr:cNvGrpSpPr>
      </xdr:nvGrpSpPr>
      <xdr:grpSpPr bwMode="auto">
        <a:xfrm>
          <a:off x="31530925" y="2841625"/>
          <a:ext cx="721179" cy="1676400"/>
          <a:chOff x="5424645" y="49113913"/>
          <a:chExt cx="313716" cy="343844"/>
        </a:xfrm>
      </xdr:grpSpPr>
      <xdr:cxnSp macro="">
        <xdr:nvCxnSpPr>
          <xdr:cNvPr id="1176" name="Straight Connector 1107">
            <a:extLst>
              <a:ext uri="{FF2B5EF4-FFF2-40B4-BE49-F238E27FC236}">
                <a16:creationId xmlns:a16="http://schemas.microsoft.com/office/drawing/2014/main" id="{DD262E3F-3738-CAF5-F8F8-94A024123666}"/>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77" name="Straight Connector 1108">
            <a:extLst>
              <a:ext uri="{FF2B5EF4-FFF2-40B4-BE49-F238E27FC236}">
                <a16:creationId xmlns:a16="http://schemas.microsoft.com/office/drawing/2014/main" id="{8AED0BF2-A1B7-E714-0E65-8ABB77EABC62}"/>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78" name="Straight Connector 1109">
            <a:extLst>
              <a:ext uri="{FF2B5EF4-FFF2-40B4-BE49-F238E27FC236}">
                <a16:creationId xmlns:a16="http://schemas.microsoft.com/office/drawing/2014/main" id="{03B9FEC5-A1CE-660D-255C-9A224509E011}"/>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79" name="Straight Connector 1111">
            <a:extLst>
              <a:ext uri="{FF2B5EF4-FFF2-40B4-BE49-F238E27FC236}">
                <a16:creationId xmlns:a16="http://schemas.microsoft.com/office/drawing/2014/main" id="{330A6DC9-33FE-A336-5417-0DFE3878191F}"/>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80" name="Straight Connector 1112">
            <a:extLst>
              <a:ext uri="{FF2B5EF4-FFF2-40B4-BE49-F238E27FC236}">
                <a16:creationId xmlns:a16="http://schemas.microsoft.com/office/drawing/2014/main" id="{321F74B4-0C52-8406-3871-B863EF25524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81" name="Straight Connector 1113">
            <a:extLst>
              <a:ext uri="{FF2B5EF4-FFF2-40B4-BE49-F238E27FC236}">
                <a16:creationId xmlns:a16="http://schemas.microsoft.com/office/drawing/2014/main" id="{2C7398BD-76BD-FF52-87C7-2EE3420E8D20}"/>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82" name="Straight Connector 1114">
            <a:extLst>
              <a:ext uri="{FF2B5EF4-FFF2-40B4-BE49-F238E27FC236}">
                <a16:creationId xmlns:a16="http://schemas.microsoft.com/office/drawing/2014/main" id="{D9B87CB1-8D61-9C58-E358-CFCAD5FFE2E8}"/>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83" name="Block Arc 1182">
          <a:extLst>
            <a:ext uri="{FF2B5EF4-FFF2-40B4-BE49-F238E27FC236}">
              <a16:creationId xmlns:a16="http://schemas.microsoft.com/office/drawing/2014/main" id="{E189A84E-748E-4F08-B9A6-CF228A0C1E06}"/>
            </a:ext>
          </a:extLst>
        </xdr:cNvPr>
        <xdr:cNvSpPr/>
      </xdr:nvSpPr>
      <xdr:spPr>
        <a:xfrm>
          <a:off x="14382750" y="4381500"/>
          <a:ext cx="831850" cy="7089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84" name="Equals 2636">
          <a:extLst>
            <a:ext uri="{FF2B5EF4-FFF2-40B4-BE49-F238E27FC236}">
              <a16:creationId xmlns:a16="http://schemas.microsoft.com/office/drawing/2014/main" id="{57002A8E-2B09-40D5-9CC8-338C294F075F}"/>
            </a:ext>
          </a:extLst>
        </xdr:cNvPr>
        <xdr:cNvSpPr/>
      </xdr:nvSpPr>
      <xdr:spPr>
        <a:xfrm rot="5400000">
          <a:off x="20697825" y="4117975"/>
          <a:ext cx="10858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85" name="Equals 2636">
          <a:extLst>
            <a:ext uri="{FF2B5EF4-FFF2-40B4-BE49-F238E27FC236}">
              <a16:creationId xmlns:a16="http://schemas.microsoft.com/office/drawing/2014/main" id="{BFD9A1B2-ED89-47E7-9480-48954556AC7B}"/>
            </a:ext>
          </a:extLst>
        </xdr:cNvPr>
        <xdr:cNvSpPr/>
      </xdr:nvSpPr>
      <xdr:spPr>
        <a:xfrm rot="5400000">
          <a:off x="21586824" y="4152901"/>
          <a:ext cx="11599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295</xdr:row>
      <xdr:rowOff>158735</xdr:rowOff>
    </xdr:to>
    <xdr:pic>
      <xdr:nvPicPr>
        <xdr:cNvPr id="1186" name="Picture 1185">
          <a:extLst>
            <a:ext uri="{FF2B5EF4-FFF2-40B4-BE49-F238E27FC236}">
              <a16:creationId xmlns:a16="http://schemas.microsoft.com/office/drawing/2014/main" id="{FE488A98-E230-4B9E-BB39-6EA354972D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35455" y="115593089"/>
          <a:ext cx="299110" cy="1255554"/>
        </a:xfrm>
        <a:prstGeom prst="rect">
          <a:avLst/>
        </a:prstGeom>
      </xdr:spPr>
    </xdr:pic>
    <xdr:clientData/>
  </xdr:twoCellAnchor>
  <xdr:twoCellAnchor editAs="oneCell">
    <xdr:from>
      <xdr:col>22</xdr:col>
      <xdr:colOff>0</xdr:colOff>
      <xdr:row>202</xdr:row>
      <xdr:rowOff>253998</xdr:rowOff>
    </xdr:from>
    <xdr:to>
      <xdr:col>22</xdr:col>
      <xdr:colOff>299110</xdr:colOff>
      <xdr:row>205</xdr:row>
      <xdr:rowOff>228006</xdr:rowOff>
    </xdr:to>
    <xdr:pic>
      <xdr:nvPicPr>
        <xdr:cNvPr id="1187" name="Picture 1186">
          <a:extLst>
            <a:ext uri="{FF2B5EF4-FFF2-40B4-BE49-F238E27FC236}">
              <a16:creationId xmlns:a16="http://schemas.microsoft.com/office/drawing/2014/main" id="{3B6CA85D-70D6-4CD7-AB25-FBE332AF6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84636" y="80945180"/>
          <a:ext cx="299110" cy="1255554"/>
        </a:xfrm>
        <a:prstGeom prst="rect">
          <a:avLst/>
        </a:prstGeom>
      </xdr:spPr>
    </xdr:pic>
    <xdr:clientData/>
  </xdr:twoCellAnchor>
  <xdr:twoCellAnchor editAs="oneCell">
    <xdr:from>
      <xdr:col>10</xdr:col>
      <xdr:colOff>0</xdr:colOff>
      <xdr:row>291</xdr:row>
      <xdr:rowOff>473361</xdr:rowOff>
    </xdr:from>
    <xdr:to>
      <xdr:col>10</xdr:col>
      <xdr:colOff>299110</xdr:colOff>
      <xdr:row>293</xdr:row>
      <xdr:rowOff>249655</xdr:rowOff>
    </xdr:to>
    <xdr:pic>
      <xdr:nvPicPr>
        <xdr:cNvPr id="1188" name="Picture 1187">
          <a:extLst>
            <a:ext uri="{FF2B5EF4-FFF2-40B4-BE49-F238E27FC236}">
              <a16:creationId xmlns:a16="http://schemas.microsoft.com/office/drawing/2014/main" id="{F1E3DD07-2852-47F8-93A6-0DDB58C3745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90364" y="115396816"/>
          <a:ext cx="299110" cy="1255554"/>
        </a:xfrm>
        <a:prstGeom prst="rect">
          <a:avLst/>
        </a:prstGeom>
      </xdr:spPr>
    </xdr:pic>
    <xdr:clientData/>
  </xdr:twoCellAnchor>
  <xdr:twoCellAnchor editAs="oneCell">
    <xdr:from>
      <xdr:col>14</xdr:col>
      <xdr:colOff>0</xdr:colOff>
      <xdr:row>168</xdr:row>
      <xdr:rowOff>115452</xdr:rowOff>
    </xdr:from>
    <xdr:to>
      <xdr:col>14</xdr:col>
      <xdr:colOff>299110</xdr:colOff>
      <xdr:row>170</xdr:row>
      <xdr:rowOff>516642</xdr:rowOff>
    </xdr:to>
    <xdr:pic>
      <xdr:nvPicPr>
        <xdr:cNvPr id="1189" name="Picture 1188">
          <a:extLst>
            <a:ext uri="{FF2B5EF4-FFF2-40B4-BE49-F238E27FC236}">
              <a16:creationId xmlns:a16="http://schemas.microsoft.com/office/drawing/2014/main" id="{ECA895FF-0986-4CD0-9EB1-01B57363891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780818" y="66640361"/>
          <a:ext cx="299110" cy="1255554"/>
        </a:xfrm>
        <a:prstGeom prst="rect">
          <a:avLst/>
        </a:prstGeom>
      </xdr:spPr>
    </xdr:pic>
    <xdr:clientData/>
  </xdr:twoCellAnchor>
  <xdr:twoCellAnchor editAs="oneCell">
    <xdr:from>
      <xdr:col>6</xdr:col>
      <xdr:colOff>0</xdr:colOff>
      <xdr:row>168</xdr:row>
      <xdr:rowOff>0</xdr:rowOff>
    </xdr:from>
    <xdr:to>
      <xdr:col>6</xdr:col>
      <xdr:colOff>299110</xdr:colOff>
      <xdr:row>170</xdr:row>
      <xdr:rowOff>158158</xdr:rowOff>
    </xdr:to>
    <xdr:pic>
      <xdr:nvPicPr>
        <xdr:cNvPr id="1190" name="Picture 1189">
          <a:extLst>
            <a:ext uri="{FF2B5EF4-FFF2-40B4-BE49-F238E27FC236}">
              <a16:creationId xmlns:a16="http://schemas.microsoft.com/office/drawing/2014/main" id="{63A617FA-6709-4E2D-B083-F954F503C2E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57455" y="66524909"/>
          <a:ext cx="299110" cy="1012522"/>
        </a:xfrm>
        <a:prstGeom prst="rect">
          <a:avLst/>
        </a:prstGeom>
      </xdr:spPr>
    </xdr:pic>
    <xdr:clientData/>
  </xdr:twoCellAnchor>
  <xdr:twoCellAnchor editAs="oneCell">
    <xdr:from>
      <xdr:col>24</xdr:col>
      <xdr:colOff>0</xdr:colOff>
      <xdr:row>291</xdr:row>
      <xdr:rowOff>365125</xdr:rowOff>
    </xdr:from>
    <xdr:to>
      <xdr:col>24</xdr:col>
      <xdr:colOff>299110</xdr:colOff>
      <xdr:row>293</xdr:row>
      <xdr:rowOff>148635</xdr:rowOff>
    </xdr:to>
    <xdr:pic>
      <xdr:nvPicPr>
        <xdr:cNvPr id="195" name="Picture 194">
          <a:extLst>
            <a:ext uri="{FF2B5EF4-FFF2-40B4-BE49-F238E27FC236}">
              <a16:creationId xmlns:a16="http://schemas.microsoft.com/office/drawing/2014/main" id="{A342B904-357A-45EF-B1C1-500330BF9E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431375" y="115125500"/>
          <a:ext cx="299110" cy="1259884"/>
        </a:xfrm>
        <a:prstGeom prst="rect">
          <a:avLst/>
        </a:prstGeom>
      </xdr:spPr>
    </xdr:pic>
    <xdr:clientData/>
  </xdr:twoCellAnchor>
  <xdr:twoCellAnchor editAs="oneCell">
    <xdr:from>
      <xdr:col>18</xdr:col>
      <xdr:colOff>0</xdr:colOff>
      <xdr:row>202</xdr:row>
      <xdr:rowOff>111125</xdr:rowOff>
    </xdr:from>
    <xdr:to>
      <xdr:col>18</xdr:col>
      <xdr:colOff>299110</xdr:colOff>
      <xdr:row>205</xdr:row>
      <xdr:rowOff>85134</xdr:rowOff>
    </xdr:to>
    <xdr:pic>
      <xdr:nvPicPr>
        <xdr:cNvPr id="207" name="Picture 206">
          <a:extLst>
            <a:ext uri="{FF2B5EF4-FFF2-40B4-BE49-F238E27FC236}">
              <a16:creationId xmlns:a16="http://schemas.microsoft.com/office/drawing/2014/main" id="{F0096107-7540-4E86-AC7E-28B0C0A8120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176750" y="80660875"/>
          <a:ext cx="299110" cy="1259884"/>
        </a:xfrm>
        <a:prstGeom prst="rect">
          <a:avLst/>
        </a:prstGeom>
      </xdr:spPr>
    </xdr:pic>
    <xdr:clientData/>
  </xdr:twoCellAnchor>
  <xdr:twoCellAnchor editAs="oneCell">
    <xdr:from>
      <xdr:col>10</xdr:col>
      <xdr:colOff>0</xdr:colOff>
      <xdr:row>235</xdr:row>
      <xdr:rowOff>63500</xdr:rowOff>
    </xdr:from>
    <xdr:to>
      <xdr:col>10</xdr:col>
      <xdr:colOff>299110</xdr:colOff>
      <xdr:row>238</xdr:row>
      <xdr:rowOff>259759</xdr:rowOff>
    </xdr:to>
    <xdr:pic>
      <xdr:nvPicPr>
        <xdr:cNvPr id="1112" name="Picture 1111">
          <a:extLst>
            <a:ext uri="{FF2B5EF4-FFF2-40B4-BE49-F238E27FC236}">
              <a16:creationId xmlns:a16="http://schemas.microsoft.com/office/drawing/2014/main" id="{19E31FBA-8E14-46DF-83FE-2B97CF2AA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45625" y="93726000"/>
          <a:ext cx="299110" cy="1259884"/>
        </a:xfrm>
        <a:prstGeom prst="rect">
          <a:avLst/>
        </a:prstGeom>
      </xdr:spPr>
    </xdr:pic>
    <xdr:clientData/>
  </xdr:twoCellAnchor>
  <xdr:twoCellAnchor editAs="oneCell">
    <xdr:from>
      <xdr:col>2</xdr:col>
      <xdr:colOff>0</xdr:colOff>
      <xdr:row>292</xdr:row>
      <xdr:rowOff>31750</xdr:rowOff>
    </xdr:from>
    <xdr:to>
      <xdr:col>2</xdr:col>
      <xdr:colOff>299110</xdr:colOff>
      <xdr:row>295</xdr:row>
      <xdr:rowOff>69260</xdr:rowOff>
    </xdr:to>
    <xdr:pic>
      <xdr:nvPicPr>
        <xdr:cNvPr id="1191" name="Picture 1190">
          <a:extLst>
            <a:ext uri="{FF2B5EF4-FFF2-40B4-BE49-F238E27FC236}">
              <a16:creationId xmlns:a16="http://schemas.microsoft.com/office/drawing/2014/main" id="{C852E81A-E95A-4725-8612-206AB4335F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65375" y="115331875"/>
          <a:ext cx="299110" cy="1259884"/>
        </a:xfrm>
        <a:prstGeom prst="rect">
          <a:avLst/>
        </a:prstGeom>
      </xdr:spPr>
    </xdr:pic>
    <xdr:clientData/>
  </xdr:twoCellAnchor>
  <xdr:twoCellAnchor editAs="oneCell">
    <xdr:from>
      <xdr:col>4</xdr:col>
      <xdr:colOff>0</xdr:colOff>
      <xdr:row>292</xdr:row>
      <xdr:rowOff>174625</xdr:rowOff>
    </xdr:from>
    <xdr:to>
      <xdr:col>4</xdr:col>
      <xdr:colOff>299110</xdr:colOff>
      <xdr:row>296</xdr:row>
      <xdr:rowOff>21635</xdr:rowOff>
    </xdr:to>
    <xdr:pic>
      <xdr:nvPicPr>
        <xdr:cNvPr id="1192" name="Picture 1191">
          <a:extLst>
            <a:ext uri="{FF2B5EF4-FFF2-40B4-BE49-F238E27FC236}">
              <a16:creationId xmlns:a16="http://schemas.microsoft.com/office/drawing/2014/main" id="{656F992F-7911-48C3-9F50-054CCE6EFA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91000" y="115474750"/>
          <a:ext cx="299110" cy="1259884"/>
        </a:xfrm>
        <a:prstGeom prst="rect">
          <a:avLst/>
        </a:prstGeom>
      </xdr:spPr>
    </xdr:pic>
    <xdr:clientData/>
  </xdr:twoCellAnchor>
  <xdr:twoCellAnchor>
    <xdr:from>
      <xdr:col>2</xdr:col>
      <xdr:colOff>0</xdr:colOff>
      <xdr:row>269</xdr:row>
      <xdr:rowOff>63500</xdr:rowOff>
    </xdr:from>
    <xdr:to>
      <xdr:col>2</xdr:col>
      <xdr:colOff>228600</xdr:colOff>
      <xdr:row>269</xdr:row>
      <xdr:rowOff>269875</xdr:rowOff>
    </xdr:to>
    <xdr:grpSp>
      <xdr:nvGrpSpPr>
        <xdr:cNvPr id="1199" name="Group 1008">
          <a:extLst>
            <a:ext uri="{FF2B5EF4-FFF2-40B4-BE49-F238E27FC236}">
              <a16:creationId xmlns:a16="http://schemas.microsoft.com/office/drawing/2014/main" id="{B0E3BBB5-C50C-4A7E-B62B-E95A1351F210}"/>
            </a:ext>
          </a:extLst>
        </xdr:cNvPr>
        <xdr:cNvGrpSpPr>
          <a:grpSpLocks/>
        </xdr:cNvGrpSpPr>
      </xdr:nvGrpSpPr>
      <xdr:grpSpPr bwMode="auto">
        <a:xfrm>
          <a:off x="2016125" y="133461125"/>
          <a:ext cx="228600" cy="206375"/>
          <a:chOff x="5475762" y="47760700"/>
          <a:chExt cx="314325" cy="230209"/>
        </a:xfrm>
      </xdr:grpSpPr>
      <xdr:cxnSp macro="">
        <xdr:nvCxnSpPr>
          <xdr:cNvPr id="1200" name="Straight Connector 1199">
            <a:extLst>
              <a:ext uri="{FF2B5EF4-FFF2-40B4-BE49-F238E27FC236}">
                <a16:creationId xmlns:a16="http://schemas.microsoft.com/office/drawing/2014/main" id="{F9D573C8-8383-6C34-9862-939FB299864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01" name="Straight Connector 529">
            <a:extLst>
              <a:ext uri="{FF2B5EF4-FFF2-40B4-BE49-F238E27FC236}">
                <a16:creationId xmlns:a16="http://schemas.microsoft.com/office/drawing/2014/main" id="{D963A5AC-9804-6D12-0F71-F92F16AB79A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202" name="Straight Connector 531">
            <a:extLst>
              <a:ext uri="{FF2B5EF4-FFF2-40B4-BE49-F238E27FC236}">
                <a16:creationId xmlns:a16="http://schemas.microsoft.com/office/drawing/2014/main" id="{4E8AE678-1021-05B9-7C66-59C0E04C4BC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203" name="Straight Connector 533">
            <a:extLst>
              <a:ext uri="{FF2B5EF4-FFF2-40B4-BE49-F238E27FC236}">
                <a16:creationId xmlns:a16="http://schemas.microsoft.com/office/drawing/2014/main" id="{123EEB42-F071-04E1-2340-994B8A7DF93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204" name="Straight Connector 535">
            <a:extLst>
              <a:ext uri="{FF2B5EF4-FFF2-40B4-BE49-F238E27FC236}">
                <a16:creationId xmlns:a16="http://schemas.microsoft.com/office/drawing/2014/main" id="{D53E93D8-5C8B-9E59-A7E1-332FD6DBA4A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205" name="Straight Connector 537">
            <a:extLst>
              <a:ext uri="{FF2B5EF4-FFF2-40B4-BE49-F238E27FC236}">
                <a16:creationId xmlns:a16="http://schemas.microsoft.com/office/drawing/2014/main" id="{81BF77DB-B957-D37A-CAA1-A39BA0CB431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204</xdr:row>
      <xdr:rowOff>107359</xdr:rowOff>
    </xdr:to>
    <xdr:pic>
      <xdr:nvPicPr>
        <xdr:cNvPr id="1206" name="Picture 1205">
          <a:extLst>
            <a:ext uri="{FF2B5EF4-FFF2-40B4-BE49-F238E27FC236}">
              <a16:creationId xmlns:a16="http://schemas.microsoft.com/office/drawing/2014/main" id="{B46EB600-D279-44FE-AAE4-95C45A17BF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684500" y="82518250"/>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286</xdr:row>
      <xdr:rowOff>139109</xdr:rowOff>
    </xdr:to>
    <xdr:pic>
      <xdr:nvPicPr>
        <xdr:cNvPr id="1207" name="Picture 1206">
          <a:extLst>
            <a:ext uri="{FF2B5EF4-FFF2-40B4-BE49-F238E27FC236}">
              <a16:creationId xmlns:a16="http://schemas.microsoft.com/office/drawing/2014/main" id="{3D89497D-40FD-42DF-A997-EB25EC5CFE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558875" y="11415712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246</xdr:row>
      <xdr:rowOff>287276</xdr:rowOff>
    </xdr:to>
    <xdr:pic>
      <xdr:nvPicPr>
        <xdr:cNvPr id="1208" name="Picture 1207">
          <a:extLst>
            <a:ext uri="{FF2B5EF4-FFF2-40B4-BE49-F238E27FC236}">
              <a16:creationId xmlns:a16="http://schemas.microsoft.com/office/drawing/2014/main" id="{1DB52C15-C249-4FE2-9578-3423707289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45625" y="98996500"/>
          <a:ext cx="299110" cy="758234"/>
        </a:xfrm>
        <a:prstGeom prst="rect">
          <a:avLst/>
        </a:prstGeom>
      </xdr:spPr>
    </xdr:pic>
    <xdr:clientData/>
  </xdr:twoCellAnchor>
  <xdr:twoCellAnchor editAs="oneCell">
    <xdr:from>
      <xdr:col>2</xdr:col>
      <xdr:colOff>0</xdr:colOff>
      <xdr:row>244</xdr:row>
      <xdr:rowOff>31750</xdr:rowOff>
    </xdr:from>
    <xdr:to>
      <xdr:col>2</xdr:col>
      <xdr:colOff>299110</xdr:colOff>
      <xdr:row>246</xdr:row>
      <xdr:rowOff>176151</xdr:rowOff>
    </xdr:to>
    <xdr:pic>
      <xdr:nvPicPr>
        <xdr:cNvPr id="1209" name="Picture 1208">
          <a:extLst>
            <a:ext uri="{FF2B5EF4-FFF2-40B4-BE49-F238E27FC236}">
              <a16:creationId xmlns:a16="http://schemas.microsoft.com/office/drawing/2014/main" id="{56A9B639-EC9F-40D7-896D-C931119DAE5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65375" y="98885375"/>
          <a:ext cx="299110" cy="758234"/>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210" name="AutoShape 46">
          <a:extLst>
            <a:ext uri="{FF2B5EF4-FFF2-40B4-BE49-F238E27FC236}">
              <a16:creationId xmlns:a16="http://schemas.microsoft.com/office/drawing/2014/main" id="{12C7ED97-858F-4892-9D4F-6014695C41F8}"/>
            </a:ext>
          </a:extLst>
        </xdr:cNvPr>
        <xdr:cNvSpPr>
          <a:spLocks noChangeArrowheads="1"/>
        </xdr:cNvSpPr>
      </xdr:nvSpPr>
      <xdr:spPr bwMode="auto">
        <a:xfrm>
          <a:off x="6715125" y="31680150"/>
          <a:ext cx="984250"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211" name="AutoShape 46">
          <a:extLst>
            <a:ext uri="{FF2B5EF4-FFF2-40B4-BE49-F238E27FC236}">
              <a16:creationId xmlns:a16="http://schemas.microsoft.com/office/drawing/2014/main" id="{A7B3C129-19A8-4EB2-ACAC-B5B4A9706E4A}"/>
            </a:ext>
          </a:extLst>
        </xdr:cNvPr>
        <xdr:cNvSpPr>
          <a:spLocks noChangeArrowheads="1"/>
        </xdr:cNvSpPr>
      </xdr:nvSpPr>
      <xdr:spPr bwMode="auto">
        <a:xfrm>
          <a:off x="10223500" y="31680150"/>
          <a:ext cx="1206500"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213" name="AutoShape 46">
          <a:extLst>
            <a:ext uri="{FF2B5EF4-FFF2-40B4-BE49-F238E27FC236}">
              <a16:creationId xmlns:a16="http://schemas.microsoft.com/office/drawing/2014/main" id="{B51029D5-6DD8-4B58-89DE-A96032C17BF8}"/>
            </a:ext>
          </a:extLst>
        </xdr:cNvPr>
        <xdr:cNvSpPr>
          <a:spLocks noChangeArrowheads="1"/>
        </xdr:cNvSpPr>
      </xdr:nvSpPr>
      <xdr:spPr bwMode="auto">
        <a:xfrm>
          <a:off x="3143250" y="34871025"/>
          <a:ext cx="1047750"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214" name="AutoShape 46">
          <a:extLst>
            <a:ext uri="{FF2B5EF4-FFF2-40B4-BE49-F238E27FC236}">
              <a16:creationId xmlns:a16="http://schemas.microsoft.com/office/drawing/2014/main" id="{1DB2A4F0-05B0-4970-8019-5B9FE808BFE9}"/>
            </a:ext>
          </a:extLst>
        </xdr:cNvPr>
        <xdr:cNvSpPr>
          <a:spLocks noChangeArrowheads="1"/>
        </xdr:cNvSpPr>
      </xdr:nvSpPr>
      <xdr:spPr bwMode="auto">
        <a:xfrm>
          <a:off x="20113625" y="38125400"/>
          <a:ext cx="1127125"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215" name="AutoShape 46">
          <a:extLst>
            <a:ext uri="{FF2B5EF4-FFF2-40B4-BE49-F238E27FC236}">
              <a16:creationId xmlns:a16="http://schemas.microsoft.com/office/drawing/2014/main" id="{196C2EC1-4B89-4EBB-B5E4-0ED99D59546D}"/>
            </a:ext>
          </a:extLst>
        </xdr:cNvPr>
        <xdr:cNvSpPr>
          <a:spLocks noChangeArrowheads="1"/>
        </xdr:cNvSpPr>
      </xdr:nvSpPr>
      <xdr:spPr bwMode="auto">
        <a:xfrm>
          <a:off x="20113625" y="38125400"/>
          <a:ext cx="1127125" cy="56197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216" name="AutoShape 46">
          <a:extLst>
            <a:ext uri="{FF2B5EF4-FFF2-40B4-BE49-F238E27FC236}">
              <a16:creationId xmlns:a16="http://schemas.microsoft.com/office/drawing/2014/main" id="{4DA69657-CF38-46D9-A8F7-E750E7643372}"/>
            </a:ext>
          </a:extLst>
        </xdr:cNvPr>
        <xdr:cNvSpPr>
          <a:spLocks noChangeArrowheads="1"/>
        </xdr:cNvSpPr>
      </xdr:nvSpPr>
      <xdr:spPr bwMode="auto">
        <a:xfrm>
          <a:off x="20113625" y="38125400"/>
          <a:ext cx="1127125"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220" name="AutoShape 46">
          <a:extLst>
            <a:ext uri="{FF2B5EF4-FFF2-40B4-BE49-F238E27FC236}">
              <a16:creationId xmlns:a16="http://schemas.microsoft.com/office/drawing/2014/main" id="{A7D44054-B8A7-4244-AF06-E7BE0AE160A6}"/>
            </a:ext>
          </a:extLst>
        </xdr:cNvPr>
        <xdr:cNvSpPr>
          <a:spLocks noChangeArrowheads="1"/>
        </xdr:cNvSpPr>
      </xdr:nvSpPr>
      <xdr:spPr bwMode="auto">
        <a:xfrm>
          <a:off x="22018625" y="38125400"/>
          <a:ext cx="841375" cy="56197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221" name="AutoShape 46">
          <a:extLst>
            <a:ext uri="{FF2B5EF4-FFF2-40B4-BE49-F238E27FC236}">
              <a16:creationId xmlns:a16="http://schemas.microsoft.com/office/drawing/2014/main" id="{6EA9DA93-7A45-4A04-8945-AA7FAFF119D4}"/>
            </a:ext>
          </a:extLst>
        </xdr:cNvPr>
        <xdr:cNvSpPr>
          <a:spLocks noChangeArrowheads="1"/>
        </xdr:cNvSpPr>
      </xdr:nvSpPr>
      <xdr:spPr bwMode="auto">
        <a:xfrm>
          <a:off x="22018625" y="38125400"/>
          <a:ext cx="841375" cy="56197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222" name="AutoShape 46">
          <a:extLst>
            <a:ext uri="{FF2B5EF4-FFF2-40B4-BE49-F238E27FC236}">
              <a16:creationId xmlns:a16="http://schemas.microsoft.com/office/drawing/2014/main" id="{BAC4B1CC-4826-4113-B81A-07996B662F37}"/>
            </a:ext>
          </a:extLst>
        </xdr:cNvPr>
        <xdr:cNvSpPr>
          <a:spLocks noChangeArrowheads="1"/>
        </xdr:cNvSpPr>
      </xdr:nvSpPr>
      <xdr:spPr bwMode="auto">
        <a:xfrm>
          <a:off x="22018625" y="38125400"/>
          <a:ext cx="841375" cy="561975"/>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170</xdr:row>
      <xdr:rowOff>158158</xdr:rowOff>
    </xdr:to>
    <xdr:pic>
      <xdr:nvPicPr>
        <xdr:cNvPr id="245" name="Picture 244">
          <a:extLst>
            <a:ext uri="{FF2B5EF4-FFF2-40B4-BE49-F238E27FC236}">
              <a16:creationId xmlns:a16="http://schemas.microsoft.com/office/drawing/2014/main" id="{B50FEA76-75A3-446A-808E-65A704E888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91000" y="6784975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262</xdr:row>
      <xdr:rowOff>139109</xdr:rowOff>
    </xdr:to>
    <xdr:pic>
      <xdr:nvPicPr>
        <xdr:cNvPr id="252" name="Picture 251">
          <a:extLst>
            <a:ext uri="{FF2B5EF4-FFF2-40B4-BE49-F238E27FC236}">
              <a16:creationId xmlns:a16="http://schemas.microsoft.com/office/drawing/2014/main" id="{33B6A9D6-01F7-4B9A-B4C4-B896CEF78E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622250" y="105219500"/>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228</xdr:row>
      <xdr:rowOff>154984</xdr:rowOff>
    </xdr:to>
    <xdr:pic>
      <xdr:nvPicPr>
        <xdr:cNvPr id="258" name="Picture 257">
          <a:extLst>
            <a:ext uri="{FF2B5EF4-FFF2-40B4-BE49-F238E27FC236}">
              <a16:creationId xmlns:a16="http://schemas.microsoft.com/office/drawing/2014/main" id="{A3414600-8C35-419D-A254-6C3F1B2046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622250" y="920750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234</xdr:row>
      <xdr:rowOff>1107484</xdr:rowOff>
    </xdr:to>
    <xdr:pic>
      <xdr:nvPicPr>
        <xdr:cNvPr id="265" name="Picture 264">
          <a:extLst>
            <a:ext uri="{FF2B5EF4-FFF2-40B4-BE49-F238E27FC236}">
              <a16:creationId xmlns:a16="http://schemas.microsoft.com/office/drawing/2014/main" id="{E25B368A-A0AC-4B0B-B768-768A8C433D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99375" y="95234125"/>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218</xdr:row>
      <xdr:rowOff>88309</xdr:rowOff>
    </xdr:to>
    <xdr:pic>
      <xdr:nvPicPr>
        <xdr:cNvPr id="1013" name="Picture 1012">
          <a:extLst>
            <a:ext uri="{FF2B5EF4-FFF2-40B4-BE49-F238E27FC236}">
              <a16:creationId xmlns:a16="http://schemas.microsoft.com/office/drawing/2014/main" id="{56152923-8F90-4151-8672-1CB6CBF9A6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55125" y="8882062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235</xdr:row>
      <xdr:rowOff>72434</xdr:rowOff>
    </xdr:to>
    <xdr:pic>
      <xdr:nvPicPr>
        <xdr:cNvPr id="1095" name="Picture 1094">
          <a:extLst>
            <a:ext uri="{FF2B5EF4-FFF2-40B4-BE49-F238E27FC236}">
              <a16:creationId xmlns:a16="http://schemas.microsoft.com/office/drawing/2014/main" id="{5F62978B-EEA6-4C2F-8B87-E0DDEC4481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65375" y="95392875"/>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262</xdr:row>
      <xdr:rowOff>215309</xdr:rowOff>
    </xdr:to>
    <xdr:pic>
      <xdr:nvPicPr>
        <xdr:cNvPr id="1212" name="Picture 1211">
          <a:extLst>
            <a:ext uri="{FF2B5EF4-FFF2-40B4-BE49-F238E27FC236}">
              <a16:creationId xmlns:a16="http://schemas.microsoft.com/office/drawing/2014/main" id="{DDC5222A-C7A6-4F74-B534-E0B3E2C0D3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50125" y="1051718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213</xdr:row>
      <xdr:rowOff>294684</xdr:rowOff>
    </xdr:to>
    <xdr:pic>
      <xdr:nvPicPr>
        <xdr:cNvPr id="1217" name="Picture 1216">
          <a:extLst>
            <a:ext uri="{FF2B5EF4-FFF2-40B4-BE49-F238E27FC236}">
              <a16:creationId xmlns:a16="http://schemas.microsoft.com/office/drawing/2014/main" id="{74F840AE-4BFF-4AC7-9786-03823EBA3F2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002000" y="8582025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178</xdr:row>
      <xdr:rowOff>231184</xdr:rowOff>
    </xdr:to>
    <xdr:pic>
      <xdr:nvPicPr>
        <xdr:cNvPr id="1218" name="Picture 1217">
          <a:extLst>
            <a:ext uri="{FF2B5EF4-FFF2-40B4-BE49-F238E27FC236}">
              <a16:creationId xmlns:a16="http://schemas.microsoft.com/office/drawing/2014/main" id="{2126E926-5AB9-44EB-A2E5-5276E7ECE4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37250" y="722312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235</xdr:row>
      <xdr:rowOff>24809</xdr:rowOff>
    </xdr:to>
    <xdr:pic>
      <xdr:nvPicPr>
        <xdr:cNvPr id="1219" name="Picture 1218">
          <a:extLst>
            <a:ext uri="{FF2B5EF4-FFF2-40B4-BE49-F238E27FC236}">
              <a16:creationId xmlns:a16="http://schemas.microsoft.com/office/drawing/2014/main" id="{F547B44B-3529-4A61-8EAF-6B13035036B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319750" y="95345250"/>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187</xdr:row>
      <xdr:rowOff>262934</xdr:rowOff>
    </xdr:to>
    <xdr:pic>
      <xdr:nvPicPr>
        <xdr:cNvPr id="1223" name="Picture 1222">
          <a:extLst>
            <a:ext uri="{FF2B5EF4-FFF2-40B4-BE49-F238E27FC236}">
              <a16:creationId xmlns:a16="http://schemas.microsoft.com/office/drawing/2014/main" id="{717B5839-8BCD-4AFA-9330-A04A7B0BAF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622250" y="7572375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213</xdr:row>
      <xdr:rowOff>24809</xdr:rowOff>
    </xdr:to>
    <xdr:pic>
      <xdr:nvPicPr>
        <xdr:cNvPr id="1224" name="Picture 1223">
          <a:extLst>
            <a:ext uri="{FF2B5EF4-FFF2-40B4-BE49-F238E27FC236}">
              <a16:creationId xmlns:a16="http://schemas.microsoft.com/office/drawing/2014/main" id="{8498864D-A1E0-4D01-8884-B8188D3BCF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37250" y="85550375"/>
          <a:ext cx="299110" cy="834434"/>
        </a:xfrm>
        <a:prstGeom prst="rect">
          <a:avLst/>
        </a:prstGeom>
      </xdr:spPr>
    </xdr:pic>
    <xdr:clientData/>
  </xdr:twoCellAnchor>
  <xdr:twoCellAnchor editAs="oneCell">
    <xdr:from>
      <xdr:col>8</xdr:col>
      <xdr:colOff>0</xdr:colOff>
      <xdr:row>210</xdr:row>
      <xdr:rowOff>127000</xdr:rowOff>
    </xdr:from>
    <xdr:to>
      <xdr:col>8</xdr:col>
      <xdr:colOff>299110</xdr:colOff>
      <xdr:row>212</xdr:row>
      <xdr:rowOff>374059</xdr:rowOff>
    </xdr:to>
    <xdr:pic>
      <xdr:nvPicPr>
        <xdr:cNvPr id="1225" name="Picture 1224">
          <a:extLst>
            <a:ext uri="{FF2B5EF4-FFF2-40B4-BE49-F238E27FC236}">
              <a16:creationId xmlns:a16="http://schemas.microsoft.com/office/drawing/2014/main" id="{E391CF30-89CF-4C3A-B67A-F1613D5AAC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99375" y="85518625"/>
          <a:ext cx="299110" cy="834434"/>
        </a:xfrm>
        <a:prstGeom prst="rect">
          <a:avLst/>
        </a:prstGeom>
      </xdr:spPr>
    </xdr:pic>
    <xdr:clientData/>
  </xdr:twoCellAnchor>
  <xdr:twoCellAnchor editAs="oneCell">
    <xdr:from>
      <xdr:col>22</xdr:col>
      <xdr:colOff>0</xdr:colOff>
      <xdr:row>260</xdr:row>
      <xdr:rowOff>0</xdr:rowOff>
    </xdr:from>
    <xdr:to>
      <xdr:col>22</xdr:col>
      <xdr:colOff>299110</xdr:colOff>
      <xdr:row>262</xdr:row>
      <xdr:rowOff>199434</xdr:rowOff>
    </xdr:to>
    <xdr:pic>
      <xdr:nvPicPr>
        <xdr:cNvPr id="1226" name="Picture 1225">
          <a:extLst>
            <a:ext uri="{FF2B5EF4-FFF2-40B4-BE49-F238E27FC236}">
              <a16:creationId xmlns:a16="http://schemas.microsoft.com/office/drawing/2014/main" id="{0628A06F-1A57-4FC7-9A6A-F564535D49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55125" y="1051560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220</xdr:row>
      <xdr:rowOff>199434</xdr:rowOff>
    </xdr:to>
    <xdr:pic>
      <xdr:nvPicPr>
        <xdr:cNvPr id="1227" name="Picture 1226">
          <a:extLst>
            <a:ext uri="{FF2B5EF4-FFF2-40B4-BE49-F238E27FC236}">
              <a16:creationId xmlns:a16="http://schemas.microsoft.com/office/drawing/2014/main" id="{E6054E1A-FFC6-4E1F-BD89-6EA03AC943C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574375" y="888365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254</xdr:row>
      <xdr:rowOff>199434</xdr:rowOff>
    </xdr:to>
    <xdr:pic>
      <xdr:nvPicPr>
        <xdr:cNvPr id="1228" name="Picture 1227">
          <a:extLst>
            <a:ext uri="{FF2B5EF4-FFF2-40B4-BE49-F238E27FC236}">
              <a16:creationId xmlns:a16="http://schemas.microsoft.com/office/drawing/2014/main" id="{A29E3301-1053-48DE-9B99-FC303F4CDA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50125" y="102346125"/>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254</xdr:row>
      <xdr:rowOff>135934</xdr:rowOff>
    </xdr:to>
    <xdr:pic>
      <xdr:nvPicPr>
        <xdr:cNvPr id="1229" name="Picture 1228">
          <a:extLst>
            <a:ext uri="{FF2B5EF4-FFF2-40B4-BE49-F238E27FC236}">
              <a16:creationId xmlns:a16="http://schemas.microsoft.com/office/drawing/2014/main" id="{17B81F23-5383-415D-B642-FD5EF03655F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72333" y="125391333"/>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286</xdr:row>
      <xdr:rowOff>199434</xdr:rowOff>
    </xdr:to>
    <xdr:pic>
      <xdr:nvPicPr>
        <xdr:cNvPr id="1230" name="Picture 1229">
          <a:extLst>
            <a:ext uri="{FF2B5EF4-FFF2-40B4-BE49-F238E27FC236}">
              <a16:creationId xmlns:a16="http://schemas.microsoft.com/office/drawing/2014/main" id="{EE4EC65F-C0D8-462D-AF1F-7C9C2E5B4AB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319750" y="114093625"/>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237</xdr:row>
      <xdr:rowOff>199434</xdr:rowOff>
    </xdr:to>
    <xdr:pic>
      <xdr:nvPicPr>
        <xdr:cNvPr id="1231" name="Picture 1230">
          <a:extLst>
            <a:ext uri="{FF2B5EF4-FFF2-40B4-BE49-F238E27FC236}">
              <a16:creationId xmlns:a16="http://schemas.microsoft.com/office/drawing/2014/main" id="{A1680FFC-C9FE-407F-BD23-BC2EACD818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91000" y="95424625"/>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286</xdr:row>
      <xdr:rowOff>199434</xdr:rowOff>
    </xdr:to>
    <xdr:pic>
      <xdr:nvPicPr>
        <xdr:cNvPr id="1232" name="Picture 1231">
          <a:extLst>
            <a:ext uri="{FF2B5EF4-FFF2-40B4-BE49-F238E27FC236}">
              <a16:creationId xmlns:a16="http://schemas.microsoft.com/office/drawing/2014/main" id="{646B8FD0-F3F1-44B6-B4E7-8FA5B4EC060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906500" y="114093625"/>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286</xdr:row>
      <xdr:rowOff>199434</xdr:rowOff>
    </xdr:to>
    <xdr:pic>
      <xdr:nvPicPr>
        <xdr:cNvPr id="1233" name="Picture 1232">
          <a:extLst>
            <a:ext uri="{FF2B5EF4-FFF2-40B4-BE49-F238E27FC236}">
              <a16:creationId xmlns:a16="http://schemas.microsoft.com/office/drawing/2014/main" id="{C98940AB-EE13-4A5D-A840-D5CB1355B9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747500" y="114093625"/>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286</xdr:row>
      <xdr:rowOff>199434</xdr:rowOff>
    </xdr:to>
    <xdr:pic>
      <xdr:nvPicPr>
        <xdr:cNvPr id="1234" name="Picture 1233">
          <a:extLst>
            <a:ext uri="{FF2B5EF4-FFF2-40B4-BE49-F238E27FC236}">
              <a16:creationId xmlns:a16="http://schemas.microsoft.com/office/drawing/2014/main" id="{97CE4354-9F5C-4142-BAD6-28BD3871D9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622250" y="114093625"/>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286</xdr:row>
      <xdr:rowOff>199434</xdr:rowOff>
    </xdr:to>
    <xdr:pic>
      <xdr:nvPicPr>
        <xdr:cNvPr id="1235" name="Picture 1234">
          <a:extLst>
            <a:ext uri="{FF2B5EF4-FFF2-40B4-BE49-F238E27FC236}">
              <a16:creationId xmlns:a16="http://schemas.microsoft.com/office/drawing/2014/main" id="{ED1E5267-C002-42A5-BE6D-37E03673E4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002000" y="114093625"/>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286</xdr:row>
      <xdr:rowOff>199434</xdr:rowOff>
    </xdr:to>
    <xdr:pic>
      <xdr:nvPicPr>
        <xdr:cNvPr id="1236" name="Picture 1235">
          <a:extLst>
            <a:ext uri="{FF2B5EF4-FFF2-40B4-BE49-F238E27FC236}">
              <a16:creationId xmlns:a16="http://schemas.microsoft.com/office/drawing/2014/main" id="{97D28D01-2CF5-46D8-848B-65968E660C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50125" y="114093625"/>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212</xdr:row>
      <xdr:rowOff>247059</xdr:rowOff>
    </xdr:to>
    <xdr:pic>
      <xdr:nvPicPr>
        <xdr:cNvPr id="1237" name="Picture 1236">
          <a:extLst>
            <a:ext uri="{FF2B5EF4-FFF2-40B4-BE49-F238E27FC236}">
              <a16:creationId xmlns:a16="http://schemas.microsoft.com/office/drawing/2014/main" id="{62F5EF48-09AD-4257-B34F-FCB04BF2B3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55125" y="85391625"/>
          <a:ext cx="299110" cy="834434"/>
        </a:xfrm>
        <a:prstGeom prst="rect">
          <a:avLst/>
        </a:prstGeom>
      </xdr:spPr>
    </xdr:pic>
    <xdr:clientData/>
  </xdr:twoCellAnchor>
  <xdr:twoCellAnchor editAs="oneCell">
    <xdr:from>
      <xdr:col>4</xdr:col>
      <xdr:colOff>0</xdr:colOff>
      <xdr:row>284</xdr:row>
      <xdr:rowOff>0</xdr:rowOff>
    </xdr:from>
    <xdr:to>
      <xdr:col>4</xdr:col>
      <xdr:colOff>299110</xdr:colOff>
      <xdr:row>286</xdr:row>
      <xdr:rowOff>199434</xdr:rowOff>
    </xdr:to>
    <xdr:pic>
      <xdr:nvPicPr>
        <xdr:cNvPr id="1238" name="Picture 1237">
          <a:extLst>
            <a:ext uri="{FF2B5EF4-FFF2-40B4-BE49-F238E27FC236}">
              <a16:creationId xmlns:a16="http://schemas.microsoft.com/office/drawing/2014/main" id="{3831B629-F5B9-444A-ADAE-8437C52E5C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91000" y="114093625"/>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237</xdr:row>
      <xdr:rowOff>199434</xdr:rowOff>
    </xdr:to>
    <xdr:pic>
      <xdr:nvPicPr>
        <xdr:cNvPr id="1239" name="Picture 1238">
          <a:extLst>
            <a:ext uri="{FF2B5EF4-FFF2-40B4-BE49-F238E27FC236}">
              <a16:creationId xmlns:a16="http://schemas.microsoft.com/office/drawing/2014/main" id="{EAB13219-2BAC-4034-BB33-17BDD7DB205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906500" y="95424625"/>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262</xdr:row>
      <xdr:rowOff>329609</xdr:rowOff>
    </xdr:to>
    <xdr:pic>
      <xdr:nvPicPr>
        <xdr:cNvPr id="300" name="Picture 299">
          <a:extLst>
            <a:ext uri="{FF2B5EF4-FFF2-40B4-BE49-F238E27FC236}">
              <a16:creationId xmlns:a16="http://schemas.microsoft.com/office/drawing/2014/main" id="{F8555C53-5591-406D-86DC-3E8C9CBE7A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91000" y="105362375"/>
          <a:ext cx="299110" cy="758234"/>
        </a:xfrm>
        <a:prstGeom prst="rect">
          <a:avLst/>
        </a:prstGeom>
      </xdr:spPr>
    </xdr:pic>
    <xdr:clientData/>
  </xdr:twoCellAnchor>
  <xdr:twoCellAnchor editAs="oneCell">
    <xdr:from>
      <xdr:col>6</xdr:col>
      <xdr:colOff>0</xdr:colOff>
      <xdr:row>260</xdr:row>
      <xdr:rowOff>0</xdr:rowOff>
    </xdr:from>
    <xdr:to>
      <xdr:col>6</xdr:col>
      <xdr:colOff>299110</xdr:colOff>
      <xdr:row>262</xdr:row>
      <xdr:rowOff>123234</xdr:rowOff>
    </xdr:to>
    <xdr:pic>
      <xdr:nvPicPr>
        <xdr:cNvPr id="323" name="Picture 322">
          <a:extLst>
            <a:ext uri="{FF2B5EF4-FFF2-40B4-BE49-F238E27FC236}">
              <a16:creationId xmlns:a16="http://schemas.microsoft.com/office/drawing/2014/main" id="{DB02AA17-8001-4F11-A03E-E6985772A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37250" y="1051560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325" name="AutoShape 46">
          <a:extLst>
            <a:ext uri="{FF2B5EF4-FFF2-40B4-BE49-F238E27FC236}">
              <a16:creationId xmlns:a16="http://schemas.microsoft.com/office/drawing/2014/main" id="{CCA7BACF-48AA-4736-B00B-682CC6A9B7D0}"/>
            </a:ext>
          </a:extLst>
        </xdr:cNvPr>
        <xdr:cNvSpPr>
          <a:spLocks noChangeArrowheads="1"/>
        </xdr:cNvSpPr>
      </xdr:nvSpPr>
      <xdr:spPr bwMode="auto">
        <a:xfrm>
          <a:off x="4931833" y="126788334"/>
          <a:ext cx="1227667" cy="556683"/>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85" name="Picture 84">
          <a:extLst>
            <a:ext uri="{FF2B5EF4-FFF2-40B4-BE49-F238E27FC236}">
              <a16:creationId xmlns:a16="http://schemas.microsoft.com/office/drawing/2014/main" id="{D62B5291-EAD9-4FE1-9D99-8C42C721DED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691167" y="83798833"/>
          <a:ext cx="299110" cy="1004825"/>
        </a:xfrm>
        <a:prstGeom prst="rect">
          <a:avLst/>
        </a:prstGeom>
      </xdr:spPr>
    </xdr:pic>
    <xdr:clientData/>
  </xdr:oneCellAnchor>
  <xdr:oneCellAnchor>
    <xdr:from>
      <xdr:col>12</xdr:col>
      <xdr:colOff>0</xdr:colOff>
      <xdr:row>168</xdr:row>
      <xdr:rowOff>0</xdr:rowOff>
    </xdr:from>
    <xdr:ext cx="299110" cy="1004825"/>
    <xdr:pic>
      <xdr:nvPicPr>
        <xdr:cNvPr id="326" name="Picture 325">
          <a:extLst>
            <a:ext uri="{FF2B5EF4-FFF2-40B4-BE49-F238E27FC236}">
              <a16:creationId xmlns:a16="http://schemas.microsoft.com/office/drawing/2014/main" id="{941BF229-34B9-449F-9EB2-DDBEE726CF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09500" y="83798833"/>
          <a:ext cx="299110" cy="1004825"/>
        </a:xfrm>
        <a:prstGeom prst="rect">
          <a:avLst/>
        </a:prstGeom>
      </xdr:spPr>
    </xdr:pic>
    <xdr:clientData/>
  </xdr:oneCellAnchor>
  <xdr:oneCellAnchor>
    <xdr:from>
      <xdr:col>20</xdr:col>
      <xdr:colOff>0</xdr:colOff>
      <xdr:row>168</xdr:row>
      <xdr:rowOff>0</xdr:rowOff>
    </xdr:from>
    <xdr:ext cx="299110" cy="1004825"/>
    <xdr:pic>
      <xdr:nvPicPr>
        <xdr:cNvPr id="815" name="Picture 814">
          <a:extLst>
            <a:ext uri="{FF2B5EF4-FFF2-40B4-BE49-F238E27FC236}">
              <a16:creationId xmlns:a16="http://schemas.microsoft.com/office/drawing/2014/main" id="{AD363B1C-4A5F-4C11-9204-E560BCEAE0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66667" y="83798833"/>
          <a:ext cx="299110" cy="1004825"/>
        </a:xfrm>
        <a:prstGeom prst="rect">
          <a:avLst/>
        </a:prstGeom>
      </xdr:spPr>
    </xdr:pic>
    <xdr:clientData/>
  </xdr:oneCellAnchor>
  <xdr:oneCellAnchor>
    <xdr:from>
      <xdr:col>22</xdr:col>
      <xdr:colOff>0</xdr:colOff>
      <xdr:row>168</xdr:row>
      <xdr:rowOff>0</xdr:rowOff>
    </xdr:from>
    <xdr:ext cx="299110" cy="1004825"/>
    <xdr:pic>
      <xdr:nvPicPr>
        <xdr:cNvPr id="874" name="Picture 873">
          <a:extLst>
            <a:ext uri="{FF2B5EF4-FFF2-40B4-BE49-F238E27FC236}">
              <a16:creationId xmlns:a16="http://schemas.microsoft.com/office/drawing/2014/main" id="{5840E8A8-7993-488C-B3D1-BAA1D731FF4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30000" y="83798833"/>
          <a:ext cx="299110" cy="1004825"/>
        </a:xfrm>
        <a:prstGeom prst="rect">
          <a:avLst/>
        </a:prstGeom>
      </xdr:spPr>
    </xdr:pic>
    <xdr:clientData/>
  </xdr:oneCellAnchor>
  <xdr:oneCellAnchor>
    <xdr:from>
      <xdr:col>10</xdr:col>
      <xdr:colOff>115453</xdr:colOff>
      <xdr:row>168</xdr:row>
      <xdr:rowOff>0</xdr:rowOff>
    </xdr:from>
    <xdr:ext cx="299110" cy="1004825"/>
    <xdr:pic>
      <xdr:nvPicPr>
        <xdr:cNvPr id="961" name="Picture 960">
          <a:extLst>
            <a:ext uri="{FF2B5EF4-FFF2-40B4-BE49-F238E27FC236}">
              <a16:creationId xmlns:a16="http://schemas.microsoft.com/office/drawing/2014/main" id="{8EFFE3C3-A39B-480D-8C18-CBBC0945AA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14120" y="83798833"/>
          <a:ext cx="299110" cy="1004825"/>
        </a:xfrm>
        <a:prstGeom prst="rect">
          <a:avLst/>
        </a:prstGeom>
      </xdr:spPr>
    </xdr:pic>
    <xdr:clientData/>
  </xdr:oneCellAnchor>
  <xdr:oneCellAnchor>
    <xdr:from>
      <xdr:col>26</xdr:col>
      <xdr:colOff>0</xdr:colOff>
      <xdr:row>168</xdr:row>
      <xdr:rowOff>0</xdr:rowOff>
    </xdr:from>
    <xdr:ext cx="299110" cy="1004825"/>
    <xdr:pic>
      <xdr:nvPicPr>
        <xdr:cNvPr id="1007" name="Picture 1006">
          <a:extLst>
            <a:ext uri="{FF2B5EF4-FFF2-40B4-BE49-F238E27FC236}">
              <a16:creationId xmlns:a16="http://schemas.microsoft.com/office/drawing/2014/main" id="{0596BB4A-45D2-46B6-8686-1BD188BEA6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29000" y="83798833"/>
          <a:ext cx="299110" cy="1004825"/>
        </a:xfrm>
        <a:prstGeom prst="rect">
          <a:avLst/>
        </a:prstGeom>
      </xdr:spPr>
    </xdr:pic>
    <xdr:clientData/>
  </xdr:oneCellAnchor>
  <xdr:oneCellAnchor>
    <xdr:from>
      <xdr:col>14</xdr:col>
      <xdr:colOff>0</xdr:colOff>
      <xdr:row>168</xdr:row>
      <xdr:rowOff>115452</xdr:rowOff>
    </xdr:from>
    <xdr:ext cx="299110" cy="1247857"/>
    <xdr:pic>
      <xdr:nvPicPr>
        <xdr:cNvPr id="1193" name="Picture 1192">
          <a:extLst>
            <a:ext uri="{FF2B5EF4-FFF2-40B4-BE49-F238E27FC236}">
              <a16:creationId xmlns:a16="http://schemas.microsoft.com/office/drawing/2014/main" id="{8C01C869-B67E-47E6-BEFA-0D1EAFA0DE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20333" y="83914285"/>
          <a:ext cx="299110" cy="1247857"/>
        </a:xfrm>
        <a:prstGeom prst="rect">
          <a:avLst/>
        </a:prstGeom>
      </xdr:spPr>
    </xdr:pic>
    <xdr:clientData/>
  </xdr:oneCellAnchor>
  <xdr:oneCellAnchor>
    <xdr:from>
      <xdr:col>6</xdr:col>
      <xdr:colOff>0</xdr:colOff>
      <xdr:row>168</xdr:row>
      <xdr:rowOff>0</xdr:rowOff>
    </xdr:from>
    <xdr:ext cx="299110" cy="1004825"/>
    <xdr:pic>
      <xdr:nvPicPr>
        <xdr:cNvPr id="1194" name="Picture 1193">
          <a:extLst>
            <a:ext uri="{FF2B5EF4-FFF2-40B4-BE49-F238E27FC236}">
              <a16:creationId xmlns:a16="http://schemas.microsoft.com/office/drawing/2014/main" id="{AE631DAA-6E98-4672-BC0C-2FED643C3A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59500" y="83798833"/>
          <a:ext cx="299110" cy="1004825"/>
        </a:xfrm>
        <a:prstGeom prst="rect">
          <a:avLst/>
        </a:prstGeom>
      </xdr:spPr>
    </xdr:pic>
    <xdr:clientData/>
  </xdr:oneCellAnchor>
  <xdr:oneCellAnchor>
    <xdr:from>
      <xdr:col>4</xdr:col>
      <xdr:colOff>0</xdr:colOff>
      <xdr:row>168</xdr:row>
      <xdr:rowOff>0</xdr:rowOff>
    </xdr:from>
    <xdr:ext cx="299110" cy="1004825"/>
    <xdr:pic>
      <xdr:nvPicPr>
        <xdr:cNvPr id="1195" name="Picture 1194">
          <a:extLst>
            <a:ext uri="{FF2B5EF4-FFF2-40B4-BE49-F238E27FC236}">
              <a16:creationId xmlns:a16="http://schemas.microsoft.com/office/drawing/2014/main" id="{FF27FB61-8393-41D5-BECD-9C9DF22096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1667" y="83798833"/>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61261" y="1071941"/>
          <a:ext cx="3645353"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50786"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88857"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21071"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14143"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63571"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65714"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86000"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46357"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88857"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53286"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78571"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58286"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71844" y="1071034"/>
          <a:ext cx="3645489"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39485"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35313" y="60664272"/>
          <a:ext cx="423188"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14143"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hyperlink" Target="mailto:GST@18"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4"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81" customFormat="1" ht="125.15" customHeight="1">
      <c r="A1" s="382" t="s">
        <v>0</v>
      </c>
      <c r="B1" s="1284"/>
      <c r="C1" s="1284"/>
    </row>
    <row r="2" spans="1:4" s="381" customFormat="1" ht="125.15" customHeight="1">
      <c r="A2" s="382" t="s">
        <v>1</v>
      </c>
      <c r="B2" s="1284"/>
      <c r="C2" s="1284"/>
    </row>
    <row r="3" spans="1:4" s="381" customFormat="1" ht="125.15" customHeight="1">
      <c r="A3" s="382" t="s">
        <v>2</v>
      </c>
      <c r="B3" s="1284"/>
      <c r="C3" s="1284"/>
    </row>
    <row r="4" spans="1:4" s="381" customFormat="1" ht="125.15" customHeight="1">
      <c r="A4" s="382" t="s">
        <v>3</v>
      </c>
      <c r="B4" s="1284"/>
      <c r="C4" s="1284"/>
    </row>
    <row r="5" spans="1:4" s="381" customFormat="1" ht="125.15" customHeight="1">
      <c r="A5" s="382" t="s">
        <v>4</v>
      </c>
      <c r="B5" s="1284"/>
      <c r="C5" s="1284"/>
    </row>
    <row r="6" spans="1:4" s="381" customFormat="1" ht="125.15" customHeight="1">
      <c r="A6" s="382" t="s">
        <v>5</v>
      </c>
      <c r="B6" s="1284"/>
      <c r="C6" s="1284"/>
    </row>
    <row r="7" spans="1:4" s="381" customFormat="1" ht="125.15" customHeight="1">
      <c r="A7" s="382" t="s">
        <v>6</v>
      </c>
      <c r="B7" s="1284"/>
      <c r="C7" s="1284"/>
    </row>
    <row r="8" spans="1:4" s="381" customFormat="1" ht="125.15" customHeight="1">
      <c r="A8" s="382" t="s">
        <v>7</v>
      </c>
      <c r="B8" s="1284"/>
      <c r="C8" s="1284"/>
    </row>
    <row r="9" spans="1:4" s="381" customFormat="1" ht="125.15" customHeight="1">
      <c r="A9" s="382" t="s">
        <v>8</v>
      </c>
      <c r="B9" s="1284"/>
      <c r="C9" s="1284"/>
    </row>
    <row r="10" spans="1:4" s="381" customFormat="1" ht="125.15" customHeight="1">
      <c r="A10" s="382" t="s">
        <v>9</v>
      </c>
      <c r="B10" s="1284"/>
      <c r="C10" s="1284"/>
      <c r="D10" s="383"/>
    </row>
    <row r="11" spans="1:4" s="381" customFormat="1" ht="125.15" customHeight="1">
      <c r="A11" s="382" t="s">
        <v>10</v>
      </c>
      <c r="B11" s="1284"/>
      <c r="C11" s="1284"/>
    </row>
    <row r="12" spans="1:4" s="381" customFormat="1" ht="125.15" customHeight="1">
      <c r="A12" s="382" t="s">
        <v>11</v>
      </c>
      <c r="B12" s="1284"/>
      <c r="C12" s="1284"/>
    </row>
    <row r="13" spans="1:4" s="381" customFormat="1" ht="125.15" customHeight="1">
      <c r="A13" s="382" t="s">
        <v>12</v>
      </c>
      <c r="B13" s="1284"/>
      <c r="C13" s="1284"/>
    </row>
    <row r="14" spans="1:4" s="381" customFormat="1" ht="125.15" customHeight="1">
      <c r="A14" s="382" t="s">
        <v>13</v>
      </c>
      <c r="B14" s="1284"/>
      <c r="C14" s="1284"/>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view="pageBreakPreview" zoomScale="70" zoomScaleNormal="70" zoomScaleSheetLayoutView="70" workbookViewId="0">
      <selection activeCell="C5" sqref="C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7265625" customWidth="1"/>
    <col min="7" max="7" width="18.90625" customWidth="1"/>
    <col min="8" max="8" width="9.90625" customWidth="1"/>
    <col min="9" max="9" width="8.81640625" bestFit="1" customWidth="1"/>
    <col min="10" max="11" width="11.1796875" bestFit="1" customWidth="1"/>
    <col min="12" max="12" width="14.08984375" customWidth="1"/>
    <col min="13" max="13" width="23.90625" customWidth="1"/>
  </cols>
  <sheetData>
    <row r="1" spans="1:13">
      <c r="A1" s="994"/>
      <c r="B1" s="1314"/>
      <c r="C1" s="1314"/>
      <c r="D1" s="1314"/>
      <c r="E1" s="1314"/>
      <c r="F1" s="1314"/>
      <c r="G1" s="1314"/>
      <c r="H1" s="1314"/>
      <c r="I1" s="1314"/>
      <c r="J1" s="1314"/>
      <c r="K1" s="1314"/>
      <c r="L1" s="1315"/>
      <c r="M1" s="376"/>
    </row>
    <row r="2" spans="1:13">
      <c r="A2" s="994"/>
      <c r="B2" s="1316"/>
      <c r="C2" s="1316"/>
      <c r="D2" s="1316"/>
      <c r="E2" s="1316"/>
      <c r="F2" s="1316"/>
      <c r="G2" s="1316"/>
      <c r="H2" s="1316"/>
      <c r="I2" s="1316"/>
      <c r="J2" s="1316"/>
      <c r="K2" s="1316"/>
      <c r="L2" s="1317"/>
      <c r="M2" s="376"/>
    </row>
    <row r="3" spans="1:13" ht="25">
      <c r="A3" s="1318"/>
      <c r="B3" s="1318"/>
      <c r="C3" s="365" t="s">
        <v>14</v>
      </c>
      <c r="D3" s="1319" t="s">
        <v>15</v>
      </c>
      <c r="E3" s="1319"/>
      <c r="F3" s="1319"/>
      <c r="G3" s="1319"/>
      <c r="H3" s="1319"/>
      <c r="I3" s="1319"/>
      <c r="J3" s="1319"/>
      <c r="K3" s="1319"/>
      <c r="L3" s="1320"/>
      <c r="M3" s="375">
        <f ca="1">NOW()-1</f>
        <v>45964.674155439818</v>
      </c>
    </row>
    <row r="4" spans="1:13">
      <c r="A4" s="366" t="s">
        <v>16</v>
      </c>
      <c r="B4" s="366"/>
      <c r="C4" s="367">
        <v>45632</v>
      </c>
      <c r="D4" s="1321" t="s">
        <v>17</v>
      </c>
      <c r="E4" s="1322"/>
      <c r="F4" s="1322"/>
      <c r="G4" s="1322"/>
      <c r="H4" s="1322"/>
      <c r="I4" s="1322"/>
      <c r="J4" s="1322"/>
      <c r="K4" s="1322"/>
      <c r="L4" s="1322"/>
      <c r="M4" s="1323"/>
    </row>
    <row r="5" spans="1:13">
      <c r="A5" s="366" t="s">
        <v>18</v>
      </c>
      <c r="B5" s="366"/>
      <c r="C5" s="367">
        <v>46178</v>
      </c>
      <c r="D5" s="1324"/>
      <c r="E5" s="1325"/>
      <c r="F5" s="1325"/>
      <c r="G5" s="1325"/>
      <c r="H5" s="1325"/>
      <c r="I5" s="1325"/>
      <c r="J5" s="1325"/>
      <c r="K5" s="1325"/>
      <c r="L5" s="1325"/>
      <c r="M5" s="1326"/>
    </row>
    <row r="6" spans="1:13" ht="19">
      <c r="A6" s="366" t="s">
        <v>19</v>
      </c>
      <c r="B6" s="366"/>
      <c r="C6" s="367"/>
      <c r="D6" s="368" t="s">
        <v>20</v>
      </c>
      <c r="E6" s="369"/>
      <c r="F6" s="369"/>
      <c r="G6" s="370"/>
      <c r="H6" s="370"/>
      <c r="I6" s="370"/>
      <c r="J6" s="370"/>
      <c r="K6" s="370"/>
      <c r="L6" s="370"/>
      <c r="M6" s="376"/>
    </row>
    <row r="7" spans="1:13" ht="19">
      <c r="A7" s="366" t="s">
        <v>21</v>
      </c>
      <c r="B7" s="366"/>
      <c r="C7" s="371"/>
      <c r="D7" s="401" t="s">
        <v>22</v>
      </c>
      <c r="E7" s="369"/>
      <c r="F7" s="369"/>
      <c r="G7" s="370"/>
      <c r="H7" s="370"/>
      <c r="I7" s="370"/>
      <c r="J7" s="370"/>
      <c r="K7" s="370"/>
      <c r="L7" s="370"/>
      <c r="M7" s="376"/>
    </row>
    <row r="8" spans="1:13" ht="19">
      <c r="A8" s="366" t="s">
        <v>23</v>
      </c>
      <c r="B8" s="366"/>
      <c r="C8" s="371"/>
      <c r="D8" s="368" t="s">
        <v>24</v>
      </c>
      <c r="E8" s="369"/>
      <c r="F8" s="369"/>
      <c r="G8" s="370"/>
      <c r="H8" s="370"/>
      <c r="I8" s="370"/>
      <c r="J8" s="370"/>
      <c r="K8" s="370"/>
      <c r="L8" s="370"/>
      <c r="M8" s="376"/>
    </row>
    <row r="9" spans="1:13" ht="15.5">
      <c r="A9" s="1327" t="s">
        <v>25</v>
      </c>
      <c r="B9" s="1327"/>
      <c r="C9" s="1327"/>
      <c r="D9" s="1327"/>
      <c r="E9" s="1327"/>
      <c r="F9" s="1327"/>
      <c r="G9" s="1327"/>
      <c r="H9" s="1327"/>
      <c r="I9" s="1327"/>
      <c r="J9" s="1327"/>
      <c r="K9" s="1327"/>
      <c r="L9" s="1327"/>
      <c r="M9" s="377">
        <f ca="1">M3</f>
        <v>45964.674155439818</v>
      </c>
    </row>
    <row r="10" spans="1:13" ht="78.5" customHeight="1">
      <c r="A10" s="372" t="s">
        <v>26</v>
      </c>
      <c r="B10" s="1" t="s">
        <v>27</v>
      </c>
      <c r="C10" s="1" t="s">
        <v>28</v>
      </c>
      <c r="D10" s="1" t="s">
        <v>29</v>
      </c>
      <c r="E10" s="1" t="s">
        <v>30</v>
      </c>
      <c r="F10" s="1" t="s">
        <v>1753</v>
      </c>
      <c r="G10" s="1" t="s">
        <v>1754</v>
      </c>
      <c r="H10" s="1" t="s">
        <v>278</v>
      </c>
      <c r="I10" s="373" t="s">
        <v>31</v>
      </c>
      <c r="J10" s="1" t="s">
        <v>32</v>
      </c>
      <c r="K10" s="378" t="s">
        <v>33</v>
      </c>
      <c r="L10" s="1" t="str">
        <f ca="1">"Gangs working "&amp;CHAR(10)&amp;TEXT(M3,"mmm-yy")</f>
        <v>Gangs working 
Nov-25</v>
      </c>
      <c r="M10" s="379" t="s">
        <v>34</v>
      </c>
    </row>
    <row r="11" spans="1:13" ht="123" customHeight="1">
      <c r="A11" s="995" t="s">
        <v>35</v>
      </c>
      <c r="B11" s="996" t="s">
        <v>36</v>
      </c>
      <c r="C11" s="997">
        <v>184</v>
      </c>
      <c r="D11" s="997">
        <v>188.44399999999999</v>
      </c>
      <c r="E11" s="997"/>
      <c r="F11" s="997"/>
      <c r="G11" s="997"/>
      <c r="H11" s="997"/>
      <c r="I11" s="997"/>
      <c r="J11" s="997">
        <v>188.44399999999999</v>
      </c>
      <c r="K11" s="997">
        <f>D11-J11</f>
        <v>0</v>
      </c>
      <c r="L11" s="997"/>
      <c r="M11" s="998" t="s">
        <v>37</v>
      </c>
    </row>
    <row r="12" spans="1:13" ht="69" customHeight="1">
      <c r="A12" s="999" t="s">
        <v>38</v>
      </c>
      <c r="B12" s="1000" t="s">
        <v>39</v>
      </c>
      <c r="C12" s="1001">
        <v>184</v>
      </c>
      <c r="D12" s="997">
        <v>188.44399999999999</v>
      </c>
      <c r="E12" s="1001">
        <v>188.44399999999999</v>
      </c>
      <c r="F12" s="1001"/>
      <c r="G12" s="1001">
        <f>D12-E12</f>
        <v>0</v>
      </c>
      <c r="H12" s="1001"/>
      <c r="I12" s="1001"/>
      <c r="J12" s="1001">
        <v>188.44399999999999</v>
      </c>
      <c r="K12" s="1001">
        <f>D12-J12</f>
        <v>0</v>
      </c>
      <c r="L12" s="1002"/>
      <c r="M12" s="998"/>
    </row>
    <row r="13" spans="1:13" ht="40">
      <c r="A13" s="999" t="s">
        <v>40</v>
      </c>
      <c r="B13" s="1000" t="s">
        <v>41</v>
      </c>
      <c r="C13" s="1001">
        <v>184</v>
      </c>
      <c r="D13" s="997">
        <v>188.44399999999999</v>
      </c>
      <c r="E13" s="1001">
        <v>174.786</v>
      </c>
      <c r="F13" s="1001">
        <f>188.444-E13</f>
        <v>13.657999999999987</v>
      </c>
      <c r="G13" s="1001"/>
      <c r="H13" s="1001"/>
      <c r="I13" s="1003"/>
      <c r="J13" s="1001">
        <v>178.07499999999999</v>
      </c>
      <c r="K13" s="1001">
        <f>D13-J13</f>
        <v>10.369</v>
      </c>
      <c r="L13" s="1004">
        <v>1</v>
      </c>
      <c r="M13" s="1031" t="s">
        <v>1664</v>
      </c>
    </row>
    <row r="14" spans="1:13" ht="40">
      <c r="A14" s="999" t="s">
        <v>42</v>
      </c>
      <c r="B14" s="1000" t="s">
        <v>43</v>
      </c>
      <c r="C14" s="1004">
        <v>73</v>
      </c>
      <c r="D14" s="1004">
        <v>73</v>
      </c>
      <c r="E14" s="1004">
        <v>73</v>
      </c>
      <c r="F14" s="1004"/>
      <c r="G14" s="1004"/>
      <c r="H14" s="1004"/>
      <c r="I14" s="1004"/>
      <c r="J14" s="1004">
        <v>73</v>
      </c>
      <c r="K14" s="1004">
        <v>0</v>
      </c>
      <c r="L14" s="1004"/>
      <c r="M14" s="1005"/>
    </row>
    <row r="15" spans="1:13" ht="107" customHeight="1">
      <c r="A15" s="1006" t="s">
        <v>1762</v>
      </c>
      <c r="B15" s="1007" t="s">
        <v>45</v>
      </c>
      <c r="C15" s="1008">
        <v>508</v>
      </c>
      <c r="D15" s="1008">
        <v>512</v>
      </c>
      <c r="E15" s="1008">
        <v>207</v>
      </c>
      <c r="F15" s="1008">
        <v>35</v>
      </c>
      <c r="G15" s="1009">
        <v>7</v>
      </c>
      <c r="H15" s="1009">
        <v>5</v>
      </c>
      <c r="I15" s="1009">
        <v>1</v>
      </c>
      <c r="J15" s="1008">
        <f>E15+G15</f>
        <v>214</v>
      </c>
      <c r="K15" s="1008">
        <f t="shared" ref="K15:K23" si="0">D15-J15</f>
        <v>298</v>
      </c>
      <c r="L15" s="1009">
        <v>6</v>
      </c>
      <c r="M15" s="1196" t="s">
        <v>1767</v>
      </c>
    </row>
    <row r="16" spans="1:13" ht="20">
      <c r="A16" s="999" t="s">
        <v>44</v>
      </c>
      <c r="B16" s="1000" t="s">
        <v>47</v>
      </c>
      <c r="C16" s="1004">
        <v>508</v>
      </c>
      <c r="D16" s="1004">
        <v>512</v>
      </c>
      <c r="E16" s="1004">
        <v>177</v>
      </c>
      <c r="F16" s="1004">
        <v>208</v>
      </c>
      <c r="G16" s="1004">
        <v>13</v>
      </c>
      <c r="H16" s="1004"/>
      <c r="I16" s="1004"/>
      <c r="J16" s="1004">
        <f>E16+G16</f>
        <v>190</v>
      </c>
      <c r="K16" s="1010">
        <f t="shared" si="0"/>
        <v>322</v>
      </c>
      <c r="L16" s="1004"/>
      <c r="M16" s="1004"/>
    </row>
    <row r="17" spans="1:13" ht="40">
      <c r="A17" s="1006" t="s">
        <v>46</v>
      </c>
      <c r="B17" s="1007" t="s">
        <v>48</v>
      </c>
      <c r="C17" s="1008">
        <v>508</v>
      </c>
      <c r="D17" s="1008">
        <v>512</v>
      </c>
      <c r="E17" s="1008">
        <v>62</v>
      </c>
      <c r="F17" s="1008">
        <v>67</v>
      </c>
      <c r="G17" s="1008">
        <v>38</v>
      </c>
      <c r="H17" s="1008">
        <v>8</v>
      </c>
      <c r="I17" s="1008">
        <v>1</v>
      </c>
      <c r="J17" s="1008">
        <f>E17+G17</f>
        <v>100</v>
      </c>
      <c r="K17" s="1008">
        <f t="shared" si="0"/>
        <v>412</v>
      </c>
      <c r="L17" s="1008">
        <v>8</v>
      </c>
      <c r="M17" s="1196"/>
    </row>
    <row r="18" spans="1:13" ht="40">
      <c r="A18" s="999" t="s">
        <v>1763</v>
      </c>
      <c r="B18" s="1000" t="s">
        <v>49</v>
      </c>
      <c r="C18" s="1004">
        <v>508</v>
      </c>
      <c r="D18" s="1004">
        <v>512</v>
      </c>
      <c r="E18" s="1004"/>
      <c r="F18" s="1004"/>
      <c r="G18" s="1004"/>
      <c r="H18" s="1004"/>
      <c r="I18" s="1004"/>
      <c r="J18" s="1004">
        <f>E18+G18</f>
        <v>0</v>
      </c>
      <c r="K18" s="1010">
        <f t="shared" si="0"/>
        <v>512</v>
      </c>
      <c r="L18" s="1004"/>
      <c r="M18" s="1004"/>
    </row>
    <row r="19" spans="1:13" ht="20">
      <c r="A19" s="999" t="s">
        <v>1764</v>
      </c>
      <c r="B19" s="1000" t="s">
        <v>50</v>
      </c>
      <c r="C19" s="1004"/>
      <c r="D19" s="1004"/>
      <c r="E19" s="1004"/>
      <c r="F19" s="1004"/>
      <c r="G19" s="1004"/>
      <c r="H19" s="1004"/>
      <c r="I19" s="1011"/>
      <c r="J19" s="1004"/>
      <c r="K19" s="1010">
        <f t="shared" si="0"/>
        <v>0</v>
      </c>
      <c r="L19" s="1004"/>
      <c r="M19" s="1004"/>
    </row>
    <row r="20" spans="1:13" ht="20">
      <c r="A20" s="1006" t="s">
        <v>51</v>
      </c>
      <c r="B20" s="1007" t="s">
        <v>52</v>
      </c>
      <c r="C20" s="1012">
        <v>184</v>
      </c>
      <c r="D20" s="997">
        <v>188.44399999999999</v>
      </c>
      <c r="E20" s="1012">
        <v>0</v>
      </c>
      <c r="F20" s="1012"/>
      <c r="G20" s="1012"/>
      <c r="H20" s="1012"/>
      <c r="I20" s="1012"/>
      <c r="J20" s="1012">
        <f>E20+G20</f>
        <v>0</v>
      </c>
      <c r="K20" s="1012">
        <f t="shared" si="0"/>
        <v>188.44399999999999</v>
      </c>
      <c r="L20" s="1012"/>
      <c r="M20" s="1013"/>
    </row>
    <row r="21" spans="1:13" ht="20">
      <c r="A21" s="1006" t="s">
        <v>38</v>
      </c>
      <c r="B21" s="1007" t="s">
        <v>53</v>
      </c>
      <c r="C21" s="1012">
        <v>184</v>
      </c>
      <c r="D21" s="997">
        <v>188.44399999999999</v>
      </c>
      <c r="E21" s="1012">
        <v>0</v>
      </c>
      <c r="F21" s="1012"/>
      <c r="G21" s="1012"/>
      <c r="H21" s="1012"/>
      <c r="I21" s="1012"/>
      <c r="J21" s="1012">
        <f>E21+G21</f>
        <v>0</v>
      </c>
      <c r="K21" s="1012">
        <f t="shared" si="0"/>
        <v>188.44399999999999</v>
      </c>
      <c r="L21" s="1012"/>
      <c r="M21" s="1013"/>
    </row>
    <row r="22" spans="1:13" ht="40">
      <c r="A22" s="999" t="s">
        <v>54</v>
      </c>
      <c r="B22" s="1000" t="s">
        <v>55</v>
      </c>
      <c r="C22" s="1001">
        <v>184</v>
      </c>
      <c r="D22" s="997">
        <v>188.44399999999999</v>
      </c>
      <c r="E22" s="1001">
        <v>0</v>
      </c>
      <c r="F22" s="1001"/>
      <c r="G22" s="1001"/>
      <c r="H22" s="1001"/>
      <c r="I22" s="1001"/>
      <c r="J22" s="1001">
        <f>E22+G22</f>
        <v>0</v>
      </c>
      <c r="K22" s="1014">
        <f t="shared" si="0"/>
        <v>188.44399999999999</v>
      </c>
      <c r="L22" s="1001"/>
      <c r="M22" s="1001"/>
    </row>
    <row r="23" spans="1:13" ht="20">
      <c r="A23" s="1015"/>
      <c r="B23" s="1015"/>
      <c r="C23" s="1015"/>
      <c r="D23" s="1015"/>
      <c r="E23" s="1015"/>
      <c r="F23" s="1015"/>
      <c r="G23" s="1015"/>
      <c r="H23" s="1015"/>
      <c r="I23" s="1015"/>
      <c r="J23" s="1015"/>
      <c r="K23" s="1016">
        <f t="shared" si="0"/>
        <v>0</v>
      </c>
      <c r="L23" s="1015"/>
      <c r="M23" s="1015"/>
    </row>
    <row r="24" spans="1:13" ht="40">
      <c r="A24" s="1017" t="s">
        <v>26</v>
      </c>
      <c r="B24" s="1017" t="s">
        <v>56</v>
      </c>
      <c r="C24" s="1017" t="s">
        <v>57</v>
      </c>
      <c r="D24" s="1295" t="s">
        <v>58</v>
      </c>
      <c r="E24" s="1297"/>
      <c r="F24" s="1017"/>
      <c r="G24" s="1295" t="s">
        <v>59</v>
      </c>
      <c r="H24" s="1296"/>
      <c r="I24" s="1297"/>
      <c r="J24" s="1295" t="s">
        <v>34</v>
      </c>
      <c r="K24" s="1296"/>
      <c r="L24" s="1296"/>
      <c r="M24" s="1297"/>
    </row>
    <row r="25" spans="1:13" ht="40">
      <c r="A25" s="1018" t="s">
        <v>60</v>
      </c>
      <c r="B25" s="1019" t="s">
        <v>61</v>
      </c>
      <c r="C25" s="1019"/>
      <c r="D25" s="1298"/>
      <c r="E25" s="1298"/>
      <c r="F25" s="1020"/>
      <c r="G25" s="1299"/>
      <c r="H25" s="1300"/>
      <c r="I25" s="1301"/>
      <c r="J25" s="1022"/>
      <c r="K25" s="1022"/>
      <c r="L25" s="1022"/>
      <c r="M25" s="1023"/>
    </row>
    <row r="26" spans="1:13" ht="32" customHeight="1">
      <c r="A26" s="1253">
        <v>1</v>
      </c>
      <c r="B26" s="1253" t="s">
        <v>1757</v>
      </c>
      <c r="C26" s="1253" t="s">
        <v>1581</v>
      </c>
      <c r="D26" s="1253" t="s">
        <v>1559</v>
      </c>
      <c r="E26" s="1253" t="s">
        <v>1558</v>
      </c>
      <c r="F26" s="1253" t="s">
        <v>1771</v>
      </c>
      <c r="G26" s="1254" t="s">
        <v>1796</v>
      </c>
      <c r="H26" s="1253"/>
      <c r="I26" s="1253"/>
      <c r="J26" s="1292"/>
      <c r="K26" s="1293"/>
      <c r="L26" s="1293"/>
      <c r="M26" s="1294"/>
    </row>
    <row r="27" spans="1:13" ht="32" customHeight="1">
      <c r="A27" s="1253">
        <v>2</v>
      </c>
      <c r="B27" s="1253" t="s">
        <v>1758</v>
      </c>
      <c r="C27" s="1253" t="s">
        <v>1582</v>
      </c>
      <c r="D27" s="1253" t="s">
        <v>1337</v>
      </c>
      <c r="E27" s="1253" t="s">
        <v>1558</v>
      </c>
      <c r="F27" s="1253" t="s">
        <v>1771</v>
      </c>
      <c r="G27" s="1254" t="s">
        <v>1796</v>
      </c>
      <c r="H27" s="1253"/>
      <c r="I27" s="1253"/>
      <c r="J27" s="1292"/>
      <c r="K27" s="1293"/>
      <c r="L27" s="1293"/>
      <c r="M27" s="1294"/>
    </row>
    <row r="28" spans="1:13" ht="32" customHeight="1">
      <c r="A28" s="1253">
        <v>3</v>
      </c>
      <c r="B28" s="1253" t="s">
        <v>1759</v>
      </c>
      <c r="C28" s="1253" t="s">
        <v>1583</v>
      </c>
      <c r="D28" s="1253" t="s">
        <v>1337</v>
      </c>
      <c r="E28" s="1253" t="s">
        <v>1558</v>
      </c>
      <c r="F28" s="1253" t="s">
        <v>1771</v>
      </c>
      <c r="G28" s="1254" t="s">
        <v>1796</v>
      </c>
      <c r="H28" s="1253"/>
      <c r="I28" s="1253"/>
      <c r="J28" s="1292"/>
      <c r="K28" s="1293"/>
      <c r="L28" s="1293"/>
      <c r="M28" s="1294"/>
    </row>
    <row r="29" spans="1:13" ht="44.5" customHeight="1">
      <c r="A29" s="1253">
        <v>4</v>
      </c>
      <c r="B29" s="1253" t="s">
        <v>1560</v>
      </c>
      <c r="C29" s="1253" t="s">
        <v>1584</v>
      </c>
      <c r="D29" s="1253" t="s">
        <v>1337</v>
      </c>
      <c r="E29" s="1253" t="s">
        <v>1594</v>
      </c>
      <c r="F29" s="1253" t="s">
        <v>1770</v>
      </c>
      <c r="G29" s="1302" t="s">
        <v>1768</v>
      </c>
      <c r="H29" s="1303"/>
      <c r="I29" s="1304"/>
      <c r="J29" s="1292"/>
      <c r="K29" s="1293"/>
      <c r="L29" s="1293"/>
      <c r="M29" s="1294"/>
    </row>
    <row r="30" spans="1:13" ht="43.5" customHeight="1">
      <c r="A30" s="1253">
        <v>5</v>
      </c>
      <c r="B30" s="1253" t="s">
        <v>1561</v>
      </c>
      <c r="C30" s="1253" t="s">
        <v>1585</v>
      </c>
      <c r="D30" s="1253" t="s">
        <v>1337</v>
      </c>
      <c r="E30" s="1253"/>
      <c r="F30" s="1253" t="s">
        <v>1592</v>
      </c>
      <c r="G30" s="1305" t="s">
        <v>1773</v>
      </c>
      <c r="H30" s="1306"/>
      <c r="I30" s="1306"/>
      <c r="J30" s="1306"/>
      <c r="K30" s="1306"/>
      <c r="L30" s="1306"/>
      <c r="M30" s="1307"/>
    </row>
    <row r="31" spans="1:13" ht="43.5" customHeight="1">
      <c r="A31" s="1253">
        <v>6</v>
      </c>
      <c r="B31" s="1253" t="s">
        <v>1562</v>
      </c>
      <c r="C31" s="1253" t="s">
        <v>1586</v>
      </c>
      <c r="D31" s="1253" t="s">
        <v>1337</v>
      </c>
      <c r="E31" s="1253"/>
      <c r="F31" s="1253" t="s">
        <v>1592</v>
      </c>
      <c r="G31" s="1308"/>
      <c r="H31" s="1309"/>
      <c r="I31" s="1309"/>
      <c r="J31" s="1309"/>
      <c r="K31" s="1309"/>
      <c r="L31" s="1309"/>
      <c r="M31" s="1310"/>
    </row>
    <row r="32" spans="1:13" ht="31" customHeight="1">
      <c r="A32" s="1253">
        <v>7</v>
      </c>
      <c r="B32" s="1253" t="s">
        <v>1563</v>
      </c>
      <c r="C32" s="1253" t="s">
        <v>1587</v>
      </c>
      <c r="D32" s="1253" t="s">
        <v>1337</v>
      </c>
      <c r="E32" s="1253"/>
      <c r="F32" s="1253" t="s">
        <v>1592</v>
      </c>
      <c r="G32" s="1311"/>
      <c r="H32" s="1312"/>
      <c r="I32" s="1312"/>
      <c r="J32" s="1312"/>
      <c r="K32" s="1312"/>
      <c r="L32" s="1312"/>
      <c r="M32" s="1313"/>
    </row>
    <row r="33" spans="1:17" ht="62" customHeight="1">
      <c r="A33" s="1253">
        <v>8</v>
      </c>
      <c r="B33" s="1253" t="s">
        <v>1564</v>
      </c>
      <c r="C33" s="1253" t="s">
        <v>1588</v>
      </c>
      <c r="D33" s="1253" t="s">
        <v>1337</v>
      </c>
      <c r="E33" s="1253"/>
      <c r="F33" s="1253" t="s">
        <v>1592</v>
      </c>
      <c r="G33" s="1302" t="s">
        <v>1794</v>
      </c>
      <c r="H33" s="1303"/>
      <c r="I33" s="1303"/>
      <c r="J33" s="1303"/>
      <c r="K33" s="1303"/>
      <c r="L33" s="1303"/>
      <c r="M33" s="1304"/>
    </row>
    <row r="34" spans="1:17" ht="32.5" customHeight="1">
      <c r="A34" s="1253">
        <v>9</v>
      </c>
      <c r="B34" s="1253" t="s">
        <v>1565</v>
      </c>
      <c r="C34" s="1253" t="s">
        <v>1589</v>
      </c>
      <c r="D34" s="1253" t="s">
        <v>1337</v>
      </c>
      <c r="E34" s="1253"/>
      <c r="F34" s="1253" t="s">
        <v>1592</v>
      </c>
      <c r="G34" s="1292"/>
      <c r="H34" s="1293"/>
      <c r="I34" s="1293"/>
      <c r="J34" s="1293"/>
      <c r="K34" s="1293"/>
      <c r="L34" s="1293"/>
      <c r="M34" s="1294"/>
    </row>
    <row r="35" spans="1:17" ht="62" customHeight="1">
      <c r="A35" s="1253">
        <v>10</v>
      </c>
      <c r="B35" s="1253" t="s">
        <v>1566</v>
      </c>
      <c r="C35" s="1253" t="s">
        <v>1590</v>
      </c>
      <c r="D35" s="1253" t="s">
        <v>1567</v>
      </c>
      <c r="E35" s="1253"/>
      <c r="F35" s="1253" t="s">
        <v>1592</v>
      </c>
      <c r="G35" s="1292"/>
      <c r="H35" s="1293"/>
      <c r="I35" s="1293"/>
      <c r="J35" s="1293"/>
      <c r="K35" s="1293"/>
      <c r="L35" s="1293"/>
      <c r="M35" s="1294"/>
    </row>
    <row r="36" spans="1:17" ht="49" customHeight="1">
      <c r="A36" s="1253">
        <v>11</v>
      </c>
      <c r="B36" s="1253" t="s">
        <v>1568</v>
      </c>
      <c r="C36" s="1253" t="s">
        <v>1591</v>
      </c>
      <c r="D36" s="1253" t="s">
        <v>1567</v>
      </c>
      <c r="E36" s="1253" t="s">
        <v>1594</v>
      </c>
      <c r="F36" s="1253" t="s">
        <v>1769</v>
      </c>
      <c r="G36" s="1292" t="s">
        <v>1774</v>
      </c>
      <c r="H36" s="1293"/>
      <c r="I36" s="1293"/>
      <c r="J36" s="1293"/>
      <c r="K36" s="1293"/>
      <c r="L36" s="1293"/>
      <c r="M36" s="1294"/>
    </row>
    <row r="37" spans="1:17" ht="15.5">
      <c r="A37" s="1253" t="s">
        <v>63</v>
      </c>
      <c r="B37" s="1253" t="s">
        <v>64</v>
      </c>
      <c r="C37" s="1253"/>
      <c r="D37" s="1253"/>
      <c r="E37" s="1253"/>
      <c r="F37" s="1253"/>
      <c r="G37" s="1292"/>
      <c r="H37" s="1293"/>
      <c r="I37" s="1293"/>
      <c r="J37" s="1293"/>
      <c r="K37" s="1293"/>
      <c r="L37" s="1293"/>
      <c r="M37" s="1294"/>
    </row>
    <row r="38" spans="1:17" ht="15.5">
      <c r="A38" s="1253">
        <v>1</v>
      </c>
      <c r="B38" s="1253" t="s">
        <v>65</v>
      </c>
      <c r="C38" s="1253" t="s">
        <v>66</v>
      </c>
      <c r="D38" s="1253" t="s">
        <v>64</v>
      </c>
      <c r="E38" s="1253"/>
      <c r="F38" s="1253"/>
      <c r="G38" s="1292"/>
      <c r="H38" s="1293"/>
      <c r="I38" s="1293"/>
      <c r="J38" s="1293"/>
      <c r="K38" s="1293"/>
      <c r="L38" s="1293"/>
      <c r="M38" s="1294"/>
    </row>
    <row r="39" spans="1:17" ht="15.5">
      <c r="A39" s="1253">
        <v>2</v>
      </c>
      <c r="B39" s="1253" t="s">
        <v>67</v>
      </c>
      <c r="C39" s="1253" t="s">
        <v>68</v>
      </c>
      <c r="D39" s="1253" t="s">
        <v>64</v>
      </c>
      <c r="E39" s="1253"/>
      <c r="F39" s="1253"/>
      <c r="G39" s="1292"/>
      <c r="H39" s="1293"/>
      <c r="I39" s="1293"/>
      <c r="J39" s="1293"/>
      <c r="K39" s="1293"/>
      <c r="L39" s="1293"/>
      <c r="M39" s="1294"/>
    </row>
    <row r="40" spans="1:17" ht="15.5">
      <c r="A40" s="1253">
        <v>3</v>
      </c>
      <c r="B40" s="1253" t="s">
        <v>69</v>
      </c>
      <c r="C40" s="1253" t="s">
        <v>70</v>
      </c>
      <c r="D40" s="1253" t="s">
        <v>64</v>
      </c>
      <c r="E40" s="1253"/>
      <c r="F40" s="1253"/>
      <c r="G40" s="1292"/>
      <c r="H40" s="1293"/>
      <c r="I40" s="1293"/>
      <c r="J40" s="1293"/>
      <c r="K40" s="1293"/>
      <c r="L40" s="1293"/>
      <c r="M40" s="1294"/>
    </row>
    <row r="41" spans="1:17" ht="62.5" customHeight="1">
      <c r="A41" s="1253" t="s">
        <v>71</v>
      </c>
      <c r="B41" s="1253" t="s">
        <v>72</v>
      </c>
      <c r="C41" s="1253"/>
      <c r="D41" s="1253"/>
      <c r="E41" s="1253"/>
      <c r="F41" s="1253"/>
      <c r="G41" s="1292"/>
      <c r="H41" s="1293"/>
      <c r="I41" s="1293"/>
      <c r="J41" s="1293"/>
      <c r="K41" s="1293"/>
      <c r="L41" s="1293"/>
      <c r="M41" s="1294"/>
    </row>
    <row r="42" spans="1:17" ht="62" customHeight="1">
      <c r="A42" s="1253">
        <v>1</v>
      </c>
      <c r="B42" s="1253" t="s">
        <v>73</v>
      </c>
      <c r="C42" s="1253" t="s">
        <v>74</v>
      </c>
      <c r="D42" s="1253" t="s">
        <v>1344</v>
      </c>
      <c r="E42" s="1253"/>
      <c r="F42" s="1253"/>
      <c r="G42" s="1292" t="s">
        <v>1775</v>
      </c>
      <c r="H42" s="1293"/>
      <c r="I42" s="1293"/>
      <c r="J42" s="1293"/>
      <c r="K42" s="1293"/>
      <c r="L42" s="1293"/>
      <c r="M42" s="1294"/>
    </row>
    <row r="43" spans="1:17" ht="31">
      <c r="A43" s="1253">
        <f>A42+1</f>
        <v>2</v>
      </c>
      <c r="B43" s="1253" t="s">
        <v>75</v>
      </c>
      <c r="C43" s="1253" t="s">
        <v>74</v>
      </c>
      <c r="D43" s="1253" t="s">
        <v>1593</v>
      </c>
      <c r="E43" s="1253"/>
      <c r="F43" s="1253"/>
      <c r="G43" s="1292"/>
      <c r="H43" s="1293"/>
      <c r="I43" s="1293"/>
      <c r="J43" s="1293"/>
      <c r="K43" s="1293"/>
      <c r="L43" s="1293"/>
      <c r="M43" s="1294"/>
    </row>
    <row r="44" spans="1:17" ht="23.5" customHeight="1">
      <c r="A44" s="1253" t="s">
        <v>44</v>
      </c>
      <c r="B44" s="1253" t="s">
        <v>76</v>
      </c>
      <c r="C44" s="1253"/>
      <c r="D44" s="1253"/>
      <c r="E44" s="1253"/>
      <c r="F44" s="1253"/>
      <c r="G44" s="1292"/>
      <c r="H44" s="1293"/>
      <c r="I44" s="1293"/>
      <c r="J44" s="1293"/>
      <c r="K44" s="1293"/>
      <c r="L44" s="1293"/>
      <c r="M44" s="1294"/>
    </row>
    <row r="45" spans="1:17" ht="64" customHeight="1">
      <c r="A45" s="1253">
        <v>1</v>
      </c>
      <c r="B45" s="1253" t="s">
        <v>1776</v>
      </c>
      <c r="C45" s="1253" t="s">
        <v>1777</v>
      </c>
      <c r="D45" s="1253" t="s">
        <v>1778</v>
      </c>
      <c r="E45" s="1253"/>
      <c r="F45" s="1253" t="s">
        <v>1779</v>
      </c>
      <c r="G45" s="1292"/>
      <c r="H45" s="1293"/>
      <c r="I45" s="1293"/>
      <c r="J45" s="1293"/>
      <c r="K45" s="1293"/>
      <c r="L45" s="1293"/>
      <c r="M45" s="1294"/>
    </row>
    <row r="46" spans="1:17" ht="44" customHeight="1">
      <c r="A46" s="1253">
        <v>2</v>
      </c>
      <c r="B46" s="1253" t="s">
        <v>1780</v>
      </c>
      <c r="C46" s="1253" t="s">
        <v>1781</v>
      </c>
      <c r="D46" s="1253" t="s">
        <v>1778</v>
      </c>
      <c r="E46" s="1253"/>
      <c r="F46" s="1253"/>
      <c r="G46" s="1292"/>
      <c r="H46" s="1293"/>
      <c r="I46" s="1293"/>
      <c r="J46" s="1293"/>
      <c r="K46" s="1293"/>
      <c r="L46" s="1293"/>
      <c r="M46" s="1294"/>
      <c r="N46" s="1291"/>
      <c r="O46" s="1291"/>
      <c r="P46" s="1291"/>
      <c r="Q46" s="1291"/>
    </row>
    <row r="47" spans="1:17" ht="31">
      <c r="A47" s="1253">
        <v>3</v>
      </c>
      <c r="B47" s="1253" t="s">
        <v>1782</v>
      </c>
      <c r="C47" s="1253" t="s">
        <v>1783</v>
      </c>
      <c r="D47" s="1253" t="s">
        <v>1778</v>
      </c>
      <c r="E47" s="1253" t="s">
        <v>1795</v>
      </c>
      <c r="F47" s="1253"/>
      <c r="G47" s="1292"/>
      <c r="H47" s="1293"/>
      <c r="I47" s="1293"/>
      <c r="J47" s="1293"/>
      <c r="K47" s="1293"/>
      <c r="L47" s="1293"/>
      <c r="M47" s="1294"/>
    </row>
    <row r="48" spans="1:17" ht="15.5">
      <c r="A48" s="1253">
        <v>4</v>
      </c>
      <c r="B48" s="1253" t="s">
        <v>1784</v>
      </c>
      <c r="C48" s="1253" t="s">
        <v>1785</v>
      </c>
      <c r="D48" s="1253" t="s">
        <v>1778</v>
      </c>
      <c r="E48" s="1253"/>
      <c r="F48" s="1253"/>
      <c r="G48" s="1292"/>
      <c r="H48" s="1293"/>
      <c r="I48" s="1293"/>
      <c r="J48" s="1293"/>
      <c r="K48" s="1293"/>
      <c r="L48" s="1293"/>
      <c r="M48" s="1294"/>
    </row>
    <row r="49" spans="1:13" ht="31">
      <c r="A49" s="1253">
        <v>5</v>
      </c>
      <c r="B49" s="1253" t="s">
        <v>1786</v>
      </c>
      <c r="C49" s="1253" t="s">
        <v>1787</v>
      </c>
      <c r="D49" s="1253" t="s">
        <v>1778</v>
      </c>
      <c r="E49" s="1253"/>
      <c r="F49" s="1253"/>
      <c r="G49" s="1292"/>
      <c r="H49" s="1293"/>
      <c r="I49" s="1293"/>
      <c r="J49" s="1293"/>
      <c r="K49" s="1293"/>
      <c r="L49" s="1293"/>
      <c r="M49" s="1294"/>
    </row>
    <row r="50" spans="1:13" ht="46.5">
      <c r="A50" s="1253">
        <v>6</v>
      </c>
      <c r="B50" s="1253" t="s">
        <v>1345</v>
      </c>
      <c r="C50" s="1253" t="s">
        <v>1788</v>
      </c>
      <c r="D50" s="1253"/>
      <c r="E50" s="1253"/>
      <c r="F50" s="1253" t="s">
        <v>1789</v>
      </c>
      <c r="G50" s="1292"/>
      <c r="H50" s="1293"/>
      <c r="I50" s="1293"/>
      <c r="J50" s="1293"/>
      <c r="K50" s="1293"/>
      <c r="L50" s="1293"/>
      <c r="M50" s="1294"/>
    </row>
    <row r="51" spans="1:13" ht="15.5">
      <c r="A51" s="1253" t="s">
        <v>46</v>
      </c>
      <c r="B51" s="1253" t="s">
        <v>1315</v>
      </c>
      <c r="C51" s="1253"/>
      <c r="D51" s="1253"/>
      <c r="E51" s="1253"/>
      <c r="F51" s="1253"/>
      <c r="G51" s="1292"/>
      <c r="H51" s="1293"/>
      <c r="I51" s="1293"/>
      <c r="J51" s="1293"/>
      <c r="K51" s="1293"/>
      <c r="L51" s="1293"/>
      <c r="M51" s="1294"/>
    </row>
    <row r="52" spans="1:13" ht="74" customHeight="1">
      <c r="A52" s="1253">
        <v>1</v>
      </c>
      <c r="B52" s="1253" t="s">
        <v>1316</v>
      </c>
      <c r="C52" s="1253"/>
      <c r="D52" s="1253" t="s">
        <v>1346</v>
      </c>
      <c r="E52" s="1253"/>
      <c r="F52" s="1253"/>
      <c r="G52" s="1292" t="s">
        <v>1797</v>
      </c>
      <c r="H52" s="1293"/>
      <c r="I52" s="1293"/>
      <c r="J52" s="1293"/>
      <c r="K52" s="1293"/>
      <c r="L52" s="1293"/>
      <c r="M52" s="1294"/>
    </row>
    <row r="53" spans="1:13" ht="74" customHeight="1">
      <c r="A53" s="1253">
        <f>A52+1</f>
        <v>2</v>
      </c>
      <c r="B53" s="1253" t="s">
        <v>1317</v>
      </c>
      <c r="C53" s="1253"/>
      <c r="D53" s="1253" t="s">
        <v>1351</v>
      </c>
      <c r="E53" s="1253"/>
      <c r="F53" s="1253"/>
      <c r="G53" s="1285" t="s">
        <v>1790</v>
      </c>
      <c r="H53" s="1286"/>
      <c r="I53" s="1286"/>
      <c r="J53" s="1286"/>
      <c r="K53" s="1286"/>
      <c r="L53" s="1286"/>
      <c r="M53" s="1287"/>
    </row>
    <row r="54" spans="1:13" ht="74" customHeight="1">
      <c r="A54" s="1253">
        <f t="shared" ref="A54:A56" si="1">A53+1</f>
        <v>3</v>
      </c>
      <c r="B54" s="1253" t="s">
        <v>1318</v>
      </c>
      <c r="C54" s="1253"/>
      <c r="D54" s="1253" t="s">
        <v>1347</v>
      </c>
      <c r="E54" s="1253"/>
      <c r="F54" s="1253"/>
      <c r="G54" s="1285" t="s">
        <v>1791</v>
      </c>
      <c r="H54" s="1286"/>
      <c r="I54" s="1286"/>
      <c r="J54" s="1286"/>
      <c r="K54" s="1286"/>
      <c r="L54" s="1286"/>
      <c r="M54" s="1287"/>
    </row>
    <row r="55" spans="1:13" ht="105" customHeight="1">
      <c r="A55" s="1253">
        <f t="shared" si="1"/>
        <v>4</v>
      </c>
      <c r="B55" s="1253" t="s">
        <v>1314</v>
      </c>
      <c r="C55" s="1253"/>
      <c r="D55" s="1253" t="s">
        <v>1348</v>
      </c>
      <c r="E55" s="1253"/>
      <c r="F55" s="1253"/>
      <c r="G55" s="1285" t="s">
        <v>1792</v>
      </c>
      <c r="H55" s="1286"/>
      <c r="I55" s="1286"/>
      <c r="J55" s="1286"/>
      <c r="K55" s="1286"/>
      <c r="L55" s="1286"/>
      <c r="M55" s="1287"/>
    </row>
    <row r="56" spans="1:13" ht="84" customHeight="1">
      <c r="A56" s="1253">
        <f t="shared" si="1"/>
        <v>5</v>
      </c>
      <c r="B56" s="1253" t="s">
        <v>1319</v>
      </c>
      <c r="C56" s="1253"/>
      <c r="D56" s="1253" t="s">
        <v>1349</v>
      </c>
      <c r="E56" s="1253"/>
      <c r="F56" s="1253"/>
      <c r="G56" s="1285" t="s">
        <v>1790</v>
      </c>
      <c r="H56" s="1286"/>
      <c r="I56" s="1286"/>
      <c r="J56" s="1286"/>
      <c r="K56" s="1286"/>
      <c r="L56" s="1286"/>
      <c r="M56" s="1287"/>
    </row>
    <row r="57" spans="1:13" ht="101" customHeight="1">
      <c r="A57" s="1253">
        <v>6</v>
      </c>
      <c r="B57" s="1253" t="s">
        <v>1320</v>
      </c>
      <c r="C57" s="1253"/>
      <c r="D57" s="1253" t="s">
        <v>1665</v>
      </c>
      <c r="E57" s="1253"/>
      <c r="F57" s="1253"/>
      <c r="G57" s="1288" t="s">
        <v>1793</v>
      </c>
      <c r="H57" s="1289"/>
      <c r="I57" s="1289"/>
      <c r="J57" s="1289"/>
      <c r="K57" s="1289"/>
      <c r="L57" s="1289"/>
      <c r="M57" s="1290"/>
    </row>
    <row r="59" spans="1:13" ht="15.5" customHeight="1"/>
    <row r="60" spans="1:13" ht="15.5" customHeight="1"/>
    <row r="64" spans="1:13" ht="15.5" customHeight="1"/>
  </sheetData>
  <protectedRanges>
    <protectedRange sqref="L9:M12 L32:M34 C48:C49 A52:A56 B50:E50 I34:K34 A3:M8 B37:E47 M25 H30:K32 A37:A50 L14:L25 M13:M23 A9:K25 H26:M29 I35:M41 F37:G44 G45:G51"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C75" sqref="C75"/>
    </sheetView>
  </sheetViews>
  <sheetFormatPr defaultRowHeight="14.5"/>
  <cols>
    <col min="2" max="2" width="15.453125" customWidth="1"/>
    <col min="3" max="3" width="19.54296875" customWidth="1"/>
    <col min="4" max="4" width="11.90625" customWidth="1"/>
    <col min="5" max="5" width="23.6328125" customWidth="1"/>
    <col min="6" max="6" width="12.26953125" customWidth="1"/>
    <col min="7" max="7" width="34.26953125" customWidth="1"/>
  </cols>
  <sheetData>
    <row r="1" spans="1:7" ht="15.5">
      <c r="A1" s="1332" t="s">
        <v>78</v>
      </c>
      <c r="B1" s="1332"/>
      <c r="C1" s="1332"/>
      <c r="D1" s="1332"/>
      <c r="E1" s="1332"/>
      <c r="F1" s="1332"/>
      <c r="G1" s="1332"/>
    </row>
    <row r="2" spans="1:7" ht="15.5">
      <c r="A2" s="1333" t="s">
        <v>79</v>
      </c>
      <c r="B2" s="1333"/>
      <c r="C2" s="1333"/>
      <c r="D2" s="1333"/>
      <c r="E2" s="1333"/>
      <c r="F2" s="1333"/>
      <c r="G2" s="1333"/>
    </row>
    <row r="3" spans="1:7" ht="15.5">
      <c r="A3" s="1333" t="s">
        <v>80</v>
      </c>
      <c r="B3" s="1333"/>
      <c r="C3" s="1333"/>
      <c r="D3" s="1333"/>
      <c r="E3" s="1333"/>
      <c r="F3" s="1333"/>
      <c r="G3" s="1333"/>
    </row>
    <row r="4" spans="1:7" ht="18.5">
      <c r="A4" s="1334" t="s">
        <v>81</v>
      </c>
      <c r="B4" s="1334"/>
      <c r="C4" s="1334"/>
      <c r="D4" s="1334"/>
      <c r="E4" s="1334"/>
      <c r="F4" s="1334"/>
      <c r="G4" s="1334"/>
    </row>
    <row r="5" spans="1:7" ht="29" hidden="1">
      <c r="A5" s="353" t="s">
        <v>82</v>
      </c>
      <c r="B5" s="353" t="s">
        <v>83</v>
      </c>
      <c r="C5" s="353" t="s">
        <v>84</v>
      </c>
      <c r="D5" s="353" t="s">
        <v>85</v>
      </c>
      <c r="E5" s="353" t="s">
        <v>86</v>
      </c>
      <c r="F5" s="353" t="s">
        <v>34</v>
      </c>
      <c r="G5" s="76"/>
    </row>
    <row r="6" spans="1:7" hidden="1">
      <c r="A6" s="76">
        <v>1</v>
      </c>
      <c r="B6" s="76" t="s">
        <v>87</v>
      </c>
      <c r="C6" s="76">
        <v>2.653</v>
      </c>
      <c r="D6" s="1335">
        <v>45684</v>
      </c>
      <c r="E6" s="1335">
        <v>45691</v>
      </c>
      <c r="F6" s="76" t="s">
        <v>88</v>
      </c>
      <c r="G6" s="76"/>
    </row>
    <row r="7" spans="1:7" hidden="1">
      <c r="A7" s="76">
        <f>A6+1</f>
        <v>2</v>
      </c>
      <c r="B7" s="76" t="s">
        <v>89</v>
      </c>
      <c r="C7" s="76">
        <v>5.31</v>
      </c>
      <c r="D7" s="1336"/>
      <c r="E7" s="1336"/>
      <c r="F7" s="76" t="s">
        <v>88</v>
      </c>
      <c r="G7" s="76"/>
    </row>
    <row r="8" spans="1:7" ht="43.5" hidden="1">
      <c r="A8" s="76">
        <f t="shared" ref="A8:A32" si="0">A7+1</f>
        <v>3</v>
      </c>
      <c r="B8" s="76" t="s">
        <v>90</v>
      </c>
      <c r="C8" s="76">
        <v>19.672000000000001</v>
      </c>
      <c r="D8" s="512" t="s">
        <v>1125</v>
      </c>
      <c r="E8" s="883">
        <v>45713</v>
      </c>
      <c r="F8" s="76" t="s">
        <v>88</v>
      </c>
      <c r="G8" s="884" t="s">
        <v>91</v>
      </c>
    </row>
    <row r="9" spans="1:7" hidden="1">
      <c r="A9" s="76">
        <f t="shared" si="0"/>
        <v>4</v>
      </c>
      <c r="B9" s="76" t="s">
        <v>93</v>
      </c>
      <c r="C9" s="76">
        <v>20.273</v>
      </c>
      <c r="D9" s="514">
        <v>45657</v>
      </c>
      <c r="E9" s="883">
        <v>45691</v>
      </c>
      <c r="F9" s="76" t="s">
        <v>88</v>
      </c>
      <c r="G9" s="76"/>
    </row>
    <row r="10" spans="1:7" ht="29" hidden="1">
      <c r="A10" s="76">
        <f t="shared" si="0"/>
        <v>5</v>
      </c>
      <c r="B10" s="76" t="s">
        <v>94</v>
      </c>
      <c r="C10" s="76">
        <v>3.0840000000000001</v>
      </c>
      <c r="D10" s="512" t="s">
        <v>1124</v>
      </c>
      <c r="E10" s="883">
        <v>45712</v>
      </c>
      <c r="F10" s="76" t="s">
        <v>88</v>
      </c>
      <c r="G10" s="76"/>
    </row>
    <row r="11" spans="1:7" hidden="1">
      <c r="A11" s="76">
        <f t="shared" si="0"/>
        <v>6</v>
      </c>
      <c r="B11" s="76" t="s">
        <v>96</v>
      </c>
      <c r="C11" s="76">
        <v>1.0629999999999999</v>
      </c>
      <c r="D11" s="514">
        <v>45713</v>
      </c>
      <c r="E11" s="1335">
        <v>45715</v>
      </c>
      <c r="F11" s="76" t="s">
        <v>88</v>
      </c>
      <c r="G11" s="76"/>
    </row>
    <row r="12" spans="1:7" hidden="1">
      <c r="A12" s="76">
        <f>A11+1</f>
        <v>7</v>
      </c>
      <c r="B12" s="76" t="s">
        <v>97</v>
      </c>
      <c r="C12" s="76">
        <v>2.09</v>
      </c>
      <c r="D12" s="514">
        <v>45713</v>
      </c>
      <c r="E12" s="1335"/>
      <c r="F12" s="76" t="s">
        <v>88</v>
      </c>
      <c r="G12" s="76"/>
    </row>
    <row r="13" spans="1:7" hidden="1">
      <c r="A13" s="76">
        <f t="shared" si="0"/>
        <v>8</v>
      </c>
      <c r="B13" s="76" t="s">
        <v>98</v>
      </c>
      <c r="C13" s="76">
        <v>3.8929999999999998</v>
      </c>
      <c r="D13" s="514">
        <v>45713</v>
      </c>
      <c r="E13" s="1335"/>
      <c r="F13" s="76" t="s">
        <v>88</v>
      </c>
      <c r="G13" s="76"/>
    </row>
    <row r="14" spans="1:7" hidden="1">
      <c r="A14" s="76">
        <f t="shared" si="0"/>
        <v>9</v>
      </c>
      <c r="B14" s="76" t="s">
        <v>99</v>
      </c>
      <c r="C14" s="76">
        <v>6.9710000000000001</v>
      </c>
      <c r="D14" s="514">
        <v>45713</v>
      </c>
      <c r="E14" s="1335"/>
      <c r="F14" s="76" t="s">
        <v>88</v>
      </c>
      <c r="G14" s="76"/>
    </row>
    <row r="15" spans="1:7" hidden="1">
      <c r="A15" s="76">
        <f t="shared" si="0"/>
        <v>10</v>
      </c>
      <c r="B15" s="76" t="s">
        <v>100</v>
      </c>
      <c r="C15" s="76">
        <v>9.4949999999999992</v>
      </c>
      <c r="D15" s="514">
        <v>45721</v>
      </c>
      <c r="E15" s="883">
        <v>45722</v>
      </c>
      <c r="F15" s="76" t="s">
        <v>88</v>
      </c>
      <c r="G15" s="76"/>
    </row>
    <row r="16" spans="1:7" ht="43.5" hidden="1">
      <c r="A16" s="76">
        <f t="shared" si="0"/>
        <v>11</v>
      </c>
      <c r="B16" s="76" t="s">
        <v>101</v>
      </c>
      <c r="C16" s="76">
        <v>8.6969999999999992</v>
      </c>
      <c r="D16" s="512" t="s">
        <v>1126</v>
      </c>
      <c r="E16" s="76"/>
      <c r="F16" s="76" t="s">
        <v>95</v>
      </c>
      <c r="G16" s="863" t="s">
        <v>1159</v>
      </c>
    </row>
    <row r="17" spans="1:7" hidden="1">
      <c r="A17" s="76">
        <f t="shared" si="0"/>
        <v>12</v>
      </c>
      <c r="B17" s="76" t="s">
        <v>102</v>
      </c>
      <c r="C17" s="76">
        <v>3.0840000000000001</v>
      </c>
      <c r="D17" s="76"/>
      <c r="E17" s="76"/>
      <c r="F17" s="863" t="s">
        <v>95</v>
      </c>
      <c r="G17" s="76"/>
    </row>
    <row r="18" spans="1:7" hidden="1">
      <c r="A18" s="76">
        <f t="shared" si="0"/>
        <v>13</v>
      </c>
      <c r="B18" s="66" t="s">
        <v>104</v>
      </c>
      <c r="C18" s="76">
        <v>3.9630000000000001</v>
      </c>
      <c r="D18" s="76"/>
      <c r="E18" s="76"/>
      <c r="F18" s="863" t="s">
        <v>95</v>
      </c>
      <c r="G18" s="363"/>
    </row>
    <row r="19" spans="1:7" hidden="1">
      <c r="A19" s="76">
        <f t="shared" si="0"/>
        <v>14</v>
      </c>
      <c r="B19" s="864" t="s">
        <v>1115</v>
      </c>
      <c r="C19" s="76">
        <v>1.6559999999999999</v>
      </c>
      <c r="D19" s="76"/>
      <c r="E19" s="76"/>
      <c r="F19" s="863" t="s">
        <v>95</v>
      </c>
      <c r="G19" s="363"/>
    </row>
    <row r="20" spans="1:7" hidden="1">
      <c r="A20" s="76">
        <f t="shared" si="0"/>
        <v>15</v>
      </c>
      <c r="B20" s="864" t="s">
        <v>1116</v>
      </c>
      <c r="C20" s="76">
        <v>1.635</v>
      </c>
      <c r="D20" s="76"/>
      <c r="E20" s="76"/>
      <c r="F20" s="863" t="s">
        <v>95</v>
      </c>
      <c r="G20" s="76"/>
    </row>
    <row r="21" spans="1:7" hidden="1">
      <c r="A21" s="76">
        <f t="shared" si="0"/>
        <v>16</v>
      </c>
      <c r="B21" s="76" t="s">
        <v>1112</v>
      </c>
      <c r="C21" s="76">
        <v>2.2210000000000001</v>
      </c>
      <c r="D21" s="76"/>
      <c r="E21" s="76"/>
      <c r="F21" s="863" t="s">
        <v>95</v>
      </c>
      <c r="G21" s="76"/>
    </row>
    <row r="22" spans="1:7" ht="72.5" hidden="1">
      <c r="A22" s="76">
        <f t="shared" si="0"/>
        <v>17</v>
      </c>
      <c r="B22" s="76" t="s">
        <v>1111</v>
      </c>
      <c r="C22" s="76">
        <v>10.724</v>
      </c>
      <c r="D22" s="865" t="s">
        <v>1340</v>
      </c>
      <c r="E22" s="76"/>
      <c r="F22" s="76" t="s">
        <v>95</v>
      </c>
      <c r="G22" s="863" t="s">
        <v>1159</v>
      </c>
    </row>
    <row r="23" spans="1:7" ht="72.5" hidden="1">
      <c r="A23" s="76">
        <f t="shared" si="0"/>
        <v>18</v>
      </c>
      <c r="B23" s="863" t="s">
        <v>1109</v>
      </c>
      <c r="C23" s="76">
        <v>3.6659999999999999</v>
      </c>
      <c r="D23" s="865" t="s">
        <v>1341</v>
      </c>
      <c r="E23" s="76"/>
      <c r="F23" s="76" t="s">
        <v>95</v>
      </c>
      <c r="G23" s="863" t="s">
        <v>1159</v>
      </c>
    </row>
    <row r="24" spans="1:7" hidden="1">
      <c r="A24" s="76">
        <f t="shared" si="0"/>
        <v>19</v>
      </c>
      <c r="B24" s="863" t="s">
        <v>1350</v>
      </c>
      <c r="C24" s="532">
        <v>4.88</v>
      </c>
      <c r="D24" s="76"/>
      <c r="E24" s="76"/>
      <c r="F24" s="866" t="s">
        <v>95</v>
      </c>
      <c r="G24" s="76"/>
    </row>
    <row r="25" spans="1:7" hidden="1">
      <c r="A25" s="76">
        <f t="shared" si="0"/>
        <v>20</v>
      </c>
      <c r="B25" s="863" t="s">
        <v>1300</v>
      </c>
      <c r="C25" s="76">
        <v>2.4740000000000002</v>
      </c>
      <c r="D25" s="514">
        <v>45765</v>
      </c>
      <c r="E25" s="76"/>
      <c r="F25" s="76" t="s">
        <v>95</v>
      </c>
      <c r="G25" s="76"/>
    </row>
    <row r="26" spans="1:7" hidden="1">
      <c r="A26" s="76">
        <f t="shared" si="0"/>
        <v>21</v>
      </c>
      <c r="B26" s="863" t="s">
        <v>1131</v>
      </c>
      <c r="C26" s="76">
        <v>0.27500000000000002</v>
      </c>
      <c r="D26" s="514">
        <v>45752</v>
      </c>
      <c r="E26" s="76"/>
      <c r="F26" s="76" t="s">
        <v>95</v>
      </c>
      <c r="G26" s="76"/>
    </row>
    <row r="27" spans="1:7" hidden="1">
      <c r="A27" s="76">
        <f t="shared" si="0"/>
        <v>22</v>
      </c>
      <c r="B27" s="863" t="s">
        <v>1110</v>
      </c>
      <c r="C27" s="76">
        <v>2.008</v>
      </c>
      <c r="D27" s="514">
        <v>45752</v>
      </c>
      <c r="E27" s="76"/>
      <c r="F27" s="76" t="s">
        <v>95</v>
      </c>
      <c r="G27" s="76"/>
    </row>
    <row r="28" spans="1:7" hidden="1">
      <c r="A28" s="76">
        <f t="shared" si="0"/>
        <v>23</v>
      </c>
      <c r="B28" s="863" t="s">
        <v>1128</v>
      </c>
      <c r="C28" s="76">
        <v>0.223</v>
      </c>
      <c r="D28" s="514">
        <v>45752</v>
      </c>
      <c r="E28" s="76"/>
      <c r="F28" s="76" t="s">
        <v>95</v>
      </c>
      <c r="G28" s="76"/>
    </row>
    <row r="29" spans="1:7" hidden="1">
      <c r="A29" s="76">
        <f t="shared" si="0"/>
        <v>24</v>
      </c>
      <c r="B29" s="863" t="s">
        <v>1113</v>
      </c>
      <c r="C29" s="76">
        <v>2.7309999999999999</v>
      </c>
      <c r="D29" s="514">
        <v>45752</v>
      </c>
      <c r="E29" s="76"/>
      <c r="F29" s="76" t="s">
        <v>95</v>
      </c>
      <c r="G29" s="76"/>
    </row>
    <row r="30" spans="1:7" hidden="1">
      <c r="A30" s="76">
        <f t="shared" si="0"/>
        <v>25</v>
      </c>
      <c r="B30" s="863" t="s">
        <v>1130</v>
      </c>
      <c r="C30" s="76">
        <v>1.7170000000000001</v>
      </c>
      <c r="D30" s="514">
        <v>45752</v>
      </c>
      <c r="E30" s="76"/>
      <c r="F30" s="76" t="s">
        <v>95</v>
      </c>
      <c r="G30" s="76"/>
    </row>
    <row r="31" spans="1:7" hidden="1">
      <c r="A31" s="76">
        <f t="shared" si="0"/>
        <v>26</v>
      </c>
      <c r="B31" s="863" t="s">
        <v>1129</v>
      </c>
      <c r="C31" s="76">
        <v>1.0680000000000001</v>
      </c>
      <c r="D31" s="514">
        <v>45752</v>
      </c>
      <c r="E31" s="76"/>
      <c r="F31" s="76" t="s">
        <v>95</v>
      </c>
      <c r="G31" s="76"/>
    </row>
    <row r="32" spans="1:7" hidden="1">
      <c r="A32" s="76">
        <f t="shared" si="0"/>
        <v>27</v>
      </c>
      <c r="B32" s="863" t="s">
        <v>1127</v>
      </c>
      <c r="C32" s="76">
        <v>2.8730000000000002</v>
      </c>
      <c r="D32" s="514">
        <v>45752</v>
      </c>
      <c r="E32" s="76"/>
      <c r="F32" s="76" t="s">
        <v>95</v>
      </c>
      <c r="G32" s="76"/>
    </row>
    <row r="33" spans="1:8" hidden="1">
      <c r="A33" s="76"/>
      <c r="B33" s="863"/>
      <c r="C33" s="76"/>
      <c r="D33" s="514"/>
      <c r="E33" s="76"/>
      <c r="F33" s="76"/>
      <c r="G33" s="76"/>
    </row>
    <row r="34" spans="1:8" hidden="1">
      <c r="A34" s="76">
        <f>A32+1</f>
        <v>28</v>
      </c>
      <c r="B34" s="863" t="s">
        <v>1333</v>
      </c>
      <c r="C34" s="76">
        <v>19.57</v>
      </c>
      <c r="D34" s="863" t="s">
        <v>1339</v>
      </c>
      <c r="E34" s="76"/>
      <c r="F34" s="863" t="s">
        <v>1332</v>
      </c>
      <c r="G34" s="76"/>
    </row>
    <row r="35" spans="1:8" hidden="1">
      <c r="A35" s="76">
        <f>A34+1</f>
        <v>29</v>
      </c>
      <c r="B35" s="866" t="s">
        <v>1307</v>
      </c>
      <c r="C35" s="529">
        <v>2.6179999999999999</v>
      </c>
      <c r="D35" s="514">
        <v>45781</v>
      </c>
      <c r="E35" s="76"/>
      <c r="F35" s="66" t="s">
        <v>103</v>
      </c>
      <c r="G35" s="76"/>
    </row>
    <row r="36" spans="1:8" hidden="1">
      <c r="A36" s="76">
        <f>A35+1</f>
        <v>30</v>
      </c>
      <c r="B36" s="863" t="s">
        <v>1338</v>
      </c>
      <c r="C36" s="76">
        <v>18.193000000000001</v>
      </c>
      <c r="D36" s="514">
        <v>45805</v>
      </c>
      <c r="E36" s="76"/>
      <c r="F36" s="864" t="s">
        <v>103</v>
      </c>
      <c r="G36" s="76"/>
    </row>
    <row r="37" spans="1:8" hidden="1">
      <c r="A37" s="76"/>
      <c r="B37" s="863"/>
      <c r="C37" s="76"/>
      <c r="D37" s="514"/>
      <c r="E37" s="76"/>
      <c r="F37" s="864"/>
      <c r="G37" s="76"/>
    </row>
    <row r="38" spans="1:8" hidden="1">
      <c r="A38" s="76"/>
      <c r="B38" s="863"/>
      <c r="C38" s="76"/>
      <c r="D38" s="514"/>
      <c r="E38" s="76"/>
      <c r="F38" s="864"/>
      <c r="G38" s="76"/>
    </row>
    <row r="39" spans="1:8" hidden="1">
      <c r="A39" s="363"/>
      <c r="B39" s="363" t="s">
        <v>105</v>
      </c>
      <c r="C39" s="363">
        <f>SUM(C6:C36)</f>
        <v>168.78000000000003</v>
      </c>
      <c r="D39" s="363"/>
      <c r="E39" s="363"/>
      <c r="F39" s="363"/>
      <c r="G39" s="363"/>
    </row>
    <row r="40" spans="1:8" hidden="1">
      <c r="A40" s="363"/>
      <c r="B40" s="363"/>
      <c r="C40" s="363"/>
      <c r="D40" s="363"/>
      <c r="E40" s="363"/>
      <c r="F40" s="363"/>
      <c r="G40" s="363"/>
    </row>
    <row r="41" spans="1:8" hidden="1">
      <c r="A41" s="363"/>
      <c r="B41" s="363"/>
      <c r="C41" s="363"/>
      <c r="D41" s="363"/>
      <c r="E41" s="363"/>
      <c r="F41" s="363"/>
      <c r="G41" s="363"/>
    </row>
    <row r="42" spans="1:8" hidden="1">
      <c r="A42" s="363"/>
      <c r="B42" s="363"/>
      <c r="C42" s="363"/>
      <c r="D42" s="363"/>
      <c r="E42" s="363"/>
      <c r="F42" s="363"/>
      <c r="G42" s="363"/>
    </row>
    <row r="43" spans="1:8" hidden="1">
      <c r="A43" s="76"/>
      <c r="B43" s="363" t="s">
        <v>1301</v>
      </c>
      <c r="C43" s="76"/>
      <c r="D43" s="76"/>
      <c r="E43" s="76"/>
      <c r="F43" s="76"/>
      <c r="G43" s="76"/>
    </row>
    <row r="44" spans="1:8" ht="43.5" hidden="1">
      <c r="A44" s="354" t="s">
        <v>1132</v>
      </c>
      <c r="B44" s="354" t="s">
        <v>83</v>
      </c>
      <c r="C44" s="438" t="s">
        <v>1133</v>
      </c>
      <c r="D44" s="438" t="s">
        <v>1134</v>
      </c>
      <c r="E44" s="438" t="s">
        <v>1135</v>
      </c>
      <c r="F44" s="438" t="s">
        <v>1136</v>
      </c>
      <c r="G44" s="438" t="s">
        <v>1134</v>
      </c>
    </row>
    <row r="45" spans="1:8" hidden="1">
      <c r="A45" s="315">
        <v>1</v>
      </c>
      <c r="B45" s="315" t="s">
        <v>1138</v>
      </c>
      <c r="C45" s="439">
        <v>45657</v>
      </c>
      <c r="D45" s="440">
        <v>20.273</v>
      </c>
      <c r="E45" s="439" t="s">
        <v>1139</v>
      </c>
      <c r="F45" s="441">
        <v>45691</v>
      </c>
      <c r="G45" s="440">
        <v>20.273</v>
      </c>
      <c r="H45" s="924" t="s">
        <v>1649</v>
      </c>
    </row>
    <row r="46" spans="1:8" hidden="1">
      <c r="A46" s="315">
        <f>A45+1</f>
        <v>2</v>
      </c>
      <c r="B46" s="315" t="s">
        <v>1141</v>
      </c>
      <c r="C46" s="439">
        <v>45684</v>
      </c>
      <c r="D46" s="440">
        <v>7.9619999999999997</v>
      </c>
      <c r="E46" s="439" t="s">
        <v>1142</v>
      </c>
      <c r="F46" s="441">
        <v>45691</v>
      </c>
      <c r="G46" s="440">
        <v>7.9619999999999997</v>
      </c>
      <c r="H46" s="924" t="s">
        <v>1649</v>
      </c>
    </row>
    <row r="47" spans="1:8" hidden="1">
      <c r="A47" s="315">
        <f t="shared" ref="A47:A56" si="1">A46+1</f>
        <v>3</v>
      </c>
      <c r="B47" s="315" t="s">
        <v>1143</v>
      </c>
      <c r="C47" s="439">
        <v>45709</v>
      </c>
      <c r="D47" s="440">
        <v>3.0840000000000001</v>
      </c>
      <c r="E47" s="439" t="s">
        <v>1144</v>
      </c>
      <c r="F47" s="441">
        <v>45712</v>
      </c>
      <c r="G47" s="440">
        <v>3.0840000000000001</v>
      </c>
      <c r="H47" s="924" t="s">
        <v>1650</v>
      </c>
    </row>
    <row r="48" spans="1:8" hidden="1">
      <c r="A48" s="315">
        <f t="shared" si="1"/>
        <v>4</v>
      </c>
      <c r="B48" s="315" t="s">
        <v>1146</v>
      </c>
      <c r="C48" s="439">
        <v>45703</v>
      </c>
      <c r="D48" s="440">
        <v>19.672000000000001</v>
      </c>
      <c r="E48" s="439" t="s">
        <v>1147</v>
      </c>
      <c r="F48" s="441">
        <v>45713</v>
      </c>
      <c r="G48" s="440">
        <v>19.672000000000001</v>
      </c>
      <c r="H48" s="924" t="s">
        <v>1650</v>
      </c>
    </row>
    <row r="49" spans="1:8" hidden="1">
      <c r="A49" s="315">
        <f t="shared" si="1"/>
        <v>5</v>
      </c>
      <c r="B49" s="315" t="s">
        <v>1149</v>
      </c>
      <c r="C49" s="439">
        <v>45713</v>
      </c>
      <c r="D49" s="440">
        <v>14.016999999999999</v>
      </c>
      <c r="E49" s="439" t="s">
        <v>1150</v>
      </c>
      <c r="F49" s="441">
        <v>45715</v>
      </c>
      <c r="G49" s="440">
        <v>14.016999999999999</v>
      </c>
      <c r="H49" s="924" t="s">
        <v>1650</v>
      </c>
    </row>
    <row r="50" spans="1:8" hidden="1">
      <c r="A50" s="315">
        <f t="shared" si="1"/>
        <v>6</v>
      </c>
      <c r="B50" s="315" t="s">
        <v>1151</v>
      </c>
      <c r="C50" s="439">
        <v>45721</v>
      </c>
      <c r="D50" s="440">
        <v>9.4949999999999992</v>
      </c>
      <c r="E50" s="439" t="s">
        <v>1152</v>
      </c>
      <c r="F50" s="441">
        <v>45722</v>
      </c>
      <c r="G50" s="440">
        <v>9.4949999999999992</v>
      </c>
      <c r="H50" s="924" t="s">
        <v>1651</v>
      </c>
    </row>
    <row r="51" spans="1:8" hidden="1">
      <c r="A51" s="315">
        <f t="shared" si="1"/>
        <v>7</v>
      </c>
      <c r="B51" s="315" t="s">
        <v>1153</v>
      </c>
      <c r="C51" s="439">
        <v>45751</v>
      </c>
      <c r="D51" s="440">
        <v>8.6969999999999992</v>
      </c>
      <c r="E51" s="867" t="s">
        <v>1306</v>
      </c>
      <c r="F51" s="441">
        <v>45763</v>
      </c>
      <c r="G51" s="440">
        <v>8.6969999999999992</v>
      </c>
      <c r="H51" s="924" t="s">
        <v>1652</v>
      </c>
    </row>
    <row r="52" spans="1:8" hidden="1">
      <c r="A52" s="315">
        <f t="shared" si="1"/>
        <v>8</v>
      </c>
      <c r="B52" s="315" t="s">
        <v>1155</v>
      </c>
      <c r="C52" s="439">
        <v>45742</v>
      </c>
      <c r="D52" s="440">
        <v>14.39</v>
      </c>
      <c r="E52" s="439" t="s">
        <v>1156</v>
      </c>
      <c r="F52" s="441">
        <v>45763</v>
      </c>
      <c r="G52" s="440">
        <v>14.39</v>
      </c>
      <c r="H52" s="924" t="s">
        <v>1652</v>
      </c>
    </row>
    <row r="53" spans="1:8" hidden="1">
      <c r="A53" s="315">
        <f t="shared" si="1"/>
        <v>9</v>
      </c>
      <c r="B53" s="621" t="s">
        <v>1161</v>
      </c>
      <c r="C53" s="439">
        <v>45752</v>
      </c>
      <c r="D53" s="440">
        <v>10.894</v>
      </c>
      <c r="E53" s="439" t="s">
        <v>1162</v>
      </c>
      <c r="F53" s="440"/>
      <c r="G53" s="440"/>
    </row>
    <row r="54" spans="1:8" ht="29" hidden="1">
      <c r="A54" s="315">
        <f t="shared" si="1"/>
        <v>10</v>
      </c>
      <c r="B54" s="621" t="s">
        <v>1160</v>
      </c>
      <c r="C54" s="868" t="s">
        <v>1322</v>
      </c>
      <c r="D54" s="440">
        <v>19.57</v>
      </c>
      <c r="E54" s="867" t="s">
        <v>1326</v>
      </c>
      <c r="F54" s="440"/>
      <c r="G54" s="440"/>
    </row>
    <row r="55" spans="1:8" hidden="1">
      <c r="A55" s="315">
        <f t="shared" si="1"/>
        <v>11</v>
      </c>
      <c r="B55" s="315" t="s">
        <v>1298</v>
      </c>
      <c r="C55" s="439">
        <v>45765</v>
      </c>
      <c r="D55" s="440">
        <v>2.4740000000000002</v>
      </c>
      <c r="E55" s="439" t="s">
        <v>1299</v>
      </c>
      <c r="F55" s="440"/>
      <c r="G55" s="440"/>
    </row>
    <row r="56" spans="1:8" hidden="1">
      <c r="A56" s="315">
        <f t="shared" si="1"/>
        <v>12</v>
      </c>
      <c r="B56" s="621" t="s">
        <v>1312</v>
      </c>
      <c r="C56" s="439">
        <v>45787</v>
      </c>
      <c r="D56" s="440">
        <v>3.0840000000000001</v>
      </c>
      <c r="E56" s="439" t="s">
        <v>1313</v>
      </c>
      <c r="F56" s="440"/>
      <c r="G56" s="440"/>
    </row>
    <row r="57" spans="1:8" hidden="1">
      <c r="A57" s="315">
        <f>A56+1</f>
        <v>13</v>
      </c>
      <c r="B57" s="621" t="s">
        <v>1356</v>
      </c>
      <c r="C57" s="439">
        <v>45787</v>
      </c>
      <c r="D57" s="440">
        <v>2.2200000000000002</v>
      </c>
      <c r="E57" s="439" t="s">
        <v>1313</v>
      </c>
      <c r="F57" s="440"/>
      <c r="G57" s="440"/>
    </row>
    <row r="58" spans="1:8" hidden="1">
      <c r="A58" s="315">
        <f>A57+1</f>
        <v>14</v>
      </c>
      <c r="B58" s="869" t="s">
        <v>1353</v>
      </c>
      <c r="C58" s="439">
        <v>45802</v>
      </c>
      <c r="D58" s="440">
        <v>5.6189999999999998</v>
      </c>
      <c r="E58" s="870" t="s">
        <v>1360</v>
      </c>
      <c r="F58" s="440"/>
      <c r="G58" s="440"/>
    </row>
    <row r="59" spans="1:8" hidden="1">
      <c r="A59" s="315">
        <f>A58+1</f>
        <v>15</v>
      </c>
      <c r="B59" s="871" t="s">
        <v>1324</v>
      </c>
      <c r="C59" s="439">
        <v>45794</v>
      </c>
      <c r="D59" s="440">
        <v>3.95</v>
      </c>
      <c r="E59" s="867" t="s">
        <v>1325</v>
      </c>
      <c r="F59" s="441">
        <v>45810</v>
      </c>
      <c r="G59" s="440"/>
    </row>
    <row r="60" spans="1:8" hidden="1">
      <c r="A60" s="315">
        <f>A59+1</f>
        <v>16</v>
      </c>
      <c r="B60" s="869" t="s">
        <v>1354</v>
      </c>
      <c r="C60" s="439">
        <v>45802</v>
      </c>
      <c r="D60" s="440">
        <v>1.635</v>
      </c>
      <c r="E60" s="439" t="s">
        <v>1355</v>
      </c>
      <c r="F60" s="440"/>
      <c r="G60" s="440"/>
    </row>
    <row r="61" spans="1:8" hidden="1">
      <c r="A61" s="315">
        <f>A60+1</f>
        <v>17</v>
      </c>
      <c r="B61" s="869" t="s">
        <v>1342</v>
      </c>
      <c r="C61" s="439">
        <v>45802</v>
      </c>
      <c r="D61" s="440">
        <v>4.88</v>
      </c>
      <c r="E61" s="867"/>
      <c r="F61" s="440"/>
      <c r="G61" s="440"/>
    </row>
    <row r="62" spans="1:8" hidden="1">
      <c r="A62" s="315"/>
      <c r="B62" s="871"/>
      <c r="C62" s="439"/>
      <c r="D62" s="440"/>
      <c r="E62" s="439"/>
      <c r="F62" s="440"/>
      <c r="G62" s="440"/>
    </row>
    <row r="63" spans="1:8" hidden="1">
      <c r="A63" s="1338" t="s">
        <v>1158</v>
      </c>
      <c r="B63" s="1338"/>
      <c r="C63" s="354"/>
      <c r="D63" s="354">
        <f>SUM(D45:D61)</f>
        <v>151.91599999999997</v>
      </c>
      <c r="E63" s="354"/>
      <c r="F63" s="354"/>
      <c r="G63" s="354">
        <f>SUM(G45:G62)</f>
        <v>97.59</v>
      </c>
    </row>
    <row r="64" spans="1:8" hidden="1">
      <c r="A64" s="438"/>
      <c r="B64" s="438"/>
      <c r="C64" s="354"/>
      <c r="D64" s="354"/>
      <c r="E64" s="354"/>
      <c r="F64" s="354"/>
      <c r="G64" s="354"/>
    </row>
    <row r="65" spans="1:8">
      <c r="A65" s="1338"/>
      <c r="B65" s="1338"/>
      <c r="C65" s="1338"/>
      <c r="D65" s="1338"/>
      <c r="E65" s="1338"/>
      <c r="F65" s="1338"/>
      <c r="G65" s="1338"/>
    </row>
    <row r="66" spans="1:8" ht="15.5">
      <c r="A66" s="1349" t="s">
        <v>1377</v>
      </c>
      <c r="B66" s="1350"/>
      <c r="C66" s="1350"/>
      <c r="D66" s="1350"/>
      <c r="E66" s="1350"/>
      <c r="F66" s="1350"/>
      <c r="G66" s="1351"/>
    </row>
    <row r="67" spans="1:8" ht="29">
      <c r="A67" s="354" t="s">
        <v>1543</v>
      </c>
      <c r="B67" s="438" t="s">
        <v>1378</v>
      </c>
      <c r="C67" s="438" t="s">
        <v>1380</v>
      </c>
      <c r="D67" s="438" t="s">
        <v>1381</v>
      </c>
      <c r="E67" s="438" t="s">
        <v>1382</v>
      </c>
      <c r="F67" s="438" t="s">
        <v>1383</v>
      </c>
      <c r="G67" s="354" t="s">
        <v>34</v>
      </c>
      <c r="H67" s="1153" t="s">
        <v>1737</v>
      </c>
    </row>
    <row r="68" spans="1:8" ht="39.5" customHeight="1">
      <c r="A68" s="563">
        <v>1</v>
      </c>
      <c r="B68" s="977" t="s">
        <v>1062</v>
      </c>
      <c r="C68" s="977" t="s">
        <v>1544</v>
      </c>
      <c r="D68" s="978">
        <v>10.369</v>
      </c>
      <c r="E68" s="309"/>
      <c r="F68" s="309" t="s">
        <v>1546</v>
      </c>
      <c r="G68" s="979" t="s">
        <v>1772</v>
      </c>
      <c r="H68" s="310"/>
    </row>
    <row r="69" spans="1:8">
      <c r="A69" s="563">
        <f>A68+1</f>
        <v>2</v>
      </c>
      <c r="B69" s="337" t="s">
        <v>1062</v>
      </c>
      <c r="C69" s="337" t="s">
        <v>1424</v>
      </c>
      <c r="D69" s="323">
        <v>8.7129999999999992</v>
      </c>
      <c r="E69" s="323"/>
      <c r="F69" s="323"/>
      <c r="G69" s="650" t="s">
        <v>1659</v>
      </c>
      <c r="H69" s="310"/>
    </row>
    <row r="70" spans="1:8">
      <c r="A70" s="563">
        <f>A69+1</f>
        <v>3</v>
      </c>
      <c r="B70" s="337"/>
      <c r="C70" s="337" t="s">
        <v>1387</v>
      </c>
      <c r="D70" s="830">
        <v>19.571999999999999</v>
      </c>
      <c r="E70" s="578" t="s">
        <v>1388</v>
      </c>
      <c r="F70" s="578"/>
      <c r="G70" s="650" t="s">
        <v>1648</v>
      </c>
      <c r="H70" s="1155" t="s">
        <v>1652</v>
      </c>
    </row>
    <row r="71" spans="1:8">
      <c r="A71" s="563">
        <f t="shared" ref="A71:A89" si="2">A70+1</f>
        <v>4</v>
      </c>
      <c r="B71" s="989" t="s">
        <v>1068</v>
      </c>
      <c r="C71" s="337" t="s">
        <v>1500</v>
      </c>
      <c r="D71" s="563">
        <v>2.6179999999999999</v>
      </c>
      <c r="E71" s="578" t="s">
        <v>1388</v>
      </c>
      <c r="F71" s="578"/>
      <c r="G71" s="650" t="s">
        <v>1653</v>
      </c>
      <c r="H71" s="310"/>
    </row>
    <row r="72" spans="1:8">
      <c r="A72" s="563">
        <f t="shared" si="2"/>
        <v>5</v>
      </c>
      <c r="B72" s="337" t="s">
        <v>1062</v>
      </c>
      <c r="C72" s="977" t="s">
        <v>1655</v>
      </c>
      <c r="D72" s="587">
        <v>1.4279999999999999</v>
      </c>
      <c r="E72" s="578" t="s">
        <v>1388</v>
      </c>
      <c r="F72" s="980"/>
      <c r="G72" s="650" t="s">
        <v>1717</v>
      </c>
      <c r="H72" s="310"/>
    </row>
    <row r="73" spans="1:8">
      <c r="A73" s="563">
        <f t="shared" si="2"/>
        <v>6</v>
      </c>
      <c r="B73" s="337" t="s">
        <v>1062</v>
      </c>
      <c r="C73" s="337" t="s">
        <v>1656</v>
      </c>
      <c r="D73" s="563">
        <v>16.760000000000002</v>
      </c>
      <c r="E73" s="587"/>
      <c r="F73" s="980"/>
      <c r="G73" s="650" t="s">
        <v>1653</v>
      </c>
      <c r="H73" s="310"/>
    </row>
    <row r="74" spans="1:8">
      <c r="A74" s="563">
        <f t="shared" si="2"/>
        <v>7</v>
      </c>
      <c r="B74" s="337"/>
      <c r="C74" s="337" t="s">
        <v>1392</v>
      </c>
      <c r="D74" s="563">
        <v>6.6589999999999998</v>
      </c>
      <c r="E74" s="563" t="s">
        <v>1546</v>
      </c>
      <c r="F74" s="578"/>
      <c r="G74" s="650" t="s">
        <v>1422</v>
      </c>
      <c r="H74" s="1155" t="s">
        <v>1652</v>
      </c>
    </row>
    <row r="75" spans="1:8" ht="34.5" customHeight="1">
      <c r="A75" s="563">
        <f t="shared" si="2"/>
        <v>8</v>
      </c>
      <c r="B75" s="977" t="s">
        <v>1062</v>
      </c>
      <c r="C75" s="977" t="s">
        <v>1393</v>
      </c>
      <c r="D75" s="981">
        <v>3.1869999999999998</v>
      </c>
      <c r="E75" s="578" t="s">
        <v>1388</v>
      </c>
      <c r="F75" s="980"/>
      <c r="G75" s="973" t="s">
        <v>1422</v>
      </c>
      <c r="H75" s="310"/>
    </row>
    <row r="76" spans="1:8">
      <c r="A76" s="563">
        <f t="shared" si="2"/>
        <v>9</v>
      </c>
      <c r="B76" s="337"/>
      <c r="C76" s="337" t="s">
        <v>1396</v>
      </c>
      <c r="D76" s="583">
        <v>1.0509999999999999</v>
      </c>
      <c r="E76" s="578" t="s">
        <v>1546</v>
      </c>
      <c r="F76" s="578"/>
      <c r="G76" s="650" t="s">
        <v>1422</v>
      </c>
      <c r="H76" s="1155" t="s">
        <v>1652</v>
      </c>
    </row>
    <row r="77" spans="1:8">
      <c r="A77" s="563">
        <f t="shared" si="2"/>
        <v>10</v>
      </c>
      <c r="B77" s="1339"/>
      <c r="C77" s="337" t="s">
        <v>1397</v>
      </c>
      <c r="D77" s="563">
        <v>7.9619999999999997</v>
      </c>
      <c r="E77" s="578" t="s">
        <v>1546</v>
      </c>
      <c r="F77" s="563"/>
      <c r="G77" s="650" t="s">
        <v>88</v>
      </c>
      <c r="H77" s="1155" t="s">
        <v>1649</v>
      </c>
    </row>
    <row r="78" spans="1:8">
      <c r="A78" s="563">
        <f t="shared" si="2"/>
        <v>11</v>
      </c>
      <c r="B78" s="1340"/>
      <c r="C78" s="337" t="s">
        <v>1399</v>
      </c>
      <c r="D78" s="563">
        <v>19.567</v>
      </c>
      <c r="E78" s="578" t="s">
        <v>1546</v>
      </c>
      <c r="F78" s="563"/>
      <c r="G78" s="650" t="s">
        <v>88</v>
      </c>
      <c r="H78" s="1155" t="s">
        <v>1652</v>
      </c>
    </row>
    <row r="79" spans="1:8">
      <c r="A79" s="563">
        <f t="shared" si="2"/>
        <v>12</v>
      </c>
      <c r="B79" s="1340"/>
      <c r="C79" s="337" t="s">
        <v>1400</v>
      </c>
      <c r="D79" s="563">
        <v>20.274000000000001</v>
      </c>
      <c r="E79" s="578" t="s">
        <v>1546</v>
      </c>
      <c r="F79" s="563"/>
      <c r="G79" s="650" t="s">
        <v>88</v>
      </c>
      <c r="H79" s="1155" t="s">
        <v>1649</v>
      </c>
    </row>
    <row r="80" spans="1:8">
      <c r="A80" s="563">
        <f t="shared" si="2"/>
        <v>13</v>
      </c>
      <c r="B80" s="1340"/>
      <c r="C80" s="337" t="s">
        <v>1401</v>
      </c>
      <c r="D80" s="563">
        <v>3.0840000000000001</v>
      </c>
      <c r="E80" s="578" t="s">
        <v>1546</v>
      </c>
      <c r="F80" s="563"/>
      <c r="G80" s="650" t="s">
        <v>88</v>
      </c>
      <c r="H80" s="1155" t="s">
        <v>1650</v>
      </c>
    </row>
    <row r="81" spans="1:8">
      <c r="A81" s="563">
        <f t="shared" si="2"/>
        <v>14</v>
      </c>
      <c r="B81" s="1340"/>
      <c r="C81" s="337" t="s">
        <v>1402</v>
      </c>
      <c r="D81" s="563">
        <v>14.119</v>
      </c>
      <c r="E81" s="578" t="s">
        <v>1546</v>
      </c>
      <c r="F81" s="563"/>
      <c r="G81" s="650" t="s">
        <v>88</v>
      </c>
      <c r="H81" s="1155" t="s">
        <v>1650</v>
      </c>
    </row>
    <row r="82" spans="1:8">
      <c r="A82" s="563">
        <f t="shared" si="2"/>
        <v>15</v>
      </c>
      <c r="B82" s="1340"/>
      <c r="C82" s="337" t="s">
        <v>1403</v>
      </c>
      <c r="D82" s="563">
        <v>9.4949999999999992</v>
      </c>
      <c r="E82" s="578" t="s">
        <v>1546</v>
      </c>
      <c r="F82" s="563"/>
      <c r="G82" s="650" t="s">
        <v>88</v>
      </c>
      <c r="H82" s="1155" t="s">
        <v>1651</v>
      </c>
    </row>
    <row r="83" spans="1:8">
      <c r="A83" s="563">
        <f t="shared" si="2"/>
        <v>16</v>
      </c>
      <c r="B83" s="1341"/>
      <c r="C83" s="337" t="s">
        <v>1404</v>
      </c>
      <c r="D83" s="563">
        <v>8.6929999999999996</v>
      </c>
      <c r="E83" s="578" t="s">
        <v>1546</v>
      </c>
      <c r="F83" s="563"/>
      <c r="G83" s="650" t="s">
        <v>88</v>
      </c>
      <c r="H83" s="1155" t="s">
        <v>1652</v>
      </c>
    </row>
    <row r="84" spans="1:8">
      <c r="A84" s="563">
        <f t="shared" si="2"/>
        <v>17</v>
      </c>
      <c r="B84" s="337" t="s">
        <v>1062</v>
      </c>
      <c r="C84" s="337" t="s">
        <v>1427</v>
      </c>
      <c r="D84" s="563">
        <v>12.659000000000001</v>
      </c>
      <c r="E84" s="578" t="s">
        <v>1546</v>
      </c>
      <c r="F84" s="578"/>
      <c r="G84" s="650" t="s">
        <v>1647</v>
      </c>
      <c r="H84" s="1155" t="s">
        <v>1652</v>
      </c>
    </row>
    <row r="85" spans="1:8">
      <c r="A85" s="563">
        <f t="shared" si="2"/>
        <v>18</v>
      </c>
      <c r="B85" s="337" t="s">
        <v>1062</v>
      </c>
      <c r="C85" s="337" t="s">
        <v>1409</v>
      </c>
      <c r="D85" s="563">
        <v>14.391999999999999</v>
      </c>
      <c r="E85" s="578" t="s">
        <v>1546</v>
      </c>
      <c r="F85" s="563"/>
      <c r="G85" s="650" t="s">
        <v>88</v>
      </c>
      <c r="H85" s="1155" t="s">
        <v>1652</v>
      </c>
    </row>
    <row r="86" spans="1:8">
      <c r="A86" s="563">
        <f t="shared" si="2"/>
        <v>19</v>
      </c>
      <c r="B86" s="337" t="s">
        <v>1062</v>
      </c>
      <c r="C86" s="337" t="s">
        <v>1548</v>
      </c>
      <c r="D86" s="563">
        <v>6.3209999999999997</v>
      </c>
      <c r="E86" s="578" t="s">
        <v>1546</v>
      </c>
      <c r="F86" s="578"/>
      <c r="G86" s="650" t="s">
        <v>88</v>
      </c>
      <c r="H86" s="1155" t="s">
        <v>1652</v>
      </c>
    </row>
    <row r="87" spans="1:8">
      <c r="A87" s="563">
        <f t="shared" si="2"/>
        <v>20</v>
      </c>
      <c r="B87" s="989" t="s">
        <v>1068</v>
      </c>
      <c r="C87" s="337" t="s">
        <v>1549</v>
      </c>
      <c r="D87" s="563">
        <v>0.73199999999999998</v>
      </c>
      <c r="E87" s="578" t="s">
        <v>1546</v>
      </c>
      <c r="F87" s="982"/>
      <c r="G87" s="650" t="s">
        <v>1717</v>
      </c>
      <c r="H87" s="310"/>
    </row>
    <row r="88" spans="1:8">
      <c r="A88" s="563">
        <f t="shared" si="2"/>
        <v>21</v>
      </c>
      <c r="B88" s="977" t="s">
        <v>1062</v>
      </c>
      <c r="C88" s="977" t="s">
        <v>1550</v>
      </c>
      <c r="D88" s="827">
        <v>0.218</v>
      </c>
      <c r="E88" s="578" t="s">
        <v>1546</v>
      </c>
      <c r="F88" s="982"/>
      <c r="G88" s="650" t="s">
        <v>1717</v>
      </c>
      <c r="H88" s="310"/>
    </row>
    <row r="89" spans="1:8">
      <c r="A89" s="563">
        <f t="shared" si="2"/>
        <v>22</v>
      </c>
      <c r="B89" s="1025" t="s">
        <v>1068</v>
      </c>
      <c r="C89" s="977" t="s">
        <v>1552</v>
      </c>
      <c r="D89" s="827">
        <v>0.57099999999999995</v>
      </c>
      <c r="E89" s="578" t="s">
        <v>1546</v>
      </c>
      <c r="F89" s="982"/>
      <c r="G89" s="650" t="s">
        <v>1717</v>
      </c>
      <c r="H89" s="310"/>
    </row>
    <row r="90" spans="1:8">
      <c r="A90" s="1342"/>
      <c r="B90" s="1343"/>
      <c r="C90" s="354" t="s">
        <v>1416</v>
      </c>
      <c r="D90" s="983">
        <f>SUM(D68:D89)</f>
        <v>188.44399999999999</v>
      </c>
      <c r="E90" s="1344"/>
      <c r="F90" s="1345"/>
      <c r="G90" s="1346"/>
      <c r="H90" s="310"/>
    </row>
    <row r="91" spans="1:8">
      <c r="A91" s="1347"/>
      <c r="B91" s="1347"/>
      <c r="C91" s="1347"/>
      <c r="D91" s="1347"/>
      <c r="E91" s="1347"/>
      <c r="F91" s="1347"/>
      <c r="G91" s="1347"/>
    </row>
    <row r="92" spans="1:8" hidden="1">
      <c r="A92" s="990"/>
      <c r="B92" s="976"/>
      <c r="C92" s="976"/>
      <c r="D92" s="984"/>
      <c r="E92" s="985">
        <v>2.6179999999999999</v>
      </c>
      <c r="F92" s="596" t="s">
        <v>1415</v>
      </c>
      <c r="G92" s="990"/>
    </row>
    <row r="93" spans="1:8" ht="18.5">
      <c r="A93" s="1337" t="s">
        <v>1416</v>
      </c>
      <c r="B93" s="1337"/>
      <c r="C93" s="1337"/>
      <c r="D93" s="1337"/>
      <c r="E93" s="986">
        <f>D90</f>
        <v>188.44399999999999</v>
      </c>
      <c r="F93" s="976"/>
      <c r="G93" s="990"/>
    </row>
    <row r="94" spans="1:8" ht="18.5">
      <c r="A94" s="1337" t="s">
        <v>1554</v>
      </c>
      <c r="B94" s="1337"/>
      <c r="C94" s="1337"/>
      <c r="D94" s="1337"/>
      <c r="E94" s="987">
        <v>178.07499999999999</v>
      </c>
      <c r="F94" s="976"/>
      <c r="G94" s="990"/>
    </row>
    <row r="95" spans="1:8" ht="18.5">
      <c r="A95" s="1337" t="s">
        <v>1555</v>
      </c>
      <c r="B95" s="1337"/>
      <c r="C95" s="1337"/>
      <c r="D95" s="1337"/>
      <c r="E95" s="988">
        <v>178.07499999999999</v>
      </c>
      <c r="F95" s="976"/>
      <c r="G95" s="990"/>
    </row>
    <row r="96" spans="1:8" ht="18.5">
      <c r="A96" s="1348" t="s">
        <v>1556</v>
      </c>
      <c r="B96" s="1348"/>
      <c r="C96" s="1348"/>
      <c r="D96" s="1348"/>
      <c r="E96" s="987">
        <f>E93-E94</f>
        <v>10.369</v>
      </c>
      <c r="F96" s="976"/>
      <c r="G96" s="990"/>
    </row>
    <row r="97" spans="1:7" ht="18.5">
      <c r="A97" s="1337" t="s">
        <v>1718</v>
      </c>
      <c r="B97" s="1337"/>
      <c r="C97" s="1337"/>
      <c r="D97" s="1337"/>
      <c r="E97" s="987">
        <v>10.369</v>
      </c>
      <c r="F97" s="976">
        <v>13.1</v>
      </c>
      <c r="G97" s="990"/>
    </row>
    <row r="99" spans="1:7" hidden="1"/>
    <row r="100" spans="1:7" ht="31.5" hidden="1" thickBot="1">
      <c r="A100" s="945" t="s">
        <v>1543</v>
      </c>
      <c r="B100" s="946" t="s">
        <v>1380</v>
      </c>
      <c r="C100" s="946" t="s">
        <v>1381</v>
      </c>
      <c r="D100" s="946" t="s">
        <v>1377</v>
      </c>
      <c r="E100" s="946" t="s">
        <v>1660</v>
      </c>
      <c r="F100" s="947" t="s">
        <v>34</v>
      </c>
    </row>
    <row r="101" spans="1:7" ht="104" hidden="1">
      <c r="A101" s="948">
        <v>1</v>
      </c>
      <c r="B101" s="949" t="s">
        <v>1544</v>
      </c>
      <c r="C101" s="950">
        <v>10.369</v>
      </c>
      <c r="D101" s="951" t="s">
        <v>1388</v>
      </c>
      <c r="E101" s="951" t="s">
        <v>1388</v>
      </c>
      <c r="F101" s="952" t="s">
        <v>1661</v>
      </c>
    </row>
    <row r="102" spans="1:7" hidden="1">
      <c r="A102" s="953">
        <f>A101+1</f>
        <v>2</v>
      </c>
      <c r="B102" s="815" t="s">
        <v>1424</v>
      </c>
      <c r="C102" s="816">
        <v>8.7129999999999992</v>
      </c>
      <c r="D102" s="819" t="s">
        <v>1388</v>
      </c>
      <c r="E102" s="817"/>
      <c r="F102" s="954" t="s">
        <v>88</v>
      </c>
    </row>
    <row r="103" spans="1:7" hidden="1">
      <c r="A103" s="953">
        <f>A102+1</f>
        <v>3</v>
      </c>
      <c r="B103" s="815" t="s">
        <v>1387</v>
      </c>
      <c r="C103" s="818">
        <v>19.57</v>
      </c>
      <c r="D103" s="819" t="s">
        <v>1388</v>
      </c>
      <c r="E103" s="955"/>
      <c r="F103" s="954" t="s">
        <v>88</v>
      </c>
    </row>
    <row r="104" spans="1:7" hidden="1">
      <c r="A104" s="953">
        <f t="shared" ref="A104:A120" si="3">A103+1</f>
        <v>4</v>
      </c>
      <c r="B104" s="815" t="s">
        <v>1500</v>
      </c>
      <c r="C104" s="810">
        <v>2.6179999999999999</v>
      </c>
      <c r="D104" s="819" t="s">
        <v>1388</v>
      </c>
      <c r="E104" s="956"/>
      <c r="F104" s="954" t="s">
        <v>88</v>
      </c>
    </row>
    <row r="105" spans="1:7" ht="104" hidden="1">
      <c r="A105" s="953">
        <f t="shared" si="3"/>
        <v>5</v>
      </c>
      <c r="B105" s="815" t="s">
        <v>1655</v>
      </c>
      <c r="C105" s="810">
        <v>1.44</v>
      </c>
      <c r="D105" s="819" t="s">
        <v>1388</v>
      </c>
      <c r="E105" s="955"/>
      <c r="F105" s="954" t="s">
        <v>1662</v>
      </c>
    </row>
    <row r="106" spans="1:7" hidden="1">
      <c r="A106" s="953">
        <f t="shared" si="3"/>
        <v>6</v>
      </c>
      <c r="B106" s="815" t="s">
        <v>1656</v>
      </c>
      <c r="C106" s="810">
        <v>16.759</v>
      </c>
      <c r="D106" s="819" t="s">
        <v>1388</v>
      </c>
      <c r="E106" s="957"/>
      <c r="F106" s="954" t="s">
        <v>88</v>
      </c>
    </row>
    <row r="107" spans="1:7" hidden="1">
      <c r="A107" s="953">
        <f t="shared" si="3"/>
        <v>7</v>
      </c>
      <c r="B107" s="815" t="s">
        <v>1392</v>
      </c>
      <c r="C107" s="810">
        <v>6.6719999999999997</v>
      </c>
      <c r="D107" s="819" t="s">
        <v>1388</v>
      </c>
      <c r="E107" s="955"/>
      <c r="F107" s="954" t="s">
        <v>88</v>
      </c>
    </row>
    <row r="108" spans="1:7" ht="104" hidden="1">
      <c r="A108" s="953">
        <f t="shared" si="3"/>
        <v>8</v>
      </c>
      <c r="B108" s="815" t="s">
        <v>1393</v>
      </c>
      <c r="C108" s="958">
        <v>3.1720000000000002</v>
      </c>
      <c r="D108" s="819" t="s">
        <v>1388</v>
      </c>
      <c r="E108" s="819" t="s">
        <v>1388</v>
      </c>
      <c r="F108" s="954" t="s">
        <v>1661</v>
      </c>
    </row>
    <row r="109" spans="1:7" hidden="1">
      <c r="A109" s="953">
        <f t="shared" si="3"/>
        <v>9</v>
      </c>
      <c r="B109" s="815" t="s">
        <v>1396</v>
      </c>
      <c r="C109" s="825">
        <v>1.05</v>
      </c>
      <c r="D109" s="819" t="s">
        <v>1546</v>
      </c>
      <c r="E109" s="955"/>
      <c r="F109" s="954" t="s">
        <v>88</v>
      </c>
    </row>
    <row r="110" spans="1:7" hidden="1">
      <c r="A110" s="953">
        <f t="shared" si="3"/>
        <v>10</v>
      </c>
      <c r="B110" s="815" t="s">
        <v>1397</v>
      </c>
      <c r="C110" s="810">
        <v>7.9619999999999997</v>
      </c>
      <c r="D110" s="819" t="s">
        <v>1546</v>
      </c>
      <c r="E110" s="815"/>
      <c r="F110" s="954" t="s">
        <v>88</v>
      </c>
    </row>
    <row r="111" spans="1:7" hidden="1">
      <c r="A111" s="953">
        <f t="shared" si="3"/>
        <v>11</v>
      </c>
      <c r="B111" s="815" t="s">
        <v>1399</v>
      </c>
      <c r="C111" s="810">
        <v>19.567</v>
      </c>
      <c r="D111" s="819" t="s">
        <v>1546</v>
      </c>
      <c r="E111" s="815"/>
      <c r="F111" s="954" t="s">
        <v>88</v>
      </c>
    </row>
    <row r="112" spans="1:7" hidden="1">
      <c r="A112" s="953">
        <f t="shared" si="3"/>
        <v>12</v>
      </c>
      <c r="B112" s="815" t="s">
        <v>1400</v>
      </c>
      <c r="C112" s="810">
        <v>20.273</v>
      </c>
      <c r="D112" s="819" t="s">
        <v>1546</v>
      </c>
      <c r="E112" s="815"/>
      <c r="F112" s="954" t="s">
        <v>88</v>
      </c>
    </row>
    <row r="113" spans="1:6" hidden="1">
      <c r="A113" s="953">
        <f t="shared" si="3"/>
        <v>13</v>
      </c>
      <c r="B113" s="815" t="s">
        <v>1401</v>
      </c>
      <c r="C113" s="810">
        <v>3.0840000000000001</v>
      </c>
      <c r="D113" s="819" t="s">
        <v>1546</v>
      </c>
      <c r="E113" s="815"/>
      <c r="F113" s="954" t="s">
        <v>88</v>
      </c>
    </row>
    <row r="114" spans="1:6" hidden="1">
      <c r="A114" s="953">
        <f t="shared" si="3"/>
        <v>14</v>
      </c>
      <c r="B114" s="815" t="s">
        <v>1402</v>
      </c>
      <c r="C114" s="810">
        <v>14.119</v>
      </c>
      <c r="D114" s="819" t="s">
        <v>1546</v>
      </c>
      <c r="E114" s="815"/>
      <c r="F114" s="954" t="s">
        <v>88</v>
      </c>
    </row>
    <row r="115" spans="1:6" hidden="1">
      <c r="A115" s="953">
        <f t="shared" si="3"/>
        <v>15</v>
      </c>
      <c r="B115" s="815" t="s">
        <v>1403</v>
      </c>
      <c r="C115" s="810">
        <v>9.4949999999999992</v>
      </c>
      <c r="D115" s="819" t="s">
        <v>1546</v>
      </c>
      <c r="E115" s="815"/>
      <c r="F115" s="954" t="s">
        <v>88</v>
      </c>
    </row>
    <row r="116" spans="1:6" hidden="1">
      <c r="A116" s="953">
        <f t="shared" si="3"/>
        <v>16</v>
      </c>
      <c r="B116" s="815" t="s">
        <v>1404</v>
      </c>
      <c r="C116" s="810">
        <v>8.6969999999999992</v>
      </c>
      <c r="D116" s="819" t="s">
        <v>1546</v>
      </c>
      <c r="E116" s="815"/>
      <c r="F116" s="954" t="s">
        <v>88</v>
      </c>
    </row>
    <row r="117" spans="1:6" hidden="1">
      <c r="A117" s="953">
        <f t="shared" si="3"/>
        <v>17</v>
      </c>
      <c r="B117" s="815" t="s">
        <v>1427</v>
      </c>
      <c r="C117" s="810">
        <v>12.65</v>
      </c>
      <c r="D117" s="819" t="s">
        <v>1546</v>
      </c>
      <c r="E117" s="955"/>
      <c r="F117" s="954" t="s">
        <v>88</v>
      </c>
    </row>
    <row r="118" spans="1:6" hidden="1">
      <c r="A118" s="953">
        <f t="shared" si="3"/>
        <v>18</v>
      </c>
      <c r="B118" s="815" t="s">
        <v>1409</v>
      </c>
      <c r="C118" s="810">
        <v>14.391999999999999</v>
      </c>
      <c r="D118" s="819" t="s">
        <v>1546</v>
      </c>
      <c r="E118" s="815"/>
      <c r="F118" s="954" t="s">
        <v>88</v>
      </c>
    </row>
    <row r="119" spans="1:6" hidden="1">
      <c r="A119" s="953">
        <f t="shared" si="3"/>
        <v>19</v>
      </c>
      <c r="B119" s="815" t="s">
        <v>1548</v>
      </c>
      <c r="C119" s="563">
        <v>6.3209999999999997</v>
      </c>
      <c r="D119" s="819" t="s">
        <v>1546</v>
      </c>
      <c r="E119" s="955"/>
      <c r="F119" s="954" t="s">
        <v>88</v>
      </c>
    </row>
    <row r="120" spans="1:6" ht="104.5" hidden="1" thickBot="1">
      <c r="A120" s="959">
        <f t="shared" si="3"/>
        <v>20</v>
      </c>
      <c r="B120" s="960" t="s">
        <v>1663</v>
      </c>
      <c r="C120" s="961">
        <v>1.5209999999999999</v>
      </c>
      <c r="D120" s="962" t="s">
        <v>1546</v>
      </c>
      <c r="E120" s="963"/>
      <c r="F120" s="964" t="s">
        <v>1662</v>
      </c>
    </row>
    <row r="121" spans="1:6" ht="15" hidden="1" thickBot="1">
      <c r="A121" s="965"/>
      <c r="B121" s="966" t="s">
        <v>1416</v>
      </c>
      <c r="C121" s="966">
        <f>SUM(C101:C120)</f>
        <v>188.44399999999999</v>
      </c>
      <c r="D121" s="1328"/>
      <c r="E121" s="1329"/>
      <c r="F121" s="1330"/>
    </row>
    <row r="122" spans="1:6">
      <c r="A122" s="1331"/>
      <c r="B122" s="1331"/>
      <c r="C122" s="1331"/>
      <c r="D122" s="1331"/>
      <c r="E122" s="1331"/>
      <c r="F122" s="1331"/>
    </row>
    <row r="123" spans="1:6">
      <c r="A123" s="976"/>
      <c r="B123" s="976"/>
      <c r="C123" s="976"/>
      <c r="D123" s="976"/>
      <c r="E123" s="976"/>
      <c r="F123" s="976"/>
    </row>
  </sheetData>
  <autoFilter ref="A68:H90" xr:uid="{77E03EF6-92FC-4258-8B58-6A081A6936A7}"/>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26953125" style="46" customWidth="1"/>
    <col min="5" max="5" width="23.08984375" style="46" customWidth="1"/>
    <col min="6" max="6" width="17" style="46" customWidth="1"/>
    <col min="7" max="7" width="55.2695312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66" t="s">
        <v>78</v>
      </c>
      <c r="B1" s="1367"/>
      <c r="C1" s="1367"/>
      <c r="D1" s="1367"/>
      <c r="E1" s="1367"/>
      <c r="F1" s="1367"/>
      <c r="G1" s="1367"/>
      <c r="H1" s="1367"/>
      <c r="I1" s="1367"/>
      <c r="J1" s="1367"/>
      <c r="K1" s="1367"/>
      <c r="L1" s="1367"/>
      <c r="M1" s="1367"/>
      <c r="N1" s="1367"/>
      <c r="O1" s="1367"/>
      <c r="P1" s="1367"/>
      <c r="Q1" s="1367"/>
      <c r="R1" s="1367"/>
      <c r="S1" s="1368"/>
    </row>
    <row r="2" spans="1:19" ht="15.5">
      <c r="A2" s="1369" t="s">
        <v>79</v>
      </c>
      <c r="B2" s="1370"/>
      <c r="C2" s="1370"/>
      <c r="D2" s="1370"/>
      <c r="E2" s="1370"/>
      <c r="F2" s="1370"/>
      <c r="G2" s="1370"/>
      <c r="H2" s="1370"/>
      <c r="I2" s="1370"/>
      <c r="J2" s="1370"/>
      <c r="K2" s="1370"/>
      <c r="L2" s="1370"/>
      <c r="M2" s="1370"/>
      <c r="N2" s="1370"/>
      <c r="O2" s="1370"/>
      <c r="P2" s="1370"/>
      <c r="Q2" s="1370"/>
      <c r="R2" s="1370"/>
      <c r="S2" s="1371"/>
    </row>
    <row r="3" spans="1:19" ht="15.5">
      <c r="A3" s="1369" t="s">
        <v>80</v>
      </c>
      <c r="B3" s="1370"/>
      <c r="C3" s="1370"/>
      <c r="D3" s="1370"/>
      <c r="E3" s="1370"/>
      <c r="F3" s="1370"/>
      <c r="G3" s="1370"/>
      <c r="H3" s="1370"/>
      <c r="I3" s="1370"/>
      <c r="J3" s="1370"/>
      <c r="K3" s="1370"/>
      <c r="L3" s="1370"/>
      <c r="M3" s="1370"/>
      <c r="N3" s="1370"/>
      <c r="O3" s="1370"/>
      <c r="P3" s="1370"/>
      <c r="Q3" s="1370"/>
      <c r="R3" s="1370"/>
      <c r="S3" s="1371"/>
    </row>
    <row r="4" spans="1:19" ht="18.5">
      <c r="A4" s="1372" t="s">
        <v>81</v>
      </c>
      <c r="B4" s="1373"/>
      <c r="C4" s="1373"/>
      <c r="D4" s="1373"/>
      <c r="E4" s="1373"/>
      <c r="F4" s="1373"/>
      <c r="G4" s="1373"/>
      <c r="H4" s="1373"/>
      <c r="I4" s="1373"/>
      <c r="J4" s="1373"/>
      <c r="K4" s="1373"/>
      <c r="L4" s="1373"/>
      <c r="M4" s="1373"/>
      <c r="N4" s="1373"/>
      <c r="O4" s="1373"/>
      <c r="P4" s="1373"/>
      <c r="Q4" s="1373"/>
      <c r="R4" s="1373"/>
      <c r="S4" s="1374"/>
    </row>
    <row r="5" spans="1:19" ht="29" hidden="1">
      <c r="A5" s="353" t="s">
        <v>82</v>
      </c>
      <c r="B5" s="353" t="s">
        <v>83</v>
      </c>
      <c r="C5" s="353" t="s">
        <v>84</v>
      </c>
      <c r="D5" s="353" t="s">
        <v>85</v>
      </c>
      <c r="E5" s="353" t="s">
        <v>86</v>
      </c>
      <c r="F5" s="353" t="s">
        <v>34</v>
      </c>
    </row>
    <row r="6" spans="1:19" hidden="1">
      <c r="A6" s="76">
        <v>1</v>
      </c>
      <c r="B6" s="76" t="s">
        <v>87</v>
      </c>
      <c r="C6" s="76">
        <v>2.653</v>
      </c>
      <c r="D6" s="1375">
        <v>45684</v>
      </c>
      <c r="E6" s="1375">
        <v>45691</v>
      </c>
      <c r="F6" s="76" t="s">
        <v>88</v>
      </c>
    </row>
    <row r="7" spans="1:19" hidden="1">
      <c r="A7" s="76">
        <f>A6+1</f>
        <v>2</v>
      </c>
      <c r="B7" s="76" t="s">
        <v>89</v>
      </c>
      <c r="C7" s="76">
        <v>5.31</v>
      </c>
      <c r="D7" s="1376"/>
      <c r="E7" s="1376"/>
      <c r="F7" s="76" t="s">
        <v>88</v>
      </c>
    </row>
    <row r="8" spans="1:19" ht="43.5" hidden="1">
      <c r="A8" s="76">
        <f t="shared" ref="A8:A32" si="0">A7+1</f>
        <v>3</v>
      </c>
      <c r="B8" s="76" t="s">
        <v>90</v>
      </c>
      <c r="C8" s="76">
        <v>19.672000000000001</v>
      </c>
      <c r="D8" s="512" t="s">
        <v>1125</v>
      </c>
      <c r="E8" s="511">
        <v>45713</v>
      </c>
      <c r="F8" s="76" t="s">
        <v>88</v>
      </c>
      <c r="G8" s="513" t="s">
        <v>91</v>
      </c>
    </row>
    <row r="9" spans="1:19" hidden="1">
      <c r="A9" s="76">
        <f t="shared" si="0"/>
        <v>4</v>
      </c>
      <c r="B9" s="76" t="s">
        <v>93</v>
      </c>
      <c r="C9" s="76">
        <v>20.273</v>
      </c>
      <c r="D9" s="514">
        <v>45657</v>
      </c>
      <c r="E9" s="511">
        <v>45691</v>
      </c>
      <c r="F9" s="76" t="s">
        <v>88</v>
      </c>
    </row>
    <row r="10" spans="1:19" ht="29" hidden="1">
      <c r="A10" s="76">
        <f t="shared" si="0"/>
        <v>5</v>
      </c>
      <c r="B10" s="76" t="s">
        <v>94</v>
      </c>
      <c r="C10" s="76">
        <v>3.0840000000000001</v>
      </c>
      <c r="D10" s="515" t="s">
        <v>1124</v>
      </c>
      <c r="E10" s="511">
        <v>45712</v>
      </c>
      <c r="F10" s="76" t="s">
        <v>88</v>
      </c>
    </row>
    <row r="11" spans="1:19" hidden="1">
      <c r="A11" s="76">
        <f t="shared" si="0"/>
        <v>6</v>
      </c>
      <c r="B11" s="76" t="s">
        <v>96</v>
      </c>
      <c r="C11" s="76">
        <v>1.0629999999999999</v>
      </c>
      <c r="D11" s="514">
        <v>45713</v>
      </c>
      <c r="E11" s="1375">
        <v>45715</v>
      </c>
      <c r="F11" s="76" t="s">
        <v>88</v>
      </c>
    </row>
    <row r="12" spans="1:19" hidden="1">
      <c r="A12" s="76">
        <f>A11+1</f>
        <v>7</v>
      </c>
      <c r="B12" s="76" t="s">
        <v>97</v>
      </c>
      <c r="C12" s="76">
        <v>2.09</v>
      </c>
      <c r="D12" s="514">
        <v>45713</v>
      </c>
      <c r="E12" s="1377"/>
      <c r="F12" s="76" t="s">
        <v>88</v>
      </c>
    </row>
    <row r="13" spans="1:19" hidden="1">
      <c r="A13" s="76">
        <f t="shared" si="0"/>
        <v>8</v>
      </c>
      <c r="B13" s="76" t="s">
        <v>98</v>
      </c>
      <c r="C13" s="76">
        <v>3.8929999999999998</v>
      </c>
      <c r="D13" s="514">
        <v>45713</v>
      </c>
      <c r="E13" s="1377"/>
      <c r="F13" s="76" t="s">
        <v>88</v>
      </c>
    </row>
    <row r="14" spans="1:19" hidden="1">
      <c r="A14" s="76">
        <f t="shared" si="0"/>
        <v>9</v>
      </c>
      <c r="B14" s="76" t="s">
        <v>99</v>
      </c>
      <c r="C14" s="76">
        <v>6.9710000000000001</v>
      </c>
      <c r="D14" s="514">
        <v>45713</v>
      </c>
      <c r="E14" s="1378"/>
      <c r="F14" s="76" t="s">
        <v>88</v>
      </c>
    </row>
    <row r="15" spans="1:19" hidden="1">
      <c r="A15" s="76">
        <f t="shared" si="0"/>
        <v>10</v>
      </c>
      <c r="B15" s="76" t="s">
        <v>100</v>
      </c>
      <c r="C15" s="76">
        <v>9.4949999999999992</v>
      </c>
      <c r="D15" s="514">
        <v>45721</v>
      </c>
      <c r="E15" s="511">
        <v>45722</v>
      </c>
      <c r="F15" s="76" t="s">
        <v>88</v>
      </c>
    </row>
    <row r="16" spans="1:19" ht="58" hidden="1">
      <c r="A16" s="76">
        <f t="shared" si="0"/>
        <v>11</v>
      </c>
      <c r="B16" s="76" t="s">
        <v>101</v>
      </c>
      <c r="C16" s="76">
        <v>8.6969999999999992</v>
      </c>
      <c r="D16" s="512" t="s">
        <v>1126</v>
      </c>
      <c r="E16" s="76"/>
      <c r="F16" s="76" t="s">
        <v>95</v>
      </c>
      <c r="G16" s="798" t="s">
        <v>1159</v>
      </c>
    </row>
    <row r="17" spans="1:7" hidden="1">
      <c r="A17" s="76">
        <f t="shared" si="0"/>
        <v>12</v>
      </c>
      <c r="B17" s="76" t="s">
        <v>102</v>
      </c>
      <c r="C17" s="76">
        <v>3.0840000000000001</v>
      </c>
      <c r="D17" s="76"/>
      <c r="E17" s="76"/>
      <c r="F17" s="799" t="s">
        <v>95</v>
      </c>
    </row>
    <row r="18" spans="1:7" hidden="1">
      <c r="A18" s="76">
        <f t="shared" si="0"/>
        <v>13</v>
      </c>
      <c r="B18" s="66" t="s">
        <v>104</v>
      </c>
      <c r="C18" s="76">
        <v>3.9630000000000001</v>
      </c>
      <c r="D18" s="76"/>
      <c r="E18" s="76"/>
      <c r="F18" s="799" t="s">
        <v>95</v>
      </c>
      <c r="G18" s="362"/>
    </row>
    <row r="19" spans="1:7" hidden="1">
      <c r="A19" s="76">
        <f t="shared" si="0"/>
        <v>14</v>
      </c>
      <c r="B19" s="800" t="s">
        <v>1115</v>
      </c>
      <c r="C19" s="76">
        <v>1.6559999999999999</v>
      </c>
      <c r="D19" s="76"/>
      <c r="E19" s="76"/>
      <c r="F19" s="799" t="s">
        <v>95</v>
      </c>
      <c r="G19" s="362"/>
    </row>
    <row r="20" spans="1:7" hidden="1">
      <c r="A20" s="76">
        <f t="shared" si="0"/>
        <v>15</v>
      </c>
      <c r="B20" s="800" t="s">
        <v>1116</v>
      </c>
      <c r="C20" s="76">
        <v>1.635</v>
      </c>
      <c r="D20" s="76"/>
      <c r="E20" s="76"/>
      <c r="F20" s="799" t="s">
        <v>95</v>
      </c>
    </row>
    <row r="21" spans="1:7" hidden="1">
      <c r="A21" s="76">
        <f t="shared" si="0"/>
        <v>16</v>
      </c>
      <c r="B21" s="76" t="s">
        <v>1112</v>
      </c>
      <c r="C21" s="76">
        <v>2.2210000000000001</v>
      </c>
      <c r="D21" s="76"/>
      <c r="E21" s="76"/>
      <c r="F21" s="799" t="s">
        <v>95</v>
      </c>
    </row>
    <row r="22" spans="1:7" ht="72.5" hidden="1">
      <c r="A22" s="76">
        <f t="shared" si="0"/>
        <v>17</v>
      </c>
      <c r="B22" s="76" t="s">
        <v>1111</v>
      </c>
      <c r="C22" s="76">
        <v>10.724</v>
      </c>
      <c r="D22" s="801" t="s">
        <v>1340</v>
      </c>
      <c r="E22" s="76"/>
      <c r="F22" s="76" t="s">
        <v>95</v>
      </c>
      <c r="G22" s="798" t="s">
        <v>1159</v>
      </c>
    </row>
    <row r="23" spans="1:7" ht="56.5" hidden="1" customHeight="1">
      <c r="A23" s="76">
        <f t="shared" si="0"/>
        <v>18</v>
      </c>
      <c r="B23" s="799" t="s">
        <v>1109</v>
      </c>
      <c r="C23" s="76">
        <v>3.6659999999999999</v>
      </c>
      <c r="D23" s="801" t="s">
        <v>1341</v>
      </c>
      <c r="E23" s="76"/>
      <c r="F23" s="76" t="s">
        <v>95</v>
      </c>
      <c r="G23" s="798" t="s">
        <v>1159</v>
      </c>
    </row>
    <row r="24" spans="1:7" hidden="1">
      <c r="A24" s="76">
        <f t="shared" si="0"/>
        <v>19</v>
      </c>
      <c r="B24" s="799" t="s">
        <v>1350</v>
      </c>
      <c r="C24" s="532">
        <v>4.88</v>
      </c>
      <c r="D24" s="76"/>
      <c r="E24" s="76"/>
      <c r="F24" s="802" t="s">
        <v>95</v>
      </c>
    </row>
    <row r="25" spans="1:7" hidden="1">
      <c r="A25" s="76">
        <f t="shared" si="0"/>
        <v>20</v>
      </c>
      <c r="B25" s="799" t="s">
        <v>1300</v>
      </c>
      <c r="C25" s="76">
        <v>2.4740000000000002</v>
      </c>
      <c r="D25" s="514">
        <v>45765</v>
      </c>
      <c r="E25" s="76"/>
      <c r="F25" s="76" t="s">
        <v>95</v>
      </c>
    </row>
    <row r="26" spans="1:7" hidden="1">
      <c r="A26" s="76">
        <f t="shared" si="0"/>
        <v>21</v>
      </c>
      <c r="B26" s="799" t="s">
        <v>1131</v>
      </c>
      <c r="C26" s="76">
        <v>0.27500000000000002</v>
      </c>
      <c r="D26" s="514">
        <v>45752</v>
      </c>
      <c r="E26" s="76"/>
      <c r="F26" s="76" t="s">
        <v>95</v>
      </c>
    </row>
    <row r="27" spans="1:7" hidden="1">
      <c r="A27" s="76">
        <f t="shared" si="0"/>
        <v>22</v>
      </c>
      <c r="B27" s="799" t="s">
        <v>1110</v>
      </c>
      <c r="C27" s="76">
        <v>2.008</v>
      </c>
      <c r="D27" s="514">
        <v>45752</v>
      </c>
      <c r="E27" s="76"/>
      <c r="F27" s="76" t="s">
        <v>95</v>
      </c>
    </row>
    <row r="28" spans="1:7" hidden="1">
      <c r="A28" s="76">
        <f t="shared" si="0"/>
        <v>23</v>
      </c>
      <c r="B28" s="799" t="s">
        <v>1128</v>
      </c>
      <c r="C28" s="76">
        <v>0.223</v>
      </c>
      <c r="D28" s="514">
        <v>45752</v>
      </c>
      <c r="E28" s="76"/>
      <c r="F28" s="76" t="s">
        <v>95</v>
      </c>
    </row>
    <row r="29" spans="1:7" hidden="1">
      <c r="A29" s="76">
        <f t="shared" si="0"/>
        <v>24</v>
      </c>
      <c r="B29" s="799" t="s">
        <v>1113</v>
      </c>
      <c r="C29" s="76">
        <v>2.7309999999999999</v>
      </c>
      <c r="D29" s="514">
        <v>45752</v>
      </c>
      <c r="E29" s="76"/>
      <c r="F29" s="76" t="s">
        <v>95</v>
      </c>
    </row>
    <row r="30" spans="1:7" hidden="1">
      <c r="A30" s="76">
        <f t="shared" si="0"/>
        <v>25</v>
      </c>
      <c r="B30" s="799" t="s">
        <v>1130</v>
      </c>
      <c r="C30" s="76">
        <v>1.7170000000000001</v>
      </c>
      <c r="D30" s="514">
        <v>45752</v>
      </c>
      <c r="E30" s="76"/>
      <c r="F30" s="76" t="s">
        <v>95</v>
      </c>
    </row>
    <row r="31" spans="1:7" hidden="1">
      <c r="A31" s="76">
        <f t="shared" si="0"/>
        <v>26</v>
      </c>
      <c r="B31" s="799" t="s">
        <v>1129</v>
      </c>
      <c r="C31" s="76">
        <v>1.0680000000000001</v>
      </c>
      <c r="D31" s="514">
        <v>45752</v>
      </c>
      <c r="E31" s="76"/>
      <c r="F31" s="76" t="s">
        <v>95</v>
      </c>
    </row>
    <row r="32" spans="1:7" hidden="1">
      <c r="A32" s="76">
        <f t="shared" si="0"/>
        <v>27</v>
      </c>
      <c r="B32" s="799" t="s">
        <v>1127</v>
      </c>
      <c r="C32" s="76">
        <v>2.8730000000000002</v>
      </c>
      <c r="D32" s="514">
        <v>45752</v>
      </c>
      <c r="E32" s="76"/>
      <c r="F32" s="76" t="s">
        <v>95</v>
      </c>
    </row>
    <row r="33" spans="1:7" hidden="1">
      <c r="A33" s="76"/>
      <c r="B33" s="799"/>
      <c r="C33" s="76"/>
      <c r="D33" s="514"/>
      <c r="E33" s="76"/>
      <c r="F33" s="76"/>
    </row>
    <row r="34" spans="1:7" hidden="1">
      <c r="A34" s="76">
        <f>A32+1</f>
        <v>28</v>
      </c>
      <c r="B34" s="799" t="s">
        <v>1333</v>
      </c>
      <c r="C34" s="76">
        <v>19.57</v>
      </c>
      <c r="D34" s="799" t="s">
        <v>1339</v>
      </c>
      <c r="E34" s="76"/>
      <c r="F34" s="799" t="s">
        <v>1332</v>
      </c>
    </row>
    <row r="35" spans="1:7" hidden="1">
      <c r="A35" s="76">
        <f>A34+1</f>
        <v>29</v>
      </c>
      <c r="B35" s="802" t="s">
        <v>1307</v>
      </c>
      <c r="C35" s="529">
        <v>2.6179999999999999</v>
      </c>
      <c r="D35" s="514">
        <v>45781</v>
      </c>
      <c r="E35" s="76"/>
      <c r="F35" s="66" t="s">
        <v>103</v>
      </c>
    </row>
    <row r="36" spans="1:7" hidden="1">
      <c r="A36" s="76">
        <f>A35+1</f>
        <v>30</v>
      </c>
      <c r="B36" s="799" t="s">
        <v>1338</v>
      </c>
      <c r="C36" s="76">
        <v>18.193000000000001</v>
      </c>
      <c r="D36" s="514">
        <v>45805</v>
      </c>
      <c r="E36" s="76"/>
      <c r="F36" s="800" t="s">
        <v>103</v>
      </c>
    </row>
    <row r="37" spans="1:7" hidden="1">
      <c r="A37" s="76"/>
      <c r="B37" s="799"/>
      <c r="C37" s="76"/>
      <c r="D37" s="514"/>
      <c r="E37" s="76"/>
      <c r="F37" s="800"/>
    </row>
    <row r="38" spans="1:7" hidden="1">
      <c r="A38" s="76"/>
      <c r="B38" s="799"/>
      <c r="C38" s="76"/>
      <c r="D38" s="514"/>
      <c r="E38" s="76"/>
      <c r="F38" s="800"/>
    </row>
    <row r="39" spans="1:7" s="362" customFormat="1" hidden="1">
      <c r="A39" s="363"/>
      <c r="B39" s="363" t="s">
        <v>105</v>
      </c>
      <c r="C39" s="363">
        <f>SUM(C6:C36)</f>
        <v>168.78000000000003</v>
      </c>
      <c r="D39" s="363"/>
      <c r="E39" s="363"/>
      <c r="F39" s="363"/>
    </row>
    <row r="40" spans="1:7" s="362" customFormat="1" hidden="1"/>
    <row r="41" spans="1:7" s="362" customFormat="1" hidden="1"/>
    <row r="42" spans="1:7" s="362" customFormat="1" hidden="1"/>
    <row r="43" spans="1:7" hidden="1">
      <c r="B43" s="362" t="s">
        <v>1301</v>
      </c>
    </row>
    <row r="44" spans="1:7" ht="43.5" hidden="1">
      <c r="A44" s="354" t="s">
        <v>1132</v>
      </c>
      <c r="B44" s="354" t="s">
        <v>83</v>
      </c>
      <c r="C44" s="438" t="s">
        <v>1133</v>
      </c>
      <c r="D44" s="438" t="s">
        <v>1134</v>
      </c>
      <c r="E44" s="438" t="s">
        <v>1135</v>
      </c>
      <c r="F44" s="438" t="s">
        <v>1136</v>
      </c>
      <c r="G44" s="438" t="s">
        <v>1134</v>
      </c>
    </row>
    <row r="45" spans="1:7" hidden="1">
      <c r="A45" s="315">
        <v>1</v>
      </c>
      <c r="B45" s="315" t="s">
        <v>1138</v>
      </c>
      <c r="C45" s="439">
        <v>45657</v>
      </c>
      <c r="D45" s="440">
        <v>20.273</v>
      </c>
      <c r="E45" s="439" t="s">
        <v>1139</v>
      </c>
      <c r="F45" s="441">
        <v>45691</v>
      </c>
      <c r="G45" s="440">
        <v>20.273</v>
      </c>
    </row>
    <row r="46" spans="1:7" hidden="1">
      <c r="A46" s="315">
        <f>A45+1</f>
        <v>2</v>
      </c>
      <c r="B46" s="315" t="s">
        <v>1141</v>
      </c>
      <c r="C46" s="439">
        <v>45684</v>
      </c>
      <c r="D46" s="440">
        <v>7.9619999999999997</v>
      </c>
      <c r="E46" s="439" t="s">
        <v>1142</v>
      </c>
      <c r="F46" s="441">
        <v>45691</v>
      </c>
      <c r="G46" s="440">
        <v>7.9619999999999997</v>
      </c>
    </row>
    <row r="47" spans="1:7" hidden="1">
      <c r="A47" s="315">
        <f t="shared" ref="A47:A56" si="1">A46+1</f>
        <v>3</v>
      </c>
      <c r="B47" s="315" t="s">
        <v>1143</v>
      </c>
      <c r="C47" s="439">
        <v>45709</v>
      </c>
      <c r="D47" s="440">
        <v>3.0840000000000001</v>
      </c>
      <c r="E47" s="439" t="s">
        <v>1144</v>
      </c>
      <c r="F47" s="441">
        <v>45712</v>
      </c>
      <c r="G47" s="440">
        <v>3.0840000000000001</v>
      </c>
    </row>
    <row r="48" spans="1:7" hidden="1">
      <c r="A48" s="315">
        <f t="shared" si="1"/>
        <v>4</v>
      </c>
      <c r="B48" s="315" t="s">
        <v>1146</v>
      </c>
      <c r="C48" s="439">
        <v>45703</v>
      </c>
      <c r="D48" s="440">
        <v>19.672000000000001</v>
      </c>
      <c r="E48" s="439" t="s">
        <v>1147</v>
      </c>
      <c r="F48" s="441">
        <v>45713</v>
      </c>
      <c r="G48" s="440">
        <v>19.672000000000001</v>
      </c>
    </row>
    <row r="49" spans="1:7" hidden="1">
      <c r="A49" s="315">
        <f t="shared" si="1"/>
        <v>5</v>
      </c>
      <c r="B49" s="315" t="s">
        <v>1149</v>
      </c>
      <c r="C49" s="439">
        <v>45713</v>
      </c>
      <c r="D49" s="440">
        <v>14.016999999999999</v>
      </c>
      <c r="E49" s="439" t="s">
        <v>1150</v>
      </c>
      <c r="F49" s="441">
        <v>45715</v>
      </c>
      <c r="G49" s="440">
        <v>14.016999999999999</v>
      </c>
    </row>
    <row r="50" spans="1:7" hidden="1">
      <c r="A50" s="315">
        <f t="shared" si="1"/>
        <v>6</v>
      </c>
      <c r="B50" s="315" t="s">
        <v>1151</v>
      </c>
      <c r="C50" s="439">
        <v>45721</v>
      </c>
      <c r="D50" s="440">
        <v>9.4949999999999992</v>
      </c>
      <c r="E50" s="439" t="s">
        <v>1152</v>
      </c>
      <c r="F50" s="441">
        <v>45722</v>
      </c>
      <c r="G50" s="440">
        <v>9.4949999999999992</v>
      </c>
    </row>
    <row r="51" spans="1:7" hidden="1">
      <c r="A51" s="315">
        <f t="shared" si="1"/>
        <v>7</v>
      </c>
      <c r="B51" s="315" t="s">
        <v>1153</v>
      </c>
      <c r="C51" s="439">
        <v>45751</v>
      </c>
      <c r="D51" s="440">
        <v>8.6969999999999992</v>
      </c>
      <c r="E51" s="803" t="s">
        <v>1306</v>
      </c>
      <c r="F51" s="441">
        <v>45732</v>
      </c>
      <c r="G51" s="440">
        <v>8.6969999999999992</v>
      </c>
    </row>
    <row r="52" spans="1:7" hidden="1">
      <c r="A52" s="315">
        <f t="shared" si="1"/>
        <v>8</v>
      </c>
      <c r="B52" s="315" t="s">
        <v>1155</v>
      </c>
      <c r="C52" s="439">
        <v>45742</v>
      </c>
      <c r="D52" s="440">
        <v>14.39</v>
      </c>
      <c r="E52" s="439" t="s">
        <v>1156</v>
      </c>
      <c r="F52" s="441">
        <v>45732</v>
      </c>
      <c r="G52" s="440">
        <v>14.39</v>
      </c>
    </row>
    <row r="53" spans="1:7" hidden="1">
      <c r="A53" s="315">
        <f t="shared" si="1"/>
        <v>9</v>
      </c>
      <c r="B53" s="621" t="s">
        <v>1161</v>
      </c>
      <c r="C53" s="439">
        <v>45752</v>
      </c>
      <c r="D53" s="440">
        <v>10.894</v>
      </c>
      <c r="E53" s="439" t="s">
        <v>1162</v>
      </c>
      <c r="F53" s="440"/>
      <c r="G53" s="440"/>
    </row>
    <row r="54" spans="1:7" ht="29" hidden="1">
      <c r="A54" s="315">
        <f t="shared" si="1"/>
        <v>10</v>
      </c>
      <c r="B54" s="621" t="s">
        <v>1160</v>
      </c>
      <c r="C54" s="804" t="s">
        <v>1322</v>
      </c>
      <c r="D54" s="440">
        <v>19.57</v>
      </c>
      <c r="E54" s="803" t="s">
        <v>1326</v>
      </c>
      <c r="F54" s="440"/>
      <c r="G54" s="440"/>
    </row>
    <row r="55" spans="1:7" hidden="1">
      <c r="A55" s="315">
        <f t="shared" si="1"/>
        <v>11</v>
      </c>
      <c r="B55" s="315" t="s">
        <v>1298</v>
      </c>
      <c r="C55" s="439">
        <v>45765</v>
      </c>
      <c r="D55" s="440">
        <v>2.4740000000000002</v>
      </c>
      <c r="E55" s="439" t="s">
        <v>1299</v>
      </c>
      <c r="F55" s="440"/>
      <c r="G55" s="440"/>
    </row>
    <row r="56" spans="1:7" hidden="1">
      <c r="A56" s="315">
        <f t="shared" si="1"/>
        <v>12</v>
      </c>
      <c r="B56" s="621" t="s">
        <v>1312</v>
      </c>
      <c r="C56" s="439">
        <v>45787</v>
      </c>
      <c r="D56" s="440">
        <v>3.0840000000000001</v>
      </c>
      <c r="E56" s="439" t="s">
        <v>1313</v>
      </c>
      <c r="F56" s="440"/>
      <c r="G56" s="440"/>
    </row>
    <row r="57" spans="1:7" hidden="1">
      <c r="A57" s="315">
        <f>A56+1</f>
        <v>13</v>
      </c>
      <c r="B57" s="621" t="s">
        <v>1356</v>
      </c>
      <c r="C57" s="439">
        <v>45787</v>
      </c>
      <c r="D57" s="440">
        <v>2.2200000000000002</v>
      </c>
      <c r="E57" s="439" t="s">
        <v>1313</v>
      </c>
      <c r="F57" s="440"/>
      <c r="G57" s="440"/>
    </row>
    <row r="58" spans="1:7" hidden="1">
      <c r="A58" s="315">
        <f>A57+1</f>
        <v>14</v>
      </c>
      <c r="B58" s="805" t="s">
        <v>1353</v>
      </c>
      <c r="C58" s="439">
        <v>45802</v>
      </c>
      <c r="D58" s="440">
        <v>5.6189999999999998</v>
      </c>
      <c r="E58" s="791" t="s">
        <v>1360</v>
      </c>
      <c r="F58" s="440"/>
      <c r="G58" s="440"/>
    </row>
    <row r="59" spans="1:7" hidden="1">
      <c r="A59" s="315">
        <f>A58+1</f>
        <v>15</v>
      </c>
      <c r="B59" s="806" t="s">
        <v>1324</v>
      </c>
      <c r="C59" s="439">
        <v>45794</v>
      </c>
      <c r="D59" s="440">
        <v>3.95</v>
      </c>
      <c r="E59" s="803" t="s">
        <v>1325</v>
      </c>
      <c r="F59" s="441">
        <v>45810</v>
      </c>
      <c r="G59" s="440"/>
    </row>
    <row r="60" spans="1:7" hidden="1">
      <c r="A60" s="315">
        <f>A59+1</f>
        <v>16</v>
      </c>
      <c r="B60" s="805" t="s">
        <v>1354</v>
      </c>
      <c r="C60" s="439">
        <v>45802</v>
      </c>
      <c r="D60" s="440">
        <v>1.635</v>
      </c>
      <c r="E60" s="439" t="s">
        <v>1355</v>
      </c>
      <c r="F60" s="440"/>
      <c r="G60" s="440"/>
    </row>
    <row r="61" spans="1:7" hidden="1">
      <c r="A61" s="315">
        <f>A60+1</f>
        <v>17</v>
      </c>
      <c r="B61" s="805" t="s">
        <v>1342</v>
      </c>
      <c r="C61" s="439">
        <v>45802</v>
      </c>
      <c r="D61" s="440">
        <v>4.88</v>
      </c>
      <c r="E61" s="803"/>
      <c r="F61" s="440"/>
      <c r="G61" s="440"/>
    </row>
    <row r="62" spans="1:7" hidden="1">
      <c r="A62" s="315"/>
      <c r="B62" s="806"/>
      <c r="C62" s="439"/>
      <c r="D62" s="440"/>
      <c r="E62" s="439"/>
      <c r="F62" s="440"/>
      <c r="G62" s="440"/>
    </row>
    <row r="63" spans="1:7" hidden="1">
      <c r="A63" s="1338" t="s">
        <v>1158</v>
      </c>
      <c r="B63" s="1338"/>
      <c r="C63" s="354"/>
      <c r="D63" s="354">
        <f>SUM(D45:D61)</f>
        <v>151.91599999999997</v>
      </c>
      <c r="E63" s="354"/>
      <c r="F63" s="354"/>
      <c r="G63" s="354">
        <f>SUM(G45:G62)</f>
        <v>97.59</v>
      </c>
    </row>
    <row r="64" spans="1:7" hidden="1">
      <c r="A64" s="438"/>
      <c r="B64" s="438"/>
      <c r="C64" s="354"/>
      <c r="D64" s="354"/>
      <c r="E64" s="354"/>
      <c r="F64" s="354"/>
      <c r="G64" s="354"/>
    </row>
    <row r="65" spans="1:7">
      <c r="A65" s="1379"/>
      <c r="B65" s="1380"/>
      <c r="C65" s="1380"/>
      <c r="D65" s="1380"/>
      <c r="E65" s="1380"/>
      <c r="F65" s="1380"/>
      <c r="G65" s="1381"/>
    </row>
    <row r="66" spans="1:7" ht="15.5">
      <c r="A66" s="807"/>
      <c r="B66" s="807"/>
      <c r="C66" s="1382" t="s">
        <v>1377</v>
      </c>
      <c r="D66" s="1382"/>
      <c r="E66" s="1382"/>
      <c r="F66" s="1382"/>
      <c r="G66" s="1382"/>
    </row>
    <row r="67" spans="1:7" ht="29">
      <c r="A67" s="808" t="s">
        <v>1543</v>
      </c>
      <c r="B67" s="809" t="s">
        <v>1378</v>
      </c>
      <c r="C67" s="809" t="s">
        <v>1380</v>
      </c>
      <c r="D67" s="809" t="s">
        <v>1381</v>
      </c>
      <c r="E67" s="809" t="s">
        <v>1382</v>
      </c>
      <c r="F67" s="809" t="s">
        <v>1383</v>
      </c>
      <c r="G67" s="808" t="s">
        <v>34</v>
      </c>
    </row>
    <row r="68" spans="1:7" ht="26">
      <c r="A68" s="810">
        <v>1</v>
      </c>
      <c r="B68" s="811" t="s">
        <v>1062</v>
      </c>
      <c r="C68" s="811" t="s">
        <v>1544</v>
      </c>
      <c r="D68" s="812">
        <v>10.372999999999999</v>
      </c>
      <c r="E68" s="813"/>
      <c r="F68" s="813"/>
      <c r="G68" s="814" t="s">
        <v>1545</v>
      </c>
    </row>
    <row r="69" spans="1:7">
      <c r="A69" s="810">
        <f>A68+1</f>
        <v>2</v>
      </c>
      <c r="B69" s="815" t="s">
        <v>1062</v>
      </c>
      <c r="C69" s="815" t="s">
        <v>1424</v>
      </c>
      <c r="D69" s="816">
        <v>8.7189999999999994</v>
      </c>
      <c r="E69" s="816"/>
      <c r="F69" s="816"/>
      <c r="G69" s="817" t="s">
        <v>1576</v>
      </c>
    </row>
    <row r="70" spans="1:7" ht="27.65" customHeight="1">
      <c r="A70" s="810">
        <f>A69+1</f>
        <v>3</v>
      </c>
      <c r="B70" s="815"/>
      <c r="C70" s="626" t="s">
        <v>1387</v>
      </c>
      <c r="D70" s="818">
        <v>19.57</v>
      </c>
      <c r="E70" s="819" t="s">
        <v>1388</v>
      </c>
      <c r="F70" s="819"/>
      <c r="G70" s="817" t="s">
        <v>88</v>
      </c>
    </row>
    <row r="71" spans="1:7" ht="27.65" customHeight="1">
      <c r="A71" s="810">
        <f>A70+1</f>
        <v>4</v>
      </c>
      <c r="B71" s="820" t="s">
        <v>1068</v>
      </c>
      <c r="C71" s="815" t="s">
        <v>1500</v>
      </c>
      <c r="D71" s="810">
        <v>2.6179999999999999</v>
      </c>
      <c r="E71" s="810"/>
      <c r="F71" s="819" t="s">
        <v>1388</v>
      </c>
      <c r="G71" s="817" t="s">
        <v>1502</v>
      </c>
    </row>
    <row r="72" spans="1:7" ht="23.5" customHeight="1">
      <c r="A72" s="810">
        <f t="shared" ref="A72:A85" si="2">A71+1</f>
        <v>5</v>
      </c>
      <c r="B72" s="811" t="s">
        <v>1062</v>
      </c>
      <c r="C72" s="811" t="s">
        <v>1503</v>
      </c>
      <c r="D72" s="821">
        <v>18.193000000000001</v>
      </c>
      <c r="E72" s="821"/>
      <c r="F72" s="822"/>
      <c r="G72" s="817" t="s">
        <v>1577</v>
      </c>
    </row>
    <row r="73" spans="1:7">
      <c r="A73" s="810">
        <f t="shared" si="2"/>
        <v>6</v>
      </c>
      <c r="B73" s="815"/>
      <c r="C73" s="626" t="s">
        <v>1392</v>
      </c>
      <c r="D73" s="810">
        <v>6.6589999999999998</v>
      </c>
      <c r="E73" s="810" t="s">
        <v>1546</v>
      </c>
      <c r="F73" s="819"/>
      <c r="G73" s="823" t="s">
        <v>1422</v>
      </c>
    </row>
    <row r="74" spans="1:7">
      <c r="A74" s="810">
        <f t="shared" si="2"/>
        <v>7</v>
      </c>
      <c r="B74" s="811" t="s">
        <v>1062</v>
      </c>
      <c r="C74" s="811" t="s">
        <v>1393</v>
      </c>
      <c r="D74" s="824">
        <v>3.17</v>
      </c>
      <c r="E74" s="822"/>
      <c r="F74" s="822"/>
      <c r="G74" s="814" t="s">
        <v>1547</v>
      </c>
    </row>
    <row r="75" spans="1:7">
      <c r="A75" s="810">
        <f t="shared" si="2"/>
        <v>8</v>
      </c>
      <c r="B75" s="815"/>
      <c r="C75" s="626" t="s">
        <v>1396</v>
      </c>
      <c r="D75" s="825">
        <v>1.05</v>
      </c>
      <c r="E75" s="819" t="s">
        <v>1546</v>
      </c>
      <c r="F75" s="819"/>
      <c r="G75" s="817" t="s">
        <v>1422</v>
      </c>
    </row>
    <row r="76" spans="1:7">
      <c r="A76" s="810">
        <f t="shared" si="2"/>
        <v>9</v>
      </c>
      <c r="B76" s="1383"/>
      <c r="C76" s="626" t="s">
        <v>1397</v>
      </c>
      <c r="D76" s="810">
        <v>7.9619999999999997</v>
      </c>
      <c r="E76" s="819" t="s">
        <v>1546</v>
      </c>
      <c r="F76" s="810"/>
      <c r="G76" s="817" t="s">
        <v>88</v>
      </c>
    </row>
    <row r="77" spans="1:7">
      <c r="A77" s="810">
        <f t="shared" si="2"/>
        <v>10</v>
      </c>
      <c r="B77" s="1384"/>
      <c r="C77" s="626" t="s">
        <v>1399</v>
      </c>
      <c r="D77" s="810">
        <v>19.567</v>
      </c>
      <c r="E77" s="819" t="s">
        <v>1546</v>
      </c>
      <c r="F77" s="810"/>
      <c r="G77" s="817" t="s">
        <v>88</v>
      </c>
    </row>
    <row r="78" spans="1:7">
      <c r="A78" s="810">
        <f t="shared" si="2"/>
        <v>11</v>
      </c>
      <c r="B78" s="1384"/>
      <c r="C78" s="626" t="s">
        <v>1400</v>
      </c>
      <c r="D78" s="810">
        <v>20.273</v>
      </c>
      <c r="E78" s="819" t="s">
        <v>1546</v>
      </c>
      <c r="F78" s="810"/>
      <c r="G78" s="817" t="s">
        <v>88</v>
      </c>
    </row>
    <row r="79" spans="1:7">
      <c r="A79" s="810">
        <f t="shared" si="2"/>
        <v>12</v>
      </c>
      <c r="B79" s="1384"/>
      <c r="C79" s="626" t="s">
        <v>1401</v>
      </c>
      <c r="D79" s="810">
        <v>3.0840000000000001</v>
      </c>
      <c r="E79" s="819" t="s">
        <v>1546</v>
      </c>
      <c r="F79" s="810"/>
      <c r="G79" s="817" t="s">
        <v>88</v>
      </c>
    </row>
    <row r="80" spans="1:7">
      <c r="A80" s="810">
        <f t="shared" si="2"/>
        <v>13</v>
      </c>
      <c r="B80" s="1384"/>
      <c r="C80" s="626" t="s">
        <v>1402</v>
      </c>
      <c r="D80" s="810">
        <v>14.119</v>
      </c>
      <c r="E80" s="819" t="s">
        <v>1546</v>
      </c>
      <c r="F80" s="810"/>
      <c r="G80" s="817" t="s">
        <v>88</v>
      </c>
    </row>
    <row r="81" spans="1:7">
      <c r="A81" s="810">
        <f t="shared" si="2"/>
        <v>14</v>
      </c>
      <c r="B81" s="1384"/>
      <c r="C81" s="626" t="s">
        <v>1403</v>
      </c>
      <c r="D81" s="810">
        <v>9.4949999999999992</v>
      </c>
      <c r="E81" s="819" t="s">
        <v>1546</v>
      </c>
      <c r="F81" s="810"/>
      <c r="G81" s="817" t="s">
        <v>88</v>
      </c>
    </row>
    <row r="82" spans="1:7">
      <c r="A82" s="810">
        <f t="shared" si="2"/>
        <v>15</v>
      </c>
      <c r="B82" s="1385"/>
      <c r="C82" s="626" t="s">
        <v>1404</v>
      </c>
      <c r="D82" s="810">
        <v>8.6940000000000008</v>
      </c>
      <c r="E82" s="819" t="s">
        <v>1546</v>
      </c>
      <c r="F82" s="810"/>
      <c r="G82" s="817" t="s">
        <v>88</v>
      </c>
    </row>
    <row r="83" spans="1:7">
      <c r="A83" s="810">
        <f t="shared" si="2"/>
        <v>16</v>
      </c>
      <c r="B83" s="815" t="s">
        <v>1062</v>
      </c>
      <c r="C83" s="626" t="s">
        <v>1427</v>
      </c>
      <c r="D83" s="810">
        <v>12.558999999999999</v>
      </c>
      <c r="E83" s="819" t="s">
        <v>1546</v>
      </c>
      <c r="F83" s="819"/>
      <c r="G83" s="817" t="s">
        <v>88</v>
      </c>
    </row>
    <row r="84" spans="1:7">
      <c r="A84" s="810">
        <f t="shared" si="2"/>
        <v>17</v>
      </c>
      <c r="B84" s="815" t="s">
        <v>1062</v>
      </c>
      <c r="C84" s="626" t="s">
        <v>1409</v>
      </c>
      <c r="D84" s="810">
        <v>14.391</v>
      </c>
      <c r="E84" s="819" t="s">
        <v>1546</v>
      </c>
      <c r="F84" s="810"/>
      <c r="G84" s="817" t="s">
        <v>88</v>
      </c>
    </row>
    <row r="85" spans="1:7">
      <c r="A85" s="810">
        <f t="shared" si="2"/>
        <v>18</v>
      </c>
      <c r="B85" s="815" t="s">
        <v>1062</v>
      </c>
      <c r="C85" s="626" t="s">
        <v>1548</v>
      </c>
      <c r="D85" s="563">
        <v>6.3209999999999997</v>
      </c>
      <c r="E85" s="819" t="s">
        <v>1546</v>
      </c>
      <c r="F85" s="819"/>
      <c r="G85" s="817" t="s">
        <v>88</v>
      </c>
    </row>
    <row r="86" spans="1:7">
      <c r="A86" s="810">
        <v>19</v>
      </c>
      <c r="B86" s="820" t="s">
        <v>1068</v>
      </c>
      <c r="C86" s="815" t="s">
        <v>1549</v>
      </c>
      <c r="D86" s="563">
        <v>0.38900000000000001</v>
      </c>
      <c r="E86" s="819"/>
      <c r="F86" s="826" t="s">
        <v>1546</v>
      </c>
      <c r="G86" s="817"/>
    </row>
    <row r="87" spans="1:7">
      <c r="A87" s="810">
        <v>20</v>
      </c>
      <c r="B87" s="811" t="s">
        <v>1062</v>
      </c>
      <c r="C87" s="811" t="s">
        <v>1550</v>
      </c>
      <c r="D87" s="827">
        <v>0.22</v>
      </c>
      <c r="E87" s="822"/>
      <c r="F87" s="828"/>
      <c r="G87" s="814" t="s">
        <v>1551</v>
      </c>
    </row>
    <row r="88" spans="1:7">
      <c r="A88" s="810">
        <v>21</v>
      </c>
      <c r="B88" s="829" t="s">
        <v>1068</v>
      </c>
      <c r="C88" s="815" t="s">
        <v>1552</v>
      </c>
      <c r="D88" s="830">
        <v>0.56999999999999995</v>
      </c>
      <c r="E88" s="819"/>
      <c r="F88" s="826" t="s">
        <v>1546</v>
      </c>
      <c r="G88" s="817" t="s">
        <v>1553</v>
      </c>
    </row>
    <row r="89" spans="1:7">
      <c r="A89" s="1361"/>
      <c r="B89" s="1362"/>
      <c r="C89" s="808" t="s">
        <v>1416</v>
      </c>
      <c r="D89" s="808">
        <f>SUM(D68:D88)</f>
        <v>187.99599999999998</v>
      </c>
      <c r="E89" s="1363"/>
      <c r="F89" s="1364"/>
      <c r="G89" s="1365"/>
    </row>
    <row r="90" spans="1:7">
      <c r="A90" s="1358"/>
      <c r="B90" s="1358"/>
      <c r="C90" s="1358"/>
      <c r="D90" s="1358"/>
      <c r="E90" s="1358"/>
      <c r="F90" s="1358"/>
      <c r="G90" s="1358"/>
    </row>
    <row r="91" spans="1:7" hidden="1">
      <c r="A91" s="831"/>
      <c r="B91" s="832"/>
      <c r="C91" s="832"/>
      <c r="D91" s="833"/>
      <c r="E91" s="834">
        <v>2.6179999999999999</v>
      </c>
      <c r="F91" s="835" t="s">
        <v>1415</v>
      </c>
      <c r="G91" s="831"/>
    </row>
    <row r="92" spans="1:7" ht="18.5">
      <c r="A92" s="1359" t="s">
        <v>1416</v>
      </c>
      <c r="B92" s="1359"/>
      <c r="C92" s="1359"/>
      <c r="D92" s="1359"/>
      <c r="E92" s="836">
        <f>D89</f>
        <v>187.99599999999998</v>
      </c>
      <c r="F92" s="832"/>
      <c r="G92" s="831"/>
    </row>
    <row r="93" spans="1:7" ht="18.5">
      <c r="A93" s="1359" t="s">
        <v>1554</v>
      </c>
      <c r="B93" s="1359"/>
      <c r="C93" s="1359"/>
      <c r="D93" s="1359"/>
      <c r="E93" s="837">
        <f>E92-E96</f>
        <v>156.04</v>
      </c>
      <c r="F93" s="832"/>
      <c r="G93" s="831"/>
    </row>
    <row r="94" spans="1:7" ht="18.5">
      <c r="A94" s="1359" t="s">
        <v>1555</v>
      </c>
      <c r="B94" s="1359"/>
      <c r="C94" s="1359"/>
      <c r="D94" s="1359"/>
      <c r="E94" s="838">
        <f>E93-E95</f>
        <v>152.46299999999999</v>
      </c>
      <c r="F94" s="832"/>
      <c r="G94" s="831"/>
    </row>
    <row r="95" spans="1:7" ht="18.5">
      <c r="A95" s="1360" t="s">
        <v>1556</v>
      </c>
      <c r="B95" s="1360"/>
      <c r="C95" s="1360"/>
      <c r="D95" s="1360"/>
      <c r="E95" s="839">
        <v>3.577</v>
      </c>
      <c r="F95" s="832"/>
      <c r="G95" s="831"/>
    </row>
    <row r="96" spans="1:7" ht="18.5">
      <c r="A96" s="1359" t="s">
        <v>1557</v>
      </c>
      <c r="B96" s="1359"/>
      <c r="C96" s="1359"/>
      <c r="D96" s="1359"/>
      <c r="E96" s="838">
        <v>31.956</v>
      </c>
      <c r="F96" s="832"/>
      <c r="G96" s="831"/>
    </row>
    <row r="98" spans="2:7" ht="15" thickBot="1">
      <c r="B98" s="1352" t="s">
        <v>1377</v>
      </c>
      <c r="C98" s="1353"/>
      <c r="D98" s="1353"/>
      <c r="E98" s="1353"/>
      <c r="F98" s="1353"/>
      <c r="G98" s="1353"/>
    </row>
    <row r="99" spans="2:7" ht="29.5" thickBot="1">
      <c r="B99" s="598" t="s">
        <v>1379</v>
      </c>
      <c r="C99" s="599" t="s">
        <v>1380</v>
      </c>
      <c r="D99" s="599" t="s">
        <v>1381</v>
      </c>
      <c r="E99" s="599" t="s">
        <v>88</v>
      </c>
      <c r="F99" s="599" t="s">
        <v>1428</v>
      </c>
      <c r="G99" s="599" t="s">
        <v>34</v>
      </c>
    </row>
    <row r="100" spans="2:7" ht="29.5" thickBot="1">
      <c r="B100" s="600">
        <v>1</v>
      </c>
      <c r="C100" s="601" t="s">
        <v>1385</v>
      </c>
      <c r="D100" s="602">
        <v>18.116</v>
      </c>
      <c r="E100" s="603"/>
      <c r="F100" s="603" t="s">
        <v>1429</v>
      </c>
      <c r="G100" s="604" t="s">
        <v>1430</v>
      </c>
    </row>
    <row r="101" spans="2:7" ht="15" thickBot="1">
      <c r="B101" s="600">
        <v>2</v>
      </c>
      <c r="C101" s="601" t="s">
        <v>1387</v>
      </c>
      <c r="D101" s="602">
        <v>19.57</v>
      </c>
      <c r="E101" s="602"/>
      <c r="F101" s="603" t="s">
        <v>1431</v>
      </c>
      <c r="G101" s="604" t="s">
        <v>1432</v>
      </c>
    </row>
    <row r="102" spans="2:7" ht="44" thickBot="1">
      <c r="B102" s="600">
        <v>3</v>
      </c>
      <c r="C102" s="601" t="s">
        <v>1390</v>
      </c>
      <c r="D102" s="602">
        <v>20.811</v>
      </c>
      <c r="E102" s="602"/>
      <c r="F102" s="603" t="s">
        <v>1429</v>
      </c>
      <c r="G102" s="604" t="s">
        <v>1433</v>
      </c>
    </row>
    <row r="103" spans="2:7" ht="29.5" thickBot="1">
      <c r="B103" s="1354">
        <v>4</v>
      </c>
      <c r="C103" s="601" t="s">
        <v>1434</v>
      </c>
      <c r="D103" s="1356">
        <v>10.894</v>
      </c>
      <c r="E103" s="602"/>
      <c r="F103" s="603" t="s">
        <v>1431</v>
      </c>
      <c r="G103" s="604" t="s">
        <v>1435</v>
      </c>
    </row>
    <row r="104" spans="2:7" ht="29.5" thickBot="1">
      <c r="B104" s="1355"/>
      <c r="C104" s="601" t="s">
        <v>1436</v>
      </c>
      <c r="D104" s="1357"/>
      <c r="E104" s="602"/>
      <c r="F104" s="603" t="s">
        <v>1429</v>
      </c>
      <c r="G104" s="604" t="s">
        <v>1437</v>
      </c>
    </row>
    <row r="105" spans="2:7" ht="15" thickBot="1">
      <c r="B105" s="600">
        <v>5</v>
      </c>
      <c r="C105" s="601" t="s">
        <v>1397</v>
      </c>
      <c r="D105" s="602">
        <v>7.9619999999999997</v>
      </c>
      <c r="E105" s="605">
        <v>45691</v>
      </c>
      <c r="F105" s="602"/>
      <c r="G105" s="604"/>
    </row>
    <row r="106" spans="2:7" ht="15" thickBot="1">
      <c r="B106" s="600">
        <v>6</v>
      </c>
      <c r="C106" s="601" t="s">
        <v>1399</v>
      </c>
      <c r="D106" s="602">
        <v>19.567</v>
      </c>
      <c r="E106" s="605">
        <v>45713</v>
      </c>
      <c r="F106" s="602"/>
      <c r="G106" s="604"/>
    </row>
    <row r="107" spans="2:7" ht="15" thickBot="1">
      <c r="B107" s="600">
        <v>7</v>
      </c>
      <c r="C107" s="601" t="s">
        <v>1400</v>
      </c>
      <c r="D107" s="602">
        <v>20.273</v>
      </c>
      <c r="E107" s="605">
        <v>45691</v>
      </c>
      <c r="F107" s="602"/>
      <c r="G107" s="604"/>
    </row>
    <row r="108" spans="2:7" ht="15" thickBot="1">
      <c r="B108" s="600">
        <v>8</v>
      </c>
      <c r="C108" s="601" t="s">
        <v>1401</v>
      </c>
      <c r="D108" s="602">
        <v>3.0840000000000001</v>
      </c>
      <c r="E108" s="605">
        <v>45712</v>
      </c>
      <c r="F108" s="602"/>
      <c r="G108" s="604"/>
    </row>
    <row r="109" spans="2:7" ht="15" thickBot="1">
      <c r="B109" s="600">
        <v>9</v>
      </c>
      <c r="C109" s="601" t="s">
        <v>1402</v>
      </c>
      <c r="D109" s="602">
        <v>14.016999999999999</v>
      </c>
      <c r="E109" s="605">
        <v>45715</v>
      </c>
      <c r="F109" s="602"/>
      <c r="G109" s="604"/>
    </row>
    <row r="110" spans="2:7" ht="15" thickBot="1">
      <c r="B110" s="600">
        <v>10</v>
      </c>
      <c r="C110" s="601" t="s">
        <v>1403</v>
      </c>
      <c r="D110" s="602">
        <v>9.4949999999999992</v>
      </c>
      <c r="E110" s="605">
        <v>45722</v>
      </c>
      <c r="F110" s="602"/>
      <c r="G110" s="604"/>
    </row>
    <row r="111" spans="2:7" ht="15" thickBot="1">
      <c r="B111" s="600">
        <v>11</v>
      </c>
      <c r="C111" s="601" t="s">
        <v>1404</v>
      </c>
      <c r="D111" s="602">
        <v>8.6940000000000008</v>
      </c>
      <c r="E111" s="605">
        <v>45763</v>
      </c>
      <c r="F111" s="602"/>
      <c r="G111" s="604"/>
    </row>
    <row r="112" spans="2:7" ht="15" thickBot="1">
      <c r="B112" s="600">
        <v>12</v>
      </c>
      <c r="C112" s="601" t="s">
        <v>1405</v>
      </c>
      <c r="D112" s="602">
        <v>3.0840000000000001</v>
      </c>
      <c r="E112" s="602"/>
      <c r="F112" s="603" t="s">
        <v>1429</v>
      </c>
      <c r="G112" s="602" t="s">
        <v>1438</v>
      </c>
    </row>
    <row r="113" spans="2:7" ht="15" thickBot="1">
      <c r="B113" s="600">
        <v>13</v>
      </c>
      <c r="C113" s="601" t="s">
        <v>1407</v>
      </c>
      <c r="D113" s="602">
        <v>5.6189999999999998</v>
      </c>
      <c r="E113" s="601"/>
      <c r="F113" s="603" t="s">
        <v>1429</v>
      </c>
      <c r="G113" s="602" t="s">
        <v>1438</v>
      </c>
    </row>
    <row r="114" spans="2:7" ht="15" thickBot="1">
      <c r="B114" s="600">
        <v>14</v>
      </c>
      <c r="C114" s="601" t="s">
        <v>1408</v>
      </c>
      <c r="D114" s="602">
        <v>3.8559999999999999</v>
      </c>
      <c r="E114" s="602"/>
      <c r="F114" s="603" t="s">
        <v>1429</v>
      </c>
      <c r="G114" s="602" t="s">
        <v>1438</v>
      </c>
    </row>
    <row r="115" spans="2:7" ht="15" thickBot="1">
      <c r="B115" s="600">
        <v>15</v>
      </c>
      <c r="C115" s="601" t="s">
        <v>1409</v>
      </c>
      <c r="D115" s="602">
        <v>14.391</v>
      </c>
      <c r="E115" s="605">
        <v>45763</v>
      </c>
      <c r="F115" s="602"/>
      <c r="G115" s="604"/>
    </row>
    <row r="116" spans="2:7" ht="15" thickBot="1">
      <c r="B116" s="600">
        <v>16</v>
      </c>
      <c r="C116" s="601" t="s">
        <v>1410</v>
      </c>
      <c r="D116" s="602">
        <v>5.2679999999999998</v>
      </c>
      <c r="E116" s="602"/>
      <c r="F116" s="603" t="s">
        <v>1431</v>
      </c>
      <c r="G116" s="604" t="s">
        <v>1432</v>
      </c>
    </row>
    <row r="117" spans="2:7" ht="26.5" thickBot="1">
      <c r="B117" s="600">
        <v>17</v>
      </c>
      <c r="C117" s="601" t="s">
        <v>1412</v>
      </c>
      <c r="D117" s="602">
        <v>2.4740000000000002</v>
      </c>
      <c r="E117" s="605">
        <v>45765</v>
      </c>
      <c r="F117" s="603" t="s">
        <v>1439</v>
      </c>
      <c r="G117" s="602" t="s">
        <v>1440</v>
      </c>
    </row>
    <row r="118" spans="2:7">
      <c r="B118" s="606"/>
      <c r="C118" s="607" t="s">
        <v>481</v>
      </c>
      <c r="D118" s="608">
        <v>187.17500000000001</v>
      </c>
      <c r="E118" s="606"/>
      <c r="F118" s="606"/>
      <c r="G118" s="606"/>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26953125" style="46" bestFit="1" customWidth="1"/>
    <col min="6" max="6" width="26" style="46" customWidth="1"/>
    <col min="7" max="7" width="43.90625" style="46" customWidth="1"/>
    <col min="8" max="8" width="74.81640625" style="46" bestFit="1" customWidth="1"/>
    <col min="9" max="9" width="43.2695312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86" t="s">
        <v>78</v>
      </c>
      <c r="B1" s="1387"/>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c r="AD1" s="1387"/>
      <c r="AE1" s="1388"/>
    </row>
    <row r="2" spans="1:31" ht="15.5">
      <c r="A2" s="1389" t="s">
        <v>79</v>
      </c>
      <c r="B2" s="1390"/>
      <c r="C2" s="1390"/>
      <c r="D2" s="1390"/>
      <c r="E2" s="1390"/>
      <c r="F2" s="1390"/>
      <c r="G2" s="1390"/>
      <c r="H2" s="1390"/>
      <c r="I2" s="1390"/>
      <c r="J2" s="1390"/>
      <c r="K2" s="1390"/>
      <c r="L2" s="1390"/>
      <c r="M2" s="1390"/>
      <c r="N2" s="1390"/>
      <c r="O2" s="1390"/>
      <c r="P2" s="1390"/>
      <c r="Q2" s="1390"/>
      <c r="R2" s="1390"/>
      <c r="S2" s="1390"/>
      <c r="T2" s="1390"/>
      <c r="U2" s="1390"/>
      <c r="V2" s="1390"/>
      <c r="W2" s="1390"/>
      <c r="X2" s="1390"/>
      <c r="Y2" s="1390"/>
      <c r="Z2" s="1390"/>
      <c r="AA2" s="1390"/>
      <c r="AB2" s="1390"/>
      <c r="AC2" s="1390"/>
      <c r="AD2" s="1390"/>
      <c r="AE2" s="1391"/>
    </row>
    <row r="3" spans="1:31" ht="15.5">
      <c r="A3" s="1392" t="s">
        <v>80</v>
      </c>
      <c r="B3" s="1393"/>
      <c r="C3" s="1393"/>
      <c r="D3" s="1393"/>
      <c r="E3" s="1393"/>
      <c r="F3" s="1393"/>
      <c r="G3" s="1393"/>
      <c r="H3" s="1393"/>
      <c r="I3" s="1393"/>
      <c r="J3" s="1393"/>
      <c r="K3" s="1393"/>
      <c r="L3" s="1393"/>
      <c r="M3" s="1393"/>
      <c r="N3" s="1393"/>
      <c r="O3" s="1393"/>
      <c r="P3" s="1393"/>
      <c r="Q3" s="1393"/>
      <c r="R3" s="1393"/>
      <c r="S3" s="1393"/>
      <c r="T3" s="1393"/>
      <c r="U3" s="1393"/>
      <c r="V3" s="1393"/>
      <c r="W3" s="1393"/>
      <c r="X3" s="1393"/>
      <c r="Y3" s="1393"/>
      <c r="Z3" s="1393"/>
      <c r="AA3" s="1393"/>
      <c r="AB3" s="1393"/>
      <c r="AC3" s="1393"/>
      <c r="AD3" s="1393"/>
      <c r="AE3" s="1394"/>
    </row>
    <row r="4" spans="1:31" ht="18.5">
      <c r="A4" s="1395" t="s">
        <v>81</v>
      </c>
      <c r="B4" s="1396"/>
      <c r="C4" s="1396"/>
      <c r="D4" s="1396"/>
      <c r="E4" s="1396"/>
      <c r="F4" s="1396"/>
      <c r="G4" s="1396"/>
      <c r="H4" s="1396"/>
      <c r="I4" s="1396"/>
      <c r="J4" s="1396"/>
      <c r="K4" s="1396"/>
      <c r="L4" s="1396"/>
      <c r="M4" s="1396"/>
      <c r="N4" s="1396"/>
      <c r="O4" s="1396"/>
      <c r="P4" s="1396"/>
      <c r="Q4" s="1396"/>
      <c r="R4" s="1396"/>
      <c r="S4" s="1396"/>
      <c r="T4" s="1396"/>
      <c r="U4" s="1396"/>
      <c r="V4" s="1396"/>
      <c r="W4" s="1396"/>
      <c r="X4" s="1396"/>
      <c r="Y4" s="1396"/>
      <c r="Z4" s="1396"/>
      <c r="AA4" s="1396"/>
      <c r="AB4" s="1396"/>
      <c r="AC4" s="1396"/>
      <c r="AD4" s="1396"/>
      <c r="AE4" s="1397"/>
    </row>
    <row r="5" spans="1:31" ht="29" hidden="1">
      <c r="A5" s="353" t="s">
        <v>82</v>
      </c>
      <c r="B5" s="353" t="s">
        <v>83</v>
      </c>
      <c r="C5" s="353" t="s">
        <v>84</v>
      </c>
      <c r="D5" s="353" t="s">
        <v>85</v>
      </c>
      <c r="E5" s="353" t="s">
        <v>86</v>
      </c>
      <c r="F5" s="353" t="s">
        <v>34</v>
      </c>
    </row>
    <row r="6" spans="1:31" hidden="1">
      <c r="A6" s="76">
        <v>1</v>
      </c>
      <c r="B6" s="76" t="s">
        <v>87</v>
      </c>
      <c r="C6" s="76">
        <v>2.653</v>
      </c>
      <c r="D6" s="1375">
        <v>45684</v>
      </c>
      <c r="E6" s="1375">
        <v>45691</v>
      </c>
      <c r="F6" s="76" t="s">
        <v>88</v>
      </c>
    </row>
    <row r="7" spans="1:31" hidden="1">
      <c r="A7" s="76">
        <f>A6+1</f>
        <v>2</v>
      </c>
      <c r="B7" s="76" t="s">
        <v>89</v>
      </c>
      <c r="C7" s="76">
        <v>5.31</v>
      </c>
      <c r="D7" s="1378"/>
      <c r="E7" s="1378"/>
      <c r="F7" s="76" t="s">
        <v>88</v>
      </c>
    </row>
    <row r="8" spans="1:31" ht="43.5" hidden="1">
      <c r="A8" s="76">
        <f t="shared" ref="A8:A32" si="0">A7+1</f>
        <v>3</v>
      </c>
      <c r="B8" s="76" t="s">
        <v>90</v>
      </c>
      <c r="C8" s="76">
        <v>19.672000000000001</v>
      </c>
      <c r="D8" s="512" t="s">
        <v>1125</v>
      </c>
      <c r="E8" s="511">
        <v>45713</v>
      </c>
      <c r="F8" s="76" t="s">
        <v>88</v>
      </c>
      <c r="G8" s="513" t="s">
        <v>91</v>
      </c>
      <c r="H8" s="363" t="s">
        <v>92</v>
      </c>
      <c r="I8" s="76">
        <f>G63</f>
        <v>97.59</v>
      </c>
      <c r="J8" s="76"/>
      <c r="K8" s="76"/>
      <c r="L8" s="76"/>
      <c r="M8" s="76"/>
    </row>
    <row r="9" spans="1:31" hidden="1">
      <c r="A9" s="76">
        <f t="shared" si="0"/>
        <v>4</v>
      </c>
      <c r="B9" s="76" t="s">
        <v>93</v>
      </c>
      <c r="C9" s="76">
        <v>20.273</v>
      </c>
      <c r="D9" s="514">
        <v>45657</v>
      </c>
      <c r="E9" s="511">
        <v>45691</v>
      </c>
      <c r="F9" s="76" t="s">
        <v>88</v>
      </c>
      <c r="H9" s="363"/>
      <c r="I9" s="76"/>
      <c r="J9" s="76"/>
      <c r="K9" s="76"/>
      <c r="L9" s="76"/>
      <c r="M9" s="76"/>
    </row>
    <row r="10" spans="1:31" ht="29" hidden="1">
      <c r="A10" s="76">
        <f t="shared" si="0"/>
        <v>5</v>
      </c>
      <c r="B10" s="76" t="s">
        <v>94</v>
      </c>
      <c r="C10" s="76">
        <v>3.0840000000000001</v>
      </c>
      <c r="D10" s="515" t="s">
        <v>1124</v>
      </c>
      <c r="E10" s="511">
        <v>45712</v>
      </c>
      <c r="F10" s="76" t="s">
        <v>88</v>
      </c>
      <c r="H10" s="363" t="s">
        <v>95</v>
      </c>
      <c r="I10" s="562">
        <f>D63</f>
        <v>151.91599999999997</v>
      </c>
      <c r="J10" s="76"/>
      <c r="K10" s="76"/>
      <c r="L10" s="76"/>
      <c r="M10" s="76"/>
    </row>
    <row r="11" spans="1:31" hidden="1">
      <c r="A11" s="76">
        <f t="shared" si="0"/>
        <v>6</v>
      </c>
      <c r="B11" s="76" t="s">
        <v>96</v>
      </c>
      <c r="C11" s="76">
        <v>1.0629999999999999</v>
      </c>
      <c r="D11" s="514">
        <v>45713</v>
      </c>
      <c r="E11" s="1375">
        <v>45715</v>
      </c>
      <c r="F11" s="76" t="s">
        <v>88</v>
      </c>
      <c r="H11" s="531"/>
      <c r="I11" s="76"/>
      <c r="J11" s="363"/>
      <c r="K11" s="76"/>
      <c r="L11" s="76"/>
      <c r="M11" s="76"/>
    </row>
    <row r="12" spans="1:31" hidden="1">
      <c r="A12" s="76">
        <f>A11+1</f>
        <v>7</v>
      </c>
      <c r="B12" s="76" t="s">
        <v>97</v>
      </c>
      <c r="C12" s="76">
        <v>2.09</v>
      </c>
      <c r="D12" s="514">
        <v>45713</v>
      </c>
      <c r="E12" s="1377"/>
      <c r="F12" s="76" t="s">
        <v>88</v>
      </c>
    </row>
    <row r="13" spans="1:31" hidden="1">
      <c r="A13" s="76">
        <f t="shared" si="0"/>
        <v>8</v>
      </c>
      <c r="B13" s="76" t="s">
        <v>98</v>
      </c>
      <c r="C13" s="76">
        <v>3.8929999999999998</v>
      </c>
      <c r="D13" s="514">
        <v>45713</v>
      </c>
      <c r="E13" s="1377"/>
      <c r="F13" s="76" t="s">
        <v>88</v>
      </c>
    </row>
    <row r="14" spans="1:31" hidden="1">
      <c r="A14" s="76">
        <f t="shared" si="0"/>
        <v>9</v>
      </c>
      <c r="B14" s="76" t="s">
        <v>99</v>
      </c>
      <c r="C14" s="76">
        <v>6.9710000000000001</v>
      </c>
      <c r="D14" s="514">
        <v>45713</v>
      </c>
      <c r="E14" s="1378"/>
      <c r="F14" s="76" t="s">
        <v>88</v>
      </c>
    </row>
    <row r="15" spans="1:31" hidden="1">
      <c r="A15" s="76">
        <f t="shared" si="0"/>
        <v>10</v>
      </c>
      <c r="B15" s="76" t="s">
        <v>100</v>
      </c>
      <c r="C15" s="76">
        <v>9.4949999999999992</v>
      </c>
      <c r="D15" s="514">
        <v>45721</v>
      </c>
      <c r="E15" s="511">
        <v>45722</v>
      </c>
      <c r="F15" s="76" t="s">
        <v>88</v>
      </c>
    </row>
    <row r="16" spans="1:31" ht="43.5" hidden="1">
      <c r="A16" s="76">
        <f t="shared" si="0"/>
        <v>11</v>
      </c>
      <c r="B16" s="76" t="s">
        <v>101</v>
      </c>
      <c r="C16" s="76">
        <v>8.6969999999999992</v>
      </c>
      <c r="D16" s="512" t="s">
        <v>1126</v>
      </c>
      <c r="E16" s="76"/>
      <c r="F16" s="76" t="s">
        <v>95</v>
      </c>
      <c r="G16" s="516" t="s">
        <v>1159</v>
      </c>
    </row>
    <row r="17" spans="1:14" hidden="1">
      <c r="A17" s="76">
        <f t="shared" si="0"/>
        <v>12</v>
      </c>
      <c r="B17" s="76" t="s">
        <v>102</v>
      </c>
      <c r="C17" s="76">
        <v>3.0840000000000001</v>
      </c>
      <c r="D17" s="76"/>
      <c r="E17" s="76"/>
      <c r="F17" s="539" t="s">
        <v>95</v>
      </c>
    </row>
    <row r="18" spans="1:14" hidden="1">
      <c r="A18" s="76">
        <f t="shared" si="0"/>
        <v>13</v>
      </c>
      <c r="B18" s="66" t="s">
        <v>104</v>
      </c>
      <c r="C18" s="76">
        <v>3.9630000000000001</v>
      </c>
      <c r="D18" s="76"/>
      <c r="E18" s="76"/>
      <c r="F18" s="539" t="s">
        <v>95</v>
      </c>
      <c r="G18" s="362"/>
      <c r="H18" s="1398"/>
    </row>
    <row r="19" spans="1:14" hidden="1">
      <c r="A19" s="76">
        <f t="shared" si="0"/>
        <v>14</v>
      </c>
      <c r="B19" s="553" t="s">
        <v>1115</v>
      </c>
      <c r="C19" s="76">
        <v>1.6559999999999999</v>
      </c>
      <c r="D19" s="76"/>
      <c r="E19" s="76"/>
      <c r="F19" s="539" t="s">
        <v>95</v>
      </c>
      <c r="G19" s="362"/>
      <c r="H19" s="1398"/>
    </row>
    <row r="20" spans="1:14" hidden="1">
      <c r="A20" s="76">
        <f t="shared" si="0"/>
        <v>15</v>
      </c>
      <c r="B20" s="553" t="s">
        <v>1116</v>
      </c>
      <c r="C20" s="76">
        <v>1.635</v>
      </c>
      <c r="D20" s="76"/>
      <c r="E20" s="76"/>
      <c r="F20" s="539" t="s">
        <v>95</v>
      </c>
    </row>
    <row r="21" spans="1:14" hidden="1">
      <c r="A21" s="76">
        <f t="shared" si="0"/>
        <v>16</v>
      </c>
      <c r="B21" s="76" t="s">
        <v>1112</v>
      </c>
      <c r="C21" s="76">
        <v>2.2210000000000001</v>
      </c>
      <c r="D21" s="76"/>
      <c r="E21" s="76"/>
      <c r="F21" s="539" t="s">
        <v>95</v>
      </c>
    </row>
    <row r="22" spans="1:14" ht="58" hidden="1">
      <c r="A22" s="76">
        <f t="shared" si="0"/>
        <v>17</v>
      </c>
      <c r="B22" s="76" t="s">
        <v>1111</v>
      </c>
      <c r="C22" s="76">
        <v>10.724</v>
      </c>
      <c r="D22" s="559" t="s">
        <v>1340</v>
      </c>
      <c r="E22" s="76"/>
      <c r="F22" s="76" t="s">
        <v>95</v>
      </c>
      <c r="G22" s="516" t="s">
        <v>1159</v>
      </c>
    </row>
    <row r="23" spans="1:14" ht="56.5" hidden="1" customHeight="1">
      <c r="A23" s="76">
        <f t="shared" si="0"/>
        <v>18</v>
      </c>
      <c r="B23" s="517" t="s">
        <v>1109</v>
      </c>
      <c r="C23" s="76">
        <v>3.6659999999999999</v>
      </c>
      <c r="D23" s="559" t="s">
        <v>1341</v>
      </c>
      <c r="E23" s="76"/>
      <c r="F23" s="76" t="s">
        <v>95</v>
      </c>
      <c r="G23" s="516" t="s">
        <v>1159</v>
      </c>
      <c r="M23" s="431" t="s">
        <v>1114</v>
      </c>
      <c r="N23" s="46">
        <f>187.176-M11</f>
        <v>187.17599999999999</v>
      </c>
    </row>
    <row r="24" spans="1:14" hidden="1">
      <c r="A24" s="76">
        <f t="shared" si="0"/>
        <v>19</v>
      </c>
      <c r="B24" s="561" t="s">
        <v>1350</v>
      </c>
      <c r="C24" s="532">
        <v>4.88</v>
      </c>
      <c r="D24" s="76"/>
      <c r="E24" s="76"/>
      <c r="F24" s="560" t="s">
        <v>95</v>
      </c>
    </row>
    <row r="25" spans="1:14" hidden="1">
      <c r="A25" s="76">
        <f t="shared" si="0"/>
        <v>20</v>
      </c>
      <c r="B25" s="524" t="s">
        <v>1300</v>
      </c>
      <c r="C25" s="76">
        <v>2.4740000000000002</v>
      </c>
      <c r="D25" s="514">
        <v>45765</v>
      </c>
      <c r="E25" s="76"/>
      <c r="F25" s="76" t="s">
        <v>95</v>
      </c>
    </row>
    <row r="26" spans="1:14" hidden="1">
      <c r="A26" s="76">
        <f t="shared" si="0"/>
        <v>21</v>
      </c>
      <c r="B26" s="518" t="s">
        <v>1131</v>
      </c>
      <c r="C26" s="76">
        <v>0.27500000000000002</v>
      </c>
      <c r="D26" s="514">
        <v>45752</v>
      </c>
      <c r="E26" s="76"/>
      <c r="F26" s="76" t="s">
        <v>95</v>
      </c>
    </row>
    <row r="27" spans="1:14" hidden="1">
      <c r="A27" s="76">
        <f t="shared" si="0"/>
        <v>22</v>
      </c>
      <c r="B27" s="519" t="s">
        <v>1110</v>
      </c>
      <c r="C27" s="76">
        <v>2.008</v>
      </c>
      <c r="D27" s="514">
        <v>45752</v>
      </c>
      <c r="E27" s="76"/>
      <c r="F27" s="76" t="s">
        <v>95</v>
      </c>
    </row>
    <row r="28" spans="1:14" hidden="1">
      <c r="A28" s="76">
        <f t="shared" si="0"/>
        <v>23</v>
      </c>
      <c r="B28" s="518" t="s">
        <v>1128</v>
      </c>
      <c r="C28" s="76">
        <v>0.223</v>
      </c>
      <c r="D28" s="514">
        <v>45752</v>
      </c>
      <c r="E28" s="76"/>
      <c r="F28" s="76" t="s">
        <v>95</v>
      </c>
    </row>
    <row r="29" spans="1:14" hidden="1">
      <c r="A29" s="76">
        <f t="shared" si="0"/>
        <v>24</v>
      </c>
      <c r="B29" s="520" t="s">
        <v>1113</v>
      </c>
      <c r="C29" s="76">
        <v>2.7309999999999999</v>
      </c>
      <c r="D29" s="514">
        <v>45752</v>
      </c>
      <c r="E29" s="76"/>
      <c r="F29" s="76" t="s">
        <v>95</v>
      </c>
    </row>
    <row r="30" spans="1:14" hidden="1">
      <c r="A30" s="76">
        <f t="shared" si="0"/>
        <v>25</v>
      </c>
      <c r="B30" s="518" t="s">
        <v>1130</v>
      </c>
      <c r="C30" s="76">
        <v>1.7170000000000001</v>
      </c>
      <c r="D30" s="514">
        <v>45752</v>
      </c>
      <c r="E30" s="76"/>
      <c r="F30" s="76" t="s">
        <v>95</v>
      </c>
    </row>
    <row r="31" spans="1:14" hidden="1">
      <c r="A31" s="76">
        <f t="shared" si="0"/>
        <v>26</v>
      </c>
      <c r="B31" s="518" t="s">
        <v>1129</v>
      </c>
      <c r="C31" s="76">
        <v>1.0680000000000001</v>
      </c>
      <c r="D31" s="514">
        <v>45752</v>
      </c>
      <c r="E31" s="76"/>
      <c r="F31" s="76" t="s">
        <v>95</v>
      </c>
    </row>
    <row r="32" spans="1:14" hidden="1">
      <c r="A32" s="76">
        <f t="shared" si="0"/>
        <v>27</v>
      </c>
      <c r="B32" s="518" t="s">
        <v>1127</v>
      </c>
      <c r="C32" s="76">
        <v>2.8730000000000002</v>
      </c>
      <c r="D32" s="514">
        <v>45752</v>
      </c>
      <c r="E32" s="76"/>
      <c r="F32" s="76" t="s">
        <v>95</v>
      </c>
    </row>
    <row r="33" spans="1:9" hidden="1">
      <c r="A33" s="76"/>
      <c r="B33" s="518"/>
      <c r="C33" s="76"/>
      <c r="D33" s="514"/>
      <c r="E33" s="76"/>
      <c r="F33" s="76"/>
    </row>
    <row r="34" spans="1:9" hidden="1">
      <c r="A34" s="76">
        <f>A32+1</f>
        <v>28</v>
      </c>
      <c r="B34" s="539" t="s">
        <v>1333</v>
      </c>
      <c r="C34" s="76">
        <v>19.57</v>
      </c>
      <c r="D34" s="558" t="s">
        <v>1339</v>
      </c>
      <c r="E34" s="76"/>
      <c r="F34" s="539" t="s">
        <v>1332</v>
      </c>
    </row>
    <row r="35" spans="1:9" hidden="1">
      <c r="A35" s="76">
        <f>A34+1</f>
        <v>29</v>
      </c>
      <c r="B35" s="535" t="s">
        <v>1307</v>
      </c>
      <c r="C35" s="529">
        <v>2.6179999999999999</v>
      </c>
      <c r="D35" s="514">
        <v>45781</v>
      </c>
      <c r="E35" s="76"/>
      <c r="F35" s="66" t="s">
        <v>103</v>
      </c>
    </row>
    <row r="36" spans="1:9" hidden="1">
      <c r="A36" s="76">
        <f>A35+1</f>
        <v>30</v>
      </c>
      <c r="B36" s="558" t="s">
        <v>1338</v>
      </c>
      <c r="C36" s="76">
        <v>18.193000000000001</v>
      </c>
      <c r="D36" s="514">
        <v>45805</v>
      </c>
      <c r="E36" s="76"/>
      <c r="F36" s="557" t="s">
        <v>103</v>
      </c>
      <c r="I36" s="46">
        <f>155.849-130.528</f>
        <v>25.320999999999998</v>
      </c>
    </row>
    <row r="37" spans="1:9" hidden="1">
      <c r="A37" s="76"/>
      <c r="B37" s="558"/>
      <c r="C37" s="76"/>
      <c r="D37" s="514"/>
      <c r="E37" s="76"/>
      <c r="F37" s="557"/>
    </row>
    <row r="38" spans="1:9" hidden="1">
      <c r="A38" s="76"/>
      <c r="B38" s="537"/>
      <c r="C38" s="76"/>
      <c r="D38" s="514"/>
      <c r="E38" s="76"/>
      <c r="F38" s="557"/>
    </row>
    <row r="39" spans="1:9" s="362" customFormat="1" hidden="1">
      <c r="A39" s="363"/>
      <c r="B39" s="363" t="s">
        <v>105</v>
      </c>
      <c r="C39" s="363">
        <f>SUM(C6:C36)</f>
        <v>168.78000000000003</v>
      </c>
      <c r="D39" s="363"/>
      <c r="E39" s="363"/>
      <c r="F39" s="363"/>
    </row>
    <row r="40" spans="1:9" s="362" customFormat="1" hidden="1"/>
    <row r="41" spans="1:9" s="362" customFormat="1" hidden="1"/>
    <row r="42" spans="1:9" s="362" customFormat="1" hidden="1"/>
    <row r="43" spans="1:9" hidden="1">
      <c r="B43" s="362" t="s">
        <v>1301</v>
      </c>
    </row>
    <row r="44" spans="1:9" ht="29" hidden="1">
      <c r="A44" s="354" t="s">
        <v>1132</v>
      </c>
      <c r="B44" s="354" t="s">
        <v>83</v>
      </c>
      <c r="C44" s="438" t="s">
        <v>1133</v>
      </c>
      <c r="D44" s="438" t="s">
        <v>1134</v>
      </c>
      <c r="E44" s="438" t="s">
        <v>1135</v>
      </c>
      <c r="F44" s="438" t="s">
        <v>1136</v>
      </c>
      <c r="G44" s="438" t="s">
        <v>1134</v>
      </c>
      <c r="H44" s="354" t="s">
        <v>1137</v>
      </c>
      <c r="I44" s="354" t="s">
        <v>34</v>
      </c>
    </row>
    <row r="45" spans="1:9" hidden="1">
      <c r="A45" s="315">
        <v>1</v>
      </c>
      <c r="B45" s="315" t="s">
        <v>1138</v>
      </c>
      <c r="C45" s="439">
        <v>45657</v>
      </c>
      <c r="D45" s="440">
        <v>20.273</v>
      </c>
      <c r="E45" s="439" t="s">
        <v>1139</v>
      </c>
      <c r="F45" s="441">
        <v>45691</v>
      </c>
      <c r="G45" s="440">
        <v>20.273</v>
      </c>
      <c r="H45" s="310" t="s">
        <v>1140</v>
      </c>
      <c r="I45" s="310"/>
    </row>
    <row r="46" spans="1:9" hidden="1">
      <c r="A46" s="315">
        <f>A45+1</f>
        <v>2</v>
      </c>
      <c r="B46" s="315" t="s">
        <v>1141</v>
      </c>
      <c r="C46" s="439">
        <v>45684</v>
      </c>
      <c r="D46" s="440">
        <v>7.9619999999999997</v>
      </c>
      <c r="E46" s="439" t="s">
        <v>1142</v>
      </c>
      <c r="F46" s="441">
        <v>45691</v>
      </c>
      <c r="G46" s="440">
        <v>7.9619999999999997</v>
      </c>
      <c r="H46" s="310" t="s">
        <v>1140</v>
      </c>
      <c r="I46" s="310"/>
    </row>
    <row r="47" spans="1:9" hidden="1">
      <c r="A47" s="315">
        <f t="shared" ref="A47:A56" si="1">A46+1</f>
        <v>3</v>
      </c>
      <c r="B47" s="315" t="s">
        <v>1143</v>
      </c>
      <c r="C47" s="439">
        <v>45709</v>
      </c>
      <c r="D47" s="440">
        <v>3.0840000000000001</v>
      </c>
      <c r="E47" s="439" t="s">
        <v>1144</v>
      </c>
      <c r="F47" s="441">
        <v>45712</v>
      </c>
      <c r="G47" s="440">
        <v>3.0840000000000001</v>
      </c>
      <c r="H47" s="310" t="s">
        <v>1140</v>
      </c>
      <c r="I47" s="310" t="s">
        <v>1145</v>
      </c>
    </row>
    <row r="48" spans="1:9" hidden="1">
      <c r="A48" s="315">
        <f t="shared" si="1"/>
        <v>4</v>
      </c>
      <c r="B48" s="315" t="s">
        <v>1146</v>
      </c>
      <c r="C48" s="439">
        <v>45703</v>
      </c>
      <c r="D48" s="440">
        <v>19.672000000000001</v>
      </c>
      <c r="E48" s="439" t="s">
        <v>1147</v>
      </c>
      <c r="F48" s="441">
        <v>45713</v>
      </c>
      <c r="G48" s="440">
        <v>19.672000000000001</v>
      </c>
      <c r="H48" s="310" t="s">
        <v>1140</v>
      </c>
      <c r="I48" s="310" t="s">
        <v>1148</v>
      </c>
    </row>
    <row r="49" spans="1:9" hidden="1">
      <c r="A49" s="315">
        <f t="shared" si="1"/>
        <v>5</v>
      </c>
      <c r="B49" s="315" t="s">
        <v>1149</v>
      </c>
      <c r="C49" s="439">
        <v>45713</v>
      </c>
      <c r="D49" s="440">
        <v>14.016999999999999</v>
      </c>
      <c r="E49" s="439" t="s">
        <v>1150</v>
      </c>
      <c r="F49" s="441">
        <v>45715</v>
      </c>
      <c r="G49" s="440">
        <v>14.016999999999999</v>
      </c>
      <c r="H49" s="310" t="s">
        <v>1140</v>
      </c>
      <c r="I49" s="310"/>
    </row>
    <row r="50" spans="1:9" hidden="1">
      <c r="A50" s="315">
        <f t="shared" si="1"/>
        <v>6</v>
      </c>
      <c r="B50" s="315" t="s">
        <v>1151</v>
      </c>
      <c r="C50" s="439">
        <v>45721</v>
      </c>
      <c r="D50" s="440">
        <v>9.4949999999999992</v>
      </c>
      <c r="E50" s="439" t="s">
        <v>1152</v>
      </c>
      <c r="F50" s="441">
        <v>45722</v>
      </c>
      <c r="G50" s="440">
        <v>9.4949999999999992</v>
      </c>
      <c r="H50" s="310" t="s">
        <v>1140</v>
      </c>
      <c r="I50" s="310"/>
    </row>
    <row r="51" spans="1:9" hidden="1">
      <c r="A51" s="315">
        <f t="shared" si="1"/>
        <v>7</v>
      </c>
      <c r="B51" s="315" t="s">
        <v>1153</v>
      </c>
      <c r="C51" s="439">
        <v>45751</v>
      </c>
      <c r="D51" s="440">
        <v>8.6969999999999992</v>
      </c>
      <c r="E51" s="530" t="s">
        <v>1306</v>
      </c>
      <c r="F51" s="441">
        <v>45732</v>
      </c>
      <c r="G51" s="440">
        <v>8.6969999999999992</v>
      </c>
      <c r="H51" s="310" t="s">
        <v>1140</v>
      </c>
      <c r="I51" s="310" t="s">
        <v>1154</v>
      </c>
    </row>
    <row r="52" spans="1:9" hidden="1">
      <c r="A52" s="315">
        <f t="shared" si="1"/>
        <v>8</v>
      </c>
      <c r="B52" s="315" t="s">
        <v>1155</v>
      </c>
      <c r="C52" s="439">
        <v>45742</v>
      </c>
      <c r="D52" s="440">
        <v>14.39</v>
      </c>
      <c r="E52" s="439" t="s">
        <v>1156</v>
      </c>
      <c r="F52" s="441">
        <v>45732</v>
      </c>
      <c r="G52" s="440">
        <v>14.39</v>
      </c>
      <c r="H52" s="310" t="s">
        <v>1140</v>
      </c>
      <c r="I52" s="310" t="s">
        <v>1157</v>
      </c>
    </row>
    <row r="53" spans="1:9" hidden="1">
      <c r="A53" s="315">
        <f t="shared" si="1"/>
        <v>9</v>
      </c>
      <c r="B53" s="621" t="s">
        <v>1161</v>
      </c>
      <c r="C53" s="439">
        <v>45752</v>
      </c>
      <c r="D53" s="440">
        <v>10.894</v>
      </c>
      <c r="E53" s="439" t="s">
        <v>1162</v>
      </c>
      <c r="F53" s="440"/>
      <c r="G53" s="440"/>
      <c r="H53" s="310"/>
      <c r="I53" s="310"/>
    </row>
    <row r="54" spans="1:9" ht="29" hidden="1">
      <c r="A54" s="315">
        <f t="shared" si="1"/>
        <v>10</v>
      </c>
      <c r="B54" s="621" t="s">
        <v>1160</v>
      </c>
      <c r="C54" s="536" t="s">
        <v>1322</v>
      </c>
      <c r="D54" s="440">
        <v>19.57</v>
      </c>
      <c r="E54" s="538" t="s">
        <v>1326</v>
      </c>
      <c r="F54" s="440"/>
      <c r="G54" s="440"/>
      <c r="H54" s="310"/>
      <c r="I54" s="310" t="s">
        <v>1323</v>
      </c>
    </row>
    <row r="55" spans="1:9" hidden="1">
      <c r="A55" s="315">
        <f t="shared" si="1"/>
        <v>11</v>
      </c>
      <c r="B55" s="315" t="s">
        <v>1298</v>
      </c>
      <c r="C55" s="439">
        <v>45765</v>
      </c>
      <c r="D55" s="440">
        <v>2.4740000000000002</v>
      </c>
      <c r="E55" s="439" t="s">
        <v>1299</v>
      </c>
      <c r="F55" s="440"/>
      <c r="G55" s="440"/>
      <c r="H55" s="310"/>
      <c r="I55" s="310"/>
    </row>
    <row r="56" spans="1:9" hidden="1">
      <c r="A56" s="315">
        <f t="shared" si="1"/>
        <v>12</v>
      </c>
      <c r="B56" s="621" t="s">
        <v>1312</v>
      </c>
      <c r="C56" s="439">
        <v>45787</v>
      </c>
      <c r="D56" s="440">
        <v>3.0840000000000001</v>
      </c>
      <c r="E56" s="439" t="s">
        <v>1313</v>
      </c>
      <c r="F56" s="440"/>
      <c r="G56" s="440"/>
      <c r="H56" s="310"/>
      <c r="I56" s="565" t="s">
        <v>1352</v>
      </c>
    </row>
    <row r="57" spans="1:9" hidden="1">
      <c r="A57" s="315">
        <f>A56+1</f>
        <v>13</v>
      </c>
      <c r="B57" s="621" t="s">
        <v>1356</v>
      </c>
      <c r="C57" s="439">
        <v>45787</v>
      </c>
      <c r="D57" s="440">
        <v>2.2200000000000002</v>
      </c>
      <c r="E57" s="439" t="s">
        <v>1313</v>
      </c>
      <c r="F57" s="440"/>
      <c r="G57" s="440"/>
      <c r="H57" s="310"/>
      <c r="I57" s="565" t="s">
        <v>1352</v>
      </c>
    </row>
    <row r="58" spans="1:9" hidden="1">
      <c r="A58" s="315">
        <f>A57+1</f>
        <v>14</v>
      </c>
      <c r="B58" s="622" t="s">
        <v>1353</v>
      </c>
      <c r="C58" s="439">
        <v>45802</v>
      </c>
      <c r="D58" s="440">
        <v>5.6189999999999998</v>
      </c>
      <c r="E58" s="565" t="s">
        <v>1360</v>
      </c>
      <c r="F58" s="440"/>
      <c r="G58" s="440"/>
      <c r="H58" s="310"/>
      <c r="I58" s="554" t="s">
        <v>1343</v>
      </c>
    </row>
    <row r="59" spans="1:9" hidden="1">
      <c r="A59" s="315">
        <f>A58+1</f>
        <v>15</v>
      </c>
      <c r="B59" s="555" t="s">
        <v>1324</v>
      </c>
      <c r="C59" s="439">
        <v>45794</v>
      </c>
      <c r="D59" s="440">
        <v>3.95</v>
      </c>
      <c r="E59" s="538" t="s">
        <v>1325</v>
      </c>
      <c r="F59" s="441">
        <v>45810</v>
      </c>
      <c r="G59" s="440"/>
      <c r="H59" s="310"/>
      <c r="I59" s="554" t="s">
        <v>1323</v>
      </c>
    </row>
    <row r="60" spans="1:9" hidden="1">
      <c r="A60" s="315">
        <f>A59+1</f>
        <v>16</v>
      </c>
      <c r="B60" s="622" t="s">
        <v>1354</v>
      </c>
      <c r="C60" s="439">
        <v>45802</v>
      </c>
      <c r="D60" s="440">
        <v>1.635</v>
      </c>
      <c r="E60" s="439" t="s">
        <v>1355</v>
      </c>
      <c r="F60" s="440"/>
      <c r="G60" s="440"/>
      <c r="H60" s="310"/>
      <c r="I60" s="554" t="s">
        <v>1343</v>
      </c>
    </row>
    <row r="61" spans="1:9" hidden="1">
      <c r="A61" s="315">
        <f>A60+1</f>
        <v>17</v>
      </c>
      <c r="B61" s="623" t="s">
        <v>1342</v>
      </c>
      <c r="C61" s="439">
        <v>45802</v>
      </c>
      <c r="D61" s="440">
        <v>4.88</v>
      </c>
      <c r="E61" s="538"/>
      <c r="F61" s="440"/>
      <c r="G61" s="440"/>
      <c r="H61" s="310"/>
      <c r="I61" s="554" t="s">
        <v>1343</v>
      </c>
    </row>
    <row r="62" spans="1:9" hidden="1">
      <c r="A62" s="315"/>
      <c r="B62" s="525"/>
      <c r="C62" s="439"/>
      <c r="D62" s="440"/>
      <c r="E62" s="439"/>
      <c r="F62" s="440"/>
      <c r="G62" s="440"/>
      <c r="H62" s="310"/>
      <c r="I62" s="554" t="s">
        <v>1343</v>
      </c>
    </row>
    <row r="63" spans="1:9" hidden="1">
      <c r="A63" s="1379" t="s">
        <v>1158</v>
      </c>
      <c r="B63" s="1381"/>
      <c r="C63" s="354"/>
      <c r="D63" s="354">
        <f>SUM(D45:D61)</f>
        <v>151.91599999999997</v>
      </c>
      <c r="E63" s="354"/>
      <c r="F63" s="354"/>
      <c r="G63" s="354">
        <f>SUM(G45:G62)</f>
        <v>97.59</v>
      </c>
      <c r="H63" s="57"/>
      <c r="I63" s="57"/>
    </row>
    <row r="64" spans="1:9" hidden="1">
      <c r="A64" s="438"/>
      <c r="B64" s="438"/>
      <c r="C64" s="354"/>
      <c r="D64" s="354"/>
      <c r="E64" s="354"/>
      <c r="F64" s="354"/>
      <c r="G64" s="354"/>
      <c r="H64" s="57"/>
      <c r="I64" s="585"/>
    </row>
    <row r="65" spans="1:9">
      <c r="A65" s="438"/>
      <c r="B65" s="438"/>
      <c r="C65" s="354"/>
      <c r="D65" s="354"/>
      <c r="E65" s="354"/>
      <c r="F65" s="354"/>
      <c r="G65" s="354"/>
      <c r="H65" s="57"/>
      <c r="I65" s="585"/>
    </row>
    <row r="66" spans="1:9">
      <c r="A66" s="310"/>
      <c r="B66" s="310"/>
      <c r="C66" s="1399" t="s">
        <v>1377</v>
      </c>
      <c r="D66" s="1400"/>
      <c r="E66" s="1400"/>
      <c r="F66" s="1400"/>
      <c r="G66" s="1401"/>
      <c r="H66" s="310"/>
    </row>
    <row r="67" spans="1:9" ht="43.5">
      <c r="A67" s="438" t="s">
        <v>1378</v>
      </c>
      <c r="B67" s="354" t="s">
        <v>1379</v>
      </c>
      <c r="C67" s="438" t="s">
        <v>1380</v>
      </c>
      <c r="D67" s="438" t="s">
        <v>1381</v>
      </c>
      <c r="E67" s="438" t="s">
        <v>1382</v>
      </c>
      <c r="F67" s="438" t="s">
        <v>1383</v>
      </c>
      <c r="G67" s="354" t="s">
        <v>34</v>
      </c>
      <c r="H67" s="438" t="s">
        <v>1384</v>
      </c>
    </row>
    <row r="68" spans="1:9">
      <c r="A68" s="337" t="s">
        <v>1068</v>
      </c>
      <c r="B68" s="563">
        <v>1</v>
      </c>
      <c r="C68" s="337" t="s">
        <v>1423</v>
      </c>
      <c r="D68" s="323">
        <v>9.4</v>
      </c>
      <c r="E68" s="309"/>
      <c r="F68" s="309"/>
      <c r="G68" s="592" t="s">
        <v>1425</v>
      </c>
      <c r="H68" s="532" t="s">
        <v>1386</v>
      </c>
    </row>
    <row r="69" spans="1:9">
      <c r="A69" s="337"/>
      <c r="B69" s="563">
        <f>B68+1</f>
        <v>2</v>
      </c>
      <c r="C69" s="337" t="s">
        <v>1424</v>
      </c>
      <c r="D69" s="323">
        <v>9.0960000000000001</v>
      </c>
      <c r="E69" s="309"/>
      <c r="F69" s="309"/>
      <c r="G69" s="592" t="s">
        <v>1426</v>
      </c>
      <c r="H69" s="593"/>
    </row>
    <row r="70" spans="1:9" ht="27.5" customHeight="1">
      <c r="A70" s="337" t="s">
        <v>1062</v>
      </c>
      <c r="B70" s="563">
        <f>B69+1</f>
        <v>3</v>
      </c>
      <c r="C70" s="337" t="s">
        <v>1387</v>
      </c>
      <c r="D70" s="594">
        <v>19.57</v>
      </c>
      <c r="E70" s="563"/>
      <c r="F70" s="578" t="s">
        <v>1388</v>
      </c>
      <c r="G70" s="579" t="s">
        <v>88</v>
      </c>
      <c r="H70" s="533" t="s">
        <v>1389</v>
      </c>
    </row>
    <row r="71" spans="1:9" ht="27.5" customHeight="1">
      <c r="A71" s="337"/>
      <c r="B71" s="563">
        <f>B70+1</f>
        <v>4</v>
      </c>
      <c r="C71" s="337" t="s">
        <v>1500</v>
      </c>
      <c r="D71" s="563">
        <v>2.6179999999999999</v>
      </c>
      <c r="E71" s="563"/>
      <c r="F71" s="578"/>
      <c r="G71" s="650" t="s">
        <v>1502</v>
      </c>
      <c r="H71" s="533"/>
    </row>
    <row r="72" spans="1:9" ht="39">
      <c r="A72" s="337" t="s">
        <v>1062</v>
      </c>
      <c r="B72" s="563">
        <f t="shared" ref="B72:B86" si="2">B71+1</f>
        <v>5</v>
      </c>
      <c r="C72" s="337" t="s">
        <v>1503</v>
      </c>
      <c r="D72" s="563">
        <v>18.193000000000001</v>
      </c>
      <c r="E72" s="563"/>
      <c r="F72" s="578">
        <v>45784</v>
      </c>
      <c r="G72" s="580" t="s">
        <v>1501</v>
      </c>
      <c r="H72" s="581" t="s">
        <v>1391</v>
      </c>
    </row>
    <row r="73" spans="1:9">
      <c r="A73" s="337" t="s">
        <v>1062</v>
      </c>
      <c r="B73" s="563">
        <f t="shared" si="2"/>
        <v>6</v>
      </c>
      <c r="C73" s="337" t="s">
        <v>1392</v>
      </c>
      <c r="D73" s="594">
        <v>6.6589999999999998</v>
      </c>
      <c r="E73" s="563"/>
      <c r="F73" s="578"/>
      <c r="G73" s="582" t="s">
        <v>1422</v>
      </c>
      <c r="H73" s="581"/>
    </row>
    <row r="74" spans="1:9" ht="29">
      <c r="A74" s="337" t="s">
        <v>1062</v>
      </c>
      <c r="B74" s="563">
        <f t="shared" si="2"/>
        <v>7</v>
      </c>
      <c r="C74" s="337" t="s">
        <v>1393</v>
      </c>
      <c r="D74" s="583">
        <v>3.17</v>
      </c>
      <c r="E74" s="578"/>
      <c r="F74" s="578"/>
      <c r="G74" s="580" t="s">
        <v>1394</v>
      </c>
      <c r="H74" s="581" t="s">
        <v>1395</v>
      </c>
    </row>
    <row r="75" spans="1:9">
      <c r="A75" s="337" t="s">
        <v>1062</v>
      </c>
      <c r="B75" s="563">
        <f t="shared" si="2"/>
        <v>8</v>
      </c>
      <c r="C75" s="337" t="s">
        <v>1396</v>
      </c>
      <c r="D75" s="595">
        <v>1.05</v>
      </c>
      <c r="E75" s="578"/>
      <c r="F75" s="578">
        <v>45752</v>
      </c>
      <c r="G75" s="579" t="s">
        <v>1422</v>
      </c>
      <c r="H75"/>
    </row>
    <row r="76" spans="1:9" ht="29">
      <c r="A76" s="1339" t="s">
        <v>1062</v>
      </c>
      <c r="B76" s="563">
        <f t="shared" si="2"/>
        <v>9</v>
      </c>
      <c r="C76" s="337" t="s">
        <v>1397</v>
      </c>
      <c r="D76" s="594">
        <v>7.9619999999999997</v>
      </c>
      <c r="E76" s="578">
        <v>45691</v>
      </c>
      <c r="F76" s="563"/>
      <c r="G76" s="579" t="s">
        <v>88</v>
      </c>
      <c r="H76" s="584" t="s">
        <v>1398</v>
      </c>
    </row>
    <row r="77" spans="1:9">
      <c r="A77" s="1340"/>
      <c r="B77" s="563">
        <f t="shared" si="2"/>
        <v>10</v>
      </c>
      <c r="C77" s="337" t="s">
        <v>1399</v>
      </c>
      <c r="D77" s="594">
        <v>19.567</v>
      </c>
      <c r="E77" s="578">
        <v>45713</v>
      </c>
      <c r="F77" s="563"/>
      <c r="G77" s="579" t="s">
        <v>88</v>
      </c>
      <c r="H77" s="584"/>
    </row>
    <row r="78" spans="1:9">
      <c r="A78" s="1340"/>
      <c r="B78" s="563">
        <f t="shared" si="2"/>
        <v>11</v>
      </c>
      <c r="C78" s="337" t="s">
        <v>1400</v>
      </c>
      <c r="D78" s="594">
        <v>20.273</v>
      </c>
      <c r="E78" s="578">
        <v>45691</v>
      </c>
      <c r="F78" s="563"/>
      <c r="G78" s="579" t="s">
        <v>88</v>
      </c>
      <c r="H78" s="584"/>
    </row>
    <row r="79" spans="1:9">
      <c r="A79" s="1340"/>
      <c r="B79" s="563">
        <f t="shared" si="2"/>
        <v>12</v>
      </c>
      <c r="C79" s="337" t="s">
        <v>1401</v>
      </c>
      <c r="D79" s="594">
        <v>3.0840000000000001</v>
      </c>
      <c r="E79" s="578">
        <v>45712</v>
      </c>
      <c r="F79" s="563"/>
      <c r="G79" s="579" t="s">
        <v>88</v>
      </c>
      <c r="H79" s="584"/>
    </row>
    <row r="80" spans="1:9">
      <c r="A80" s="1340"/>
      <c r="B80" s="563">
        <f t="shared" si="2"/>
        <v>13</v>
      </c>
      <c r="C80" s="337" t="s">
        <v>1402</v>
      </c>
      <c r="D80" s="594">
        <v>14.119</v>
      </c>
      <c r="E80" s="578">
        <v>45715</v>
      </c>
      <c r="F80" s="563"/>
      <c r="G80" s="579" t="s">
        <v>88</v>
      </c>
      <c r="H80" s="584"/>
    </row>
    <row r="81" spans="1:8">
      <c r="A81" s="1340"/>
      <c r="B81" s="563">
        <f t="shared" si="2"/>
        <v>14</v>
      </c>
      <c r="C81" s="337" t="s">
        <v>1403</v>
      </c>
      <c r="D81" s="594">
        <v>9.4949999999999992</v>
      </c>
      <c r="E81" s="578">
        <v>45722</v>
      </c>
      <c r="F81" s="563"/>
      <c r="G81" s="579" t="s">
        <v>88</v>
      </c>
      <c r="H81" s="584"/>
    </row>
    <row r="82" spans="1:8">
      <c r="A82" s="1341"/>
      <c r="B82" s="563">
        <f t="shared" si="2"/>
        <v>15</v>
      </c>
      <c r="C82" s="337" t="s">
        <v>1404</v>
      </c>
      <c r="D82" s="594">
        <v>8.6940000000000008</v>
      </c>
      <c r="E82" s="578">
        <v>45763</v>
      </c>
      <c r="F82" s="563"/>
      <c r="G82" s="579" t="s">
        <v>88</v>
      </c>
      <c r="H82" s="584"/>
    </row>
    <row r="83" spans="1:8" ht="29">
      <c r="A83" s="337" t="s">
        <v>1062</v>
      </c>
      <c r="B83" s="563">
        <f t="shared" si="2"/>
        <v>16</v>
      </c>
      <c r="C83" s="626" t="s">
        <v>1427</v>
      </c>
      <c r="D83" s="620">
        <v>12.558999999999999</v>
      </c>
      <c r="E83" s="578"/>
      <c r="F83" s="578" t="s">
        <v>1388</v>
      </c>
      <c r="G83" s="579" t="s">
        <v>88</v>
      </c>
      <c r="H83" s="533" t="s">
        <v>1406</v>
      </c>
    </row>
    <row r="84" spans="1:8" ht="29">
      <c r="A84" s="337" t="s">
        <v>1062</v>
      </c>
      <c r="B84" s="563">
        <f t="shared" si="2"/>
        <v>17</v>
      </c>
      <c r="C84" s="337" t="s">
        <v>1409</v>
      </c>
      <c r="D84" s="594">
        <v>14.391</v>
      </c>
      <c r="E84" s="578">
        <v>45763</v>
      </c>
      <c r="F84" s="563"/>
      <c r="G84" s="579" t="s">
        <v>88</v>
      </c>
      <c r="H84" s="54" t="s">
        <v>1398</v>
      </c>
    </row>
    <row r="85" spans="1:8">
      <c r="A85" s="337" t="s">
        <v>1062</v>
      </c>
      <c r="B85" s="563">
        <f t="shared" si="2"/>
        <v>18</v>
      </c>
      <c r="C85" s="626" t="s">
        <v>1410</v>
      </c>
      <c r="D85" s="594">
        <v>5.2679999999999998</v>
      </c>
      <c r="E85" s="578"/>
      <c r="F85" s="578">
        <v>45800</v>
      </c>
      <c r="G85" s="579" t="s">
        <v>88</v>
      </c>
      <c r="H85" s="423" t="s">
        <v>1411</v>
      </c>
    </row>
    <row r="86" spans="1:8" ht="29">
      <c r="A86" s="337" t="s">
        <v>1062</v>
      </c>
      <c r="B86" s="563">
        <f t="shared" si="2"/>
        <v>19</v>
      </c>
      <c r="C86" s="337" t="s">
        <v>1412</v>
      </c>
      <c r="D86" s="577">
        <v>2.4740000000000002</v>
      </c>
      <c r="E86" s="578">
        <v>45765</v>
      </c>
      <c r="F86" s="563"/>
      <c r="G86" s="579" t="s">
        <v>1497</v>
      </c>
      <c r="H86" s="534" t="s">
        <v>1413</v>
      </c>
    </row>
    <row r="87" spans="1:8">
      <c r="B87"/>
      <c r="C87"/>
      <c r="D87">
        <f>SUM(D68:D86)</f>
        <v>187.642</v>
      </c>
      <c r="E87" s="586"/>
      <c r="F87"/>
    </row>
    <row r="88" spans="1:8">
      <c r="B88"/>
      <c r="C88"/>
      <c r="D88"/>
      <c r="E88"/>
      <c r="F88"/>
    </row>
    <row r="89" spans="1:8">
      <c r="B89"/>
      <c r="C89"/>
      <c r="D89" s="587" t="s">
        <v>1414</v>
      </c>
      <c r="E89" s="587">
        <f>187.176-(18.496+2.618)</f>
        <v>166.06199999999998</v>
      </c>
      <c r="F89"/>
    </row>
    <row r="90" spans="1:8" hidden="1">
      <c r="B90"/>
      <c r="C90"/>
      <c r="D90" s="587"/>
      <c r="E90" s="587">
        <v>2.6179999999999999</v>
      </c>
      <c r="F90" s="596" t="s">
        <v>1415</v>
      </c>
    </row>
    <row r="91" spans="1:8">
      <c r="B91"/>
      <c r="C91"/>
      <c r="D91" s="361" t="s">
        <v>1416</v>
      </c>
      <c r="E91" s="361">
        <f>D87</f>
        <v>187.642</v>
      </c>
      <c r="F91"/>
    </row>
    <row r="92" spans="1:8">
      <c r="B92"/>
      <c r="C92"/>
      <c r="D92" s="361" t="s">
        <v>92</v>
      </c>
      <c r="E92" s="361">
        <f>D70+D73+SUM(D75:D86)</f>
        <v>145.16500000000002</v>
      </c>
      <c r="F92"/>
    </row>
    <row r="93" spans="1:8">
      <c r="D93" s="597" t="s">
        <v>33</v>
      </c>
      <c r="E93" s="597">
        <f>E91-E92</f>
        <v>42.476999999999975</v>
      </c>
    </row>
    <row r="95" spans="1:8" ht="15" hidden="1" customHeight="1" thickBot="1">
      <c r="B95" s="1352" t="s">
        <v>1377</v>
      </c>
      <c r="C95" s="1353"/>
      <c r="D95" s="1353"/>
      <c r="E95" s="1353"/>
      <c r="F95" s="1353"/>
      <c r="G95" s="1353"/>
    </row>
    <row r="96" spans="1:8" ht="15" hidden="1" customHeight="1" thickBot="1">
      <c r="B96" s="598" t="s">
        <v>1379</v>
      </c>
      <c r="C96" s="599" t="s">
        <v>1380</v>
      </c>
      <c r="D96" s="599" t="s">
        <v>1381</v>
      </c>
      <c r="E96" s="599" t="s">
        <v>88</v>
      </c>
      <c r="F96" s="599" t="s">
        <v>1428</v>
      </c>
      <c r="G96" s="599" t="s">
        <v>34</v>
      </c>
    </row>
    <row r="97" spans="2:7" ht="29.5" hidden="1" customHeight="1" thickBot="1">
      <c r="B97" s="600">
        <v>1</v>
      </c>
      <c r="C97" s="601" t="s">
        <v>1385</v>
      </c>
      <c r="D97" s="602">
        <v>18.116</v>
      </c>
      <c r="E97" s="603"/>
      <c r="F97" s="603" t="s">
        <v>1429</v>
      </c>
      <c r="G97" s="604" t="s">
        <v>1430</v>
      </c>
    </row>
    <row r="98" spans="2:7" ht="15" hidden="1" customHeight="1" thickBot="1">
      <c r="B98" s="600">
        <v>2</v>
      </c>
      <c r="C98" s="601" t="s">
        <v>1387</v>
      </c>
      <c r="D98" s="602">
        <v>19.57</v>
      </c>
      <c r="E98" s="602"/>
      <c r="F98" s="603" t="s">
        <v>1431</v>
      </c>
      <c r="G98" s="604" t="s">
        <v>1432</v>
      </c>
    </row>
    <row r="99" spans="2:7" ht="44" hidden="1" customHeight="1" thickBot="1">
      <c r="B99" s="600">
        <v>3</v>
      </c>
      <c r="C99" s="601" t="s">
        <v>1390</v>
      </c>
      <c r="D99" s="602">
        <v>20.811</v>
      </c>
      <c r="E99" s="602"/>
      <c r="F99" s="603" t="s">
        <v>1429</v>
      </c>
      <c r="G99" s="604" t="s">
        <v>1433</v>
      </c>
    </row>
    <row r="100" spans="2:7" ht="29.5" hidden="1" customHeight="1" thickBot="1">
      <c r="B100" s="1354">
        <v>4</v>
      </c>
      <c r="C100" s="601" t="s">
        <v>1434</v>
      </c>
      <c r="D100" s="1356">
        <v>10.894</v>
      </c>
      <c r="E100" s="602"/>
      <c r="F100" s="603" t="s">
        <v>1431</v>
      </c>
      <c r="G100" s="604" t="s">
        <v>1435</v>
      </c>
    </row>
    <row r="101" spans="2:7" ht="29.5" hidden="1" customHeight="1" thickBot="1">
      <c r="B101" s="1355"/>
      <c r="C101" s="601" t="s">
        <v>1436</v>
      </c>
      <c r="D101" s="1357"/>
      <c r="E101" s="602"/>
      <c r="F101" s="603" t="s">
        <v>1429</v>
      </c>
      <c r="G101" s="604" t="s">
        <v>1437</v>
      </c>
    </row>
    <row r="102" spans="2:7" ht="15" hidden="1" customHeight="1" thickBot="1">
      <c r="B102" s="600">
        <v>5</v>
      </c>
      <c r="C102" s="601" t="s">
        <v>1397</v>
      </c>
      <c r="D102" s="602">
        <v>7.9619999999999997</v>
      </c>
      <c r="E102" s="605">
        <v>45691</v>
      </c>
      <c r="F102" s="602"/>
      <c r="G102" s="604"/>
    </row>
    <row r="103" spans="2:7" ht="15" hidden="1" customHeight="1" thickBot="1">
      <c r="B103" s="600">
        <v>6</v>
      </c>
      <c r="C103" s="601" t="s">
        <v>1399</v>
      </c>
      <c r="D103" s="602">
        <v>19.567</v>
      </c>
      <c r="E103" s="605">
        <v>45713</v>
      </c>
      <c r="F103" s="602"/>
      <c r="G103" s="604"/>
    </row>
    <row r="104" spans="2:7" ht="15" hidden="1" customHeight="1" thickBot="1">
      <c r="B104" s="600">
        <v>7</v>
      </c>
      <c r="C104" s="601" t="s">
        <v>1400</v>
      </c>
      <c r="D104" s="602">
        <v>20.273</v>
      </c>
      <c r="E104" s="605">
        <v>45691</v>
      </c>
      <c r="F104" s="602"/>
      <c r="G104" s="604"/>
    </row>
    <row r="105" spans="2:7" ht="15" hidden="1" customHeight="1" thickBot="1">
      <c r="B105" s="600">
        <v>8</v>
      </c>
      <c r="C105" s="601" t="s">
        <v>1401</v>
      </c>
      <c r="D105" s="602">
        <v>3.0840000000000001</v>
      </c>
      <c r="E105" s="605">
        <v>45712</v>
      </c>
      <c r="F105" s="602"/>
      <c r="G105" s="604"/>
    </row>
    <row r="106" spans="2:7" ht="15" hidden="1" customHeight="1" thickBot="1">
      <c r="B106" s="600">
        <v>9</v>
      </c>
      <c r="C106" s="601" t="s">
        <v>1402</v>
      </c>
      <c r="D106" s="602">
        <v>14.016999999999999</v>
      </c>
      <c r="E106" s="605">
        <v>45715</v>
      </c>
      <c r="F106" s="602"/>
      <c r="G106" s="604"/>
    </row>
    <row r="107" spans="2:7" ht="15" hidden="1" customHeight="1" thickBot="1">
      <c r="B107" s="600">
        <v>10</v>
      </c>
      <c r="C107" s="601" t="s">
        <v>1403</v>
      </c>
      <c r="D107" s="602">
        <v>9.4949999999999992</v>
      </c>
      <c r="E107" s="605">
        <v>45722</v>
      </c>
      <c r="F107" s="602"/>
      <c r="G107" s="604"/>
    </row>
    <row r="108" spans="2:7" ht="15" hidden="1" customHeight="1" thickBot="1">
      <c r="B108" s="600">
        <v>11</v>
      </c>
      <c r="C108" s="601" t="s">
        <v>1404</v>
      </c>
      <c r="D108" s="602">
        <v>8.6940000000000008</v>
      </c>
      <c r="E108" s="605">
        <v>45763</v>
      </c>
      <c r="F108" s="602"/>
      <c r="G108" s="604"/>
    </row>
    <row r="109" spans="2:7" ht="15" hidden="1" customHeight="1" thickBot="1">
      <c r="B109" s="600">
        <v>12</v>
      </c>
      <c r="C109" s="601" t="s">
        <v>1405</v>
      </c>
      <c r="D109" s="602">
        <v>3.0840000000000001</v>
      </c>
      <c r="E109" s="602"/>
      <c r="F109" s="603" t="s">
        <v>1429</v>
      </c>
      <c r="G109" s="602" t="s">
        <v>1438</v>
      </c>
    </row>
    <row r="110" spans="2:7" ht="15" hidden="1" customHeight="1" thickBot="1">
      <c r="B110" s="600">
        <v>13</v>
      </c>
      <c r="C110" s="601" t="s">
        <v>1407</v>
      </c>
      <c r="D110" s="602">
        <v>5.6189999999999998</v>
      </c>
      <c r="E110" s="601"/>
      <c r="F110" s="603" t="s">
        <v>1429</v>
      </c>
      <c r="G110" s="602" t="s">
        <v>1438</v>
      </c>
    </row>
    <row r="111" spans="2:7" ht="15" hidden="1" customHeight="1" thickBot="1">
      <c r="B111" s="600">
        <v>14</v>
      </c>
      <c r="C111" s="601" t="s">
        <v>1408</v>
      </c>
      <c r="D111" s="602">
        <v>3.8559999999999999</v>
      </c>
      <c r="E111" s="602"/>
      <c r="F111" s="603" t="s">
        <v>1429</v>
      </c>
      <c r="G111" s="602" t="s">
        <v>1438</v>
      </c>
    </row>
    <row r="112" spans="2:7" ht="15" hidden="1" customHeight="1" thickBot="1">
      <c r="B112" s="600">
        <v>15</v>
      </c>
      <c r="C112" s="601" t="s">
        <v>1409</v>
      </c>
      <c r="D112" s="602">
        <v>14.391</v>
      </c>
      <c r="E112" s="605">
        <v>45763</v>
      </c>
      <c r="F112" s="602"/>
      <c r="G112" s="604"/>
    </row>
    <row r="113" spans="2:7" ht="15" hidden="1" customHeight="1" thickBot="1">
      <c r="B113" s="600">
        <v>16</v>
      </c>
      <c r="C113" s="601" t="s">
        <v>1410</v>
      </c>
      <c r="D113" s="602">
        <v>5.2679999999999998</v>
      </c>
      <c r="E113" s="602"/>
      <c r="F113" s="603" t="s">
        <v>1431</v>
      </c>
      <c r="G113" s="604" t="s">
        <v>1432</v>
      </c>
    </row>
    <row r="114" spans="2:7" ht="26.5" hidden="1" customHeight="1" thickBot="1">
      <c r="B114" s="600">
        <v>17</v>
      </c>
      <c r="C114" s="601" t="s">
        <v>1412</v>
      </c>
      <c r="D114" s="602">
        <v>2.4740000000000002</v>
      </c>
      <c r="E114" s="605">
        <v>45765</v>
      </c>
      <c r="F114" s="603" t="s">
        <v>1439</v>
      </c>
      <c r="G114" s="602" t="s">
        <v>1440</v>
      </c>
    </row>
    <row r="115" spans="2:7" ht="14.5" hidden="1" customHeight="1">
      <c r="B115" s="606"/>
      <c r="C115" s="607" t="s">
        <v>481</v>
      </c>
      <c r="D115" s="608">
        <v>187.17500000000001</v>
      </c>
      <c r="E115" s="606"/>
      <c r="F115" s="606"/>
      <c r="G115" s="606"/>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9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7265625" customWidth="1"/>
    <col min="5" max="5" width="31.6328125" customWidth="1"/>
  </cols>
  <sheetData>
    <row r="1" spans="1:5" ht="15" thickBot="1">
      <c r="A1" s="609" t="s">
        <v>1441</v>
      </c>
      <c r="B1" s="610" t="s">
        <v>1442</v>
      </c>
      <c r="C1" s="610" t="s">
        <v>1443</v>
      </c>
      <c r="D1" s="610" t="s">
        <v>1014</v>
      </c>
      <c r="E1" s="611" t="s">
        <v>1444</v>
      </c>
    </row>
    <row r="2" spans="1:5" ht="15" thickBot="1">
      <c r="A2" s="612">
        <v>1</v>
      </c>
      <c r="B2" s="613" t="s">
        <v>1445</v>
      </c>
      <c r="C2" s="614"/>
      <c r="D2" s="614"/>
      <c r="E2" s="614"/>
    </row>
    <row r="3" spans="1:5" ht="29.5" thickBot="1">
      <c r="A3" s="612" t="s">
        <v>1446</v>
      </c>
      <c r="B3" s="604" t="s">
        <v>1447</v>
      </c>
      <c r="C3" s="615">
        <v>45821</v>
      </c>
      <c r="D3" s="614" t="s">
        <v>1448</v>
      </c>
      <c r="E3" s="614" t="s">
        <v>1449</v>
      </c>
    </row>
    <row r="4" spans="1:5" ht="15" thickBot="1">
      <c r="A4" s="612" t="s">
        <v>1450</v>
      </c>
      <c r="B4" s="604" t="s">
        <v>1451</v>
      </c>
      <c r="C4" s="615">
        <v>45833</v>
      </c>
      <c r="D4" s="614" t="s">
        <v>1452</v>
      </c>
      <c r="E4" s="614" t="s">
        <v>1453</v>
      </c>
    </row>
    <row r="5" spans="1:5" ht="44" thickBot="1">
      <c r="A5" s="616" t="s">
        <v>1454</v>
      </c>
      <c r="B5" s="617" t="s">
        <v>1455</v>
      </c>
      <c r="C5" s="618">
        <v>45824</v>
      </c>
      <c r="D5" s="619" t="s">
        <v>1452</v>
      </c>
      <c r="E5" s="619" t="s">
        <v>1456</v>
      </c>
    </row>
    <row r="6" spans="1:5" ht="15" thickBot="1">
      <c r="A6" s="612">
        <v>2</v>
      </c>
      <c r="B6" s="613" t="s">
        <v>1377</v>
      </c>
      <c r="C6" s="614"/>
      <c r="D6" s="614"/>
      <c r="E6" s="614"/>
    </row>
    <row r="7" spans="1:5" ht="29.5" thickBot="1">
      <c r="A7" s="616" t="s">
        <v>1446</v>
      </c>
      <c r="B7" s="617" t="s">
        <v>1457</v>
      </c>
      <c r="C7" s="618">
        <v>45820</v>
      </c>
      <c r="D7" s="619" t="s">
        <v>1458</v>
      </c>
      <c r="E7" s="619" t="s">
        <v>1459</v>
      </c>
    </row>
    <row r="8" spans="1:5" ht="15" thickBot="1">
      <c r="A8" s="616" t="s">
        <v>1450</v>
      </c>
      <c r="B8" s="617" t="s">
        <v>1460</v>
      </c>
      <c r="C8" s="618">
        <v>45828</v>
      </c>
      <c r="D8" s="619" t="s">
        <v>1458</v>
      </c>
      <c r="E8" s="619" t="s">
        <v>1461</v>
      </c>
    </row>
    <row r="9" spans="1:5" ht="29.5" thickBot="1">
      <c r="A9" s="616" t="s">
        <v>1454</v>
      </c>
      <c r="B9" s="617" t="s">
        <v>1462</v>
      </c>
      <c r="C9" s="618">
        <v>46198</v>
      </c>
      <c r="D9" s="619" t="s">
        <v>1452</v>
      </c>
      <c r="E9" s="619" t="s">
        <v>1453</v>
      </c>
    </row>
    <row r="10" spans="1:5" ht="15" thickBot="1">
      <c r="A10" s="612">
        <v>3</v>
      </c>
      <c r="B10" s="613" t="s">
        <v>1463</v>
      </c>
      <c r="C10" s="614"/>
      <c r="D10" s="614"/>
      <c r="E10" s="614"/>
    </row>
    <row r="11" spans="1:5" ht="15" thickBot="1">
      <c r="A11" s="612" t="s">
        <v>1446</v>
      </c>
      <c r="B11" s="604" t="s">
        <v>1464</v>
      </c>
      <c r="C11" s="615">
        <v>45838</v>
      </c>
      <c r="D11" s="614" t="s">
        <v>1452</v>
      </c>
      <c r="E11" s="614" t="s">
        <v>1461</v>
      </c>
    </row>
    <row r="12" spans="1:5" ht="15" thickBot="1">
      <c r="A12" s="612" t="s">
        <v>1450</v>
      </c>
      <c r="B12" s="604" t="s">
        <v>1465</v>
      </c>
      <c r="C12" s="615">
        <v>45838</v>
      </c>
      <c r="D12" s="614" t="s">
        <v>1452</v>
      </c>
      <c r="E12" s="614" t="s">
        <v>1461</v>
      </c>
    </row>
    <row r="13" spans="1:5" ht="29.5" thickBot="1">
      <c r="A13" s="612" t="s">
        <v>1454</v>
      </c>
      <c r="B13" s="604" t="s">
        <v>1466</v>
      </c>
      <c r="C13" s="614" t="s">
        <v>1467</v>
      </c>
      <c r="D13" s="614" t="s">
        <v>1452</v>
      </c>
      <c r="E13" s="614" t="s">
        <v>1461</v>
      </c>
    </row>
    <row r="14" spans="1:5" ht="29.5" thickBot="1">
      <c r="A14" s="612" t="s">
        <v>1468</v>
      </c>
      <c r="B14" s="604" t="s">
        <v>1469</v>
      </c>
      <c r="C14" s="614" t="s">
        <v>1470</v>
      </c>
      <c r="D14" s="614" t="s">
        <v>1458</v>
      </c>
      <c r="E14" s="614" t="s">
        <v>1461</v>
      </c>
    </row>
    <row r="15" spans="1:5" ht="29.5" thickBot="1">
      <c r="A15" s="612" t="s">
        <v>1471</v>
      </c>
      <c r="B15" s="604" t="s">
        <v>1472</v>
      </c>
      <c r="C15" s="615">
        <v>45828</v>
      </c>
      <c r="D15" s="614" t="s">
        <v>1448</v>
      </c>
      <c r="E15" s="614" t="s">
        <v>1461</v>
      </c>
    </row>
    <row r="16" spans="1:5" ht="29.5" thickBot="1">
      <c r="A16" s="612" t="s">
        <v>1473</v>
      </c>
      <c r="B16" s="604" t="s">
        <v>1474</v>
      </c>
      <c r="C16" s="615">
        <v>45828</v>
      </c>
      <c r="D16" s="614" t="s">
        <v>1431</v>
      </c>
      <c r="E16" s="614" t="s">
        <v>1461</v>
      </c>
    </row>
    <row r="17" spans="1:5" ht="44" thickBot="1">
      <c r="A17" s="612">
        <v>4</v>
      </c>
      <c r="B17" s="604" t="s">
        <v>1475</v>
      </c>
      <c r="C17" s="615">
        <v>45820</v>
      </c>
      <c r="D17" s="614" t="s">
        <v>1452</v>
      </c>
      <c r="E17" s="614" t="s">
        <v>1461</v>
      </c>
    </row>
    <row r="18" spans="1:5" ht="44" thickBot="1">
      <c r="A18" s="612">
        <v>5</v>
      </c>
      <c r="B18" s="604" t="s">
        <v>1476</v>
      </c>
      <c r="C18" s="615">
        <v>45838</v>
      </c>
      <c r="D18" s="614" t="s">
        <v>1458</v>
      </c>
      <c r="E18" s="614" t="s">
        <v>1477</v>
      </c>
    </row>
    <row r="19" spans="1:5" ht="44" thickBot="1">
      <c r="A19" s="612">
        <v>6</v>
      </c>
      <c r="B19" s="604" t="s">
        <v>1478</v>
      </c>
      <c r="C19" s="614" t="s">
        <v>1467</v>
      </c>
      <c r="D19" s="614" t="s">
        <v>1452</v>
      </c>
      <c r="E19" s="614" t="s">
        <v>1461</v>
      </c>
    </row>
    <row r="20" spans="1:5" ht="58.5" thickBot="1">
      <c r="A20" s="612">
        <v>7</v>
      </c>
      <c r="B20" s="604" t="s">
        <v>1479</v>
      </c>
      <c r="C20" s="614" t="s">
        <v>1467</v>
      </c>
      <c r="D20" s="614" t="s">
        <v>1452</v>
      </c>
      <c r="E20" s="614" t="s">
        <v>1480</v>
      </c>
    </row>
    <row r="21" spans="1:5" ht="29.5" thickBot="1">
      <c r="A21" s="612">
        <v>8</v>
      </c>
      <c r="B21" s="604" t="s">
        <v>1481</v>
      </c>
      <c r="C21" s="615">
        <v>45838</v>
      </c>
      <c r="D21" s="614" t="s">
        <v>1452</v>
      </c>
      <c r="E21" s="614" t="s">
        <v>1102</v>
      </c>
    </row>
    <row r="22" spans="1:5" ht="15" thickBot="1">
      <c r="A22" s="612">
        <v>9</v>
      </c>
      <c r="B22" s="613" t="s">
        <v>1482</v>
      </c>
      <c r="C22" s="614"/>
      <c r="D22" s="614"/>
      <c r="E22" s="614"/>
    </row>
    <row r="23" spans="1:5" ht="29.5" thickBot="1">
      <c r="A23" s="612" t="s">
        <v>1446</v>
      </c>
      <c r="B23" s="604" t="s">
        <v>1483</v>
      </c>
      <c r="C23" s="614" t="s">
        <v>1470</v>
      </c>
      <c r="D23" s="614" t="s">
        <v>1452</v>
      </c>
      <c r="E23" s="614" t="s">
        <v>1102</v>
      </c>
    </row>
    <row r="24" spans="1:5" ht="29.5" thickBot="1">
      <c r="A24" s="612" t="s">
        <v>1450</v>
      </c>
      <c r="B24" s="604" t="s">
        <v>1484</v>
      </c>
      <c r="C24" s="614" t="s">
        <v>1102</v>
      </c>
      <c r="D24" s="614" t="s">
        <v>1452</v>
      </c>
      <c r="E24" s="614" t="s">
        <v>1102</v>
      </c>
    </row>
    <row r="25" spans="1:5" ht="44" thickBot="1">
      <c r="A25" s="612" t="s">
        <v>1454</v>
      </c>
      <c r="B25" s="604" t="s">
        <v>1485</v>
      </c>
      <c r="C25" s="614" t="s">
        <v>1467</v>
      </c>
      <c r="D25" s="614" t="s">
        <v>1458</v>
      </c>
      <c r="E25" s="614" t="s">
        <v>1486</v>
      </c>
    </row>
    <row r="26" spans="1:5" ht="29.5" thickBot="1">
      <c r="A26" s="612" t="s">
        <v>1468</v>
      </c>
      <c r="B26" s="604" t="s">
        <v>1487</v>
      </c>
      <c r="C26" s="615">
        <v>45821</v>
      </c>
      <c r="D26" s="614" t="s">
        <v>1452</v>
      </c>
      <c r="E26" s="614" t="s">
        <v>1461</v>
      </c>
    </row>
    <row r="27" spans="1:5" ht="29.5" thickBot="1">
      <c r="A27" s="612">
        <v>10</v>
      </c>
      <c r="B27" s="604" t="s">
        <v>1488</v>
      </c>
      <c r="C27" s="615">
        <v>45826</v>
      </c>
      <c r="D27" s="614" t="s">
        <v>1452</v>
      </c>
      <c r="E27" s="614" t="s">
        <v>1489</v>
      </c>
    </row>
    <row r="28" spans="1:5" ht="29.5" thickBot="1">
      <c r="A28" s="612">
        <v>11</v>
      </c>
      <c r="B28" s="604" t="s">
        <v>1490</v>
      </c>
      <c r="C28" s="615">
        <v>45824</v>
      </c>
      <c r="D28" s="614" t="s">
        <v>1452</v>
      </c>
      <c r="E28" s="614" t="s">
        <v>1491</v>
      </c>
    </row>
    <row r="29" spans="1:5" ht="29.5" thickBot="1">
      <c r="A29" s="612">
        <v>12</v>
      </c>
      <c r="B29" s="604" t="s">
        <v>1492</v>
      </c>
      <c r="C29" s="615">
        <v>45930</v>
      </c>
      <c r="D29" s="614" t="s">
        <v>1448</v>
      </c>
      <c r="E29" s="614" t="s">
        <v>1493</v>
      </c>
    </row>
    <row r="30" spans="1:5" ht="58.5" thickBot="1">
      <c r="A30" s="612">
        <v>13</v>
      </c>
      <c r="B30" s="604" t="s">
        <v>1494</v>
      </c>
      <c r="C30" s="615">
        <v>45848</v>
      </c>
      <c r="D30" s="614" t="s">
        <v>1452</v>
      </c>
      <c r="E30" s="614" t="s">
        <v>1495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156" t="s">
        <v>17</v>
      </c>
    </row>
    <row r="4" spans="3:6" ht="29">
      <c r="C4" s="1153" t="s">
        <v>1645</v>
      </c>
      <c r="D4" s="438" t="s">
        <v>1380</v>
      </c>
      <c r="E4" s="438" t="s">
        <v>1381</v>
      </c>
      <c r="F4" s="1160" t="s">
        <v>34</v>
      </c>
    </row>
    <row r="5" spans="3:6">
      <c r="C5" s="1153">
        <v>1</v>
      </c>
      <c r="D5" s="337" t="s">
        <v>1500</v>
      </c>
      <c r="E5" s="563">
        <v>2.6179999999999999</v>
      </c>
      <c r="F5" s="310"/>
    </row>
    <row r="6" spans="3:6">
      <c r="C6" s="1153">
        <f t="shared" ref="C6:C11" si="0">C5+1</f>
        <v>2</v>
      </c>
      <c r="D6" s="337" t="s">
        <v>1655</v>
      </c>
      <c r="E6" s="563">
        <v>1.4279999999999999</v>
      </c>
      <c r="F6" s="310"/>
    </row>
    <row r="7" spans="3:6">
      <c r="C7" s="1153">
        <f t="shared" si="0"/>
        <v>3</v>
      </c>
      <c r="D7" s="337" t="s">
        <v>1656</v>
      </c>
      <c r="E7" s="563">
        <v>16.760000000000002</v>
      </c>
      <c r="F7" s="310"/>
    </row>
    <row r="8" spans="3:6">
      <c r="C8" s="1153">
        <f t="shared" si="0"/>
        <v>4</v>
      </c>
      <c r="D8" s="337" t="s">
        <v>1393</v>
      </c>
      <c r="E8" s="1158">
        <v>3.1869999999999998</v>
      </c>
      <c r="F8" s="310"/>
    </row>
    <row r="9" spans="3:6">
      <c r="C9" s="1153">
        <f t="shared" si="0"/>
        <v>5</v>
      </c>
      <c r="D9" s="337" t="s">
        <v>1549</v>
      </c>
      <c r="E9" s="563">
        <v>0.73199999999999998</v>
      </c>
      <c r="F9" s="310"/>
    </row>
    <row r="10" spans="3:6">
      <c r="C10" s="1153">
        <f t="shared" si="0"/>
        <v>6</v>
      </c>
      <c r="D10" s="337" t="s">
        <v>1550</v>
      </c>
      <c r="E10" s="830">
        <v>0.218</v>
      </c>
      <c r="F10" s="310"/>
    </row>
    <row r="11" spans="3:6">
      <c r="C11" s="1153">
        <f t="shared" si="0"/>
        <v>7</v>
      </c>
      <c r="D11" s="337" t="s">
        <v>1552</v>
      </c>
      <c r="E11" s="830">
        <v>0.57099999999999995</v>
      </c>
      <c r="F11" s="310"/>
    </row>
    <row r="12" spans="3:6">
      <c r="C12" s="310"/>
      <c r="D12" s="1157" t="s">
        <v>1416</v>
      </c>
      <c r="E12" s="361">
        <f>SUM(E5:E11)</f>
        <v>25.514000000000003</v>
      </c>
      <c r="F12" s="310"/>
    </row>
    <row r="14" spans="3:6">
      <c r="C14" s="1156" t="s">
        <v>1738</v>
      </c>
    </row>
    <row r="15" spans="3:6">
      <c r="C15" s="1152"/>
    </row>
    <row r="16" spans="3:6" ht="29">
      <c r="C16" s="1153" t="s">
        <v>1645</v>
      </c>
      <c r="D16" s="438" t="s">
        <v>1380</v>
      </c>
      <c r="E16" s="438" t="s">
        <v>1381</v>
      </c>
      <c r="F16" s="1402" t="s">
        <v>1741</v>
      </c>
    </row>
    <row r="17" spans="3:6">
      <c r="C17" s="1153"/>
      <c r="D17" s="438" t="s">
        <v>1739</v>
      </c>
      <c r="E17" s="438">
        <f>7584/1000</f>
        <v>7.5839999999999996</v>
      </c>
      <c r="F17" s="1402"/>
    </row>
    <row r="18" spans="3:6">
      <c r="C18" s="1153"/>
      <c r="D18" s="1159" t="s">
        <v>1740</v>
      </c>
      <c r="E18" s="438">
        <f>6951/1000</f>
        <v>6.9509999999999996</v>
      </c>
      <c r="F18" s="1402"/>
    </row>
    <row r="19" spans="3:6" ht="1" customHeight="1">
      <c r="C19" s="310"/>
      <c r="D19" s="1157" t="s">
        <v>1416</v>
      </c>
      <c r="E19" s="361">
        <f>SUM(E17:E18)</f>
        <v>14.535</v>
      </c>
      <c r="F19" s="1402"/>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0"/>
  <sheetViews>
    <sheetView zoomScale="85" zoomScaleNormal="85" workbookViewId="0">
      <selection activeCell="C1" sqref="C1"/>
    </sheetView>
  </sheetViews>
  <sheetFormatPr defaultColWidth="9" defaultRowHeight="14.5"/>
  <cols>
    <col min="2" max="2" width="11.1796875" customWidth="1"/>
    <col min="3" max="3" width="27.54296875" customWidth="1"/>
    <col min="4" max="4" width="38.54296875" bestFit="1" customWidth="1"/>
    <col min="5" max="5" width="24.08984375" customWidth="1"/>
    <col min="6" max="6" width="64.453125" bestFit="1" customWidth="1"/>
    <col min="7" max="7" width="79.26953125" bestFit="1" customWidth="1"/>
    <col min="8" max="8" width="50.453125" bestFit="1" customWidth="1"/>
    <col min="12" max="13" width="9" customWidth="1"/>
  </cols>
  <sheetData>
    <row r="1" spans="1:13" ht="40">
      <c r="A1" s="1017" t="s">
        <v>26</v>
      </c>
      <c r="B1" s="1017" t="s">
        <v>56</v>
      </c>
      <c r="C1" s="1017" t="s">
        <v>57</v>
      </c>
      <c r="D1" s="1295" t="s">
        <v>58</v>
      </c>
      <c r="E1" s="1297"/>
      <c r="F1" s="1017"/>
      <c r="G1" s="1295" t="s">
        <v>59</v>
      </c>
      <c r="H1" s="1296"/>
      <c r="I1" s="1297"/>
      <c r="J1" s="1017"/>
      <c r="K1" s="1017"/>
      <c r="L1" s="1017"/>
      <c r="M1" s="1017" t="s">
        <v>34</v>
      </c>
    </row>
    <row r="2" spans="1:13" ht="20">
      <c r="A2" s="1018" t="s">
        <v>60</v>
      </c>
      <c r="B2" s="1024" t="s">
        <v>61</v>
      </c>
      <c r="C2" s="1019"/>
      <c r="D2" s="1298"/>
      <c r="E2" s="1298"/>
      <c r="F2" s="1020"/>
      <c r="G2" s="1021"/>
      <c r="H2" s="1021"/>
      <c r="I2" s="1021"/>
      <c r="J2" s="1022"/>
      <c r="K2" s="1022"/>
      <c r="L2" s="1022"/>
      <c r="M2" s="1023"/>
    </row>
    <row r="3" spans="1:13" ht="45">
      <c r="A3" s="1253">
        <v>1</v>
      </c>
      <c r="B3" s="1253" t="s">
        <v>1757</v>
      </c>
      <c r="C3" s="1253" t="s">
        <v>1581</v>
      </c>
      <c r="D3" s="1253" t="s">
        <v>1559</v>
      </c>
      <c r="E3" s="1253" t="s">
        <v>1558</v>
      </c>
      <c r="F3" s="1253" t="s">
        <v>1771</v>
      </c>
      <c r="G3" s="1254" t="s">
        <v>1796</v>
      </c>
      <c r="H3" s="1253"/>
      <c r="I3" s="1253"/>
      <c r="J3" s="1253"/>
      <c r="K3" s="1253"/>
      <c r="L3" s="1253"/>
      <c r="M3" s="1253"/>
    </row>
    <row r="4" spans="1:13" ht="45">
      <c r="A4" s="1253">
        <v>2</v>
      </c>
      <c r="B4" s="1253" t="s">
        <v>1758</v>
      </c>
      <c r="C4" s="1253" t="s">
        <v>1582</v>
      </c>
      <c r="D4" s="1253" t="s">
        <v>1337</v>
      </c>
      <c r="E4" s="1253" t="s">
        <v>1558</v>
      </c>
      <c r="F4" s="1253" t="s">
        <v>1771</v>
      </c>
      <c r="G4" s="1254" t="s">
        <v>1796</v>
      </c>
      <c r="H4" s="1253"/>
      <c r="I4" s="1253"/>
      <c r="J4" s="1253"/>
      <c r="K4" s="1253"/>
      <c r="L4" s="1253"/>
      <c r="M4" s="1253"/>
    </row>
    <row r="5" spans="1:13" ht="34" customHeight="1">
      <c r="A5" s="1253">
        <v>3</v>
      </c>
      <c r="B5" s="1253" t="s">
        <v>1759</v>
      </c>
      <c r="C5" s="1253" t="s">
        <v>1583</v>
      </c>
      <c r="D5" s="1253" t="s">
        <v>1337</v>
      </c>
      <c r="E5" s="1253" t="s">
        <v>1558</v>
      </c>
      <c r="F5" s="1253" t="s">
        <v>1771</v>
      </c>
      <c r="G5" s="1254" t="s">
        <v>1796</v>
      </c>
      <c r="H5" s="1253"/>
      <c r="I5" s="1253"/>
      <c r="J5" s="1253"/>
      <c r="K5" s="1253"/>
      <c r="L5" s="1253"/>
      <c r="M5" s="1253"/>
    </row>
    <row r="6" spans="1:13" ht="47.5" customHeight="1">
      <c r="A6" s="1253">
        <v>4</v>
      </c>
      <c r="B6" s="1253" t="s">
        <v>1560</v>
      </c>
      <c r="C6" s="1253" t="s">
        <v>1584</v>
      </c>
      <c r="D6" s="1253" t="s">
        <v>1337</v>
      </c>
      <c r="E6" s="1253" t="s">
        <v>1594</v>
      </c>
      <c r="F6" s="1253" t="s">
        <v>1770</v>
      </c>
      <c r="G6" s="1254" t="s">
        <v>1768</v>
      </c>
      <c r="H6" s="1253"/>
      <c r="I6" s="1253"/>
      <c r="J6" s="1253"/>
      <c r="K6" s="1253"/>
      <c r="L6" s="1253"/>
      <c r="M6" s="1253"/>
    </row>
    <row r="7" spans="1:13" ht="31" customHeight="1">
      <c r="A7" s="1253">
        <v>5</v>
      </c>
      <c r="B7" s="1253" t="s">
        <v>1561</v>
      </c>
      <c r="C7" s="1253" t="s">
        <v>1585</v>
      </c>
      <c r="D7" s="1253" t="s">
        <v>1337</v>
      </c>
      <c r="E7" s="1253"/>
      <c r="F7" s="1253" t="s">
        <v>1592</v>
      </c>
      <c r="G7" s="1305" t="s">
        <v>1773</v>
      </c>
      <c r="H7" s="1306"/>
      <c r="I7" s="1306"/>
      <c r="J7" s="1306"/>
      <c r="K7" s="1306"/>
      <c r="L7" s="1306"/>
      <c r="M7" s="1307"/>
    </row>
    <row r="8" spans="1:13" ht="31" customHeight="1">
      <c r="A8" s="1253">
        <v>6</v>
      </c>
      <c r="B8" s="1253" t="s">
        <v>1562</v>
      </c>
      <c r="C8" s="1253" t="s">
        <v>1586</v>
      </c>
      <c r="D8" s="1253" t="s">
        <v>1337</v>
      </c>
      <c r="E8" s="1253"/>
      <c r="F8" s="1253" t="s">
        <v>1592</v>
      </c>
      <c r="G8" s="1308"/>
      <c r="H8" s="1309"/>
      <c r="I8" s="1309"/>
      <c r="J8" s="1309"/>
      <c r="K8" s="1309"/>
      <c r="L8" s="1309"/>
      <c r="M8" s="1310"/>
    </row>
    <row r="9" spans="1:13" ht="45" customHeight="1">
      <c r="A9" s="1253">
        <v>7</v>
      </c>
      <c r="B9" s="1253" t="s">
        <v>1563</v>
      </c>
      <c r="C9" s="1253" t="s">
        <v>1587</v>
      </c>
      <c r="D9" s="1253" t="s">
        <v>1337</v>
      </c>
      <c r="E9" s="1253"/>
      <c r="F9" s="1253" t="s">
        <v>1592</v>
      </c>
      <c r="G9" s="1311"/>
      <c r="H9" s="1312"/>
      <c r="I9" s="1312"/>
      <c r="J9" s="1312"/>
      <c r="K9" s="1312"/>
      <c r="L9" s="1312"/>
      <c r="M9" s="1313"/>
    </row>
    <row r="10" spans="1:13" ht="31">
      <c r="A10" s="1253">
        <v>8</v>
      </c>
      <c r="B10" s="1253" t="s">
        <v>1564</v>
      </c>
      <c r="C10" s="1253" t="s">
        <v>1588</v>
      </c>
      <c r="D10" s="1253" t="s">
        <v>1337</v>
      </c>
      <c r="E10" s="1253"/>
      <c r="F10" s="1253" t="s">
        <v>1592</v>
      </c>
      <c r="G10" s="1254" t="s">
        <v>1794</v>
      </c>
      <c r="H10" s="1253"/>
      <c r="I10" s="1253"/>
      <c r="J10" s="1253"/>
      <c r="K10" s="1253"/>
      <c r="L10" s="1253"/>
      <c r="M10" s="1253"/>
    </row>
    <row r="11" spans="1:13" ht="31">
      <c r="A11" s="1253">
        <v>9</v>
      </c>
      <c r="B11" s="1253" t="s">
        <v>1565</v>
      </c>
      <c r="C11" s="1253" t="s">
        <v>1589</v>
      </c>
      <c r="D11" s="1253" t="s">
        <v>1337</v>
      </c>
      <c r="E11" s="1253"/>
      <c r="F11" s="1253" t="s">
        <v>1592</v>
      </c>
      <c r="G11" s="1253"/>
      <c r="H11" s="1253"/>
      <c r="I11" s="1253"/>
      <c r="J11" s="1253"/>
      <c r="K11" s="1253"/>
      <c r="L11" s="1253"/>
      <c r="M11" s="1253"/>
    </row>
    <row r="12" spans="1:13" ht="46.5">
      <c r="A12" s="1253">
        <v>10</v>
      </c>
      <c r="B12" s="1253" t="s">
        <v>1566</v>
      </c>
      <c r="C12" s="1253" t="s">
        <v>1590</v>
      </c>
      <c r="D12" s="1253" t="s">
        <v>1567</v>
      </c>
      <c r="E12" s="1253"/>
      <c r="F12" s="1253" t="s">
        <v>1592</v>
      </c>
      <c r="G12" s="1253"/>
      <c r="H12" s="1253"/>
      <c r="I12" s="1253"/>
      <c r="J12" s="1253"/>
      <c r="K12" s="1253"/>
      <c r="L12" s="1253"/>
      <c r="M12" s="1253"/>
    </row>
    <row r="13" spans="1:13" ht="31">
      <c r="A13" s="1253">
        <v>11</v>
      </c>
      <c r="B13" s="1253" t="s">
        <v>1568</v>
      </c>
      <c r="C13" s="1253" t="s">
        <v>1591</v>
      </c>
      <c r="D13" s="1253" t="s">
        <v>1567</v>
      </c>
      <c r="E13" s="1253" t="s">
        <v>1594</v>
      </c>
      <c r="F13" s="1253" t="s">
        <v>1769</v>
      </c>
      <c r="G13" s="1253" t="s">
        <v>1774</v>
      </c>
      <c r="H13" s="1253"/>
      <c r="I13" s="1253"/>
      <c r="J13" s="1253"/>
      <c r="K13" s="1253"/>
      <c r="L13" s="1253"/>
      <c r="M13" s="1253"/>
    </row>
    <row r="14" spans="1:13" ht="21">
      <c r="A14" s="1257" t="s">
        <v>63</v>
      </c>
      <c r="B14" s="1258" t="s">
        <v>64</v>
      </c>
      <c r="C14" s="1257"/>
      <c r="D14" s="1253"/>
      <c r="E14" s="1253"/>
      <c r="F14" s="1253"/>
      <c r="G14" s="1253"/>
      <c r="H14" s="1253"/>
      <c r="I14" s="1253"/>
      <c r="J14" s="1253"/>
      <c r="K14" s="1253"/>
      <c r="L14" s="1253"/>
      <c r="M14" s="1253"/>
    </row>
    <row r="15" spans="1:13" ht="31">
      <c r="A15" s="1253">
        <v>1</v>
      </c>
      <c r="B15" s="1253" t="s">
        <v>65</v>
      </c>
      <c r="C15" s="1253" t="s">
        <v>66</v>
      </c>
      <c r="D15" s="1253" t="s">
        <v>64</v>
      </c>
      <c r="E15" s="1253"/>
      <c r="F15" s="1253"/>
      <c r="G15" s="1253"/>
      <c r="H15" s="1253"/>
      <c r="I15" s="1253"/>
      <c r="J15" s="1253"/>
      <c r="K15" s="1253"/>
      <c r="L15" s="1253"/>
      <c r="M15" s="1253"/>
    </row>
    <row r="16" spans="1:13" ht="31">
      <c r="A16" s="1253">
        <v>2</v>
      </c>
      <c r="B16" s="1253" t="s">
        <v>67</v>
      </c>
      <c r="C16" s="1253" t="s">
        <v>68</v>
      </c>
      <c r="D16" s="1253" t="s">
        <v>64</v>
      </c>
      <c r="E16" s="1253"/>
      <c r="F16" s="1253"/>
      <c r="G16" s="1253"/>
      <c r="H16" s="1253"/>
      <c r="I16" s="1253"/>
      <c r="J16" s="1253"/>
      <c r="K16" s="1253"/>
      <c r="L16" s="1253"/>
      <c r="M16" s="1253"/>
    </row>
    <row r="17" spans="1:13" ht="31">
      <c r="A17" s="1253">
        <v>3</v>
      </c>
      <c r="B17" s="1253" t="s">
        <v>69</v>
      </c>
      <c r="C17" s="1253" t="s">
        <v>70</v>
      </c>
      <c r="D17" s="1253" t="s">
        <v>64</v>
      </c>
      <c r="E17" s="1253"/>
      <c r="F17" s="1253"/>
      <c r="G17" s="1253"/>
      <c r="H17" s="1253"/>
      <c r="I17" s="1253"/>
      <c r="J17" s="1253"/>
      <c r="K17" s="1253"/>
      <c r="L17" s="1253"/>
      <c r="M17" s="1253"/>
    </row>
    <row r="18" spans="1:13" ht="21">
      <c r="A18" s="1257" t="s">
        <v>71</v>
      </c>
      <c r="B18" s="1258" t="s">
        <v>72</v>
      </c>
      <c r="C18" s="1257"/>
      <c r="D18" s="1253"/>
      <c r="E18" s="1253"/>
      <c r="F18" s="1253"/>
      <c r="G18" s="1253"/>
      <c r="H18" s="1253"/>
      <c r="I18" s="1253"/>
      <c r="J18" s="1253"/>
      <c r="K18" s="1253"/>
      <c r="L18" s="1253"/>
      <c r="M18" s="1253"/>
    </row>
    <row r="19" spans="1:13" ht="14.5" customHeight="1">
      <c r="A19" s="1253">
        <v>1</v>
      </c>
      <c r="B19" s="1253" t="s">
        <v>73</v>
      </c>
      <c r="C19" s="1253" t="s">
        <v>74</v>
      </c>
      <c r="D19" s="1253" t="s">
        <v>1344</v>
      </c>
      <c r="E19" s="1253"/>
      <c r="F19" s="1253"/>
      <c r="G19" s="1253" t="s">
        <v>1775</v>
      </c>
      <c r="H19" s="1253"/>
      <c r="I19" s="1253"/>
      <c r="J19" s="1253"/>
      <c r="K19" s="1253"/>
      <c r="L19" s="1253"/>
      <c r="M19" s="1253"/>
    </row>
    <row r="20" spans="1:13" ht="31">
      <c r="A20" s="1253">
        <f>A19+1</f>
        <v>2</v>
      </c>
      <c r="B20" s="1253" t="s">
        <v>75</v>
      </c>
      <c r="C20" s="1253" t="s">
        <v>74</v>
      </c>
      <c r="D20" s="1253" t="s">
        <v>1593</v>
      </c>
      <c r="E20" s="1253"/>
      <c r="F20" s="1253"/>
      <c r="G20" s="1253"/>
      <c r="H20" s="1253"/>
      <c r="I20" s="1253"/>
      <c r="J20" s="1253"/>
      <c r="K20" s="1253"/>
      <c r="L20" s="1253"/>
      <c r="M20" s="1253"/>
    </row>
    <row r="21" spans="1:13" ht="41" customHeight="1">
      <c r="A21" s="1259" t="s">
        <v>44</v>
      </c>
      <c r="B21" s="1260" t="s">
        <v>76</v>
      </c>
      <c r="C21" s="1259"/>
      <c r="D21" s="1253"/>
      <c r="E21" s="1253"/>
      <c r="F21" s="1253"/>
      <c r="G21" s="1253"/>
      <c r="H21" s="1253"/>
      <c r="I21" s="1253"/>
      <c r="J21" s="1253"/>
      <c r="K21" s="1253"/>
      <c r="L21" s="1253"/>
      <c r="M21" s="1253"/>
    </row>
    <row r="22" spans="1:13" ht="41" customHeight="1">
      <c r="A22" s="1253">
        <v>1</v>
      </c>
      <c r="B22" s="1253" t="s">
        <v>1776</v>
      </c>
      <c r="C22" s="1253" t="s">
        <v>1777</v>
      </c>
      <c r="D22" s="1253" t="s">
        <v>1778</v>
      </c>
      <c r="E22" s="1253"/>
      <c r="F22" s="1253" t="s">
        <v>1779</v>
      </c>
      <c r="G22" s="1253"/>
      <c r="H22" s="1253"/>
      <c r="I22" s="1253"/>
      <c r="J22" s="1253"/>
      <c r="K22" s="1253"/>
      <c r="L22" s="1253"/>
      <c r="M22" s="1253"/>
    </row>
    <row r="23" spans="1:13" ht="31">
      <c r="A23" s="1253">
        <v>2</v>
      </c>
      <c r="B23" s="1253" t="s">
        <v>1780</v>
      </c>
      <c r="C23" s="1253" t="s">
        <v>1781</v>
      </c>
      <c r="D23" s="1253" t="s">
        <v>1778</v>
      </c>
      <c r="E23" s="1253"/>
      <c r="F23" s="1253"/>
      <c r="G23" s="1253"/>
      <c r="H23" s="1253"/>
      <c r="I23" s="1253"/>
      <c r="J23" s="1253"/>
      <c r="K23" s="1253"/>
      <c r="L23" s="1253"/>
      <c r="M23" s="1253"/>
    </row>
    <row r="24" spans="1:13" ht="31">
      <c r="A24" s="1253">
        <v>3</v>
      </c>
      <c r="B24" s="1253" t="s">
        <v>1782</v>
      </c>
      <c r="C24" s="1253" t="s">
        <v>1783</v>
      </c>
      <c r="D24" s="1253" t="s">
        <v>1778</v>
      </c>
      <c r="E24" s="1253" t="s">
        <v>1795</v>
      </c>
      <c r="F24" s="1253"/>
      <c r="G24" s="1253"/>
      <c r="H24" s="1253"/>
      <c r="I24" s="1253"/>
      <c r="J24" s="1253"/>
      <c r="K24" s="1253"/>
      <c r="L24" s="1253"/>
      <c r="M24" s="1253"/>
    </row>
    <row r="25" spans="1:13" ht="14.5" customHeight="1">
      <c r="A25" s="1253">
        <v>4</v>
      </c>
      <c r="B25" s="1253" t="s">
        <v>1784</v>
      </c>
      <c r="C25" s="1253" t="s">
        <v>1785</v>
      </c>
      <c r="D25" s="1253" t="s">
        <v>1778</v>
      </c>
      <c r="E25" s="1253"/>
      <c r="F25" s="1253"/>
      <c r="G25" s="1253"/>
      <c r="H25" s="1253"/>
      <c r="I25" s="1253"/>
      <c r="J25" s="1253"/>
      <c r="K25" s="1253"/>
      <c r="L25" s="1253"/>
      <c r="M25" s="1253"/>
    </row>
    <row r="26" spans="1:13" ht="31">
      <c r="A26" s="1253">
        <v>5</v>
      </c>
      <c r="B26" s="1253" t="s">
        <v>1786</v>
      </c>
      <c r="C26" s="1253" t="s">
        <v>1787</v>
      </c>
      <c r="D26" s="1253" t="s">
        <v>1778</v>
      </c>
      <c r="E26" s="1253"/>
      <c r="F26" s="1253"/>
      <c r="G26" s="1253"/>
      <c r="H26" s="1253"/>
      <c r="I26" s="1253"/>
      <c r="J26" s="1253"/>
      <c r="K26" s="1253"/>
      <c r="L26" s="1253"/>
      <c r="M26" s="1253"/>
    </row>
    <row r="27" spans="1:13" ht="29" customHeight="1">
      <c r="A27" s="1253">
        <v>6</v>
      </c>
      <c r="B27" s="1253" t="s">
        <v>1345</v>
      </c>
      <c r="C27" s="1253" t="s">
        <v>1788</v>
      </c>
      <c r="D27" s="1253"/>
      <c r="E27" s="1253"/>
      <c r="F27" s="1253" t="s">
        <v>1789</v>
      </c>
      <c r="G27" s="1253"/>
      <c r="H27" s="1253"/>
      <c r="I27" s="1253"/>
      <c r="J27" s="1253"/>
      <c r="K27" s="1253"/>
      <c r="L27" s="1253"/>
      <c r="M27" s="1253"/>
    </row>
    <row r="28" spans="1:13" ht="35" customHeight="1">
      <c r="A28" s="1261" t="s">
        <v>46</v>
      </c>
      <c r="B28" s="1262" t="s">
        <v>1315</v>
      </c>
      <c r="C28" s="1253"/>
      <c r="D28" s="1253"/>
      <c r="E28" s="1253"/>
      <c r="F28" s="1253"/>
      <c r="G28" s="1253"/>
      <c r="H28" s="1253"/>
      <c r="I28" s="1253"/>
      <c r="J28" s="1253"/>
      <c r="K28" s="1253"/>
      <c r="L28" s="1253"/>
      <c r="M28" s="1253"/>
    </row>
    <row r="29" spans="1:13" ht="31">
      <c r="A29" s="1253">
        <v>1</v>
      </c>
      <c r="B29" s="1253" t="s">
        <v>1316</v>
      </c>
      <c r="C29" s="1253"/>
      <c r="D29" s="1253" t="s">
        <v>1346</v>
      </c>
      <c r="E29" s="1253"/>
      <c r="F29" s="1253"/>
      <c r="G29" s="1253" t="s">
        <v>1797</v>
      </c>
      <c r="H29" s="1253"/>
      <c r="I29" s="1253"/>
      <c r="J29" s="1253"/>
      <c r="K29" s="1253"/>
      <c r="L29" s="1253"/>
      <c r="M29" s="1253"/>
    </row>
    <row r="30" spans="1:13" ht="46.5">
      <c r="A30" s="1253">
        <f>A29+1</f>
        <v>2</v>
      </c>
      <c r="B30" s="1253" t="s">
        <v>1317</v>
      </c>
      <c r="C30" s="1253"/>
      <c r="D30" s="1253" t="s">
        <v>1351</v>
      </c>
      <c r="E30" s="1253"/>
      <c r="F30" s="1253"/>
      <c r="G30" s="1255" t="s">
        <v>1790</v>
      </c>
      <c r="H30" s="1253"/>
      <c r="I30" s="1253"/>
      <c r="J30" s="1253"/>
      <c r="K30" s="1253"/>
      <c r="L30" s="1253"/>
      <c r="M30" s="1253"/>
    </row>
    <row r="31" spans="1:13" ht="46.5">
      <c r="A31" s="1253">
        <f t="shared" ref="A31:A33" si="0">A30+1</f>
        <v>3</v>
      </c>
      <c r="B31" s="1253" t="s">
        <v>1318</v>
      </c>
      <c r="C31" s="1253"/>
      <c r="D31" s="1253" t="s">
        <v>1347</v>
      </c>
      <c r="E31" s="1253"/>
      <c r="F31" s="1253"/>
      <c r="G31" s="1255" t="s">
        <v>1791</v>
      </c>
      <c r="H31" s="1253"/>
      <c r="I31" s="1253"/>
      <c r="J31" s="1253"/>
      <c r="K31" s="1253"/>
      <c r="L31" s="1253"/>
      <c r="M31" s="1253"/>
    </row>
    <row r="32" spans="1:13" ht="46.5">
      <c r="A32" s="1253">
        <f t="shared" si="0"/>
        <v>4</v>
      </c>
      <c r="B32" s="1253" t="s">
        <v>1314</v>
      </c>
      <c r="C32" s="1253"/>
      <c r="D32" s="1253" t="s">
        <v>1348</v>
      </c>
      <c r="E32" s="1253"/>
      <c r="F32" s="1253"/>
      <c r="G32" s="1255" t="s">
        <v>1792</v>
      </c>
      <c r="H32" s="1253"/>
      <c r="I32" s="1253"/>
      <c r="J32" s="1253"/>
      <c r="K32" s="1253"/>
      <c r="L32" s="1253"/>
      <c r="M32" s="1253"/>
    </row>
    <row r="33" spans="1:13" ht="46.5">
      <c r="A33" s="1253">
        <f t="shared" si="0"/>
        <v>5</v>
      </c>
      <c r="B33" s="1253" t="s">
        <v>1319</v>
      </c>
      <c r="C33" s="1253"/>
      <c r="D33" s="1253" t="s">
        <v>1349</v>
      </c>
      <c r="E33" s="1253"/>
      <c r="F33" s="1253"/>
      <c r="G33" s="1255" t="s">
        <v>1790</v>
      </c>
      <c r="H33" s="1253"/>
      <c r="I33" s="1253"/>
      <c r="J33" s="1253"/>
      <c r="K33" s="1253"/>
      <c r="L33" s="1253"/>
      <c r="M33" s="1253"/>
    </row>
    <row r="34" spans="1:13" ht="57.5">
      <c r="A34" s="1253">
        <v>6</v>
      </c>
      <c r="B34" s="1253" t="s">
        <v>1320</v>
      </c>
      <c r="C34" s="1253"/>
      <c r="D34" s="1253" t="s">
        <v>1665</v>
      </c>
      <c r="E34" s="1253"/>
      <c r="F34" s="1253"/>
      <c r="G34" s="1256" t="s">
        <v>1793</v>
      </c>
      <c r="H34" s="1253"/>
      <c r="I34" s="1253"/>
      <c r="J34" s="1253"/>
      <c r="K34" s="1253"/>
      <c r="L34" s="1253"/>
      <c r="M34" s="1253"/>
    </row>
    <row r="42" spans="1:13" ht="16">
      <c r="C42" s="937"/>
      <c r="D42" s="937"/>
      <c r="E42" s="937"/>
      <c r="F42" s="937"/>
    </row>
    <row r="43" spans="1:13" ht="16">
      <c r="C43" s="937"/>
      <c r="D43" s="938"/>
      <c r="E43" s="939"/>
      <c r="F43" s="939"/>
    </row>
    <row r="44" spans="1:13" ht="16">
      <c r="C44" s="937"/>
      <c r="D44" s="938"/>
      <c r="E44" s="939"/>
      <c r="F44" s="939"/>
    </row>
    <row r="45" spans="1:13" ht="16">
      <c r="C45" s="937"/>
      <c r="D45" s="938"/>
      <c r="E45" s="939"/>
      <c r="F45" s="939"/>
    </row>
    <row r="46" spans="1:13" ht="16">
      <c r="C46" s="937"/>
      <c r="D46" s="938"/>
      <c r="E46" s="939"/>
      <c r="F46" s="939"/>
    </row>
    <row r="47" spans="1:13" ht="16">
      <c r="C47" s="937"/>
      <c r="D47" s="938"/>
      <c r="E47" s="939"/>
      <c r="F47" s="939"/>
    </row>
    <row r="48" spans="1:13" ht="16">
      <c r="C48" s="937"/>
      <c r="D48" s="940"/>
      <c r="E48" s="941"/>
      <c r="F48" s="939"/>
    </row>
    <row r="182" spans="2:2">
      <c r="B182" s="310"/>
    </row>
    <row r="183" spans="2:2">
      <c r="B183" s="310"/>
    </row>
    <row r="184" spans="2:2">
      <c r="B184" s="310"/>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299" spans="29:29">
      <c r="AC299">
        <v>185</v>
      </c>
    </row>
    <row r="300" spans="29:29">
      <c r="AC300">
        <v>5</v>
      </c>
    </row>
  </sheetData>
  <protectedRanges>
    <protectedRange sqref="L9:M16 C25:C26 A29:A33 B27:E27 F14:G21 J11:K16 I11 I13:I16 B14:E24 A1:M2 H7:K9 A14:A27 H3:M6" name="Range1_6"/>
    <protectedRange sqref="B28" name="Range1_1_1_3"/>
    <protectedRange sqref="B29:B33" name="Range1_3_2_3"/>
    <protectedRange sqref="D34" name="Range1_4_3"/>
  </protectedRanges>
  <mergeCells count="4">
    <mergeCell ref="D1:E1"/>
    <mergeCell ref="G1:I1"/>
    <mergeCell ref="D2:E2"/>
    <mergeCell ref="G7:M9"/>
  </mergeCells>
  <phoneticPr fontId="19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1" t="s">
        <v>218</v>
      </c>
      <c r="C1" s="322"/>
      <c r="D1" s="321"/>
      <c r="E1" s="322"/>
      <c r="F1" s="322"/>
      <c r="G1" s="322"/>
      <c r="H1" s="321"/>
      <c r="I1" s="321"/>
      <c r="J1" s="57">
        <f>SUBTOTAL(3,J5:J24)</f>
        <v>18</v>
      </c>
      <c r="K1" s="321"/>
      <c r="L1" s="321"/>
    </row>
    <row r="2" spans="2:12">
      <c r="B2" s="1403" t="s">
        <v>203</v>
      </c>
      <c r="C2" s="1403" t="s">
        <v>204</v>
      </c>
      <c r="D2" s="1405" t="s">
        <v>219</v>
      </c>
      <c r="E2" s="1403" t="s">
        <v>205</v>
      </c>
      <c r="F2" s="1404" t="s">
        <v>220</v>
      </c>
      <c r="G2" s="1403" t="s">
        <v>221</v>
      </c>
      <c r="H2" s="1403"/>
      <c r="I2" s="1403"/>
      <c r="J2" s="1403"/>
      <c r="K2" s="1403"/>
      <c r="L2" s="321"/>
    </row>
    <row r="3" spans="2:12" ht="26">
      <c r="B3" s="1404"/>
      <c r="C3" s="1404"/>
      <c r="D3" s="1405"/>
      <c r="E3" s="1404"/>
      <c r="F3" s="1406"/>
      <c r="G3" s="1404"/>
      <c r="H3" s="312" t="s">
        <v>222</v>
      </c>
      <c r="I3" s="312" t="s">
        <v>208</v>
      </c>
      <c r="J3" s="311" t="s">
        <v>223</v>
      </c>
      <c r="K3" s="311" t="s">
        <v>224</v>
      </c>
      <c r="L3" s="311" t="s">
        <v>34</v>
      </c>
    </row>
    <row r="4" spans="2:12" ht="26">
      <c r="B4" s="323">
        <v>1</v>
      </c>
      <c r="C4" s="309" t="s">
        <v>225</v>
      </c>
      <c r="D4" s="309" t="s">
        <v>225</v>
      </c>
      <c r="E4" s="309" t="s">
        <v>185</v>
      </c>
      <c r="F4" s="309"/>
      <c r="G4" s="309" t="s">
        <v>210</v>
      </c>
      <c r="H4" s="314">
        <v>45665</v>
      </c>
      <c r="I4" s="314">
        <v>45674</v>
      </c>
      <c r="J4" s="309" t="s">
        <v>226</v>
      </c>
      <c r="K4" s="344">
        <v>45674</v>
      </c>
      <c r="L4" s="345" t="s">
        <v>103</v>
      </c>
    </row>
    <row r="5" spans="2:12" ht="26">
      <c r="B5" s="325">
        <f>B4+1</f>
        <v>2</v>
      </c>
      <c r="C5" s="325" t="s">
        <v>227</v>
      </c>
      <c r="D5" s="309" t="s">
        <v>227</v>
      </c>
      <c r="E5" s="309" t="s">
        <v>182</v>
      </c>
      <c r="F5" s="309"/>
      <c r="G5" s="309" t="s">
        <v>210</v>
      </c>
      <c r="H5" s="314">
        <v>45675</v>
      </c>
      <c r="I5" s="346" t="s">
        <v>228</v>
      </c>
      <c r="J5" s="309" t="s">
        <v>226</v>
      </c>
      <c r="K5" s="346" t="s">
        <v>229</v>
      </c>
      <c r="L5" s="327" t="s">
        <v>230</v>
      </c>
    </row>
    <row r="6" spans="2:12">
      <c r="B6" s="325">
        <f t="shared" ref="B6:B29" si="0">B5+1</f>
        <v>3</v>
      </c>
      <c r="C6" s="325" t="s">
        <v>231</v>
      </c>
      <c r="D6" s="326" t="s">
        <v>231</v>
      </c>
      <c r="E6" s="309" t="s">
        <v>182</v>
      </c>
      <c r="F6" s="309"/>
      <c r="G6" s="309" t="s">
        <v>210</v>
      </c>
      <c r="H6" s="314">
        <v>45675</v>
      </c>
      <c r="I6" s="314">
        <v>45684</v>
      </c>
      <c r="J6" s="309" t="s">
        <v>232</v>
      </c>
      <c r="K6" s="346"/>
      <c r="L6" s="345" t="s">
        <v>233</v>
      </c>
    </row>
    <row r="7" spans="2:12">
      <c r="B7" s="325">
        <f t="shared" si="0"/>
        <v>4</v>
      </c>
      <c r="C7" s="326" t="s">
        <v>209</v>
      </c>
      <c r="D7" s="327"/>
      <c r="E7" s="309" t="s">
        <v>182</v>
      </c>
      <c r="F7" s="325"/>
      <c r="G7" s="309" t="s">
        <v>210</v>
      </c>
      <c r="H7" s="314">
        <v>45685</v>
      </c>
      <c r="I7" s="314">
        <v>45690</v>
      </c>
      <c r="J7" s="309" t="s">
        <v>232</v>
      </c>
      <c r="K7" s="347"/>
      <c r="L7" s="345" t="s">
        <v>211</v>
      </c>
    </row>
    <row r="8" spans="2:12">
      <c r="B8" s="325">
        <f t="shared" si="0"/>
        <v>5</v>
      </c>
      <c r="C8" s="326" t="s">
        <v>212</v>
      </c>
      <c r="D8" s="327"/>
      <c r="E8" s="309" t="s">
        <v>182</v>
      </c>
      <c r="F8" s="325"/>
      <c r="G8" s="309" t="s">
        <v>210</v>
      </c>
      <c r="H8" s="314">
        <v>45685</v>
      </c>
      <c r="I8" s="314">
        <v>45693</v>
      </c>
      <c r="J8" s="309" t="s">
        <v>232</v>
      </c>
      <c r="K8" s="347"/>
      <c r="L8" s="345" t="s">
        <v>234</v>
      </c>
    </row>
    <row r="9" spans="2:12" ht="39">
      <c r="B9" s="325">
        <f t="shared" si="0"/>
        <v>6</v>
      </c>
      <c r="C9" s="326" t="s">
        <v>213</v>
      </c>
      <c r="D9" s="327"/>
      <c r="E9" s="309" t="s">
        <v>182</v>
      </c>
      <c r="F9" s="325"/>
      <c r="G9" s="309" t="s">
        <v>210</v>
      </c>
      <c r="H9" s="314">
        <v>45686</v>
      </c>
      <c r="I9" s="314">
        <v>45693</v>
      </c>
      <c r="J9" s="309" t="s">
        <v>235</v>
      </c>
      <c r="K9" s="347"/>
      <c r="L9" s="345" t="s">
        <v>211</v>
      </c>
    </row>
    <row r="10" spans="2:12" ht="39">
      <c r="B10" s="325">
        <f t="shared" si="0"/>
        <v>7</v>
      </c>
      <c r="C10" s="326" t="s">
        <v>214</v>
      </c>
      <c r="D10" s="327"/>
      <c r="E10" s="309" t="s">
        <v>185</v>
      </c>
      <c r="F10" s="325"/>
      <c r="G10" s="309" t="s">
        <v>210</v>
      </c>
      <c r="H10" s="314">
        <v>45691</v>
      </c>
      <c r="I10" s="314">
        <v>45698</v>
      </c>
      <c r="J10" s="309" t="s">
        <v>235</v>
      </c>
      <c r="K10" s="347"/>
      <c r="L10" s="345" t="s">
        <v>234</v>
      </c>
    </row>
    <row r="11" spans="2:12" ht="39">
      <c r="B11" s="325">
        <f t="shared" si="0"/>
        <v>8</v>
      </c>
      <c r="C11" s="326" t="s">
        <v>236</v>
      </c>
      <c r="D11" s="327"/>
      <c r="E11" s="309" t="s">
        <v>182</v>
      </c>
      <c r="F11" s="325"/>
      <c r="G11" s="309" t="s">
        <v>210</v>
      </c>
      <c r="H11" s="314">
        <v>45697</v>
      </c>
      <c r="I11" s="314">
        <v>45705</v>
      </c>
      <c r="J11" s="309" t="s">
        <v>235</v>
      </c>
      <c r="K11" s="347"/>
      <c r="L11" s="345" t="s">
        <v>234</v>
      </c>
    </row>
    <row r="12" spans="2:12" ht="39">
      <c r="B12" s="325">
        <f t="shared" si="0"/>
        <v>9</v>
      </c>
      <c r="C12" s="326" t="s">
        <v>237</v>
      </c>
      <c r="D12" s="327"/>
      <c r="E12" s="309" t="s">
        <v>182</v>
      </c>
      <c r="F12" s="325"/>
      <c r="G12" s="309" t="s">
        <v>210</v>
      </c>
      <c r="H12" s="314">
        <v>45700</v>
      </c>
      <c r="I12" s="314">
        <v>45706</v>
      </c>
      <c r="J12" s="309" t="s">
        <v>235</v>
      </c>
      <c r="K12" s="347"/>
      <c r="L12" s="345" t="s">
        <v>234</v>
      </c>
    </row>
    <row r="13" spans="2:12" ht="39">
      <c r="B13" s="325">
        <f t="shared" si="0"/>
        <v>10</v>
      </c>
      <c r="C13" s="326" t="s">
        <v>215</v>
      </c>
      <c r="D13" s="327"/>
      <c r="E13" s="309" t="s">
        <v>182</v>
      </c>
      <c r="F13" s="325"/>
      <c r="G13" s="309" t="s">
        <v>210</v>
      </c>
      <c r="H13" s="314">
        <v>45691</v>
      </c>
      <c r="I13" s="314">
        <v>45699</v>
      </c>
      <c r="J13" s="309" t="s">
        <v>238</v>
      </c>
      <c r="K13" s="347"/>
      <c r="L13" s="345" t="s">
        <v>234</v>
      </c>
    </row>
    <row r="14" spans="2:12">
      <c r="B14" s="325">
        <f t="shared" si="0"/>
        <v>11</v>
      </c>
      <c r="C14" s="326" t="s">
        <v>216</v>
      </c>
      <c r="D14" s="327"/>
      <c r="E14" s="309" t="s">
        <v>185</v>
      </c>
      <c r="F14" s="325"/>
      <c r="G14" s="309" t="s">
        <v>210</v>
      </c>
      <c r="H14" s="314">
        <v>45691</v>
      </c>
      <c r="I14" s="314">
        <v>45697</v>
      </c>
      <c r="J14" s="309" t="s">
        <v>232</v>
      </c>
      <c r="K14" s="347"/>
      <c r="L14" s="345" t="s">
        <v>211</v>
      </c>
    </row>
    <row r="15" spans="2:12">
      <c r="B15" s="325">
        <f t="shared" si="0"/>
        <v>12</v>
      </c>
      <c r="C15" s="326" t="s">
        <v>239</v>
      </c>
      <c r="D15" s="327"/>
      <c r="E15" s="309" t="s">
        <v>182</v>
      </c>
      <c r="F15" s="325"/>
      <c r="G15" s="309" t="s">
        <v>210</v>
      </c>
      <c r="H15" s="314">
        <v>45696</v>
      </c>
      <c r="I15" s="314">
        <v>45702</v>
      </c>
      <c r="J15" s="309" t="s">
        <v>232</v>
      </c>
      <c r="K15" s="347"/>
      <c r="L15" s="345" t="s">
        <v>234</v>
      </c>
    </row>
    <row r="16" spans="2:12" ht="39">
      <c r="B16" s="325">
        <f t="shared" si="0"/>
        <v>13</v>
      </c>
      <c r="C16" s="326" t="s">
        <v>240</v>
      </c>
      <c r="D16" s="327"/>
      <c r="E16" s="309" t="s">
        <v>185</v>
      </c>
      <c r="F16" s="325"/>
      <c r="G16" s="309" t="s">
        <v>210</v>
      </c>
      <c r="H16" s="314">
        <v>42046</v>
      </c>
      <c r="I16" s="314">
        <v>45705</v>
      </c>
      <c r="J16" s="309" t="s">
        <v>238</v>
      </c>
      <c r="K16" s="347"/>
      <c r="L16" s="345" t="s">
        <v>234</v>
      </c>
    </row>
    <row r="17" spans="2:12">
      <c r="B17" s="325">
        <f t="shared" si="0"/>
        <v>14</v>
      </c>
      <c r="C17" s="326" t="s">
        <v>241</v>
      </c>
      <c r="D17" s="327"/>
      <c r="E17" s="309" t="s">
        <v>242</v>
      </c>
      <c r="F17" s="325"/>
      <c r="G17" s="309" t="s">
        <v>210</v>
      </c>
      <c r="H17" s="314">
        <v>45701</v>
      </c>
      <c r="I17" s="346"/>
      <c r="J17" s="309" t="s">
        <v>232</v>
      </c>
      <c r="K17" s="347"/>
      <c r="L17" s="348" t="s">
        <v>243</v>
      </c>
    </row>
    <row r="18" spans="2:12" ht="39">
      <c r="B18" s="325">
        <f t="shared" si="0"/>
        <v>15</v>
      </c>
      <c r="C18" s="326" t="s">
        <v>244</v>
      </c>
      <c r="D18" s="327"/>
      <c r="E18" s="309" t="s">
        <v>182</v>
      </c>
      <c r="F18" s="325"/>
      <c r="G18" s="309" t="s">
        <v>210</v>
      </c>
      <c r="H18" s="314">
        <v>45698</v>
      </c>
      <c r="I18" s="346"/>
      <c r="J18" s="309" t="s">
        <v>245</v>
      </c>
      <c r="K18" s="347"/>
      <c r="L18" s="348" t="s">
        <v>246</v>
      </c>
    </row>
    <row r="19" spans="2:12" ht="39">
      <c r="B19" s="325">
        <f t="shared" si="0"/>
        <v>16</v>
      </c>
      <c r="C19" s="326" t="s">
        <v>247</v>
      </c>
      <c r="D19" s="327"/>
      <c r="E19" s="309" t="s">
        <v>248</v>
      </c>
      <c r="F19" s="325"/>
      <c r="G19" s="309" t="s">
        <v>210</v>
      </c>
      <c r="H19" s="314">
        <v>45705</v>
      </c>
      <c r="I19" s="346"/>
      <c r="J19" s="309" t="s">
        <v>249</v>
      </c>
      <c r="K19" s="347"/>
      <c r="L19" s="348" t="s">
        <v>250</v>
      </c>
    </row>
    <row r="20" spans="2:12" ht="39">
      <c r="B20" s="325">
        <f t="shared" si="0"/>
        <v>17</v>
      </c>
      <c r="C20" s="326" t="s">
        <v>251</v>
      </c>
      <c r="D20" s="327"/>
      <c r="E20" s="309" t="s">
        <v>248</v>
      </c>
      <c r="F20" s="325"/>
      <c r="G20" s="309" t="s">
        <v>210</v>
      </c>
      <c r="H20" s="314">
        <v>45705</v>
      </c>
      <c r="I20" s="346"/>
      <c r="J20" s="309" t="s">
        <v>235</v>
      </c>
      <c r="K20" s="347"/>
      <c r="L20" s="348" t="s">
        <v>252</v>
      </c>
    </row>
    <row r="21" spans="2:12" ht="39">
      <c r="B21" s="325">
        <f t="shared" si="0"/>
        <v>18</v>
      </c>
      <c r="C21" s="326" t="s">
        <v>253</v>
      </c>
      <c r="D21" s="327"/>
      <c r="E21" s="309" t="s">
        <v>248</v>
      </c>
      <c r="F21" s="325"/>
      <c r="G21" s="309" t="s">
        <v>210</v>
      </c>
      <c r="H21" s="314">
        <v>45705</v>
      </c>
      <c r="I21" s="346"/>
      <c r="J21" s="309" t="s">
        <v>254</v>
      </c>
      <c r="K21" s="347"/>
      <c r="L21" s="348" t="s">
        <v>252</v>
      </c>
    </row>
    <row r="22" spans="2:12" ht="39">
      <c r="B22" s="325">
        <f t="shared" si="0"/>
        <v>19</v>
      </c>
      <c r="C22" s="326" t="s">
        <v>217</v>
      </c>
      <c r="D22" s="327"/>
      <c r="E22" s="309" t="s">
        <v>182</v>
      </c>
      <c r="F22" s="325"/>
      <c r="G22" s="309" t="s">
        <v>210</v>
      </c>
      <c r="H22" s="337"/>
      <c r="I22" s="346"/>
      <c r="J22" s="309" t="s">
        <v>255</v>
      </c>
      <c r="K22" s="347"/>
      <c r="L22" s="327" t="s">
        <v>256</v>
      </c>
    </row>
    <row r="23" spans="2:12">
      <c r="B23" s="325">
        <f t="shared" si="0"/>
        <v>20</v>
      </c>
      <c r="C23" s="338" t="s">
        <v>257</v>
      </c>
      <c r="D23" s="339"/>
      <c r="E23" s="340"/>
      <c r="F23" s="341"/>
      <c r="G23" s="342"/>
      <c r="H23" s="339"/>
      <c r="I23" s="341"/>
      <c r="J23" s="342"/>
      <c r="K23" s="339"/>
      <c r="L23" s="349"/>
    </row>
    <row r="24" spans="2:12">
      <c r="B24" s="325">
        <f t="shared" si="0"/>
        <v>21</v>
      </c>
      <c r="C24" s="338" t="s">
        <v>258</v>
      </c>
      <c r="D24" s="339"/>
      <c r="E24" s="340"/>
      <c r="F24" s="341"/>
      <c r="G24" s="340"/>
      <c r="H24" s="339"/>
      <c r="I24" s="341"/>
      <c r="J24" s="340"/>
      <c r="K24" s="339"/>
      <c r="L24" s="349"/>
    </row>
    <row r="25" spans="2:12">
      <c r="B25" s="325">
        <f t="shared" si="0"/>
        <v>22</v>
      </c>
      <c r="C25" s="343" t="s">
        <v>259</v>
      </c>
      <c r="D25" s="339"/>
      <c r="E25" s="343"/>
      <c r="F25" s="341"/>
      <c r="G25" s="343"/>
      <c r="H25" s="339"/>
      <c r="I25" s="341"/>
      <c r="J25" s="343"/>
      <c r="K25" s="339"/>
      <c r="L25" s="349"/>
    </row>
    <row r="26" spans="2:12">
      <c r="B26" s="325">
        <f t="shared" si="0"/>
        <v>23</v>
      </c>
      <c r="C26" s="343" t="s">
        <v>260</v>
      </c>
      <c r="D26" s="339"/>
      <c r="E26" s="343"/>
      <c r="F26" s="343"/>
      <c r="G26" s="343"/>
      <c r="H26" s="339"/>
      <c r="I26" s="343"/>
      <c r="J26" s="343"/>
      <c r="K26" s="339"/>
      <c r="L26" s="349"/>
    </row>
    <row r="27" spans="2:12">
      <c r="B27" s="325">
        <f t="shared" si="0"/>
        <v>24</v>
      </c>
      <c r="C27" s="343" t="s">
        <v>261</v>
      </c>
      <c r="D27" s="339"/>
      <c r="E27" s="343"/>
      <c r="F27" s="343"/>
      <c r="G27" s="343"/>
      <c r="H27" s="339"/>
      <c r="I27" s="343"/>
      <c r="J27" s="343"/>
      <c r="K27" s="339"/>
      <c r="L27" s="349"/>
    </row>
    <row r="28" spans="2:12">
      <c r="B28" s="325">
        <f t="shared" si="0"/>
        <v>25</v>
      </c>
      <c r="C28" s="343" t="s">
        <v>262</v>
      </c>
      <c r="D28" s="339"/>
      <c r="E28" s="343"/>
      <c r="F28" s="343"/>
      <c r="G28" s="343"/>
      <c r="H28" s="339"/>
      <c r="I28" s="343"/>
      <c r="J28" s="343"/>
      <c r="K28" s="339"/>
      <c r="L28" s="349"/>
    </row>
    <row r="29" spans="2:12">
      <c r="B29" s="325">
        <f t="shared" si="0"/>
        <v>26</v>
      </c>
      <c r="C29" s="343" t="s">
        <v>263</v>
      </c>
      <c r="D29" s="339"/>
      <c r="E29" s="343"/>
      <c r="F29" s="343"/>
      <c r="G29" s="343"/>
      <c r="H29" s="339"/>
      <c r="I29" s="343"/>
      <c r="J29" s="343"/>
      <c r="K29" s="339"/>
      <c r="L29" s="349"/>
    </row>
  </sheetData>
  <mergeCells count="7">
    <mergeCell ref="H2:K2"/>
    <mergeCell ref="B2:B3"/>
    <mergeCell ref="C2:C3"/>
    <mergeCell ref="D2:D3"/>
    <mergeCell ref="E2:E3"/>
    <mergeCell ref="F2:F3"/>
    <mergeCell ref="G2:G3"/>
  </mergeCells>
  <conditionalFormatting sqref="C2:C3">
    <cfRule type="duplicateValues" dxfId="4886" priority="7"/>
    <cfRule type="duplicateValues" dxfId="4885" priority="8"/>
    <cfRule type="duplicateValues" dxfId="4884" priority="9" stopIfTrue="1"/>
  </conditionalFormatting>
  <conditionalFormatting sqref="C7:C22">
    <cfRule type="duplicateValues" dxfId="4883" priority="22"/>
    <cfRule type="duplicateValues" dxfId="4882" priority="26"/>
    <cfRule type="duplicateValues" dxfId="4881" priority="27" stopIfTrue="1"/>
  </conditionalFormatting>
  <conditionalFormatting sqref="C23:C24">
    <cfRule type="duplicateValues" dxfId="4880" priority="125"/>
  </conditionalFormatting>
  <conditionalFormatting sqref="C23:C29">
    <cfRule type="duplicateValues" dxfId="4879" priority="127" stopIfTrue="1"/>
    <cfRule type="duplicateValues" dxfId="4878" priority="129"/>
  </conditionalFormatting>
  <conditionalFormatting sqref="D4 D6 D5:G5">
    <cfRule type="duplicateValues" dxfId="4877" priority="19"/>
    <cfRule type="duplicateValues" dxfId="4876" priority="20"/>
    <cfRule type="duplicateValues" dxfId="4875" priority="21" stopIfTrue="1"/>
  </conditionalFormatting>
  <conditionalFormatting sqref="E11">
    <cfRule type="duplicateValues" dxfId="4874" priority="13"/>
    <cfRule type="duplicateValues" dxfId="4873" priority="14"/>
    <cfRule type="duplicateValues" dxfId="4872" priority="15" stopIfTrue="1"/>
  </conditionalFormatting>
  <conditionalFormatting sqref="E12">
    <cfRule type="duplicateValues" dxfId="4871" priority="10"/>
    <cfRule type="duplicateValues" dxfId="4870" priority="11"/>
    <cfRule type="duplicateValues" dxfId="4869" priority="12" stopIfTrue="1"/>
  </conditionalFormatting>
  <conditionalFormatting sqref="E17">
    <cfRule type="duplicateValues" dxfId="4868" priority="23"/>
    <cfRule type="duplicateValues" dxfId="4867" priority="24"/>
    <cfRule type="duplicateValues" dxfId="4866" priority="25" stopIfTrue="1"/>
  </conditionalFormatting>
  <conditionalFormatting sqref="E23:E24">
    <cfRule type="duplicateValues" dxfId="4865" priority="119"/>
    <cfRule type="duplicateValues" dxfId="4864" priority="120"/>
    <cfRule type="duplicateValues" dxfId="4863" priority="121" stopIfTrue="1"/>
  </conditionalFormatting>
  <conditionalFormatting sqref="E6:G6">
    <cfRule type="duplicateValues" dxfId="4862" priority="16"/>
    <cfRule type="duplicateValues" dxfId="4861" priority="17"/>
    <cfRule type="duplicateValues" dxfId="4860"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20" t="s">
        <v>298</v>
      </c>
      <c r="C1" s="1421"/>
      <c r="D1" s="1421"/>
      <c r="E1" s="1421"/>
      <c r="F1" s="1421"/>
      <c r="G1" s="1421"/>
      <c r="H1" s="1421"/>
      <c r="I1" s="1421"/>
      <c r="J1" s="1421"/>
      <c r="K1" s="1421"/>
      <c r="L1" s="1421"/>
      <c r="M1" s="1421"/>
      <c r="N1" s="1421"/>
      <c r="O1" s="1421"/>
      <c r="P1" s="1421"/>
      <c r="Q1" s="1421"/>
      <c r="R1" s="1421"/>
      <c r="S1" s="1421"/>
      <c r="T1" s="1421"/>
      <c r="U1" s="1422"/>
      <c r="V1" s="166"/>
    </row>
    <row r="2" spans="1:22">
      <c r="A2" s="1423" t="s">
        <v>299</v>
      </c>
      <c r="B2" s="1424"/>
      <c r="C2" s="1424"/>
      <c r="D2" s="1424"/>
      <c r="E2" s="1424"/>
      <c r="F2" s="1424"/>
      <c r="G2" s="1424"/>
      <c r="H2" s="1424"/>
      <c r="I2" s="1424"/>
      <c r="J2" s="1424"/>
      <c r="K2" s="1424"/>
      <c r="L2" s="1424"/>
      <c r="M2" s="1424"/>
      <c r="N2" s="1424"/>
      <c r="O2" s="1424"/>
      <c r="P2" s="1424"/>
      <c r="Q2" s="1424"/>
      <c r="R2" s="1424"/>
      <c r="S2" s="1424"/>
      <c r="T2" s="142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14" t="s">
        <v>300</v>
      </c>
      <c r="B4" s="1415"/>
      <c r="C4" s="127"/>
      <c r="D4" s="1416" t="s">
        <v>301</v>
      </c>
      <c r="E4" s="1417"/>
      <c r="F4" s="1409" t="s">
        <v>302</v>
      </c>
      <c r="G4" s="1410" t="s">
        <v>303</v>
      </c>
      <c r="H4" s="1410" t="s">
        <v>304</v>
      </c>
      <c r="I4" s="1410"/>
      <c r="J4" s="1410"/>
      <c r="K4" s="128" t="s">
        <v>305</v>
      </c>
      <c r="L4" s="1426" t="s">
        <v>306</v>
      </c>
      <c r="M4" s="1427"/>
      <c r="N4" s="1428"/>
      <c r="O4" s="1410" t="s">
        <v>307</v>
      </c>
      <c r="P4" s="1410"/>
      <c r="Q4" s="1410"/>
      <c r="R4" s="1429"/>
      <c r="S4" s="1429"/>
      <c r="T4" s="1429"/>
      <c r="U4" s="264"/>
    </row>
    <row r="5" spans="1:22">
      <c r="A5" s="1414"/>
      <c r="B5" s="1415"/>
      <c r="C5" s="127"/>
      <c r="D5" s="1418"/>
      <c r="E5" s="1419"/>
      <c r="F5" s="1409"/>
      <c r="G5" s="1410"/>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407"/>
      <c r="E6" s="140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85" t="s">
        <v>272</v>
      </c>
      <c r="F13" s="145"/>
      <c r="G13" s="385" t="s">
        <v>273</v>
      </c>
      <c r="H13" s="145"/>
      <c r="I13" s="385" t="s">
        <v>311</v>
      </c>
      <c r="J13" s="133"/>
      <c r="K13" s="144" t="s">
        <v>312</v>
      </c>
      <c r="L13" s="133"/>
      <c r="M13" s="385" t="s">
        <v>313</v>
      </c>
      <c r="N13" s="133"/>
      <c r="O13" s="144" t="s">
        <v>314</v>
      </c>
      <c r="P13" s="133"/>
      <c r="Q13" s="144" t="s">
        <v>315</v>
      </c>
      <c r="R13" s="133"/>
      <c r="S13" s="38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86" t="s">
        <v>320</v>
      </c>
      <c r="C22" s="133"/>
      <c r="D22" s="386" t="s">
        <v>321</v>
      </c>
      <c r="E22" s="133"/>
      <c r="F22" s="144" t="s">
        <v>322</v>
      </c>
      <c r="G22" s="133"/>
      <c r="H22" s="144" t="s">
        <v>323</v>
      </c>
      <c r="I22" s="133"/>
      <c r="J22" s="144" t="s">
        <v>324</v>
      </c>
      <c r="K22" s="133"/>
      <c r="L22" s="386" t="s">
        <v>325</v>
      </c>
      <c r="M22" s="133"/>
      <c r="N22" s="144" t="s">
        <v>326</v>
      </c>
      <c r="O22" s="133"/>
      <c r="P22" s="386" t="s">
        <v>327</v>
      </c>
      <c r="Q22" s="133"/>
      <c r="R22" s="38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86" t="s">
        <v>335</v>
      </c>
      <c r="G31" s="133"/>
      <c r="H31" s="144" t="s">
        <v>336</v>
      </c>
      <c r="I31" s="133"/>
      <c r="J31" s="386" t="s">
        <v>337</v>
      </c>
      <c r="K31" s="133"/>
      <c r="L31" s="386" t="s">
        <v>338</v>
      </c>
      <c r="M31" s="133"/>
      <c r="N31" s="386" t="s">
        <v>339</v>
      </c>
      <c r="O31" s="133"/>
      <c r="P31" s="144" t="s">
        <v>340</v>
      </c>
      <c r="Q31" s="133"/>
      <c r="R31" s="38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86" t="s">
        <v>346</v>
      </c>
      <c r="C40" s="133"/>
      <c r="D40" s="386" t="s">
        <v>347</v>
      </c>
      <c r="E40" s="133"/>
      <c r="F40" s="386" t="s">
        <v>348</v>
      </c>
      <c r="G40" s="133"/>
      <c r="H40" s="386" t="s">
        <v>282</v>
      </c>
      <c r="I40" s="133"/>
      <c r="J40" s="386" t="s">
        <v>283</v>
      </c>
      <c r="K40" s="133"/>
      <c r="L40" s="144" t="s">
        <v>349</v>
      </c>
      <c r="M40" s="133"/>
      <c r="N40" s="386" t="s">
        <v>350</v>
      </c>
      <c r="O40" s="133"/>
      <c r="P40" s="144" t="s">
        <v>351</v>
      </c>
      <c r="Q40" s="133"/>
      <c r="R40" s="386" t="s">
        <v>352</v>
      </c>
      <c r="S40" s="133"/>
      <c r="T40" s="38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86" t="s">
        <v>274</v>
      </c>
      <c r="C48" s="133"/>
      <c r="D48" s="386" t="s">
        <v>275</v>
      </c>
      <c r="E48" s="133"/>
      <c r="F48" s="386" t="s">
        <v>355</v>
      </c>
      <c r="G48" s="133"/>
      <c r="H48" s="386" t="s">
        <v>284</v>
      </c>
      <c r="I48" s="133"/>
      <c r="J48" s="386" t="s">
        <v>285</v>
      </c>
      <c r="K48" s="133"/>
      <c r="L48" s="144" t="s">
        <v>356</v>
      </c>
      <c r="M48" s="133"/>
      <c r="N48" s="144" t="s">
        <v>357</v>
      </c>
      <c r="O48" s="133"/>
      <c r="P48" s="144" t="s">
        <v>154</v>
      </c>
      <c r="Q48" s="133"/>
      <c r="R48" s="386" t="s">
        <v>247</v>
      </c>
      <c r="S48" s="133"/>
      <c r="T48" s="38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86" t="s">
        <v>261</v>
      </c>
      <c r="C56" s="133"/>
      <c r="D56" s="386" t="s">
        <v>286</v>
      </c>
      <c r="E56" s="133"/>
      <c r="F56" s="144" t="s">
        <v>358</v>
      </c>
      <c r="G56" s="133"/>
      <c r="H56" s="386" t="s">
        <v>359</v>
      </c>
      <c r="I56" s="133"/>
      <c r="J56" s="386" t="s">
        <v>360</v>
      </c>
      <c r="K56" s="133"/>
      <c r="L56" s="144" t="s">
        <v>361</v>
      </c>
      <c r="M56" s="133"/>
      <c r="N56" s="144" t="s">
        <v>362</v>
      </c>
      <c r="O56" s="133"/>
      <c r="P56" s="386" t="s">
        <v>363</v>
      </c>
      <c r="Q56" s="133"/>
      <c r="R56" s="386" t="s">
        <v>364</v>
      </c>
      <c r="S56" s="133"/>
      <c r="T56" s="38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87" t="s">
        <v>287</v>
      </c>
      <c r="E64" s="133"/>
      <c r="F64" s="387" t="s">
        <v>368</v>
      </c>
      <c r="G64" s="149"/>
      <c r="H64" s="387" t="s">
        <v>369</v>
      </c>
      <c r="I64" s="133"/>
      <c r="J64" s="147" t="s">
        <v>370</v>
      </c>
      <c r="K64" s="149"/>
      <c r="L64" s="387" t="s">
        <v>371</v>
      </c>
      <c r="M64" s="149"/>
      <c r="N64" s="387" t="s">
        <v>372</v>
      </c>
      <c r="O64" s="149"/>
      <c r="P64" s="147" t="s">
        <v>373</v>
      </c>
      <c r="Q64" s="149"/>
      <c r="R64" s="387" t="s">
        <v>288</v>
      </c>
      <c r="S64" s="149"/>
      <c r="T64" s="38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87" t="s">
        <v>251</v>
      </c>
      <c r="C72" s="133"/>
      <c r="D72" s="147" t="s">
        <v>377</v>
      </c>
      <c r="E72" s="133"/>
      <c r="F72" s="387" t="s">
        <v>297</v>
      </c>
      <c r="G72" s="133"/>
      <c r="H72" s="147" t="s">
        <v>378</v>
      </c>
      <c r="I72" s="133"/>
      <c r="J72" s="387" t="s">
        <v>236</v>
      </c>
      <c r="K72" s="133"/>
      <c r="L72" s="387" t="s">
        <v>237</v>
      </c>
      <c r="M72" s="133"/>
      <c r="N72" s="387" t="s">
        <v>214</v>
      </c>
      <c r="O72" s="133"/>
      <c r="P72" s="387" t="s">
        <v>213</v>
      </c>
      <c r="Q72" s="133"/>
      <c r="R72" s="387" t="s">
        <v>212</v>
      </c>
      <c r="S72" s="133"/>
      <c r="T72" s="38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87" t="s">
        <v>231</v>
      </c>
      <c r="D80" s="144" t="s">
        <v>379</v>
      </c>
      <c r="F80" s="387" t="s">
        <v>263</v>
      </c>
      <c r="G80" s="149"/>
      <c r="H80" s="147" t="s">
        <v>380</v>
      </c>
      <c r="I80" s="149"/>
      <c r="J80" s="387" t="s">
        <v>215</v>
      </c>
      <c r="K80" s="149"/>
      <c r="L80" s="387" t="s">
        <v>216</v>
      </c>
      <c r="M80" s="149"/>
      <c r="N80" s="387" t="s">
        <v>239</v>
      </c>
      <c r="O80" s="149"/>
      <c r="P80" s="387" t="s">
        <v>240</v>
      </c>
      <c r="Q80" s="149"/>
      <c r="R80" s="38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87" t="s">
        <v>383</v>
      </c>
      <c r="C88" s="133"/>
      <c r="D88" s="147" t="s">
        <v>384</v>
      </c>
      <c r="F88" s="387" t="s">
        <v>253</v>
      </c>
      <c r="G88" s="133"/>
      <c r="H88" s="387" t="s">
        <v>385</v>
      </c>
      <c r="I88" s="133"/>
      <c r="J88" s="147" t="s">
        <v>386</v>
      </c>
      <c r="K88" s="133"/>
      <c r="L88" s="147" t="s">
        <v>257</v>
      </c>
      <c r="M88" s="133"/>
      <c r="N88" s="147" t="s">
        <v>387</v>
      </c>
      <c r="O88" s="133"/>
      <c r="P88" s="387" t="s">
        <v>267</v>
      </c>
      <c r="Q88" s="133"/>
      <c r="R88" s="387" t="s">
        <v>268</v>
      </c>
      <c r="S88" s="133"/>
      <c r="T88" s="38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87" t="s">
        <v>227</v>
      </c>
      <c r="C96" s="149"/>
      <c r="D96" s="387" t="s">
        <v>271</v>
      </c>
      <c r="F96" s="147" t="s">
        <v>391</v>
      </c>
      <c r="G96" s="149"/>
      <c r="H96" s="387" t="s">
        <v>392</v>
      </c>
      <c r="I96" s="149"/>
      <c r="J96" s="387" t="s">
        <v>393</v>
      </c>
      <c r="K96" s="149"/>
      <c r="L96" s="147" t="s">
        <v>394</v>
      </c>
      <c r="M96" s="149"/>
      <c r="N96" s="387" t="s">
        <v>225</v>
      </c>
      <c r="O96" s="149"/>
      <c r="P96" s="147" t="s">
        <v>395</v>
      </c>
      <c r="Q96" s="149"/>
      <c r="R96" s="147" t="s">
        <v>396</v>
      </c>
      <c r="S96" s="149"/>
      <c r="T96" s="38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87" t="s">
        <v>262</v>
      </c>
      <c r="F104" s="387" t="s">
        <v>244</v>
      </c>
      <c r="G104" s="133"/>
      <c r="H104" s="147" t="s">
        <v>399</v>
      </c>
      <c r="I104" s="133"/>
      <c r="J104" s="387" t="s">
        <v>277</v>
      </c>
      <c r="K104" s="133"/>
      <c r="L104" s="387" t="s">
        <v>280</v>
      </c>
      <c r="M104" s="133"/>
      <c r="N104" s="147" t="s">
        <v>400</v>
      </c>
      <c r="O104" s="133"/>
      <c r="P104" s="147" t="s">
        <v>401</v>
      </c>
      <c r="Q104" s="133"/>
      <c r="R104" s="38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87" t="s">
        <v>404</v>
      </c>
      <c r="C113" s="149"/>
      <c r="D113" s="147" t="s">
        <v>405</v>
      </c>
      <c r="F113" s="387" t="s">
        <v>406</v>
      </c>
      <c r="G113" s="149"/>
      <c r="H113" s="387" t="s">
        <v>290</v>
      </c>
      <c r="I113" s="149"/>
      <c r="J113" s="38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87" t="s">
        <v>414</v>
      </c>
      <c r="C120" s="133"/>
      <c r="D120" s="147" t="s">
        <v>415</v>
      </c>
      <c r="F120" s="387" t="s">
        <v>217</v>
      </c>
      <c r="G120" s="133"/>
      <c r="H120" s="147" t="s">
        <v>416</v>
      </c>
      <c r="I120" s="133"/>
      <c r="J120" s="387" t="s">
        <v>294</v>
      </c>
      <c r="K120" s="133"/>
      <c r="L120" s="387" t="s">
        <v>276</v>
      </c>
      <c r="N120" s="147" t="s">
        <v>417</v>
      </c>
      <c r="O120" s="133"/>
      <c r="P120" s="387" t="s">
        <v>418</v>
      </c>
      <c r="Q120" s="133"/>
      <c r="R120" s="147" t="s">
        <v>419</v>
      </c>
      <c r="S120" s="133"/>
      <c r="T120" s="148" t="s">
        <v>420</v>
      </c>
      <c r="U120" s="133"/>
      <c r="V120" s="38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87" t="s">
        <v>289</v>
      </c>
      <c r="C128" s="191"/>
      <c r="D128" s="387" t="s">
        <v>422</v>
      </c>
      <c r="F128" s="387" t="s">
        <v>423</v>
      </c>
      <c r="H128" s="387" t="s">
        <v>424</v>
      </c>
      <c r="J128" s="387" t="s">
        <v>425</v>
      </c>
      <c r="L128" s="387" t="s">
        <v>279</v>
      </c>
      <c r="N128" s="387" t="s">
        <v>426</v>
      </c>
      <c r="P128" s="387" t="s">
        <v>427</v>
      </c>
      <c r="Q128" s="133"/>
      <c r="R128" s="387" t="s">
        <v>428</v>
      </c>
      <c r="T128" s="387" t="s">
        <v>291</v>
      </c>
      <c r="U128" s="133"/>
      <c r="V128" s="38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87" t="s">
        <v>431</v>
      </c>
      <c r="C137" s="191"/>
      <c r="D137" s="387" t="s">
        <v>432</v>
      </c>
      <c r="F137" s="387" t="s">
        <v>433</v>
      </c>
      <c r="H137" s="387" t="s">
        <v>434</v>
      </c>
      <c r="J137" s="388" t="s">
        <v>435</v>
      </c>
      <c r="L137" s="387" t="s">
        <v>436</v>
      </c>
      <c r="N137" s="387" t="s">
        <v>437</v>
      </c>
      <c r="P137" s="387" t="s">
        <v>438</v>
      </c>
      <c r="Q137" s="133"/>
      <c r="R137" s="387" t="s">
        <v>439</v>
      </c>
      <c r="T137" s="387" t="s">
        <v>440</v>
      </c>
      <c r="U137" s="133"/>
      <c r="V137" s="38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87" t="s">
        <v>443</v>
      </c>
      <c r="C146" s="191"/>
      <c r="D146" s="387" t="s">
        <v>444</v>
      </c>
      <c r="F146" s="387" t="s">
        <v>445</v>
      </c>
      <c r="H146" s="387" t="s">
        <v>446</v>
      </c>
      <c r="J146" s="387" t="s">
        <v>447</v>
      </c>
      <c r="L146" s="387" t="s">
        <v>448</v>
      </c>
      <c r="N146" s="388" t="s">
        <v>449</v>
      </c>
      <c r="P146" s="387" t="s">
        <v>450</v>
      </c>
      <c r="Q146" s="133"/>
      <c r="R146" s="38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87" t="s">
        <v>443</v>
      </c>
      <c r="C155" s="191"/>
      <c r="D155" s="387" t="s">
        <v>444</v>
      </c>
      <c r="F155" s="387" t="s">
        <v>445</v>
      </c>
      <c r="H155" s="387" t="s">
        <v>446</v>
      </c>
      <c r="J155" s="387" t="s">
        <v>447</v>
      </c>
      <c r="L155" s="387" t="s">
        <v>448</v>
      </c>
      <c r="N155" s="388" t="s">
        <v>449</v>
      </c>
      <c r="P155" s="387" t="s">
        <v>450</v>
      </c>
      <c r="Q155" s="133"/>
      <c r="R155" s="387" t="s">
        <v>451</v>
      </c>
      <c r="T155" s="388" t="s">
        <v>452</v>
      </c>
      <c r="U155" s="133"/>
      <c r="V155" s="38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87" t="s">
        <v>455</v>
      </c>
      <c r="C163" s="191"/>
      <c r="D163" s="387" t="s">
        <v>456</v>
      </c>
      <c r="F163" s="387" t="s">
        <v>457</v>
      </c>
      <c r="H163" s="387" t="s">
        <v>458</v>
      </c>
      <c r="J163" s="387" t="s">
        <v>459</v>
      </c>
      <c r="L163" s="387" t="s">
        <v>460</v>
      </c>
      <c r="N163" s="387" t="s">
        <v>461</v>
      </c>
      <c r="P163" s="387" t="s">
        <v>462</v>
      </c>
      <c r="Q163" s="133"/>
      <c r="R163" s="388" t="s">
        <v>463</v>
      </c>
      <c r="T163" s="387" t="s">
        <v>464</v>
      </c>
      <c r="U163" s="133"/>
      <c r="V163" s="38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87" t="s">
        <v>467</v>
      </c>
      <c r="C171" s="191"/>
      <c r="D171" s="388" t="s">
        <v>468</v>
      </c>
      <c r="F171" s="387" t="s">
        <v>469</v>
      </c>
      <c r="H171" s="388" t="s">
        <v>470</v>
      </c>
      <c r="J171" s="388" t="s">
        <v>471</v>
      </c>
      <c r="L171" s="387" t="s">
        <v>472</v>
      </c>
      <c r="N171" s="387" t="s">
        <v>473</v>
      </c>
      <c r="P171" s="387" t="s">
        <v>474</v>
      </c>
      <c r="Q171" s="133"/>
      <c r="R171" s="387" t="s">
        <v>475</v>
      </c>
      <c r="T171" s="387" t="s">
        <v>476</v>
      </c>
      <c r="U171" s="133"/>
      <c r="V171" s="38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8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411"/>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412"/>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41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85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20" t="s">
        <v>298</v>
      </c>
      <c r="D2" s="1421"/>
      <c r="E2" s="1421"/>
      <c r="F2" s="1421"/>
      <c r="G2" s="1421"/>
      <c r="H2" s="1421"/>
      <c r="I2" s="1421"/>
      <c r="J2" s="1421"/>
      <c r="K2" s="1421"/>
      <c r="L2" s="1421"/>
      <c r="M2" s="1421"/>
      <c r="N2" s="1421"/>
      <c r="O2" s="1421"/>
      <c r="P2" s="1421"/>
      <c r="Q2" s="1421"/>
      <c r="R2" s="1421"/>
      <c r="S2" s="1421"/>
      <c r="T2" s="1421"/>
      <c r="U2" s="1421"/>
      <c r="V2" s="1422"/>
      <c r="W2" s="264"/>
    </row>
    <row r="3" spans="1:31" ht="14">
      <c r="B3" s="247"/>
      <c r="C3" s="1444" t="s">
        <v>299</v>
      </c>
      <c r="D3" s="1445"/>
      <c r="E3" s="1445"/>
      <c r="F3" s="1445"/>
      <c r="G3" s="1445"/>
      <c r="H3" s="1445"/>
      <c r="I3" s="1445"/>
      <c r="J3" s="1445"/>
      <c r="K3" s="1445"/>
      <c r="L3" s="1445"/>
      <c r="M3" s="1445"/>
      <c r="N3" s="1445"/>
      <c r="O3" s="1445"/>
      <c r="P3" s="1445"/>
      <c r="Q3" s="1445"/>
      <c r="R3" s="1445"/>
      <c r="S3" s="1445"/>
      <c r="T3" s="1445"/>
      <c r="U3" s="1445"/>
      <c r="V3" s="144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15" t="s">
        <v>300</v>
      </c>
      <c r="D5" s="1415"/>
      <c r="E5" s="127"/>
      <c r="F5" s="1416" t="s">
        <v>301</v>
      </c>
      <c r="G5" s="1417"/>
      <c r="H5" s="1409" t="s">
        <v>302</v>
      </c>
      <c r="I5" s="1410" t="s">
        <v>303</v>
      </c>
      <c r="J5" s="1410" t="s">
        <v>304</v>
      </c>
      <c r="K5" s="1410"/>
      <c r="L5" s="1410"/>
      <c r="M5" s="128" t="s">
        <v>305</v>
      </c>
      <c r="N5" s="1426" t="s">
        <v>306</v>
      </c>
      <c r="O5" s="1427"/>
      <c r="P5" s="1428"/>
      <c r="Q5" s="1410" t="s">
        <v>307</v>
      </c>
      <c r="R5" s="1410"/>
      <c r="S5" s="1410"/>
      <c r="T5" s="1429"/>
      <c r="U5" s="1429"/>
      <c r="V5" s="1429"/>
      <c r="W5" s="264"/>
    </row>
    <row r="6" spans="1:31" ht="14">
      <c r="B6" s="247"/>
      <c r="C6" s="1415"/>
      <c r="D6" s="1415"/>
      <c r="E6" s="127"/>
      <c r="F6" s="1418"/>
      <c r="G6" s="1419"/>
      <c r="H6" s="1409"/>
      <c r="I6" s="1410"/>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407"/>
      <c r="G7" s="140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89" t="s">
        <v>523</v>
      </c>
      <c r="L14" s="259"/>
      <c r="M14" s="390" t="s">
        <v>524</v>
      </c>
      <c r="O14" s="391" t="s">
        <v>525</v>
      </c>
      <c r="Q14" s="391" t="s">
        <v>526</v>
      </c>
      <c r="S14" s="391" t="s">
        <v>527</v>
      </c>
      <c r="U14" s="39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91" t="s">
        <v>530</v>
      </c>
      <c r="E22" s="391" t="s">
        <v>531</v>
      </c>
      <c r="G22" s="392" t="s">
        <v>532</v>
      </c>
      <c r="I22" s="391" t="s">
        <v>533</v>
      </c>
      <c r="K22" s="392" t="s">
        <v>534</v>
      </c>
      <c r="M22" s="391" t="s">
        <v>535</v>
      </c>
      <c r="O22" s="39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93" t="s">
        <v>545</v>
      </c>
      <c r="J30" s="149"/>
      <c r="K30" s="393" t="s">
        <v>546</v>
      </c>
      <c r="L30" s="149"/>
      <c r="M30" s="393" t="s">
        <v>547</v>
      </c>
      <c r="N30" s="149"/>
      <c r="O30" s="147" t="s">
        <v>548</v>
      </c>
      <c r="P30" s="149"/>
      <c r="Q30" s="394" t="s">
        <v>549</v>
      </c>
      <c r="R30" s="149"/>
      <c r="S30" s="394" t="s">
        <v>550</v>
      </c>
      <c r="T30" s="149"/>
      <c r="U30" s="39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94" t="s">
        <v>552</v>
      </c>
      <c r="D38" s="149"/>
      <c r="E38" s="394" t="s">
        <v>553</v>
      </c>
      <c r="F38" s="149"/>
      <c r="G38" s="394" t="s">
        <v>554</v>
      </c>
      <c r="H38" s="149"/>
      <c r="I38" s="394" t="s">
        <v>555</v>
      </c>
      <c r="J38" s="149"/>
      <c r="K38" s="147" t="s">
        <v>556</v>
      </c>
      <c r="L38" s="149"/>
      <c r="M38" s="394" t="s">
        <v>557</v>
      </c>
      <c r="N38" s="149"/>
      <c r="O38" s="394" t="s">
        <v>558</v>
      </c>
      <c r="P38" s="149"/>
      <c r="Q38" s="394" t="s">
        <v>559</v>
      </c>
      <c r="R38" s="149"/>
      <c r="S38" s="394" t="s">
        <v>560</v>
      </c>
      <c r="T38" s="149"/>
      <c r="U38" s="39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94" t="s">
        <v>562</v>
      </c>
      <c r="D46" s="149"/>
      <c r="E46" s="147" t="s">
        <v>563</v>
      </c>
      <c r="F46" s="149"/>
      <c r="G46" s="394" t="s">
        <v>564</v>
      </c>
      <c r="H46" s="149"/>
      <c r="I46" s="394" t="s">
        <v>565</v>
      </c>
      <c r="J46" s="149"/>
      <c r="K46" s="394" t="s">
        <v>566</v>
      </c>
      <c r="L46" s="149"/>
      <c r="M46" s="394" t="s">
        <v>567</v>
      </c>
      <c r="N46" s="149"/>
      <c r="O46" s="394" t="s">
        <v>568</v>
      </c>
      <c r="P46" s="149"/>
      <c r="Q46" s="394" t="s">
        <v>569</v>
      </c>
      <c r="R46" s="149"/>
      <c r="S46" s="394" t="s">
        <v>570</v>
      </c>
      <c r="T46" s="149"/>
      <c r="U46" s="39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94" t="s">
        <v>572</v>
      </c>
      <c r="D54" s="149"/>
      <c r="E54" s="147" t="s">
        <v>573</v>
      </c>
      <c r="F54" s="149"/>
      <c r="G54" s="394" t="s">
        <v>574</v>
      </c>
      <c r="H54" s="149"/>
      <c r="I54" s="147" t="s">
        <v>575</v>
      </c>
      <c r="J54" s="149"/>
      <c r="K54" s="394" t="s">
        <v>576</v>
      </c>
      <c r="L54" s="149"/>
      <c r="M54" s="394" t="s">
        <v>577</v>
      </c>
      <c r="N54" s="149"/>
      <c r="O54" s="394" t="s">
        <v>578</v>
      </c>
      <c r="P54" s="149"/>
      <c r="Q54" s="394" t="s">
        <v>579</v>
      </c>
      <c r="R54" s="149"/>
      <c r="S54" s="394" t="s">
        <v>580</v>
      </c>
      <c r="T54" s="149"/>
      <c r="U54" s="39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94" t="s">
        <v>582</v>
      </c>
      <c r="D62" s="149"/>
      <c r="E62" s="394" t="s">
        <v>583</v>
      </c>
      <c r="F62" s="258"/>
      <c r="G62" s="147" t="s">
        <v>584</v>
      </c>
      <c r="H62" s="258"/>
      <c r="I62" s="394" t="s">
        <v>585</v>
      </c>
      <c r="J62" s="149"/>
      <c r="K62" s="394" t="s">
        <v>586</v>
      </c>
      <c r="L62" s="149"/>
      <c r="M62" s="394" t="s">
        <v>587</v>
      </c>
      <c r="N62" s="149"/>
      <c r="O62" s="394" t="s">
        <v>588</v>
      </c>
      <c r="P62" s="149"/>
      <c r="Q62" s="147" t="s">
        <v>589</v>
      </c>
      <c r="R62" s="149"/>
      <c r="S62" s="147" t="s">
        <v>590</v>
      </c>
      <c r="U62" s="39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94" t="s">
        <v>593</v>
      </c>
      <c r="D71" s="149"/>
      <c r="E71" s="394" t="s">
        <v>594</v>
      </c>
      <c r="F71" s="149"/>
      <c r="G71" s="147" t="s">
        <v>595</v>
      </c>
      <c r="H71" s="149"/>
      <c r="I71" s="394" t="s">
        <v>596</v>
      </c>
      <c r="J71" s="149"/>
      <c r="K71" s="394" t="s">
        <v>597</v>
      </c>
      <c r="L71" s="149"/>
      <c r="M71" s="394" t="s">
        <v>598</v>
      </c>
      <c r="N71" s="149"/>
      <c r="O71" s="394" t="s">
        <v>599</v>
      </c>
      <c r="P71" s="149"/>
      <c r="Q71" s="394" t="s">
        <v>600</v>
      </c>
      <c r="R71" s="149"/>
      <c r="S71" s="394" t="s">
        <v>601</v>
      </c>
      <c r="U71" s="39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94" t="s">
        <v>603</v>
      </c>
      <c r="D80" s="149"/>
      <c r="E80" s="147" t="s">
        <v>604</v>
      </c>
      <c r="F80" s="149"/>
      <c r="G80" s="394" t="s">
        <v>605</v>
      </c>
      <c r="H80" s="149"/>
      <c r="I80" s="394" t="s">
        <v>606</v>
      </c>
      <c r="J80" s="149"/>
      <c r="K80" s="394" t="s">
        <v>607</v>
      </c>
      <c r="L80" s="149"/>
      <c r="M80" s="147" t="s">
        <v>608</v>
      </c>
      <c r="N80" s="149"/>
      <c r="O80" s="147" t="s">
        <v>609</v>
      </c>
      <c r="P80" s="149"/>
      <c r="Q80" s="147" t="s">
        <v>610</v>
      </c>
      <c r="R80" s="149"/>
      <c r="S80" s="394" t="s">
        <v>611</v>
      </c>
      <c r="U80" s="39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94" t="s">
        <v>613</v>
      </c>
      <c r="D89" s="149"/>
      <c r="E89" s="394" t="s">
        <v>614</v>
      </c>
      <c r="F89" s="149"/>
      <c r="G89" s="394" t="s">
        <v>615</v>
      </c>
      <c r="H89" s="149"/>
      <c r="I89" s="147" t="s">
        <v>616</v>
      </c>
      <c r="J89" s="149"/>
      <c r="K89" s="394" t="s">
        <v>617</v>
      </c>
      <c r="L89" s="149"/>
      <c r="M89" s="394" t="s">
        <v>618</v>
      </c>
      <c r="N89" s="149"/>
      <c r="O89" s="394" t="s">
        <v>619</v>
      </c>
      <c r="P89" s="149"/>
      <c r="Q89" s="147" t="s">
        <v>620</v>
      </c>
      <c r="R89" s="149"/>
      <c r="S89" s="394" t="s">
        <v>621</v>
      </c>
      <c r="U89" s="39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94" t="s">
        <v>626</v>
      </c>
      <c r="J98" s="149"/>
      <c r="K98" s="147" t="s">
        <v>627</v>
      </c>
      <c r="L98" s="149"/>
      <c r="M98" s="394" t="s">
        <v>628</v>
      </c>
      <c r="N98" s="149"/>
      <c r="O98" s="394" t="s">
        <v>629</v>
      </c>
      <c r="P98" s="149"/>
      <c r="Q98" s="394" t="s">
        <v>630</v>
      </c>
      <c r="R98" s="149"/>
      <c r="S98" s="394" t="s">
        <v>631</v>
      </c>
      <c r="U98" s="39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94" t="s">
        <v>633</v>
      </c>
      <c r="D107" s="149"/>
      <c r="E107" s="147" t="s">
        <v>634</v>
      </c>
      <c r="F107" s="149"/>
      <c r="G107" s="394" t="s">
        <v>635</v>
      </c>
      <c r="H107" s="149"/>
      <c r="I107" s="394" t="s">
        <v>636</v>
      </c>
      <c r="J107" s="149"/>
      <c r="K107" s="147" t="s">
        <v>637</v>
      </c>
      <c r="L107" s="149"/>
      <c r="M107" s="394" t="s">
        <v>638</v>
      </c>
      <c r="N107" s="149"/>
      <c r="O107" s="394" t="s">
        <v>639</v>
      </c>
      <c r="P107" s="149"/>
      <c r="Q107" s="394" t="s">
        <v>640</v>
      </c>
      <c r="R107" s="149"/>
      <c r="S107" s="39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94" t="s">
        <v>643</v>
      </c>
      <c r="D116" s="149"/>
      <c r="E116" s="394" t="s">
        <v>644</v>
      </c>
      <c r="F116" s="149"/>
      <c r="G116" s="147" t="s">
        <v>645</v>
      </c>
      <c r="H116" s="149"/>
      <c r="I116" s="394" t="s">
        <v>646</v>
      </c>
      <c r="J116" s="149"/>
      <c r="K116" s="394" t="s">
        <v>647</v>
      </c>
      <c r="L116" s="149"/>
      <c r="M116" s="394" t="s">
        <v>648</v>
      </c>
      <c r="N116" s="149"/>
      <c r="O116" s="147" t="s">
        <v>649</v>
      </c>
      <c r="P116" s="149"/>
      <c r="Q116" s="147" t="s">
        <v>650</v>
      </c>
      <c r="R116" s="149"/>
      <c r="S116" s="394" t="s">
        <v>651</v>
      </c>
      <c r="U116" s="39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94" t="s">
        <v>653</v>
      </c>
      <c r="D125" s="149"/>
      <c r="E125" s="147" t="s">
        <v>654</v>
      </c>
      <c r="F125" s="149"/>
      <c r="G125" s="147" t="s">
        <v>655</v>
      </c>
      <c r="H125" s="149"/>
      <c r="I125" s="394" t="s">
        <v>656</v>
      </c>
      <c r="J125" s="149"/>
      <c r="K125" s="147" t="s">
        <v>657</v>
      </c>
      <c r="L125" s="149"/>
      <c r="M125" s="394" t="s">
        <v>658</v>
      </c>
      <c r="N125" s="149"/>
      <c r="O125" s="147" t="s">
        <v>659</v>
      </c>
      <c r="P125" s="149"/>
      <c r="Q125" s="394" t="s">
        <v>660</v>
      </c>
      <c r="R125" s="149"/>
      <c r="S125" s="39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94" t="s">
        <v>663</v>
      </c>
      <c r="D134" s="149"/>
      <c r="E134" s="147" t="s">
        <v>664</v>
      </c>
      <c r="F134" s="149"/>
      <c r="G134" s="394" t="s">
        <v>665</v>
      </c>
      <c r="H134" s="149"/>
      <c r="I134" s="394" t="s">
        <v>666</v>
      </c>
      <c r="J134" s="149"/>
      <c r="K134" s="394" t="s">
        <v>667</v>
      </c>
      <c r="L134" s="149"/>
      <c r="M134" s="147" t="s">
        <v>668</v>
      </c>
      <c r="N134" s="149"/>
      <c r="O134" s="394" t="s">
        <v>669</v>
      </c>
      <c r="P134" s="149"/>
      <c r="Q134" s="394" t="s">
        <v>670</v>
      </c>
      <c r="R134" s="149"/>
      <c r="S134" s="394" t="s">
        <v>671</v>
      </c>
      <c r="T134" s="149"/>
      <c r="U134" s="39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94" t="s">
        <v>673</v>
      </c>
      <c r="D142" s="149"/>
      <c r="E142" s="147" t="s">
        <v>674</v>
      </c>
      <c r="F142" s="149"/>
      <c r="G142" s="394" t="s">
        <v>675</v>
      </c>
      <c r="H142" s="149"/>
      <c r="I142" s="394" t="s">
        <v>676</v>
      </c>
      <c r="J142" s="149"/>
      <c r="K142" s="147" t="s">
        <v>677</v>
      </c>
      <c r="L142" s="149"/>
      <c r="M142" s="394" t="s">
        <v>678</v>
      </c>
      <c r="N142" s="149"/>
      <c r="O142" s="394" t="s">
        <v>679</v>
      </c>
      <c r="P142" s="149"/>
      <c r="Q142" s="394" t="s">
        <v>680</v>
      </c>
      <c r="R142" s="149"/>
      <c r="S142" s="147" t="s">
        <v>681</v>
      </c>
      <c r="T142" s="149"/>
      <c r="U142" s="39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91" t="s">
        <v>683</v>
      </c>
      <c r="E150" s="391" t="s">
        <v>684</v>
      </c>
      <c r="G150" s="391" t="s">
        <v>685</v>
      </c>
      <c r="I150" s="391" t="s">
        <v>686</v>
      </c>
      <c r="K150" s="391" t="s">
        <v>687</v>
      </c>
      <c r="M150" s="391" t="s">
        <v>688</v>
      </c>
      <c r="O150" s="144" t="s">
        <v>689</v>
      </c>
      <c r="Q150" s="144" t="s">
        <v>690</v>
      </c>
      <c r="S150" s="39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91" t="s">
        <v>693</v>
      </c>
      <c r="E158" s="391" t="s">
        <v>694</v>
      </c>
      <c r="G158" s="391" t="s">
        <v>695</v>
      </c>
      <c r="I158" s="391" t="s">
        <v>696</v>
      </c>
      <c r="K158" s="144" t="s">
        <v>697</v>
      </c>
      <c r="M158" s="144" t="s">
        <v>698</v>
      </c>
      <c r="O158" s="395" t="s">
        <v>699</v>
      </c>
      <c r="Q158" s="39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85" t="s">
        <v>272</v>
      </c>
      <c r="H167" s="145"/>
      <c r="I167" s="385" t="s">
        <v>273</v>
      </c>
      <c r="J167" s="145"/>
      <c r="K167" s="385" t="s">
        <v>311</v>
      </c>
      <c r="M167" s="144" t="s">
        <v>312</v>
      </c>
      <c r="O167" s="385" t="s">
        <v>313</v>
      </c>
      <c r="Q167" s="144" t="s">
        <v>314</v>
      </c>
      <c r="S167" s="144" t="s">
        <v>315</v>
      </c>
      <c r="U167" s="38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85" t="s">
        <v>320</v>
      </c>
      <c r="E176" s="385" t="s">
        <v>321</v>
      </c>
      <c r="G176" s="144" t="s">
        <v>322</v>
      </c>
      <c r="I176" s="144" t="s">
        <v>323</v>
      </c>
      <c r="K176" s="385" t="s">
        <v>324</v>
      </c>
      <c r="M176" s="385" t="s">
        <v>325</v>
      </c>
      <c r="O176" s="385" t="s">
        <v>326</v>
      </c>
      <c r="Q176" s="385" t="s">
        <v>327</v>
      </c>
      <c r="S176" s="38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85" t="s">
        <v>335</v>
      </c>
      <c r="I185" s="144" t="s">
        <v>336</v>
      </c>
      <c r="K185" s="385" t="s">
        <v>337</v>
      </c>
      <c r="M185" s="385" t="s">
        <v>338</v>
      </c>
      <c r="O185" s="385" t="s">
        <v>339</v>
      </c>
      <c r="Q185" s="144" t="s">
        <v>340</v>
      </c>
      <c r="S185" s="38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433" t="s">
        <v>703</v>
      </c>
      <c r="L187" s="1434"/>
      <c r="M187" s="1434"/>
      <c r="N187" s="1434"/>
      <c r="O187" s="1434"/>
      <c r="P187" s="1434"/>
      <c r="Q187" s="1434"/>
      <c r="R187" s="1434"/>
      <c r="S187" s="1434"/>
      <c r="T187" s="1434"/>
      <c r="U187" s="14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85" t="s">
        <v>346</v>
      </c>
      <c r="E194" s="385" t="s">
        <v>347</v>
      </c>
      <c r="G194" s="385" t="s">
        <v>348</v>
      </c>
      <c r="I194" s="385" t="s">
        <v>282</v>
      </c>
      <c r="K194" s="385" t="s">
        <v>283</v>
      </c>
      <c r="M194" s="144" t="s">
        <v>349</v>
      </c>
      <c r="O194" s="385" t="s">
        <v>350</v>
      </c>
      <c r="Q194" s="385" t="s">
        <v>704</v>
      </c>
      <c r="S194" s="144" t="s">
        <v>351</v>
      </c>
      <c r="U194" s="38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433" t="s">
        <v>703</v>
      </c>
      <c r="D196" s="1434"/>
      <c r="E196" s="1434"/>
      <c r="F196" s="1434"/>
      <c r="G196" s="1434"/>
      <c r="H196" s="1434"/>
      <c r="I196" s="1434"/>
      <c r="J196" s="1434"/>
      <c r="K196" s="1434"/>
      <c r="L196" s="1434"/>
      <c r="M196" s="1434"/>
      <c r="N196" s="1434"/>
      <c r="O196" s="1434"/>
      <c r="P196" s="1434"/>
      <c r="Q196" s="1434"/>
      <c r="R196" s="1434"/>
      <c r="S196" s="1434"/>
      <c r="T196" s="1434"/>
      <c r="U196" s="14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85" t="s">
        <v>353</v>
      </c>
      <c r="E202" s="385" t="s">
        <v>274</v>
      </c>
      <c r="G202" s="385" t="s">
        <v>275</v>
      </c>
      <c r="I202" s="385" t="s">
        <v>355</v>
      </c>
      <c r="K202" s="385" t="s">
        <v>284</v>
      </c>
      <c r="M202" s="144" t="s">
        <v>705</v>
      </c>
      <c r="O202" s="385" t="s">
        <v>357</v>
      </c>
      <c r="Q202" s="144" t="s">
        <v>706</v>
      </c>
      <c r="S202" s="38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433" t="s">
        <v>703</v>
      </c>
      <c r="D204" s="1434"/>
      <c r="E204" s="1434"/>
      <c r="F204" s="1434"/>
      <c r="G204" s="1434"/>
      <c r="H204" s="1434"/>
      <c r="I204" s="1434"/>
      <c r="J204" s="1434"/>
      <c r="K204" s="1434"/>
      <c r="L204" s="1434"/>
      <c r="M204" s="1434"/>
      <c r="N204" s="1434"/>
      <c r="O204" s="1434"/>
      <c r="P204" s="1434"/>
      <c r="Q204" s="1434"/>
      <c r="R204" s="1434"/>
      <c r="S204" s="1434"/>
      <c r="T204" s="1434"/>
      <c r="U204" s="1443"/>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85" t="s">
        <v>359</v>
      </c>
      <c r="E211" s="385" t="s">
        <v>360</v>
      </c>
      <c r="G211" s="385" t="s">
        <v>708</v>
      </c>
      <c r="I211" s="385" t="s">
        <v>709</v>
      </c>
      <c r="K211" s="385" t="s">
        <v>710</v>
      </c>
      <c r="M211" s="144" t="s">
        <v>361</v>
      </c>
      <c r="O211" s="144" t="s">
        <v>362</v>
      </c>
      <c r="Q211" s="385" t="s">
        <v>363</v>
      </c>
      <c r="S211" s="385" t="s">
        <v>364</v>
      </c>
      <c r="U211" s="38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433" t="s">
        <v>703</v>
      </c>
      <c r="D213" s="1434"/>
      <c r="E213" s="1434"/>
      <c r="F213" s="1434"/>
      <c r="G213" s="1434"/>
      <c r="H213" s="1434"/>
      <c r="I213" s="1434"/>
      <c r="J213" s="1434"/>
      <c r="K213" s="1434"/>
      <c r="L213" s="1434"/>
      <c r="M213" s="1434"/>
      <c r="N213" s="1434"/>
      <c r="O213" s="1434"/>
      <c r="P213" s="1434"/>
      <c r="Q213" s="1434"/>
      <c r="R213" s="1434"/>
      <c r="S213" s="1434"/>
      <c r="T213" s="1434"/>
      <c r="U213" s="14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85" t="s">
        <v>287</v>
      </c>
      <c r="I219" s="385" t="s">
        <v>368</v>
      </c>
      <c r="K219" s="144" t="s">
        <v>370</v>
      </c>
      <c r="M219" s="385" t="s">
        <v>371</v>
      </c>
      <c r="O219" s="385" t="s">
        <v>372</v>
      </c>
      <c r="Q219" s="144" t="s">
        <v>373</v>
      </c>
      <c r="S219" s="385" t="s">
        <v>288</v>
      </c>
      <c r="U219" s="38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430" t="s">
        <v>703</v>
      </c>
      <c r="D221" s="1431"/>
      <c r="E221" s="1431"/>
      <c r="F221" s="1431"/>
      <c r="G221" s="1431"/>
      <c r="H221" s="1431"/>
      <c r="I221" s="1431"/>
      <c r="J221" s="1431"/>
      <c r="K221" s="1431"/>
      <c r="L221" s="1431"/>
      <c r="M221" s="1431"/>
      <c r="N221" s="1431"/>
      <c r="O221" s="1431"/>
      <c r="P221" s="1431"/>
      <c r="Q221" s="1431"/>
      <c r="R221" s="1431"/>
      <c r="S221" s="1431"/>
      <c r="T221" s="1431"/>
      <c r="U221" s="14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85" t="s">
        <v>297</v>
      </c>
      <c r="G227" s="144" t="s">
        <v>378</v>
      </c>
      <c r="I227" s="385" t="s">
        <v>236</v>
      </c>
      <c r="K227" s="385" t="s">
        <v>237</v>
      </c>
      <c r="M227" s="385" t="s">
        <v>214</v>
      </c>
      <c r="O227" s="385" t="s">
        <v>213</v>
      </c>
      <c r="Q227" s="385" t="s">
        <v>212</v>
      </c>
      <c r="S227" s="385" t="s">
        <v>209</v>
      </c>
      <c r="U227" s="38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433" t="s">
        <v>703</v>
      </c>
      <c r="D229" s="1434"/>
      <c r="E229" s="1434"/>
      <c r="F229" s="1434"/>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85" t="s">
        <v>263</v>
      </c>
      <c r="G235" s="144" t="s">
        <v>380</v>
      </c>
      <c r="I235" s="385" t="s">
        <v>215</v>
      </c>
      <c r="K235" s="385" t="s">
        <v>216</v>
      </c>
      <c r="M235" s="385" t="s">
        <v>239</v>
      </c>
      <c r="O235" s="385" t="s">
        <v>240</v>
      </c>
      <c r="Q235" s="385" t="s">
        <v>241</v>
      </c>
      <c r="S235" s="144" t="s">
        <v>381</v>
      </c>
      <c r="U235" s="38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85" t="s">
        <v>253</v>
      </c>
      <c r="G244" s="385" t="s">
        <v>385</v>
      </c>
      <c r="I244" s="144" t="s">
        <v>386</v>
      </c>
      <c r="K244" s="144" t="s">
        <v>257</v>
      </c>
      <c r="M244" s="144" t="s">
        <v>387</v>
      </c>
      <c r="O244" s="385" t="s">
        <v>267</v>
      </c>
      <c r="Q244" s="385" t="s">
        <v>268</v>
      </c>
      <c r="S244" s="385" t="s">
        <v>269</v>
      </c>
      <c r="U244" s="38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85" t="s">
        <v>271</v>
      </c>
      <c r="E252" s="144" t="s">
        <v>391</v>
      </c>
      <c r="G252" s="385" t="s">
        <v>392</v>
      </c>
      <c r="I252" s="385" t="s">
        <v>393</v>
      </c>
      <c r="K252" s="144" t="s">
        <v>394</v>
      </c>
      <c r="M252" s="385" t="s">
        <v>225</v>
      </c>
      <c r="O252" s="144" t="s">
        <v>395</v>
      </c>
      <c r="Q252" s="144" t="s">
        <v>396</v>
      </c>
      <c r="S252" s="38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85" t="s">
        <v>244</v>
      </c>
      <c r="E261" s="144" t="s">
        <v>399</v>
      </c>
      <c r="G261" s="385" t="s">
        <v>277</v>
      </c>
      <c r="I261" s="385" t="s">
        <v>280</v>
      </c>
      <c r="K261" s="144" t="s">
        <v>400</v>
      </c>
      <c r="M261" s="144" t="s">
        <v>401</v>
      </c>
      <c r="O261" s="385" t="s">
        <v>402</v>
      </c>
      <c r="Q261" s="144" t="s">
        <v>403</v>
      </c>
      <c r="S261" s="38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85" t="s">
        <v>406</v>
      </c>
      <c r="E269" s="385" t="s">
        <v>290</v>
      </c>
      <c r="G269" s="385" t="s">
        <v>407</v>
      </c>
      <c r="I269" s="144" t="s">
        <v>408</v>
      </c>
      <c r="K269" s="144" t="s">
        <v>409</v>
      </c>
      <c r="M269" s="144" t="s">
        <v>410</v>
      </c>
      <c r="O269" s="144" t="s">
        <v>411</v>
      </c>
      <c r="Q269" s="385" t="s">
        <v>412</v>
      </c>
      <c r="S269" s="38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435" t="s">
        <v>713</v>
      </c>
      <c r="L271" s="1436"/>
      <c r="M271" s="1436"/>
      <c r="N271" s="1436"/>
      <c r="O271" s="1436"/>
      <c r="P271" s="1436"/>
      <c r="Q271" s="1436"/>
      <c r="R271" s="1436"/>
      <c r="S271" s="1436"/>
      <c r="T271" s="1436"/>
      <c r="U271" s="14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85" t="s">
        <v>217</v>
      </c>
      <c r="E277" s="144" t="s">
        <v>416</v>
      </c>
      <c r="G277" s="385" t="s">
        <v>294</v>
      </c>
      <c r="I277" s="144" t="s">
        <v>417</v>
      </c>
      <c r="K277" s="385" t="s">
        <v>418</v>
      </c>
      <c r="M277" s="144" t="s">
        <v>419</v>
      </c>
      <c r="O277" s="145" t="s">
        <v>420</v>
      </c>
      <c r="Q277" s="385" t="s">
        <v>714</v>
      </c>
      <c r="S277" s="385" t="s">
        <v>715</v>
      </c>
      <c r="U277" s="38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87" t="s">
        <v>717</v>
      </c>
      <c r="D284" s="149"/>
      <c r="E284" s="147" t="s">
        <v>718</v>
      </c>
      <c r="F284" s="149"/>
      <c r="G284" s="387" t="s">
        <v>279</v>
      </c>
      <c r="H284" s="149"/>
      <c r="I284" s="387" t="s">
        <v>426</v>
      </c>
      <c r="J284" s="149"/>
      <c r="K284" s="387" t="s">
        <v>427</v>
      </c>
      <c r="L284" s="149"/>
      <c r="M284" s="387" t="s">
        <v>428</v>
      </c>
      <c r="N284" s="149"/>
      <c r="O284" s="387" t="s">
        <v>291</v>
      </c>
      <c r="P284" s="149"/>
      <c r="Q284" s="387" t="s">
        <v>429</v>
      </c>
      <c r="R284" s="149"/>
      <c r="S284" s="147" t="s">
        <v>431</v>
      </c>
      <c r="T284" s="149"/>
      <c r="U284" s="38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87" t="s">
        <v>433</v>
      </c>
      <c r="E292" s="147" t="s">
        <v>719</v>
      </c>
      <c r="G292" s="147" t="s">
        <v>435</v>
      </c>
      <c r="I292" s="147" t="s">
        <v>720</v>
      </c>
      <c r="K292" s="147" t="s">
        <v>721</v>
      </c>
      <c r="M292" s="387" t="s">
        <v>438</v>
      </c>
      <c r="O292" s="387" t="s">
        <v>439</v>
      </c>
      <c r="Q292" s="147" t="s">
        <v>172</v>
      </c>
      <c r="S292" s="38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8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87" t="s">
        <v>723</v>
      </c>
      <c r="E300" s="387" t="s">
        <v>724</v>
      </c>
      <c r="F300" s="149"/>
      <c r="G300" s="387" t="s">
        <v>725</v>
      </c>
      <c r="H300" s="149"/>
      <c r="I300" s="147" t="s">
        <v>726</v>
      </c>
      <c r="J300" s="149"/>
      <c r="K300" s="387" t="s">
        <v>449</v>
      </c>
      <c r="L300" s="149"/>
      <c r="M300" s="147" t="s">
        <v>727</v>
      </c>
      <c r="N300" s="149"/>
      <c r="O300" s="147" t="s">
        <v>451</v>
      </c>
      <c r="P300" s="149"/>
      <c r="Q300" s="387" t="s">
        <v>452</v>
      </c>
      <c r="R300" s="149"/>
      <c r="S300" s="147" t="s">
        <v>728</v>
      </c>
      <c r="T300" s="149"/>
      <c r="U300" s="147" t="s">
        <v>455</v>
      </c>
      <c r="W300" s="236"/>
      <c r="X300" s="133">
        <f>COUNTIF(C298:U298,"ROW")</f>
        <v>0</v>
      </c>
      <c r="Y300" s="133">
        <v>0</v>
      </c>
      <c r="Z300" s="133">
        <v>0</v>
      </c>
      <c r="AB300" s="133" t="s">
        <v>228</v>
      </c>
    </row>
    <row r="301" spans="1:31" ht="13">
      <c r="B301" s="209"/>
      <c r="C301" s="387" t="s">
        <v>317</v>
      </c>
      <c r="E301" s="387" t="s">
        <v>295</v>
      </c>
      <c r="F301" s="149"/>
      <c r="G301" s="387" t="s">
        <v>317</v>
      </c>
      <c r="H301" s="149"/>
      <c r="I301" s="147" t="s">
        <v>343</v>
      </c>
      <c r="J301" s="149"/>
      <c r="K301" s="387" t="s">
        <v>185</v>
      </c>
      <c r="L301" s="149"/>
      <c r="M301" s="147" t="s">
        <v>397</v>
      </c>
      <c r="N301" s="149"/>
      <c r="O301" s="147" t="s">
        <v>529</v>
      </c>
      <c r="P301" s="149"/>
      <c r="Q301" s="38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87" t="s">
        <v>730</v>
      </c>
      <c r="E308" s="147" t="s">
        <v>731</v>
      </c>
      <c r="G308" s="387" t="s">
        <v>732</v>
      </c>
      <c r="I308" s="147" t="s">
        <v>458</v>
      </c>
      <c r="K308" s="147" t="s">
        <v>459</v>
      </c>
      <c r="M308" s="147" t="s">
        <v>460</v>
      </c>
      <c r="O308" s="147" t="s">
        <v>462</v>
      </c>
      <c r="Q308" s="387" t="s">
        <v>463</v>
      </c>
      <c r="S308" s="147" t="s">
        <v>464</v>
      </c>
      <c r="U308" s="38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87" t="s">
        <v>468</v>
      </c>
      <c r="F316" s="149"/>
      <c r="G316" s="147" t="s">
        <v>469</v>
      </c>
      <c r="H316" s="149"/>
      <c r="I316" s="387" t="s">
        <v>470</v>
      </c>
      <c r="J316" s="149"/>
      <c r="K316" s="387" t="s">
        <v>471</v>
      </c>
      <c r="L316" s="149"/>
      <c r="M316" s="147" t="s">
        <v>472</v>
      </c>
      <c r="N316" s="149"/>
      <c r="O316" s="147" t="s">
        <v>473</v>
      </c>
      <c r="P316" s="149"/>
      <c r="Q316" s="387" t="s">
        <v>474</v>
      </c>
      <c r="R316" s="149"/>
      <c r="S316" s="38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87" t="s">
        <v>477</v>
      </c>
      <c r="E324" s="147" t="s">
        <v>478</v>
      </c>
      <c r="G324" s="147" t="s">
        <v>733</v>
      </c>
      <c r="I324" s="387" t="s">
        <v>734</v>
      </c>
      <c r="K324" s="387" t="s">
        <v>735</v>
      </c>
      <c r="M324" s="147" t="s">
        <v>736</v>
      </c>
      <c r="O324" s="147" t="s">
        <v>737</v>
      </c>
      <c r="Q324" s="147" t="s">
        <v>738</v>
      </c>
      <c r="S324" s="387" t="s">
        <v>739</v>
      </c>
      <c r="U324" s="38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87" t="s">
        <v>741</v>
      </c>
      <c r="E332" s="147" t="s">
        <v>742</v>
      </c>
      <c r="F332" s="149"/>
      <c r="G332" s="387" t="s">
        <v>743</v>
      </c>
      <c r="H332" s="149"/>
      <c r="I332" s="387" t="s">
        <v>744</v>
      </c>
      <c r="J332" s="149"/>
      <c r="K332" s="387" t="s">
        <v>745</v>
      </c>
      <c r="L332" s="149"/>
      <c r="M332" s="147" t="s">
        <v>746</v>
      </c>
      <c r="N332" s="149"/>
      <c r="O332" s="387" t="s">
        <v>747</v>
      </c>
      <c r="P332" s="149"/>
      <c r="Q332" s="147" t="s">
        <v>748</v>
      </c>
      <c r="R332" s="149"/>
      <c r="S332" s="38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87" t="s">
        <v>751</v>
      </c>
      <c r="E341" s="387" t="s">
        <v>752</v>
      </c>
      <c r="G341" s="147" t="s">
        <v>753</v>
      </c>
      <c r="I341" s="387" t="s">
        <v>754</v>
      </c>
      <c r="K341" s="147" t="s">
        <v>178</v>
      </c>
      <c r="M341" s="387" t="s">
        <v>755</v>
      </c>
      <c r="O341" s="387" t="s">
        <v>756</v>
      </c>
      <c r="Q341" s="147" t="s">
        <v>757</v>
      </c>
      <c r="S341" s="387" t="s">
        <v>758</v>
      </c>
      <c r="U341" s="38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87" t="s">
        <v>760</v>
      </c>
      <c r="E349" s="387" t="s">
        <v>761</v>
      </c>
      <c r="F349" s="149"/>
      <c r="G349" s="147" t="s">
        <v>762</v>
      </c>
      <c r="H349" s="149"/>
      <c r="I349" s="387" t="s">
        <v>180</v>
      </c>
      <c r="J349" s="149"/>
      <c r="K349" s="387" t="s">
        <v>181</v>
      </c>
      <c r="L349" s="149"/>
      <c r="M349" s="387" t="s">
        <v>183</v>
      </c>
      <c r="N349" s="149"/>
      <c r="O349" s="387" t="s">
        <v>763</v>
      </c>
      <c r="P349" s="149"/>
      <c r="Q349" s="387" t="s">
        <v>764</v>
      </c>
      <c r="R349" s="149"/>
      <c r="S349" s="387" t="s">
        <v>765</v>
      </c>
      <c r="T349" s="149"/>
      <c r="U349" s="38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87" t="s">
        <v>767</v>
      </c>
      <c r="E357" s="387" t="s">
        <v>768</v>
      </c>
      <c r="G357" s="147" t="s">
        <v>769</v>
      </c>
      <c r="I357" s="387" t="s">
        <v>770</v>
      </c>
      <c r="K357" s="387" t="s">
        <v>771</v>
      </c>
      <c r="M357" s="387" t="s">
        <v>772</v>
      </c>
      <c r="O357" s="147" t="s">
        <v>773</v>
      </c>
      <c r="Q357" s="387" t="s">
        <v>774</v>
      </c>
      <c r="S357" s="387" t="s">
        <v>775</v>
      </c>
      <c r="U357" s="38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87" t="s">
        <v>780</v>
      </c>
      <c r="J365" s="149"/>
      <c r="K365" s="387" t="s">
        <v>781</v>
      </c>
      <c r="L365" s="149"/>
      <c r="M365" s="387" t="s">
        <v>782</v>
      </c>
      <c r="N365" s="149"/>
      <c r="O365" s="147" t="s">
        <v>783</v>
      </c>
      <c r="P365" s="149"/>
      <c r="Q365" s="387" t="s">
        <v>784</v>
      </c>
      <c r="R365" s="149"/>
      <c r="S365" s="147" t="s">
        <v>785</v>
      </c>
      <c r="T365" s="149"/>
      <c r="U365" s="38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87" t="s">
        <v>787</v>
      </c>
      <c r="E374" s="387" t="s">
        <v>788</v>
      </c>
      <c r="G374" s="147" t="s">
        <v>789</v>
      </c>
      <c r="I374" s="387" t="s">
        <v>790</v>
      </c>
      <c r="K374" s="387" t="s">
        <v>791</v>
      </c>
      <c r="M374" s="147" t="s">
        <v>792</v>
      </c>
      <c r="O374" s="147" t="s">
        <v>793</v>
      </c>
      <c r="Q374" s="387" t="s">
        <v>794</v>
      </c>
      <c r="S374" s="387" t="s">
        <v>795</v>
      </c>
      <c r="U374" s="38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87" t="s">
        <v>797</v>
      </c>
      <c r="D382" s="149"/>
      <c r="E382" s="387" t="s">
        <v>798</v>
      </c>
      <c r="G382" s="387" t="s">
        <v>799</v>
      </c>
      <c r="H382" s="149"/>
      <c r="I382" s="387" t="s">
        <v>800</v>
      </c>
      <c r="J382" s="149"/>
      <c r="K382" s="147" t="s">
        <v>801</v>
      </c>
      <c r="L382" s="149"/>
      <c r="M382" s="147" t="s">
        <v>802</v>
      </c>
      <c r="N382" s="149"/>
      <c r="O382" s="387" t="s">
        <v>803</v>
      </c>
      <c r="P382" s="149"/>
      <c r="Q382" s="387" t="s">
        <v>804</v>
      </c>
      <c r="R382" s="149"/>
      <c r="S382" s="387" t="s">
        <v>805</v>
      </c>
      <c r="T382" s="149"/>
      <c r="U382" s="38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87" t="s">
        <v>808</v>
      </c>
      <c r="G391" s="387" t="s">
        <v>809</v>
      </c>
      <c r="I391" s="147" t="s">
        <v>193</v>
      </c>
      <c r="K391" s="387" t="s">
        <v>810</v>
      </c>
      <c r="M391" s="387" t="s">
        <v>811</v>
      </c>
      <c r="O391" s="387" t="s">
        <v>812</v>
      </c>
      <c r="Q391" s="387" t="s">
        <v>813</v>
      </c>
      <c r="S391" s="387" t="s">
        <v>814</v>
      </c>
      <c r="U391" s="38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87" t="s">
        <v>816</v>
      </c>
      <c r="E399" s="387" t="s">
        <v>817</v>
      </c>
      <c r="F399" s="149"/>
      <c r="G399" s="147" t="s">
        <v>194</v>
      </c>
      <c r="H399" s="149"/>
      <c r="I399" s="387" t="s">
        <v>818</v>
      </c>
      <c r="J399" s="149"/>
      <c r="K399" s="387" t="s">
        <v>819</v>
      </c>
      <c r="L399" s="149"/>
      <c r="M399" s="387" t="s">
        <v>820</v>
      </c>
      <c r="N399" s="149"/>
      <c r="O399" s="387" t="s">
        <v>821</v>
      </c>
      <c r="P399" s="149"/>
      <c r="Q399" s="387" t="s">
        <v>822</v>
      </c>
      <c r="R399" s="149"/>
      <c r="S399" s="387" t="s">
        <v>823</v>
      </c>
      <c r="T399" s="149"/>
      <c r="U399" s="38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87" t="s">
        <v>825</v>
      </c>
      <c r="E408" s="387" t="s">
        <v>826</v>
      </c>
      <c r="G408" s="147" t="s">
        <v>827</v>
      </c>
      <c r="I408" s="38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441"/>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442"/>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42"/>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411"/>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412"/>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41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38"/>
      <c r="C432" s="1439"/>
      <c r="D432" s="1439"/>
      <c r="E432" s="1439"/>
      <c r="F432" s="1439"/>
      <c r="G432" s="1439"/>
      <c r="H432" s="1439"/>
      <c r="I432" s="1439"/>
      <c r="J432" s="1439"/>
      <c r="K432" s="1439"/>
      <c r="L432" s="1439"/>
      <c r="M432" s="1439"/>
      <c r="N432" s="1439"/>
      <c r="O432" s="1439"/>
      <c r="P432" s="1439"/>
      <c r="Q432" s="1439"/>
      <c r="R432" s="1439"/>
      <c r="S432" s="1439"/>
      <c r="T432" s="1439"/>
      <c r="U432" s="1439"/>
      <c r="V432" s="1439"/>
      <c r="W432" s="1440"/>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1" customWidth="1"/>
    <col min="2" max="2" width="7.54296875" style="322" customWidth="1"/>
    <col min="3" max="3" width="4.81640625" style="321" hidden="1" customWidth="1"/>
    <col min="4" max="4" width="12.54296875" style="322" customWidth="1"/>
    <col min="5" max="5" width="26.1796875" style="322" customWidth="1"/>
    <col min="6" max="6" width="25.81640625" style="322" customWidth="1"/>
    <col min="7" max="235" width="30.54296875" style="321" customWidth="1"/>
    <col min="236" max="236" width="6.54296875" style="321" customWidth="1"/>
    <col min="237" max="237" width="7.54296875" style="321" customWidth="1"/>
    <col min="238" max="238" width="4.81640625" style="321" customWidth="1"/>
    <col min="239" max="239" width="11.81640625" style="321" customWidth="1"/>
    <col min="240" max="240" width="9.81640625" style="321" customWidth="1"/>
    <col min="241" max="241" width="3" style="321" customWidth="1"/>
    <col min="242" max="242" width="7.1796875" style="321" customWidth="1"/>
    <col min="243" max="243" width="22.81640625" style="321" customWidth="1"/>
    <col min="244" max="244" width="7.1796875" style="321" customWidth="1"/>
    <col min="245" max="245" width="9" style="321" hidden="1" customWidth="1"/>
    <col min="246" max="246" width="8.81640625" style="321" customWidth="1"/>
    <col min="247" max="247" width="9.81640625" style="321" customWidth="1"/>
    <col min="248" max="248" width="10.54296875" style="321" customWidth="1"/>
    <col min="249" max="249" width="12.1796875" style="321" customWidth="1"/>
    <col min="250" max="250" width="11.1796875" style="321" customWidth="1"/>
    <col min="251" max="251" width="6.81640625" style="321" customWidth="1"/>
    <col min="252" max="491" width="30.54296875" style="321" customWidth="1"/>
    <col min="492" max="492" width="6.54296875" style="321" customWidth="1"/>
    <col min="493" max="493" width="7.54296875" style="321" customWidth="1"/>
    <col min="494" max="494" width="4.81640625" style="321" customWidth="1"/>
    <col min="495" max="495" width="11.81640625" style="321" customWidth="1"/>
    <col min="496" max="496" width="9.81640625" style="321" customWidth="1"/>
    <col min="497" max="497" width="3" style="321" customWidth="1"/>
    <col min="498" max="498" width="7.1796875" style="321" customWidth="1"/>
    <col min="499" max="499" width="22.81640625" style="321" customWidth="1"/>
    <col min="500" max="500" width="7.1796875" style="321" customWidth="1"/>
    <col min="501" max="501" width="9" style="321" hidden="1" customWidth="1"/>
    <col min="502" max="502" width="8.81640625" style="321" customWidth="1"/>
    <col min="503" max="503" width="9.81640625" style="321" customWidth="1"/>
    <col min="504" max="504" width="10.54296875" style="321" customWidth="1"/>
    <col min="505" max="505" width="12.1796875" style="321" customWidth="1"/>
    <col min="506" max="506" width="11.1796875" style="321" customWidth="1"/>
    <col min="507" max="507" width="6.81640625" style="321" customWidth="1"/>
    <col min="508" max="747" width="30.54296875" style="321" customWidth="1"/>
    <col min="748" max="748" width="6.54296875" style="321" customWidth="1"/>
    <col min="749" max="749" width="7.54296875" style="321" customWidth="1"/>
    <col min="750" max="750" width="4.81640625" style="321" customWidth="1"/>
    <col min="751" max="751" width="11.81640625" style="321" customWidth="1"/>
    <col min="752" max="752" width="9.81640625" style="321" customWidth="1"/>
    <col min="753" max="753" width="3" style="321" customWidth="1"/>
    <col min="754" max="754" width="7.1796875" style="321" customWidth="1"/>
    <col min="755" max="755" width="22.81640625" style="321" customWidth="1"/>
    <col min="756" max="756" width="7.1796875" style="321" customWidth="1"/>
    <col min="757" max="757" width="9" style="321" hidden="1" customWidth="1"/>
    <col min="758" max="758" width="8.81640625" style="321" customWidth="1"/>
    <col min="759" max="759" width="9.81640625" style="321" customWidth="1"/>
    <col min="760" max="760" width="10.54296875" style="321" customWidth="1"/>
    <col min="761" max="761" width="12.1796875" style="321" customWidth="1"/>
    <col min="762" max="762" width="11.1796875" style="321" customWidth="1"/>
    <col min="763" max="763" width="6.81640625" style="321" customWidth="1"/>
    <col min="764" max="1003" width="30.54296875" style="321" customWidth="1"/>
    <col min="1004" max="1004" width="6.54296875" style="321" customWidth="1"/>
    <col min="1005" max="1005" width="7.54296875" style="321" customWidth="1"/>
    <col min="1006" max="1006" width="4.81640625" style="321" customWidth="1"/>
    <col min="1007" max="1007" width="11.81640625" style="321" customWidth="1"/>
    <col min="1008" max="1008" width="9.81640625" style="321" customWidth="1"/>
    <col min="1009" max="1009" width="3" style="321" customWidth="1"/>
    <col min="1010" max="1010" width="7.1796875" style="321" customWidth="1"/>
    <col min="1011" max="1011" width="22.81640625" style="321" customWidth="1"/>
    <col min="1012" max="1012" width="7.1796875" style="321" customWidth="1"/>
    <col min="1013" max="1013" width="9" style="321" hidden="1" customWidth="1"/>
    <col min="1014" max="1014" width="8.81640625" style="321" customWidth="1"/>
    <col min="1015" max="1015" width="9.81640625" style="321" customWidth="1"/>
    <col min="1016" max="1016" width="10.54296875" style="321" customWidth="1"/>
    <col min="1017" max="1017" width="12.1796875" style="321" customWidth="1"/>
    <col min="1018" max="1018" width="11.1796875" style="321" customWidth="1"/>
    <col min="1019" max="1019" width="6.81640625" style="321" customWidth="1"/>
    <col min="1020" max="1259" width="30.54296875" style="321" customWidth="1"/>
    <col min="1260" max="1260" width="6.54296875" style="321" customWidth="1"/>
    <col min="1261" max="1261" width="7.54296875" style="321" customWidth="1"/>
    <col min="1262" max="1262" width="4.81640625" style="321" customWidth="1"/>
    <col min="1263" max="1263" width="11.81640625" style="321" customWidth="1"/>
    <col min="1264" max="1264" width="9.81640625" style="321" customWidth="1"/>
    <col min="1265" max="1265" width="3" style="321" customWidth="1"/>
    <col min="1266" max="1266" width="7.1796875" style="321" customWidth="1"/>
    <col min="1267" max="1267" width="22.81640625" style="321" customWidth="1"/>
    <col min="1268" max="1268" width="7.1796875" style="321" customWidth="1"/>
    <col min="1269" max="1269" width="9" style="321" hidden="1" customWidth="1"/>
    <col min="1270" max="1270" width="8.81640625" style="321" customWidth="1"/>
    <col min="1271" max="1271" width="9.81640625" style="321" customWidth="1"/>
    <col min="1272" max="1272" width="10.54296875" style="321" customWidth="1"/>
    <col min="1273" max="1273" width="12.1796875" style="321" customWidth="1"/>
    <col min="1274" max="1274" width="11.1796875" style="321" customWidth="1"/>
    <col min="1275" max="1275" width="6.81640625" style="321" customWidth="1"/>
    <col min="1276" max="1515" width="30.54296875" style="321" customWidth="1"/>
    <col min="1516" max="1516" width="6.54296875" style="321" customWidth="1"/>
    <col min="1517" max="1517" width="7.54296875" style="321" customWidth="1"/>
    <col min="1518" max="1518" width="4.81640625" style="321" customWidth="1"/>
    <col min="1519" max="1519" width="11.81640625" style="321" customWidth="1"/>
    <col min="1520" max="1520" width="9.81640625" style="321" customWidth="1"/>
    <col min="1521" max="1521" width="3" style="321" customWidth="1"/>
    <col min="1522" max="1522" width="7.1796875" style="321" customWidth="1"/>
    <col min="1523" max="1523" width="22.81640625" style="321" customWidth="1"/>
    <col min="1524" max="1524" width="7.1796875" style="321" customWidth="1"/>
    <col min="1525" max="1525" width="9" style="321" hidden="1" customWidth="1"/>
    <col min="1526" max="1526" width="8.81640625" style="321" customWidth="1"/>
    <col min="1527" max="1527" width="9.81640625" style="321" customWidth="1"/>
    <col min="1528" max="1528" width="10.54296875" style="321" customWidth="1"/>
    <col min="1529" max="1529" width="12.1796875" style="321" customWidth="1"/>
    <col min="1530" max="1530" width="11.1796875" style="321" customWidth="1"/>
    <col min="1531" max="1531" width="6.81640625" style="321" customWidth="1"/>
    <col min="1532" max="1771" width="30.54296875" style="321" customWidth="1"/>
    <col min="1772" max="1772" width="6.54296875" style="321" customWidth="1"/>
    <col min="1773" max="1773" width="7.54296875" style="321" customWidth="1"/>
    <col min="1774" max="1774" width="4.81640625" style="321" customWidth="1"/>
    <col min="1775" max="1775" width="11.81640625" style="321" customWidth="1"/>
    <col min="1776" max="1776" width="9.81640625" style="321" customWidth="1"/>
    <col min="1777" max="1777" width="3" style="321" customWidth="1"/>
    <col min="1778" max="1778" width="7.1796875" style="321" customWidth="1"/>
    <col min="1779" max="1779" width="22.81640625" style="321" customWidth="1"/>
    <col min="1780" max="1780" width="7.1796875" style="321" customWidth="1"/>
    <col min="1781" max="1781" width="9" style="321" hidden="1" customWidth="1"/>
    <col min="1782" max="1782" width="8.81640625" style="321" customWidth="1"/>
    <col min="1783" max="1783" width="9.81640625" style="321" customWidth="1"/>
    <col min="1784" max="1784" width="10.54296875" style="321" customWidth="1"/>
    <col min="1785" max="1785" width="12.1796875" style="321" customWidth="1"/>
    <col min="1786" max="1786" width="11.1796875" style="321" customWidth="1"/>
    <col min="1787" max="1787" width="6.81640625" style="321" customWidth="1"/>
    <col min="1788" max="2027" width="30.54296875" style="321" customWidth="1"/>
    <col min="2028" max="2028" width="6.54296875" style="321" customWidth="1"/>
    <col min="2029" max="2029" width="7.54296875" style="321" customWidth="1"/>
    <col min="2030" max="2030" width="4.81640625" style="321" customWidth="1"/>
    <col min="2031" max="2031" width="11.81640625" style="321" customWidth="1"/>
    <col min="2032" max="2032" width="9.81640625" style="321" customWidth="1"/>
    <col min="2033" max="2033" width="3" style="321" customWidth="1"/>
    <col min="2034" max="2034" width="7.1796875" style="321" customWidth="1"/>
    <col min="2035" max="2035" width="22.81640625" style="321" customWidth="1"/>
    <col min="2036" max="2036" width="7.1796875" style="321" customWidth="1"/>
    <col min="2037" max="2037" width="9" style="321" hidden="1" customWidth="1"/>
    <col min="2038" max="2038" width="8.81640625" style="321" customWidth="1"/>
    <col min="2039" max="2039" width="9.81640625" style="321" customWidth="1"/>
    <col min="2040" max="2040" width="10.54296875" style="321" customWidth="1"/>
    <col min="2041" max="2041" width="12.1796875" style="321" customWidth="1"/>
    <col min="2042" max="2042" width="11.1796875" style="321" customWidth="1"/>
    <col min="2043" max="2043" width="6.81640625" style="321" customWidth="1"/>
    <col min="2044" max="2283" width="30.54296875" style="321" customWidth="1"/>
    <col min="2284" max="2284" width="6.54296875" style="321" customWidth="1"/>
    <col min="2285" max="2285" width="7.54296875" style="321" customWidth="1"/>
    <col min="2286" max="2286" width="4.81640625" style="321" customWidth="1"/>
    <col min="2287" max="2287" width="11.81640625" style="321" customWidth="1"/>
    <col min="2288" max="2288" width="9.81640625" style="321" customWidth="1"/>
    <col min="2289" max="2289" width="3" style="321" customWidth="1"/>
    <col min="2290" max="2290" width="7.1796875" style="321" customWidth="1"/>
    <col min="2291" max="2291" width="22.81640625" style="321" customWidth="1"/>
    <col min="2292" max="2292" width="7.1796875" style="321" customWidth="1"/>
    <col min="2293" max="2293" width="9" style="321" hidden="1" customWidth="1"/>
    <col min="2294" max="2294" width="8.81640625" style="321" customWidth="1"/>
    <col min="2295" max="2295" width="9.81640625" style="321" customWidth="1"/>
    <col min="2296" max="2296" width="10.54296875" style="321" customWidth="1"/>
    <col min="2297" max="2297" width="12.1796875" style="321" customWidth="1"/>
    <col min="2298" max="2298" width="11.1796875" style="321" customWidth="1"/>
    <col min="2299" max="2299" width="6.81640625" style="321" customWidth="1"/>
    <col min="2300" max="2539" width="30.54296875" style="321" customWidth="1"/>
    <col min="2540" max="2540" width="6.54296875" style="321" customWidth="1"/>
    <col min="2541" max="2541" width="7.54296875" style="321" customWidth="1"/>
    <col min="2542" max="2542" width="4.81640625" style="321" customWidth="1"/>
    <col min="2543" max="2543" width="11.81640625" style="321" customWidth="1"/>
    <col min="2544" max="2544" width="9.81640625" style="321" customWidth="1"/>
    <col min="2545" max="2545" width="3" style="321" customWidth="1"/>
    <col min="2546" max="2546" width="7.1796875" style="321" customWidth="1"/>
    <col min="2547" max="2547" width="22.81640625" style="321" customWidth="1"/>
    <col min="2548" max="2548" width="7.1796875" style="321" customWidth="1"/>
    <col min="2549" max="2549" width="9" style="321" hidden="1" customWidth="1"/>
    <col min="2550" max="2550" width="8.81640625" style="321" customWidth="1"/>
    <col min="2551" max="2551" width="9.81640625" style="321" customWidth="1"/>
    <col min="2552" max="2552" width="10.54296875" style="321" customWidth="1"/>
    <col min="2553" max="2553" width="12.1796875" style="321" customWidth="1"/>
    <col min="2554" max="2554" width="11.1796875" style="321" customWidth="1"/>
    <col min="2555" max="2555" width="6.81640625" style="321" customWidth="1"/>
    <col min="2556" max="2795" width="30.54296875" style="321" customWidth="1"/>
    <col min="2796" max="2796" width="6.54296875" style="321" customWidth="1"/>
    <col min="2797" max="2797" width="7.54296875" style="321" customWidth="1"/>
    <col min="2798" max="2798" width="4.81640625" style="321" customWidth="1"/>
    <col min="2799" max="2799" width="11.81640625" style="321" customWidth="1"/>
    <col min="2800" max="2800" width="9.81640625" style="321" customWidth="1"/>
    <col min="2801" max="2801" width="3" style="321" customWidth="1"/>
    <col min="2802" max="2802" width="7.1796875" style="321" customWidth="1"/>
    <col min="2803" max="2803" width="22.81640625" style="321" customWidth="1"/>
    <col min="2804" max="2804" width="7.1796875" style="321" customWidth="1"/>
    <col min="2805" max="2805" width="9" style="321" hidden="1" customWidth="1"/>
    <col min="2806" max="2806" width="8.81640625" style="321" customWidth="1"/>
    <col min="2807" max="2807" width="9.81640625" style="321" customWidth="1"/>
    <col min="2808" max="2808" width="10.54296875" style="321" customWidth="1"/>
    <col min="2809" max="2809" width="12.1796875" style="321" customWidth="1"/>
    <col min="2810" max="2810" width="11.1796875" style="321" customWidth="1"/>
    <col min="2811" max="2811" width="6.81640625" style="321" customWidth="1"/>
    <col min="2812" max="3051" width="30.54296875" style="321" customWidth="1"/>
    <col min="3052" max="3052" width="6.54296875" style="321" customWidth="1"/>
    <col min="3053" max="3053" width="7.54296875" style="321" customWidth="1"/>
    <col min="3054" max="3054" width="4.81640625" style="321" customWidth="1"/>
    <col min="3055" max="3055" width="11.81640625" style="321" customWidth="1"/>
    <col min="3056" max="3056" width="9.81640625" style="321" customWidth="1"/>
    <col min="3057" max="3057" width="3" style="321" customWidth="1"/>
    <col min="3058" max="3058" width="7.1796875" style="321" customWidth="1"/>
    <col min="3059" max="3059" width="22.81640625" style="321" customWidth="1"/>
    <col min="3060" max="3060" width="7.1796875" style="321" customWidth="1"/>
    <col min="3061" max="3061" width="9" style="321" hidden="1" customWidth="1"/>
    <col min="3062" max="3062" width="8.81640625" style="321" customWidth="1"/>
    <col min="3063" max="3063" width="9.81640625" style="321" customWidth="1"/>
    <col min="3064" max="3064" width="10.54296875" style="321" customWidth="1"/>
    <col min="3065" max="3065" width="12.1796875" style="321" customWidth="1"/>
    <col min="3066" max="3066" width="11.1796875" style="321" customWidth="1"/>
    <col min="3067" max="3067" width="6.81640625" style="321" customWidth="1"/>
    <col min="3068" max="3307" width="30.54296875" style="321" customWidth="1"/>
    <col min="3308" max="3308" width="6.54296875" style="321" customWidth="1"/>
    <col min="3309" max="3309" width="7.54296875" style="321" customWidth="1"/>
    <col min="3310" max="3310" width="4.81640625" style="321" customWidth="1"/>
    <col min="3311" max="3311" width="11.81640625" style="321" customWidth="1"/>
    <col min="3312" max="3312" width="9.81640625" style="321" customWidth="1"/>
    <col min="3313" max="3313" width="3" style="321" customWidth="1"/>
    <col min="3314" max="3314" width="7.1796875" style="321" customWidth="1"/>
    <col min="3315" max="3315" width="22.81640625" style="321" customWidth="1"/>
    <col min="3316" max="3316" width="7.1796875" style="321" customWidth="1"/>
    <col min="3317" max="3317" width="9" style="321" hidden="1" customWidth="1"/>
    <col min="3318" max="3318" width="8.81640625" style="321" customWidth="1"/>
    <col min="3319" max="3319" width="9.81640625" style="321" customWidth="1"/>
    <col min="3320" max="3320" width="10.54296875" style="321" customWidth="1"/>
    <col min="3321" max="3321" width="12.1796875" style="321" customWidth="1"/>
    <col min="3322" max="3322" width="11.1796875" style="321" customWidth="1"/>
    <col min="3323" max="3323" width="6.81640625" style="321" customWidth="1"/>
    <col min="3324" max="3563" width="30.54296875" style="321" customWidth="1"/>
    <col min="3564" max="3564" width="6.54296875" style="321" customWidth="1"/>
    <col min="3565" max="3565" width="7.54296875" style="321" customWidth="1"/>
    <col min="3566" max="3566" width="4.81640625" style="321" customWidth="1"/>
    <col min="3567" max="3567" width="11.81640625" style="321" customWidth="1"/>
    <col min="3568" max="3568" width="9.81640625" style="321" customWidth="1"/>
    <col min="3569" max="3569" width="3" style="321" customWidth="1"/>
    <col min="3570" max="3570" width="7.1796875" style="321" customWidth="1"/>
    <col min="3571" max="3571" width="22.81640625" style="321" customWidth="1"/>
    <col min="3572" max="3572" width="7.1796875" style="321" customWidth="1"/>
    <col min="3573" max="3573" width="9" style="321" hidden="1" customWidth="1"/>
    <col min="3574" max="3574" width="8.81640625" style="321" customWidth="1"/>
    <col min="3575" max="3575" width="9.81640625" style="321" customWidth="1"/>
    <col min="3576" max="3576" width="10.54296875" style="321" customWidth="1"/>
    <col min="3577" max="3577" width="12.1796875" style="321" customWidth="1"/>
    <col min="3578" max="3578" width="11.1796875" style="321" customWidth="1"/>
    <col min="3579" max="3579" width="6.81640625" style="321" customWidth="1"/>
    <col min="3580" max="3819" width="30.54296875" style="321" customWidth="1"/>
    <col min="3820" max="3820" width="6.54296875" style="321" customWidth="1"/>
    <col min="3821" max="3821" width="7.54296875" style="321" customWidth="1"/>
    <col min="3822" max="3822" width="4.81640625" style="321" customWidth="1"/>
    <col min="3823" max="3823" width="11.81640625" style="321" customWidth="1"/>
    <col min="3824" max="3824" width="9.81640625" style="321" customWidth="1"/>
    <col min="3825" max="3825" width="3" style="321" customWidth="1"/>
    <col min="3826" max="3826" width="7.1796875" style="321" customWidth="1"/>
    <col min="3827" max="3827" width="22.81640625" style="321" customWidth="1"/>
    <col min="3828" max="3828" width="7.1796875" style="321" customWidth="1"/>
    <col min="3829" max="3829" width="9" style="321" hidden="1" customWidth="1"/>
    <col min="3830" max="3830" width="8.81640625" style="321" customWidth="1"/>
    <col min="3831" max="3831" width="9.81640625" style="321" customWidth="1"/>
    <col min="3832" max="3832" width="10.54296875" style="321" customWidth="1"/>
    <col min="3833" max="3833" width="12.1796875" style="321" customWidth="1"/>
    <col min="3834" max="3834" width="11.1796875" style="321" customWidth="1"/>
    <col min="3835" max="3835" width="6.81640625" style="321" customWidth="1"/>
    <col min="3836" max="4075" width="30.54296875" style="321" customWidth="1"/>
    <col min="4076" max="4076" width="6.54296875" style="321" customWidth="1"/>
    <col min="4077" max="4077" width="7.54296875" style="321" customWidth="1"/>
    <col min="4078" max="4078" width="4.81640625" style="321" customWidth="1"/>
    <col min="4079" max="4079" width="11.81640625" style="321" customWidth="1"/>
    <col min="4080" max="4080" width="9.81640625" style="321" customWidth="1"/>
    <col min="4081" max="4081" width="3" style="321" customWidth="1"/>
    <col min="4082" max="4082" width="7.1796875" style="321" customWidth="1"/>
    <col min="4083" max="4083" width="22.81640625" style="321" customWidth="1"/>
    <col min="4084" max="4084" width="7.1796875" style="321" customWidth="1"/>
    <col min="4085" max="4085" width="9" style="321" hidden="1" customWidth="1"/>
    <col min="4086" max="4086" width="8.81640625" style="321" customWidth="1"/>
    <col min="4087" max="4087" width="9.81640625" style="321" customWidth="1"/>
    <col min="4088" max="4088" width="10.54296875" style="321" customWidth="1"/>
    <col min="4089" max="4089" width="12.1796875" style="321" customWidth="1"/>
    <col min="4090" max="4090" width="11.1796875" style="321" customWidth="1"/>
    <col min="4091" max="4091" width="6.81640625" style="321" customWidth="1"/>
    <col min="4092" max="4331" width="30.54296875" style="321" customWidth="1"/>
    <col min="4332" max="4332" width="6.54296875" style="321" customWidth="1"/>
    <col min="4333" max="4333" width="7.54296875" style="321" customWidth="1"/>
    <col min="4334" max="4334" width="4.81640625" style="321" customWidth="1"/>
    <col min="4335" max="4335" width="11.81640625" style="321" customWidth="1"/>
    <col min="4336" max="4336" width="9.81640625" style="321" customWidth="1"/>
    <col min="4337" max="4337" width="3" style="321" customWidth="1"/>
    <col min="4338" max="4338" width="7.1796875" style="321" customWidth="1"/>
    <col min="4339" max="4339" width="22.81640625" style="321" customWidth="1"/>
    <col min="4340" max="4340" width="7.1796875" style="321" customWidth="1"/>
    <col min="4341" max="4341" width="9" style="321" hidden="1" customWidth="1"/>
    <col min="4342" max="4342" width="8.81640625" style="321" customWidth="1"/>
    <col min="4343" max="4343" width="9.81640625" style="321" customWidth="1"/>
    <col min="4344" max="4344" width="10.54296875" style="321" customWidth="1"/>
    <col min="4345" max="4345" width="12.1796875" style="321" customWidth="1"/>
    <col min="4346" max="4346" width="11.1796875" style="321" customWidth="1"/>
    <col min="4347" max="4347" width="6.81640625" style="321" customWidth="1"/>
    <col min="4348" max="4587" width="30.54296875" style="321" customWidth="1"/>
    <col min="4588" max="4588" width="6.54296875" style="321" customWidth="1"/>
    <col min="4589" max="4589" width="7.54296875" style="321" customWidth="1"/>
    <col min="4590" max="4590" width="4.81640625" style="321" customWidth="1"/>
    <col min="4591" max="4591" width="11.81640625" style="321" customWidth="1"/>
    <col min="4592" max="4592" width="9.81640625" style="321" customWidth="1"/>
    <col min="4593" max="4593" width="3" style="321" customWidth="1"/>
    <col min="4594" max="4594" width="7.1796875" style="321" customWidth="1"/>
    <col min="4595" max="4595" width="22.81640625" style="321" customWidth="1"/>
    <col min="4596" max="4596" width="7.1796875" style="321" customWidth="1"/>
    <col min="4597" max="4597" width="9" style="321" hidden="1" customWidth="1"/>
    <col min="4598" max="4598" width="8.81640625" style="321" customWidth="1"/>
    <col min="4599" max="4599" width="9.81640625" style="321" customWidth="1"/>
    <col min="4600" max="4600" width="10.54296875" style="321" customWidth="1"/>
    <col min="4601" max="4601" width="12.1796875" style="321" customWidth="1"/>
    <col min="4602" max="4602" width="11.1796875" style="321" customWidth="1"/>
    <col min="4603" max="4603" width="6.81640625" style="321" customWidth="1"/>
    <col min="4604" max="4843" width="30.54296875" style="321" customWidth="1"/>
    <col min="4844" max="4844" width="6.54296875" style="321" customWidth="1"/>
    <col min="4845" max="4845" width="7.54296875" style="321" customWidth="1"/>
    <col min="4846" max="4846" width="4.81640625" style="321" customWidth="1"/>
    <col min="4847" max="4847" width="11.81640625" style="321" customWidth="1"/>
    <col min="4848" max="4848" width="9.81640625" style="321" customWidth="1"/>
    <col min="4849" max="4849" width="3" style="321" customWidth="1"/>
    <col min="4850" max="4850" width="7.1796875" style="321" customWidth="1"/>
    <col min="4851" max="4851" width="22.81640625" style="321" customWidth="1"/>
    <col min="4852" max="4852" width="7.1796875" style="321" customWidth="1"/>
    <col min="4853" max="4853" width="9" style="321" hidden="1" customWidth="1"/>
    <col min="4854" max="4854" width="8.81640625" style="321" customWidth="1"/>
    <col min="4855" max="4855" width="9.81640625" style="321" customWidth="1"/>
    <col min="4856" max="4856" width="10.54296875" style="321" customWidth="1"/>
    <col min="4857" max="4857" width="12.1796875" style="321" customWidth="1"/>
    <col min="4858" max="4858" width="11.1796875" style="321" customWidth="1"/>
    <col min="4859" max="4859" width="6.81640625" style="321" customWidth="1"/>
    <col min="4860" max="5099" width="30.54296875" style="321" customWidth="1"/>
    <col min="5100" max="5100" width="6.54296875" style="321" customWidth="1"/>
    <col min="5101" max="5101" width="7.54296875" style="321" customWidth="1"/>
    <col min="5102" max="5102" width="4.81640625" style="321" customWidth="1"/>
    <col min="5103" max="5103" width="11.81640625" style="321" customWidth="1"/>
    <col min="5104" max="5104" width="9.81640625" style="321" customWidth="1"/>
    <col min="5105" max="5105" width="3" style="321" customWidth="1"/>
    <col min="5106" max="5106" width="7.1796875" style="321" customWidth="1"/>
    <col min="5107" max="5107" width="22.81640625" style="321" customWidth="1"/>
    <col min="5108" max="5108" width="7.1796875" style="321" customWidth="1"/>
    <col min="5109" max="5109" width="9" style="321" hidden="1" customWidth="1"/>
    <col min="5110" max="5110" width="8.81640625" style="321" customWidth="1"/>
    <col min="5111" max="5111" width="9.81640625" style="321" customWidth="1"/>
    <col min="5112" max="5112" width="10.54296875" style="321" customWidth="1"/>
    <col min="5113" max="5113" width="12.1796875" style="321" customWidth="1"/>
    <col min="5114" max="5114" width="11.1796875" style="321" customWidth="1"/>
    <col min="5115" max="5115" width="6.81640625" style="321" customWidth="1"/>
    <col min="5116" max="5355" width="30.54296875" style="321" customWidth="1"/>
    <col min="5356" max="5356" width="6.54296875" style="321" customWidth="1"/>
    <col min="5357" max="5357" width="7.54296875" style="321" customWidth="1"/>
    <col min="5358" max="5358" width="4.81640625" style="321" customWidth="1"/>
    <col min="5359" max="5359" width="11.81640625" style="321" customWidth="1"/>
    <col min="5360" max="5360" width="9.81640625" style="321" customWidth="1"/>
    <col min="5361" max="5361" width="3" style="321" customWidth="1"/>
    <col min="5362" max="5362" width="7.1796875" style="321" customWidth="1"/>
    <col min="5363" max="5363" width="22.81640625" style="321" customWidth="1"/>
    <col min="5364" max="5364" width="7.1796875" style="321" customWidth="1"/>
    <col min="5365" max="5365" width="9" style="321" hidden="1" customWidth="1"/>
    <col min="5366" max="5366" width="8.81640625" style="321" customWidth="1"/>
    <col min="5367" max="5367" width="9.81640625" style="321" customWidth="1"/>
    <col min="5368" max="5368" width="10.54296875" style="321" customWidth="1"/>
    <col min="5369" max="5369" width="12.1796875" style="321" customWidth="1"/>
    <col min="5370" max="5370" width="11.1796875" style="321" customWidth="1"/>
    <col min="5371" max="5371" width="6.81640625" style="321" customWidth="1"/>
    <col min="5372" max="5611" width="30.54296875" style="321" customWidth="1"/>
    <col min="5612" max="5612" width="6.54296875" style="321" customWidth="1"/>
    <col min="5613" max="5613" width="7.54296875" style="321" customWidth="1"/>
    <col min="5614" max="5614" width="4.81640625" style="321" customWidth="1"/>
    <col min="5615" max="5615" width="11.81640625" style="321" customWidth="1"/>
    <col min="5616" max="5616" width="9.81640625" style="321" customWidth="1"/>
    <col min="5617" max="5617" width="3" style="321" customWidth="1"/>
    <col min="5618" max="5618" width="7.1796875" style="321" customWidth="1"/>
    <col min="5619" max="5619" width="22.81640625" style="321" customWidth="1"/>
    <col min="5620" max="5620" width="7.1796875" style="321" customWidth="1"/>
    <col min="5621" max="5621" width="9" style="321" hidden="1" customWidth="1"/>
    <col min="5622" max="5622" width="8.81640625" style="321" customWidth="1"/>
    <col min="5623" max="5623" width="9.81640625" style="321" customWidth="1"/>
    <col min="5624" max="5624" width="10.54296875" style="321" customWidth="1"/>
    <col min="5625" max="5625" width="12.1796875" style="321" customWidth="1"/>
    <col min="5626" max="5626" width="11.1796875" style="321" customWidth="1"/>
    <col min="5627" max="5627" width="6.81640625" style="321" customWidth="1"/>
    <col min="5628" max="5867" width="30.54296875" style="321" customWidth="1"/>
    <col min="5868" max="5868" width="6.54296875" style="321" customWidth="1"/>
    <col min="5869" max="5869" width="7.54296875" style="321" customWidth="1"/>
    <col min="5870" max="5870" width="4.81640625" style="321" customWidth="1"/>
    <col min="5871" max="5871" width="11.81640625" style="321" customWidth="1"/>
    <col min="5872" max="5872" width="9.81640625" style="321" customWidth="1"/>
    <col min="5873" max="5873" width="3" style="321" customWidth="1"/>
    <col min="5874" max="5874" width="7.1796875" style="321" customWidth="1"/>
    <col min="5875" max="5875" width="22.81640625" style="321" customWidth="1"/>
    <col min="5876" max="5876" width="7.1796875" style="321" customWidth="1"/>
    <col min="5877" max="5877" width="9" style="321" hidden="1" customWidth="1"/>
    <col min="5878" max="5878" width="8.81640625" style="321" customWidth="1"/>
    <col min="5879" max="5879" width="9.81640625" style="321" customWidth="1"/>
    <col min="5880" max="5880" width="10.54296875" style="321" customWidth="1"/>
    <col min="5881" max="5881" width="12.1796875" style="321" customWidth="1"/>
    <col min="5882" max="5882" width="11.1796875" style="321" customWidth="1"/>
    <col min="5883" max="5883" width="6.81640625" style="321" customWidth="1"/>
    <col min="5884" max="6123" width="30.54296875" style="321" customWidth="1"/>
    <col min="6124" max="6124" width="6.54296875" style="321" customWidth="1"/>
    <col min="6125" max="6125" width="7.54296875" style="321" customWidth="1"/>
    <col min="6126" max="6126" width="4.81640625" style="321" customWidth="1"/>
    <col min="6127" max="6127" width="11.81640625" style="321" customWidth="1"/>
    <col min="6128" max="6128" width="9.81640625" style="321" customWidth="1"/>
    <col min="6129" max="6129" width="3" style="321" customWidth="1"/>
    <col min="6130" max="6130" width="7.1796875" style="321" customWidth="1"/>
    <col min="6131" max="6131" width="22.81640625" style="321" customWidth="1"/>
    <col min="6132" max="6132" width="7.1796875" style="321" customWidth="1"/>
    <col min="6133" max="6133" width="9" style="321" hidden="1" customWidth="1"/>
    <col min="6134" max="6134" width="8.81640625" style="321" customWidth="1"/>
    <col min="6135" max="6135" width="9.81640625" style="321" customWidth="1"/>
    <col min="6136" max="6136" width="10.54296875" style="321" customWidth="1"/>
    <col min="6137" max="6137" width="12.1796875" style="321" customWidth="1"/>
    <col min="6138" max="6138" width="11.1796875" style="321" customWidth="1"/>
    <col min="6139" max="6139" width="6.81640625" style="321" customWidth="1"/>
    <col min="6140" max="6379" width="30.54296875" style="321" customWidth="1"/>
    <col min="6380" max="6380" width="6.54296875" style="321" customWidth="1"/>
    <col min="6381" max="6381" width="7.54296875" style="321" customWidth="1"/>
    <col min="6382" max="6382" width="4.81640625" style="321" customWidth="1"/>
    <col min="6383" max="6383" width="11.81640625" style="321" customWidth="1"/>
    <col min="6384" max="6384" width="9.81640625" style="321" customWidth="1"/>
    <col min="6385" max="6385" width="3" style="321" customWidth="1"/>
    <col min="6386" max="6386" width="7.1796875" style="321" customWidth="1"/>
    <col min="6387" max="6387" width="22.81640625" style="321" customWidth="1"/>
    <col min="6388" max="6388" width="7.1796875" style="321" customWidth="1"/>
    <col min="6389" max="6389" width="9" style="321" hidden="1" customWidth="1"/>
    <col min="6390" max="6390" width="8.81640625" style="321" customWidth="1"/>
    <col min="6391" max="6391" width="9.81640625" style="321" customWidth="1"/>
    <col min="6392" max="6392" width="10.54296875" style="321" customWidth="1"/>
    <col min="6393" max="6393" width="12.1796875" style="321" customWidth="1"/>
    <col min="6394" max="6394" width="11.1796875" style="321" customWidth="1"/>
    <col min="6395" max="6395" width="6.81640625" style="321" customWidth="1"/>
    <col min="6396" max="6635" width="30.54296875" style="321" customWidth="1"/>
    <col min="6636" max="6636" width="6.54296875" style="321" customWidth="1"/>
    <col min="6637" max="6637" width="7.54296875" style="321" customWidth="1"/>
    <col min="6638" max="6638" width="4.81640625" style="321" customWidth="1"/>
    <col min="6639" max="6639" width="11.81640625" style="321" customWidth="1"/>
    <col min="6640" max="6640" width="9.81640625" style="321" customWidth="1"/>
    <col min="6641" max="6641" width="3" style="321" customWidth="1"/>
    <col min="6642" max="6642" width="7.1796875" style="321" customWidth="1"/>
    <col min="6643" max="6643" width="22.81640625" style="321" customWidth="1"/>
    <col min="6644" max="6644" width="7.1796875" style="321" customWidth="1"/>
    <col min="6645" max="6645" width="9" style="321" hidden="1" customWidth="1"/>
    <col min="6646" max="6646" width="8.81640625" style="321" customWidth="1"/>
    <col min="6647" max="6647" width="9.81640625" style="321" customWidth="1"/>
    <col min="6648" max="6648" width="10.54296875" style="321" customWidth="1"/>
    <col min="6649" max="6649" width="12.1796875" style="321" customWidth="1"/>
    <col min="6650" max="6650" width="11.1796875" style="321" customWidth="1"/>
    <col min="6651" max="6651" width="6.81640625" style="321" customWidth="1"/>
    <col min="6652" max="6891" width="30.54296875" style="321" customWidth="1"/>
    <col min="6892" max="6892" width="6.54296875" style="321" customWidth="1"/>
    <col min="6893" max="6893" width="7.54296875" style="321" customWidth="1"/>
    <col min="6894" max="6894" width="4.81640625" style="321" customWidth="1"/>
    <col min="6895" max="6895" width="11.81640625" style="321" customWidth="1"/>
    <col min="6896" max="6896" width="9.81640625" style="321" customWidth="1"/>
    <col min="6897" max="6897" width="3" style="321" customWidth="1"/>
    <col min="6898" max="6898" width="7.1796875" style="321" customWidth="1"/>
    <col min="6899" max="6899" width="22.81640625" style="321" customWidth="1"/>
    <col min="6900" max="6900" width="7.1796875" style="321" customWidth="1"/>
    <col min="6901" max="6901" width="9" style="321" hidden="1" customWidth="1"/>
    <col min="6902" max="6902" width="8.81640625" style="321" customWidth="1"/>
    <col min="6903" max="6903" width="9.81640625" style="321" customWidth="1"/>
    <col min="6904" max="6904" width="10.54296875" style="321" customWidth="1"/>
    <col min="6905" max="6905" width="12.1796875" style="321" customWidth="1"/>
    <col min="6906" max="6906" width="11.1796875" style="321" customWidth="1"/>
    <col min="6907" max="6907" width="6.81640625" style="321" customWidth="1"/>
    <col min="6908" max="7147" width="30.54296875" style="321" customWidth="1"/>
    <col min="7148" max="7148" width="6.54296875" style="321" customWidth="1"/>
    <col min="7149" max="7149" width="7.54296875" style="321" customWidth="1"/>
    <col min="7150" max="7150" width="4.81640625" style="321" customWidth="1"/>
    <col min="7151" max="7151" width="11.81640625" style="321" customWidth="1"/>
    <col min="7152" max="7152" width="9.81640625" style="321" customWidth="1"/>
    <col min="7153" max="7153" width="3" style="321" customWidth="1"/>
    <col min="7154" max="7154" width="7.1796875" style="321" customWidth="1"/>
    <col min="7155" max="7155" width="22.81640625" style="321" customWidth="1"/>
    <col min="7156" max="7156" width="7.1796875" style="321" customWidth="1"/>
    <col min="7157" max="7157" width="9" style="321" hidden="1" customWidth="1"/>
    <col min="7158" max="7158" width="8.81640625" style="321" customWidth="1"/>
    <col min="7159" max="7159" width="9.81640625" style="321" customWidth="1"/>
    <col min="7160" max="7160" width="10.54296875" style="321" customWidth="1"/>
    <col min="7161" max="7161" width="12.1796875" style="321" customWidth="1"/>
    <col min="7162" max="7162" width="11.1796875" style="321" customWidth="1"/>
    <col min="7163" max="7163" width="6.81640625" style="321" customWidth="1"/>
    <col min="7164" max="7403" width="30.54296875" style="321" customWidth="1"/>
    <col min="7404" max="7404" width="6.54296875" style="321" customWidth="1"/>
    <col min="7405" max="7405" width="7.54296875" style="321" customWidth="1"/>
    <col min="7406" max="7406" width="4.81640625" style="321" customWidth="1"/>
    <col min="7407" max="7407" width="11.81640625" style="321" customWidth="1"/>
    <col min="7408" max="7408" width="9.81640625" style="321" customWidth="1"/>
    <col min="7409" max="7409" width="3" style="321" customWidth="1"/>
    <col min="7410" max="7410" width="7.1796875" style="321" customWidth="1"/>
    <col min="7411" max="7411" width="22.81640625" style="321" customWidth="1"/>
    <col min="7412" max="7412" width="7.1796875" style="321" customWidth="1"/>
    <col min="7413" max="7413" width="9" style="321" hidden="1" customWidth="1"/>
    <col min="7414" max="7414" width="8.81640625" style="321" customWidth="1"/>
    <col min="7415" max="7415" width="9.81640625" style="321" customWidth="1"/>
    <col min="7416" max="7416" width="10.54296875" style="321" customWidth="1"/>
    <col min="7417" max="7417" width="12.1796875" style="321" customWidth="1"/>
    <col min="7418" max="7418" width="11.1796875" style="321" customWidth="1"/>
    <col min="7419" max="7419" width="6.81640625" style="321" customWidth="1"/>
    <col min="7420" max="7659" width="30.54296875" style="321" customWidth="1"/>
    <col min="7660" max="7660" width="6.54296875" style="321" customWidth="1"/>
    <col min="7661" max="7661" width="7.54296875" style="321" customWidth="1"/>
    <col min="7662" max="7662" width="4.81640625" style="321" customWidth="1"/>
    <col min="7663" max="7663" width="11.81640625" style="321" customWidth="1"/>
    <col min="7664" max="7664" width="9.81640625" style="321" customWidth="1"/>
    <col min="7665" max="7665" width="3" style="321" customWidth="1"/>
    <col min="7666" max="7666" width="7.1796875" style="321" customWidth="1"/>
    <col min="7667" max="7667" width="22.81640625" style="321" customWidth="1"/>
    <col min="7668" max="7668" width="7.1796875" style="321" customWidth="1"/>
    <col min="7669" max="7669" width="9" style="321" hidden="1" customWidth="1"/>
    <col min="7670" max="7670" width="8.81640625" style="321" customWidth="1"/>
    <col min="7671" max="7671" width="9.81640625" style="321" customWidth="1"/>
    <col min="7672" max="7672" width="10.54296875" style="321" customWidth="1"/>
    <col min="7673" max="7673" width="12.1796875" style="321" customWidth="1"/>
    <col min="7674" max="7674" width="11.1796875" style="321" customWidth="1"/>
    <col min="7675" max="7675" width="6.81640625" style="321" customWidth="1"/>
    <col min="7676" max="7915" width="30.54296875" style="321" customWidth="1"/>
    <col min="7916" max="7916" width="6.54296875" style="321" customWidth="1"/>
    <col min="7917" max="7917" width="7.54296875" style="321" customWidth="1"/>
    <col min="7918" max="7918" width="4.81640625" style="321" customWidth="1"/>
    <col min="7919" max="7919" width="11.81640625" style="321" customWidth="1"/>
    <col min="7920" max="7920" width="9.81640625" style="321" customWidth="1"/>
    <col min="7921" max="7921" width="3" style="321" customWidth="1"/>
    <col min="7922" max="7922" width="7.1796875" style="321" customWidth="1"/>
    <col min="7923" max="7923" width="22.81640625" style="321" customWidth="1"/>
    <col min="7924" max="7924" width="7.1796875" style="321" customWidth="1"/>
    <col min="7925" max="7925" width="9" style="321" hidden="1" customWidth="1"/>
    <col min="7926" max="7926" width="8.81640625" style="321" customWidth="1"/>
    <col min="7927" max="7927" width="9.81640625" style="321" customWidth="1"/>
    <col min="7928" max="7928" width="10.54296875" style="321" customWidth="1"/>
    <col min="7929" max="7929" width="12.1796875" style="321" customWidth="1"/>
    <col min="7930" max="7930" width="11.1796875" style="321" customWidth="1"/>
    <col min="7931" max="7931" width="6.81640625" style="321" customWidth="1"/>
    <col min="7932" max="8171" width="30.54296875" style="321" customWidth="1"/>
    <col min="8172" max="8172" width="6.54296875" style="321" customWidth="1"/>
    <col min="8173" max="8173" width="7.54296875" style="321" customWidth="1"/>
    <col min="8174" max="8174" width="4.81640625" style="321" customWidth="1"/>
    <col min="8175" max="8175" width="11.81640625" style="321" customWidth="1"/>
    <col min="8176" max="8176" width="9.81640625" style="321" customWidth="1"/>
    <col min="8177" max="8177" width="3" style="321" customWidth="1"/>
    <col min="8178" max="8178" width="7.1796875" style="321" customWidth="1"/>
    <col min="8179" max="8179" width="22.81640625" style="321" customWidth="1"/>
    <col min="8180" max="8180" width="7.1796875" style="321" customWidth="1"/>
    <col min="8181" max="8181" width="9" style="321" hidden="1" customWidth="1"/>
    <col min="8182" max="8182" width="8.81640625" style="321" customWidth="1"/>
    <col min="8183" max="8183" width="9.81640625" style="321" customWidth="1"/>
    <col min="8184" max="8184" width="10.54296875" style="321" customWidth="1"/>
    <col min="8185" max="8185" width="12.1796875" style="321" customWidth="1"/>
    <col min="8186" max="8186" width="11.1796875" style="321" customWidth="1"/>
    <col min="8187" max="8187" width="6.81640625" style="321" customWidth="1"/>
    <col min="8188" max="8427" width="30.54296875" style="321" customWidth="1"/>
    <col min="8428" max="8428" width="6.54296875" style="321" customWidth="1"/>
    <col min="8429" max="8429" width="7.54296875" style="321" customWidth="1"/>
    <col min="8430" max="8430" width="4.81640625" style="321" customWidth="1"/>
    <col min="8431" max="8431" width="11.81640625" style="321" customWidth="1"/>
    <col min="8432" max="8432" width="9.81640625" style="321" customWidth="1"/>
    <col min="8433" max="8433" width="3" style="321" customWidth="1"/>
    <col min="8434" max="8434" width="7.1796875" style="321" customWidth="1"/>
    <col min="8435" max="8435" width="22.81640625" style="321" customWidth="1"/>
    <col min="8436" max="8436" width="7.1796875" style="321" customWidth="1"/>
    <col min="8437" max="8437" width="9" style="321" hidden="1" customWidth="1"/>
    <col min="8438" max="8438" width="8.81640625" style="321" customWidth="1"/>
    <col min="8439" max="8439" width="9.81640625" style="321" customWidth="1"/>
    <col min="8440" max="8440" width="10.54296875" style="321" customWidth="1"/>
    <col min="8441" max="8441" width="12.1796875" style="321" customWidth="1"/>
    <col min="8442" max="8442" width="11.1796875" style="321" customWidth="1"/>
    <col min="8443" max="8443" width="6.81640625" style="321" customWidth="1"/>
    <col min="8444" max="8683" width="30.54296875" style="321" customWidth="1"/>
    <col min="8684" max="8684" width="6.54296875" style="321" customWidth="1"/>
    <col min="8685" max="8685" width="7.54296875" style="321" customWidth="1"/>
    <col min="8686" max="8686" width="4.81640625" style="321" customWidth="1"/>
    <col min="8687" max="8687" width="11.81640625" style="321" customWidth="1"/>
    <col min="8688" max="8688" width="9.81640625" style="321" customWidth="1"/>
    <col min="8689" max="8689" width="3" style="321" customWidth="1"/>
    <col min="8690" max="8690" width="7.1796875" style="321" customWidth="1"/>
    <col min="8691" max="8691" width="22.81640625" style="321" customWidth="1"/>
    <col min="8692" max="8692" width="7.1796875" style="321" customWidth="1"/>
    <col min="8693" max="8693" width="9" style="321" hidden="1" customWidth="1"/>
    <col min="8694" max="8694" width="8.81640625" style="321" customWidth="1"/>
    <col min="8695" max="8695" width="9.81640625" style="321" customWidth="1"/>
    <col min="8696" max="8696" width="10.54296875" style="321" customWidth="1"/>
    <col min="8697" max="8697" width="12.1796875" style="321" customWidth="1"/>
    <col min="8698" max="8698" width="11.1796875" style="321" customWidth="1"/>
    <col min="8699" max="8699" width="6.81640625" style="321" customWidth="1"/>
    <col min="8700" max="8939" width="30.54296875" style="321" customWidth="1"/>
    <col min="8940" max="8940" width="6.54296875" style="321" customWidth="1"/>
    <col min="8941" max="8941" width="7.54296875" style="321" customWidth="1"/>
    <col min="8942" max="8942" width="4.81640625" style="321" customWidth="1"/>
    <col min="8943" max="8943" width="11.81640625" style="321" customWidth="1"/>
    <col min="8944" max="8944" width="9.81640625" style="321" customWidth="1"/>
    <col min="8945" max="8945" width="3" style="321" customWidth="1"/>
    <col min="8946" max="8946" width="7.1796875" style="321" customWidth="1"/>
    <col min="8947" max="8947" width="22.81640625" style="321" customWidth="1"/>
    <col min="8948" max="8948" width="7.1796875" style="321" customWidth="1"/>
    <col min="8949" max="8949" width="9" style="321" hidden="1" customWidth="1"/>
    <col min="8950" max="8950" width="8.81640625" style="321" customWidth="1"/>
    <col min="8951" max="8951" width="9.81640625" style="321" customWidth="1"/>
    <col min="8952" max="8952" width="10.54296875" style="321" customWidth="1"/>
    <col min="8953" max="8953" width="12.1796875" style="321" customWidth="1"/>
    <col min="8954" max="8954" width="11.1796875" style="321" customWidth="1"/>
    <col min="8955" max="8955" width="6.81640625" style="321" customWidth="1"/>
    <col min="8956" max="9195" width="30.54296875" style="321" customWidth="1"/>
    <col min="9196" max="9196" width="6.54296875" style="321" customWidth="1"/>
    <col min="9197" max="9197" width="7.54296875" style="321" customWidth="1"/>
    <col min="9198" max="9198" width="4.81640625" style="321" customWidth="1"/>
    <col min="9199" max="9199" width="11.81640625" style="321" customWidth="1"/>
    <col min="9200" max="9200" width="9.81640625" style="321" customWidth="1"/>
    <col min="9201" max="9201" width="3" style="321" customWidth="1"/>
    <col min="9202" max="9202" width="7.1796875" style="321" customWidth="1"/>
    <col min="9203" max="9203" width="22.81640625" style="321" customWidth="1"/>
    <col min="9204" max="9204" width="7.1796875" style="321" customWidth="1"/>
    <col min="9205" max="9205" width="9" style="321" hidden="1" customWidth="1"/>
    <col min="9206" max="9206" width="8.81640625" style="321" customWidth="1"/>
    <col min="9207" max="9207" width="9.81640625" style="321" customWidth="1"/>
    <col min="9208" max="9208" width="10.54296875" style="321" customWidth="1"/>
    <col min="9209" max="9209" width="12.1796875" style="321" customWidth="1"/>
    <col min="9210" max="9210" width="11.1796875" style="321" customWidth="1"/>
    <col min="9211" max="9211" width="6.81640625" style="321" customWidth="1"/>
    <col min="9212" max="9451" width="30.54296875" style="321" customWidth="1"/>
    <col min="9452" max="9452" width="6.54296875" style="321" customWidth="1"/>
    <col min="9453" max="9453" width="7.54296875" style="321" customWidth="1"/>
    <col min="9454" max="9454" width="4.81640625" style="321" customWidth="1"/>
    <col min="9455" max="9455" width="11.81640625" style="321" customWidth="1"/>
    <col min="9456" max="9456" width="9.81640625" style="321" customWidth="1"/>
    <col min="9457" max="9457" width="3" style="321" customWidth="1"/>
    <col min="9458" max="9458" width="7.1796875" style="321" customWidth="1"/>
    <col min="9459" max="9459" width="22.81640625" style="321" customWidth="1"/>
    <col min="9460" max="9460" width="7.1796875" style="321" customWidth="1"/>
    <col min="9461" max="9461" width="9" style="321" hidden="1" customWidth="1"/>
    <col min="9462" max="9462" width="8.81640625" style="321" customWidth="1"/>
    <col min="9463" max="9463" width="9.81640625" style="321" customWidth="1"/>
    <col min="9464" max="9464" width="10.54296875" style="321" customWidth="1"/>
    <col min="9465" max="9465" width="12.1796875" style="321" customWidth="1"/>
    <col min="9466" max="9466" width="11.1796875" style="321" customWidth="1"/>
    <col min="9467" max="9467" width="6.81640625" style="321" customWidth="1"/>
    <col min="9468" max="9707" width="30.54296875" style="321" customWidth="1"/>
    <col min="9708" max="9708" width="6.54296875" style="321" customWidth="1"/>
    <col min="9709" max="9709" width="7.54296875" style="321" customWidth="1"/>
    <col min="9710" max="9710" width="4.81640625" style="321" customWidth="1"/>
    <col min="9711" max="9711" width="11.81640625" style="321" customWidth="1"/>
    <col min="9712" max="9712" width="9.81640625" style="321" customWidth="1"/>
    <col min="9713" max="9713" width="3" style="321" customWidth="1"/>
    <col min="9714" max="9714" width="7.1796875" style="321" customWidth="1"/>
    <col min="9715" max="9715" width="22.81640625" style="321" customWidth="1"/>
    <col min="9716" max="9716" width="7.1796875" style="321" customWidth="1"/>
    <col min="9717" max="9717" width="9" style="321" hidden="1" customWidth="1"/>
    <col min="9718" max="9718" width="8.81640625" style="321" customWidth="1"/>
    <col min="9719" max="9719" width="9.81640625" style="321" customWidth="1"/>
    <col min="9720" max="9720" width="10.54296875" style="321" customWidth="1"/>
    <col min="9721" max="9721" width="12.1796875" style="321" customWidth="1"/>
    <col min="9722" max="9722" width="11.1796875" style="321" customWidth="1"/>
    <col min="9723" max="9723" width="6.81640625" style="321" customWidth="1"/>
    <col min="9724" max="9963" width="30.54296875" style="321" customWidth="1"/>
    <col min="9964" max="9964" width="6.54296875" style="321" customWidth="1"/>
    <col min="9965" max="9965" width="7.54296875" style="321" customWidth="1"/>
    <col min="9966" max="9966" width="4.81640625" style="321" customWidth="1"/>
    <col min="9967" max="9967" width="11.81640625" style="321" customWidth="1"/>
    <col min="9968" max="9968" width="9.81640625" style="321" customWidth="1"/>
    <col min="9969" max="9969" width="3" style="321" customWidth="1"/>
    <col min="9970" max="9970" width="7.1796875" style="321" customWidth="1"/>
    <col min="9971" max="9971" width="22.81640625" style="321" customWidth="1"/>
    <col min="9972" max="9972" width="7.1796875" style="321" customWidth="1"/>
    <col min="9973" max="9973" width="9" style="321" hidden="1" customWidth="1"/>
    <col min="9974" max="9974" width="8.81640625" style="321" customWidth="1"/>
    <col min="9975" max="9975" width="9.81640625" style="321" customWidth="1"/>
    <col min="9976" max="9976" width="10.54296875" style="321" customWidth="1"/>
    <col min="9977" max="9977" width="12.1796875" style="321" customWidth="1"/>
    <col min="9978" max="9978" width="11.1796875" style="321" customWidth="1"/>
    <col min="9979" max="9979" width="6.81640625" style="321" customWidth="1"/>
    <col min="9980" max="10219" width="30.54296875" style="321" customWidth="1"/>
    <col min="10220" max="10220" width="6.54296875" style="321" customWidth="1"/>
    <col min="10221" max="10221" width="7.54296875" style="321" customWidth="1"/>
    <col min="10222" max="10222" width="4.81640625" style="321" customWidth="1"/>
    <col min="10223" max="10223" width="11.81640625" style="321" customWidth="1"/>
    <col min="10224" max="10224" width="9.81640625" style="321" customWidth="1"/>
    <col min="10225" max="10225" width="3" style="321" customWidth="1"/>
    <col min="10226" max="10226" width="7.1796875" style="321" customWidth="1"/>
    <col min="10227" max="10227" width="22.81640625" style="321" customWidth="1"/>
    <col min="10228" max="10228" width="7.1796875" style="321" customWidth="1"/>
    <col min="10229" max="10229" width="9" style="321" hidden="1" customWidth="1"/>
    <col min="10230" max="10230" width="8.81640625" style="321" customWidth="1"/>
    <col min="10231" max="10231" width="9.81640625" style="321" customWidth="1"/>
    <col min="10232" max="10232" width="10.54296875" style="321" customWidth="1"/>
    <col min="10233" max="10233" width="12.1796875" style="321" customWidth="1"/>
    <col min="10234" max="10234" width="11.1796875" style="321" customWidth="1"/>
    <col min="10235" max="10235" width="6.81640625" style="321" customWidth="1"/>
    <col min="10236" max="10475" width="30.54296875" style="321" customWidth="1"/>
    <col min="10476" max="10476" width="6.54296875" style="321" customWidth="1"/>
    <col min="10477" max="10477" width="7.54296875" style="321" customWidth="1"/>
    <col min="10478" max="10478" width="4.81640625" style="321" customWidth="1"/>
    <col min="10479" max="10479" width="11.81640625" style="321" customWidth="1"/>
    <col min="10480" max="10480" width="9.81640625" style="321" customWidth="1"/>
    <col min="10481" max="10481" width="3" style="321" customWidth="1"/>
    <col min="10482" max="10482" width="7.1796875" style="321" customWidth="1"/>
    <col min="10483" max="10483" width="22.81640625" style="321" customWidth="1"/>
    <col min="10484" max="10484" width="7.1796875" style="321" customWidth="1"/>
    <col min="10485" max="10485" width="9" style="321" hidden="1" customWidth="1"/>
    <col min="10486" max="10486" width="8.81640625" style="321" customWidth="1"/>
    <col min="10487" max="10487" width="9.81640625" style="321" customWidth="1"/>
    <col min="10488" max="10488" width="10.54296875" style="321" customWidth="1"/>
    <col min="10489" max="10489" width="12.1796875" style="321" customWidth="1"/>
    <col min="10490" max="10490" width="11.1796875" style="321" customWidth="1"/>
    <col min="10491" max="10491" width="6.81640625" style="321" customWidth="1"/>
    <col min="10492" max="10731" width="30.54296875" style="321" customWidth="1"/>
    <col min="10732" max="10732" width="6.54296875" style="321" customWidth="1"/>
    <col min="10733" max="10733" width="7.54296875" style="321" customWidth="1"/>
    <col min="10734" max="10734" width="4.81640625" style="321" customWidth="1"/>
    <col min="10735" max="10735" width="11.81640625" style="321" customWidth="1"/>
    <col min="10736" max="10736" width="9.81640625" style="321" customWidth="1"/>
    <col min="10737" max="10737" width="3" style="321" customWidth="1"/>
    <col min="10738" max="10738" width="7.1796875" style="321" customWidth="1"/>
    <col min="10739" max="10739" width="22.81640625" style="321" customWidth="1"/>
    <col min="10740" max="10740" width="7.1796875" style="321" customWidth="1"/>
    <col min="10741" max="10741" width="9" style="321" hidden="1" customWidth="1"/>
    <col min="10742" max="10742" width="8.81640625" style="321" customWidth="1"/>
    <col min="10743" max="10743" width="9.81640625" style="321" customWidth="1"/>
    <col min="10744" max="10744" width="10.54296875" style="321" customWidth="1"/>
    <col min="10745" max="10745" width="12.1796875" style="321" customWidth="1"/>
    <col min="10746" max="10746" width="11.1796875" style="321" customWidth="1"/>
    <col min="10747" max="10747" width="6.81640625" style="321" customWidth="1"/>
    <col min="10748" max="10987" width="30.54296875" style="321" customWidth="1"/>
    <col min="10988" max="10988" width="6.54296875" style="321" customWidth="1"/>
    <col min="10989" max="10989" width="7.54296875" style="321" customWidth="1"/>
    <col min="10990" max="10990" width="4.81640625" style="321" customWidth="1"/>
    <col min="10991" max="10991" width="11.81640625" style="321" customWidth="1"/>
    <col min="10992" max="10992" width="9.81640625" style="321" customWidth="1"/>
    <col min="10993" max="10993" width="3" style="321" customWidth="1"/>
    <col min="10994" max="10994" width="7.1796875" style="321" customWidth="1"/>
    <col min="10995" max="10995" width="22.81640625" style="321" customWidth="1"/>
    <col min="10996" max="10996" width="7.1796875" style="321" customWidth="1"/>
    <col min="10997" max="10997" width="9" style="321" hidden="1" customWidth="1"/>
    <col min="10998" max="10998" width="8.81640625" style="321" customWidth="1"/>
    <col min="10999" max="10999" width="9.81640625" style="321" customWidth="1"/>
    <col min="11000" max="11000" width="10.54296875" style="321" customWidth="1"/>
    <col min="11001" max="11001" width="12.1796875" style="321" customWidth="1"/>
    <col min="11002" max="11002" width="11.1796875" style="321" customWidth="1"/>
    <col min="11003" max="11003" width="6.81640625" style="321" customWidth="1"/>
    <col min="11004" max="11243" width="30.54296875" style="321" customWidth="1"/>
    <col min="11244" max="11244" width="6.54296875" style="321" customWidth="1"/>
    <col min="11245" max="11245" width="7.54296875" style="321" customWidth="1"/>
    <col min="11246" max="11246" width="4.81640625" style="321" customWidth="1"/>
    <col min="11247" max="11247" width="11.81640625" style="321" customWidth="1"/>
    <col min="11248" max="11248" width="9.81640625" style="321" customWidth="1"/>
    <col min="11249" max="11249" width="3" style="321" customWidth="1"/>
    <col min="11250" max="11250" width="7.1796875" style="321" customWidth="1"/>
    <col min="11251" max="11251" width="22.81640625" style="321" customWidth="1"/>
    <col min="11252" max="11252" width="7.1796875" style="321" customWidth="1"/>
    <col min="11253" max="11253" width="9" style="321" hidden="1" customWidth="1"/>
    <col min="11254" max="11254" width="8.81640625" style="321" customWidth="1"/>
    <col min="11255" max="11255" width="9.81640625" style="321" customWidth="1"/>
    <col min="11256" max="11256" width="10.54296875" style="321" customWidth="1"/>
    <col min="11257" max="11257" width="12.1796875" style="321" customWidth="1"/>
    <col min="11258" max="11258" width="11.1796875" style="321" customWidth="1"/>
    <col min="11259" max="11259" width="6.81640625" style="321" customWidth="1"/>
    <col min="11260" max="11499" width="30.54296875" style="321" customWidth="1"/>
    <col min="11500" max="11500" width="6.54296875" style="321" customWidth="1"/>
    <col min="11501" max="11501" width="7.54296875" style="321" customWidth="1"/>
    <col min="11502" max="11502" width="4.81640625" style="321" customWidth="1"/>
    <col min="11503" max="11503" width="11.81640625" style="321" customWidth="1"/>
    <col min="11504" max="11504" width="9.81640625" style="321" customWidth="1"/>
    <col min="11505" max="11505" width="3" style="321" customWidth="1"/>
    <col min="11506" max="11506" width="7.1796875" style="321" customWidth="1"/>
    <col min="11507" max="11507" width="22.81640625" style="321" customWidth="1"/>
    <col min="11508" max="11508" width="7.1796875" style="321" customWidth="1"/>
    <col min="11509" max="11509" width="9" style="321" hidden="1" customWidth="1"/>
    <col min="11510" max="11510" width="8.81640625" style="321" customWidth="1"/>
    <col min="11511" max="11511" width="9.81640625" style="321" customWidth="1"/>
    <col min="11512" max="11512" width="10.54296875" style="321" customWidth="1"/>
    <col min="11513" max="11513" width="12.1796875" style="321" customWidth="1"/>
    <col min="11514" max="11514" width="11.1796875" style="321" customWidth="1"/>
    <col min="11515" max="11515" width="6.81640625" style="321" customWidth="1"/>
    <col min="11516" max="11755" width="30.54296875" style="321" customWidth="1"/>
    <col min="11756" max="11756" width="6.54296875" style="321" customWidth="1"/>
    <col min="11757" max="11757" width="7.54296875" style="321" customWidth="1"/>
    <col min="11758" max="11758" width="4.81640625" style="321" customWidth="1"/>
    <col min="11759" max="11759" width="11.81640625" style="321" customWidth="1"/>
    <col min="11760" max="11760" width="9.81640625" style="321" customWidth="1"/>
    <col min="11761" max="11761" width="3" style="321" customWidth="1"/>
    <col min="11762" max="11762" width="7.1796875" style="321" customWidth="1"/>
    <col min="11763" max="11763" width="22.81640625" style="321" customWidth="1"/>
    <col min="11764" max="11764" width="7.1796875" style="321" customWidth="1"/>
    <col min="11765" max="11765" width="9" style="321" hidden="1" customWidth="1"/>
    <col min="11766" max="11766" width="8.81640625" style="321" customWidth="1"/>
    <col min="11767" max="11767" width="9.81640625" style="321" customWidth="1"/>
    <col min="11768" max="11768" width="10.54296875" style="321" customWidth="1"/>
    <col min="11769" max="11769" width="12.1796875" style="321" customWidth="1"/>
    <col min="11770" max="11770" width="11.1796875" style="321" customWidth="1"/>
    <col min="11771" max="11771" width="6.81640625" style="321" customWidth="1"/>
    <col min="11772" max="12011" width="30.54296875" style="321" customWidth="1"/>
    <col min="12012" max="12012" width="6.54296875" style="321" customWidth="1"/>
    <col min="12013" max="12013" width="7.54296875" style="321" customWidth="1"/>
    <col min="12014" max="12014" width="4.81640625" style="321" customWidth="1"/>
    <col min="12015" max="12015" width="11.81640625" style="321" customWidth="1"/>
    <col min="12016" max="12016" width="9.81640625" style="321" customWidth="1"/>
    <col min="12017" max="12017" width="3" style="321" customWidth="1"/>
    <col min="12018" max="12018" width="7.1796875" style="321" customWidth="1"/>
    <col min="12019" max="12019" width="22.81640625" style="321" customWidth="1"/>
    <col min="12020" max="12020" width="7.1796875" style="321" customWidth="1"/>
    <col min="12021" max="12021" width="9" style="321" hidden="1" customWidth="1"/>
    <col min="12022" max="12022" width="8.81640625" style="321" customWidth="1"/>
    <col min="12023" max="12023" width="9.81640625" style="321" customWidth="1"/>
    <col min="12024" max="12024" width="10.54296875" style="321" customWidth="1"/>
    <col min="12025" max="12025" width="12.1796875" style="321" customWidth="1"/>
    <col min="12026" max="12026" width="11.1796875" style="321" customWidth="1"/>
    <col min="12027" max="12027" width="6.81640625" style="321" customWidth="1"/>
    <col min="12028" max="12267" width="30.54296875" style="321" customWidth="1"/>
    <col min="12268" max="12268" width="6.54296875" style="321" customWidth="1"/>
    <col min="12269" max="12269" width="7.54296875" style="321" customWidth="1"/>
    <col min="12270" max="12270" width="4.81640625" style="321" customWidth="1"/>
    <col min="12271" max="12271" width="11.81640625" style="321" customWidth="1"/>
    <col min="12272" max="12272" width="9.81640625" style="321" customWidth="1"/>
    <col min="12273" max="12273" width="3" style="321" customWidth="1"/>
    <col min="12274" max="12274" width="7.1796875" style="321" customWidth="1"/>
    <col min="12275" max="12275" width="22.81640625" style="321" customWidth="1"/>
    <col min="12276" max="12276" width="7.1796875" style="321" customWidth="1"/>
    <col min="12277" max="12277" width="9" style="321" hidden="1" customWidth="1"/>
    <col min="12278" max="12278" width="8.81640625" style="321" customWidth="1"/>
    <col min="12279" max="12279" width="9.81640625" style="321" customWidth="1"/>
    <col min="12280" max="12280" width="10.54296875" style="321" customWidth="1"/>
    <col min="12281" max="12281" width="12.1796875" style="321" customWidth="1"/>
    <col min="12282" max="12282" width="11.1796875" style="321" customWidth="1"/>
    <col min="12283" max="12283" width="6.81640625" style="321" customWidth="1"/>
    <col min="12284" max="12523" width="30.54296875" style="321" customWidth="1"/>
    <col min="12524" max="12524" width="6.54296875" style="321" customWidth="1"/>
    <col min="12525" max="12525" width="7.54296875" style="321" customWidth="1"/>
    <col min="12526" max="12526" width="4.81640625" style="321" customWidth="1"/>
    <col min="12527" max="12527" width="11.81640625" style="321" customWidth="1"/>
    <col min="12528" max="12528" width="9.81640625" style="321" customWidth="1"/>
    <col min="12529" max="12529" width="3" style="321" customWidth="1"/>
    <col min="12530" max="12530" width="7.1796875" style="321" customWidth="1"/>
    <col min="12531" max="12531" width="22.81640625" style="321" customWidth="1"/>
    <col min="12532" max="12532" width="7.1796875" style="321" customWidth="1"/>
    <col min="12533" max="12533" width="9" style="321" hidden="1" customWidth="1"/>
    <col min="12534" max="12534" width="8.81640625" style="321" customWidth="1"/>
    <col min="12535" max="12535" width="9.81640625" style="321" customWidth="1"/>
    <col min="12536" max="12536" width="10.54296875" style="321" customWidth="1"/>
    <col min="12537" max="12537" width="12.1796875" style="321" customWidth="1"/>
    <col min="12538" max="12538" width="11.1796875" style="321" customWidth="1"/>
    <col min="12539" max="12539" width="6.81640625" style="321" customWidth="1"/>
    <col min="12540" max="12779" width="30.54296875" style="321" customWidth="1"/>
    <col min="12780" max="12780" width="6.54296875" style="321" customWidth="1"/>
    <col min="12781" max="12781" width="7.54296875" style="321" customWidth="1"/>
    <col min="12782" max="12782" width="4.81640625" style="321" customWidth="1"/>
    <col min="12783" max="12783" width="11.81640625" style="321" customWidth="1"/>
    <col min="12784" max="12784" width="9.81640625" style="321" customWidth="1"/>
    <col min="12785" max="12785" width="3" style="321" customWidth="1"/>
    <col min="12786" max="12786" width="7.1796875" style="321" customWidth="1"/>
    <col min="12787" max="12787" width="22.81640625" style="321" customWidth="1"/>
    <col min="12788" max="12788" width="7.1796875" style="321" customWidth="1"/>
    <col min="12789" max="12789" width="9" style="321" hidden="1" customWidth="1"/>
    <col min="12790" max="12790" width="8.81640625" style="321" customWidth="1"/>
    <col min="12791" max="12791" width="9.81640625" style="321" customWidth="1"/>
    <col min="12792" max="12792" width="10.54296875" style="321" customWidth="1"/>
    <col min="12793" max="12793" width="12.1796875" style="321" customWidth="1"/>
    <col min="12794" max="12794" width="11.1796875" style="321" customWidth="1"/>
    <col min="12795" max="12795" width="6.81640625" style="321" customWidth="1"/>
    <col min="12796" max="13035" width="30.54296875" style="321" customWidth="1"/>
    <col min="13036" max="13036" width="6.54296875" style="321" customWidth="1"/>
    <col min="13037" max="13037" width="7.54296875" style="321" customWidth="1"/>
    <col min="13038" max="13038" width="4.81640625" style="321" customWidth="1"/>
    <col min="13039" max="13039" width="11.81640625" style="321" customWidth="1"/>
    <col min="13040" max="13040" width="9.81640625" style="321" customWidth="1"/>
    <col min="13041" max="13041" width="3" style="321" customWidth="1"/>
    <col min="13042" max="13042" width="7.1796875" style="321" customWidth="1"/>
    <col min="13043" max="13043" width="22.81640625" style="321" customWidth="1"/>
    <col min="13044" max="13044" width="7.1796875" style="321" customWidth="1"/>
    <col min="13045" max="13045" width="9" style="321" hidden="1" customWidth="1"/>
    <col min="13046" max="13046" width="8.81640625" style="321" customWidth="1"/>
    <col min="13047" max="13047" width="9.81640625" style="321" customWidth="1"/>
    <col min="13048" max="13048" width="10.54296875" style="321" customWidth="1"/>
    <col min="13049" max="13049" width="12.1796875" style="321" customWidth="1"/>
    <col min="13050" max="13050" width="11.1796875" style="321" customWidth="1"/>
    <col min="13051" max="13051" width="6.81640625" style="321" customWidth="1"/>
    <col min="13052" max="13291" width="30.54296875" style="321" customWidth="1"/>
    <col min="13292" max="13292" width="6.54296875" style="321" customWidth="1"/>
    <col min="13293" max="13293" width="7.54296875" style="321" customWidth="1"/>
    <col min="13294" max="13294" width="4.81640625" style="321" customWidth="1"/>
    <col min="13295" max="13295" width="11.81640625" style="321" customWidth="1"/>
    <col min="13296" max="13296" width="9.81640625" style="321" customWidth="1"/>
    <col min="13297" max="13297" width="3" style="321" customWidth="1"/>
    <col min="13298" max="13298" width="7.1796875" style="321" customWidth="1"/>
    <col min="13299" max="13299" width="22.81640625" style="321" customWidth="1"/>
    <col min="13300" max="13300" width="7.1796875" style="321" customWidth="1"/>
    <col min="13301" max="13301" width="9" style="321" hidden="1" customWidth="1"/>
    <col min="13302" max="13302" width="8.81640625" style="321" customWidth="1"/>
    <col min="13303" max="13303" width="9.81640625" style="321" customWidth="1"/>
    <col min="13304" max="13304" width="10.54296875" style="321" customWidth="1"/>
    <col min="13305" max="13305" width="12.1796875" style="321" customWidth="1"/>
    <col min="13306" max="13306" width="11.1796875" style="321" customWidth="1"/>
    <col min="13307" max="13307" width="6.81640625" style="321" customWidth="1"/>
    <col min="13308" max="13547" width="30.54296875" style="321" customWidth="1"/>
    <col min="13548" max="13548" width="6.54296875" style="321" customWidth="1"/>
    <col min="13549" max="13549" width="7.54296875" style="321" customWidth="1"/>
    <col min="13550" max="13550" width="4.81640625" style="321" customWidth="1"/>
    <col min="13551" max="13551" width="11.81640625" style="321" customWidth="1"/>
    <col min="13552" max="13552" width="9.81640625" style="321" customWidth="1"/>
    <col min="13553" max="13553" width="3" style="321" customWidth="1"/>
    <col min="13554" max="13554" width="7.1796875" style="321" customWidth="1"/>
    <col min="13555" max="13555" width="22.81640625" style="321" customWidth="1"/>
    <col min="13556" max="13556" width="7.1796875" style="321" customWidth="1"/>
    <col min="13557" max="13557" width="9" style="321" hidden="1" customWidth="1"/>
    <col min="13558" max="13558" width="8.81640625" style="321" customWidth="1"/>
    <col min="13559" max="13559" width="9.81640625" style="321" customWidth="1"/>
    <col min="13560" max="13560" width="10.54296875" style="321" customWidth="1"/>
    <col min="13561" max="13561" width="12.1796875" style="321" customWidth="1"/>
    <col min="13562" max="13562" width="11.1796875" style="321" customWidth="1"/>
    <col min="13563" max="13563" width="6.81640625" style="321" customWidth="1"/>
    <col min="13564" max="13803" width="30.54296875" style="321" customWidth="1"/>
    <col min="13804" max="13804" width="6.54296875" style="321" customWidth="1"/>
    <col min="13805" max="13805" width="7.54296875" style="321" customWidth="1"/>
    <col min="13806" max="13806" width="4.81640625" style="321" customWidth="1"/>
    <col min="13807" max="13807" width="11.81640625" style="321" customWidth="1"/>
    <col min="13808" max="13808" width="9.81640625" style="321" customWidth="1"/>
    <col min="13809" max="13809" width="3" style="321" customWidth="1"/>
    <col min="13810" max="13810" width="7.1796875" style="321" customWidth="1"/>
    <col min="13811" max="13811" width="22.81640625" style="321" customWidth="1"/>
    <col min="13812" max="13812" width="7.1796875" style="321" customWidth="1"/>
    <col min="13813" max="13813" width="9" style="321" hidden="1" customWidth="1"/>
    <col min="13814" max="13814" width="8.81640625" style="321" customWidth="1"/>
    <col min="13815" max="13815" width="9.81640625" style="321" customWidth="1"/>
    <col min="13816" max="13816" width="10.54296875" style="321" customWidth="1"/>
    <col min="13817" max="13817" width="12.1796875" style="321" customWidth="1"/>
    <col min="13818" max="13818" width="11.1796875" style="321" customWidth="1"/>
    <col min="13819" max="13819" width="6.81640625" style="321" customWidth="1"/>
    <col min="13820" max="14059" width="30.54296875" style="321" customWidth="1"/>
    <col min="14060" max="14060" width="6.54296875" style="321" customWidth="1"/>
    <col min="14061" max="14061" width="7.54296875" style="321" customWidth="1"/>
    <col min="14062" max="14062" width="4.81640625" style="321" customWidth="1"/>
    <col min="14063" max="14063" width="11.81640625" style="321" customWidth="1"/>
    <col min="14064" max="14064" width="9.81640625" style="321" customWidth="1"/>
    <col min="14065" max="14065" width="3" style="321" customWidth="1"/>
    <col min="14066" max="14066" width="7.1796875" style="321" customWidth="1"/>
    <col min="14067" max="14067" width="22.81640625" style="321" customWidth="1"/>
    <col min="14068" max="14068" width="7.1796875" style="321" customWidth="1"/>
    <col min="14069" max="14069" width="9" style="321" hidden="1" customWidth="1"/>
    <col min="14070" max="14070" width="8.81640625" style="321" customWidth="1"/>
    <col min="14071" max="14071" width="9.81640625" style="321" customWidth="1"/>
    <col min="14072" max="14072" width="10.54296875" style="321" customWidth="1"/>
    <col min="14073" max="14073" width="12.1796875" style="321" customWidth="1"/>
    <col min="14074" max="14074" width="11.1796875" style="321" customWidth="1"/>
    <col min="14075" max="14075" width="6.81640625" style="321" customWidth="1"/>
    <col min="14076" max="14315" width="30.54296875" style="321" customWidth="1"/>
    <col min="14316" max="14316" width="6.54296875" style="321" customWidth="1"/>
    <col min="14317" max="14317" width="7.54296875" style="321" customWidth="1"/>
    <col min="14318" max="14318" width="4.81640625" style="321" customWidth="1"/>
    <col min="14319" max="14319" width="11.81640625" style="321" customWidth="1"/>
    <col min="14320" max="14320" width="9.81640625" style="321" customWidth="1"/>
    <col min="14321" max="14321" width="3" style="321" customWidth="1"/>
    <col min="14322" max="14322" width="7.1796875" style="321" customWidth="1"/>
    <col min="14323" max="14323" width="22.81640625" style="321" customWidth="1"/>
    <col min="14324" max="14324" width="7.1796875" style="321" customWidth="1"/>
    <col min="14325" max="14325" width="9" style="321" hidden="1" customWidth="1"/>
    <col min="14326" max="14326" width="8.81640625" style="321" customWidth="1"/>
    <col min="14327" max="14327" width="9.81640625" style="321" customWidth="1"/>
    <col min="14328" max="14328" width="10.54296875" style="321" customWidth="1"/>
    <col min="14329" max="14329" width="12.1796875" style="321" customWidth="1"/>
    <col min="14330" max="14330" width="11.1796875" style="321" customWidth="1"/>
    <col min="14331" max="14331" width="6.81640625" style="321" customWidth="1"/>
    <col min="14332" max="14571" width="30.54296875" style="321" customWidth="1"/>
    <col min="14572" max="14572" width="6.54296875" style="321" customWidth="1"/>
    <col min="14573" max="14573" width="7.54296875" style="321" customWidth="1"/>
    <col min="14574" max="14574" width="4.81640625" style="321" customWidth="1"/>
    <col min="14575" max="14575" width="11.81640625" style="321" customWidth="1"/>
    <col min="14576" max="14576" width="9.81640625" style="321" customWidth="1"/>
    <col min="14577" max="14577" width="3" style="321" customWidth="1"/>
    <col min="14578" max="14578" width="7.1796875" style="321" customWidth="1"/>
    <col min="14579" max="14579" width="22.81640625" style="321" customWidth="1"/>
    <col min="14580" max="14580" width="7.1796875" style="321" customWidth="1"/>
    <col min="14581" max="14581" width="9" style="321" hidden="1" customWidth="1"/>
    <col min="14582" max="14582" width="8.81640625" style="321" customWidth="1"/>
    <col min="14583" max="14583" width="9.81640625" style="321" customWidth="1"/>
    <col min="14584" max="14584" width="10.54296875" style="321" customWidth="1"/>
    <col min="14585" max="14585" width="12.1796875" style="321" customWidth="1"/>
    <col min="14586" max="14586" width="11.1796875" style="321" customWidth="1"/>
    <col min="14587" max="14587" width="6.81640625" style="321" customWidth="1"/>
    <col min="14588" max="14827" width="30.54296875" style="321" customWidth="1"/>
    <col min="14828" max="14828" width="6.54296875" style="321" customWidth="1"/>
    <col min="14829" max="14829" width="7.54296875" style="321" customWidth="1"/>
    <col min="14830" max="14830" width="4.81640625" style="321" customWidth="1"/>
    <col min="14831" max="14831" width="11.81640625" style="321" customWidth="1"/>
    <col min="14832" max="14832" width="9.81640625" style="321" customWidth="1"/>
    <col min="14833" max="14833" width="3" style="321" customWidth="1"/>
    <col min="14834" max="14834" width="7.1796875" style="321" customWidth="1"/>
    <col min="14835" max="14835" width="22.81640625" style="321" customWidth="1"/>
    <col min="14836" max="14836" width="7.1796875" style="321" customWidth="1"/>
    <col min="14837" max="14837" width="9" style="321" hidden="1" customWidth="1"/>
    <col min="14838" max="14838" width="8.81640625" style="321" customWidth="1"/>
    <col min="14839" max="14839" width="9.81640625" style="321" customWidth="1"/>
    <col min="14840" max="14840" width="10.54296875" style="321" customWidth="1"/>
    <col min="14841" max="14841" width="12.1796875" style="321" customWidth="1"/>
    <col min="14842" max="14842" width="11.1796875" style="321" customWidth="1"/>
    <col min="14843" max="14843" width="6.81640625" style="321" customWidth="1"/>
    <col min="14844" max="15083" width="30.54296875" style="321" customWidth="1"/>
    <col min="15084" max="15084" width="6.54296875" style="321" customWidth="1"/>
    <col min="15085" max="15085" width="7.54296875" style="321" customWidth="1"/>
    <col min="15086" max="15086" width="4.81640625" style="321" customWidth="1"/>
    <col min="15087" max="15087" width="11.81640625" style="321" customWidth="1"/>
    <col min="15088" max="15088" width="9.81640625" style="321" customWidth="1"/>
    <col min="15089" max="15089" width="3" style="321" customWidth="1"/>
    <col min="15090" max="15090" width="7.1796875" style="321" customWidth="1"/>
    <col min="15091" max="15091" width="22.81640625" style="321" customWidth="1"/>
    <col min="15092" max="15092" width="7.1796875" style="321" customWidth="1"/>
    <col min="15093" max="15093" width="9" style="321" hidden="1" customWidth="1"/>
    <col min="15094" max="15094" width="8.81640625" style="321" customWidth="1"/>
    <col min="15095" max="15095" width="9.81640625" style="321" customWidth="1"/>
    <col min="15096" max="15096" width="10.54296875" style="321" customWidth="1"/>
    <col min="15097" max="15097" width="12.1796875" style="321" customWidth="1"/>
    <col min="15098" max="15098" width="11.1796875" style="321" customWidth="1"/>
    <col min="15099" max="15099" width="6.81640625" style="321" customWidth="1"/>
    <col min="15100" max="15339" width="30.54296875" style="321" customWidth="1"/>
    <col min="15340" max="15340" width="6.54296875" style="321" customWidth="1"/>
    <col min="15341" max="15341" width="7.54296875" style="321" customWidth="1"/>
    <col min="15342" max="15342" width="4.81640625" style="321" customWidth="1"/>
    <col min="15343" max="15343" width="11.81640625" style="321" customWidth="1"/>
    <col min="15344" max="15344" width="9.81640625" style="321" customWidth="1"/>
    <col min="15345" max="15345" width="3" style="321" customWidth="1"/>
    <col min="15346" max="15346" width="7.1796875" style="321" customWidth="1"/>
    <col min="15347" max="15347" width="22.81640625" style="321" customWidth="1"/>
    <col min="15348" max="15348" width="7.1796875" style="321" customWidth="1"/>
    <col min="15349" max="15349" width="9" style="321" hidden="1" customWidth="1"/>
    <col min="15350" max="15350" width="8.81640625" style="321" customWidth="1"/>
    <col min="15351" max="15351" width="9.81640625" style="321" customWidth="1"/>
    <col min="15352" max="15352" width="10.54296875" style="321" customWidth="1"/>
    <col min="15353" max="15353" width="12.1796875" style="321" customWidth="1"/>
    <col min="15354" max="15354" width="11.1796875" style="321" customWidth="1"/>
    <col min="15355" max="15355" width="6.81640625" style="321" customWidth="1"/>
    <col min="15356" max="15595" width="30.54296875" style="321" customWidth="1"/>
    <col min="15596" max="15596" width="6.54296875" style="321" customWidth="1"/>
    <col min="15597" max="15597" width="7.54296875" style="321" customWidth="1"/>
    <col min="15598" max="15598" width="4.81640625" style="321" customWidth="1"/>
    <col min="15599" max="15599" width="11.81640625" style="321" customWidth="1"/>
    <col min="15600" max="15600" width="9.81640625" style="321" customWidth="1"/>
    <col min="15601" max="15601" width="3" style="321" customWidth="1"/>
    <col min="15602" max="15602" width="7.1796875" style="321" customWidth="1"/>
    <col min="15603" max="15603" width="22.81640625" style="321" customWidth="1"/>
    <col min="15604" max="15604" width="7.1796875" style="321" customWidth="1"/>
    <col min="15605" max="15605" width="9" style="321" hidden="1" customWidth="1"/>
    <col min="15606" max="15606" width="8.81640625" style="321" customWidth="1"/>
    <col min="15607" max="15607" width="9.81640625" style="321" customWidth="1"/>
    <col min="15608" max="15608" width="10.54296875" style="321" customWidth="1"/>
    <col min="15609" max="15609" width="12.1796875" style="321" customWidth="1"/>
    <col min="15610" max="15610" width="11.1796875" style="321" customWidth="1"/>
    <col min="15611" max="15611" width="6.81640625" style="321" customWidth="1"/>
    <col min="15612" max="15851" width="30.54296875" style="321" customWidth="1"/>
    <col min="15852" max="15852" width="6.54296875" style="321" customWidth="1"/>
    <col min="15853" max="15853" width="7.54296875" style="321" customWidth="1"/>
    <col min="15854" max="15854" width="4.81640625" style="321" customWidth="1"/>
    <col min="15855" max="15855" width="11.81640625" style="321" customWidth="1"/>
    <col min="15856" max="15856" width="9.81640625" style="321" customWidth="1"/>
    <col min="15857" max="15857" width="3" style="321" customWidth="1"/>
    <col min="15858" max="15858" width="7.1796875" style="321" customWidth="1"/>
    <col min="15859" max="15859" width="22.81640625" style="321" customWidth="1"/>
    <col min="15860" max="15860" width="7.1796875" style="321" customWidth="1"/>
    <col min="15861" max="15861" width="9" style="321" hidden="1" customWidth="1"/>
    <col min="15862" max="15862" width="8.81640625" style="321" customWidth="1"/>
    <col min="15863" max="15863" width="9.81640625" style="321" customWidth="1"/>
    <col min="15864" max="15864" width="10.54296875" style="321" customWidth="1"/>
    <col min="15865" max="15865" width="12.1796875" style="321" customWidth="1"/>
    <col min="15866" max="15866" width="11.1796875" style="321" customWidth="1"/>
    <col min="15867" max="15867" width="6.81640625" style="321" customWidth="1"/>
    <col min="15868" max="16107" width="30.54296875" style="321" customWidth="1"/>
    <col min="16108" max="16108" width="6.54296875" style="321" customWidth="1"/>
    <col min="16109" max="16109" width="7.54296875" style="321" customWidth="1"/>
    <col min="16110" max="16110" width="4.81640625" style="321" customWidth="1"/>
    <col min="16111" max="16111" width="11.81640625" style="321" customWidth="1"/>
    <col min="16112" max="16112" width="9.81640625" style="321" customWidth="1"/>
    <col min="16113" max="16113" width="3" style="321" customWidth="1"/>
    <col min="16114" max="16114" width="7.1796875" style="321" customWidth="1"/>
    <col min="16115" max="16115" width="22.81640625" style="321" customWidth="1"/>
    <col min="16116" max="16116" width="7.1796875" style="321" customWidth="1"/>
    <col min="16117" max="16117" width="9" style="321" hidden="1" customWidth="1"/>
    <col min="16118" max="16118" width="8.81640625" style="321" customWidth="1"/>
    <col min="16119" max="16119" width="9.81640625" style="321" customWidth="1"/>
    <col min="16120" max="16120" width="10.54296875" style="321" customWidth="1"/>
    <col min="16121" max="16121" width="12.1796875" style="321" customWidth="1"/>
    <col min="16122" max="16122" width="11.1796875" style="321" customWidth="1"/>
    <col min="16123" max="16123" width="6.81640625" style="321" customWidth="1"/>
    <col min="16124" max="16384" width="30.54296875" style="321" customWidth="1"/>
  </cols>
  <sheetData>
    <row r="1" spans="1:24" ht="15.5">
      <c r="A1" s="1366" t="s">
        <v>78</v>
      </c>
      <c r="B1" s="1367"/>
      <c r="C1" s="1367"/>
      <c r="D1" s="1367"/>
      <c r="E1" s="1367"/>
      <c r="F1" s="1367"/>
      <c r="G1" s="1367"/>
      <c r="H1" s="1367"/>
      <c r="I1" s="1367"/>
      <c r="J1" s="1367"/>
      <c r="K1" s="1367"/>
      <c r="L1" s="1367"/>
      <c r="M1" s="1367"/>
      <c r="N1" s="1367"/>
      <c r="O1" s="1367"/>
      <c r="P1" s="1367"/>
      <c r="Q1" s="1367"/>
      <c r="R1" s="1367"/>
      <c r="S1" s="1367"/>
      <c r="T1" s="1367"/>
      <c r="U1" s="1367"/>
      <c r="V1" s="1367"/>
      <c r="W1" s="1367"/>
      <c r="X1" s="1368"/>
    </row>
    <row r="2" spans="1:24" ht="15.5">
      <c r="A2" s="1369" t="s">
        <v>79</v>
      </c>
      <c r="B2" s="1370"/>
      <c r="C2" s="1370"/>
      <c r="D2" s="1370"/>
      <c r="E2" s="1370"/>
      <c r="F2" s="1370"/>
      <c r="G2" s="1370"/>
      <c r="H2" s="1370"/>
      <c r="I2" s="1370"/>
      <c r="J2" s="1370"/>
      <c r="K2" s="1370"/>
      <c r="L2" s="1370"/>
      <c r="M2" s="1370"/>
      <c r="N2" s="1370"/>
      <c r="O2" s="1370"/>
      <c r="P2" s="1370"/>
      <c r="Q2" s="1370"/>
      <c r="R2" s="1370"/>
      <c r="S2" s="1370"/>
      <c r="T2" s="1370"/>
      <c r="U2" s="1370"/>
      <c r="V2" s="1370"/>
      <c r="W2" s="1370"/>
      <c r="X2" s="1371"/>
    </row>
    <row r="3" spans="1:24" ht="15.5">
      <c r="A3" s="1369" t="s">
        <v>80</v>
      </c>
      <c r="B3" s="1370"/>
      <c r="C3" s="1370"/>
      <c r="D3" s="1370"/>
      <c r="E3" s="1370"/>
      <c r="F3" s="1370"/>
      <c r="G3" s="1370"/>
      <c r="H3" s="1370"/>
      <c r="I3" s="1370"/>
      <c r="J3" s="1370"/>
      <c r="K3" s="1370"/>
      <c r="L3" s="1370"/>
      <c r="M3" s="1370"/>
      <c r="N3" s="1370"/>
      <c r="O3" s="1370"/>
      <c r="P3" s="1370"/>
      <c r="Q3" s="1370"/>
      <c r="R3" s="1370"/>
      <c r="S3" s="1370"/>
      <c r="T3" s="1370"/>
      <c r="U3" s="1370"/>
      <c r="V3" s="1370"/>
      <c r="W3" s="1370"/>
      <c r="X3" s="1371"/>
    </row>
    <row r="4" spans="1:24" ht="15.5">
      <c r="A4" s="335"/>
      <c r="B4" s="526"/>
      <c r="C4" s="335"/>
      <c r="D4" s="335"/>
      <c r="E4" s="335"/>
      <c r="F4" s="335"/>
      <c r="G4" s="335"/>
      <c r="H4" s="335"/>
      <c r="I4" s="335"/>
      <c r="J4" s="335"/>
      <c r="K4" s="335"/>
      <c r="L4" s="335"/>
      <c r="M4" s="335"/>
      <c r="N4" s="335"/>
      <c r="O4" s="335"/>
      <c r="P4" s="335"/>
      <c r="Q4" s="335"/>
      <c r="R4" s="335"/>
      <c r="S4" s="335"/>
      <c r="T4" s="335"/>
      <c r="U4" s="335"/>
      <c r="V4" s="335"/>
      <c r="W4" s="335"/>
      <c r="X4" s="335"/>
    </row>
    <row r="6" spans="1:24">
      <c r="A6" s="321" t="s">
        <v>218</v>
      </c>
    </row>
    <row r="7" spans="1:24" ht="13" customHeight="1">
      <c r="A7" s="1403" t="s">
        <v>203</v>
      </c>
      <c r="B7" s="1403" t="s">
        <v>204</v>
      </c>
      <c r="C7" s="1405" t="s">
        <v>219</v>
      </c>
      <c r="D7" s="1403" t="s">
        <v>205</v>
      </c>
      <c r="E7" s="1404" t="s">
        <v>264</v>
      </c>
      <c r="F7" s="1404" t="s">
        <v>265</v>
      </c>
      <c r="G7" s="1404" t="s">
        <v>266</v>
      </c>
    </row>
    <row r="8" spans="1:24">
      <c r="A8" s="1404"/>
      <c r="B8" s="1404"/>
      <c r="C8" s="1405"/>
      <c r="D8" s="1404"/>
      <c r="E8" s="1406"/>
      <c r="F8" s="1406"/>
      <c r="G8" s="1406"/>
    </row>
    <row r="9" spans="1:24" ht="14.5">
      <c r="A9" s="325">
        <v>1</v>
      </c>
      <c r="B9" s="326" t="s">
        <v>270</v>
      </c>
      <c r="C9" s="327"/>
      <c r="D9" s="309"/>
      <c r="E9" s="333"/>
      <c r="F9" s="325"/>
      <c r="G9" s="316"/>
    </row>
    <row r="10" spans="1:24" ht="14.25" customHeight="1">
      <c r="A10" s="325">
        <f>A9+1</f>
        <v>2</v>
      </c>
      <c r="B10" s="316" t="s">
        <v>286</v>
      </c>
      <c r="C10" s="327"/>
      <c r="D10" s="316"/>
      <c r="E10" s="316"/>
      <c r="F10" s="316" t="s">
        <v>228</v>
      </c>
      <c r="G10" s="327"/>
    </row>
    <row r="11" spans="1:24">
      <c r="A11" s="325">
        <f t="shared" ref="A11:A40" si="0">A10+1</f>
        <v>3</v>
      </c>
      <c r="B11" s="316" t="s">
        <v>402</v>
      </c>
      <c r="C11" s="327"/>
      <c r="D11" s="316"/>
      <c r="E11" s="316"/>
      <c r="F11" s="316" t="s">
        <v>228</v>
      </c>
      <c r="G11" s="327"/>
    </row>
    <row r="12" spans="1:24" ht="15.5">
      <c r="A12" s="325">
        <f t="shared" si="0"/>
        <v>4</v>
      </c>
      <c r="B12" s="316" t="s">
        <v>438</v>
      </c>
      <c r="C12" s="327"/>
      <c r="D12" s="316"/>
      <c r="E12" s="316"/>
      <c r="F12" s="316"/>
      <c r="G12" s="327"/>
      <c r="I12" s="336"/>
    </row>
    <row r="13" spans="1:24">
      <c r="A13" s="325">
        <f t="shared" si="0"/>
        <v>5</v>
      </c>
      <c r="B13" s="316" t="s">
        <v>439</v>
      </c>
      <c r="C13" s="327"/>
      <c r="D13" s="316"/>
      <c r="E13" s="316"/>
      <c r="F13" s="316" t="s">
        <v>1308</v>
      </c>
      <c r="G13" s="327"/>
      <c r="H13" s="321" t="s">
        <v>1309</v>
      </c>
    </row>
    <row r="14" spans="1:24">
      <c r="A14" s="325">
        <f t="shared" si="0"/>
        <v>6</v>
      </c>
      <c r="B14" s="316" t="s">
        <v>1118</v>
      </c>
      <c r="C14" s="327"/>
      <c r="D14" s="316"/>
      <c r="E14" s="316"/>
      <c r="F14" s="316"/>
      <c r="G14" s="327"/>
    </row>
    <row r="15" spans="1:24">
      <c r="A15" s="325">
        <f t="shared" si="0"/>
        <v>7</v>
      </c>
      <c r="B15" s="316" t="s">
        <v>404</v>
      </c>
      <c r="C15" s="327"/>
      <c r="D15" s="316"/>
      <c r="E15" s="316"/>
      <c r="F15" s="316" t="s">
        <v>228</v>
      </c>
      <c r="G15" s="327"/>
    </row>
    <row r="16" spans="1:24">
      <c r="A16" s="325">
        <f t="shared" si="0"/>
        <v>8</v>
      </c>
      <c r="B16" s="316" t="s">
        <v>267</v>
      </c>
      <c r="C16" s="343"/>
      <c r="D16" s="343"/>
      <c r="E16" s="343"/>
      <c r="F16" s="343"/>
      <c r="G16" s="343"/>
    </row>
    <row r="17" spans="1:7">
      <c r="A17" s="325">
        <f t="shared" si="0"/>
        <v>9</v>
      </c>
      <c r="B17" s="316" t="s">
        <v>272</v>
      </c>
      <c r="C17" s="316"/>
      <c r="D17" s="343"/>
      <c r="E17" s="343"/>
      <c r="F17" s="343"/>
      <c r="G17" s="343"/>
    </row>
    <row r="18" spans="1:7">
      <c r="A18" s="325">
        <f t="shared" si="0"/>
        <v>10</v>
      </c>
      <c r="B18" s="325" t="s">
        <v>433</v>
      </c>
      <c r="C18" s="342"/>
      <c r="D18" s="342"/>
      <c r="E18" s="521"/>
      <c r="F18" s="342"/>
      <c r="G18" s="343"/>
    </row>
    <row r="19" spans="1:7">
      <c r="A19" s="325">
        <f t="shared" si="0"/>
        <v>11</v>
      </c>
      <c r="B19" s="325" t="s">
        <v>281</v>
      </c>
      <c r="C19" s="342"/>
      <c r="D19" s="342"/>
      <c r="E19" s="342"/>
      <c r="F19" s="342"/>
      <c r="G19" s="342"/>
    </row>
    <row r="20" spans="1:7">
      <c r="A20" s="325">
        <f t="shared" si="0"/>
        <v>12</v>
      </c>
      <c r="B20" s="316" t="s">
        <v>372</v>
      </c>
      <c r="C20" s="339"/>
      <c r="D20" s="343"/>
      <c r="E20" s="343"/>
      <c r="F20" s="343"/>
      <c r="G20" s="339"/>
    </row>
    <row r="21" spans="1:7">
      <c r="A21" s="325">
        <f t="shared" si="0"/>
        <v>13</v>
      </c>
      <c r="B21" s="316" t="s">
        <v>288</v>
      </c>
      <c r="C21" s="339"/>
      <c r="D21" s="343"/>
      <c r="E21" s="343"/>
      <c r="F21" s="343"/>
      <c r="G21" s="339"/>
    </row>
    <row r="22" spans="1:7">
      <c r="A22" s="325">
        <f t="shared" si="0"/>
        <v>14</v>
      </c>
      <c r="B22" s="316" t="s">
        <v>291</v>
      </c>
      <c r="C22" s="343"/>
      <c r="D22" s="343"/>
      <c r="E22" s="343"/>
      <c r="F22" s="343"/>
      <c r="G22" s="343"/>
    </row>
    <row r="23" spans="1:7">
      <c r="A23" s="325">
        <f t="shared" si="0"/>
        <v>15</v>
      </c>
      <c r="B23" s="316" t="s">
        <v>325</v>
      </c>
      <c r="C23" s="339"/>
      <c r="D23" s="343"/>
      <c r="E23" s="343"/>
      <c r="F23" s="343"/>
      <c r="G23" s="339"/>
    </row>
    <row r="24" spans="1:7">
      <c r="A24" s="325">
        <f t="shared" si="0"/>
        <v>16</v>
      </c>
      <c r="B24" s="316" t="s">
        <v>350</v>
      </c>
      <c r="C24" s="339"/>
      <c r="D24" s="343"/>
      <c r="E24" s="343"/>
      <c r="F24" s="343"/>
      <c r="G24" s="339"/>
    </row>
    <row r="25" spans="1:7">
      <c r="A25" s="325">
        <f t="shared" si="0"/>
        <v>17</v>
      </c>
      <c r="B25" s="316" t="s">
        <v>463</v>
      </c>
      <c r="C25" s="339"/>
      <c r="D25" s="343"/>
      <c r="E25" s="343"/>
      <c r="F25" s="343"/>
      <c r="G25" s="339"/>
    </row>
    <row r="26" spans="1:7">
      <c r="A26" s="325">
        <f t="shared" si="0"/>
        <v>18</v>
      </c>
      <c r="B26" s="316" t="s">
        <v>468</v>
      </c>
      <c r="C26" s="339"/>
      <c r="D26" s="343"/>
      <c r="E26" s="343"/>
      <c r="F26" s="343"/>
      <c r="G26" s="339"/>
    </row>
    <row r="27" spans="1:7">
      <c r="A27" s="325">
        <f t="shared" si="0"/>
        <v>19</v>
      </c>
      <c r="B27" s="316" t="s">
        <v>1294</v>
      </c>
      <c r="C27" s="339"/>
      <c r="D27" s="343"/>
      <c r="E27" s="343"/>
      <c r="F27" s="343"/>
      <c r="G27" s="339"/>
    </row>
    <row r="28" spans="1:7">
      <c r="A28" s="325">
        <f t="shared" si="0"/>
        <v>20</v>
      </c>
      <c r="B28" s="316" t="s">
        <v>1295</v>
      </c>
      <c r="C28" s="339"/>
      <c r="D28" s="343"/>
      <c r="E28" s="343"/>
      <c r="F28" s="343"/>
      <c r="G28" s="339"/>
    </row>
    <row r="29" spans="1:7">
      <c r="A29" s="325">
        <f t="shared" si="0"/>
        <v>21</v>
      </c>
      <c r="B29" s="316" t="s">
        <v>1293</v>
      </c>
      <c r="C29" s="339"/>
      <c r="D29" s="343"/>
      <c r="E29" s="343"/>
      <c r="F29" s="343"/>
      <c r="G29" s="339"/>
    </row>
    <row r="30" spans="1:7">
      <c r="A30" s="325">
        <f t="shared" si="0"/>
        <v>22</v>
      </c>
      <c r="B30" s="316" t="s">
        <v>1296</v>
      </c>
      <c r="C30" s="339"/>
      <c r="D30" s="343"/>
      <c r="E30" s="343"/>
      <c r="F30" s="343"/>
      <c r="G30" s="339"/>
    </row>
    <row r="31" spans="1:7">
      <c r="A31" s="325">
        <f t="shared" si="0"/>
        <v>23</v>
      </c>
      <c r="B31" s="316" t="s">
        <v>1297</v>
      </c>
      <c r="C31" s="339"/>
      <c r="D31" s="343"/>
      <c r="E31" s="343"/>
      <c r="F31" s="343"/>
      <c r="G31" s="339"/>
    </row>
    <row r="32" spans="1:7">
      <c r="A32" s="325">
        <f t="shared" si="0"/>
        <v>24</v>
      </c>
      <c r="B32" s="316" t="s">
        <v>324</v>
      </c>
      <c r="C32" s="339"/>
      <c r="D32" s="343"/>
      <c r="E32" s="343"/>
      <c r="F32" s="343"/>
      <c r="G32" s="339"/>
    </row>
    <row r="33" spans="1:7">
      <c r="A33" s="325">
        <f t="shared" si="0"/>
        <v>25</v>
      </c>
      <c r="B33" s="316" t="s">
        <v>740</v>
      </c>
      <c r="C33" s="339"/>
      <c r="D33" s="343"/>
      <c r="E33" s="343"/>
      <c r="F33" s="343"/>
      <c r="G33" s="339"/>
    </row>
    <row r="34" spans="1:7">
      <c r="A34" s="325">
        <f t="shared" si="0"/>
        <v>26</v>
      </c>
      <c r="B34" s="316" t="s">
        <v>1304</v>
      </c>
      <c r="C34" s="339"/>
      <c r="D34" s="343"/>
      <c r="E34" s="343"/>
      <c r="F34" s="343"/>
      <c r="G34" s="339"/>
    </row>
    <row r="35" spans="1:7">
      <c r="A35" s="325">
        <f t="shared" si="0"/>
        <v>27</v>
      </c>
      <c r="B35" s="316" t="s">
        <v>1305</v>
      </c>
      <c r="C35" s="339"/>
      <c r="D35" s="343"/>
      <c r="E35" s="343"/>
      <c r="F35" s="343"/>
      <c r="G35" s="339"/>
    </row>
    <row r="36" spans="1:7">
      <c r="A36" s="325">
        <f t="shared" si="0"/>
        <v>28</v>
      </c>
      <c r="B36" s="316" t="s">
        <v>1303</v>
      </c>
      <c r="C36" s="327"/>
      <c r="D36" s="343"/>
      <c r="E36" s="343"/>
      <c r="F36" s="343"/>
      <c r="G36" s="339"/>
    </row>
    <row r="37" spans="1:7">
      <c r="A37" s="325">
        <f t="shared" si="0"/>
        <v>29</v>
      </c>
      <c r="B37" s="316" t="s">
        <v>731</v>
      </c>
      <c r="C37" s="327"/>
      <c r="D37" s="343"/>
      <c r="E37" s="343"/>
      <c r="F37" s="343"/>
      <c r="G37" s="339"/>
    </row>
    <row r="38" spans="1:7">
      <c r="A38" s="325">
        <f t="shared" si="0"/>
        <v>30</v>
      </c>
      <c r="B38" s="316" t="s">
        <v>1321</v>
      </c>
      <c r="C38" s="327"/>
      <c r="D38" s="343"/>
      <c r="E38" s="343"/>
      <c r="F38" s="343"/>
      <c r="G38" s="339"/>
    </row>
    <row r="39" spans="1:7">
      <c r="A39" s="342">
        <f t="shared" si="0"/>
        <v>31</v>
      </c>
      <c r="B39" s="573" t="s">
        <v>810</v>
      </c>
      <c r="C39" s="339"/>
      <c r="D39" s="343"/>
      <c r="E39" s="343"/>
      <c r="F39" s="343"/>
      <c r="G39" s="339"/>
    </row>
    <row r="40" spans="1:7">
      <c r="A40" s="342">
        <f t="shared" si="0"/>
        <v>32</v>
      </c>
      <c r="B40" s="573" t="s">
        <v>816</v>
      </c>
      <c r="C40" s="339"/>
      <c r="D40" s="343"/>
      <c r="E40" s="343"/>
      <c r="F40" s="343"/>
      <c r="G40" s="339"/>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858" priority="1"/>
    <cfRule type="duplicateValues" dxfId="4857" priority="9"/>
    <cfRule type="duplicateValues" dxfId="4856" priority="10"/>
    <cfRule type="duplicateValues" dxfId="4855" priority="15"/>
    <cfRule type="duplicateValues" dxfId="4854" priority="16"/>
  </conditionalFormatting>
  <conditionalFormatting sqref="B10 B7:B8">
    <cfRule type="duplicateValues" dxfId="4853" priority="1879"/>
  </conditionalFormatting>
  <conditionalFormatting sqref="B10:B38 B1:B8 B41:B1048576">
    <cfRule type="duplicateValues" dxfId="4852" priority="21"/>
  </conditionalFormatting>
  <conditionalFormatting sqref="B18:B22 B7:B8 B10:B13 B16">
    <cfRule type="duplicateValues" dxfId="4851" priority="2012" stopIfTrue="1"/>
    <cfRule type="duplicateValues" dxfId="4850" priority="2013"/>
  </conditionalFormatting>
  <conditionalFormatting sqref="B18:B22 B7:B8 B16 B10:B13">
    <cfRule type="duplicateValues" dxfId="4849" priority="2022"/>
  </conditionalFormatting>
  <conditionalFormatting sqref="B23:B38 B1:B6 B41:B1048576">
    <cfRule type="duplicateValues" dxfId="4848" priority="35"/>
  </conditionalFormatting>
  <conditionalFormatting sqref="B23:B38 B41:B64911">
    <cfRule type="duplicateValues" dxfId="4847" priority="2036" stopIfTrue="1"/>
  </conditionalFormatting>
  <conditionalFormatting sqref="B23:B38 B41:B1048576">
    <cfRule type="duplicateValues" dxfId="4846" priority="53"/>
  </conditionalFormatting>
  <conditionalFormatting sqref="D10">
    <cfRule type="duplicateValues" dxfId="4845" priority="1893"/>
    <cfRule type="duplicateValues" dxfId="4844" priority="1894"/>
    <cfRule type="duplicateValues" dxfId="484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915" t="s">
        <v>1645</v>
      </c>
      <c r="C1" s="915" t="s">
        <v>1119</v>
      </c>
      <c r="D1" s="915" t="s">
        <v>1092</v>
      </c>
      <c r="E1" s="310"/>
      <c r="F1" s="915" t="s">
        <v>206</v>
      </c>
      <c r="G1" s="921" t="s">
        <v>207</v>
      </c>
      <c r="H1" s="310" t="s">
        <v>1646</v>
      </c>
    </row>
    <row r="2" spans="2:8">
      <c r="B2" s="641">
        <v>1</v>
      </c>
      <c r="C2" s="642" t="s">
        <v>269</v>
      </c>
      <c r="D2" s="642" t="s">
        <v>182</v>
      </c>
      <c r="E2" s="647"/>
      <c r="F2" s="647" t="s">
        <v>210</v>
      </c>
      <c r="G2" s="645">
        <v>45799</v>
      </c>
      <c r="H2" s="645">
        <v>45812</v>
      </c>
    </row>
    <row r="3" spans="2:8">
      <c r="B3" s="641">
        <f>B2+1</f>
        <v>2</v>
      </c>
      <c r="C3" s="643" t="s">
        <v>477</v>
      </c>
      <c r="D3" s="643" t="s">
        <v>242</v>
      </c>
      <c r="E3" s="647"/>
      <c r="F3" s="647" t="s">
        <v>210</v>
      </c>
      <c r="G3" s="646">
        <v>45807</v>
      </c>
      <c r="H3" s="646">
        <v>45813</v>
      </c>
    </row>
    <row r="4" spans="2:8">
      <c r="B4" s="641">
        <f t="shared" ref="B4:B26" si="0">B3+1</f>
        <v>3</v>
      </c>
      <c r="C4" s="642" t="s">
        <v>1334</v>
      </c>
      <c r="D4" s="642" t="s">
        <v>115</v>
      </c>
      <c r="E4" s="647"/>
      <c r="F4" s="647" t="s">
        <v>292</v>
      </c>
      <c r="G4" s="645">
        <v>45805</v>
      </c>
      <c r="H4" s="645">
        <v>45814</v>
      </c>
    </row>
    <row r="5" spans="2:8">
      <c r="B5" s="641">
        <f t="shared" si="0"/>
        <v>4</v>
      </c>
      <c r="C5" s="643" t="s">
        <v>1368</v>
      </c>
      <c r="D5" s="643" t="s">
        <v>115</v>
      </c>
      <c r="E5" s="647"/>
      <c r="F5" s="647" t="s">
        <v>210</v>
      </c>
      <c r="G5" s="917">
        <v>45809</v>
      </c>
      <c r="H5" s="917">
        <v>45815</v>
      </c>
    </row>
    <row r="6" spans="2:8">
      <c r="B6" s="641">
        <f t="shared" si="0"/>
        <v>5</v>
      </c>
      <c r="C6" s="643" t="s">
        <v>811</v>
      </c>
      <c r="D6" s="643" t="s">
        <v>182</v>
      </c>
      <c r="E6" s="647"/>
      <c r="F6" s="647" t="s">
        <v>210</v>
      </c>
      <c r="G6" s="645">
        <v>45810</v>
      </c>
      <c r="H6" s="645">
        <v>45816</v>
      </c>
    </row>
    <row r="7" spans="2:8">
      <c r="B7" s="641">
        <f t="shared" si="0"/>
        <v>6</v>
      </c>
      <c r="C7" s="643" t="s">
        <v>393</v>
      </c>
      <c r="D7" s="643" t="s">
        <v>182</v>
      </c>
      <c r="E7" s="647"/>
      <c r="F7" s="647" t="s">
        <v>210</v>
      </c>
      <c r="G7" s="645">
        <v>45810</v>
      </c>
      <c r="H7" s="645">
        <v>45818</v>
      </c>
    </row>
    <row r="8" spans="2:8">
      <c r="B8" s="641">
        <f t="shared" si="0"/>
        <v>7</v>
      </c>
      <c r="C8" s="643" t="s">
        <v>1371</v>
      </c>
      <c r="D8" s="643" t="s">
        <v>125</v>
      </c>
      <c r="E8" s="647"/>
      <c r="F8" s="647" t="s">
        <v>210</v>
      </c>
      <c r="G8" s="646">
        <v>45877</v>
      </c>
      <c r="H8" s="918">
        <v>45820</v>
      </c>
    </row>
    <row r="9" spans="2:8">
      <c r="B9" s="641">
        <f t="shared" si="0"/>
        <v>8</v>
      </c>
      <c r="C9" s="643" t="s">
        <v>814</v>
      </c>
      <c r="D9" s="643" t="s">
        <v>182</v>
      </c>
      <c r="E9" s="647"/>
      <c r="F9" s="647" t="s">
        <v>210</v>
      </c>
      <c r="G9" s="646">
        <v>45812</v>
      </c>
      <c r="H9" s="646">
        <v>45820</v>
      </c>
    </row>
    <row r="10" spans="2:8">
      <c r="B10" s="641">
        <f t="shared" si="0"/>
        <v>9</v>
      </c>
      <c r="C10" s="643" t="s">
        <v>1370</v>
      </c>
      <c r="D10" s="643" t="s">
        <v>143</v>
      </c>
      <c r="E10" s="647"/>
      <c r="F10" s="647" t="s">
        <v>210</v>
      </c>
      <c r="G10" s="645">
        <v>45813</v>
      </c>
      <c r="H10" s="645">
        <v>45823</v>
      </c>
    </row>
    <row r="11" spans="2:8">
      <c r="B11" s="641">
        <f t="shared" si="0"/>
        <v>10</v>
      </c>
      <c r="C11" s="642" t="s">
        <v>392</v>
      </c>
      <c r="D11" s="642" t="s">
        <v>242</v>
      </c>
      <c r="E11" s="647"/>
      <c r="F11" s="647" t="s">
        <v>210</v>
      </c>
      <c r="G11" s="645">
        <v>45818</v>
      </c>
      <c r="H11" s="645">
        <v>45823</v>
      </c>
    </row>
    <row r="12" spans="2:8">
      <c r="B12" s="641">
        <f t="shared" si="0"/>
        <v>11</v>
      </c>
      <c r="C12" s="643" t="s">
        <v>193</v>
      </c>
      <c r="D12" s="643" t="s">
        <v>115</v>
      </c>
      <c r="E12" s="647"/>
      <c r="F12" s="647" t="s">
        <v>210</v>
      </c>
      <c r="G12" s="646">
        <v>45816</v>
      </c>
      <c r="H12" s="645">
        <v>45823</v>
      </c>
    </row>
    <row r="13" spans="2:8">
      <c r="B13" s="641">
        <f t="shared" si="0"/>
        <v>12</v>
      </c>
      <c r="C13" s="643" t="s">
        <v>159</v>
      </c>
      <c r="D13" s="643" t="s">
        <v>115</v>
      </c>
      <c r="E13" s="647"/>
      <c r="F13" s="647" t="s">
        <v>210</v>
      </c>
      <c r="G13" s="645">
        <v>45821</v>
      </c>
      <c r="H13" s="917">
        <v>45824</v>
      </c>
    </row>
    <row r="14" spans="2:8">
      <c r="B14" s="641">
        <f t="shared" si="0"/>
        <v>13</v>
      </c>
      <c r="C14" s="643" t="s">
        <v>813</v>
      </c>
      <c r="D14" s="643" t="s">
        <v>182</v>
      </c>
      <c r="E14" s="647"/>
      <c r="F14" s="647" t="s">
        <v>210</v>
      </c>
      <c r="G14" s="645">
        <v>45821</v>
      </c>
      <c r="H14" s="645">
        <v>45824</v>
      </c>
    </row>
    <row r="15" spans="2:8">
      <c r="B15" s="641">
        <f t="shared" si="0"/>
        <v>14</v>
      </c>
      <c r="C15" s="643" t="s">
        <v>157</v>
      </c>
      <c r="D15" s="643" t="s">
        <v>132</v>
      </c>
      <c r="E15" s="647"/>
      <c r="F15" s="647" t="s">
        <v>210</v>
      </c>
      <c r="G15" s="646">
        <v>45824</v>
      </c>
      <c r="H15" s="918">
        <v>45828</v>
      </c>
    </row>
    <row r="16" spans="2:8">
      <c r="B16" s="641">
        <f t="shared" si="0"/>
        <v>15</v>
      </c>
      <c r="C16" s="643" t="s">
        <v>810</v>
      </c>
      <c r="D16" s="643" t="s">
        <v>182</v>
      </c>
      <c r="E16" s="647"/>
      <c r="F16" s="647" t="s">
        <v>210</v>
      </c>
      <c r="G16" s="645">
        <v>45823</v>
      </c>
      <c r="H16" s="645">
        <v>45829</v>
      </c>
    </row>
    <row r="17" spans="2:8">
      <c r="B17" s="641">
        <f t="shared" si="0"/>
        <v>16</v>
      </c>
      <c r="C17" s="644" t="s">
        <v>816</v>
      </c>
      <c r="D17" s="644" t="s">
        <v>182</v>
      </c>
      <c r="E17" s="648"/>
      <c r="F17" s="648" t="s">
        <v>210</v>
      </c>
      <c r="G17" s="649">
        <v>45823</v>
      </c>
      <c r="H17" s="649">
        <v>45830</v>
      </c>
    </row>
    <row r="18" spans="2:8">
      <c r="B18" s="641">
        <f t="shared" si="0"/>
        <v>17</v>
      </c>
      <c r="C18" s="644" t="s">
        <v>415</v>
      </c>
      <c r="D18" s="644" t="s">
        <v>119</v>
      </c>
      <c r="E18" s="648"/>
      <c r="F18" s="648" t="s">
        <v>292</v>
      </c>
      <c r="G18" s="649">
        <v>45824</v>
      </c>
      <c r="H18" s="649">
        <v>45831</v>
      </c>
    </row>
    <row r="19" spans="2:8">
      <c r="B19" s="641">
        <f t="shared" si="0"/>
        <v>18</v>
      </c>
      <c r="C19" s="625" t="s">
        <v>809</v>
      </c>
      <c r="D19" s="625" t="s">
        <v>182</v>
      </c>
      <c r="E19" s="325"/>
      <c r="F19" s="325" t="s">
        <v>210</v>
      </c>
      <c r="G19" s="654">
        <v>45830</v>
      </c>
      <c r="H19" s="654">
        <v>45833</v>
      </c>
    </row>
    <row r="20" spans="2:8">
      <c r="B20" s="641">
        <f t="shared" si="0"/>
        <v>19</v>
      </c>
      <c r="C20" s="636" t="s">
        <v>812</v>
      </c>
      <c r="D20" s="636" t="s">
        <v>182</v>
      </c>
      <c r="E20" s="857"/>
      <c r="F20" s="857" t="s">
        <v>210</v>
      </c>
      <c r="G20" s="655">
        <v>45830</v>
      </c>
      <c r="H20" s="655">
        <v>45833</v>
      </c>
    </row>
    <row r="21" spans="2:8">
      <c r="B21" s="641">
        <f t="shared" si="0"/>
        <v>20</v>
      </c>
      <c r="C21" s="658" t="s">
        <v>1496</v>
      </c>
      <c r="D21" s="658" t="s">
        <v>119</v>
      </c>
      <c r="E21" s="858"/>
      <c r="F21" s="858" t="s">
        <v>210</v>
      </c>
      <c r="G21" s="659">
        <v>45828</v>
      </c>
      <c r="H21" s="919">
        <v>45834</v>
      </c>
    </row>
    <row r="22" spans="2:8">
      <c r="B22" s="641">
        <f t="shared" si="0"/>
        <v>21</v>
      </c>
      <c r="C22" s="625" t="s">
        <v>1303</v>
      </c>
      <c r="D22" s="625" t="s">
        <v>125</v>
      </c>
      <c r="E22" s="325"/>
      <c r="F22" s="325" t="s">
        <v>210</v>
      </c>
      <c r="G22" s="657">
        <v>45825</v>
      </c>
      <c r="H22" s="660">
        <v>45835</v>
      </c>
    </row>
    <row r="23" spans="2:8">
      <c r="B23" s="641">
        <f t="shared" si="0"/>
        <v>22</v>
      </c>
      <c r="C23" s="636" t="s">
        <v>372</v>
      </c>
      <c r="D23" s="636" t="s">
        <v>185</v>
      </c>
      <c r="E23" s="857"/>
      <c r="F23" s="857" t="s">
        <v>292</v>
      </c>
      <c r="G23" s="552">
        <v>45833</v>
      </c>
      <c r="H23" s="920">
        <v>45838</v>
      </c>
    </row>
    <row r="24" spans="2:8">
      <c r="B24" s="641">
        <f t="shared" si="0"/>
        <v>23</v>
      </c>
      <c r="C24" s="625" t="s">
        <v>1372</v>
      </c>
      <c r="D24" s="625" t="s">
        <v>115</v>
      </c>
      <c r="E24" s="325"/>
      <c r="F24" s="325" t="s">
        <v>210</v>
      </c>
      <c r="G24" s="654">
        <v>45818</v>
      </c>
      <c r="H24" s="847">
        <v>45838</v>
      </c>
    </row>
    <row r="25" spans="2:8">
      <c r="B25" s="641">
        <f t="shared" si="0"/>
        <v>24</v>
      </c>
      <c r="C25" s="556" t="s">
        <v>808</v>
      </c>
      <c r="D25" s="556" t="s">
        <v>185</v>
      </c>
      <c r="E25" s="316"/>
      <c r="F25" s="316" t="s">
        <v>210</v>
      </c>
      <c r="G25" s="660">
        <v>45833</v>
      </c>
      <c r="H25" s="847">
        <v>45838</v>
      </c>
    </row>
    <row r="26" spans="2:8">
      <c r="B26" s="641">
        <f t="shared" si="0"/>
        <v>25</v>
      </c>
      <c r="C26" s="556" t="s">
        <v>817</v>
      </c>
      <c r="D26" s="556" t="s">
        <v>182</v>
      </c>
      <c r="E26" s="316"/>
      <c r="F26" s="316" t="s">
        <v>210</v>
      </c>
      <c r="G26" s="552">
        <v>45833</v>
      </c>
      <c r="H26" s="847">
        <v>45838</v>
      </c>
    </row>
  </sheetData>
  <conditionalFormatting sqref="C1">
    <cfRule type="duplicateValues" dxfId="4842" priority="1"/>
  </conditionalFormatting>
  <conditionalFormatting sqref="C2:C9 C11:C26">
    <cfRule type="duplicateValues" dxfId="4841" priority="6"/>
    <cfRule type="duplicateValues" dxfId="4840" priority="7"/>
    <cfRule type="duplicateValues" dxfId="4839" priority="8" stopIfTrue="1"/>
  </conditionalFormatting>
  <conditionalFormatting sqref="C2:C26">
    <cfRule type="duplicateValues" dxfId="4838" priority="2"/>
  </conditionalFormatting>
  <conditionalFormatting sqref="C10">
    <cfRule type="duplicateValues" dxfId="4837" priority="3"/>
    <cfRule type="duplicateValues" dxfId="4836" priority="4"/>
    <cfRule type="duplicateValues" dxfId="483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G307"/>
  <sheetViews>
    <sheetView view="pageBreakPreview" topLeftCell="A219" zoomScale="90" zoomScaleNormal="90" zoomScaleSheetLayoutView="90" workbookViewId="0">
      <selection activeCell="B222" sqref="B222"/>
    </sheetView>
  </sheetViews>
  <sheetFormatPr defaultColWidth="9" defaultRowHeight="13"/>
  <cols>
    <col min="1" max="1" width="4.1796875" style="321" customWidth="1"/>
    <col min="2" max="2" width="7.54296875" style="322" customWidth="1"/>
    <col min="3" max="3" width="4.81640625" style="321" hidden="1" customWidth="1"/>
    <col min="4" max="4" width="10.54296875" style="322" customWidth="1"/>
    <col min="5" max="7" width="9.6328125" style="322" hidden="1" customWidth="1"/>
    <col min="8" max="8" width="12" style="322" hidden="1" customWidth="1"/>
    <col min="9" max="9" width="9.6328125" style="322" hidden="1" customWidth="1"/>
    <col min="10" max="10" width="9" style="322" customWidth="1"/>
    <col min="11" max="11" width="9.81640625" style="322" customWidth="1"/>
    <col min="12" max="12" width="14.90625" style="321" customWidth="1"/>
    <col min="13" max="13" width="12" style="321" customWidth="1"/>
    <col min="14" max="14" width="23.453125" style="321" bestFit="1" customWidth="1"/>
    <col min="15" max="15" width="15.1796875" style="321" hidden="1" customWidth="1"/>
    <col min="16" max="16" width="28.36328125" style="321" customWidth="1"/>
    <col min="17" max="245" width="30.54296875" style="321" customWidth="1"/>
    <col min="246" max="246" width="6.54296875" style="321" customWidth="1"/>
    <col min="247" max="247" width="7.54296875" style="321" customWidth="1"/>
    <col min="248" max="248" width="4.81640625" style="321" customWidth="1"/>
    <col min="249" max="249" width="11.81640625" style="321" customWidth="1"/>
    <col min="250" max="250" width="9.81640625" style="321" customWidth="1"/>
    <col min="251" max="251" width="3" style="321" customWidth="1"/>
    <col min="252" max="252" width="7.1796875" style="321" customWidth="1"/>
    <col min="253" max="253" width="22.81640625" style="321" customWidth="1"/>
    <col min="254" max="254" width="7.1796875" style="321" customWidth="1"/>
    <col min="255" max="255" width="9" style="321" hidden="1" customWidth="1"/>
    <col min="256" max="256" width="8.81640625" style="321" customWidth="1"/>
    <col min="257" max="257" width="9.81640625" style="321" customWidth="1"/>
    <col min="258" max="258" width="10.54296875" style="321" customWidth="1"/>
    <col min="259" max="259" width="12.1796875" style="321" customWidth="1"/>
    <col min="260" max="260" width="11.1796875" style="321" customWidth="1"/>
    <col min="261" max="261" width="6.81640625" style="321" customWidth="1"/>
    <col min="262" max="501" width="30.54296875" style="321" customWidth="1"/>
    <col min="502" max="502" width="6.54296875" style="321" customWidth="1"/>
    <col min="503" max="503" width="7.54296875" style="321" customWidth="1"/>
    <col min="504" max="504" width="4.81640625" style="321" customWidth="1"/>
    <col min="505" max="505" width="11.81640625" style="321" customWidth="1"/>
    <col min="506" max="506" width="9.81640625" style="321" customWidth="1"/>
    <col min="507" max="507" width="3" style="321" customWidth="1"/>
    <col min="508" max="508" width="7.1796875" style="321" customWidth="1"/>
    <col min="509" max="509" width="22.81640625" style="321" customWidth="1"/>
    <col min="510" max="510" width="7.1796875" style="321" customWidth="1"/>
    <col min="511" max="511" width="9" style="321" hidden="1" customWidth="1"/>
    <col min="512" max="512" width="8.81640625" style="321" customWidth="1"/>
    <col min="513" max="513" width="9.81640625" style="321" customWidth="1"/>
    <col min="514" max="514" width="10.54296875" style="321" customWidth="1"/>
    <col min="515" max="515" width="12.1796875" style="321" customWidth="1"/>
    <col min="516" max="516" width="11.1796875" style="321" customWidth="1"/>
    <col min="517" max="517" width="6.81640625" style="321" customWidth="1"/>
    <col min="518" max="757" width="30.54296875" style="321" customWidth="1"/>
    <col min="758" max="758" width="6.54296875" style="321" customWidth="1"/>
    <col min="759" max="759" width="7.54296875" style="321" customWidth="1"/>
    <col min="760" max="760" width="4.81640625" style="321" customWidth="1"/>
    <col min="761" max="761" width="11.81640625" style="321" customWidth="1"/>
    <col min="762" max="762" width="9.81640625" style="321" customWidth="1"/>
    <col min="763" max="763" width="3" style="321" customWidth="1"/>
    <col min="764" max="764" width="7.1796875" style="321" customWidth="1"/>
    <col min="765" max="765" width="22.81640625" style="321" customWidth="1"/>
    <col min="766" max="766" width="7.1796875" style="321" customWidth="1"/>
    <col min="767" max="767" width="9" style="321" hidden="1" customWidth="1"/>
    <col min="768" max="768" width="8.81640625" style="321" customWidth="1"/>
    <col min="769" max="769" width="9.81640625" style="321" customWidth="1"/>
    <col min="770" max="770" width="10.54296875" style="321" customWidth="1"/>
    <col min="771" max="771" width="12.1796875" style="321" customWidth="1"/>
    <col min="772" max="772" width="11.1796875" style="321" customWidth="1"/>
    <col min="773" max="773" width="6.81640625" style="321" customWidth="1"/>
    <col min="774" max="1013" width="30.54296875" style="321" customWidth="1"/>
    <col min="1014" max="1014" width="6.54296875" style="321" customWidth="1"/>
    <col min="1015" max="1015" width="7.54296875" style="321" customWidth="1"/>
    <col min="1016" max="1016" width="4.81640625" style="321" customWidth="1"/>
    <col min="1017" max="1017" width="11.81640625" style="321" customWidth="1"/>
    <col min="1018" max="1018" width="9.81640625" style="321" customWidth="1"/>
    <col min="1019" max="1019" width="3" style="321" customWidth="1"/>
    <col min="1020" max="1020" width="7.1796875" style="321" customWidth="1"/>
    <col min="1021" max="1021" width="22.81640625" style="321" customWidth="1"/>
    <col min="1022" max="1022" width="7.1796875" style="321" customWidth="1"/>
    <col min="1023" max="1023" width="9" style="321" hidden="1" customWidth="1"/>
    <col min="1024" max="1024" width="8.81640625" style="321" customWidth="1"/>
    <col min="1025" max="1025" width="9.81640625" style="321" customWidth="1"/>
    <col min="1026" max="1026" width="10.54296875" style="321" customWidth="1"/>
    <col min="1027" max="1027" width="12.1796875" style="321" customWidth="1"/>
    <col min="1028" max="1028" width="11.1796875" style="321" customWidth="1"/>
    <col min="1029" max="1029" width="6.81640625" style="321" customWidth="1"/>
    <col min="1030" max="1269" width="30.54296875" style="321" customWidth="1"/>
    <col min="1270" max="1270" width="6.54296875" style="321" customWidth="1"/>
    <col min="1271" max="1271" width="7.54296875" style="321" customWidth="1"/>
    <col min="1272" max="1272" width="4.81640625" style="321" customWidth="1"/>
    <col min="1273" max="1273" width="11.81640625" style="321" customWidth="1"/>
    <col min="1274" max="1274" width="9.81640625" style="321" customWidth="1"/>
    <col min="1275" max="1275" width="3" style="321" customWidth="1"/>
    <col min="1276" max="1276" width="7.1796875" style="321" customWidth="1"/>
    <col min="1277" max="1277" width="22.81640625" style="321" customWidth="1"/>
    <col min="1278" max="1278" width="7.1796875" style="321" customWidth="1"/>
    <col min="1279" max="1279" width="9" style="321" hidden="1" customWidth="1"/>
    <col min="1280" max="1280" width="8.81640625" style="321" customWidth="1"/>
    <col min="1281" max="1281" width="9.81640625" style="321" customWidth="1"/>
    <col min="1282" max="1282" width="10.54296875" style="321" customWidth="1"/>
    <col min="1283" max="1283" width="12.1796875" style="321" customWidth="1"/>
    <col min="1284" max="1284" width="11.1796875" style="321" customWidth="1"/>
    <col min="1285" max="1285" width="6.81640625" style="321" customWidth="1"/>
    <col min="1286" max="1525" width="30.54296875" style="321" customWidth="1"/>
    <col min="1526" max="1526" width="6.54296875" style="321" customWidth="1"/>
    <col min="1527" max="1527" width="7.54296875" style="321" customWidth="1"/>
    <col min="1528" max="1528" width="4.81640625" style="321" customWidth="1"/>
    <col min="1529" max="1529" width="11.81640625" style="321" customWidth="1"/>
    <col min="1530" max="1530" width="9.81640625" style="321" customWidth="1"/>
    <col min="1531" max="1531" width="3" style="321" customWidth="1"/>
    <col min="1532" max="1532" width="7.1796875" style="321" customWidth="1"/>
    <col min="1533" max="1533" width="22.81640625" style="321" customWidth="1"/>
    <col min="1534" max="1534" width="7.1796875" style="321" customWidth="1"/>
    <col min="1535" max="1535" width="9" style="321" hidden="1" customWidth="1"/>
    <col min="1536" max="1536" width="8.81640625" style="321" customWidth="1"/>
    <col min="1537" max="1537" width="9.81640625" style="321" customWidth="1"/>
    <col min="1538" max="1538" width="10.54296875" style="321" customWidth="1"/>
    <col min="1539" max="1539" width="12.1796875" style="321" customWidth="1"/>
    <col min="1540" max="1540" width="11.1796875" style="321" customWidth="1"/>
    <col min="1541" max="1541" width="6.81640625" style="321" customWidth="1"/>
    <col min="1542" max="1781" width="30.54296875" style="321" customWidth="1"/>
    <col min="1782" max="1782" width="6.54296875" style="321" customWidth="1"/>
    <col min="1783" max="1783" width="7.54296875" style="321" customWidth="1"/>
    <col min="1784" max="1784" width="4.81640625" style="321" customWidth="1"/>
    <col min="1785" max="1785" width="11.81640625" style="321" customWidth="1"/>
    <col min="1786" max="1786" width="9.81640625" style="321" customWidth="1"/>
    <col min="1787" max="1787" width="3" style="321" customWidth="1"/>
    <col min="1788" max="1788" width="7.1796875" style="321" customWidth="1"/>
    <col min="1789" max="1789" width="22.81640625" style="321" customWidth="1"/>
    <col min="1790" max="1790" width="7.1796875" style="321" customWidth="1"/>
    <col min="1791" max="1791" width="9" style="321" hidden="1" customWidth="1"/>
    <col min="1792" max="1792" width="8.81640625" style="321" customWidth="1"/>
    <col min="1793" max="1793" width="9.81640625" style="321" customWidth="1"/>
    <col min="1794" max="1794" width="10.54296875" style="321" customWidth="1"/>
    <col min="1795" max="1795" width="12.1796875" style="321" customWidth="1"/>
    <col min="1796" max="1796" width="11.1796875" style="321" customWidth="1"/>
    <col min="1797" max="1797" width="6.81640625" style="321" customWidth="1"/>
    <col min="1798" max="2037" width="30.54296875" style="321" customWidth="1"/>
    <col min="2038" max="2038" width="6.54296875" style="321" customWidth="1"/>
    <col min="2039" max="2039" width="7.54296875" style="321" customWidth="1"/>
    <col min="2040" max="2040" width="4.81640625" style="321" customWidth="1"/>
    <col min="2041" max="2041" width="11.81640625" style="321" customWidth="1"/>
    <col min="2042" max="2042" width="9.81640625" style="321" customWidth="1"/>
    <col min="2043" max="2043" width="3" style="321" customWidth="1"/>
    <col min="2044" max="2044" width="7.1796875" style="321" customWidth="1"/>
    <col min="2045" max="2045" width="22.81640625" style="321" customWidth="1"/>
    <col min="2046" max="2046" width="7.1796875" style="321" customWidth="1"/>
    <col min="2047" max="2047" width="9" style="321" hidden="1" customWidth="1"/>
    <col min="2048" max="2048" width="8.81640625" style="321" customWidth="1"/>
    <col min="2049" max="2049" width="9.81640625" style="321" customWidth="1"/>
    <col min="2050" max="2050" width="10.54296875" style="321" customWidth="1"/>
    <col min="2051" max="2051" width="12.1796875" style="321" customWidth="1"/>
    <col min="2052" max="2052" width="11.1796875" style="321" customWidth="1"/>
    <col min="2053" max="2053" width="6.81640625" style="321" customWidth="1"/>
    <col min="2054" max="2293" width="30.54296875" style="321" customWidth="1"/>
    <col min="2294" max="2294" width="6.54296875" style="321" customWidth="1"/>
    <col min="2295" max="2295" width="7.54296875" style="321" customWidth="1"/>
    <col min="2296" max="2296" width="4.81640625" style="321" customWidth="1"/>
    <col min="2297" max="2297" width="11.81640625" style="321" customWidth="1"/>
    <col min="2298" max="2298" width="9.81640625" style="321" customWidth="1"/>
    <col min="2299" max="2299" width="3" style="321" customWidth="1"/>
    <col min="2300" max="2300" width="7.1796875" style="321" customWidth="1"/>
    <col min="2301" max="2301" width="22.81640625" style="321" customWidth="1"/>
    <col min="2302" max="2302" width="7.1796875" style="321" customWidth="1"/>
    <col min="2303" max="2303" width="9" style="321" hidden="1" customWidth="1"/>
    <col min="2304" max="2304" width="8.81640625" style="321" customWidth="1"/>
    <col min="2305" max="2305" width="9.81640625" style="321" customWidth="1"/>
    <col min="2306" max="2306" width="10.54296875" style="321" customWidth="1"/>
    <col min="2307" max="2307" width="12.1796875" style="321" customWidth="1"/>
    <col min="2308" max="2308" width="11.1796875" style="321" customWidth="1"/>
    <col min="2309" max="2309" width="6.81640625" style="321" customWidth="1"/>
    <col min="2310" max="2549" width="30.54296875" style="321" customWidth="1"/>
    <col min="2550" max="2550" width="6.54296875" style="321" customWidth="1"/>
    <col min="2551" max="2551" width="7.54296875" style="321" customWidth="1"/>
    <col min="2552" max="2552" width="4.81640625" style="321" customWidth="1"/>
    <col min="2553" max="2553" width="11.81640625" style="321" customWidth="1"/>
    <col min="2554" max="2554" width="9.81640625" style="321" customWidth="1"/>
    <col min="2555" max="2555" width="3" style="321" customWidth="1"/>
    <col min="2556" max="2556" width="7.1796875" style="321" customWidth="1"/>
    <col min="2557" max="2557" width="22.81640625" style="321" customWidth="1"/>
    <col min="2558" max="2558" width="7.1796875" style="321" customWidth="1"/>
    <col min="2559" max="2559" width="9" style="321" hidden="1" customWidth="1"/>
    <col min="2560" max="2560" width="8.81640625" style="321" customWidth="1"/>
    <col min="2561" max="2561" width="9.81640625" style="321" customWidth="1"/>
    <col min="2562" max="2562" width="10.54296875" style="321" customWidth="1"/>
    <col min="2563" max="2563" width="12.1796875" style="321" customWidth="1"/>
    <col min="2564" max="2564" width="11.1796875" style="321" customWidth="1"/>
    <col min="2565" max="2565" width="6.81640625" style="321" customWidth="1"/>
    <col min="2566" max="2805" width="30.54296875" style="321" customWidth="1"/>
    <col min="2806" max="2806" width="6.54296875" style="321" customWidth="1"/>
    <col min="2807" max="2807" width="7.54296875" style="321" customWidth="1"/>
    <col min="2808" max="2808" width="4.81640625" style="321" customWidth="1"/>
    <col min="2809" max="2809" width="11.81640625" style="321" customWidth="1"/>
    <col min="2810" max="2810" width="9.81640625" style="321" customWidth="1"/>
    <col min="2811" max="2811" width="3" style="321" customWidth="1"/>
    <col min="2812" max="2812" width="7.1796875" style="321" customWidth="1"/>
    <col min="2813" max="2813" width="22.81640625" style="321" customWidth="1"/>
    <col min="2814" max="2814" width="7.1796875" style="321" customWidth="1"/>
    <col min="2815" max="2815" width="9" style="321" hidden="1" customWidth="1"/>
    <col min="2816" max="2816" width="8.81640625" style="321" customWidth="1"/>
    <col min="2817" max="2817" width="9.81640625" style="321" customWidth="1"/>
    <col min="2818" max="2818" width="10.54296875" style="321" customWidth="1"/>
    <col min="2819" max="2819" width="12.1796875" style="321" customWidth="1"/>
    <col min="2820" max="2820" width="11.1796875" style="321" customWidth="1"/>
    <col min="2821" max="2821" width="6.81640625" style="321" customWidth="1"/>
    <col min="2822" max="3061" width="30.54296875" style="321" customWidth="1"/>
    <col min="3062" max="3062" width="6.54296875" style="321" customWidth="1"/>
    <col min="3063" max="3063" width="7.54296875" style="321" customWidth="1"/>
    <col min="3064" max="3064" width="4.81640625" style="321" customWidth="1"/>
    <col min="3065" max="3065" width="11.81640625" style="321" customWidth="1"/>
    <col min="3066" max="3066" width="9.81640625" style="321" customWidth="1"/>
    <col min="3067" max="3067" width="3" style="321" customWidth="1"/>
    <col min="3068" max="3068" width="7.1796875" style="321" customWidth="1"/>
    <col min="3069" max="3069" width="22.81640625" style="321" customWidth="1"/>
    <col min="3070" max="3070" width="7.1796875" style="321" customWidth="1"/>
    <col min="3071" max="3071" width="9" style="321" hidden="1" customWidth="1"/>
    <col min="3072" max="3072" width="8.81640625" style="321" customWidth="1"/>
    <col min="3073" max="3073" width="9.81640625" style="321" customWidth="1"/>
    <col min="3074" max="3074" width="10.54296875" style="321" customWidth="1"/>
    <col min="3075" max="3075" width="12.1796875" style="321" customWidth="1"/>
    <col min="3076" max="3076" width="11.1796875" style="321" customWidth="1"/>
    <col min="3077" max="3077" width="6.81640625" style="321" customWidth="1"/>
    <col min="3078" max="3317" width="30.54296875" style="321" customWidth="1"/>
    <col min="3318" max="3318" width="6.54296875" style="321" customWidth="1"/>
    <col min="3319" max="3319" width="7.54296875" style="321" customWidth="1"/>
    <col min="3320" max="3320" width="4.81640625" style="321" customWidth="1"/>
    <col min="3321" max="3321" width="11.81640625" style="321" customWidth="1"/>
    <col min="3322" max="3322" width="9.81640625" style="321" customWidth="1"/>
    <col min="3323" max="3323" width="3" style="321" customWidth="1"/>
    <col min="3324" max="3324" width="7.1796875" style="321" customWidth="1"/>
    <col min="3325" max="3325" width="22.81640625" style="321" customWidth="1"/>
    <col min="3326" max="3326" width="7.1796875" style="321" customWidth="1"/>
    <col min="3327" max="3327" width="9" style="321" hidden="1" customWidth="1"/>
    <col min="3328" max="3328" width="8.81640625" style="321" customWidth="1"/>
    <col min="3329" max="3329" width="9.81640625" style="321" customWidth="1"/>
    <col min="3330" max="3330" width="10.54296875" style="321" customWidth="1"/>
    <col min="3331" max="3331" width="12.1796875" style="321" customWidth="1"/>
    <col min="3332" max="3332" width="11.1796875" style="321" customWidth="1"/>
    <col min="3333" max="3333" width="6.81640625" style="321" customWidth="1"/>
    <col min="3334" max="3573" width="30.54296875" style="321" customWidth="1"/>
    <col min="3574" max="3574" width="6.54296875" style="321" customWidth="1"/>
    <col min="3575" max="3575" width="7.54296875" style="321" customWidth="1"/>
    <col min="3576" max="3576" width="4.81640625" style="321" customWidth="1"/>
    <col min="3577" max="3577" width="11.81640625" style="321" customWidth="1"/>
    <col min="3578" max="3578" width="9.81640625" style="321" customWidth="1"/>
    <col min="3579" max="3579" width="3" style="321" customWidth="1"/>
    <col min="3580" max="3580" width="7.1796875" style="321" customWidth="1"/>
    <col min="3581" max="3581" width="22.81640625" style="321" customWidth="1"/>
    <col min="3582" max="3582" width="7.1796875" style="321" customWidth="1"/>
    <col min="3583" max="3583" width="9" style="321" hidden="1" customWidth="1"/>
    <col min="3584" max="3584" width="8.81640625" style="321" customWidth="1"/>
    <col min="3585" max="3585" width="9.81640625" style="321" customWidth="1"/>
    <col min="3586" max="3586" width="10.54296875" style="321" customWidth="1"/>
    <col min="3587" max="3587" width="12.1796875" style="321" customWidth="1"/>
    <col min="3588" max="3588" width="11.1796875" style="321" customWidth="1"/>
    <col min="3589" max="3589" width="6.81640625" style="321" customWidth="1"/>
    <col min="3590" max="3829" width="30.54296875" style="321" customWidth="1"/>
    <col min="3830" max="3830" width="6.54296875" style="321" customWidth="1"/>
    <col min="3831" max="3831" width="7.54296875" style="321" customWidth="1"/>
    <col min="3832" max="3832" width="4.81640625" style="321" customWidth="1"/>
    <col min="3833" max="3833" width="11.81640625" style="321" customWidth="1"/>
    <col min="3834" max="3834" width="9.81640625" style="321" customWidth="1"/>
    <col min="3835" max="3835" width="3" style="321" customWidth="1"/>
    <col min="3836" max="3836" width="7.1796875" style="321" customWidth="1"/>
    <col min="3837" max="3837" width="22.81640625" style="321" customWidth="1"/>
    <col min="3838" max="3838" width="7.1796875" style="321" customWidth="1"/>
    <col min="3839" max="3839" width="9" style="321" hidden="1" customWidth="1"/>
    <col min="3840" max="3840" width="8.81640625" style="321" customWidth="1"/>
    <col min="3841" max="3841" width="9.81640625" style="321" customWidth="1"/>
    <col min="3842" max="3842" width="10.54296875" style="321" customWidth="1"/>
    <col min="3843" max="3843" width="12.1796875" style="321" customWidth="1"/>
    <col min="3844" max="3844" width="11.1796875" style="321" customWidth="1"/>
    <col min="3845" max="3845" width="6.81640625" style="321" customWidth="1"/>
    <col min="3846" max="4085" width="30.54296875" style="321" customWidth="1"/>
    <col min="4086" max="4086" width="6.54296875" style="321" customWidth="1"/>
    <col min="4087" max="4087" width="7.54296875" style="321" customWidth="1"/>
    <col min="4088" max="4088" width="4.81640625" style="321" customWidth="1"/>
    <col min="4089" max="4089" width="11.81640625" style="321" customWidth="1"/>
    <col min="4090" max="4090" width="9.81640625" style="321" customWidth="1"/>
    <col min="4091" max="4091" width="3" style="321" customWidth="1"/>
    <col min="4092" max="4092" width="7.1796875" style="321" customWidth="1"/>
    <col min="4093" max="4093" width="22.81640625" style="321" customWidth="1"/>
    <col min="4094" max="4094" width="7.1796875" style="321" customWidth="1"/>
    <col min="4095" max="4095" width="9" style="321" hidden="1" customWidth="1"/>
    <col min="4096" max="4096" width="8.81640625" style="321" customWidth="1"/>
    <col min="4097" max="4097" width="9.81640625" style="321" customWidth="1"/>
    <col min="4098" max="4098" width="10.54296875" style="321" customWidth="1"/>
    <col min="4099" max="4099" width="12.1796875" style="321" customWidth="1"/>
    <col min="4100" max="4100" width="11.1796875" style="321" customWidth="1"/>
    <col min="4101" max="4101" width="6.81640625" style="321" customWidth="1"/>
    <col min="4102" max="4341" width="30.54296875" style="321" customWidth="1"/>
    <col min="4342" max="4342" width="6.54296875" style="321" customWidth="1"/>
    <col min="4343" max="4343" width="7.54296875" style="321" customWidth="1"/>
    <col min="4344" max="4344" width="4.81640625" style="321" customWidth="1"/>
    <col min="4345" max="4345" width="11.81640625" style="321" customWidth="1"/>
    <col min="4346" max="4346" width="9.81640625" style="321" customWidth="1"/>
    <col min="4347" max="4347" width="3" style="321" customWidth="1"/>
    <col min="4348" max="4348" width="7.1796875" style="321" customWidth="1"/>
    <col min="4349" max="4349" width="22.81640625" style="321" customWidth="1"/>
    <col min="4350" max="4350" width="7.1796875" style="321" customWidth="1"/>
    <col min="4351" max="4351" width="9" style="321" hidden="1" customWidth="1"/>
    <col min="4352" max="4352" width="8.81640625" style="321" customWidth="1"/>
    <col min="4353" max="4353" width="9.81640625" style="321" customWidth="1"/>
    <col min="4354" max="4354" width="10.54296875" style="321" customWidth="1"/>
    <col min="4355" max="4355" width="12.1796875" style="321" customWidth="1"/>
    <col min="4356" max="4356" width="11.1796875" style="321" customWidth="1"/>
    <col min="4357" max="4357" width="6.81640625" style="321" customWidth="1"/>
    <col min="4358" max="4597" width="30.54296875" style="321" customWidth="1"/>
    <col min="4598" max="4598" width="6.54296875" style="321" customWidth="1"/>
    <col min="4599" max="4599" width="7.54296875" style="321" customWidth="1"/>
    <col min="4600" max="4600" width="4.81640625" style="321" customWidth="1"/>
    <col min="4601" max="4601" width="11.81640625" style="321" customWidth="1"/>
    <col min="4602" max="4602" width="9.81640625" style="321" customWidth="1"/>
    <col min="4603" max="4603" width="3" style="321" customWidth="1"/>
    <col min="4604" max="4604" width="7.1796875" style="321" customWidth="1"/>
    <col min="4605" max="4605" width="22.81640625" style="321" customWidth="1"/>
    <col min="4606" max="4606" width="7.1796875" style="321" customWidth="1"/>
    <col min="4607" max="4607" width="9" style="321" hidden="1" customWidth="1"/>
    <col min="4608" max="4608" width="8.81640625" style="321" customWidth="1"/>
    <col min="4609" max="4609" width="9.81640625" style="321" customWidth="1"/>
    <col min="4610" max="4610" width="10.54296875" style="321" customWidth="1"/>
    <col min="4611" max="4611" width="12.1796875" style="321" customWidth="1"/>
    <col min="4612" max="4612" width="11.1796875" style="321" customWidth="1"/>
    <col min="4613" max="4613" width="6.81640625" style="321" customWidth="1"/>
    <col min="4614" max="4853" width="30.54296875" style="321" customWidth="1"/>
    <col min="4854" max="4854" width="6.54296875" style="321" customWidth="1"/>
    <col min="4855" max="4855" width="7.54296875" style="321" customWidth="1"/>
    <col min="4856" max="4856" width="4.81640625" style="321" customWidth="1"/>
    <col min="4857" max="4857" width="11.81640625" style="321" customWidth="1"/>
    <col min="4858" max="4858" width="9.81640625" style="321" customWidth="1"/>
    <col min="4859" max="4859" width="3" style="321" customWidth="1"/>
    <col min="4860" max="4860" width="7.1796875" style="321" customWidth="1"/>
    <col min="4861" max="4861" width="22.81640625" style="321" customWidth="1"/>
    <col min="4862" max="4862" width="7.1796875" style="321" customWidth="1"/>
    <col min="4863" max="4863" width="9" style="321" hidden="1" customWidth="1"/>
    <col min="4864" max="4864" width="8.81640625" style="321" customWidth="1"/>
    <col min="4865" max="4865" width="9.81640625" style="321" customWidth="1"/>
    <col min="4866" max="4866" width="10.54296875" style="321" customWidth="1"/>
    <col min="4867" max="4867" width="12.1796875" style="321" customWidth="1"/>
    <col min="4868" max="4868" width="11.1796875" style="321" customWidth="1"/>
    <col min="4869" max="4869" width="6.81640625" style="321" customWidth="1"/>
    <col min="4870" max="5109" width="30.54296875" style="321" customWidth="1"/>
    <col min="5110" max="5110" width="6.54296875" style="321" customWidth="1"/>
    <col min="5111" max="5111" width="7.54296875" style="321" customWidth="1"/>
    <col min="5112" max="5112" width="4.81640625" style="321" customWidth="1"/>
    <col min="5113" max="5113" width="11.81640625" style="321" customWidth="1"/>
    <col min="5114" max="5114" width="9.81640625" style="321" customWidth="1"/>
    <col min="5115" max="5115" width="3" style="321" customWidth="1"/>
    <col min="5116" max="5116" width="7.1796875" style="321" customWidth="1"/>
    <col min="5117" max="5117" width="22.81640625" style="321" customWidth="1"/>
    <col min="5118" max="5118" width="7.1796875" style="321" customWidth="1"/>
    <col min="5119" max="5119" width="9" style="321" hidden="1" customWidth="1"/>
    <col min="5120" max="5120" width="8.81640625" style="321" customWidth="1"/>
    <col min="5121" max="5121" width="9.81640625" style="321" customWidth="1"/>
    <col min="5122" max="5122" width="10.54296875" style="321" customWidth="1"/>
    <col min="5123" max="5123" width="12.1796875" style="321" customWidth="1"/>
    <col min="5124" max="5124" width="11.1796875" style="321" customWidth="1"/>
    <col min="5125" max="5125" width="6.81640625" style="321" customWidth="1"/>
    <col min="5126" max="5365" width="30.54296875" style="321" customWidth="1"/>
    <col min="5366" max="5366" width="6.54296875" style="321" customWidth="1"/>
    <col min="5367" max="5367" width="7.54296875" style="321" customWidth="1"/>
    <col min="5368" max="5368" width="4.81640625" style="321" customWidth="1"/>
    <col min="5369" max="5369" width="11.81640625" style="321" customWidth="1"/>
    <col min="5370" max="5370" width="9.81640625" style="321" customWidth="1"/>
    <col min="5371" max="5371" width="3" style="321" customWidth="1"/>
    <col min="5372" max="5372" width="7.1796875" style="321" customWidth="1"/>
    <col min="5373" max="5373" width="22.81640625" style="321" customWidth="1"/>
    <col min="5374" max="5374" width="7.1796875" style="321" customWidth="1"/>
    <col min="5375" max="5375" width="9" style="321" hidden="1" customWidth="1"/>
    <col min="5376" max="5376" width="8.81640625" style="321" customWidth="1"/>
    <col min="5377" max="5377" width="9.81640625" style="321" customWidth="1"/>
    <col min="5378" max="5378" width="10.54296875" style="321" customWidth="1"/>
    <col min="5379" max="5379" width="12.1796875" style="321" customWidth="1"/>
    <col min="5380" max="5380" width="11.1796875" style="321" customWidth="1"/>
    <col min="5381" max="5381" width="6.81640625" style="321" customWidth="1"/>
    <col min="5382" max="5621" width="30.54296875" style="321" customWidth="1"/>
    <col min="5622" max="5622" width="6.54296875" style="321" customWidth="1"/>
    <col min="5623" max="5623" width="7.54296875" style="321" customWidth="1"/>
    <col min="5624" max="5624" width="4.81640625" style="321" customWidth="1"/>
    <col min="5625" max="5625" width="11.81640625" style="321" customWidth="1"/>
    <col min="5626" max="5626" width="9.81640625" style="321" customWidth="1"/>
    <col min="5627" max="5627" width="3" style="321" customWidth="1"/>
    <col min="5628" max="5628" width="7.1796875" style="321" customWidth="1"/>
    <col min="5629" max="5629" width="22.81640625" style="321" customWidth="1"/>
    <col min="5630" max="5630" width="7.1796875" style="321" customWidth="1"/>
    <col min="5631" max="5631" width="9" style="321" hidden="1" customWidth="1"/>
    <col min="5632" max="5632" width="8.81640625" style="321" customWidth="1"/>
    <col min="5633" max="5633" width="9.81640625" style="321" customWidth="1"/>
    <col min="5634" max="5634" width="10.54296875" style="321" customWidth="1"/>
    <col min="5635" max="5635" width="12.1796875" style="321" customWidth="1"/>
    <col min="5636" max="5636" width="11.1796875" style="321" customWidth="1"/>
    <col min="5637" max="5637" width="6.81640625" style="321" customWidth="1"/>
    <col min="5638" max="5877" width="30.54296875" style="321" customWidth="1"/>
    <col min="5878" max="5878" width="6.54296875" style="321" customWidth="1"/>
    <col min="5879" max="5879" width="7.54296875" style="321" customWidth="1"/>
    <col min="5880" max="5880" width="4.81640625" style="321" customWidth="1"/>
    <col min="5881" max="5881" width="11.81640625" style="321" customWidth="1"/>
    <col min="5882" max="5882" width="9.81640625" style="321" customWidth="1"/>
    <col min="5883" max="5883" width="3" style="321" customWidth="1"/>
    <col min="5884" max="5884" width="7.1796875" style="321" customWidth="1"/>
    <col min="5885" max="5885" width="22.81640625" style="321" customWidth="1"/>
    <col min="5886" max="5886" width="7.1796875" style="321" customWidth="1"/>
    <col min="5887" max="5887" width="9" style="321" hidden="1" customWidth="1"/>
    <col min="5888" max="5888" width="8.81640625" style="321" customWidth="1"/>
    <col min="5889" max="5889" width="9.81640625" style="321" customWidth="1"/>
    <col min="5890" max="5890" width="10.54296875" style="321" customWidth="1"/>
    <col min="5891" max="5891" width="12.1796875" style="321" customWidth="1"/>
    <col min="5892" max="5892" width="11.1796875" style="321" customWidth="1"/>
    <col min="5893" max="5893" width="6.81640625" style="321" customWidth="1"/>
    <col min="5894" max="6133" width="30.54296875" style="321" customWidth="1"/>
    <col min="6134" max="6134" width="6.54296875" style="321" customWidth="1"/>
    <col min="6135" max="6135" width="7.54296875" style="321" customWidth="1"/>
    <col min="6136" max="6136" width="4.81640625" style="321" customWidth="1"/>
    <col min="6137" max="6137" width="11.81640625" style="321" customWidth="1"/>
    <col min="6138" max="6138" width="9.81640625" style="321" customWidth="1"/>
    <col min="6139" max="6139" width="3" style="321" customWidth="1"/>
    <col min="6140" max="6140" width="7.1796875" style="321" customWidth="1"/>
    <col min="6141" max="6141" width="22.81640625" style="321" customWidth="1"/>
    <col min="6142" max="6142" width="7.1796875" style="321" customWidth="1"/>
    <col min="6143" max="6143" width="9" style="321" hidden="1" customWidth="1"/>
    <col min="6144" max="6144" width="8.81640625" style="321" customWidth="1"/>
    <col min="6145" max="6145" width="9.81640625" style="321" customWidth="1"/>
    <col min="6146" max="6146" width="10.54296875" style="321" customWidth="1"/>
    <col min="6147" max="6147" width="12.1796875" style="321" customWidth="1"/>
    <col min="6148" max="6148" width="11.1796875" style="321" customWidth="1"/>
    <col min="6149" max="6149" width="6.81640625" style="321" customWidth="1"/>
    <col min="6150" max="6389" width="30.54296875" style="321" customWidth="1"/>
    <col min="6390" max="6390" width="6.54296875" style="321" customWidth="1"/>
    <col min="6391" max="6391" width="7.54296875" style="321" customWidth="1"/>
    <col min="6392" max="6392" width="4.81640625" style="321" customWidth="1"/>
    <col min="6393" max="6393" width="11.81640625" style="321" customWidth="1"/>
    <col min="6394" max="6394" width="9.81640625" style="321" customWidth="1"/>
    <col min="6395" max="6395" width="3" style="321" customWidth="1"/>
    <col min="6396" max="6396" width="7.1796875" style="321" customWidth="1"/>
    <col min="6397" max="6397" width="22.81640625" style="321" customWidth="1"/>
    <col min="6398" max="6398" width="7.1796875" style="321" customWidth="1"/>
    <col min="6399" max="6399" width="9" style="321" hidden="1" customWidth="1"/>
    <col min="6400" max="6400" width="8.81640625" style="321" customWidth="1"/>
    <col min="6401" max="6401" width="9.81640625" style="321" customWidth="1"/>
    <col min="6402" max="6402" width="10.54296875" style="321" customWidth="1"/>
    <col min="6403" max="6403" width="12.1796875" style="321" customWidth="1"/>
    <col min="6404" max="6404" width="11.1796875" style="321" customWidth="1"/>
    <col min="6405" max="6405" width="6.81640625" style="321" customWidth="1"/>
    <col min="6406" max="6645" width="30.54296875" style="321" customWidth="1"/>
    <col min="6646" max="6646" width="6.54296875" style="321" customWidth="1"/>
    <col min="6647" max="6647" width="7.54296875" style="321" customWidth="1"/>
    <col min="6648" max="6648" width="4.81640625" style="321" customWidth="1"/>
    <col min="6649" max="6649" width="11.81640625" style="321" customWidth="1"/>
    <col min="6650" max="6650" width="9.81640625" style="321" customWidth="1"/>
    <col min="6651" max="6651" width="3" style="321" customWidth="1"/>
    <col min="6652" max="6652" width="7.1796875" style="321" customWidth="1"/>
    <col min="6653" max="6653" width="22.81640625" style="321" customWidth="1"/>
    <col min="6654" max="6654" width="7.1796875" style="321" customWidth="1"/>
    <col min="6655" max="6655" width="9" style="321" hidden="1" customWidth="1"/>
    <col min="6656" max="6656" width="8.81640625" style="321" customWidth="1"/>
    <col min="6657" max="6657" width="9.81640625" style="321" customWidth="1"/>
    <col min="6658" max="6658" width="10.54296875" style="321" customWidth="1"/>
    <col min="6659" max="6659" width="12.1796875" style="321" customWidth="1"/>
    <col min="6660" max="6660" width="11.1796875" style="321" customWidth="1"/>
    <col min="6661" max="6661" width="6.81640625" style="321" customWidth="1"/>
    <col min="6662" max="6901" width="30.54296875" style="321" customWidth="1"/>
    <col min="6902" max="6902" width="6.54296875" style="321" customWidth="1"/>
    <col min="6903" max="6903" width="7.54296875" style="321" customWidth="1"/>
    <col min="6904" max="6904" width="4.81640625" style="321" customWidth="1"/>
    <col min="6905" max="6905" width="11.81640625" style="321" customWidth="1"/>
    <col min="6906" max="6906" width="9.81640625" style="321" customWidth="1"/>
    <col min="6907" max="6907" width="3" style="321" customWidth="1"/>
    <col min="6908" max="6908" width="7.1796875" style="321" customWidth="1"/>
    <col min="6909" max="6909" width="22.81640625" style="321" customWidth="1"/>
    <col min="6910" max="6910" width="7.1796875" style="321" customWidth="1"/>
    <col min="6911" max="6911" width="9" style="321" hidden="1" customWidth="1"/>
    <col min="6912" max="6912" width="8.81640625" style="321" customWidth="1"/>
    <col min="6913" max="6913" width="9.81640625" style="321" customWidth="1"/>
    <col min="6914" max="6914" width="10.54296875" style="321" customWidth="1"/>
    <col min="6915" max="6915" width="12.1796875" style="321" customWidth="1"/>
    <col min="6916" max="6916" width="11.1796875" style="321" customWidth="1"/>
    <col min="6917" max="6917" width="6.81640625" style="321" customWidth="1"/>
    <col min="6918" max="7157" width="30.54296875" style="321" customWidth="1"/>
    <col min="7158" max="7158" width="6.54296875" style="321" customWidth="1"/>
    <col min="7159" max="7159" width="7.54296875" style="321" customWidth="1"/>
    <col min="7160" max="7160" width="4.81640625" style="321" customWidth="1"/>
    <col min="7161" max="7161" width="11.81640625" style="321" customWidth="1"/>
    <col min="7162" max="7162" width="9.81640625" style="321" customWidth="1"/>
    <col min="7163" max="7163" width="3" style="321" customWidth="1"/>
    <col min="7164" max="7164" width="7.1796875" style="321" customWidth="1"/>
    <col min="7165" max="7165" width="22.81640625" style="321" customWidth="1"/>
    <col min="7166" max="7166" width="7.1796875" style="321" customWidth="1"/>
    <col min="7167" max="7167" width="9" style="321" hidden="1" customWidth="1"/>
    <col min="7168" max="7168" width="8.81640625" style="321" customWidth="1"/>
    <col min="7169" max="7169" width="9.81640625" style="321" customWidth="1"/>
    <col min="7170" max="7170" width="10.54296875" style="321" customWidth="1"/>
    <col min="7171" max="7171" width="12.1796875" style="321" customWidth="1"/>
    <col min="7172" max="7172" width="11.1796875" style="321" customWidth="1"/>
    <col min="7173" max="7173" width="6.81640625" style="321" customWidth="1"/>
    <col min="7174" max="7413" width="30.54296875" style="321" customWidth="1"/>
    <col min="7414" max="7414" width="6.54296875" style="321" customWidth="1"/>
    <col min="7415" max="7415" width="7.54296875" style="321" customWidth="1"/>
    <col min="7416" max="7416" width="4.81640625" style="321" customWidth="1"/>
    <col min="7417" max="7417" width="11.81640625" style="321" customWidth="1"/>
    <col min="7418" max="7418" width="9.81640625" style="321" customWidth="1"/>
    <col min="7419" max="7419" width="3" style="321" customWidth="1"/>
    <col min="7420" max="7420" width="7.1796875" style="321" customWidth="1"/>
    <col min="7421" max="7421" width="22.81640625" style="321" customWidth="1"/>
    <col min="7422" max="7422" width="7.1796875" style="321" customWidth="1"/>
    <col min="7423" max="7423" width="9" style="321" hidden="1" customWidth="1"/>
    <col min="7424" max="7424" width="8.81640625" style="321" customWidth="1"/>
    <col min="7425" max="7425" width="9.81640625" style="321" customWidth="1"/>
    <col min="7426" max="7426" width="10.54296875" style="321" customWidth="1"/>
    <col min="7427" max="7427" width="12.1796875" style="321" customWidth="1"/>
    <col min="7428" max="7428" width="11.1796875" style="321" customWidth="1"/>
    <col min="7429" max="7429" width="6.81640625" style="321" customWidth="1"/>
    <col min="7430" max="7669" width="30.54296875" style="321" customWidth="1"/>
    <col min="7670" max="7670" width="6.54296875" style="321" customWidth="1"/>
    <col min="7671" max="7671" width="7.54296875" style="321" customWidth="1"/>
    <col min="7672" max="7672" width="4.81640625" style="321" customWidth="1"/>
    <col min="7673" max="7673" width="11.81640625" style="321" customWidth="1"/>
    <col min="7674" max="7674" width="9.81640625" style="321" customWidth="1"/>
    <col min="7675" max="7675" width="3" style="321" customWidth="1"/>
    <col min="7676" max="7676" width="7.1796875" style="321" customWidth="1"/>
    <col min="7677" max="7677" width="22.81640625" style="321" customWidth="1"/>
    <col min="7678" max="7678" width="7.1796875" style="321" customWidth="1"/>
    <col min="7679" max="7679" width="9" style="321" hidden="1" customWidth="1"/>
    <col min="7680" max="7680" width="8.81640625" style="321" customWidth="1"/>
    <col min="7681" max="7681" width="9.81640625" style="321" customWidth="1"/>
    <col min="7682" max="7682" width="10.54296875" style="321" customWidth="1"/>
    <col min="7683" max="7683" width="12.1796875" style="321" customWidth="1"/>
    <col min="7684" max="7684" width="11.1796875" style="321" customWidth="1"/>
    <col min="7685" max="7685" width="6.81640625" style="321" customWidth="1"/>
    <col min="7686" max="7925" width="30.54296875" style="321" customWidth="1"/>
    <col min="7926" max="7926" width="6.54296875" style="321" customWidth="1"/>
    <col min="7927" max="7927" width="7.54296875" style="321" customWidth="1"/>
    <col min="7928" max="7928" width="4.81640625" style="321" customWidth="1"/>
    <col min="7929" max="7929" width="11.81640625" style="321" customWidth="1"/>
    <col min="7930" max="7930" width="9.81640625" style="321" customWidth="1"/>
    <col min="7931" max="7931" width="3" style="321" customWidth="1"/>
    <col min="7932" max="7932" width="7.1796875" style="321" customWidth="1"/>
    <col min="7933" max="7933" width="22.81640625" style="321" customWidth="1"/>
    <col min="7934" max="7934" width="7.1796875" style="321" customWidth="1"/>
    <col min="7935" max="7935" width="9" style="321" hidden="1" customWidth="1"/>
    <col min="7936" max="7936" width="8.81640625" style="321" customWidth="1"/>
    <col min="7937" max="7937" width="9.81640625" style="321" customWidth="1"/>
    <col min="7938" max="7938" width="10.54296875" style="321" customWidth="1"/>
    <col min="7939" max="7939" width="12.1796875" style="321" customWidth="1"/>
    <col min="7940" max="7940" width="11.1796875" style="321" customWidth="1"/>
    <col min="7941" max="7941" width="6.81640625" style="321" customWidth="1"/>
    <col min="7942" max="8181" width="30.54296875" style="321" customWidth="1"/>
    <col min="8182" max="8182" width="6.54296875" style="321" customWidth="1"/>
    <col min="8183" max="8183" width="7.54296875" style="321" customWidth="1"/>
    <col min="8184" max="8184" width="4.81640625" style="321" customWidth="1"/>
    <col min="8185" max="8185" width="11.81640625" style="321" customWidth="1"/>
    <col min="8186" max="8186" width="9.81640625" style="321" customWidth="1"/>
    <col min="8187" max="8187" width="3" style="321" customWidth="1"/>
    <col min="8188" max="8188" width="7.1796875" style="321" customWidth="1"/>
    <col min="8189" max="8189" width="22.81640625" style="321" customWidth="1"/>
    <col min="8190" max="8190" width="7.1796875" style="321" customWidth="1"/>
    <col min="8191" max="8191" width="9" style="321" hidden="1" customWidth="1"/>
    <col min="8192" max="8192" width="8.81640625" style="321" customWidth="1"/>
    <col min="8193" max="8193" width="9.81640625" style="321" customWidth="1"/>
    <col min="8194" max="8194" width="10.54296875" style="321" customWidth="1"/>
    <col min="8195" max="8195" width="12.1796875" style="321" customWidth="1"/>
    <col min="8196" max="8196" width="11.1796875" style="321" customWidth="1"/>
    <col min="8197" max="8197" width="6.81640625" style="321" customWidth="1"/>
    <col min="8198" max="8437" width="30.54296875" style="321" customWidth="1"/>
    <col min="8438" max="8438" width="6.54296875" style="321" customWidth="1"/>
    <col min="8439" max="8439" width="7.54296875" style="321" customWidth="1"/>
    <col min="8440" max="8440" width="4.81640625" style="321" customWidth="1"/>
    <col min="8441" max="8441" width="11.81640625" style="321" customWidth="1"/>
    <col min="8442" max="8442" width="9.81640625" style="321" customWidth="1"/>
    <col min="8443" max="8443" width="3" style="321" customWidth="1"/>
    <col min="8444" max="8444" width="7.1796875" style="321" customWidth="1"/>
    <col min="8445" max="8445" width="22.81640625" style="321" customWidth="1"/>
    <col min="8446" max="8446" width="7.1796875" style="321" customWidth="1"/>
    <col min="8447" max="8447" width="9" style="321" hidden="1" customWidth="1"/>
    <col min="8448" max="8448" width="8.81640625" style="321" customWidth="1"/>
    <col min="8449" max="8449" width="9.81640625" style="321" customWidth="1"/>
    <col min="8450" max="8450" width="10.54296875" style="321" customWidth="1"/>
    <col min="8451" max="8451" width="12.1796875" style="321" customWidth="1"/>
    <col min="8452" max="8452" width="11.1796875" style="321" customWidth="1"/>
    <col min="8453" max="8453" width="6.81640625" style="321" customWidth="1"/>
    <col min="8454" max="8693" width="30.54296875" style="321" customWidth="1"/>
    <col min="8694" max="8694" width="6.54296875" style="321" customWidth="1"/>
    <col min="8695" max="8695" width="7.54296875" style="321" customWidth="1"/>
    <col min="8696" max="8696" width="4.81640625" style="321" customWidth="1"/>
    <col min="8697" max="8697" width="11.81640625" style="321" customWidth="1"/>
    <col min="8698" max="8698" width="9.81640625" style="321" customWidth="1"/>
    <col min="8699" max="8699" width="3" style="321" customWidth="1"/>
    <col min="8700" max="8700" width="7.1796875" style="321" customWidth="1"/>
    <col min="8701" max="8701" width="22.81640625" style="321" customWidth="1"/>
    <col min="8702" max="8702" width="7.1796875" style="321" customWidth="1"/>
    <col min="8703" max="8703" width="9" style="321" hidden="1" customWidth="1"/>
    <col min="8704" max="8704" width="8.81640625" style="321" customWidth="1"/>
    <col min="8705" max="8705" width="9.81640625" style="321" customWidth="1"/>
    <col min="8706" max="8706" width="10.54296875" style="321" customWidth="1"/>
    <col min="8707" max="8707" width="12.1796875" style="321" customWidth="1"/>
    <col min="8708" max="8708" width="11.1796875" style="321" customWidth="1"/>
    <col min="8709" max="8709" width="6.81640625" style="321" customWidth="1"/>
    <col min="8710" max="8949" width="30.54296875" style="321" customWidth="1"/>
    <col min="8950" max="8950" width="6.54296875" style="321" customWidth="1"/>
    <col min="8951" max="8951" width="7.54296875" style="321" customWidth="1"/>
    <col min="8952" max="8952" width="4.81640625" style="321" customWidth="1"/>
    <col min="8953" max="8953" width="11.81640625" style="321" customWidth="1"/>
    <col min="8954" max="8954" width="9.81640625" style="321" customWidth="1"/>
    <col min="8955" max="8955" width="3" style="321" customWidth="1"/>
    <col min="8956" max="8956" width="7.1796875" style="321" customWidth="1"/>
    <col min="8957" max="8957" width="22.81640625" style="321" customWidth="1"/>
    <col min="8958" max="8958" width="7.1796875" style="321" customWidth="1"/>
    <col min="8959" max="8959" width="9" style="321" hidden="1" customWidth="1"/>
    <col min="8960" max="8960" width="8.81640625" style="321" customWidth="1"/>
    <col min="8961" max="8961" width="9.81640625" style="321" customWidth="1"/>
    <col min="8962" max="8962" width="10.54296875" style="321" customWidth="1"/>
    <col min="8963" max="8963" width="12.1796875" style="321" customWidth="1"/>
    <col min="8964" max="8964" width="11.1796875" style="321" customWidth="1"/>
    <col min="8965" max="8965" width="6.81640625" style="321" customWidth="1"/>
    <col min="8966" max="9205" width="30.54296875" style="321" customWidth="1"/>
    <col min="9206" max="9206" width="6.54296875" style="321" customWidth="1"/>
    <col min="9207" max="9207" width="7.54296875" style="321" customWidth="1"/>
    <col min="9208" max="9208" width="4.81640625" style="321" customWidth="1"/>
    <col min="9209" max="9209" width="11.81640625" style="321" customWidth="1"/>
    <col min="9210" max="9210" width="9.81640625" style="321" customWidth="1"/>
    <col min="9211" max="9211" width="3" style="321" customWidth="1"/>
    <col min="9212" max="9212" width="7.1796875" style="321" customWidth="1"/>
    <col min="9213" max="9213" width="22.81640625" style="321" customWidth="1"/>
    <col min="9214" max="9214" width="7.1796875" style="321" customWidth="1"/>
    <col min="9215" max="9215" width="9" style="321" hidden="1" customWidth="1"/>
    <col min="9216" max="9216" width="8.81640625" style="321" customWidth="1"/>
    <col min="9217" max="9217" width="9.81640625" style="321" customWidth="1"/>
    <col min="9218" max="9218" width="10.54296875" style="321" customWidth="1"/>
    <col min="9219" max="9219" width="12.1796875" style="321" customWidth="1"/>
    <col min="9220" max="9220" width="11.1796875" style="321" customWidth="1"/>
    <col min="9221" max="9221" width="6.81640625" style="321" customWidth="1"/>
    <col min="9222" max="9461" width="30.54296875" style="321" customWidth="1"/>
    <col min="9462" max="9462" width="6.54296875" style="321" customWidth="1"/>
    <col min="9463" max="9463" width="7.54296875" style="321" customWidth="1"/>
    <col min="9464" max="9464" width="4.81640625" style="321" customWidth="1"/>
    <col min="9465" max="9465" width="11.81640625" style="321" customWidth="1"/>
    <col min="9466" max="9466" width="9.81640625" style="321" customWidth="1"/>
    <col min="9467" max="9467" width="3" style="321" customWidth="1"/>
    <col min="9468" max="9468" width="7.1796875" style="321" customWidth="1"/>
    <col min="9469" max="9469" width="22.81640625" style="321" customWidth="1"/>
    <col min="9470" max="9470" width="7.1796875" style="321" customWidth="1"/>
    <col min="9471" max="9471" width="9" style="321" hidden="1" customWidth="1"/>
    <col min="9472" max="9472" width="8.81640625" style="321" customWidth="1"/>
    <col min="9473" max="9473" width="9.81640625" style="321" customWidth="1"/>
    <col min="9474" max="9474" width="10.54296875" style="321" customWidth="1"/>
    <col min="9475" max="9475" width="12.1796875" style="321" customWidth="1"/>
    <col min="9476" max="9476" width="11.1796875" style="321" customWidth="1"/>
    <col min="9477" max="9477" width="6.81640625" style="321" customWidth="1"/>
    <col min="9478" max="9717" width="30.54296875" style="321" customWidth="1"/>
    <col min="9718" max="9718" width="6.54296875" style="321" customWidth="1"/>
    <col min="9719" max="9719" width="7.54296875" style="321" customWidth="1"/>
    <col min="9720" max="9720" width="4.81640625" style="321" customWidth="1"/>
    <col min="9721" max="9721" width="11.81640625" style="321" customWidth="1"/>
    <col min="9722" max="9722" width="9.81640625" style="321" customWidth="1"/>
    <col min="9723" max="9723" width="3" style="321" customWidth="1"/>
    <col min="9724" max="9724" width="7.1796875" style="321" customWidth="1"/>
    <col min="9725" max="9725" width="22.81640625" style="321" customWidth="1"/>
    <col min="9726" max="9726" width="7.1796875" style="321" customWidth="1"/>
    <col min="9727" max="9727" width="9" style="321" hidden="1" customWidth="1"/>
    <col min="9728" max="9728" width="8.81640625" style="321" customWidth="1"/>
    <col min="9729" max="9729" width="9.81640625" style="321" customWidth="1"/>
    <col min="9730" max="9730" width="10.54296875" style="321" customWidth="1"/>
    <col min="9731" max="9731" width="12.1796875" style="321" customWidth="1"/>
    <col min="9732" max="9732" width="11.1796875" style="321" customWidth="1"/>
    <col min="9733" max="9733" width="6.81640625" style="321" customWidth="1"/>
    <col min="9734" max="9973" width="30.54296875" style="321" customWidth="1"/>
    <col min="9974" max="9974" width="6.54296875" style="321" customWidth="1"/>
    <col min="9975" max="9975" width="7.54296875" style="321" customWidth="1"/>
    <col min="9976" max="9976" width="4.81640625" style="321" customWidth="1"/>
    <col min="9977" max="9977" width="11.81640625" style="321" customWidth="1"/>
    <col min="9978" max="9978" width="9.81640625" style="321" customWidth="1"/>
    <col min="9979" max="9979" width="3" style="321" customWidth="1"/>
    <col min="9980" max="9980" width="7.1796875" style="321" customWidth="1"/>
    <col min="9981" max="9981" width="22.81640625" style="321" customWidth="1"/>
    <col min="9982" max="9982" width="7.1796875" style="321" customWidth="1"/>
    <col min="9983" max="9983" width="9" style="321" hidden="1" customWidth="1"/>
    <col min="9984" max="9984" width="8.81640625" style="321" customWidth="1"/>
    <col min="9985" max="9985" width="9.81640625" style="321" customWidth="1"/>
    <col min="9986" max="9986" width="10.54296875" style="321" customWidth="1"/>
    <col min="9987" max="9987" width="12.1796875" style="321" customWidth="1"/>
    <col min="9988" max="9988" width="11.1796875" style="321" customWidth="1"/>
    <col min="9989" max="9989" width="6.81640625" style="321" customWidth="1"/>
    <col min="9990" max="10229" width="30.54296875" style="321" customWidth="1"/>
    <col min="10230" max="10230" width="6.54296875" style="321" customWidth="1"/>
    <col min="10231" max="10231" width="7.54296875" style="321" customWidth="1"/>
    <col min="10232" max="10232" width="4.81640625" style="321" customWidth="1"/>
    <col min="10233" max="10233" width="11.81640625" style="321" customWidth="1"/>
    <col min="10234" max="10234" width="9.81640625" style="321" customWidth="1"/>
    <col min="10235" max="10235" width="3" style="321" customWidth="1"/>
    <col min="10236" max="10236" width="7.1796875" style="321" customWidth="1"/>
    <col min="10237" max="10237" width="22.81640625" style="321" customWidth="1"/>
    <col min="10238" max="10238" width="7.1796875" style="321" customWidth="1"/>
    <col min="10239" max="10239" width="9" style="321" hidden="1" customWidth="1"/>
    <col min="10240" max="10240" width="8.81640625" style="321" customWidth="1"/>
    <col min="10241" max="10241" width="9.81640625" style="321" customWidth="1"/>
    <col min="10242" max="10242" width="10.54296875" style="321" customWidth="1"/>
    <col min="10243" max="10243" width="12.1796875" style="321" customWidth="1"/>
    <col min="10244" max="10244" width="11.1796875" style="321" customWidth="1"/>
    <col min="10245" max="10245" width="6.81640625" style="321" customWidth="1"/>
    <col min="10246" max="10485" width="30.54296875" style="321" customWidth="1"/>
    <col min="10486" max="10486" width="6.54296875" style="321" customWidth="1"/>
    <col min="10487" max="10487" width="7.54296875" style="321" customWidth="1"/>
    <col min="10488" max="10488" width="4.81640625" style="321" customWidth="1"/>
    <col min="10489" max="10489" width="11.81640625" style="321" customWidth="1"/>
    <col min="10490" max="10490" width="9.81640625" style="321" customWidth="1"/>
    <col min="10491" max="10491" width="3" style="321" customWidth="1"/>
    <col min="10492" max="10492" width="7.1796875" style="321" customWidth="1"/>
    <col min="10493" max="10493" width="22.81640625" style="321" customWidth="1"/>
    <col min="10494" max="10494" width="7.1796875" style="321" customWidth="1"/>
    <col min="10495" max="10495" width="9" style="321" hidden="1" customWidth="1"/>
    <col min="10496" max="10496" width="8.81640625" style="321" customWidth="1"/>
    <col min="10497" max="10497" width="9.81640625" style="321" customWidth="1"/>
    <col min="10498" max="10498" width="10.54296875" style="321" customWidth="1"/>
    <col min="10499" max="10499" width="12.1796875" style="321" customWidth="1"/>
    <col min="10500" max="10500" width="11.1796875" style="321" customWidth="1"/>
    <col min="10501" max="10501" width="6.81640625" style="321" customWidth="1"/>
    <col min="10502" max="10741" width="30.54296875" style="321" customWidth="1"/>
    <col min="10742" max="10742" width="6.54296875" style="321" customWidth="1"/>
    <col min="10743" max="10743" width="7.54296875" style="321" customWidth="1"/>
    <col min="10744" max="10744" width="4.81640625" style="321" customWidth="1"/>
    <col min="10745" max="10745" width="11.81640625" style="321" customWidth="1"/>
    <col min="10746" max="10746" width="9.81640625" style="321" customWidth="1"/>
    <col min="10747" max="10747" width="3" style="321" customWidth="1"/>
    <col min="10748" max="10748" width="7.1796875" style="321" customWidth="1"/>
    <col min="10749" max="10749" width="22.81640625" style="321" customWidth="1"/>
    <col min="10750" max="10750" width="7.1796875" style="321" customWidth="1"/>
    <col min="10751" max="10751" width="9" style="321" hidden="1" customWidth="1"/>
    <col min="10752" max="10752" width="8.81640625" style="321" customWidth="1"/>
    <col min="10753" max="10753" width="9.81640625" style="321" customWidth="1"/>
    <col min="10754" max="10754" width="10.54296875" style="321" customWidth="1"/>
    <col min="10755" max="10755" width="12.1796875" style="321" customWidth="1"/>
    <col min="10756" max="10756" width="11.1796875" style="321" customWidth="1"/>
    <col min="10757" max="10757" width="6.81640625" style="321" customWidth="1"/>
    <col min="10758" max="10997" width="30.54296875" style="321" customWidth="1"/>
    <col min="10998" max="10998" width="6.54296875" style="321" customWidth="1"/>
    <col min="10999" max="10999" width="7.54296875" style="321" customWidth="1"/>
    <col min="11000" max="11000" width="4.81640625" style="321" customWidth="1"/>
    <col min="11001" max="11001" width="11.81640625" style="321" customWidth="1"/>
    <col min="11002" max="11002" width="9.81640625" style="321" customWidth="1"/>
    <col min="11003" max="11003" width="3" style="321" customWidth="1"/>
    <col min="11004" max="11004" width="7.1796875" style="321" customWidth="1"/>
    <col min="11005" max="11005" width="22.81640625" style="321" customWidth="1"/>
    <col min="11006" max="11006" width="7.1796875" style="321" customWidth="1"/>
    <col min="11007" max="11007" width="9" style="321" hidden="1" customWidth="1"/>
    <col min="11008" max="11008" width="8.81640625" style="321" customWidth="1"/>
    <col min="11009" max="11009" width="9.81640625" style="321" customWidth="1"/>
    <col min="11010" max="11010" width="10.54296875" style="321" customWidth="1"/>
    <col min="11011" max="11011" width="12.1796875" style="321" customWidth="1"/>
    <col min="11012" max="11012" width="11.1796875" style="321" customWidth="1"/>
    <col min="11013" max="11013" width="6.81640625" style="321" customWidth="1"/>
    <col min="11014" max="11253" width="30.54296875" style="321" customWidth="1"/>
    <col min="11254" max="11254" width="6.54296875" style="321" customWidth="1"/>
    <col min="11255" max="11255" width="7.54296875" style="321" customWidth="1"/>
    <col min="11256" max="11256" width="4.81640625" style="321" customWidth="1"/>
    <col min="11257" max="11257" width="11.81640625" style="321" customWidth="1"/>
    <col min="11258" max="11258" width="9.81640625" style="321" customWidth="1"/>
    <col min="11259" max="11259" width="3" style="321" customWidth="1"/>
    <col min="11260" max="11260" width="7.1796875" style="321" customWidth="1"/>
    <col min="11261" max="11261" width="22.81640625" style="321" customWidth="1"/>
    <col min="11262" max="11262" width="7.1796875" style="321" customWidth="1"/>
    <col min="11263" max="11263" width="9" style="321" hidden="1" customWidth="1"/>
    <col min="11264" max="11264" width="8.81640625" style="321" customWidth="1"/>
    <col min="11265" max="11265" width="9.81640625" style="321" customWidth="1"/>
    <col min="11266" max="11266" width="10.54296875" style="321" customWidth="1"/>
    <col min="11267" max="11267" width="12.1796875" style="321" customWidth="1"/>
    <col min="11268" max="11268" width="11.1796875" style="321" customWidth="1"/>
    <col min="11269" max="11269" width="6.81640625" style="321" customWidth="1"/>
    <col min="11270" max="11509" width="30.54296875" style="321" customWidth="1"/>
    <col min="11510" max="11510" width="6.54296875" style="321" customWidth="1"/>
    <col min="11511" max="11511" width="7.54296875" style="321" customWidth="1"/>
    <col min="11512" max="11512" width="4.81640625" style="321" customWidth="1"/>
    <col min="11513" max="11513" width="11.81640625" style="321" customWidth="1"/>
    <col min="11514" max="11514" width="9.81640625" style="321" customWidth="1"/>
    <col min="11515" max="11515" width="3" style="321" customWidth="1"/>
    <col min="11516" max="11516" width="7.1796875" style="321" customWidth="1"/>
    <col min="11517" max="11517" width="22.81640625" style="321" customWidth="1"/>
    <col min="11518" max="11518" width="7.1796875" style="321" customWidth="1"/>
    <col min="11519" max="11519" width="9" style="321" hidden="1" customWidth="1"/>
    <col min="11520" max="11520" width="8.81640625" style="321" customWidth="1"/>
    <col min="11521" max="11521" width="9.81640625" style="321" customWidth="1"/>
    <col min="11522" max="11522" width="10.54296875" style="321" customWidth="1"/>
    <col min="11523" max="11523" width="12.1796875" style="321" customWidth="1"/>
    <col min="11524" max="11524" width="11.1796875" style="321" customWidth="1"/>
    <col min="11525" max="11525" width="6.81640625" style="321" customWidth="1"/>
    <col min="11526" max="11765" width="30.54296875" style="321" customWidth="1"/>
    <col min="11766" max="11766" width="6.54296875" style="321" customWidth="1"/>
    <col min="11767" max="11767" width="7.54296875" style="321" customWidth="1"/>
    <col min="11768" max="11768" width="4.81640625" style="321" customWidth="1"/>
    <col min="11769" max="11769" width="11.81640625" style="321" customWidth="1"/>
    <col min="11770" max="11770" width="9.81640625" style="321" customWidth="1"/>
    <col min="11771" max="11771" width="3" style="321" customWidth="1"/>
    <col min="11772" max="11772" width="7.1796875" style="321" customWidth="1"/>
    <col min="11773" max="11773" width="22.81640625" style="321" customWidth="1"/>
    <col min="11774" max="11774" width="7.1796875" style="321" customWidth="1"/>
    <col min="11775" max="11775" width="9" style="321" hidden="1" customWidth="1"/>
    <col min="11776" max="11776" width="8.81640625" style="321" customWidth="1"/>
    <col min="11777" max="11777" width="9.81640625" style="321" customWidth="1"/>
    <col min="11778" max="11778" width="10.54296875" style="321" customWidth="1"/>
    <col min="11779" max="11779" width="12.1796875" style="321" customWidth="1"/>
    <col min="11780" max="11780" width="11.1796875" style="321" customWidth="1"/>
    <col min="11781" max="11781" width="6.81640625" style="321" customWidth="1"/>
    <col min="11782" max="12021" width="30.54296875" style="321" customWidth="1"/>
    <col min="12022" max="12022" width="6.54296875" style="321" customWidth="1"/>
    <col min="12023" max="12023" width="7.54296875" style="321" customWidth="1"/>
    <col min="12024" max="12024" width="4.81640625" style="321" customWidth="1"/>
    <col min="12025" max="12025" width="11.81640625" style="321" customWidth="1"/>
    <col min="12026" max="12026" width="9.81640625" style="321" customWidth="1"/>
    <col min="12027" max="12027" width="3" style="321" customWidth="1"/>
    <col min="12028" max="12028" width="7.1796875" style="321" customWidth="1"/>
    <col min="12029" max="12029" width="22.81640625" style="321" customWidth="1"/>
    <col min="12030" max="12030" width="7.1796875" style="321" customWidth="1"/>
    <col min="12031" max="12031" width="9" style="321" hidden="1" customWidth="1"/>
    <col min="12032" max="12032" width="8.81640625" style="321" customWidth="1"/>
    <col min="12033" max="12033" width="9.81640625" style="321" customWidth="1"/>
    <col min="12034" max="12034" width="10.54296875" style="321" customWidth="1"/>
    <col min="12035" max="12035" width="12.1796875" style="321" customWidth="1"/>
    <col min="12036" max="12036" width="11.1796875" style="321" customWidth="1"/>
    <col min="12037" max="12037" width="6.81640625" style="321" customWidth="1"/>
    <col min="12038" max="12277" width="30.54296875" style="321" customWidth="1"/>
    <col min="12278" max="12278" width="6.54296875" style="321" customWidth="1"/>
    <col min="12279" max="12279" width="7.54296875" style="321" customWidth="1"/>
    <col min="12280" max="12280" width="4.81640625" style="321" customWidth="1"/>
    <col min="12281" max="12281" width="11.81640625" style="321" customWidth="1"/>
    <col min="12282" max="12282" width="9.81640625" style="321" customWidth="1"/>
    <col min="12283" max="12283" width="3" style="321" customWidth="1"/>
    <col min="12284" max="12284" width="7.1796875" style="321" customWidth="1"/>
    <col min="12285" max="12285" width="22.81640625" style="321" customWidth="1"/>
    <col min="12286" max="12286" width="7.1796875" style="321" customWidth="1"/>
    <col min="12287" max="12287" width="9" style="321" hidden="1" customWidth="1"/>
    <col min="12288" max="12288" width="8.81640625" style="321" customWidth="1"/>
    <col min="12289" max="12289" width="9.81640625" style="321" customWidth="1"/>
    <col min="12290" max="12290" width="10.54296875" style="321" customWidth="1"/>
    <col min="12291" max="12291" width="12.1796875" style="321" customWidth="1"/>
    <col min="12292" max="12292" width="11.1796875" style="321" customWidth="1"/>
    <col min="12293" max="12293" width="6.81640625" style="321" customWidth="1"/>
    <col min="12294" max="12533" width="30.54296875" style="321" customWidth="1"/>
    <col min="12534" max="12534" width="6.54296875" style="321" customWidth="1"/>
    <col min="12535" max="12535" width="7.54296875" style="321" customWidth="1"/>
    <col min="12536" max="12536" width="4.81640625" style="321" customWidth="1"/>
    <col min="12537" max="12537" width="11.81640625" style="321" customWidth="1"/>
    <col min="12538" max="12538" width="9.81640625" style="321" customWidth="1"/>
    <col min="12539" max="12539" width="3" style="321" customWidth="1"/>
    <col min="12540" max="12540" width="7.1796875" style="321" customWidth="1"/>
    <col min="12541" max="12541" width="22.81640625" style="321" customWidth="1"/>
    <col min="12542" max="12542" width="7.1796875" style="321" customWidth="1"/>
    <col min="12543" max="12543" width="9" style="321" hidden="1" customWidth="1"/>
    <col min="12544" max="12544" width="8.81640625" style="321" customWidth="1"/>
    <col min="12545" max="12545" width="9.81640625" style="321" customWidth="1"/>
    <col min="12546" max="12546" width="10.54296875" style="321" customWidth="1"/>
    <col min="12547" max="12547" width="12.1796875" style="321" customWidth="1"/>
    <col min="12548" max="12548" width="11.1796875" style="321" customWidth="1"/>
    <col min="12549" max="12549" width="6.81640625" style="321" customWidth="1"/>
    <col min="12550" max="12789" width="30.54296875" style="321" customWidth="1"/>
    <col min="12790" max="12790" width="6.54296875" style="321" customWidth="1"/>
    <col min="12791" max="12791" width="7.54296875" style="321" customWidth="1"/>
    <col min="12792" max="12792" width="4.81640625" style="321" customWidth="1"/>
    <col min="12793" max="12793" width="11.81640625" style="321" customWidth="1"/>
    <col min="12794" max="12794" width="9.81640625" style="321" customWidth="1"/>
    <col min="12795" max="12795" width="3" style="321" customWidth="1"/>
    <col min="12796" max="12796" width="7.1796875" style="321" customWidth="1"/>
    <col min="12797" max="12797" width="22.81640625" style="321" customWidth="1"/>
    <col min="12798" max="12798" width="7.1796875" style="321" customWidth="1"/>
    <col min="12799" max="12799" width="9" style="321" hidden="1" customWidth="1"/>
    <col min="12800" max="12800" width="8.81640625" style="321" customWidth="1"/>
    <col min="12801" max="12801" width="9.81640625" style="321" customWidth="1"/>
    <col min="12802" max="12802" width="10.54296875" style="321" customWidth="1"/>
    <col min="12803" max="12803" width="12.1796875" style="321" customWidth="1"/>
    <col min="12804" max="12804" width="11.1796875" style="321" customWidth="1"/>
    <col min="12805" max="12805" width="6.81640625" style="321" customWidth="1"/>
    <col min="12806" max="13045" width="30.54296875" style="321" customWidth="1"/>
    <col min="13046" max="13046" width="6.54296875" style="321" customWidth="1"/>
    <col min="13047" max="13047" width="7.54296875" style="321" customWidth="1"/>
    <col min="13048" max="13048" width="4.81640625" style="321" customWidth="1"/>
    <col min="13049" max="13049" width="11.81640625" style="321" customWidth="1"/>
    <col min="13050" max="13050" width="9.81640625" style="321" customWidth="1"/>
    <col min="13051" max="13051" width="3" style="321" customWidth="1"/>
    <col min="13052" max="13052" width="7.1796875" style="321" customWidth="1"/>
    <col min="13053" max="13053" width="22.81640625" style="321" customWidth="1"/>
    <col min="13054" max="13054" width="7.1796875" style="321" customWidth="1"/>
    <col min="13055" max="13055" width="9" style="321" hidden="1" customWidth="1"/>
    <col min="13056" max="13056" width="8.81640625" style="321" customWidth="1"/>
    <col min="13057" max="13057" width="9.81640625" style="321" customWidth="1"/>
    <col min="13058" max="13058" width="10.54296875" style="321" customWidth="1"/>
    <col min="13059" max="13059" width="12.1796875" style="321" customWidth="1"/>
    <col min="13060" max="13060" width="11.1796875" style="321" customWidth="1"/>
    <col min="13061" max="13061" width="6.81640625" style="321" customWidth="1"/>
    <col min="13062" max="13301" width="30.54296875" style="321" customWidth="1"/>
    <col min="13302" max="13302" width="6.54296875" style="321" customWidth="1"/>
    <col min="13303" max="13303" width="7.54296875" style="321" customWidth="1"/>
    <col min="13304" max="13304" width="4.81640625" style="321" customWidth="1"/>
    <col min="13305" max="13305" width="11.81640625" style="321" customWidth="1"/>
    <col min="13306" max="13306" width="9.81640625" style="321" customWidth="1"/>
    <col min="13307" max="13307" width="3" style="321" customWidth="1"/>
    <col min="13308" max="13308" width="7.1796875" style="321" customWidth="1"/>
    <col min="13309" max="13309" width="22.81640625" style="321" customWidth="1"/>
    <col min="13310" max="13310" width="7.1796875" style="321" customWidth="1"/>
    <col min="13311" max="13311" width="9" style="321" hidden="1" customWidth="1"/>
    <col min="13312" max="13312" width="8.81640625" style="321" customWidth="1"/>
    <col min="13313" max="13313" width="9.81640625" style="321" customWidth="1"/>
    <col min="13314" max="13314" width="10.54296875" style="321" customWidth="1"/>
    <col min="13315" max="13315" width="12.1796875" style="321" customWidth="1"/>
    <col min="13316" max="13316" width="11.1796875" style="321" customWidth="1"/>
    <col min="13317" max="13317" width="6.81640625" style="321" customWidth="1"/>
    <col min="13318" max="13557" width="30.54296875" style="321" customWidth="1"/>
    <col min="13558" max="13558" width="6.54296875" style="321" customWidth="1"/>
    <col min="13559" max="13559" width="7.54296875" style="321" customWidth="1"/>
    <col min="13560" max="13560" width="4.81640625" style="321" customWidth="1"/>
    <col min="13561" max="13561" width="11.81640625" style="321" customWidth="1"/>
    <col min="13562" max="13562" width="9.81640625" style="321" customWidth="1"/>
    <col min="13563" max="13563" width="3" style="321" customWidth="1"/>
    <col min="13564" max="13564" width="7.1796875" style="321" customWidth="1"/>
    <col min="13565" max="13565" width="22.81640625" style="321" customWidth="1"/>
    <col min="13566" max="13566" width="7.1796875" style="321" customWidth="1"/>
    <col min="13567" max="13567" width="9" style="321" hidden="1" customWidth="1"/>
    <col min="13568" max="13568" width="8.81640625" style="321" customWidth="1"/>
    <col min="13569" max="13569" width="9.81640625" style="321" customWidth="1"/>
    <col min="13570" max="13570" width="10.54296875" style="321" customWidth="1"/>
    <col min="13571" max="13571" width="12.1796875" style="321" customWidth="1"/>
    <col min="13572" max="13572" width="11.1796875" style="321" customWidth="1"/>
    <col min="13573" max="13573" width="6.81640625" style="321" customWidth="1"/>
    <col min="13574" max="13813" width="30.54296875" style="321" customWidth="1"/>
    <col min="13814" max="13814" width="6.54296875" style="321" customWidth="1"/>
    <col min="13815" max="13815" width="7.54296875" style="321" customWidth="1"/>
    <col min="13816" max="13816" width="4.81640625" style="321" customWidth="1"/>
    <col min="13817" max="13817" width="11.81640625" style="321" customWidth="1"/>
    <col min="13818" max="13818" width="9.81640625" style="321" customWidth="1"/>
    <col min="13819" max="13819" width="3" style="321" customWidth="1"/>
    <col min="13820" max="13820" width="7.1796875" style="321" customWidth="1"/>
    <col min="13821" max="13821" width="22.81640625" style="321" customWidth="1"/>
    <col min="13822" max="13822" width="7.1796875" style="321" customWidth="1"/>
    <col min="13823" max="13823" width="9" style="321" hidden="1" customWidth="1"/>
    <col min="13824" max="13824" width="8.81640625" style="321" customWidth="1"/>
    <col min="13825" max="13825" width="9.81640625" style="321" customWidth="1"/>
    <col min="13826" max="13826" width="10.54296875" style="321" customWidth="1"/>
    <col min="13827" max="13827" width="12.1796875" style="321" customWidth="1"/>
    <col min="13828" max="13828" width="11.1796875" style="321" customWidth="1"/>
    <col min="13829" max="13829" width="6.81640625" style="321" customWidth="1"/>
    <col min="13830" max="14069" width="30.54296875" style="321" customWidth="1"/>
    <col min="14070" max="14070" width="6.54296875" style="321" customWidth="1"/>
    <col min="14071" max="14071" width="7.54296875" style="321" customWidth="1"/>
    <col min="14072" max="14072" width="4.81640625" style="321" customWidth="1"/>
    <col min="14073" max="14073" width="11.81640625" style="321" customWidth="1"/>
    <col min="14074" max="14074" width="9.81640625" style="321" customWidth="1"/>
    <col min="14075" max="14075" width="3" style="321" customWidth="1"/>
    <col min="14076" max="14076" width="7.1796875" style="321" customWidth="1"/>
    <col min="14077" max="14077" width="22.81640625" style="321" customWidth="1"/>
    <col min="14078" max="14078" width="7.1796875" style="321" customWidth="1"/>
    <col min="14079" max="14079" width="9" style="321" hidden="1" customWidth="1"/>
    <col min="14080" max="14080" width="8.81640625" style="321" customWidth="1"/>
    <col min="14081" max="14081" width="9.81640625" style="321" customWidth="1"/>
    <col min="14082" max="14082" width="10.54296875" style="321" customWidth="1"/>
    <col min="14083" max="14083" width="12.1796875" style="321" customWidth="1"/>
    <col min="14084" max="14084" width="11.1796875" style="321" customWidth="1"/>
    <col min="14085" max="14085" width="6.81640625" style="321" customWidth="1"/>
    <col min="14086" max="14325" width="30.54296875" style="321" customWidth="1"/>
    <col min="14326" max="14326" width="6.54296875" style="321" customWidth="1"/>
    <col min="14327" max="14327" width="7.54296875" style="321" customWidth="1"/>
    <col min="14328" max="14328" width="4.81640625" style="321" customWidth="1"/>
    <col min="14329" max="14329" width="11.81640625" style="321" customWidth="1"/>
    <col min="14330" max="14330" width="9.81640625" style="321" customWidth="1"/>
    <col min="14331" max="14331" width="3" style="321" customWidth="1"/>
    <col min="14332" max="14332" width="7.1796875" style="321" customWidth="1"/>
    <col min="14333" max="14333" width="22.81640625" style="321" customWidth="1"/>
    <col min="14334" max="14334" width="7.1796875" style="321" customWidth="1"/>
    <col min="14335" max="14335" width="9" style="321" hidden="1" customWidth="1"/>
    <col min="14336" max="14336" width="8.81640625" style="321" customWidth="1"/>
    <col min="14337" max="14337" width="9.81640625" style="321" customWidth="1"/>
    <col min="14338" max="14338" width="10.54296875" style="321" customWidth="1"/>
    <col min="14339" max="14339" width="12.1796875" style="321" customWidth="1"/>
    <col min="14340" max="14340" width="11.1796875" style="321" customWidth="1"/>
    <col min="14341" max="14341" width="6.81640625" style="321" customWidth="1"/>
    <col min="14342" max="14581" width="30.54296875" style="321" customWidth="1"/>
    <col min="14582" max="14582" width="6.54296875" style="321" customWidth="1"/>
    <col min="14583" max="14583" width="7.54296875" style="321" customWidth="1"/>
    <col min="14584" max="14584" width="4.81640625" style="321" customWidth="1"/>
    <col min="14585" max="14585" width="11.81640625" style="321" customWidth="1"/>
    <col min="14586" max="14586" width="9.81640625" style="321" customWidth="1"/>
    <col min="14587" max="14587" width="3" style="321" customWidth="1"/>
    <col min="14588" max="14588" width="7.1796875" style="321" customWidth="1"/>
    <col min="14589" max="14589" width="22.81640625" style="321" customWidth="1"/>
    <col min="14590" max="14590" width="7.1796875" style="321" customWidth="1"/>
    <col min="14591" max="14591" width="9" style="321" hidden="1" customWidth="1"/>
    <col min="14592" max="14592" width="8.81640625" style="321" customWidth="1"/>
    <col min="14593" max="14593" width="9.81640625" style="321" customWidth="1"/>
    <col min="14594" max="14594" width="10.54296875" style="321" customWidth="1"/>
    <col min="14595" max="14595" width="12.1796875" style="321" customWidth="1"/>
    <col min="14596" max="14596" width="11.1796875" style="321" customWidth="1"/>
    <col min="14597" max="14597" width="6.81640625" style="321" customWidth="1"/>
    <col min="14598" max="14837" width="30.54296875" style="321" customWidth="1"/>
    <col min="14838" max="14838" width="6.54296875" style="321" customWidth="1"/>
    <col min="14839" max="14839" width="7.54296875" style="321" customWidth="1"/>
    <col min="14840" max="14840" width="4.81640625" style="321" customWidth="1"/>
    <col min="14841" max="14841" width="11.81640625" style="321" customWidth="1"/>
    <col min="14842" max="14842" width="9.81640625" style="321" customWidth="1"/>
    <col min="14843" max="14843" width="3" style="321" customWidth="1"/>
    <col min="14844" max="14844" width="7.1796875" style="321" customWidth="1"/>
    <col min="14845" max="14845" width="22.81640625" style="321" customWidth="1"/>
    <col min="14846" max="14846" width="7.1796875" style="321" customWidth="1"/>
    <col min="14847" max="14847" width="9" style="321" hidden="1" customWidth="1"/>
    <col min="14848" max="14848" width="8.81640625" style="321" customWidth="1"/>
    <col min="14849" max="14849" width="9.81640625" style="321" customWidth="1"/>
    <col min="14850" max="14850" width="10.54296875" style="321" customWidth="1"/>
    <col min="14851" max="14851" width="12.1796875" style="321" customWidth="1"/>
    <col min="14852" max="14852" width="11.1796875" style="321" customWidth="1"/>
    <col min="14853" max="14853" width="6.81640625" style="321" customWidth="1"/>
    <col min="14854" max="15093" width="30.54296875" style="321" customWidth="1"/>
    <col min="15094" max="15094" width="6.54296875" style="321" customWidth="1"/>
    <col min="15095" max="15095" width="7.54296875" style="321" customWidth="1"/>
    <col min="15096" max="15096" width="4.81640625" style="321" customWidth="1"/>
    <col min="15097" max="15097" width="11.81640625" style="321" customWidth="1"/>
    <col min="15098" max="15098" width="9.81640625" style="321" customWidth="1"/>
    <col min="15099" max="15099" width="3" style="321" customWidth="1"/>
    <col min="15100" max="15100" width="7.1796875" style="321" customWidth="1"/>
    <col min="15101" max="15101" width="22.81640625" style="321" customWidth="1"/>
    <col min="15102" max="15102" width="7.1796875" style="321" customWidth="1"/>
    <col min="15103" max="15103" width="9" style="321" hidden="1" customWidth="1"/>
    <col min="15104" max="15104" width="8.81640625" style="321" customWidth="1"/>
    <col min="15105" max="15105" width="9.81640625" style="321" customWidth="1"/>
    <col min="15106" max="15106" width="10.54296875" style="321" customWidth="1"/>
    <col min="15107" max="15107" width="12.1796875" style="321" customWidth="1"/>
    <col min="15108" max="15108" width="11.1796875" style="321" customWidth="1"/>
    <col min="15109" max="15109" width="6.81640625" style="321" customWidth="1"/>
    <col min="15110" max="15349" width="30.54296875" style="321" customWidth="1"/>
    <col min="15350" max="15350" width="6.54296875" style="321" customWidth="1"/>
    <col min="15351" max="15351" width="7.54296875" style="321" customWidth="1"/>
    <col min="15352" max="15352" width="4.81640625" style="321" customWidth="1"/>
    <col min="15353" max="15353" width="11.81640625" style="321" customWidth="1"/>
    <col min="15354" max="15354" width="9.81640625" style="321" customWidth="1"/>
    <col min="15355" max="15355" width="3" style="321" customWidth="1"/>
    <col min="15356" max="15356" width="7.1796875" style="321" customWidth="1"/>
    <col min="15357" max="15357" width="22.81640625" style="321" customWidth="1"/>
    <col min="15358" max="15358" width="7.1796875" style="321" customWidth="1"/>
    <col min="15359" max="15359" width="9" style="321" hidden="1" customWidth="1"/>
    <col min="15360" max="15360" width="8.81640625" style="321" customWidth="1"/>
    <col min="15361" max="15361" width="9.81640625" style="321" customWidth="1"/>
    <col min="15362" max="15362" width="10.54296875" style="321" customWidth="1"/>
    <col min="15363" max="15363" width="12.1796875" style="321" customWidth="1"/>
    <col min="15364" max="15364" width="11.1796875" style="321" customWidth="1"/>
    <col min="15365" max="15365" width="6.81640625" style="321" customWidth="1"/>
    <col min="15366" max="15605" width="30.54296875" style="321" customWidth="1"/>
    <col min="15606" max="15606" width="6.54296875" style="321" customWidth="1"/>
    <col min="15607" max="15607" width="7.54296875" style="321" customWidth="1"/>
    <col min="15608" max="15608" width="4.81640625" style="321" customWidth="1"/>
    <col min="15609" max="15609" width="11.81640625" style="321" customWidth="1"/>
    <col min="15610" max="15610" width="9.81640625" style="321" customWidth="1"/>
    <col min="15611" max="15611" width="3" style="321" customWidth="1"/>
    <col min="15612" max="15612" width="7.1796875" style="321" customWidth="1"/>
    <col min="15613" max="15613" width="22.81640625" style="321" customWidth="1"/>
    <col min="15614" max="15614" width="7.1796875" style="321" customWidth="1"/>
    <col min="15615" max="15615" width="9" style="321" hidden="1" customWidth="1"/>
    <col min="15616" max="15616" width="8.81640625" style="321" customWidth="1"/>
    <col min="15617" max="15617" width="9.81640625" style="321" customWidth="1"/>
    <col min="15618" max="15618" width="10.54296875" style="321" customWidth="1"/>
    <col min="15619" max="15619" width="12.1796875" style="321" customWidth="1"/>
    <col min="15620" max="15620" width="11.1796875" style="321" customWidth="1"/>
    <col min="15621" max="15621" width="6.81640625" style="321" customWidth="1"/>
    <col min="15622" max="15861" width="30.54296875" style="321" customWidth="1"/>
    <col min="15862" max="15862" width="6.54296875" style="321" customWidth="1"/>
    <col min="15863" max="15863" width="7.54296875" style="321" customWidth="1"/>
    <col min="15864" max="15864" width="4.81640625" style="321" customWidth="1"/>
    <col min="15865" max="15865" width="11.81640625" style="321" customWidth="1"/>
    <col min="15866" max="15866" width="9.81640625" style="321" customWidth="1"/>
    <col min="15867" max="15867" width="3" style="321" customWidth="1"/>
    <col min="15868" max="15868" width="7.1796875" style="321" customWidth="1"/>
    <col min="15869" max="15869" width="22.81640625" style="321" customWidth="1"/>
    <col min="15870" max="15870" width="7.1796875" style="321" customWidth="1"/>
    <col min="15871" max="15871" width="9" style="321" hidden="1" customWidth="1"/>
    <col min="15872" max="15872" width="8.81640625" style="321" customWidth="1"/>
    <col min="15873" max="15873" width="9.81640625" style="321" customWidth="1"/>
    <col min="15874" max="15874" width="10.54296875" style="321" customWidth="1"/>
    <col min="15875" max="15875" width="12.1796875" style="321" customWidth="1"/>
    <col min="15876" max="15876" width="11.1796875" style="321" customWidth="1"/>
    <col min="15877" max="15877" width="6.81640625" style="321" customWidth="1"/>
    <col min="15878" max="16117" width="30.54296875" style="321" customWidth="1"/>
    <col min="16118" max="16118" width="6.54296875" style="321" customWidth="1"/>
    <col min="16119" max="16119" width="7.54296875" style="321" customWidth="1"/>
    <col min="16120" max="16120" width="4.81640625" style="321" customWidth="1"/>
    <col min="16121" max="16121" width="11.81640625" style="321" customWidth="1"/>
    <col min="16122" max="16122" width="9.81640625" style="321" customWidth="1"/>
    <col min="16123" max="16123" width="3" style="321" customWidth="1"/>
    <col min="16124" max="16124" width="7.1796875" style="321" customWidth="1"/>
    <col min="16125" max="16125" width="22.81640625" style="321" customWidth="1"/>
    <col min="16126" max="16126" width="7.1796875" style="321" customWidth="1"/>
    <col min="16127" max="16127" width="9" style="321" hidden="1" customWidth="1"/>
    <col min="16128" max="16128" width="8.81640625" style="321" customWidth="1"/>
    <col min="16129" max="16129" width="9.81640625" style="321" customWidth="1"/>
    <col min="16130" max="16130" width="10.54296875" style="321" customWidth="1"/>
    <col min="16131" max="16131" width="12.1796875" style="321" customWidth="1"/>
    <col min="16132" max="16132" width="11.1796875" style="321" customWidth="1"/>
    <col min="16133" max="16133" width="6.81640625" style="321" customWidth="1"/>
    <col min="16134" max="16384" width="30.54296875" style="321" customWidth="1"/>
  </cols>
  <sheetData>
    <row r="1" spans="1:34" ht="15.5">
      <c r="A1" s="1366" t="s">
        <v>78</v>
      </c>
      <c r="B1" s="1367"/>
      <c r="C1" s="1367"/>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c r="AD1" s="1367"/>
      <c r="AE1" s="1367"/>
      <c r="AF1" s="1367"/>
      <c r="AG1" s="1367"/>
      <c r="AH1" s="1368"/>
    </row>
    <row r="2" spans="1:34" ht="15.5">
      <c r="A2" s="1369" t="s">
        <v>79</v>
      </c>
      <c r="B2" s="1370"/>
      <c r="C2" s="1370"/>
      <c r="D2" s="1370"/>
      <c r="E2" s="1370"/>
      <c r="F2" s="1370"/>
      <c r="G2" s="1370"/>
      <c r="H2" s="1370"/>
      <c r="I2" s="1370"/>
      <c r="J2" s="1370"/>
      <c r="K2" s="1370"/>
      <c r="L2" s="1370"/>
      <c r="M2" s="1370"/>
      <c r="N2" s="1370"/>
      <c r="O2" s="1370"/>
      <c r="P2" s="1370"/>
      <c r="Q2" s="1370"/>
      <c r="R2" s="1370"/>
      <c r="S2" s="1370"/>
      <c r="T2" s="1370"/>
      <c r="U2" s="1370"/>
      <c r="V2" s="1370"/>
      <c r="W2" s="1370"/>
      <c r="X2" s="1370"/>
      <c r="Y2" s="1370"/>
      <c r="Z2" s="1370"/>
      <c r="AA2" s="1370"/>
      <c r="AB2" s="1370"/>
      <c r="AC2" s="1370"/>
      <c r="AD2" s="1370"/>
      <c r="AE2" s="1370"/>
      <c r="AF2" s="1370"/>
      <c r="AG2" s="1370"/>
      <c r="AH2" s="1371"/>
    </row>
    <row r="3" spans="1:34" ht="15.5">
      <c r="A3" s="1369" t="s">
        <v>80</v>
      </c>
      <c r="B3" s="1370"/>
      <c r="C3" s="1370"/>
      <c r="D3" s="1370"/>
      <c r="E3" s="1370"/>
      <c r="F3" s="1370"/>
      <c r="G3" s="1370"/>
      <c r="H3" s="1370"/>
      <c r="I3" s="1370"/>
      <c r="J3" s="1370"/>
      <c r="K3" s="1370"/>
      <c r="L3" s="1370"/>
      <c r="M3" s="1370"/>
      <c r="N3" s="1370"/>
      <c r="O3" s="1370"/>
      <c r="P3" s="1370"/>
      <c r="Q3" s="1370"/>
      <c r="R3" s="1370"/>
      <c r="S3" s="1370"/>
      <c r="T3" s="1370"/>
      <c r="U3" s="1370"/>
      <c r="V3" s="1370"/>
      <c r="W3" s="1370"/>
      <c r="X3" s="1370"/>
      <c r="Y3" s="1370"/>
      <c r="Z3" s="1370"/>
      <c r="AA3" s="1370"/>
      <c r="AB3" s="1370"/>
      <c r="AC3" s="1370"/>
      <c r="AD3" s="1370"/>
      <c r="AE3" s="1370"/>
      <c r="AF3" s="1370"/>
      <c r="AG3" s="1370"/>
      <c r="AH3" s="1371"/>
    </row>
    <row r="5" spans="1:34" ht="14.5">
      <c r="A5" s="321" t="s">
        <v>218</v>
      </c>
      <c r="B5" s="321"/>
      <c r="E5" s="321"/>
      <c r="F5" s="321"/>
      <c r="G5" s="321"/>
      <c r="H5" s="321"/>
      <c r="I5" s="321"/>
      <c r="J5" s="321"/>
      <c r="N5" s="541">
        <f>SUBTOTAL(3,N9:N222)</f>
        <v>214</v>
      </c>
    </row>
    <row r="6" spans="1:34">
      <c r="A6" s="1447" t="s">
        <v>203</v>
      </c>
      <c r="B6" s="1447" t="s">
        <v>204</v>
      </c>
      <c r="C6" s="1449" t="s">
        <v>219</v>
      </c>
      <c r="D6" s="1403" t="s">
        <v>205</v>
      </c>
      <c r="E6" s="1404" t="s">
        <v>1049</v>
      </c>
      <c r="F6" s="1404" t="s">
        <v>1572</v>
      </c>
      <c r="G6" s="1404" t="s">
        <v>1180</v>
      </c>
      <c r="H6" s="1404" t="s">
        <v>1573</v>
      </c>
      <c r="I6" s="1404" t="s">
        <v>1574</v>
      </c>
      <c r="J6" s="1448" t="s">
        <v>220</v>
      </c>
      <c r="K6" s="1403" t="s">
        <v>221</v>
      </c>
      <c r="L6" s="1447"/>
      <c r="M6" s="1447"/>
      <c r="N6" s="1447"/>
      <c r="O6" s="1447"/>
    </row>
    <row r="7" spans="1:34" ht="26">
      <c r="A7" s="1448"/>
      <c r="B7" s="1448"/>
      <c r="C7" s="1449"/>
      <c r="D7" s="1404"/>
      <c r="E7" s="1406"/>
      <c r="F7" s="1406"/>
      <c r="G7" s="1406"/>
      <c r="H7" s="1406"/>
      <c r="I7" s="1406"/>
      <c r="J7" s="1450"/>
      <c r="K7" s="1404"/>
      <c r="L7" s="544" t="s">
        <v>222</v>
      </c>
      <c r="M7" s="544" t="s">
        <v>208</v>
      </c>
      <c r="N7" s="543" t="s">
        <v>223</v>
      </c>
      <c r="O7" s="543" t="s">
        <v>224</v>
      </c>
      <c r="P7" s="543" t="s">
        <v>34</v>
      </c>
    </row>
    <row r="8" spans="1:34" ht="15.5">
      <c r="A8" s="545">
        <v>1</v>
      </c>
      <c r="B8" s="546" t="s">
        <v>225</v>
      </c>
      <c r="C8" s="546" t="s">
        <v>225</v>
      </c>
      <c r="D8" s="314" t="s">
        <v>185</v>
      </c>
      <c r="E8" s="853">
        <v>1.86</v>
      </c>
      <c r="F8" s="853">
        <v>12.47</v>
      </c>
      <c r="G8" s="853">
        <v>134.69999999999999</v>
      </c>
      <c r="H8" s="855">
        <v>1.115</v>
      </c>
      <c r="I8" s="853">
        <v>0.29899999999999999</v>
      </c>
      <c r="J8" s="854"/>
      <c r="K8" s="854" t="s">
        <v>210</v>
      </c>
      <c r="L8" s="883">
        <v>45665</v>
      </c>
      <c r="M8" s="546">
        <v>45674</v>
      </c>
      <c r="N8" s="1203" t="s">
        <v>226</v>
      </c>
      <c r="O8" s="546">
        <v>45674</v>
      </c>
      <c r="P8" s="547" t="s">
        <v>211</v>
      </c>
    </row>
    <row r="9" spans="1:34" ht="14.25" customHeight="1">
      <c r="A9" s="548">
        <f>A8+1</f>
        <v>2</v>
      </c>
      <c r="B9" s="546" t="s">
        <v>231</v>
      </c>
      <c r="C9" s="546" t="s">
        <v>231</v>
      </c>
      <c r="D9" s="314" t="s">
        <v>182</v>
      </c>
      <c r="E9" s="853">
        <v>1.57</v>
      </c>
      <c r="F9" s="853">
        <v>11.05</v>
      </c>
      <c r="G9" s="853">
        <v>115.3</v>
      </c>
      <c r="H9" s="855">
        <v>0.91900000000000004</v>
      </c>
      <c r="I9" s="856">
        <v>0.29899999999999999</v>
      </c>
      <c r="J9" s="854"/>
      <c r="K9" s="854" t="s">
        <v>210</v>
      </c>
      <c r="L9" s="883">
        <v>45675</v>
      </c>
      <c r="M9" s="546">
        <v>45684</v>
      </c>
      <c r="N9" s="546" t="s">
        <v>232</v>
      </c>
      <c r="O9" s="546"/>
      <c r="P9" s="547" t="s">
        <v>211</v>
      </c>
    </row>
    <row r="10" spans="1:34" ht="14.25" customHeight="1">
      <c r="A10" s="548">
        <f t="shared" ref="A10:A73" si="0">A9+1</f>
        <v>3</v>
      </c>
      <c r="B10" s="546" t="s">
        <v>209</v>
      </c>
      <c r="C10" s="546"/>
      <c r="D10" s="314" t="s">
        <v>182</v>
      </c>
      <c r="E10" s="853">
        <v>1.57</v>
      </c>
      <c r="F10" s="853">
        <v>11.05</v>
      </c>
      <c r="G10" s="853">
        <v>115.3</v>
      </c>
      <c r="H10" s="855">
        <v>0.91900000000000004</v>
      </c>
      <c r="I10" s="856">
        <v>0.29899999999999999</v>
      </c>
      <c r="J10" s="854"/>
      <c r="K10" s="854" t="s">
        <v>210</v>
      </c>
      <c r="L10" s="883">
        <v>45685</v>
      </c>
      <c r="M10" s="546">
        <v>45690</v>
      </c>
      <c r="N10" s="546" t="s">
        <v>232</v>
      </c>
      <c r="O10" s="546"/>
      <c r="P10" s="547" t="s">
        <v>211</v>
      </c>
    </row>
    <row r="11" spans="1:34" ht="14.25" customHeight="1">
      <c r="A11" s="548">
        <f t="shared" si="0"/>
        <v>4</v>
      </c>
      <c r="B11" s="546" t="s">
        <v>212</v>
      </c>
      <c r="C11" s="546"/>
      <c r="D11" s="314" t="s">
        <v>182</v>
      </c>
      <c r="E11" s="853">
        <v>1.57</v>
      </c>
      <c r="F11" s="853">
        <v>11.05</v>
      </c>
      <c r="G11" s="853">
        <v>115.3</v>
      </c>
      <c r="H11" s="855">
        <v>0.91900000000000004</v>
      </c>
      <c r="I11" s="856">
        <v>0.29899999999999999</v>
      </c>
      <c r="J11" s="854"/>
      <c r="K11" s="854" t="s">
        <v>210</v>
      </c>
      <c r="L11" s="883">
        <v>45691</v>
      </c>
      <c r="M11" s="546">
        <v>45693</v>
      </c>
      <c r="N11" s="546" t="s">
        <v>232</v>
      </c>
      <c r="O11" s="546"/>
      <c r="P11" s="547" t="s">
        <v>211</v>
      </c>
    </row>
    <row r="12" spans="1:34" ht="17.5" customHeight="1">
      <c r="A12" s="548">
        <f t="shared" si="0"/>
        <v>5</v>
      </c>
      <c r="B12" s="546" t="s">
        <v>213</v>
      </c>
      <c r="C12" s="546"/>
      <c r="D12" s="314" t="s">
        <v>182</v>
      </c>
      <c r="E12" s="853">
        <v>1.57</v>
      </c>
      <c r="F12" s="853">
        <v>11.05</v>
      </c>
      <c r="G12" s="853">
        <v>115.3</v>
      </c>
      <c r="H12" s="855">
        <v>0.91900000000000004</v>
      </c>
      <c r="I12" s="856">
        <v>0.29899999999999999</v>
      </c>
      <c r="J12" s="854"/>
      <c r="K12" s="854" t="s">
        <v>210</v>
      </c>
      <c r="L12" s="883">
        <v>45686</v>
      </c>
      <c r="M12" s="546">
        <v>45693</v>
      </c>
      <c r="N12" s="850" t="s">
        <v>1614</v>
      </c>
      <c r="O12" s="546"/>
      <c r="P12" s="547" t="s">
        <v>211</v>
      </c>
    </row>
    <row r="13" spans="1:34" ht="15.5">
      <c r="A13" s="548">
        <f t="shared" si="0"/>
        <v>6</v>
      </c>
      <c r="B13" s="546" t="s">
        <v>214</v>
      </c>
      <c r="C13" s="546"/>
      <c r="D13" s="314" t="s">
        <v>185</v>
      </c>
      <c r="E13" s="853">
        <v>1.86</v>
      </c>
      <c r="F13" s="853">
        <v>12.47</v>
      </c>
      <c r="G13" s="853">
        <v>134.69999999999999</v>
      </c>
      <c r="H13" s="855">
        <v>1.115</v>
      </c>
      <c r="I13" s="853">
        <v>0.29899999999999999</v>
      </c>
      <c r="J13" s="854"/>
      <c r="K13" s="854" t="s">
        <v>210</v>
      </c>
      <c r="L13" s="883">
        <v>24</v>
      </c>
      <c r="M13" s="546">
        <v>45698</v>
      </c>
      <c r="N13" s="850" t="s">
        <v>1614</v>
      </c>
      <c r="O13" s="546"/>
      <c r="P13" s="547" t="s">
        <v>211</v>
      </c>
    </row>
    <row r="14" spans="1:34" ht="14.25" customHeight="1">
      <c r="A14" s="548">
        <f t="shared" si="0"/>
        <v>7</v>
      </c>
      <c r="B14" s="546" t="s">
        <v>236</v>
      </c>
      <c r="C14" s="546"/>
      <c r="D14" s="314" t="s">
        <v>182</v>
      </c>
      <c r="E14" s="853">
        <v>1.57</v>
      </c>
      <c r="F14" s="853">
        <v>11.05</v>
      </c>
      <c r="G14" s="853">
        <v>115.3</v>
      </c>
      <c r="H14" s="855">
        <v>0.91900000000000004</v>
      </c>
      <c r="I14" s="856">
        <v>0.29899999999999999</v>
      </c>
      <c r="J14" s="854"/>
      <c r="K14" s="854" t="s">
        <v>210</v>
      </c>
      <c r="L14" s="883">
        <v>45697</v>
      </c>
      <c r="M14" s="546">
        <v>45705</v>
      </c>
      <c r="N14" s="850" t="s">
        <v>1614</v>
      </c>
      <c r="O14" s="546"/>
      <c r="P14" s="547" t="s">
        <v>211</v>
      </c>
    </row>
    <row r="15" spans="1:34" ht="14" customHeight="1">
      <c r="A15" s="548">
        <f t="shared" si="0"/>
        <v>8</v>
      </c>
      <c r="B15" s="546" t="s">
        <v>237</v>
      </c>
      <c r="C15" s="546"/>
      <c r="D15" s="314" t="s">
        <v>182</v>
      </c>
      <c r="E15" s="853">
        <v>1.57</v>
      </c>
      <c r="F15" s="853">
        <v>11.05</v>
      </c>
      <c r="G15" s="853">
        <v>115.3</v>
      </c>
      <c r="H15" s="855">
        <v>0.91900000000000004</v>
      </c>
      <c r="I15" s="856">
        <v>0.29899999999999999</v>
      </c>
      <c r="J15" s="854"/>
      <c r="K15" s="854" t="s">
        <v>210</v>
      </c>
      <c r="L15" s="883">
        <v>45700</v>
      </c>
      <c r="M15" s="546">
        <v>45706</v>
      </c>
      <c r="N15" s="850" t="s">
        <v>1614</v>
      </c>
      <c r="O15" s="546"/>
      <c r="P15" s="547" t="s">
        <v>211</v>
      </c>
    </row>
    <row r="16" spans="1:34" ht="15.5">
      <c r="A16" s="548">
        <f t="shared" si="0"/>
        <v>9</v>
      </c>
      <c r="B16" s="546" t="s">
        <v>215</v>
      </c>
      <c r="C16" s="546"/>
      <c r="D16" s="314" t="s">
        <v>182</v>
      </c>
      <c r="E16" s="853">
        <v>1.57</v>
      </c>
      <c r="F16" s="853">
        <v>11.05</v>
      </c>
      <c r="G16" s="853">
        <v>115.3</v>
      </c>
      <c r="H16" s="855">
        <v>0.91900000000000004</v>
      </c>
      <c r="I16" s="856">
        <v>0.29899999999999999</v>
      </c>
      <c r="J16" s="854"/>
      <c r="K16" s="854" t="s">
        <v>210</v>
      </c>
      <c r="L16" s="883">
        <v>45691</v>
      </c>
      <c r="M16" s="546">
        <v>45699</v>
      </c>
      <c r="N16" s="546" t="s">
        <v>254</v>
      </c>
      <c r="O16" s="546"/>
      <c r="P16" s="547" t="s">
        <v>211</v>
      </c>
    </row>
    <row r="17" spans="1:17" ht="15.5">
      <c r="A17" s="548">
        <f t="shared" si="0"/>
        <v>10</v>
      </c>
      <c r="B17" s="546" t="s">
        <v>216</v>
      </c>
      <c r="C17" s="546"/>
      <c r="D17" s="314" t="s">
        <v>185</v>
      </c>
      <c r="E17" s="853">
        <v>1.86</v>
      </c>
      <c r="F17" s="853">
        <v>12.47</v>
      </c>
      <c r="G17" s="853">
        <v>134.69999999999999</v>
      </c>
      <c r="H17" s="855">
        <v>1.115</v>
      </c>
      <c r="I17" s="853">
        <v>0.29899999999999999</v>
      </c>
      <c r="J17" s="854"/>
      <c r="K17" s="854" t="s">
        <v>210</v>
      </c>
      <c r="L17" s="883">
        <v>45691</v>
      </c>
      <c r="M17" s="546">
        <v>45697</v>
      </c>
      <c r="N17" s="546" t="s">
        <v>232</v>
      </c>
      <c r="O17" s="546"/>
      <c r="P17" s="547" t="s">
        <v>211</v>
      </c>
    </row>
    <row r="18" spans="1:17" ht="15.5">
      <c r="A18" s="548">
        <f t="shared" si="0"/>
        <v>11</v>
      </c>
      <c r="B18" s="546" t="s">
        <v>239</v>
      </c>
      <c r="C18" s="546"/>
      <c r="D18" s="314" t="s">
        <v>182</v>
      </c>
      <c r="E18" s="853">
        <v>1.57</v>
      </c>
      <c r="F18" s="853">
        <v>11.05</v>
      </c>
      <c r="G18" s="853">
        <v>17</v>
      </c>
      <c r="H18" s="855">
        <v>0.91900000000000004</v>
      </c>
      <c r="I18" s="856">
        <v>41</v>
      </c>
      <c r="J18" s="854"/>
      <c r="K18" s="854" t="s">
        <v>210</v>
      </c>
      <c r="L18" s="883">
        <v>45696</v>
      </c>
      <c r="M18" s="546">
        <v>45702</v>
      </c>
      <c r="N18" s="546" t="s">
        <v>232</v>
      </c>
      <c r="O18" s="546"/>
      <c r="P18" s="547" t="s">
        <v>211</v>
      </c>
    </row>
    <row r="19" spans="1:17" ht="15.5">
      <c r="A19" s="548">
        <f t="shared" si="0"/>
        <v>12</v>
      </c>
      <c r="B19" s="546" t="s">
        <v>240</v>
      </c>
      <c r="C19" s="546"/>
      <c r="D19" s="314" t="s">
        <v>185</v>
      </c>
      <c r="E19" s="853">
        <v>1.86</v>
      </c>
      <c r="F19" s="853">
        <v>12.47</v>
      </c>
      <c r="G19" s="853">
        <v>134.69999999999999</v>
      </c>
      <c r="H19" s="855">
        <v>1.115</v>
      </c>
      <c r="I19" s="853">
        <v>0.29899999999999999</v>
      </c>
      <c r="J19" s="854"/>
      <c r="K19" s="854" t="s">
        <v>210</v>
      </c>
      <c r="L19" s="883">
        <v>45699</v>
      </c>
      <c r="M19" s="546">
        <v>45705</v>
      </c>
      <c r="N19" s="546" t="s">
        <v>254</v>
      </c>
      <c r="O19" s="546"/>
      <c r="P19" s="547" t="s">
        <v>211</v>
      </c>
    </row>
    <row r="20" spans="1:17" ht="15.5">
      <c r="A20" s="548">
        <f t="shared" si="0"/>
        <v>13</v>
      </c>
      <c r="B20" s="546" t="s">
        <v>241</v>
      </c>
      <c r="C20" s="546"/>
      <c r="D20" s="314" t="s">
        <v>242</v>
      </c>
      <c r="E20" s="853">
        <v>1.86</v>
      </c>
      <c r="F20" s="853">
        <v>12.47</v>
      </c>
      <c r="G20" s="853">
        <v>134.69999999999999</v>
      </c>
      <c r="H20" s="855">
        <v>1.115</v>
      </c>
      <c r="I20" s="853">
        <v>0.29899999999999999</v>
      </c>
      <c r="J20" s="854"/>
      <c r="K20" s="854" t="s">
        <v>210</v>
      </c>
      <c r="L20" s="883">
        <v>45701</v>
      </c>
      <c r="M20" s="546">
        <v>45707</v>
      </c>
      <c r="N20" s="546" t="s">
        <v>232</v>
      </c>
      <c r="O20" s="546"/>
      <c r="P20" s="547" t="s">
        <v>211</v>
      </c>
    </row>
    <row r="21" spans="1:17" ht="15.5">
      <c r="A21" s="548">
        <f t="shared" si="0"/>
        <v>14</v>
      </c>
      <c r="B21" s="546" t="s">
        <v>251</v>
      </c>
      <c r="C21" s="546"/>
      <c r="D21" s="314" t="s">
        <v>248</v>
      </c>
      <c r="E21" s="853">
        <v>1.86</v>
      </c>
      <c r="F21" s="853">
        <v>12.47</v>
      </c>
      <c r="G21" s="853">
        <v>134.69999999999999</v>
      </c>
      <c r="H21" s="855">
        <v>1.115</v>
      </c>
      <c r="I21" s="853">
        <v>0.29899999999999999</v>
      </c>
      <c r="J21" s="854"/>
      <c r="K21" s="854" t="s">
        <v>210</v>
      </c>
      <c r="L21" s="883">
        <v>45705</v>
      </c>
      <c r="M21" s="546">
        <v>45710</v>
      </c>
      <c r="N21" s="850" t="s">
        <v>1614</v>
      </c>
      <c r="O21" s="546"/>
      <c r="P21" s="547" t="s">
        <v>211</v>
      </c>
    </row>
    <row r="22" spans="1:17" ht="15.5">
      <c r="A22" s="548">
        <f t="shared" si="0"/>
        <v>15</v>
      </c>
      <c r="B22" s="546" t="s">
        <v>244</v>
      </c>
      <c r="C22" s="546"/>
      <c r="D22" s="314" t="s">
        <v>182</v>
      </c>
      <c r="E22" s="853">
        <v>1.57</v>
      </c>
      <c r="F22" s="853">
        <v>11.05</v>
      </c>
      <c r="G22" s="853">
        <v>115.3</v>
      </c>
      <c r="H22" s="855">
        <v>0.91900000000000004</v>
      </c>
      <c r="I22" s="856">
        <v>0.29899999999999999</v>
      </c>
      <c r="J22" s="854"/>
      <c r="K22" s="854" t="s">
        <v>210</v>
      </c>
      <c r="L22" s="883">
        <v>45698</v>
      </c>
      <c r="M22" s="546">
        <v>45710</v>
      </c>
      <c r="N22" s="546" t="s">
        <v>245</v>
      </c>
      <c r="O22" s="546"/>
      <c r="P22" s="547" t="s">
        <v>211</v>
      </c>
    </row>
    <row r="23" spans="1:17" ht="15.5">
      <c r="A23" s="548">
        <f t="shared" si="0"/>
        <v>16</v>
      </c>
      <c r="B23" s="549" t="s">
        <v>253</v>
      </c>
      <c r="C23" s="327"/>
      <c r="D23" s="314" t="s">
        <v>248</v>
      </c>
      <c r="E23" s="853">
        <v>1.86</v>
      </c>
      <c r="F23" s="853">
        <v>12.47</v>
      </c>
      <c r="G23" s="853">
        <v>134.69999999999999</v>
      </c>
      <c r="H23" s="855">
        <v>1.115</v>
      </c>
      <c r="I23" s="853">
        <v>0.29899999999999999</v>
      </c>
      <c r="J23" s="854"/>
      <c r="K23" s="854" t="s">
        <v>210</v>
      </c>
      <c r="L23" s="883">
        <v>45705</v>
      </c>
      <c r="M23" s="546">
        <v>45711</v>
      </c>
      <c r="N23" s="546" t="s">
        <v>254</v>
      </c>
      <c r="O23" s="546"/>
      <c r="P23" s="547" t="s">
        <v>211</v>
      </c>
    </row>
    <row r="24" spans="1:17" ht="15.5">
      <c r="A24" s="548">
        <f t="shared" si="0"/>
        <v>17</v>
      </c>
      <c r="B24" s="550" t="s">
        <v>217</v>
      </c>
      <c r="C24" s="551"/>
      <c r="D24" s="314" t="s">
        <v>182</v>
      </c>
      <c r="E24" s="853">
        <v>1.08</v>
      </c>
      <c r="F24" s="853">
        <v>8.68</v>
      </c>
      <c r="G24" s="853">
        <v>50.1</v>
      </c>
      <c r="H24" s="855">
        <v>0.78800000000000003</v>
      </c>
      <c r="I24" s="856">
        <v>0.29899999999999999</v>
      </c>
      <c r="J24" s="854"/>
      <c r="K24" s="854" t="s">
        <v>292</v>
      </c>
      <c r="L24" s="883">
        <v>45708</v>
      </c>
      <c r="M24" s="546">
        <v>45713</v>
      </c>
      <c r="N24" s="546" t="s">
        <v>255</v>
      </c>
      <c r="O24" s="546"/>
      <c r="P24" s="547" t="s">
        <v>211</v>
      </c>
    </row>
    <row r="25" spans="1:17" ht="15.5">
      <c r="A25" s="548">
        <f t="shared" si="0"/>
        <v>18</v>
      </c>
      <c r="B25" s="550" t="s">
        <v>259</v>
      </c>
      <c r="C25" s="542"/>
      <c r="D25" s="314" t="s">
        <v>248</v>
      </c>
      <c r="E25" s="853">
        <v>1.86</v>
      </c>
      <c r="F25" s="853">
        <v>12.47</v>
      </c>
      <c r="G25" s="853">
        <v>134.69999999999999</v>
      </c>
      <c r="H25" s="855">
        <v>1.115</v>
      </c>
      <c r="I25" s="853">
        <v>0.29899999999999999</v>
      </c>
      <c r="J25" s="854"/>
      <c r="K25" s="854" t="s">
        <v>210</v>
      </c>
      <c r="L25" s="883">
        <v>45709</v>
      </c>
      <c r="M25" s="546">
        <v>45713</v>
      </c>
      <c r="N25" s="850" t="s">
        <v>1614</v>
      </c>
      <c r="O25" s="546"/>
      <c r="P25" s="547" t="s">
        <v>211</v>
      </c>
    </row>
    <row r="26" spans="1:17" ht="15.5">
      <c r="A26" s="548">
        <f t="shared" si="0"/>
        <v>19</v>
      </c>
      <c r="B26" s="549" t="s">
        <v>247</v>
      </c>
      <c r="C26" s="327"/>
      <c r="D26" s="314" t="s">
        <v>248</v>
      </c>
      <c r="E26" s="853">
        <v>1.86</v>
      </c>
      <c r="F26" s="853">
        <v>12.47</v>
      </c>
      <c r="G26" s="853">
        <v>134.69999999999999</v>
      </c>
      <c r="H26" s="855">
        <v>1.115</v>
      </c>
      <c r="I26" s="853">
        <v>0.29899999999999999</v>
      </c>
      <c r="J26" s="854"/>
      <c r="K26" s="854" t="s">
        <v>210</v>
      </c>
      <c r="L26" s="883">
        <v>45705</v>
      </c>
      <c r="M26" s="546">
        <v>45716</v>
      </c>
      <c r="N26" s="546" t="s">
        <v>249</v>
      </c>
      <c r="O26" s="546"/>
      <c r="P26" s="547" t="s">
        <v>211</v>
      </c>
      <c r="Q26" s="334"/>
    </row>
    <row r="27" spans="1:17" ht="14.25" customHeight="1">
      <c r="A27" s="548">
        <f t="shared" si="0"/>
        <v>20</v>
      </c>
      <c r="B27" s="549" t="s">
        <v>257</v>
      </c>
      <c r="C27" s="327"/>
      <c r="D27" s="314" t="s">
        <v>248</v>
      </c>
      <c r="E27" s="853">
        <v>1.86</v>
      </c>
      <c r="F27" s="853">
        <v>12.47</v>
      </c>
      <c r="G27" s="853">
        <v>134.69999999999999</v>
      </c>
      <c r="H27" s="855">
        <v>1.115</v>
      </c>
      <c r="I27" s="853">
        <v>0.29899999999999999</v>
      </c>
      <c r="J27" s="854"/>
      <c r="K27" s="854" t="s">
        <v>210</v>
      </c>
      <c r="L27" s="883">
        <v>45708</v>
      </c>
      <c r="M27" s="546">
        <v>45715</v>
      </c>
      <c r="N27" s="546" t="s">
        <v>232</v>
      </c>
      <c r="O27" s="546"/>
      <c r="P27" s="547" t="s">
        <v>211</v>
      </c>
      <c r="Q27" s="334"/>
    </row>
    <row r="28" spans="1:17" ht="15.5">
      <c r="A28" s="548">
        <f t="shared" si="0"/>
        <v>21</v>
      </c>
      <c r="B28" s="550" t="s">
        <v>262</v>
      </c>
      <c r="C28" s="542"/>
      <c r="D28" s="314" t="s">
        <v>242</v>
      </c>
      <c r="E28" s="853">
        <v>1.86</v>
      </c>
      <c r="F28" s="853">
        <v>12.47</v>
      </c>
      <c r="G28" s="853">
        <v>134.69999999999999</v>
      </c>
      <c r="H28" s="855">
        <v>1.115</v>
      </c>
      <c r="I28" s="853">
        <v>0.29899999999999999</v>
      </c>
      <c r="J28" s="854"/>
      <c r="K28" s="854" t="s">
        <v>210</v>
      </c>
      <c r="L28" s="883">
        <v>45711</v>
      </c>
      <c r="M28" s="546">
        <v>45725</v>
      </c>
      <c r="N28" s="546" t="s">
        <v>245</v>
      </c>
      <c r="O28" s="546"/>
      <c r="P28" s="547" t="s">
        <v>211</v>
      </c>
    </row>
    <row r="29" spans="1:17" ht="15.5">
      <c r="A29" s="548">
        <f t="shared" si="0"/>
        <v>22</v>
      </c>
      <c r="B29" s="550" t="s">
        <v>263</v>
      </c>
      <c r="C29" s="542"/>
      <c r="D29" s="314" t="s">
        <v>242</v>
      </c>
      <c r="E29" s="853">
        <v>1.86</v>
      </c>
      <c r="F29" s="853">
        <v>12.47</v>
      </c>
      <c r="G29" s="853">
        <v>134.69999999999999</v>
      </c>
      <c r="H29" s="855">
        <v>1.115</v>
      </c>
      <c r="I29" s="853">
        <v>0.29899999999999999</v>
      </c>
      <c r="J29" s="323"/>
      <c r="K29" s="854" t="s">
        <v>210</v>
      </c>
      <c r="L29" s="883">
        <v>45712</v>
      </c>
      <c r="M29" s="546">
        <v>45718</v>
      </c>
      <c r="N29" s="546" t="s">
        <v>254</v>
      </c>
      <c r="O29" s="542"/>
      <c r="P29" s="547" t="s">
        <v>211</v>
      </c>
    </row>
    <row r="30" spans="1:17" ht="15.5">
      <c r="A30" s="548">
        <f t="shared" si="0"/>
        <v>23</v>
      </c>
      <c r="B30" s="549" t="s">
        <v>293</v>
      </c>
      <c r="C30" s="542"/>
      <c r="D30" s="314" t="s">
        <v>182</v>
      </c>
      <c r="E30" s="853">
        <v>1.57</v>
      </c>
      <c r="F30" s="853">
        <v>11.05</v>
      </c>
      <c r="G30" s="853">
        <v>115.3</v>
      </c>
      <c r="H30" s="855">
        <v>0.91900000000000004</v>
      </c>
      <c r="I30" s="856">
        <v>0.29899999999999999</v>
      </c>
      <c r="J30" s="323"/>
      <c r="K30" s="854" t="s">
        <v>210</v>
      </c>
      <c r="L30" s="883">
        <v>45712</v>
      </c>
      <c r="M30" s="546">
        <v>45716</v>
      </c>
      <c r="N30" s="850" t="s">
        <v>1614</v>
      </c>
      <c r="O30" s="542"/>
      <c r="P30" s="547" t="s">
        <v>211</v>
      </c>
    </row>
    <row r="31" spans="1:17" ht="15.5">
      <c r="A31" s="548">
        <f t="shared" si="0"/>
        <v>24</v>
      </c>
      <c r="B31" s="327" t="s">
        <v>294</v>
      </c>
      <c r="C31" s="327"/>
      <c r="D31" s="316" t="s">
        <v>182</v>
      </c>
      <c r="E31" s="853">
        <v>1.57</v>
      </c>
      <c r="F31" s="853">
        <v>11.05</v>
      </c>
      <c r="G31" s="853">
        <v>115.3</v>
      </c>
      <c r="H31" s="855">
        <v>0.91900000000000004</v>
      </c>
      <c r="I31" s="856">
        <v>0.29899999999999999</v>
      </c>
      <c r="J31" s="316"/>
      <c r="K31" s="854" t="s">
        <v>210</v>
      </c>
      <c r="L31" s="883">
        <v>45713</v>
      </c>
      <c r="M31" s="546">
        <v>45716</v>
      </c>
      <c r="N31" s="546" t="s">
        <v>255</v>
      </c>
      <c r="O31" s="327"/>
      <c r="P31" s="547" t="s">
        <v>211</v>
      </c>
    </row>
    <row r="32" spans="1:17" ht="15.5">
      <c r="A32" s="548">
        <f t="shared" si="0"/>
        <v>25</v>
      </c>
      <c r="B32" s="327" t="s">
        <v>279</v>
      </c>
      <c r="C32" s="327"/>
      <c r="D32" s="316" t="s">
        <v>242</v>
      </c>
      <c r="E32" s="853">
        <v>1.86</v>
      </c>
      <c r="F32" s="853">
        <v>12.47</v>
      </c>
      <c r="G32" s="853">
        <v>134.69999999999999</v>
      </c>
      <c r="H32" s="855">
        <v>1.115</v>
      </c>
      <c r="I32" s="853">
        <v>0.29899999999999999</v>
      </c>
      <c r="J32" s="316"/>
      <c r="K32" s="854" t="s">
        <v>210</v>
      </c>
      <c r="L32" s="883">
        <v>45715</v>
      </c>
      <c r="M32" s="552">
        <v>45726</v>
      </c>
      <c r="N32" s="546" t="s">
        <v>1291</v>
      </c>
      <c r="O32" s="327"/>
      <c r="P32" s="547" t="s">
        <v>211</v>
      </c>
    </row>
    <row r="33" spans="1:16" ht="15.5">
      <c r="A33" s="548">
        <f t="shared" si="0"/>
        <v>26</v>
      </c>
      <c r="B33" s="327" t="s">
        <v>260</v>
      </c>
      <c r="C33" s="327"/>
      <c r="D33" s="316" t="s">
        <v>182</v>
      </c>
      <c r="E33" s="853">
        <v>1.57</v>
      </c>
      <c r="F33" s="853">
        <v>11.05</v>
      </c>
      <c r="G33" s="853">
        <v>115.3</v>
      </c>
      <c r="H33" s="855">
        <v>0.91900000000000004</v>
      </c>
      <c r="I33" s="856">
        <v>0.29899999999999999</v>
      </c>
      <c r="J33" s="316"/>
      <c r="K33" s="854" t="s">
        <v>210</v>
      </c>
      <c r="L33" s="883">
        <v>45716</v>
      </c>
      <c r="M33" s="552">
        <v>45722</v>
      </c>
      <c r="N33" s="546" t="s">
        <v>249</v>
      </c>
      <c r="O33" s="327"/>
      <c r="P33" s="547" t="s">
        <v>211</v>
      </c>
    </row>
    <row r="34" spans="1:16" ht="15.5">
      <c r="A34" s="548">
        <f t="shared" si="0"/>
        <v>27</v>
      </c>
      <c r="B34" s="327" t="s">
        <v>276</v>
      </c>
      <c r="C34" s="327"/>
      <c r="D34" s="316" t="s">
        <v>182</v>
      </c>
      <c r="E34" s="853">
        <v>1.57</v>
      </c>
      <c r="F34" s="853">
        <v>11.05</v>
      </c>
      <c r="G34" s="853">
        <v>115.3</v>
      </c>
      <c r="H34" s="855">
        <v>0.91900000000000004</v>
      </c>
      <c r="I34" s="856">
        <v>0.29899999999999999</v>
      </c>
      <c r="J34" s="316"/>
      <c r="K34" s="854" t="s">
        <v>210</v>
      </c>
      <c r="L34" s="883">
        <v>45718</v>
      </c>
      <c r="M34" s="552">
        <v>45723</v>
      </c>
      <c r="N34" s="546" t="s">
        <v>255</v>
      </c>
      <c r="O34" s="327"/>
      <c r="P34" s="547" t="s">
        <v>211</v>
      </c>
    </row>
    <row r="35" spans="1:16" ht="15.5">
      <c r="A35" s="548">
        <f t="shared" si="0"/>
        <v>28</v>
      </c>
      <c r="B35" s="327" t="s">
        <v>268</v>
      </c>
      <c r="C35" s="327"/>
      <c r="D35" s="316" t="s">
        <v>185</v>
      </c>
      <c r="E35" s="853">
        <v>1.86</v>
      </c>
      <c r="F35" s="853">
        <v>12.47</v>
      </c>
      <c r="G35" s="853">
        <v>134.69999999999999</v>
      </c>
      <c r="H35" s="855">
        <v>1.115</v>
      </c>
      <c r="I35" s="853">
        <v>0.29899999999999999</v>
      </c>
      <c r="J35" s="316"/>
      <c r="K35" s="854" t="s">
        <v>210</v>
      </c>
      <c r="L35" s="883">
        <v>45718</v>
      </c>
      <c r="M35" s="552">
        <v>45724</v>
      </c>
      <c r="N35" s="546" t="s">
        <v>232</v>
      </c>
      <c r="O35" s="327"/>
      <c r="P35" s="547" t="s">
        <v>211</v>
      </c>
    </row>
    <row r="36" spans="1:16" ht="15.5">
      <c r="A36" s="548">
        <f t="shared" si="0"/>
        <v>29</v>
      </c>
      <c r="B36" s="327" t="s">
        <v>274</v>
      </c>
      <c r="C36" s="327"/>
      <c r="D36" s="316" t="s">
        <v>248</v>
      </c>
      <c r="E36" s="853">
        <v>1.86</v>
      </c>
      <c r="F36" s="853">
        <v>12.47</v>
      </c>
      <c r="G36" s="853">
        <v>134.69999999999999</v>
      </c>
      <c r="H36" s="855">
        <v>1.115</v>
      </c>
      <c r="I36" s="853">
        <v>0.29899999999999999</v>
      </c>
      <c r="J36" s="316"/>
      <c r="K36" s="854" t="s">
        <v>210</v>
      </c>
      <c r="L36" s="883">
        <v>45719</v>
      </c>
      <c r="M36" s="552">
        <v>45723</v>
      </c>
      <c r="N36" s="850" t="s">
        <v>1614</v>
      </c>
      <c r="O36" s="327"/>
      <c r="P36" s="547" t="s">
        <v>211</v>
      </c>
    </row>
    <row r="37" spans="1:16" ht="15.5">
      <c r="A37" s="548">
        <f t="shared" si="0"/>
        <v>30</v>
      </c>
      <c r="B37" s="327" t="s">
        <v>261</v>
      </c>
      <c r="C37" s="327"/>
      <c r="D37" s="316" t="s">
        <v>185</v>
      </c>
      <c r="E37" s="853">
        <v>1.86</v>
      </c>
      <c r="F37" s="853">
        <v>12.47</v>
      </c>
      <c r="G37" s="853">
        <v>134.69999999999999</v>
      </c>
      <c r="H37" s="855">
        <v>1.115</v>
      </c>
      <c r="I37" s="853">
        <v>0.29899999999999999</v>
      </c>
      <c r="J37" s="316"/>
      <c r="K37" s="854" t="s">
        <v>210</v>
      </c>
      <c r="L37" s="883">
        <v>45721</v>
      </c>
      <c r="M37" s="552">
        <v>45727</v>
      </c>
      <c r="N37" s="546" t="s">
        <v>249</v>
      </c>
      <c r="O37" s="327"/>
      <c r="P37" s="547" t="s">
        <v>211</v>
      </c>
    </row>
    <row r="38" spans="1:16" ht="15.5">
      <c r="A38" s="548">
        <f t="shared" si="0"/>
        <v>31</v>
      </c>
      <c r="B38" s="327" t="s">
        <v>275</v>
      </c>
      <c r="C38" s="327"/>
      <c r="D38" s="316" t="s">
        <v>248</v>
      </c>
      <c r="E38" s="853">
        <v>1.86</v>
      </c>
      <c r="F38" s="853">
        <v>12.47</v>
      </c>
      <c r="G38" s="853">
        <v>134.69999999999999</v>
      </c>
      <c r="H38" s="855">
        <v>1.115</v>
      </c>
      <c r="I38" s="853">
        <v>0.29899999999999999</v>
      </c>
      <c r="J38" s="316"/>
      <c r="K38" s="854" t="s">
        <v>210</v>
      </c>
      <c r="L38" s="883">
        <v>45722</v>
      </c>
      <c r="M38" s="552">
        <v>45726</v>
      </c>
      <c r="N38" s="850" t="s">
        <v>1614</v>
      </c>
      <c r="O38" s="327"/>
      <c r="P38" s="547" t="s">
        <v>211</v>
      </c>
    </row>
    <row r="39" spans="1:16" ht="15.5">
      <c r="A39" s="548">
        <f t="shared" si="0"/>
        <v>32</v>
      </c>
      <c r="B39" s="327" t="s">
        <v>258</v>
      </c>
      <c r="C39" s="327"/>
      <c r="D39" s="316" t="s">
        <v>182</v>
      </c>
      <c r="E39" s="853">
        <v>1.57</v>
      </c>
      <c r="F39" s="853">
        <v>11.05</v>
      </c>
      <c r="G39" s="853">
        <v>115.3</v>
      </c>
      <c r="H39" s="855">
        <v>0.91900000000000004</v>
      </c>
      <c r="I39" s="856">
        <v>0.29899999999999999</v>
      </c>
      <c r="J39" s="316"/>
      <c r="K39" s="854" t="s">
        <v>210</v>
      </c>
      <c r="L39" s="883">
        <v>45720</v>
      </c>
      <c r="M39" s="552">
        <v>45726</v>
      </c>
      <c r="N39" s="546" t="s">
        <v>254</v>
      </c>
      <c r="O39" s="327"/>
      <c r="P39" s="547" t="s">
        <v>211</v>
      </c>
    </row>
    <row r="40" spans="1:16" ht="15.5">
      <c r="A40" s="548">
        <f t="shared" si="0"/>
        <v>33</v>
      </c>
      <c r="B40" s="327" t="s">
        <v>277</v>
      </c>
      <c r="C40" s="327"/>
      <c r="D40" s="316" t="s">
        <v>185</v>
      </c>
      <c r="E40" s="853">
        <v>1.86</v>
      </c>
      <c r="F40" s="853">
        <v>12.47</v>
      </c>
      <c r="G40" s="853">
        <v>134.69999999999999</v>
      </c>
      <c r="H40" s="855">
        <v>1.115</v>
      </c>
      <c r="I40" s="853">
        <v>0.29899999999999999</v>
      </c>
      <c r="J40" s="316"/>
      <c r="K40" s="316" t="s">
        <v>210</v>
      </c>
      <c r="L40" s="883">
        <v>45731</v>
      </c>
      <c r="M40" s="552">
        <v>45740</v>
      </c>
      <c r="N40" s="546" t="s">
        <v>254</v>
      </c>
      <c r="O40" s="327"/>
      <c r="P40" s="547" t="s">
        <v>211</v>
      </c>
    </row>
    <row r="41" spans="1:16" ht="15.5">
      <c r="A41" s="548">
        <f t="shared" si="0"/>
        <v>34</v>
      </c>
      <c r="B41" s="327" t="s">
        <v>285</v>
      </c>
      <c r="C41" s="327"/>
      <c r="D41" s="316" t="s">
        <v>185</v>
      </c>
      <c r="E41" s="853">
        <v>1.86</v>
      </c>
      <c r="F41" s="853">
        <v>12.47</v>
      </c>
      <c r="G41" s="853">
        <v>134.69999999999999</v>
      </c>
      <c r="H41" s="855">
        <v>1.115</v>
      </c>
      <c r="I41" s="853">
        <v>0.29899999999999999</v>
      </c>
      <c r="J41" s="316"/>
      <c r="K41" s="316" t="s">
        <v>210</v>
      </c>
      <c r="L41" s="883">
        <v>45735</v>
      </c>
      <c r="M41" s="552">
        <v>45742</v>
      </c>
      <c r="N41" s="850" t="s">
        <v>1614</v>
      </c>
      <c r="O41" s="327"/>
      <c r="P41" s="547" t="s">
        <v>211</v>
      </c>
    </row>
    <row r="42" spans="1:16" ht="15.5">
      <c r="A42" s="548">
        <f t="shared" si="0"/>
        <v>35</v>
      </c>
      <c r="B42" s="327" t="s">
        <v>289</v>
      </c>
      <c r="C42" s="327"/>
      <c r="D42" s="316" t="s">
        <v>182</v>
      </c>
      <c r="E42" s="853">
        <v>1.08</v>
      </c>
      <c r="F42" s="853">
        <v>8.68</v>
      </c>
      <c r="G42" s="853">
        <v>50.1</v>
      </c>
      <c r="H42" s="855">
        <v>0.78800000000000003</v>
      </c>
      <c r="I42" s="856">
        <v>0.29899999999999999</v>
      </c>
      <c r="J42" s="316"/>
      <c r="K42" s="854" t="s">
        <v>292</v>
      </c>
      <c r="L42" s="883">
        <v>45729</v>
      </c>
      <c r="M42" s="552">
        <v>45746</v>
      </c>
      <c r="N42" s="546" t="s">
        <v>1291</v>
      </c>
      <c r="O42" s="327"/>
      <c r="P42" s="547" t="s">
        <v>211</v>
      </c>
    </row>
    <row r="43" spans="1:16" ht="15.5">
      <c r="A43" s="548">
        <f t="shared" si="0"/>
        <v>36</v>
      </c>
      <c r="B43" s="327" t="s">
        <v>280</v>
      </c>
      <c r="C43" s="327"/>
      <c r="D43" s="316" t="s">
        <v>248</v>
      </c>
      <c r="E43" s="853">
        <v>1.86</v>
      </c>
      <c r="F43" s="853">
        <v>12.47</v>
      </c>
      <c r="G43" s="853">
        <v>134.69999999999999</v>
      </c>
      <c r="H43" s="855">
        <v>1.115</v>
      </c>
      <c r="I43" s="853">
        <v>0.29899999999999999</v>
      </c>
      <c r="J43" s="316"/>
      <c r="K43" s="316" t="s">
        <v>210</v>
      </c>
      <c r="L43" s="883">
        <v>45738</v>
      </c>
      <c r="M43" s="552">
        <v>45746</v>
      </c>
      <c r="N43" s="546" t="s">
        <v>254</v>
      </c>
      <c r="O43" s="327"/>
      <c r="P43" s="547" t="s">
        <v>211</v>
      </c>
    </row>
    <row r="44" spans="1:16" ht="15.5">
      <c r="A44" s="548">
        <f t="shared" si="0"/>
        <v>37</v>
      </c>
      <c r="B44" s="327" t="s">
        <v>284</v>
      </c>
      <c r="C44" s="327"/>
      <c r="D44" s="316" t="s">
        <v>185</v>
      </c>
      <c r="E44" s="853">
        <v>1.86</v>
      </c>
      <c r="F44" s="853">
        <v>12.47</v>
      </c>
      <c r="G44" s="853">
        <v>134.69999999999999</v>
      </c>
      <c r="H44" s="855">
        <v>1.115</v>
      </c>
      <c r="I44" s="853">
        <v>0.29899999999999999</v>
      </c>
      <c r="J44" s="316"/>
      <c r="K44" s="316" t="s">
        <v>210</v>
      </c>
      <c r="L44" s="883">
        <v>45741</v>
      </c>
      <c r="M44" s="552">
        <v>45746</v>
      </c>
      <c r="N44" s="850" t="s">
        <v>1614</v>
      </c>
      <c r="O44" s="327"/>
      <c r="P44" s="547" t="s">
        <v>211</v>
      </c>
    </row>
    <row r="45" spans="1:16" ht="15.5">
      <c r="A45" s="548">
        <f t="shared" si="0"/>
        <v>38</v>
      </c>
      <c r="B45" s="327" t="s">
        <v>355</v>
      </c>
      <c r="C45" s="327"/>
      <c r="D45" s="316" t="s">
        <v>248</v>
      </c>
      <c r="E45" s="853">
        <v>1.86</v>
      </c>
      <c r="F45" s="853">
        <v>12.47</v>
      </c>
      <c r="G45" s="853">
        <v>134.69999999999999</v>
      </c>
      <c r="H45" s="855">
        <v>1.115</v>
      </c>
      <c r="I45" s="853">
        <v>0.29899999999999999</v>
      </c>
      <c r="J45" s="316"/>
      <c r="K45" s="316" t="s">
        <v>210</v>
      </c>
      <c r="L45" s="1098">
        <v>45745</v>
      </c>
      <c r="M45" s="552">
        <v>45747</v>
      </c>
      <c r="N45" s="850" t="s">
        <v>1614</v>
      </c>
      <c r="O45" s="327"/>
      <c r="P45" s="547" t="s">
        <v>211</v>
      </c>
    </row>
    <row r="46" spans="1:16" ht="15.5">
      <c r="A46" s="548">
        <f t="shared" si="0"/>
        <v>39</v>
      </c>
      <c r="B46" s="327" t="s">
        <v>169</v>
      </c>
      <c r="C46" s="327"/>
      <c r="D46" s="316" t="s">
        <v>182</v>
      </c>
      <c r="E46" s="853">
        <v>1.08</v>
      </c>
      <c r="F46" s="853">
        <v>8.68</v>
      </c>
      <c r="G46" s="853">
        <v>50.1</v>
      </c>
      <c r="H46" s="855">
        <v>0.78800000000000003</v>
      </c>
      <c r="I46" s="856">
        <v>0.29899999999999999</v>
      </c>
      <c r="J46" s="316"/>
      <c r="K46" s="316" t="s">
        <v>292</v>
      </c>
      <c r="L46" s="1098">
        <v>45745</v>
      </c>
      <c r="M46" s="552">
        <v>45751</v>
      </c>
      <c r="N46" s="546" t="s">
        <v>1291</v>
      </c>
      <c r="O46" s="327"/>
      <c r="P46" s="547" t="s">
        <v>211</v>
      </c>
    </row>
    <row r="47" spans="1:16" ht="15.5">
      <c r="A47" s="548">
        <f t="shared" si="0"/>
        <v>40</v>
      </c>
      <c r="B47" s="327" t="s">
        <v>287</v>
      </c>
      <c r="C47" s="327"/>
      <c r="D47" s="316" t="s">
        <v>248</v>
      </c>
      <c r="E47" s="853">
        <v>1.86</v>
      </c>
      <c r="F47" s="853">
        <v>12.47</v>
      </c>
      <c r="G47" s="853">
        <v>134.69999999999999</v>
      </c>
      <c r="H47" s="855">
        <v>1.115</v>
      </c>
      <c r="I47" s="853">
        <v>0.29899999999999999</v>
      </c>
      <c r="J47" s="316"/>
      <c r="K47" s="316" t="s">
        <v>210</v>
      </c>
      <c r="L47" s="1098">
        <v>45751</v>
      </c>
      <c r="M47" s="552">
        <v>45756</v>
      </c>
      <c r="N47" s="850" t="s">
        <v>1614</v>
      </c>
      <c r="O47" s="327"/>
      <c r="P47" s="547" t="s">
        <v>211</v>
      </c>
    </row>
    <row r="48" spans="1:16" ht="15.5">
      <c r="A48" s="548">
        <f t="shared" si="0"/>
        <v>41</v>
      </c>
      <c r="B48" s="327" t="s">
        <v>406</v>
      </c>
      <c r="C48" s="327"/>
      <c r="D48" s="316" t="s">
        <v>182</v>
      </c>
      <c r="E48" s="853">
        <v>1.57</v>
      </c>
      <c r="F48" s="853">
        <v>11.05</v>
      </c>
      <c r="G48" s="853">
        <v>115.3</v>
      </c>
      <c r="H48" s="855">
        <v>0.91900000000000004</v>
      </c>
      <c r="I48" s="856">
        <v>0.29899999999999999</v>
      </c>
      <c r="J48" s="316"/>
      <c r="K48" s="316" t="s">
        <v>210</v>
      </c>
      <c r="L48" s="1098">
        <v>45750</v>
      </c>
      <c r="M48" s="552">
        <v>45760</v>
      </c>
      <c r="N48" s="546" t="s">
        <v>254</v>
      </c>
      <c r="O48" s="327"/>
      <c r="P48" s="547" t="s">
        <v>211</v>
      </c>
    </row>
    <row r="49" spans="1:16" ht="15.5">
      <c r="A49" s="548">
        <f t="shared" si="0"/>
        <v>42</v>
      </c>
      <c r="B49" s="327" t="s">
        <v>290</v>
      </c>
      <c r="C49" s="327"/>
      <c r="D49" s="316" t="s">
        <v>182</v>
      </c>
      <c r="E49" s="853">
        <v>1.57</v>
      </c>
      <c r="F49" s="853">
        <v>11.05</v>
      </c>
      <c r="G49" s="853">
        <v>115.3</v>
      </c>
      <c r="H49" s="855">
        <v>0.91900000000000004</v>
      </c>
      <c r="I49" s="856">
        <v>0.29899999999999999</v>
      </c>
      <c r="J49" s="316"/>
      <c r="K49" s="316" t="s">
        <v>210</v>
      </c>
      <c r="L49" s="1098">
        <v>45746</v>
      </c>
      <c r="M49" s="552">
        <v>45763</v>
      </c>
      <c r="N49" s="546" t="s">
        <v>254</v>
      </c>
      <c r="O49" s="327"/>
      <c r="P49" s="547" t="s">
        <v>211</v>
      </c>
    </row>
    <row r="50" spans="1:16" ht="15.5">
      <c r="A50" s="548">
        <f t="shared" si="0"/>
        <v>43</v>
      </c>
      <c r="B50" s="327" t="s">
        <v>273</v>
      </c>
      <c r="C50" s="327"/>
      <c r="D50" s="316" t="s">
        <v>182</v>
      </c>
      <c r="E50" s="853">
        <v>1.57</v>
      </c>
      <c r="F50" s="853">
        <v>11.05</v>
      </c>
      <c r="G50" s="853">
        <v>115.3</v>
      </c>
      <c r="H50" s="855">
        <v>0.91900000000000004</v>
      </c>
      <c r="I50" s="856">
        <v>0.29899999999999999</v>
      </c>
      <c r="J50" s="316"/>
      <c r="K50" s="316" t="s">
        <v>210</v>
      </c>
      <c r="L50" s="1098">
        <v>45746</v>
      </c>
      <c r="M50" s="552">
        <v>45764</v>
      </c>
      <c r="N50" s="327" t="s">
        <v>1117</v>
      </c>
      <c r="O50" s="327"/>
      <c r="P50" s="547" t="s">
        <v>211</v>
      </c>
    </row>
    <row r="51" spans="1:16" ht="15.5">
      <c r="A51" s="548">
        <f t="shared" si="0"/>
        <v>44</v>
      </c>
      <c r="B51" s="327" t="s">
        <v>474</v>
      </c>
      <c r="C51" s="327"/>
      <c r="D51" s="316" t="s">
        <v>185</v>
      </c>
      <c r="E51" s="853">
        <v>1.86</v>
      </c>
      <c r="F51" s="853">
        <v>12.47</v>
      </c>
      <c r="G51" s="853">
        <v>134.69999999999999</v>
      </c>
      <c r="H51" s="855">
        <v>1.115</v>
      </c>
      <c r="I51" s="853">
        <v>0.29899999999999999</v>
      </c>
      <c r="J51" s="316"/>
      <c r="K51" s="316" t="s">
        <v>210</v>
      </c>
      <c r="L51" s="1098">
        <v>45762</v>
      </c>
      <c r="M51" s="552">
        <v>45765</v>
      </c>
      <c r="N51" s="850" t="s">
        <v>1614</v>
      </c>
      <c r="O51" s="327"/>
      <c r="P51" s="547" t="s">
        <v>211</v>
      </c>
    </row>
    <row r="52" spans="1:16" ht="15.5">
      <c r="A52" s="548">
        <f t="shared" si="0"/>
        <v>45</v>
      </c>
      <c r="B52" s="327" t="s">
        <v>414</v>
      </c>
      <c r="C52" s="327"/>
      <c r="D52" s="316" t="s">
        <v>248</v>
      </c>
      <c r="E52" s="853">
        <v>1.86</v>
      </c>
      <c r="F52" s="853">
        <v>12.47</v>
      </c>
      <c r="G52" s="853">
        <v>134.69999999999999</v>
      </c>
      <c r="H52" s="855">
        <v>1.115</v>
      </c>
      <c r="I52" s="853">
        <v>0.29899999999999999</v>
      </c>
      <c r="J52" s="316"/>
      <c r="K52" s="316" t="s">
        <v>210</v>
      </c>
      <c r="L52" s="1098">
        <v>45761</v>
      </c>
      <c r="M52" s="552">
        <v>45767</v>
      </c>
      <c r="N52" s="327" t="s">
        <v>1290</v>
      </c>
      <c r="O52" s="327"/>
      <c r="P52" s="547" t="s">
        <v>211</v>
      </c>
    </row>
    <row r="53" spans="1:16" ht="15.5">
      <c r="A53" s="548">
        <f t="shared" si="0"/>
        <v>46</v>
      </c>
      <c r="B53" s="327" t="s">
        <v>475</v>
      </c>
      <c r="C53" s="327"/>
      <c r="D53" s="316" t="s">
        <v>185</v>
      </c>
      <c r="E53" s="853">
        <v>1.86</v>
      </c>
      <c r="F53" s="853">
        <v>12.47</v>
      </c>
      <c r="G53" s="853">
        <v>134.69999999999999</v>
      </c>
      <c r="H53" s="855">
        <v>1.115</v>
      </c>
      <c r="I53" s="853">
        <v>0.29899999999999999</v>
      </c>
      <c r="J53" s="316"/>
      <c r="K53" s="316" t="s">
        <v>210</v>
      </c>
      <c r="L53" s="1098">
        <v>45765</v>
      </c>
      <c r="M53" s="552">
        <v>45769</v>
      </c>
      <c r="N53" s="850" t="s">
        <v>1614</v>
      </c>
      <c r="O53" s="327"/>
      <c r="P53" s="547" t="s">
        <v>211</v>
      </c>
    </row>
    <row r="54" spans="1:16" ht="15.5">
      <c r="A54" s="548">
        <f t="shared" si="0"/>
        <v>47</v>
      </c>
      <c r="B54" s="327" t="s">
        <v>311</v>
      </c>
      <c r="C54" s="327"/>
      <c r="D54" s="316" t="s">
        <v>185</v>
      </c>
      <c r="E54" s="853">
        <v>1.86</v>
      </c>
      <c r="F54" s="853">
        <v>12.47</v>
      </c>
      <c r="G54" s="853">
        <v>134.69999999999999</v>
      </c>
      <c r="H54" s="855">
        <v>1.115</v>
      </c>
      <c r="I54" s="853">
        <v>0.29899999999999999</v>
      </c>
      <c r="J54" s="316"/>
      <c r="K54" s="316" t="s">
        <v>210</v>
      </c>
      <c r="L54" s="1098">
        <v>45765</v>
      </c>
      <c r="M54" s="552">
        <v>45770</v>
      </c>
      <c r="N54" s="327" t="s">
        <v>1117</v>
      </c>
      <c r="O54" s="327"/>
      <c r="P54" s="547" t="s">
        <v>211</v>
      </c>
    </row>
    <row r="55" spans="1:16" ht="15.5">
      <c r="A55" s="548">
        <f t="shared" si="0"/>
        <v>48</v>
      </c>
      <c r="B55" s="327" t="s">
        <v>426</v>
      </c>
      <c r="C55" s="327"/>
      <c r="D55" s="316" t="s">
        <v>182</v>
      </c>
      <c r="E55" s="853">
        <v>1.08</v>
      </c>
      <c r="F55" s="853">
        <v>8.68</v>
      </c>
      <c r="G55" s="853">
        <v>50.1</v>
      </c>
      <c r="H55" s="855">
        <v>0.78800000000000003</v>
      </c>
      <c r="I55" s="856">
        <v>0.29899999999999999</v>
      </c>
      <c r="J55" s="316"/>
      <c r="K55" s="316" t="s">
        <v>292</v>
      </c>
      <c r="L55" s="1098">
        <v>45766</v>
      </c>
      <c r="M55" s="552">
        <v>45772</v>
      </c>
      <c r="N55" s="546" t="s">
        <v>254</v>
      </c>
      <c r="O55" s="327"/>
      <c r="P55" s="547" t="s">
        <v>211</v>
      </c>
    </row>
    <row r="56" spans="1:16" ht="15.5">
      <c r="A56" s="548">
        <f t="shared" si="0"/>
        <v>49</v>
      </c>
      <c r="B56" s="327" t="s">
        <v>227</v>
      </c>
      <c r="C56" s="327"/>
      <c r="D56" s="316" t="s">
        <v>182</v>
      </c>
      <c r="E56" s="853">
        <v>1.57</v>
      </c>
      <c r="F56" s="853">
        <v>11.05</v>
      </c>
      <c r="G56" s="853">
        <v>115.3</v>
      </c>
      <c r="H56" s="855">
        <v>0.91900000000000004</v>
      </c>
      <c r="I56" s="856">
        <v>0.29899999999999999</v>
      </c>
      <c r="J56" s="316"/>
      <c r="K56" s="316" t="s">
        <v>210</v>
      </c>
      <c r="L56" s="1098">
        <v>45767</v>
      </c>
      <c r="M56" s="552">
        <v>45776</v>
      </c>
      <c r="N56" s="327" t="s">
        <v>1290</v>
      </c>
      <c r="O56" s="327"/>
      <c r="P56" s="547" t="s">
        <v>211</v>
      </c>
    </row>
    <row r="57" spans="1:16" ht="15.5">
      <c r="A57" s="548">
        <f t="shared" si="0"/>
        <v>50</v>
      </c>
      <c r="B57" s="327" t="s">
        <v>282</v>
      </c>
      <c r="C57" s="327"/>
      <c r="D57" s="316" t="s">
        <v>242</v>
      </c>
      <c r="E57" s="853">
        <v>1.86</v>
      </c>
      <c r="F57" s="853">
        <v>12.47</v>
      </c>
      <c r="G57" s="853">
        <v>134.69999999999999</v>
      </c>
      <c r="H57" s="855">
        <v>1.115</v>
      </c>
      <c r="I57" s="853">
        <v>0.29899999999999999</v>
      </c>
      <c r="J57" s="316"/>
      <c r="K57" s="316" t="s">
        <v>210</v>
      </c>
      <c r="L57" s="1098">
        <v>45770</v>
      </c>
      <c r="M57" s="552">
        <v>45776</v>
      </c>
      <c r="N57" s="327" t="s">
        <v>1117</v>
      </c>
      <c r="O57" s="327"/>
      <c r="P57" s="547" t="s">
        <v>211</v>
      </c>
    </row>
    <row r="58" spans="1:16" ht="15.5">
      <c r="A58" s="548">
        <f t="shared" si="0"/>
        <v>51</v>
      </c>
      <c r="B58" s="327" t="s">
        <v>446</v>
      </c>
      <c r="C58" s="327"/>
      <c r="D58" s="316" t="s">
        <v>182</v>
      </c>
      <c r="E58" s="853">
        <v>1.57</v>
      </c>
      <c r="F58" s="853">
        <v>11.05</v>
      </c>
      <c r="G58" s="853">
        <v>115.3</v>
      </c>
      <c r="H58" s="855">
        <v>0.91900000000000004</v>
      </c>
      <c r="I58" s="856">
        <v>0.29899999999999999</v>
      </c>
      <c r="J58" s="316"/>
      <c r="K58" s="316" t="s">
        <v>210</v>
      </c>
      <c r="L58" s="1098">
        <v>45769</v>
      </c>
      <c r="M58" s="552">
        <v>45776</v>
      </c>
      <c r="N58" s="327" t="s">
        <v>1302</v>
      </c>
      <c r="O58" s="327"/>
      <c r="P58" s="547" t="s">
        <v>211</v>
      </c>
    </row>
    <row r="59" spans="1:16" ht="15.5">
      <c r="A59" s="548">
        <f t="shared" si="0"/>
        <v>52</v>
      </c>
      <c r="B59" s="327" t="s">
        <v>447</v>
      </c>
      <c r="C59" s="327"/>
      <c r="D59" s="316" t="s">
        <v>182</v>
      </c>
      <c r="E59" s="853">
        <v>1.57</v>
      </c>
      <c r="F59" s="853">
        <v>11.05</v>
      </c>
      <c r="G59" s="853">
        <v>115.3</v>
      </c>
      <c r="H59" s="855">
        <v>0.91900000000000004</v>
      </c>
      <c r="I59" s="856">
        <v>0.29899999999999999</v>
      </c>
      <c r="J59" s="316"/>
      <c r="K59" s="316" t="s">
        <v>210</v>
      </c>
      <c r="L59" s="1098">
        <v>45775</v>
      </c>
      <c r="M59" s="552">
        <v>45782</v>
      </c>
      <c r="N59" s="327" t="s">
        <v>1302</v>
      </c>
      <c r="O59" s="327"/>
      <c r="P59" s="547" t="s">
        <v>211</v>
      </c>
    </row>
    <row r="60" spans="1:16" ht="15.5">
      <c r="A60" s="548">
        <f t="shared" si="0"/>
        <v>53</v>
      </c>
      <c r="B60" s="327" t="s">
        <v>449</v>
      </c>
      <c r="C60" s="327"/>
      <c r="D60" s="316" t="s">
        <v>185</v>
      </c>
      <c r="E60" s="853">
        <v>1.86</v>
      </c>
      <c r="F60" s="853">
        <v>12.47</v>
      </c>
      <c r="G60" s="853">
        <v>134.69999999999999</v>
      </c>
      <c r="H60" s="855">
        <v>1.115</v>
      </c>
      <c r="I60" s="853">
        <v>0.29899999999999999</v>
      </c>
      <c r="J60" s="316"/>
      <c r="K60" s="316" t="s">
        <v>210</v>
      </c>
      <c r="L60" s="1098">
        <v>45783</v>
      </c>
      <c r="M60" s="552">
        <v>45792</v>
      </c>
      <c r="N60" s="327" t="s">
        <v>1302</v>
      </c>
      <c r="O60" s="327"/>
      <c r="P60" s="547" t="s">
        <v>211</v>
      </c>
    </row>
    <row r="61" spans="1:16" ht="15.5">
      <c r="A61" s="548">
        <f t="shared" si="0"/>
        <v>54</v>
      </c>
      <c r="B61" s="327" t="s">
        <v>435</v>
      </c>
      <c r="C61" s="327"/>
      <c r="D61" s="316" t="s">
        <v>242</v>
      </c>
      <c r="E61" s="853">
        <v>1.86</v>
      </c>
      <c r="F61" s="853">
        <v>12.47</v>
      </c>
      <c r="G61" s="853">
        <v>134.69999999999999</v>
      </c>
      <c r="H61" s="855">
        <v>1.115</v>
      </c>
      <c r="I61" s="853">
        <v>0.29899999999999999</v>
      </c>
      <c r="J61" s="316"/>
      <c r="K61" s="316" t="s">
        <v>210</v>
      </c>
      <c r="L61" s="1098">
        <v>45781</v>
      </c>
      <c r="M61" s="552">
        <v>45795</v>
      </c>
      <c r="N61" s="327" t="s">
        <v>1290</v>
      </c>
      <c r="O61" s="327"/>
      <c r="P61" s="547" t="s">
        <v>211</v>
      </c>
    </row>
    <row r="62" spans="1:16" ht="15.5">
      <c r="A62" s="548">
        <f t="shared" si="0"/>
        <v>55</v>
      </c>
      <c r="B62" s="327" t="s">
        <v>271</v>
      </c>
      <c r="C62" s="327"/>
      <c r="D62" s="316" t="s">
        <v>242</v>
      </c>
      <c r="E62" s="853">
        <v>1.86</v>
      </c>
      <c r="F62" s="853">
        <v>12.47</v>
      </c>
      <c r="G62" s="853">
        <v>134.69999999999999</v>
      </c>
      <c r="H62" s="855">
        <v>1.115</v>
      </c>
      <c r="I62" s="853">
        <v>0.29899999999999999</v>
      </c>
      <c r="J62" s="316"/>
      <c r="K62" s="316" t="s">
        <v>210</v>
      </c>
      <c r="L62" s="1098">
        <v>45790</v>
      </c>
      <c r="M62" s="552">
        <v>45798</v>
      </c>
      <c r="N62" s="327" t="s">
        <v>1117</v>
      </c>
      <c r="O62" s="327"/>
      <c r="P62" s="547" t="s">
        <v>211</v>
      </c>
    </row>
    <row r="63" spans="1:16" ht="14.5">
      <c r="A63" s="548">
        <f t="shared" si="0"/>
        <v>56</v>
      </c>
      <c r="B63" s="327" t="s">
        <v>1311</v>
      </c>
      <c r="C63" s="327"/>
      <c r="D63" s="316" t="s">
        <v>115</v>
      </c>
      <c r="E63" s="316">
        <f>1.09+0.51</f>
        <v>1.6</v>
      </c>
      <c r="F63" s="316">
        <f>4.85+8.28</f>
        <v>13.129999999999999</v>
      </c>
      <c r="G63" s="316">
        <f>63.85+23.4</f>
        <v>87.25</v>
      </c>
      <c r="H63" s="316">
        <f>(581.5+792)/1000</f>
        <v>1.3734999999999999</v>
      </c>
      <c r="I63" s="316">
        <f>(530.392/2+472.512/2)/1000</f>
        <v>0.50145200000000001</v>
      </c>
      <c r="J63" s="316"/>
      <c r="K63" s="316" t="s">
        <v>210</v>
      </c>
      <c r="L63" s="1098">
        <v>45784</v>
      </c>
      <c r="M63" s="552">
        <v>45800</v>
      </c>
      <c r="N63" s="546" t="s">
        <v>254</v>
      </c>
      <c r="O63" s="327"/>
      <c r="P63" s="547" t="s">
        <v>211</v>
      </c>
    </row>
    <row r="64" spans="1:16" ht="15.5">
      <c r="A64" s="548">
        <f t="shared" si="0"/>
        <v>57</v>
      </c>
      <c r="B64" s="327" t="s">
        <v>1327</v>
      </c>
      <c r="C64" s="327"/>
      <c r="D64" s="316" t="s">
        <v>185</v>
      </c>
      <c r="E64" s="853">
        <v>1.86</v>
      </c>
      <c r="F64" s="853">
        <v>12.47</v>
      </c>
      <c r="G64" s="853">
        <v>134.69999999999999</v>
      </c>
      <c r="H64" s="855">
        <v>1.115</v>
      </c>
      <c r="I64" s="853">
        <v>0.29899999999999999</v>
      </c>
      <c r="J64" s="316"/>
      <c r="K64" s="316" t="s">
        <v>210</v>
      </c>
      <c r="L64" s="1098">
        <v>45795</v>
      </c>
      <c r="M64" s="552">
        <v>45802</v>
      </c>
      <c r="N64" s="327" t="s">
        <v>1290</v>
      </c>
      <c r="O64" s="327"/>
      <c r="P64" s="547" t="s">
        <v>211</v>
      </c>
    </row>
    <row r="65" spans="1:16" ht="14.5">
      <c r="A65" s="548">
        <f t="shared" si="0"/>
        <v>58</v>
      </c>
      <c r="B65" s="327" t="s">
        <v>421</v>
      </c>
      <c r="C65" s="327"/>
      <c r="D65" s="316" t="s">
        <v>115</v>
      </c>
      <c r="E65" s="316">
        <v>1.6</v>
      </c>
      <c r="F65" s="316">
        <v>13.13</v>
      </c>
      <c r="G65" s="316">
        <v>87.25</v>
      </c>
      <c r="H65" s="316">
        <v>1.3740000000000001</v>
      </c>
      <c r="I65" s="316">
        <v>0.501</v>
      </c>
      <c r="J65" s="316"/>
      <c r="K65" s="316" t="s">
        <v>292</v>
      </c>
      <c r="L65" s="1098">
        <v>45789</v>
      </c>
      <c r="M65" s="552">
        <v>45806</v>
      </c>
      <c r="N65" s="327" t="s">
        <v>1335</v>
      </c>
      <c r="O65" s="327"/>
      <c r="P65" s="547" t="s">
        <v>211</v>
      </c>
    </row>
    <row r="66" spans="1:16" ht="14.5">
      <c r="A66" s="548">
        <f t="shared" si="0"/>
        <v>59</v>
      </c>
      <c r="B66" s="327" t="s">
        <v>726</v>
      </c>
      <c r="C66" s="327"/>
      <c r="D66" s="316" t="s">
        <v>125</v>
      </c>
      <c r="E66" s="316">
        <f>1.81+1.12</f>
        <v>2.93</v>
      </c>
      <c r="F66" s="316">
        <f>8.16+12.18</f>
        <v>20.34</v>
      </c>
      <c r="G66" s="316">
        <f>79.95+144.9</f>
        <v>224.85000000000002</v>
      </c>
      <c r="H66" s="316">
        <f>1.476+1.188</f>
        <v>2.6639999999999997</v>
      </c>
      <c r="I66" s="316">
        <f>(265.195+236.256)/1000</f>
        <v>0.50145099999999998</v>
      </c>
      <c r="J66" s="316"/>
      <c r="K66" s="316" t="s">
        <v>210</v>
      </c>
      <c r="L66" s="1098">
        <v>45793</v>
      </c>
      <c r="M66" s="552">
        <v>45805</v>
      </c>
      <c r="N66" s="327" t="s">
        <v>1302</v>
      </c>
      <c r="O66" s="327"/>
      <c r="P66" s="547" t="s">
        <v>211</v>
      </c>
    </row>
    <row r="67" spans="1:16" ht="15.5">
      <c r="A67" s="548">
        <f t="shared" si="0"/>
        <v>60</v>
      </c>
      <c r="B67" s="327" t="s">
        <v>283</v>
      </c>
      <c r="C67" s="327"/>
      <c r="D67" s="316" t="s">
        <v>242</v>
      </c>
      <c r="E67" s="853">
        <v>1.86</v>
      </c>
      <c r="F67" s="853">
        <v>12.47</v>
      </c>
      <c r="G67" s="853">
        <v>134.69999999999999</v>
      </c>
      <c r="H67" s="855">
        <v>1.115</v>
      </c>
      <c r="I67" s="853">
        <v>0.29899999999999999</v>
      </c>
      <c r="J67" s="316"/>
      <c r="K67" s="316" t="s">
        <v>210</v>
      </c>
      <c r="L67" s="1098">
        <v>45779</v>
      </c>
      <c r="M67" s="552">
        <v>45808</v>
      </c>
      <c r="N67" s="327" t="s">
        <v>1117</v>
      </c>
      <c r="O67" s="327"/>
      <c r="P67" s="547" t="s">
        <v>211</v>
      </c>
    </row>
    <row r="68" spans="1:16" ht="15.5">
      <c r="A68" s="548">
        <f t="shared" si="0"/>
        <v>61</v>
      </c>
      <c r="B68" s="348" t="s">
        <v>269</v>
      </c>
      <c r="C68" s="327"/>
      <c r="D68" s="647" t="s">
        <v>182</v>
      </c>
      <c r="E68" s="853">
        <v>1.57</v>
      </c>
      <c r="F68" s="853">
        <v>11.05</v>
      </c>
      <c r="G68" s="853">
        <v>115.3</v>
      </c>
      <c r="H68" s="855">
        <v>0.91900000000000004</v>
      </c>
      <c r="I68" s="856">
        <v>0.29899999999999999</v>
      </c>
      <c r="J68" s="647"/>
      <c r="K68" s="647" t="s">
        <v>210</v>
      </c>
      <c r="L68" s="1126">
        <v>45799</v>
      </c>
      <c r="M68" s="645">
        <v>45812</v>
      </c>
      <c r="N68" s="642" t="s">
        <v>1117</v>
      </c>
      <c r="O68" s="327"/>
      <c r="P68" s="547" t="s">
        <v>211</v>
      </c>
    </row>
    <row r="69" spans="1:16" ht="15.5">
      <c r="A69" s="548">
        <f t="shared" si="0"/>
        <v>62</v>
      </c>
      <c r="B69" s="652" t="s">
        <v>477</v>
      </c>
      <c r="C69" s="556"/>
      <c r="D69" s="647" t="s">
        <v>242</v>
      </c>
      <c r="E69" s="853">
        <v>1.86</v>
      </c>
      <c r="F69" s="853">
        <v>12.47</v>
      </c>
      <c r="G69" s="853">
        <v>134.69999999999999</v>
      </c>
      <c r="H69" s="855">
        <v>1.115</v>
      </c>
      <c r="I69" s="853">
        <v>0.29899999999999999</v>
      </c>
      <c r="J69" s="647"/>
      <c r="K69" s="647" t="s">
        <v>210</v>
      </c>
      <c r="L69" s="1126">
        <v>45807</v>
      </c>
      <c r="M69" s="646">
        <v>45813</v>
      </c>
      <c r="N69" s="643" t="s">
        <v>1369</v>
      </c>
      <c r="O69" s="556"/>
      <c r="P69" s="547" t="s">
        <v>211</v>
      </c>
    </row>
    <row r="70" spans="1:16" ht="14.5">
      <c r="A70" s="548">
        <f t="shared" si="0"/>
        <v>63</v>
      </c>
      <c r="B70" s="348" t="s">
        <v>1334</v>
      </c>
      <c r="C70" s="327"/>
      <c r="D70" s="647" t="s">
        <v>115</v>
      </c>
      <c r="E70" s="316">
        <v>1.6</v>
      </c>
      <c r="F70" s="316">
        <v>13.13</v>
      </c>
      <c r="G70" s="316">
        <v>87.25</v>
      </c>
      <c r="H70" s="316">
        <v>1.3740000000000001</v>
      </c>
      <c r="I70" s="316">
        <v>0.501</v>
      </c>
      <c r="J70" s="647"/>
      <c r="K70" s="647" t="s">
        <v>292</v>
      </c>
      <c r="L70" s="1126">
        <v>45805</v>
      </c>
      <c r="M70" s="645">
        <v>45814</v>
      </c>
      <c r="N70" s="327" t="s">
        <v>1290</v>
      </c>
      <c r="O70" s="327"/>
      <c r="P70" s="547" t="s">
        <v>211</v>
      </c>
    </row>
    <row r="71" spans="1:16" ht="14.5">
      <c r="A71" s="548">
        <f t="shared" si="0"/>
        <v>64</v>
      </c>
      <c r="B71" s="652" t="s">
        <v>1368</v>
      </c>
      <c r="C71" s="327"/>
      <c r="D71" s="647" t="s">
        <v>115</v>
      </c>
      <c r="E71" s="316">
        <f>1.09+0.51</f>
        <v>1.6</v>
      </c>
      <c r="F71" s="316">
        <f>4.85+8.28</f>
        <v>13.129999999999999</v>
      </c>
      <c r="G71" s="316">
        <f>63.85+23.4</f>
        <v>87.25</v>
      </c>
      <c r="H71" s="316">
        <f>(581.5+792)/1000</f>
        <v>1.3734999999999999</v>
      </c>
      <c r="I71" s="316">
        <f>(530.392/2+472.512/2)/1000</f>
        <v>0.50145200000000001</v>
      </c>
      <c r="J71" s="647"/>
      <c r="K71" s="647" t="s">
        <v>210</v>
      </c>
      <c r="L71" s="1127">
        <v>45809</v>
      </c>
      <c r="M71" s="917">
        <v>45815</v>
      </c>
      <c r="N71" s="850" t="s">
        <v>1614</v>
      </c>
      <c r="O71" s="327"/>
      <c r="P71" s="547" t="s">
        <v>211</v>
      </c>
    </row>
    <row r="72" spans="1:16" ht="15.5">
      <c r="A72" s="548">
        <f t="shared" si="0"/>
        <v>65</v>
      </c>
      <c r="B72" s="643" t="s">
        <v>393</v>
      </c>
      <c r="C72" s="556"/>
      <c r="D72" s="647" t="s">
        <v>182</v>
      </c>
      <c r="E72" s="853">
        <v>1.57</v>
      </c>
      <c r="F72" s="853">
        <v>11.05</v>
      </c>
      <c r="G72" s="853">
        <v>115.3</v>
      </c>
      <c r="H72" s="855">
        <v>0.91900000000000004</v>
      </c>
      <c r="I72" s="856">
        <v>0.29899999999999999</v>
      </c>
      <c r="J72" s="647"/>
      <c r="K72" s="647" t="s">
        <v>210</v>
      </c>
      <c r="L72" s="1126">
        <v>45810</v>
      </c>
      <c r="M72" s="645">
        <v>45818</v>
      </c>
      <c r="N72" s="546" t="s">
        <v>254</v>
      </c>
      <c r="O72" s="327"/>
      <c r="P72" s="547" t="s">
        <v>211</v>
      </c>
    </row>
    <row r="73" spans="1:16" ht="14.5">
      <c r="A73" s="548">
        <f t="shared" si="0"/>
        <v>66</v>
      </c>
      <c r="B73" s="643" t="s">
        <v>1371</v>
      </c>
      <c r="C73" s="556"/>
      <c r="D73" s="647" t="s">
        <v>125</v>
      </c>
      <c r="E73" s="316">
        <f>1.81+1.12</f>
        <v>2.93</v>
      </c>
      <c r="F73" s="316">
        <f>8.16+12.18</f>
        <v>20.34</v>
      </c>
      <c r="G73" s="316">
        <f>79.95+144.9</f>
        <v>224.85000000000002</v>
      </c>
      <c r="H73" s="316">
        <f>1.476+1.188</f>
        <v>2.6639999999999997</v>
      </c>
      <c r="I73" s="316">
        <f>(265.195+236.256)/1000</f>
        <v>0.50145099999999998</v>
      </c>
      <c r="J73" s="647"/>
      <c r="K73" s="647" t="s">
        <v>210</v>
      </c>
      <c r="L73" s="1126">
        <v>45877</v>
      </c>
      <c r="M73" s="918">
        <v>45820</v>
      </c>
      <c r="N73" s="850" t="s">
        <v>1614</v>
      </c>
      <c r="O73" s="327"/>
      <c r="P73" s="547" t="s">
        <v>211</v>
      </c>
    </row>
    <row r="74" spans="1:16" ht="15.5">
      <c r="A74" s="548">
        <f t="shared" ref="A74:A137" si="1">A73+1</f>
        <v>67</v>
      </c>
      <c r="B74" s="652" t="s">
        <v>811</v>
      </c>
      <c r="C74" s="652"/>
      <c r="D74" s="930" t="s">
        <v>182</v>
      </c>
      <c r="E74" s="927">
        <v>1.57</v>
      </c>
      <c r="F74" s="927">
        <v>11.05</v>
      </c>
      <c r="G74" s="927">
        <v>115.3</v>
      </c>
      <c r="H74" s="928">
        <v>0.91900000000000004</v>
      </c>
      <c r="I74" s="929">
        <v>0.29899999999999999</v>
      </c>
      <c r="J74" s="930"/>
      <c r="K74" s="930" t="s">
        <v>210</v>
      </c>
      <c r="L74" s="1127">
        <v>45810</v>
      </c>
      <c r="M74" s="918">
        <v>45816</v>
      </c>
      <c r="N74" s="922" t="s">
        <v>1575</v>
      </c>
      <c r="O74" s="652"/>
      <c r="P74" s="547" t="s">
        <v>211</v>
      </c>
    </row>
    <row r="75" spans="1:16" ht="15.5">
      <c r="A75" s="548">
        <f t="shared" si="1"/>
        <v>68</v>
      </c>
      <c r="B75" s="643" t="s">
        <v>814</v>
      </c>
      <c r="C75" s="556"/>
      <c r="D75" s="647" t="s">
        <v>182</v>
      </c>
      <c r="E75" s="853">
        <v>1.57</v>
      </c>
      <c r="F75" s="853">
        <v>11.05</v>
      </c>
      <c r="G75" s="853">
        <v>115.3</v>
      </c>
      <c r="H75" s="855">
        <v>0.91900000000000004</v>
      </c>
      <c r="I75" s="856">
        <v>0.29899999999999999</v>
      </c>
      <c r="J75" s="647"/>
      <c r="K75" s="647" t="s">
        <v>210</v>
      </c>
      <c r="L75" s="1126">
        <v>45812</v>
      </c>
      <c r="M75" s="646">
        <v>45820</v>
      </c>
      <c r="N75" s="643" t="s">
        <v>232</v>
      </c>
      <c r="O75" s="556"/>
      <c r="P75" s="547" t="s">
        <v>211</v>
      </c>
    </row>
    <row r="76" spans="1:16" ht="14.5">
      <c r="A76" s="548">
        <f t="shared" si="1"/>
        <v>69</v>
      </c>
      <c r="B76" s="643" t="s">
        <v>1370</v>
      </c>
      <c r="C76" s="556"/>
      <c r="D76" s="647" t="s">
        <v>143</v>
      </c>
      <c r="E76" s="316">
        <f>1.81+1.12</f>
        <v>2.93</v>
      </c>
      <c r="F76" s="316">
        <f>8.16+12.18</f>
        <v>20.34</v>
      </c>
      <c r="G76" s="316">
        <f>79.95+144.9</f>
        <v>224.85000000000002</v>
      </c>
      <c r="H76" s="316">
        <f>1.476+1.188</f>
        <v>2.6639999999999997</v>
      </c>
      <c r="I76" s="316">
        <f>(265.195+236.256)/1000</f>
        <v>0.50145099999999998</v>
      </c>
      <c r="J76" s="647"/>
      <c r="K76" s="647" t="s">
        <v>210</v>
      </c>
      <c r="L76" s="1126">
        <v>45813</v>
      </c>
      <c r="M76" s="645">
        <v>45823</v>
      </c>
      <c r="N76" s="642" t="s">
        <v>1369</v>
      </c>
      <c r="O76" s="327"/>
      <c r="P76" s="547" t="s">
        <v>211</v>
      </c>
    </row>
    <row r="77" spans="1:16" ht="15.5">
      <c r="A77" s="548">
        <f t="shared" si="1"/>
        <v>70</v>
      </c>
      <c r="B77" s="642" t="s">
        <v>392</v>
      </c>
      <c r="C77" s="327"/>
      <c r="D77" s="647" t="s">
        <v>242</v>
      </c>
      <c r="E77" s="853">
        <v>1.86</v>
      </c>
      <c r="F77" s="853">
        <v>12.47</v>
      </c>
      <c r="G77" s="853">
        <v>134.69999999999999</v>
      </c>
      <c r="H77" s="855">
        <v>1.115</v>
      </c>
      <c r="I77" s="853">
        <v>0.29899999999999999</v>
      </c>
      <c r="J77" s="647"/>
      <c r="K77" s="647" t="s">
        <v>210</v>
      </c>
      <c r="L77" s="1126">
        <v>45818</v>
      </c>
      <c r="M77" s="645">
        <v>45823</v>
      </c>
      <c r="N77" s="546" t="s">
        <v>254</v>
      </c>
      <c r="O77" s="327"/>
      <c r="P77" s="547" t="s">
        <v>211</v>
      </c>
    </row>
    <row r="78" spans="1:16" ht="14.5">
      <c r="A78" s="548">
        <f t="shared" si="1"/>
        <v>71</v>
      </c>
      <c r="B78" s="643" t="s">
        <v>193</v>
      </c>
      <c r="C78" s="556"/>
      <c r="D78" s="647" t="s">
        <v>115</v>
      </c>
      <c r="E78" s="316">
        <f t="shared" ref="E78:E79" si="2">1.09+0.51</f>
        <v>1.6</v>
      </c>
      <c r="F78" s="316">
        <f t="shared" ref="F78:F79" si="3">4.85+8.28</f>
        <v>13.129999999999999</v>
      </c>
      <c r="G78" s="316">
        <f t="shared" ref="G78:G79" si="4">63.85+23.4</f>
        <v>87.25</v>
      </c>
      <c r="H78" s="316">
        <f t="shared" ref="H78:H79" si="5">(581.5+792)/1000</f>
        <v>1.3734999999999999</v>
      </c>
      <c r="I78" s="316">
        <f t="shared" ref="I78:I79" si="6">(530.392/2+472.512/2)/1000</f>
        <v>0.50145200000000001</v>
      </c>
      <c r="J78" s="647"/>
      <c r="K78" s="647" t="s">
        <v>210</v>
      </c>
      <c r="L78" s="1126">
        <v>45816</v>
      </c>
      <c r="M78" s="645">
        <v>45823</v>
      </c>
      <c r="N78" s="922" t="s">
        <v>1575</v>
      </c>
      <c r="O78" s="556"/>
      <c r="P78" s="547" t="s">
        <v>211</v>
      </c>
    </row>
    <row r="79" spans="1:16" ht="14.5">
      <c r="A79" s="548">
        <f t="shared" si="1"/>
        <v>72</v>
      </c>
      <c r="B79" s="643" t="s">
        <v>159</v>
      </c>
      <c r="C79" s="556"/>
      <c r="D79" s="647" t="s">
        <v>115</v>
      </c>
      <c r="E79" s="316">
        <f t="shared" si="2"/>
        <v>1.6</v>
      </c>
      <c r="F79" s="316">
        <f t="shared" si="3"/>
        <v>13.129999999999999</v>
      </c>
      <c r="G79" s="316">
        <f t="shared" si="4"/>
        <v>87.25</v>
      </c>
      <c r="H79" s="316">
        <f t="shared" si="5"/>
        <v>1.3734999999999999</v>
      </c>
      <c r="I79" s="316">
        <f t="shared" si="6"/>
        <v>0.50145200000000001</v>
      </c>
      <c r="J79" s="647"/>
      <c r="K79" s="647" t="s">
        <v>210</v>
      </c>
      <c r="L79" s="1126">
        <v>45821</v>
      </c>
      <c r="M79" s="917">
        <v>45824</v>
      </c>
      <c r="N79" s="850" t="s">
        <v>1614</v>
      </c>
      <c r="O79" s="327"/>
      <c r="P79" s="547" t="s">
        <v>211</v>
      </c>
    </row>
    <row r="80" spans="1:16" ht="15.5">
      <c r="A80" s="548">
        <f t="shared" si="1"/>
        <v>73</v>
      </c>
      <c r="B80" s="643" t="s">
        <v>813</v>
      </c>
      <c r="C80" s="556"/>
      <c r="D80" s="647" t="s">
        <v>182</v>
      </c>
      <c r="E80" s="853">
        <v>1.57</v>
      </c>
      <c r="F80" s="853">
        <v>11.05</v>
      </c>
      <c r="G80" s="853">
        <v>115.3</v>
      </c>
      <c r="H80" s="855">
        <v>0.91900000000000004</v>
      </c>
      <c r="I80" s="856">
        <v>0.29899999999999999</v>
      </c>
      <c r="J80" s="647"/>
      <c r="K80" s="647" t="s">
        <v>210</v>
      </c>
      <c r="L80" s="1126">
        <v>45821</v>
      </c>
      <c r="M80" s="645">
        <v>45824</v>
      </c>
      <c r="N80" s="642" t="s">
        <v>1417</v>
      </c>
      <c r="O80" s="327"/>
      <c r="P80" s="547" t="s">
        <v>211</v>
      </c>
    </row>
    <row r="81" spans="1:16" ht="14.5">
      <c r="A81" s="548">
        <f t="shared" si="1"/>
        <v>74</v>
      </c>
      <c r="B81" s="643" t="s">
        <v>157</v>
      </c>
      <c r="C81" s="556"/>
      <c r="D81" s="647" t="s">
        <v>132</v>
      </c>
      <c r="E81" s="647">
        <v>1.68</v>
      </c>
      <c r="F81" s="647">
        <v>12.41</v>
      </c>
      <c r="G81" s="647">
        <v>143.4</v>
      </c>
      <c r="H81" s="647">
        <v>1.728</v>
      </c>
      <c r="I81" s="647">
        <v>0.41399999999999998</v>
      </c>
      <c r="J81" s="647"/>
      <c r="K81" s="647" t="s">
        <v>210</v>
      </c>
      <c r="L81" s="1126">
        <v>45824</v>
      </c>
      <c r="M81" s="918">
        <v>45828</v>
      </c>
      <c r="N81" s="850" t="s">
        <v>1614</v>
      </c>
      <c r="O81" s="556"/>
      <c r="P81" s="547" t="s">
        <v>211</v>
      </c>
    </row>
    <row r="82" spans="1:16" ht="15.5">
      <c r="A82" s="548">
        <f t="shared" si="1"/>
        <v>75</v>
      </c>
      <c r="B82" s="643" t="s">
        <v>810</v>
      </c>
      <c r="C82" s="556"/>
      <c r="D82" s="647" t="s">
        <v>182</v>
      </c>
      <c r="E82" s="853">
        <v>1.57</v>
      </c>
      <c r="F82" s="853">
        <v>11.05</v>
      </c>
      <c r="G82" s="853">
        <v>115.3</v>
      </c>
      <c r="H82" s="855">
        <v>0.91900000000000004</v>
      </c>
      <c r="I82" s="853">
        <v>0.29899999999999999</v>
      </c>
      <c r="J82" s="647"/>
      <c r="K82" s="647" t="s">
        <v>210</v>
      </c>
      <c r="L82" s="1126">
        <v>45823</v>
      </c>
      <c r="M82" s="645">
        <v>45829</v>
      </c>
      <c r="N82" s="922" t="s">
        <v>1575</v>
      </c>
      <c r="O82" s="327"/>
      <c r="P82" s="547" t="s">
        <v>211</v>
      </c>
    </row>
    <row r="83" spans="1:16" ht="15.5">
      <c r="A83" s="548">
        <f t="shared" si="1"/>
        <v>76</v>
      </c>
      <c r="B83" s="644" t="s">
        <v>816</v>
      </c>
      <c r="C83" s="625"/>
      <c r="D83" s="648" t="s">
        <v>182</v>
      </c>
      <c r="E83" s="853">
        <v>1.57</v>
      </c>
      <c r="F83" s="853">
        <v>11.05</v>
      </c>
      <c r="G83" s="853">
        <v>115.3</v>
      </c>
      <c r="H83" s="855">
        <v>0.91900000000000004</v>
      </c>
      <c r="I83" s="853">
        <v>0.29899999999999999</v>
      </c>
      <c r="J83" s="648"/>
      <c r="K83" s="648" t="s">
        <v>210</v>
      </c>
      <c r="L83" s="1128">
        <v>45823</v>
      </c>
      <c r="M83" s="649">
        <v>45830</v>
      </c>
      <c r="N83" s="641" t="s">
        <v>1418</v>
      </c>
      <c r="O83" s="327"/>
      <c r="P83" s="547" t="s">
        <v>211</v>
      </c>
    </row>
    <row r="84" spans="1:16" ht="14.5">
      <c r="A84" s="548">
        <f t="shared" si="1"/>
        <v>77</v>
      </c>
      <c r="B84" s="644" t="s">
        <v>415</v>
      </c>
      <c r="C84" s="548"/>
      <c r="D84" s="648" t="s">
        <v>119</v>
      </c>
      <c r="E84" s="648">
        <v>1.1200000000000001</v>
      </c>
      <c r="F84" s="648">
        <v>9.6300000000000008</v>
      </c>
      <c r="G84" s="648">
        <v>61.2</v>
      </c>
      <c r="H84" s="648">
        <v>1.865</v>
      </c>
      <c r="I84" s="648">
        <v>0.41299999999999998</v>
      </c>
      <c r="J84" s="648"/>
      <c r="K84" s="648" t="s">
        <v>292</v>
      </c>
      <c r="L84" s="1128">
        <v>45824</v>
      </c>
      <c r="M84" s="649">
        <v>45831</v>
      </c>
      <c r="N84" s="327" t="s">
        <v>1290</v>
      </c>
      <c r="O84" s="327"/>
      <c r="P84" s="547" t="s">
        <v>211</v>
      </c>
    </row>
    <row r="85" spans="1:16" ht="15.5">
      <c r="A85" s="548">
        <f t="shared" si="1"/>
        <v>78</v>
      </c>
      <c r="B85" s="625" t="s">
        <v>809</v>
      </c>
      <c r="C85" s="548"/>
      <c r="D85" s="325" t="s">
        <v>182</v>
      </c>
      <c r="E85" s="853">
        <v>1.57</v>
      </c>
      <c r="F85" s="853">
        <v>11.05</v>
      </c>
      <c r="G85" s="853">
        <v>115.3</v>
      </c>
      <c r="H85" s="855">
        <v>0.91900000000000004</v>
      </c>
      <c r="I85" s="856">
        <v>0.29899999999999999</v>
      </c>
      <c r="J85" s="325"/>
      <c r="K85" s="325" t="s">
        <v>210</v>
      </c>
      <c r="L85" s="1089">
        <v>45830</v>
      </c>
      <c r="M85" s="654">
        <v>45833</v>
      </c>
      <c r="N85" s="922" t="s">
        <v>1575</v>
      </c>
      <c r="O85" s="348"/>
      <c r="P85" s="547" t="s">
        <v>211</v>
      </c>
    </row>
    <row r="86" spans="1:16" ht="15.5">
      <c r="A86" s="548">
        <f t="shared" si="1"/>
        <v>79</v>
      </c>
      <c r="B86" s="636" t="s">
        <v>812</v>
      </c>
      <c r="C86" s="636"/>
      <c r="D86" s="857" t="s">
        <v>182</v>
      </c>
      <c r="E86" s="853">
        <v>1.57</v>
      </c>
      <c r="F86" s="853">
        <v>11.05</v>
      </c>
      <c r="G86" s="853">
        <v>115.3</v>
      </c>
      <c r="H86" s="855">
        <v>0.91900000000000004</v>
      </c>
      <c r="I86" s="856">
        <v>0.29899999999999999</v>
      </c>
      <c r="J86" s="857"/>
      <c r="K86" s="857" t="s">
        <v>210</v>
      </c>
      <c r="L86" s="1129">
        <v>45830</v>
      </c>
      <c r="M86" s="655">
        <v>45833</v>
      </c>
      <c r="N86" s="656" t="s">
        <v>1499</v>
      </c>
      <c r="O86" s="653"/>
      <c r="P86" s="547" t="s">
        <v>211</v>
      </c>
    </row>
    <row r="87" spans="1:16" ht="14.5">
      <c r="A87" s="548">
        <f t="shared" si="1"/>
        <v>80</v>
      </c>
      <c r="B87" s="658" t="s">
        <v>1496</v>
      </c>
      <c r="C87" s="658"/>
      <c r="D87" s="858" t="s">
        <v>119</v>
      </c>
      <c r="E87" s="647">
        <v>1.68</v>
      </c>
      <c r="F87" s="647">
        <v>12.41</v>
      </c>
      <c r="G87" s="647">
        <v>143.4</v>
      </c>
      <c r="H87" s="647">
        <v>1.728</v>
      </c>
      <c r="I87" s="647">
        <v>0.41399999999999998</v>
      </c>
      <c r="J87" s="858"/>
      <c r="K87" s="858" t="s">
        <v>210</v>
      </c>
      <c r="L87" s="1130">
        <v>45828</v>
      </c>
      <c r="M87" s="919">
        <v>45834</v>
      </c>
      <c r="N87" s="850" t="s">
        <v>1614</v>
      </c>
      <c r="O87" s="551"/>
      <c r="P87" s="547" t="s">
        <v>211</v>
      </c>
    </row>
    <row r="88" spans="1:16" ht="14.5">
      <c r="A88" s="548">
        <f t="shared" si="1"/>
        <v>81</v>
      </c>
      <c r="B88" s="625" t="s">
        <v>1303</v>
      </c>
      <c r="C88" s="625"/>
      <c r="D88" s="325" t="s">
        <v>125</v>
      </c>
      <c r="E88" s="316">
        <f>1.81+1.12</f>
        <v>2.93</v>
      </c>
      <c r="F88" s="316">
        <f>8.16+12.18</f>
        <v>20.34</v>
      </c>
      <c r="G88" s="316">
        <f>79.95+144.9</f>
        <v>224.85000000000002</v>
      </c>
      <c r="H88" s="316">
        <f>1.476+1.188</f>
        <v>2.6639999999999997</v>
      </c>
      <c r="I88" s="316">
        <f>(265.195+236.256)/1000</f>
        <v>0.50145099999999998</v>
      </c>
      <c r="J88" s="325"/>
      <c r="K88" s="325" t="s">
        <v>210</v>
      </c>
      <c r="L88" s="1089">
        <v>45825</v>
      </c>
      <c r="M88" s="660">
        <v>45835</v>
      </c>
      <c r="N88" s="1161" t="s">
        <v>254</v>
      </c>
      <c r="O88" s="651"/>
      <c r="P88" s="547" t="s">
        <v>211</v>
      </c>
    </row>
    <row r="89" spans="1:16" ht="15.5">
      <c r="A89" s="548">
        <f t="shared" si="1"/>
        <v>82</v>
      </c>
      <c r="B89" s="636" t="s">
        <v>372</v>
      </c>
      <c r="C89" s="636"/>
      <c r="D89" s="857" t="s">
        <v>185</v>
      </c>
      <c r="E89" s="853"/>
      <c r="F89" s="853"/>
      <c r="G89" s="853"/>
      <c r="H89" s="855"/>
      <c r="I89" s="853">
        <v>0.29899999999999999</v>
      </c>
      <c r="J89" s="857"/>
      <c r="K89" s="857" t="s">
        <v>292</v>
      </c>
      <c r="L89" s="1098">
        <v>45833</v>
      </c>
      <c r="M89" s="920">
        <v>45838</v>
      </c>
      <c r="N89" s="850" t="s">
        <v>1614</v>
      </c>
      <c r="O89" s="651"/>
      <c r="P89" s="547" t="s">
        <v>211</v>
      </c>
    </row>
    <row r="90" spans="1:16" ht="14.5">
      <c r="A90" s="548">
        <f t="shared" si="1"/>
        <v>83</v>
      </c>
      <c r="B90" s="625" t="s">
        <v>1372</v>
      </c>
      <c r="C90" s="625"/>
      <c r="D90" s="325" t="s">
        <v>115</v>
      </c>
      <c r="E90" s="316">
        <f>1.09+0.51</f>
        <v>1.6</v>
      </c>
      <c r="F90" s="316">
        <f>4.85+8.28</f>
        <v>13.129999999999999</v>
      </c>
      <c r="G90" s="316">
        <f>63.85+23.4</f>
        <v>87.25</v>
      </c>
      <c r="H90" s="316">
        <f>(581.5+792)/1000</f>
        <v>1.3734999999999999</v>
      </c>
      <c r="I90" s="316">
        <f>(530.392/2+472.512/2)/1000</f>
        <v>0.50145200000000001</v>
      </c>
      <c r="J90" s="325"/>
      <c r="K90" s="325" t="s">
        <v>210</v>
      </c>
      <c r="L90" s="1089">
        <v>45818</v>
      </c>
      <c r="M90" s="847">
        <v>45838</v>
      </c>
      <c r="N90" s="625" t="s">
        <v>1373</v>
      </c>
      <c r="O90" s="652"/>
      <c r="P90" s="547" t="s">
        <v>211</v>
      </c>
    </row>
    <row r="91" spans="1:16" ht="15.5">
      <c r="A91" s="548">
        <f t="shared" si="1"/>
        <v>84</v>
      </c>
      <c r="B91" s="556" t="s">
        <v>808</v>
      </c>
      <c r="C91" s="327"/>
      <c r="D91" s="316" t="s">
        <v>185</v>
      </c>
      <c r="E91" s="853">
        <v>1.86</v>
      </c>
      <c r="F91" s="853">
        <v>12.47</v>
      </c>
      <c r="G91" s="853">
        <v>134.69999999999999</v>
      </c>
      <c r="H91" s="855">
        <v>1.115</v>
      </c>
      <c r="I91" s="853">
        <v>0.29899999999999999</v>
      </c>
      <c r="J91" s="316"/>
      <c r="K91" s="316" t="s">
        <v>210</v>
      </c>
      <c r="L91" s="1098">
        <v>45833</v>
      </c>
      <c r="M91" s="847">
        <v>45838</v>
      </c>
      <c r="N91" s="922" t="s">
        <v>1575</v>
      </c>
      <c r="O91" s="327"/>
      <c r="P91" s="547" t="s">
        <v>211</v>
      </c>
    </row>
    <row r="92" spans="1:16" ht="15.5">
      <c r="A92" s="548">
        <f t="shared" si="1"/>
        <v>85</v>
      </c>
      <c r="B92" s="556" t="s">
        <v>817</v>
      </c>
      <c r="C92" s="556"/>
      <c r="D92" s="316" t="s">
        <v>182</v>
      </c>
      <c r="E92" s="853">
        <v>1.57</v>
      </c>
      <c r="F92" s="853">
        <v>11.05</v>
      </c>
      <c r="G92" s="853">
        <v>115.3</v>
      </c>
      <c r="H92" s="855">
        <v>0.91900000000000004</v>
      </c>
      <c r="I92" s="856">
        <v>0.29899999999999999</v>
      </c>
      <c r="J92" s="316"/>
      <c r="K92" s="316" t="s">
        <v>210</v>
      </c>
      <c r="L92" s="1098">
        <v>45833</v>
      </c>
      <c r="M92" s="847">
        <v>45838</v>
      </c>
      <c r="N92" s="327" t="s">
        <v>1418</v>
      </c>
      <c r="O92" s="327"/>
      <c r="P92" s="547" t="s">
        <v>211</v>
      </c>
    </row>
    <row r="93" spans="1:16" ht="14.5">
      <c r="A93" s="548">
        <f t="shared" si="1"/>
        <v>86</v>
      </c>
      <c r="B93" s="636" t="s">
        <v>412</v>
      </c>
      <c r="C93" s="556"/>
      <c r="D93" s="316" t="s">
        <v>119</v>
      </c>
      <c r="E93" s="648">
        <v>1.1200000000000001</v>
      </c>
      <c r="F93" s="648">
        <v>9.6300000000000008</v>
      </c>
      <c r="G93" s="648">
        <v>61.2</v>
      </c>
      <c r="H93" s="648">
        <v>1.865</v>
      </c>
      <c r="I93" s="648">
        <v>0.41299999999999998</v>
      </c>
      <c r="J93" s="316"/>
      <c r="K93" s="316" t="s">
        <v>292</v>
      </c>
      <c r="L93" s="1098">
        <v>45831</v>
      </c>
      <c r="M93" s="552">
        <v>45842</v>
      </c>
      <c r="N93" s="970" t="s">
        <v>1669</v>
      </c>
      <c r="O93" s="327"/>
      <c r="P93" s="547" t="s">
        <v>211</v>
      </c>
    </row>
    <row r="94" spans="1:16" ht="15.5">
      <c r="A94" s="548">
        <f t="shared" si="1"/>
        <v>87</v>
      </c>
      <c r="B94" s="548" t="s">
        <v>820</v>
      </c>
      <c r="C94" s="548"/>
      <c r="D94" s="325" t="s">
        <v>182</v>
      </c>
      <c r="E94" s="861">
        <v>1.57</v>
      </c>
      <c r="F94" s="861">
        <v>11.05</v>
      </c>
      <c r="G94" s="861">
        <v>115.3</v>
      </c>
      <c r="H94" s="860">
        <v>0.91900000000000004</v>
      </c>
      <c r="I94" s="862">
        <v>0.29899999999999999</v>
      </c>
      <c r="J94" s="548"/>
      <c r="K94" s="325" t="s">
        <v>210</v>
      </c>
      <c r="L94" s="1089">
        <v>45835</v>
      </c>
      <c r="M94" s="552">
        <v>45843</v>
      </c>
      <c r="N94" s="548" t="s">
        <v>1499</v>
      </c>
      <c r="O94" s="548"/>
      <c r="P94" s="547" t="s">
        <v>211</v>
      </c>
    </row>
    <row r="95" spans="1:16" ht="14.5">
      <c r="A95" s="548">
        <f t="shared" si="1"/>
        <v>88</v>
      </c>
      <c r="B95" s="849" t="s">
        <v>727</v>
      </c>
      <c r="C95" s="850"/>
      <c r="D95" s="859" t="s">
        <v>128</v>
      </c>
      <c r="E95" s="316">
        <v>1.6</v>
      </c>
      <c r="F95" s="316">
        <v>13.13</v>
      </c>
      <c r="G95" s="316">
        <v>87.25</v>
      </c>
      <c r="H95" s="316">
        <v>1.3740000000000001</v>
      </c>
      <c r="I95" s="316">
        <v>0.501</v>
      </c>
      <c r="J95" s="859"/>
      <c r="K95" s="859" t="s">
        <v>210</v>
      </c>
      <c r="L95" s="1131">
        <v>45833</v>
      </c>
      <c r="M95" s="552">
        <v>45844</v>
      </c>
      <c r="N95" s="327" t="s">
        <v>1290</v>
      </c>
      <c r="O95" s="852"/>
      <c r="P95" s="547" t="s">
        <v>211</v>
      </c>
    </row>
    <row r="96" spans="1:16" ht="15.5">
      <c r="A96" s="548">
        <f t="shared" si="1"/>
        <v>89</v>
      </c>
      <c r="B96" s="548" t="s">
        <v>818</v>
      </c>
      <c r="C96" s="548"/>
      <c r="D96" s="325" t="s">
        <v>182</v>
      </c>
      <c r="E96" s="861">
        <v>1.57</v>
      </c>
      <c r="F96" s="861">
        <v>11.05</v>
      </c>
      <c r="G96" s="861">
        <v>115.3</v>
      </c>
      <c r="H96" s="860">
        <v>0.91900000000000004</v>
      </c>
      <c r="I96" s="861">
        <v>0.29899999999999999</v>
      </c>
      <c r="J96" s="548"/>
      <c r="K96" s="325" t="s">
        <v>210</v>
      </c>
      <c r="L96" s="1089">
        <v>45842</v>
      </c>
      <c r="M96" s="654">
        <v>45846</v>
      </c>
      <c r="N96" s="548" t="s">
        <v>1499</v>
      </c>
      <c r="O96" s="548"/>
      <c r="P96" s="547" t="s">
        <v>211</v>
      </c>
    </row>
    <row r="97" spans="1:16" ht="14.5">
      <c r="A97" s="548">
        <f t="shared" si="1"/>
        <v>90</v>
      </c>
      <c r="B97" s="327" t="s">
        <v>1571</v>
      </c>
      <c r="C97" s="327"/>
      <c r="D97" s="316" t="s">
        <v>115</v>
      </c>
      <c r="E97" s="327">
        <f>1.09+0.51</f>
        <v>1.6</v>
      </c>
      <c r="F97" s="327">
        <f>4.85+8.28</f>
        <v>13.129999999999999</v>
      </c>
      <c r="G97" s="327">
        <f>63.85+23.4</f>
        <v>87.25</v>
      </c>
      <c r="H97" s="327">
        <f>(581.5+792)/1000</f>
        <v>1.3734999999999999</v>
      </c>
      <c r="I97" s="327">
        <f>530.392/2+472.512/2</f>
        <v>501.452</v>
      </c>
      <c r="J97" s="327"/>
      <c r="K97" s="316" t="s">
        <v>210</v>
      </c>
      <c r="L97" s="1098">
        <v>45841</v>
      </c>
      <c r="M97" s="654">
        <v>45846</v>
      </c>
      <c r="N97" s="922" t="s">
        <v>1575</v>
      </c>
      <c r="O97" s="327"/>
      <c r="P97" s="547" t="s">
        <v>211</v>
      </c>
    </row>
    <row r="98" spans="1:16" ht="14.5">
      <c r="A98" s="548">
        <f t="shared" si="1"/>
        <v>91</v>
      </c>
      <c r="B98" s="636" t="s">
        <v>270</v>
      </c>
      <c r="C98" s="636"/>
      <c r="D98" s="857" t="s">
        <v>188</v>
      </c>
      <c r="E98" s="879">
        <v>1.46</v>
      </c>
      <c r="F98" s="879">
        <v>15.22</v>
      </c>
      <c r="G98" s="879">
        <v>82</v>
      </c>
      <c r="H98" s="879">
        <v>1.7230000000000001</v>
      </c>
      <c r="I98" s="636">
        <f>0.162+0.414</f>
        <v>0.57599999999999996</v>
      </c>
      <c r="J98" s="636" t="s">
        <v>454</v>
      </c>
      <c r="K98" s="857" t="s">
        <v>210</v>
      </c>
      <c r="L98" s="1129">
        <v>45836</v>
      </c>
      <c r="M98" s="847">
        <v>45848</v>
      </c>
      <c r="N98" s="880" t="s">
        <v>1601</v>
      </c>
      <c r="O98" s="651"/>
      <c r="P98" s="547" t="s">
        <v>211</v>
      </c>
    </row>
    <row r="99" spans="1:16" ht="15.5">
      <c r="A99" s="548">
        <f t="shared" si="1"/>
        <v>92</v>
      </c>
      <c r="B99" s="656" t="s">
        <v>463</v>
      </c>
      <c r="C99" s="656"/>
      <c r="D99" s="857" t="s">
        <v>248</v>
      </c>
      <c r="E99" s="877">
        <v>1.86</v>
      </c>
      <c r="F99" s="877">
        <v>12.47</v>
      </c>
      <c r="G99" s="877">
        <v>134.69999999999999</v>
      </c>
      <c r="H99" s="878">
        <v>1.115</v>
      </c>
      <c r="I99" s="877">
        <v>0.29899999999999999</v>
      </c>
      <c r="J99" s="327"/>
      <c r="K99" s="316" t="s">
        <v>210</v>
      </c>
      <c r="L99" s="1098">
        <v>45842</v>
      </c>
      <c r="M99" s="847">
        <v>45848</v>
      </c>
      <c r="N99" s="374" t="s">
        <v>1603</v>
      </c>
      <c r="O99" s="348"/>
      <c r="P99" s="547" t="s">
        <v>211</v>
      </c>
    </row>
    <row r="100" spans="1:16" ht="14.5">
      <c r="A100" s="548">
        <f t="shared" si="1"/>
        <v>93</v>
      </c>
      <c r="B100" s="876" t="s">
        <v>819</v>
      </c>
      <c r="C100" s="656"/>
      <c r="D100" s="857" t="s">
        <v>182</v>
      </c>
      <c r="E100" s="857"/>
      <c r="F100" s="857"/>
      <c r="G100" s="857"/>
      <c r="H100" s="857"/>
      <c r="I100" s="857"/>
      <c r="J100" s="857"/>
      <c r="K100" s="857" t="s">
        <v>210</v>
      </c>
      <c r="L100" s="1129">
        <v>45845</v>
      </c>
      <c r="M100" s="847">
        <v>45848</v>
      </c>
      <c r="N100" s="656" t="s">
        <v>1499</v>
      </c>
      <c r="O100" s="656"/>
      <c r="P100" s="547" t="s">
        <v>211</v>
      </c>
    </row>
    <row r="101" spans="1:16" ht="14.5">
      <c r="A101" s="548">
        <f t="shared" si="1"/>
        <v>94</v>
      </c>
      <c r="B101" s="636" t="s">
        <v>168</v>
      </c>
      <c r="C101" s="636"/>
      <c r="D101" s="857" t="s">
        <v>167</v>
      </c>
      <c r="E101" s="636">
        <v>1.68</v>
      </c>
      <c r="F101" s="636">
        <v>12.41</v>
      </c>
      <c r="G101" s="636">
        <v>143.4</v>
      </c>
      <c r="H101" s="636">
        <v>1.728</v>
      </c>
      <c r="I101" s="636">
        <v>0.41399999999999998</v>
      </c>
      <c r="J101" s="636"/>
      <c r="K101" s="857" t="s">
        <v>210</v>
      </c>
      <c r="L101" s="1129">
        <v>45835</v>
      </c>
      <c r="M101" s="847">
        <v>45849</v>
      </c>
      <c r="N101" s="970" t="s">
        <v>1669</v>
      </c>
      <c r="O101" s="636"/>
      <c r="P101" s="547" t="s">
        <v>211</v>
      </c>
    </row>
    <row r="102" spans="1:16" ht="14.5">
      <c r="A102" s="548">
        <f t="shared" si="1"/>
        <v>95</v>
      </c>
      <c r="B102" s="876" t="s">
        <v>790</v>
      </c>
      <c r="C102" s="656"/>
      <c r="D102" s="857" t="s">
        <v>182</v>
      </c>
      <c r="E102" s="857"/>
      <c r="F102" s="857"/>
      <c r="G102" s="857"/>
      <c r="H102" s="857"/>
      <c r="I102" s="857"/>
      <c r="J102" s="857"/>
      <c r="K102" s="857" t="s">
        <v>210</v>
      </c>
      <c r="L102" s="1129">
        <v>45845</v>
      </c>
      <c r="M102" s="847">
        <v>45849</v>
      </c>
      <c r="N102" s="876" t="s">
        <v>1570</v>
      </c>
      <c r="O102" s="656"/>
      <c r="P102" s="547" t="s">
        <v>211</v>
      </c>
    </row>
    <row r="103" spans="1:16" ht="14.5">
      <c r="A103" s="548">
        <f t="shared" si="1"/>
        <v>96</v>
      </c>
      <c r="B103" s="556" t="s">
        <v>821</v>
      </c>
      <c r="C103" s="556"/>
      <c r="D103" s="316" t="s">
        <v>182</v>
      </c>
      <c r="E103" s="316"/>
      <c r="F103" s="316"/>
      <c r="G103" s="316"/>
      <c r="H103" s="316"/>
      <c r="I103" s="316"/>
      <c r="J103" s="316"/>
      <c r="K103" s="316" t="s">
        <v>210</v>
      </c>
      <c r="L103" s="1098">
        <v>45848</v>
      </c>
      <c r="M103" s="552">
        <v>45850</v>
      </c>
      <c r="N103" s="656" t="s">
        <v>1499</v>
      </c>
      <c r="O103" s="327"/>
      <c r="P103" s="547" t="s">
        <v>211</v>
      </c>
    </row>
    <row r="104" spans="1:16" ht="14.5">
      <c r="A104" s="548">
        <f t="shared" si="1"/>
        <v>97</v>
      </c>
      <c r="B104" s="876" t="s">
        <v>791</v>
      </c>
      <c r="C104" s="656"/>
      <c r="D104" s="857" t="s">
        <v>242</v>
      </c>
      <c r="E104" s="857"/>
      <c r="F104" s="857"/>
      <c r="G104" s="857"/>
      <c r="H104" s="857"/>
      <c r="I104" s="857"/>
      <c r="J104" s="857"/>
      <c r="K104" s="857" t="s">
        <v>210</v>
      </c>
      <c r="L104" s="1129">
        <v>45847</v>
      </c>
      <c r="M104" s="655">
        <v>45851</v>
      </c>
      <c r="N104" s="876" t="s">
        <v>1570</v>
      </c>
      <c r="O104" s="327"/>
      <c r="P104" s="547" t="s">
        <v>211</v>
      </c>
    </row>
    <row r="105" spans="1:16" ht="14.5">
      <c r="A105" s="548">
        <f t="shared" si="1"/>
        <v>98</v>
      </c>
      <c r="B105" s="556" t="s">
        <v>806</v>
      </c>
      <c r="C105" s="556"/>
      <c r="D105" s="316" t="s">
        <v>185</v>
      </c>
      <c r="E105" s="556"/>
      <c r="F105" s="556"/>
      <c r="G105" s="556"/>
      <c r="H105" s="556"/>
      <c r="I105" s="556"/>
      <c r="J105" s="556"/>
      <c r="K105" s="316" t="s">
        <v>210</v>
      </c>
      <c r="L105" s="1098">
        <v>45847</v>
      </c>
      <c r="M105" s="655">
        <v>45851</v>
      </c>
      <c r="N105" s="922" t="s">
        <v>1575</v>
      </c>
      <c r="O105" s="556"/>
      <c r="P105" s="547" t="s">
        <v>211</v>
      </c>
    </row>
    <row r="106" spans="1:16" ht="14.5">
      <c r="A106" s="548">
        <f t="shared" si="1"/>
        <v>99</v>
      </c>
      <c r="B106" s="556" t="s">
        <v>765</v>
      </c>
      <c r="C106" s="556"/>
      <c r="D106" s="316" t="s">
        <v>185</v>
      </c>
      <c r="E106" s="316"/>
      <c r="F106" s="316"/>
      <c r="G106" s="316"/>
      <c r="H106" s="316"/>
      <c r="I106" s="316"/>
      <c r="J106" s="316"/>
      <c r="K106" s="316" t="s">
        <v>210</v>
      </c>
      <c r="L106" s="1098">
        <v>45848</v>
      </c>
      <c r="M106" s="655">
        <v>45852</v>
      </c>
      <c r="N106" s="850" t="s">
        <v>1614</v>
      </c>
      <c r="O106" s="327"/>
      <c r="P106" s="547" t="s">
        <v>211</v>
      </c>
    </row>
    <row r="107" spans="1:16" ht="14.5">
      <c r="A107" s="548">
        <f t="shared" si="1"/>
        <v>100</v>
      </c>
      <c r="B107" s="656" t="s">
        <v>739</v>
      </c>
      <c r="C107" s="656"/>
      <c r="D107" s="857" t="s">
        <v>182</v>
      </c>
      <c r="E107" s="548"/>
      <c r="F107" s="548"/>
      <c r="G107" s="548"/>
      <c r="H107" s="548"/>
      <c r="I107" s="548"/>
      <c r="J107" s="548"/>
      <c r="K107" s="325" t="s">
        <v>210</v>
      </c>
      <c r="L107" s="1089">
        <v>45842</v>
      </c>
      <c r="M107" s="655">
        <v>45852</v>
      </c>
      <c r="N107" s="374" t="s">
        <v>1673</v>
      </c>
      <c r="O107" s="548"/>
      <c r="P107" s="547" t="s">
        <v>211</v>
      </c>
    </row>
    <row r="108" spans="1:16" ht="14.5">
      <c r="A108" s="548">
        <f t="shared" si="1"/>
        <v>101</v>
      </c>
      <c r="B108" s="556" t="s">
        <v>822</v>
      </c>
      <c r="C108" s="556"/>
      <c r="D108" s="316" t="s">
        <v>182</v>
      </c>
      <c r="E108" s="316"/>
      <c r="F108" s="316"/>
      <c r="G108" s="316"/>
      <c r="H108" s="316"/>
      <c r="I108" s="316"/>
      <c r="J108" s="316"/>
      <c r="K108" s="316" t="s">
        <v>210</v>
      </c>
      <c r="L108" s="1098">
        <v>45851</v>
      </c>
      <c r="M108" s="655">
        <v>45853</v>
      </c>
      <c r="N108" s="656" t="s">
        <v>1499</v>
      </c>
      <c r="O108" s="327"/>
      <c r="P108" s="547" t="s">
        <v>211</v>
      </c>
    </row>
    <row r="109" spans="1:16" ht="14.5">
      <c r="A109" s="548">
        <f t="shared" si="1"/>
        <v>102</v>
      </c>
      <c r="B109" s="876" t="s">
        <v>1595</v>
      </c>
      <c r="C109" s="656"/>
      <c r="D109" s="857" t="s">
        <v>167</v>
      </c>
      <c r="E109" s="316"/>
      <c r="F109" s="316"/>
      <c r="G109" s="316"/>
      <c r="H109" s="316"/>
      <c r="I109" s="316"/>
      <c r="J109" s="316"/>
      <c r="K109" s="316" t="s">
        <v>210</v>
      </c>
      <c r="L109" s="1098">
        <v>45847</v>
      </c>
      <c r="M109" s="655">
        <v>45854</v>
      </c>
      <c r="N109" s="327" t="s">
        <v>1290</v>
      </c>
      <c r="O109" s="327"/>
      <c r="P109" s="547" t="s">
        <v>211</v>
      </c>
    </row>
    <row r="110" spans="1:16" ht="14.5">
      <c r="A110" s="548">
        <f t="shared" si="1"/>
        <v>103</v>
      </c>
      <c r="B110" s="876" t="s">
        <v>1321</v>
      </c>
      <c r="C110" s="636"/>
      <c r="D110" s="857" t="s">
        <v>115</v>
      </c>
      <c r="E110" s="316"/>
      <c r="F110" s="316"/>
      <c r="G110" s="316"/>
      <c r="H110" s="316"/>
      <c r="I110" s="316"/>
      <c r="J110" s="325"/>
      <c r="K110" s="325" t="s">
        <v>210</v>
      </c>
      <c r="L110" s="1089">
        <v>45846</v>
      </c>
      <c r="M110" s="655">
        <v>45854</v>
      </c>
      <c r="N110" s="374" t="s">
        <v>1612</v>
      </c>
      <c r="O110" s="556"/>
      <c r="P110" s="547" t="s">
        <v>211</v>
      </c>
    </row>
    <row r="111" spans="1:16" ht="14.5">
      <c r="A111" s="548">
        <f t="shared" si="1"/>
        <v>104</v>
      </c>
      <c r="B111" s="556" t="s">
        <v>764</v>
      </c>
      <c r="C111" s="556"/>
      <c r="D111" s="316" t="s">
        <v>182</v>
      </c>
      <c r="E111" s="316"/>
      <c r="F111" s="316"/>
      <c r="G111" s="316"/>
      <c r="H111" s="316"/>
      <c r="I111" s="316"/>
      <c r="J111" s="316"/>
      <c r="K111" s="316" t="s">
        <v>210</v>
      </c>
      <c r="L111" s="1098">
        <v>45852</v>
      </c>
      <c r="M111" s="655">
        <v>45854</v>
      </c>
      <c r="N111" s="850" t="s">
        <v>1614</v>
      </c>
      <c r="O111" s="327"/>
      <c r="P111" s="547" t="s">
        <v>211</v>
      </c>
    </row>
    <row r="112" spans="1:16" s="886" customFormat="1" ht="14.5">
      <c r="A112" s="548">
        <f t="shared" si="1"/>
        <v>105</v>
      </c>
      <c r="B112" s="556" t="s">
        <v>804</v>
      </c>
      <c r="C112" s="556"/>
      <c r="D112" s="316" t="s">
        <v>182</v>
      </c>
      <c r="E112" s="556"/>
      <c r="F112" s="556"/>
      <c r="G112" s="556"/>
      <c r="H112" s="556"/>
      <c r="I112" s="556"/>
      <c r="J112" s="556"/>
      <c r="K112" s="316" t="s">
        <v>210</v>
      </c>
      <c r="L112" s="1098">
        <v>45852</v>
      </c>
      <c r="M112" s="655">
        <v>45854</v>
      </c>
      <c r="N112" s="922" t="s">
        <v>1575</v>
      </c>
      <c r="O112" s="327"/>
      <c r="P112" s="547" t="s">
        <v>211</v>
      </c>
    </row>
    <row r="113" spans="1:16" s="886" customFormat="1" ht="14.5">
      <c r="A113" s="548">
        <f t="shared" si="1"/>
        <v>106</v>
      </c>
      <c r="B113" s="556" t="s">
        <v>1617</v>
      </c>
      <c r="C113" s="556"/>
      <c r="D113" s="316" t="s">
        <v>137</v>
      </c>
      <c r="E113" s="316"/>
      <c r="F113" s="316"/>
      <c r="G113" s="316"/>
      <c r="H113" s="316"/>
      <c r="I113" s="316"/>
      <c r="J113" s="316"/>
      <c r="K113" s="316" t="s">
        <v>210</v>
      </c>
      <c r="L113" s="1098">
        <v>45850</v>
      </c>
      <c r="M113" s="655">
        <v>45855</v>
      </c>
      <c r="N113" s="876" t="s">
        <v>1570</v>
      </c>
      <c r="O113" s="327"/>
      <c r="P113" s="547" t="s">
        <v>211</v>
      </c>
    </row>
    <row r="114" spans="1:16" s="886" customFormat="1" ht="14.5">
      <c r="A114" s="548">
        <f t="shared" si="1"/>
        <v>107</v>
      </c>
      <c r="B114" s="374" t="s">
        <v>1610</v>
      </c>
      <c r="C114" s="327"/>
      <c r="D114" s="316" t="s">
        <v>1611</v>
      </c>
      <c r="E114" s="316"/>
      <c r="F114" s="316"/>
      <c r="G114" s="316"/>
      <c r="H114" s="316"/>
      <c r="I114" s="316"/>
      <c r="J114" s="316"/>
      <c r="K114" s="316" t="s">
        <v>210</v>
      </c>
      <c r="L114" s="1098">
        <v>45848</v>
      </c>
      <c r="M114" s="655">
        <v>45856</v>
      </c>
      <c r="N114" s="374" t="s">
        <v>1613</v>
      </c>
      <c r="O114" s="913"/>
      <c r="P114" s="547" t="s">
        <v>211</v>
      </c>
    </row>
    <row r="115" spans="1:16" s="886" customFormat="1" ht="14.5">
      <c r="A115" s="548">
        <f t="shared" si="1"/>
        <v>108</v>
      </c>
      <c r="B115" s="556" t="s">
        <v>823</v>
      </c>
      <c r="C115" s="556"/>
      <c r="D115" s="316" t="s">
        <v>182</v>
      </c>
      <c r="E115" s="316"/>
      <c r="F115" s="316"/>
      <c r="G115" s="316"/>
      <c r="H115" s="316"/>
      <c r="I115" s="316"/>
      <c r="J115" s="316"/>
      <c r="K115" s="316" t="s">
        <v>210</v>
      </c>
      <c r="L115" s="1098">
        <v>45853</v>
      </c>
      <c r="M115" s="655">
        <v>45856</v>
      </c>
      <c r="N115" s="656" t="s">
        <v>1499</v>
      </c>
      <c r="O115" s="913"/>
      <c r="P115" s="547" t="s">
        <v>211</v>
      </c>
    </row>
    <row r="116" spans="1:16" ht="14.5">
      <c r="A116" s="548">
        <f t="shared" si="1"/>
        <v>109</v>
      </c>
      <c r="B116" s="327" t="s">
        <v>380</v>
      </c>
      <c r="C116" s="327"/>
      <c r="D116" s="316" t="s">
        <v>119</v>
      </c>
      <c r="E116" s="327"/>
      <c r="F116" s="327"/>
      <c r="G116" s="327"/>
      <c r="H116" s="327"/>
      <c r="I116" s="327"/>
      <c r="J116" s="327"/>
      <c r="K116" s="316" t="s">
        <v>210</v>
      </c>
      <c r="L116" s="1098">
        <v>45846</v>
      </c>
      <c r="M116" s="655">
        <v>45857</v>
      </c>
      <c r="N116" s="374" t="s">
        <v>1602</v>
      </c>
      <c r="O116" s="913"/>
      <c r="P116" s="547" t="s">
        <v>211</v>
      </c>
    </row>
    <row r="117" spans="1:16" ht="14.5">
      <c r="A117" s="548">
        <f t="shared" si="1"/>
        <v>110</v>
      </c>
      <c r="B117" s="556" t="s">
        <v>763</v>
      </c>
      <c r="C117" s="556"/>
      <c r="D117" s="316" t="s">
        <v>182</v>
      </c>
      <c r="E117" s="556"/>
      <c r="F117" s="556"/>
      <c r="G117" s="556"/>
      <c r="H117" s="556"/>
      <c r="I117" s="556"/>
      <c r="J117" s="556"/>
      <c r="K117" s="316" t="s">
        <v>210</v>
      </c>
      <c r="L117" s="1098">
        <v>45855</v>
      </c>
      <c r="M117" s="847">
        <v>45859</v>
      </c>
      <c r="N117" s="850" t="s">
        <v>1614</v>
      </c>
      <c r="O117" s="923"/>
      <c r="P117" s="547" t="s">
        <v>211</v>
      </c>
    </row>
    <row r="118" spans="1:16" ht="14.5">
      <c r="A118" s="548">
        <f t="shared" si="1"/>
        <v>111</v>
      </c>
      <c r="B118" s="556" t="s">
        <v>1634</v>
      </c>
      <c r="C118" s="556"/>
      <c r="D118" s="316" t="s">
        <v>137</v>
      </c>
      <c r="E118" s="556"/>
      <c r="F118" s="556"/>
      <c r="G118" s="556"/>
      <c r="H118" s="556"/>
      <c r="I118" s="556"/>
      <c r="J118" s="556"/>
      <c r="K118" s="316" t="s">
        <v>210</v>
      </c>
      <c r="L118" s="1098">
        <v>45855</v>
      </c>
      <c r="M118" s="847">
        <v>45859</v>
      </c>
      <c r="N118" s="880" t="s">
        <v>1570</v>
      </c>
      <c r="O118" s="914"/>
      <c r="P118" s="547" t="s">
        <v>211</v>
      </c>
    </row>
    <row r="119" spans="1:16" ht="14.5">
      <c r="A119" s="548">
        <f t="shared" si="1"/>
        <v>112</v>
      </c>
      <c r="B119" s="556" t="s">
        <v>803</v>
      </c>
      <c r="C119" s="556"/>
      <c r="D119" s="316" t="s">
        <v>185</v>
      </c>
      <c r="E119" s="556"/>
      <c r="F119" s="556"/>
      <c r="G119" s="556"/>
      <c r="H119" s="556"/>
      <c r="I119" s="556"/>
      <c r="J119" s="556"/>
      <c r="K119" s="316" t="s">
        <v>210</v>
      </c>
      <c r="L119" s="1098">
        <v>45854</v>
      </c>
      <c r="M119" s="847">
        <v>45859</v>
      </c>
      <c r="N119" s="922" t="s">
        <v>1575</v>
      </c>
      <c r="O119" s="914"/>
      <c r="P119" s="547" t="s">
        <v>211</v>
      </c>
    </row>
    <row r="120" spans="1:16" ht="14.5">
      <c r="A120" s="548">
        <f t="shared" si="1"/>
        <v>113</v>
      </c>
      <c r="B120" s="556" t="s">
        <v>824</v>
      </c>
      <c r="C120" s="556"/>
      <c r="D120" s="316" t="s">
        <v>182</v>
      </c>
      <c r="E120" s="316"/>
      <c r="F120" s="316"/>
      <c r="G120" s="316"/>
      <c r="H120" s="316"/>
      <c r="I120" s="316"/>
      <c r="J120" s="316"/>
      <c r="K120" s="316" t="s">
        <v>210</v>
      </c>
      <c r="L120" s="1098">
        <v>45857</v>
      </c>
      <c r="M120" s="655">
        <v>45861</v>
      </c>
      <c r="N120" s="656" t="s">
        <v>1499</v>
      </c>
      <c r="O120" s="913"/>
      <c r="P120" s="547" t="s">
        <v>211</v>
      </c>
    </row>
    <row r="121" spans="1:16" ht="12" customHeight="1">
      <c r="A121" s="548">
        <f t="shared" si="1"/>
        <v>114</v>
      </c>
      <c r="B121" s="636" t="s">
        <v>866</v>
      </c>
      <c r="C121" s="636"/>
      <c r="D121" s="857" t="s">
        <v>137</v>
      </c>
      <c r="E121" s="625"/>
      <c r="F121" s="625"/>
      <c r="G121" s="625"/>
      <c r="H121" s="625"/>
      <c r="I121" s="625"/>
      <c r="J121" s="625"/>
      <c r="K121" s="325" t="s">
        <v>210</v>
      </c>
      <c r="L121" s="1089">
        <v>45853</v>
      </c>
      <c r="M121" s="655">
        <v>45862</v>
      </c>
      <c r="N121" s="374" t="s">
        <v>1673</v>
      </c>
      <c r="O121" s="914"/>
      <c r="P121" s="547" t="s">
        <v>211</v>
      </c>
    </row>
    <row r="122" spans="1:16" ht="14.5">
      <c r="A122" s="548">
        <f t="shared" si="1"/>
        <v>115</v>
      </c>
      <c r="B122" s="556" t="s">
        <v>166</v>
      </c>
      <c r="C122" s="556"/>
      <c r="D122" s="316" t="s">
        <v>167</v>
      </c>
      <c r="E122" s="556"/>
      <c r="F122" s="556"/>
      <c r="G122" s="556"/>
      <c r="H122" s="556"/>
      <c r="I122" s="556"/>
      <c r="J122" s="556"/>
      <c r="K122" s="316" t="s">
        <v>210</v>
      </c>
      <c r="L122" s="1098">
        <v>45851</v>
      </c>
      <c r="M122" s="655">
        <v>45862</v>
      </c>
      <c r="N122" s="970" t="s">
        <v>1669</v>
      </c>
      <c r="O122" s="914"/>
      <c r="P122" s="547" t="s">
        <v>211</v>
      </c>
    </row>
    <row r="123" spans="1:16" ht="14.5">
      <c r="A123" s="548">
        <f t="shared" si="1"/>
        <v>116</v>
      </c>
      <c r="B123" s="556" t="s">
        <v>183</v>
      </c>
      <c r="C123" s="556"/>
      <c r="D123" s="316" t="s">
        <v>182</v>
      </c>
      <c r="E123" s="556"/>
      <c r="F123" s="556"/>
      <c r="G123" s="556"/>
      <c r="H123" s="556"/>
      <c r="I123" s="556"/>
      <c r="J123" s="556"/>
      <c r="K123" s="316" t="s">
        <v>210</v>
      </c>
      <c r="L123" s="1098">
        <v>45860</v>
      </c>
      <c r="M123" s="655">
        <v>45862</v>
      </c>
      <c r="N123" s="850" t="s">
        <v>1614</v>
      </c>
      <c r="P123" s="547" t="s">
        <v>211</v>
      </c>
    </row>
    <row r="124" spans="1:16" ht="14.5">
      <c r="A124" s="548">
        <f t="shared" si="1"/>
        <v>117</v>
      </c>
      <c r="B124" s="556" t="s">
        <v>805</v>
      </c>
      <c r="C124" s="556"/>
      <c r="D124" s="316" t="s">
        <v>182</v>
      </c>
      <c r="E124" s="556"/>
      <c r="F124" s="556"/>
      <c r="G124" s="556"/>
      <c r="H124" s="556"/>
      <c r="I124" s="556"/>
      <c r="J124" s="556"/>
      <c r="K124" s="316" t="s">
        <v>210</v>
      </c>
      <c r="L124" s="1129">
        <v>45860</v>
      </c>
      <c r="M124" s="655">
        <v>45863</v>
      </c>
      <c r="N124" s="922" t="s">
        <v>1575</v>
      </c>
      <c r="O124" s="913"/>
      <c r="P124" s="547" t="s">
        <v>211</v>
      </c>
    </row>
    <row r="125" spans="1:16" ht="18" customHeight="1">
      <c r="A125" s="548">
        <f t="shared" si="1"/>
        <v>118</v>
      </c>
      <c r="B125" s="556" t="s">
        <v>744</v>
      </c>
      <c r="C125" s="556"/>
      <c r="D125" s="316" t="s">
        <v>185</v>
      </c>
      <c r="E125" s="556"/>
      <c r="F125" s="556"/>
      <c r="G125" s="556"/>
      <c r="H125" s="556"/>
      <c r="I125" s="556"/>
      <c r="J125" s="556"/>
      <c r="K125" s="316" t="s">
        <v>210</v>
      </c>
      <c r="L125" s="1098">
        <v>45853</v>
      </c>
      <c r="M125" s="655">
        <v>45864</v>
      </c>
      <c r="N125" s="556" t="s">
        <v>1618</v>
      </c>
      <c r="O125" s="914"/>
      <c r="P125" s="547" t="s">
        <v>211</v>
      </c>
    </row>
    <row r="126" spans="1:16" ht="14.5">
      <c r="A126" s="548">
        <f t="shared" si="1"/>
        <v>119</v>
      </c>
      <c r="B126" s="850" t="s">
        <v>796</v>
      </c>
      <c r="C126" s="850"/>
      <c r="D126" s="859" t="s">
        <v>185</v>
      </c>
      <c r="E126" s="850"/>
      <c r="F126" s="850"/>
      <c r="G126" s="850"/>
      <c r="H126" s="850"/>
      <c r="I126" s="850"/>
      <c r="J126" s="850"/>
      <c r="K126" s="859" t="s">
        <v>210</v>
      </c>
      <c r="L126" s="1132">
        <v>45860</v>
      </c>
      <c r="M126" s="655">
        <v>45864</v>
      </c>
      <c r="N126" s="935" t="s">
        <v>1570</v>
      </c>
      <c r="P126" s="547" t="s">
        <v>211</v>
      </c>
    </row>
    <row r="127" spans="1:16" ht="14.5">
      <c r="A127" s="548">
        <f t="shared" si="1"/>
        <v>120</v>
      </c>
      <c r="B127" s="556" t="s">
        <v>385</v>
      </c>
      <c r="C127" s="556"/>
      <c r="D127" s="316" t="s">
        <v>182</v>
      </c>
      <c r="E127" s="556"/>
      <c r="F127" s="556"/>
      <c r="G127" s="556"/>
      <c r="H127" s="556"/>
      <c r="I127" s="556"/>
      <c r="J127" s="556"/>
      <c r="K127" s="316" t="s">
        <v>210</v>
      </c>
      <c r="L127" s="1098">
        <v>45849</v>
      </c>
      <c r="M127" s="655">
        <v>45865</v>
      </c>
      <c r="N127" s="922" t="s">
        <v>1601</v>
      </c>
      <c r="O127" s="914"/>
      <c r="P127" s="547" t="s">
        <v>211</v>
      </c>
    </row>
    <row r="128" spans="1:16" ht="14.5">
      <c r="A128" s="548">
        <f t="shared" si="1"/>
        <v>121</v>
      </c>
      <c r="B128" s="556" t="s">
        <v>767</v>
      </c>
      <c r="C128" s="556"/>
      <c r="D128" s="316" t="s">
        <v>242</v>
      </c>
      <c r="E128" s="556"/>
      <c r="F128" s="556"/>
      <c r="G128" s="556"/>
      <c r="H128" s="556"/>
      <c r="I128" s="556"/>
      <c r="J128" s="556"/>
      <c r="K128" s="316" t="s">
        <v>210</v>
      </c>
      <c r="L128" s="1098">
        <v>45862</v>
      </c>
      <c r="M128" s="655">
        <v>45865</v>
      </c>
      <c r="N128" s="850" t="s">
        <v>1614</v>
      </c>
      <c r="O128" s="914"/>
      <c r="P128" s="547" t="s">
        <v>211</v>
      </c>
    </row>
    <row r="129" spans="1:16" ht="14.5">
      <c r="A129" s="548">
        <f t="shared" si="1"/>
        <v>122</v>
      </c>
      <c r="B129" s="374" t="s">
        <v>1654</v>
      </c>
      <c r="C129" s="327"/>
      <c r="D129" s="316" t="s">
        <v>185</v>
      </c>
      <c r="E129" s="316"/>
      <c r="F129" s="316"/>
      <c r="G129" s="316"/>
      <c r="H129" s="316"/>
      <c r="I129" s="316"/>
      <c r="J129" s="316"/>
      <c r="K129" s="316" t="s">
        <v>210</v>
      </c>
      <c r="L129" s="1098">
        <v>45862</v>
      </c>
      <c r="M129" s="655">
        <v>45865</v>
      </c>
      <c r="N129" s="327" t="s">
        <v>1499</v>
      </c>
      <c r="O129" s="913"/>
      <c r="P129" s="547" t="s">
        <v>211</v>
      </c>
    </row>
    <row r="130" spans="1:16" ht="14.5">
      <c r="A130" s="548">
        <f t="shared" si="1"/>
        <v>123</v>
      </c>
      <c r="B130" s="880" t="s">
        <v>731</v>
      </c>
      <c r="C130" s="636"/>
      <c r="D130" s="857" t="s">
        <v>115</v>
      </c>
      <c r="E130" s="556"/>
      <c r="F130" s="556"/>
      <c r="G130" s="556"/>
      <c r="H130" s="556"/>
      <c r="I130" s="556"/>
      <c r="J130" s="556"/>
      <c r="K130" s="316" t="s">
        <v>210</v>
      </c>
      <c r="L130" s="1098">
        <v>45859</v>
      </c>
      <c r="M130" s="655">
        <v>45866</v>
      </c>
      <c r="N130" s="327" t="s">
        <v>1290</v>
      </c>
      <c r="O130" s="914"/>
      <c r="P130" s="547" t="s">
        <v>211</v>
      </c>
    </row>
    <row r="131" spans="1:16" ht="14.5">
      <c r="A131" s="548">
        <f t="shared" si="1"/>
        <v>124</v>
      </c>
      <c r="B131" s="636" t="s">
        <v>427</v>
      </c>
      <c r="C131" s="636"/>
      <c r="D131" s="857" t="s">
        <v>185</v>
      </c>
      <c r="E131" s="636"/>
      <c r="F131" s="636"/>
      <c r="G131" s="636"/>
      <c r="H131" s="636"/>
      <c r="I131" s="636"/>
      <c r="J131" s="636"/>
      <c r="K131" s="857" t="s">
        <v>210</v>
      </c>
      <c r="L131" s="1129">
        <v>45851</v>
      </c>
      <c r="M131" s="655">
        <v>45867</v>
      </c>
      <c r="N131" s="546" t="s">
        <v>254</v>
      </c>
      <c r="O131" s="636"/>
      <c r="P131" s="547" t="s">
        <v>211</v>
      </c>
    </row>
    <row r="132" spans="1:16" ht="14.5">
      <c r="A132" s="548">
        <f t="shared" si="1"/>
        <v>125</v>
      </c>
      <c r="B132" s="556" t="s">
        <v>794</v>
      </c>
      <c r="C132" s="556"/>
      <c r="D132" s="316" t="s">
        <v>185</v>
      </c>
      <c r="E132" s="556"/>
      <c r="F132" s="556"/>
      <c r="G132" s="556"/>
      <c r="H132" s="556"/>
      <c r="I132" s="556"/>
      <c r="J132" s="556"/>
      <c r="K132" s="316" t="s">
        <v>210</v>
      </c>
      <c r="L132" s="1129">
        <v>45863</v>
      </c>
      <c r="M132" s="655">
        <v>45867</v>
      </c>
      <c r="N132" s="880" t="s">
        <v>1570</v>
      </c>
      <c r="O132" s="327"/>
      <c r="P132" s="547" t="s">
        <v>211</v>
      </c>
    </row>
    <row r="133" spans="1:16" ht="14.5">
      <c r="A133" s="548">
        <f t="shared" si="1"/>
        <v>126</v>
      </c>
      <c r="B133" s="556" t="s">
        <v>180</v>
      </c>
      <c r="C133" s="556"/>
      <c r="D133" s="316" t="s">
        <v>182</v>
      </c>
      <c r="E133" s="556"/>
      <c r="F133" s="556"/>
      <c r="G133" s="556"/>
      <c r="H133" s="556"/>
      <c r="I133" s="556"/>
      <c r="J133" s="556"/>
      <c r="K133" s="316" t="s">
        <v>210</v>
      </c>
      <c r="L133" s="1098">
        <v>45865</v>
      </c>
      <c r="M133" s="655">
        <v>45868</v>
      </c>
      <c r="N133" s="850" t="s">
        <v>1614</v>
      </c>
      <c r="O133" s="913"/>
      <c r="P133" s="547" t="s">
        <v>211</v>
      </c>
    </row>
    <row r="134" spans="1:16" ht="14.5">
      <c r="A134" s="548">
        <f t="shared" si="1"/>
        <v>127</v>
      </c>
      <c r="B134" s="374" t="s">
        <v>1366</v>
      </c>
      <c r="C134" s="327"/>
      <c r="D134" s="316" t="s">
        <v>182</v>
      </c>
      <c r="E134" s="316"/>
      <c r="F134" s="316"/>
      <c r="G134" s="316"/>
      <c r="H134" s="316"/>
      <c r="I134" s="316"/>
      <c r="J134" s="316"/>
      <c r="K134" s="316" t="s">
        <v>210</v>
      </c>
      <c r="L134" s="1098">
        <v>45865</v>
      </c>
      <c r="M134" s="655">
        <v>45868</v>
      </c>
      <c r="N134" s="327" t="s">
        <v>1499</v>
      </c>
      <c r="O134" s="913"/>
      <c r="P134" s="547" t="s">
        <v>211</v>
      </c>
    </row>
    <row r="135" spans="1:16" ht="14.5">
      <c r="A135" s="548">
        <f t="shared" si="1"/>
        <v>128</v>
      </c>
      <c r="B135" s="556" t="s">
        <v>191</v>
      </c>
      <c r="C135" s="556"/>
      <c r="D135" s="316" t="s">
        <v>192</v>
      </c>
      <c r="E135" s="556"/>
      <c r="F135" s="556"/>
      <c r="G135" s="556"/>
      <c r="H135" s="556"/>
      <c r="I135" s="556"/>
      <c r="J135" s="556"/>
      <c r="K135" s="316" t="s">
        <v>210</v>
      </c>
      <c r="L135" s="1129">
        <v>45863</v>
      </c>
      <c r="M135" s="655">
        <v>45869</v>
      </c>
      <c r="N135" s="922" t="s">
        <v>1575</v>
      </c>
      <c r="O135" s="913"/>
      <c r="P135" s="547" t="s">
        <v>211</v>
      </c>
    </row>
    <row r="136" spans="1:16" ht="14.5">
      <c r="A136" s="548">
        <f t="shared" si="1"/>
        <v>129</v>
      </c>
      <c r="B136" s="556" t="s">
        <v>799</v>
      </c>
      <c r="C136" s="556"/>
      <c r="D136" s="316" t="s">
        <v>182</v>
      </c>
      <c r="E136" s="556"/>
      <c r="F136" s="556"/>
      <c r="G136" s="556"/>
      <c r="H136" s="556"/>
      <c r="I136" s="556"/>
      <c r="J136" s="556"/>
      <c r="K136" s="316" t="s">
        <v>210</v>
      </c>
      <c r="L136" s="1129">
        <v>45867</v>
      </c>
      <c r="M136" s="655">
        <v>45869</v>
      </c>
      <c r="N136" s="880" t="s">
        <v>1570</v>
      </c>
      <c r="O136" s="913"/>
      <c r="P136" s="547" t="s">
        <v>211</v>
      </c>
    </row>
    <row r="137" spans="1:16" ht="14.5">
      <c r="A137" s="548">
        <f t="shared" si="1"/>
        <v>130</v>
      </c>
      <c r="B137" s="556" t="s">
        <v>766</v>
      </c>
      <c r="C137" s="556"/>
      <c r="D137" s="316" t="s">
        <v>182</v>
      </c>
      <c r="E137" s="556"/>
      <c r="F137" s="556"/>
      <c r="G137" s="556"/>
      <c r="H137" s="556"/>
      <c r="I137" s="556"/>
      <c r="J137" s="556"/>
      <c r="K137" s="316" t="s">
        <v>210</v>
      </c>
      <c r="L137" s="1129">
        <v>45868</v>
      </c>
      <c r="M137" s="655">
        <v>45869</v>
      </c>
      <c r="N137" s="850" t="s">
        <v>1614</v>
      </c>
      <c r="O137" s="913"/>
      <c r="P137" s="547" t="s">
        <v>211</v>
      </c>
    </row>
    <row r="138" spans="1:16" ht="14.5">
      <c r="A138" s="548">
        <f t="shared" ref="A138:A201" si="7">A137+1</f>
        <v>131</v>
      </c>
      <c r="B138" s="556" t="s">
        <v>751</v>
      </c>
      <c r="C138" s="556"/>
      <c r="D138" s="316" t="s">
        <v>248</v>
      </c>
      <c r="E138" s="556"/>
      <c r="F138" s="556"/>
      <c r="G138" s="556"/>
      <c r="H138" s="556"/>
      <c r="I138" s="556"/>
      <c r="J138" s="556"/>
      <c r="K138" s="316" t="s">
        <v>210</v>
      </c>
      <c r="L138" s="1098">
        <v>45863</v>
      </c>
      <c r="M138" s="655">
        <v>45869</v>
      </c>
      <c r="N138" s="374" t="s">
        <v>1673</v>
      </c>
      <c r="O138" s="914"/>
      <c r="P138" s="547" t="s">
        <v>211</v>
      </c>
    </row>
    <row r="139" spans="1:16" ht="14.5">
      <c r="A139" s="548">
        <f t="shared" si="7"/>
        <v>132</v>
      </c>
      <c r="B139" s="991" t="s">
        <v>174</v>
      </c>
      <c r="C139" s="636"/>
      <c r="D139" s="857" t="s">
        <v>1633</v>
      </c>
      <c r="E139" s="556"/>
      <c r="F139" s="556"/>
      <c r="G139" s="556"/>
      <c r="H139" s="556"/>
      <c r="I139" s="556"/>
      <c r="J139" s="556"/>
      <c r="K139" s="316" t="s">
        <v>210</v>
      </c>
      <c r="L139" s="1098">
        <v>45855</v>
      </c>
      <c r="M139" s="655">
        <v>45869</v>
      </c>
      <c r="N139" s="922" t="s">
        <v>1612</v>
      </c>
      <c r="O139" s="914"/>
      <c r="P139" s="547" t="s">
        <v>211</v>
      </c>
    </row>
    <row r="140" spans="1:16" ht="14.5">
      <c r="A140" s="548">
        <f t="shared" si="7"/>
        <v>133</v>
      </c>
      <c r="B140" s="651" t="s">
        <v>422</v>
      </c>
      <c r="C140" s="636"/>
      <c r="D140" s="857" t="s">
        <v>125</v>
      </c>
      <c r="E140" s="636">
        <f>1.81+1.12</f>
        <v>2.93</v>
      </c>
      <c r="F140" s="636">
        <f>8.16+12.18</f>
        <v>20.34</v>
      </c>
      <c r="G140" s="636">
        <f>79.95+144.9</f>
        <v>224.85000000000002</v>
      </c>
      <c r="H140" s="636">
        <f>1.476+1.188</f>
        <v>2.6639999999999997</v>
      </c>
      <c r="I140" s="636">
        <f>(265.195+236.256)/1000</f>
        <v>0.50145099999999998</v>
      </c>
      <c r="J140" s="636"/>
      <c r="K140" s="857" t="s">
        <v>292</v>
      </c>
      <c r="L140" s="1129">
        <v>45818</v>
      </c>
      <c r="M140" s="655">
        <v>45869</v>
      </c>
      <c r="N140" s="1161" t="s">
        <v>254</v>
      </c>
      <c r="O140" s="974"/>
      <c r="P140" s="547" t="s">
        <v>211</v>
      </c>
    </row>
    <row r="141" spans="1:16" ht="14.5">
      <c r="A141" s="548">
        <f t="shared" si="7"/>
        <v>134</v>
      </c>
      <c r="B141" s="992" t="s">
        <v>158</v>
      </c>
      <c r="C141" s="850"/>
      <c r="D141" s="859" t="s">
        <v>115</v>
      </c>
      <c r="E141" s="850"/>
      <c r="F141" s="850"/>
      <c r="G141" s="850"/>
      <c r="H141" s="850"/>
      <c r="I141" s="850"/>
      <c r="J141" s="850"/>
      <c r="K141" s="859" t="s">
        <v>210</v>
      </c>
      <c r="L141" s="1131">
        <v>45862</v>
      </c>
      <c r="M141" s="655">
        <v>45869</v>
      </c>
      <c r="N141" s="970" t="s">
        <v>1669</v>
      </c>
      <c r="O141" s="971"/>
      <c r="P141" s="547" t="s">
        <v>211</v>
      </c>
    </row>
    <row r="142" spans="1:16" ht="14.5">
      <c r="A142" s="548">
        <f t="shared" si="7"/>
        <v>135</v>
      </c>
      <c r="B142" s="652" t="s">
        <v>1658</v>
      </c>
      <c r="C142" s="556"/>
      <c r="D142" s="316" t="s">
        <v>125</v>
      </c>
      <c r="E142" s="556"/>
      <c r="F142" s="556"/>
      <c r="G142" s="556"/>
      <c r="H142" s="556"/>
      <c r="I142" s="556"/>
      <c r="J142" s="556"/>
      <c r="K142" s="316" t="s">
        <v>210</v>
      </c>
      <c r="L142" s="1098">
        <v>45861</v>
      </c>
      <c r="M142" s="655">
        <v>45869</v>
      </c>
      <c r="N142" s="922" t="s">
        <v>1613</v>
      </c>
      <c r="O142" s="913"/>
      <c r="P142" s="547" t="s">
        <v>211</v>
      </c>
    </row>
    <row r="143" spans="1:16" ht="14.5">
      <c r="A143" s="548">
        <f t="shared" si="7"/>
        <v>136</v>
      </c>
      <c r="B143" s="556" t="s">
        <v>743</v>
      </c>
      <c r="C143" s="556"/>
      <c r="D143" s="316" t="s">
        <v>242</v>
      </c>
      <c r="E143" s="556"/>
      <c r="F143" s="556"/>
      <c r="G143" s="556"/>
      <c r="H143" s="556"/>
      <c r="I143" s="556"/>
      <c r="J143" s="556"/>
      <c r="K143" s="316" t="s">
        <v>210</v>
      </c>
      <c r="L143" s="1098">
        <v>45865</v>
      </c>
      <c r="M143" s="655">
        <v>45871</v>
      </c>
      <c r="N143" s="556" t="s">
        <v>1618</v>
      </c>
      <c r="O143" s="914"/>
      <c r="P143" s="547" t="s">
        <v>211</v>
      </c>
    </row>
    <row r="144" spans="1:16" ht="14.5">
      <c r="A144" s="548">
        <f t="shared" si="7"/>
        <v>137</v>
      </c>
      <c r="B144" s="556" t="s">
        <v>800</v>
      </c>
      <c r="C144" s="556"/>
      <c r="D144" s="316" t="s">
        <v>185</v>
      </c>
      <c r="E144" s="556"/>
      <c r="F144" s="556"/>
      <c r="G144" s="556"/>
      <c r="H144" s="556"/>
      <c r="I144" s="556"/>
      <c r="J144" s="556"/>
      <c r="K144" s="316" t="s">
        <v>210</v>
      </c>
      <c r="L144" s="1129">
        <v>45868</v>
      </c>
      <c r="M144" s="655">
        <v>45871</v>
      </c>
      <c r="N144" s="880" t="s">
        <v>1570</v>
      </c>
      <c r="O144" s="913"/>
      <c r="P144" s="547" t="s">
        <v>211</v>
      </c>
    </row>
    <row r="145" spans="1:16" ht="14.5">
      <c r="A145" s="548">
        <f t="shared" si="7"/>
        <v>138</v>
      </c>
      <c r="B145" s="880" t="s">
        <v>1598</v>
      </c>
      <c r="C145" s="636"/>
      <c r="D145" s="857" t="s">
        <v>128</v>
      </c>
      <c r="E145" s="625"/>
      <c r="F145" s="625"/>
      <c r="G145" s="625"/>
      <c r="H145" s="625"/>
      <c r="I145" s="625"/>
      <c r="J145" s="625"/>
      <c r="K145" s="325" t="s">
        <v>210</v>
      </c>
      <c r="L145" s="1089">
        <v>45845</v>
      </c>
      <c r="M145" s="657">
        <v>45873</v>
      </c>
      <c r="N145" s="922" t="s">
        <v>1698</v>
      </c>
      <c r="O145" s="975"/>
      <c r="P145" s="547" t="s">
        <v>211</v>
      </c>
    </row>
    <row r="146" spans="1:16" ht="14.5">
      <c r="A146" s="548">
        <f t="shared" si="7"/>
        <v>139</v>
      </c>
      <c r="B146" s="556" t="s">
        <v>798</v>
      </c>
      <c r="C146" s="556"/>
      <c r="D146" s="316" t="s">
        <v>185</v>
      </c>
      <c r="E146" s="556"/>
      <c r="F146" s="556"/>
      <c r="G146" s="556"/>
      <c r="H146" s="556"/>
      <c r="I146" s="556"/>
      <c r="J146" s="556"/>
      <c r="K146" s="316" t="s">
        <v>210</v>
      </c>
      <c r="L146" s="1129">
        <v>45872</v>
      </c>
      <c r="M146" s="657">
        <v>45873</v>
      </c>
      <c r="N146" s="880" t="s">
        <v>1570</v>
      </c>
      <c r="P146" s="547" t="s">
        <v>211</v>
      </c>
    </row>
    <row r="147" spans="1:16" ht="14.5">
      <c r="A147" s="548">
        <f t="shared" si="7"/>
        <v>140</v>
      </c>
      <c r="B147" s="556" t="s">
        <v>418</v>
      </c>
      <c r="C147" s="556"/>
      <c r="D147" s="316" t="s">
        <v>185</v>
      </c>
      <c r="E147" s="556"/>
      <c r="F147" s="556"/>
      <c r="G147" s="556"/>
      <c r="H147" s="556"/>
      <c r="I147" s="556"/>
      <c r="J147" s="556"/>
      <c r="K147" s="316" t="s">
        <v>210</v>
      </c>
      <c r="L147" s="1098">
        <v>45869</v>
      </c>
      <c r="M147" s="657">
        <v>45874</v>
      </c>
      <c r="N147" s="546" t="s">
        <v>254</v>
      </c>
      <c r="O147" s="914"/>
      <c r="P147" s="547" t="s">
        <v>211</v>
      </c>
    </row>
    <row r="148" spans="1:16" ht="14.5">
      <c r="A148" s="548">
        <f t="shared" si="7"/>
        <v>141</v>
      </c>
      <c r="B148" s="556" t="s">
        <v>795</v>
      </c>
      <c r="C148" s="556"/>
      <c r="D148" s="316" t="s">
        <v>182</v>
      </c>
      <c r="E148" s="316"/>
      <c r="F148" s="316"/>
      <c r="G148" s="316"/>
      <c r="H148" s="316"/>
      <c r="I148" s="316"/>
      <c r="J148" s="316"/>
      <c r="K148" s="316" t="s">
        <v>210</v>
      </c>
      <c r="L148" s="1098">
        <v>45873</v>
      </c>
      <c r="M148" s="552">
        <v>45875</v>
      </c>
      <c r="N148" s="880" t="s">
        <v>1570</v>
      </c>
      <c r="O148" s="913"/>
      <c r="P148" s="547" t="s">
        <v>211</v>
      </c>
    </row>
    <row r="149" spans="1:16" ht="14.5">
      <c r="A149" s="548">
        <f t="shared" si="7"/>
        <v>142</v>
      </c>
      <c r="B149" s="636" t="s">
        <v>1336</v>
      </c>
      <c r="C149" s="625"/>
      <c r="D149" s="325" t="s">
        <v>115</v>
      </c>
      <c r="E149" s="556">
        <v>1.6</v>
      </c>
      <c r="F149" s="556">
        <v>13.13</v>
      </c>
      <c r="G149" s="556">
        <v>87.25</v>
      </c>
      <c r="H149" s="556">
        <v>1.3740000000000001</v>
      </c>
      <c r="I149" s="556">
        <v>0.501</v>
      </c>
      <c r="J149" s="625"/>
      <c r="K149" s="325" t="s">
        <v>292</v>
      </c>
      <c r="L149" s="1089">
        <v>45803</v>
      </c>
      <c r="M149" s="552">
        <v>45876</v>
      </c>
      <c r="N149" s="1161" t="s">
        <v>254</v>
      </c>
      <c r="O149" s="974"/>
      <c r="P149" s="547" t="s">
        <v>211</v>
      </c>
    </row>
    <row r="150" spans="1:16" ht="14.5">
      <c r="A150" s="548">
        <f t="shared" si="7"/>
        <v>143</v>
      </c>
      <c r="B150" s="880" t="s">
        <v>439</v>
      </c>
      <c r="C150" s="636"/>
      <c r="D150" s="857" t="s">
        <v>182</v>
      </c>
      <c r="E150" s="556"/>
      <c r="F150" s="556"/>
      <c r="G150" s="556"/>
      <c r="H150" s="556"/>
      <c r="I150" s="556"/>
      <c r="J150" s="556"/>
      <c r="K150" s="316" t="s">
        <v>210</v>
      </c>
      <c r="L150" s="1098">
        <v>45870</v>
      </c>
      <c r="M150" s="552">
        <v>45876</v>
      </c>
      <c r="N150" s="327" t="s">
        <v>1290</v>
      </c>
      <c r="P150" s="547" t="s">
        <v>211</v>
      </c>
    </row>
    <row r="151" spans="1:16" ht="14.5">
      <c r="A151" s="548">
        <f t="shared" si="7"/>
        <v>144</v>
      </c>
      <c r="B151" s="556" t="s">
        <v>181</v>
      </c>
      <c r="C151" s="556"/>
      <c r="D151" s="316" t="s">
        <v>182</v>
      </c>
      <c r="E151" s="556"/>
      <c r="F151" s="556"/>
      <c r="G151" s="556"/>
      <c r="H151" s="556"/>
      <c r="I151" s="556"/>
      <c r="J151" s="556"/>
      <c r="K151" s="316" t="s">
        <v>210</v>
      </c>
      <c r="L151" s="1129">
        <v>45870</v>
      </c>
      <c r="M151" s="552">
        <v>45876</v>
      </c>
      <c r="N151" s="850" t="s">
        <v>1614</v>
      </c>
      <c r="P151" s="547" t="s">
        <v>211</v>
      </c>
    </row>
    <row r="152" spans="1:16" ht="14.5">
      <c r="A152" s="548">
        <f t="shared" si="7"/>
        <v>145</v>
      </c>
      <c r="B152" s="850" t="s">
        <v>190</v>
      </c>
      <c r="C152" s="850"/>
      <c r="D152" s="859" t="s">
        <v>192</v>
      </c>
      <c r="E152" s="850"/>
      <c r="F152" s="850"/>
      <c r="G152" s="850"/>
      <c r="H152" s="850"/>
      <c r="I152" s="850"/>
      <c r="J152" s="850"/>
      <c r="K152" s="859" t="s">
        <v>210</v>
      </c>
      <c r="L152" s="1132">
        <v>45870</v>
      </c>
      <c r="M152" s="552">
        <v>45876</v>
      </c>
      <c r="N152" s="922" t="s">
        <v>1575</v>
      </c>
      <c r="P152" s="547" t="s">
        <v>211</v>
      </c>
    </row>
    <row r="153" spans="1:16" ht="14.5">
      <c r="A153" s="548">
        <f t="shared" si="7"/>
        <v>146</v>
      </c>
      <c r="B153" s="1063" t="s">
        <v>1667</v>
      </c>
      <c r="C153" s="636"/>
      <c r="D153" s="857" t="s">
        <v>123</v>
      </c>
      <c r="E153" s="556"/>
      <c r="F153" s="556"/>
      <c r="G153" s="556"/>
      <c r="H153" s="556"/>
      <c r="I153" s="556"/>
      <c r="J153" s="556"/>
      <c r="K153" s="316" t="s">
        <v>210</v>
      </c>
      <c r="L153" s="1098">
        <v>45871</v>
      </c>
      <c r="M153" s="552">
        <v>45877</v>
      </c>
      <c r="N153" s="922" t="s">
        <v>1612</v>
      </c>
      <c r="O153" s="556"/>
      <c r="P153" s="547" t="s">
        <v>211</v>
      </c>
    </row>
    <row r="154" spans="1:16" ht="14.5">
      <c r="A154" s="548">
        <f t="shared" si="7"/>
        <v>147</v>
      </c>
      <c r="B154" s="880" t="s">
        <v>869</v>
      </c>
      <c r="C154" s="636"/>
      <c r="D154" s="857" t="s">
        <v>115</v>
      </c>
      <c r="E154" s="625"/>
      <c r="F154" s="625"/>
      <c r="G154" s="625"/>
      <c r="H154" s="625"/>
      <c r="I154" s="625"/>
      <c r="J154" s="625"/>
      <c r="K154" s="325" t="s">
        <v>210</v>
      </c>
      <c r="L154" s="1089">
        <v>45870</v>
      </c>
      <c r="M154" s="552">
        <v>45877</v>
      </c>
      <c r="N154" s="374" t="s">
        <v>1673</v>
      </c>
      <c r="O154" s="625"/>
      <c r="P154" s="547" t="s">
        <v>211</v>
      </c>
    </row>
    <row r="155" spans="1:16" ht="14.5">
      <c r="A155" s="548">
        <f t="shared" si="7"/>
        <v>148</v>
      </c>
      <c r="B155" s="556" t="s">
        <v>161</v>
      </c>
      <c r="C155" s="556"/>
      <c r="D155" s="316" t="s">
        <v>115</v>
      </c>
      <c r="E155" s="556"/>
      <c r="F155" s="556"/>
      <c r="G155" s="556"/>
      <c r="H155" s="556"/>
      <c r="I155" s="556"/>
      <c r="J155" s="556"/>
      <c r="K155" s="316" t="s">
        <v>210</v>
      </c>
      <c r="L155" s="1098">
        <v>45867</v>
      </c>
      <c r="M155" s="552">
        <v>45878</v>
      </c>
      <c r="N155" s="922" t="s">
        <v>1601</v>
      </c>
      <c r="O155" s="556"/>
      <c r="P155" s="547" t="s">
        <v>211</v>
      </c>
    </row>
    <row r="156" spans="1:16" ht="14.5">
      <c r="A156" s="548">
        <f t="shared" si="7"/>
        <v>149</v>
      </c>
      <c r="B156" s="556" t="s">
        <v>797</v>
      </c>
      <c r="C156" s="556"/>
      <c r="D156" s="316" t="s">
        <v>185</v>
      </c>
      <c r="E156" s="316"/>
      <c r="F156" s="316"/>
      <c r="G156" s="316"/>
      <c r="H156" s="316"/>
      <c r="I156" s="316"/>
      <c r="J156" s="316"/>
      <c r="K156" s="316" t="s">
        <v>210</v>
      </c>
      <c r="L156" s="1098">
        <v>45875</v>
      </c>
      <c r="M156" s="552">
        <v>45878</v>
      </c>
      <c r="N156" s="880" t="s">
        <v>1570</v>
      </c>
      <c r="O156" s="327"/>
      <c r="P156" s="547" t="s">
        <v>211</v>
      </c>
    </row>
    <row r="157" spans="1:16" ht="14.5">
      <c r="A157" s="548">
        <f t="shared" si="7"/>
        <v>150</v>
      </c>
      <c r="B157" s="316" t="s">
        <v>755</v>
      </c>
      <c r="C157" s="327"/>
      <c r="D157" s="316" t="s">
        <v>185</v>
      </c>
      <c r="E157" s="316"/>
      <c r="F157" s="316"/>
      <c r="G157" s="316"/>
      <c r="H157" s="316"/>
      <c r="I157" s="316"/>
      <c r="J157" s="316"/>
      <c r="K157" s="316" t="s">
        <v>210</v>
      </c>
      <c r="L157" s="1098">
        <v>45875</v>
      </c>
      <c r="M157" s="552">
        <v>45881</v>
      </c>
      <c r="N157" s="922" t="s">
        <v>1575</v>
      </c>
      <c r="O157" s="327"/>
      <c r="P157" s="547" t="s">
        <v>211</v>
      </c>
    </row>
    <row r="158" spans="1:16" ht="14.5">
      <c r="A158" s="548">
        <f t="shared" si="7"/>
        <v>151</v>
      </c>
      <c r="B158" s="374" t="s">
        <v>1672</v>
      </c>
      <c r="C158" s="327"/>
      <c r="D158" s="316" t="s">
        <v>188</v>
      </c>
      <c r="E158" s="316"/>
      <c r="F158" s="316"/>
      <c r="G158" s="316"/>
      <c r="H158" s="316"/>
      <c r="I158" s="316"/>
      <c r="J158" s="316"/>
      <c r="K158" s="316" t="s">
        <v>210</v>
      </c>
      <c r="L158" s="1098">
        <v>45876</v>
      </c>
      <c r="M158" s="552">
        <v>45881</v>
      </c>
      <c r="N158" s="327" t="s">
        <v>1499</v>
      </c>
      <c r="O158" s="327"/>
      <c r="P158" s="547" t="s">
        <v>211</v>
      </c>
    </row>
    <row r="159" spans="1:16" ht="14.5">
      <c r="A159" s="548">
        <f t="shared" si="7"/>
        <v>152</v>
      </c>
      <c r="B159" s="636" t="s">
        <v>425</v>
      </c>
      <c r="C159" s="625"/>
      <c r="D159" s="325" t="s">
        <v>115</v>
      </c>
      <c r="E159" s="556">
        <v>1.6</v>
      </c>
      <c r="F159" s="556">
        <v>13.13</v>
      </c>
      <c r="G159" s="556">
        <v>87.25</v>
      </c>
      <c r="H159" s="556">
        <v>1.3740000000000001</v>
      </c>
      <c r="I159" s="556">
        <v>0.501</v>
      </c>
      <c r="J159" s="625"/>
      <c r="K159" s="325" t="s">
        <v>210</v>
      </c>
      <c r="L159" s="1089">
        <v>45874</v>
      </c>
      <c r="M159" s="1040">
        <v>45883</v>
      </c>
      <c r="N159" s="546" t="s">
        <v>254</v>
      </c>
      <c r="O159" s="974"/>
      <c r="P159" s="547" t="s">
        <v>211</v>
      </c>
    </row>
    <row r="160" spans="1:16" ht="14.5">
      <c r="A160" s="548">
        <f t="shared" si="7"/>
        <v>153</v>
      </c>
      <c r="B160" s="316" t="s">
        <v>788</v>
      </c>
      <c r="C160" s="327"/>
      <c r="D160" s="316" t="s">
        <v>185</v>
      </c>
      <c r="E160" s="316"/>
      <c r="F160" s="316"/>
      <c r="G160" s="316"/>
      <c r="H160" s="316"/>
      <c r="I160" s="316"/>
      <c r="J160" s="316"/>
      <c r="K160" s="316" t="s">
        <v>210</v>
      </c>
      <c r="L160" s="1098">
        <v>45879</v>
      </c>
      <c r="M160" s="1040">
        <v>45883</v>
      </c>
      <c r="N160" s="327" t="s">
        <v>1570</v>
      </c>
      <c r="O160" s="913"/>
      <c r="P160" s="547" t="s">
        <v>211</v>
      </c>
    </row>
    <row r="161" spans="1:16" ht="14.5">
      <c r="A161" s="548">
        <f t="shared" si="7"/>
        <v>154</v>
      </c>
      <c r="B161" s="880" t="s">
        <v>438</v>
      </c>
      <c r="C161" s="636"/>
      <c r="D161" s="857" t="s">
        <v>182</v>
      </c>
      <c r="E161" s="556"/>
      <c r="F161" s="556"/>
      <c r="G161" s="556"/>
      <c r="H161" s="556"/>
      <c r="I161" s="556"/>
      <c r="J161" s="556"/>
      <c r="K161" s="316" t="s">
        <v>210</v>
      </c>
      <c r="L161" s="1098">
        <v>45880</v>
      </c>
      <c r="M161" s="1040">
        <v>45883</v>
      </c>
      <c r="N161" s="327" t="s">
        <v>1290</v>
      </c>
      <c r="O161" s="913"/>
      <c r="P161" s="547" t="s">
        <v>211</v>
      </c>
    </row>
    <row r="162" spans="1:16" ht="14.5">
      <c r="A162" s="548">
        <f t="shared" si="7"/>
        <v>155</v>
      </c>
      <c r="B162" s="556" t="s">
        <v>465</v>
      </c>
      <c r="C162" s="556"/>
      <c r="D162" s="316" t="s">
        <v>132</v>
      </c>
      <c r="E162" s="556"/>
      <c r="F162" s="556"/>
      <c r="G162" s="556"/>
      <c r="H162" s="556"/>
      <c r="I162" s="556"/>
      <c r="J162" s="556"/>
      <c r="K162" s="316" t="s">
        <v>210</v>
      </c>
      <c r="L162" s="1098">
        <v>45874</v>
      </c>
      <c r="M162" s="1041">
        <v>45885</v>
      </c>
      <c r="N162" s="922" t="s">
        <v>1613</v>
      </c>
      <c r="O162" s="914"/>
      <c r="P162" s="547" t="s">
        <v>211</v>
      </c>
    </row>
    <row r="163" spans="1:16" ht="14.5">
      <c r="A163" s="548">
        <f t="shared" si="7"/>
        <v>156</v>
      </c>
      <c r="B163" s="556" t="s">
        <v>1362</v>
      </c>
      <c r="C163" s="556"/>
      <c r="D163" s="316" t="s">
        <v>248</v>
      </c>
      <c r="E163" s="316"/>
      <c r="F163" s="316"/>
      <c r="G163" s="316"/>
      <c r="H163" s="316"/>
      <c r="I163" s="316"/>
      <c r="J163" s="316"/>
      <c r="K163" s="316" t="s">
        <v>210</v>
      </c>
      <c r="L163" s="1098">
        <v>45875</v>
      </c>
      <c r="M163" s="1041">
        <v>45885</v>
      </c>
      <c r="N163" s="850" t="s">
        <v>1614</v>
      </c>
      <c r="O163" s="913"/>
      <c r="P163" s="547" t="s">
        <v>211</v>
      </c>
    </row>
    <row r="164" spans="1:16" ht="14.5">
      <c r="A164" s="548">
        <f t="shared" si="7"/>
        <v>157</v>
      </c>
      <c r="B164" s="556" t="s">
        <v>787</v>
      </c>
      <c r="C164" s="556"/>
      <c r="D164" s="316" t="s">
        <v>185</v>
      </c>
      <c r="E164" s="316"/>
      <c r="F164" s="316"/>
      <c r="G164" s="316"/>
      <c r="H164" s="316"/>
      <c r="I164" s="316"/>
      <c r="J164" s="316"/>
      <c r="K164" s="316" t="s">
        <v>210</v>
      </c>
      <c r="L164" s="1098">
        <v>45880</v>
      </c>
      <c r="M164" s="1041">
        <v>45886</v>
      </c>
      <c r="N164" s="327" t="s">
        <v>1570</v>
      </c>
      <c r="O164" s="913"/>
      <c r="P164" s="547" t="s">
        <v>211</v>
      </c>
    </row>
    <row r="165" spans="1:16" ht="14.5">
      <c r="A165" s="548">
        <f t="shared" si="7"/>
        <v>158</v>
      </c>
      <c r="B165" s="556" t="s">
        <v>177</v>
      </c>
      <c r="C165" s="556"/>
      <c r="D165" s="316" t="s">
        <v>128</v>
      </c>
      <c r="E165" s="316"/>
      <c r="F165" s="316"/>
      <c r="G165" s="316"/>
      <c r="H165" s="316"/>
      <c r="I165" s="316"/>
      <c r="J165" s="316"/>
      <c r="K165" s="316" t="s">
        <v>210</v>
      </c>
      <c r="L165" s="1129">
        <v>45872</v>
      </c>
      <c r="M165" s="1041">
        <v>45888</v>
      </c>
      <c r="N165" s="556" t="s">
        <v>1618</v>
      </c>
      <c r="O165" s="913"/>
      <c r="P165" s="547" t="s">
        <v>211</v>
      </c>
    </row>
    <row r="166" spans="1:16" ht="14.5">
      <c r="A166" s="548">
        <f t="shared" si="7"/>
        <v>159</v>
      </c>
      <c r="B166" s="1035" t="s">
        <v>1678</v>
      </c>
      <c r="C166" s="636"/>
      <c r="D166" s="857" t="s">
        <v>115</v>
      </c>
      <c r="E166" s="625"/>
      <c r="F166" s="625"/>
      <c r="G166" s="625"/>
      <c r="H166" s="625"/>
      <c r="I166" s="625"/>
      <c r="J166" s="625"/>
      <c r="K166" s="325" t="s">
        <v>210</v>
      </c>
      <c r="L166" s="1089">
        <v>45885</v>
      </c>
      <c r="M166" s="1041">
        <v>45888</v>
      </c>
      <c r="N166" s="850" t="s">
        <v>1614</v>
      </c>
      <c r="O166" s="913"/>
      <c r="P166" s="547" t="s">
        <v>211</v>
      </c>
    </row>
    <row r="167" spans="1:16" ht="14.5">
      <c r="A167" s="548">
        <f t="shared" si="7"/>
        <v>160</v>
      </c>
      <c r="B167" s="922" t="s">
        <v>1363</v>
      </c>
      <c r="C167" s="556"/>
      <c r="D167" s="316" t="s">
        <v>125</v>
      </c>
      <c r="E167" s="316"/>
      <c r="F167" s="316"/>
      <c r="G167" s="316"/>
      <c r="H167" s="316"/>
      <c r="I167" s="316"/>
      <c r="J167" s="316"/>
      <c r="K167" s="316" t="s">
        <v>210</v>
      </c>
      <c r="L167" s="1098">
        <v>45879</v>
      </c>
      <c r="M167" s="1041">
        <v>45888</v>
      </c>
      <c r="N167" s="327" t="s">
        <v>1499</v>
      </c>
      <c r="O167" s="913"/>
      <c r="P167" s="547" t="s">
        <v>211</v>
      </c>
    </row>
    <row r="168" spans="1:16" ht="14.5">
      <c r="A168" s="548">
        <f t="shared" si="7"/>
        <v>161</v>
      </c>
      <c r="B168" s="556" t="s">
        <v>868</v>
      </c>
      <c r="C168" s="556"/>
      <c r="D168" s="316" t="s">
        <v>137</v>
      </c>
      <c r="E168" s="316"/>
      <c r="F168" s="316"/>
      <c r="G168" s="316"/>
      <c r="H168" s="316"/>
      <c r="I168" s="316"/>
      <c r="J168" s="316"/>
      <c r="K168" s="316" t="s">
        <v>210</v>
      </c>
      <c r="L168" s="1129">
        <v>45880</v>
      </c>
      <c r="M168" s="1041">
        <v>45889</v>
      </c>
      <c r="N168" s="374" t="s">
        <v>1673</v>
      </c>
      <c r="O168" s="327"/>
      <c r="P168" s="547" t="s">
        <v>211</v>
      </c>
    </row>
    <row r="169" spans="1:16" ht="14.5">
      <c r="A169" s="548">
        <f t="shared" si="7"/>
        <v>162</v>
      </c>
      <c r="B169" s="556" t="s">
        <v>189</v>
      </c>
      <c r="C169" s="556"/>
      <c r="D169" s="316" t="s">
        <v>115</v>
      </c>
      <c r="E169" s="316"/>
      <c r="F169" s="316"/>
      <c r="G169" s="316"/>
      <c r="H169" s="316"/>
      <c r="I169" s="316"/>
      <c r="J169" s="316"/>
      <c r="K169" s="316" t="s">
        <v>210</v>
      </c>
      <c r="L169" s="1098">
        <v>45885</v>
      </c>
      <c r="M169" s="1041">
        <v>45889</v>
      </c>
      <c r="N169" s="327" t="s">
        <v>1570</v>
      </c>
      <c r="O169" s="327"/>
      <c r="P169" s="547" t="s">
        <v>211</v>
      </c>
    </row>
    <row r="170" spans="1:16" ht="14.5">
      <c r="A170" s="548">
        <f t="shared" si="7"/>
        <v>163</v>
      </c>
      <c r="B170" s="556" t="s">
        <v>756</v>
      </c>
      <c r="C170" s="327"/>
      <c r="D170" s="316" t="s">
        <v>185</v>
      </c>
      <c r="E170" s="316"/>
      <c r="F170" s="316"/>
      <c r="G170" s="316"/>
      <c r="H170" s="316"/>
      <c r="I170" s="316"/>
      <c r="J170" s="316"/>
      <c r="K170" s="316" t="s">
        <v>210</v>
      </c>
      <c r="L170" s="1098">
        <v>45882</v>
      </c>
      <c r="M170" s="1041">
        <v>45889</v>
      </c>
      <c r="N170" s="922" t="s">
        <v>1575</v>
      </c>
      <c r="O170" s="327"/>
      <c r="P170" s="547" t="s">
        <v>211</v>
      </c>
    </row>
    <row r="171" spans="1:16" ht="14.5">
      <c r="A171" s="548">
        <f t="shared" si="7"/>
        <v>164</v>
      </c>
      <c r="B171" s="556" t="s">
        <v>162</v>
      </c>
      <c r="C171" s="556"/>
      <c r="D171" s="316" t="s">
        <v>115</v>
      </c>
      <c r="E171" s="316"/>
      <c r="F171" s="316"/>
      <c r="G171" s="316"/>
      <c r="H171" s="316"/>
      <c r="I171" s="316"/>
      <c r="J171" s="316"/>
      <c r="K171" s="316" t="s">
        <v>210</v>
      </c>
      <c r="L171" s="1098">
        <v>45881</v>
      </c>
      <c r="M171" s="1041">
        <v>45891</v>
      </c>
      <c r="N171" s="880" t="s">
        <v>1676</v>
      </c>
      <c r="O171" s="913"/>
      <c r="P171" s="547" t="s">
        <v>211</v>
      </c>
    </row>
    <row r="172" spans="1:16" ht="14.5">
      <c r="A172" s="548">
        <f t="shared" si="7"/>
        <v>165</v>
      </c>
      <c r="B172" s="922" t="s">
        <v>1677</v>
      </c>
      <c r="C172" s="556"/>
      <c r="D172" s="316" t="s">
        <v>185</v>
      </c>
      <c r="E172" s="316"/>
      <c r="F172" s="316"/>
      <c r="G172" s="316"/>
      <c r="H172" s="316"/>
      <c r="I172" s="316"/>
      <c r="J172" s="316"/>
      <c r="K172" s="316" t="s">
        <v>210</v>
      </c>
      <c r="L172" s="1098">
        <v>45883</v>
      </c>
      <c r="M172" s="1041">
        <v>45891</v>
      </c>
      <c r="N172" s="546" t="s">
        <v>254</v>
      </c>
      <c r="O172" s="913"/>
      <c r="P172" s="547" t="s">
        <v>211</v>
      </c>
    </row>
    <row r="173" spans="1:16" ht="14.5">
      <c r="A173" s="548">
        <f t="shared" si="7"/>
        <v>166</v>
      </c>
      <c r="B173" s="880" t="s">
        <v>752</v>
      </c>
      <c r="C173" s="636"/>
      <c r="D173" s="857" t="s">
        <v>1670</v>
      </c>
      <c r="E173" s="625"/>
      <c r="F173" s="625"/>
      <c r="G173" s="625"/>
      <c r="H173" s="625"/>
      <c r="I173" s="625"/>
      <c r="J173" s="625"/>
      <c r="K173" s="325" t="s">
        <v>210</v>
      </c>
      <c r="L173" s="1089">
        <v>45873</v>
      </c>
      <c r="M173" s="1041">
        <v>45892</v>
      </c>
      <c r="N173" s="922" t="s">
        <v>1698</v>
      </c>
      <c r="O173" s="913"/>
      <c r="P173" s="547" t="s">
        <v>211</v>
      </c>
    </row>
    <row r="174" spans="1:16" ht="14.5">
      <c r="A174" s="548">
        <f t="shared" si="7"/>
        <v>167</v>
      </c>
      <c r="B174" s="1035" t="s">
        <v>774</v>
      </c>
      <c r="C174" s="636"/>
      <c r="D174" s="857" t="s">
        <v>182</v>
      </c>
      <c r="E174" s="625"/>
      <c r="F174" s="625"/>
      <c r="G174" s="625"/>
      <c r="H174" s="625"/>
      <c r="I174" s="625"/>
      <c r="J174" s="625"/>
      <c r="K174" s="325" t="s">
        <v>210</v>
      </c>
      <c r="L174" s="1098">
        <v>45889</v>
      </c>
      <c r="M174" s="1041">
        <v>45892</v>
      </c>
      <c r="N174" s="850" t="s">
        <v>1614</v>
      </c>
      <c r="O174" s="913"/>
      <c r="P174" s="547" t="s">
        <v>211</v>
      </c>
    </row>
    <row r="175" spans="1:16" ht="14.5">
      <c r="A175" s="548">
        <f t="shared" si="7"/>
        <v>168</v>
      </c>
      <c r="B175" s="556" t="s">
        <v>780</v>
      </c>
      <c r="C175" s="556"/>
      <c r="D175" s="316" t="s">
        <v>182</v>
      </c>
      <c r="E175" s="316"/>
      <c r="F175" s="316"/>
      <c r="G175" s="316"/>
      <c r="H175" s="316"/>
      <c r="I175" s="316"/>
      <c r="J175" s="316"/>
      <c r="K175" s="316" t="s">
        <v>210</v>
      </c>
      <c r="L175" s="1098">
        <v>45890</v>
      </c>
      <c r="M175" s="1041">
        <v>45892</v>
      </c>
      <c r="N175" s="327" t="s">
        <v>1570</v>
      </c>
      <c r="P175" s="547" t="s">
        <v>211</v>
      </c>
    </row>
    <row r="176" spans="1:16" ht="14.5">
      <c r="A176" s="548">
        <f t="shared" si="7"/>
        <v>169</v>
      </c>
      <c r="B176" s="556" t="s">
        <v>350</v>
      </c>
      <c r="C176" s="556"/>
      <c r="D176" s="316" t="s">
        <v>182</v>
      </c>
      <c r="E176" s="316"/>
      <c r="F176" s="316"/>
      <c r="G176" s="316"/>
      <c r="H176" s="316"/>
      <c r="I176" s="316"/>
      <c r="J176" s="316"/>
      <c r="K176" s="316" t="s">
        <v>210</v>
      </c>
      <c r="L176" s="1098">
        <v>45885</v>
      </c>
      <c r="M176" s="1041">
        <v>45893</v>
      </c>
      <c r="N176" s="327" t="s">
        <v>1697</v>
      </c>
      <c r="O176" s="913"/>
      <c r="P176" s="547" t="s">
        <v>211</v>
      </c>
    </row>
    <row r="177" spans="1:1023 1279:2047 2303:3071 3327:4095 4351:5119 5375:6143 6399:7167 7423:8191 8447:9215 9471:10239 10495:11263 11519:12287 12543:13311 13567:14335 14591:15359 15615:16127" ht="14.5">
      <c r="A177" s="548">
        <f t="shared" si="7"/>
        <v>170</v>
      </c>
      <c r="B177" s="556" t="s">
        <v>186</v>
      </c>
      <c r="C177" s="556"/>
      <c r="D177" s="316" t="s">
        <v>188</v>
      </c>
      <c r="E177" s="556"/>
      <c r="F177" s="556"/>
      <c r="G177" s="556"/>
      <c r="H177" s="556"/>
      <c r="I177" s="556"/>
      <c r="J177" s="556"/>
      <c r="K177" s="316" t="s">
        <v>210</v>
      </c>
      <c r="L177" s="1129">
        <v>45874</v>
      </c>
      <c r="M177" s="1041">
        <v>45893</v>
      </c>
      <c r="N177" s="556" t="s">
        <v>1699</v>
      </c>
      <c r="O177" s="913"/>
      <c r="P177" s="547" t="s">
        <v>211</v>
      </c>
    </row>
    <row r="178" spans="1:1023 1279:2047 2303:3071 3327:4095 4351:5119 5375:6143 6399:7167 7423:8191 8447:9215 9471:10239 10495:11263 11519:12287 12543:13311 13567:14335 14591:15359 15615:16127" ht="14.5">
      <c r="A178" s="548">
        <f t="shared" si="7"/>
        <v>171</v>
      </c>
      <c r="B178" s="556" t="s">
        <v>758</v>
      </c>
      <c r="C178" s="327"/>
      <c r="D178" s="316" t="s">
        <v>182</v>
      </c>
      <c r="E178" s="316"/>
      <c r="F178" s="316"/>
      <c r="G178" s="316"/>
      <c r="H178" s="316"/>
      <c r="I178" s="316"/>
      <c r="J178" s="316"/>
      <c r="K178" s="316" t="s">
        <v>210</v>
      </c>
      <c r="L178" s="1098">
        <v>45889</v>
      </c>
      <c r="M178" s="1041">
        <v>45894</v>
      </c>
      <c r="N178" s="922" t="s">
        <v>1575</v>
      </c>
      <c r="O178" s="913"/>
      <c r="P178" s="547" t="s">
        <v>211</v>
      </c>
    </row>
    <row r="179" spans="1:1023 1279:2047 2303:3071 3327:4095 4351:5119 5375:6143 6399:7167 7423:8191 8447:9215 9471:10239 10495:11263 11519:12287 12543:13311 13567:14335 14591:15359 15615:16127" ht="14.5">
      <c r="A179" s="548">
        <f t="shared" si="7"/>
        <v>172</v>
      </c>
      <c r="B179" s="850" t="s">
        <v>781</v>
      </c>
      <c r="C179" s="850"/>
      <c r="D179" s="859" t="s">
        <v>182</v>
      </c>
      <c r="E179" s="859"/>
      <c r="F179" s="859"/>
      <c r="G179" s="859"/>
      <c r="H179" s="859"/>
      <c r="I179" s="859"/>
      <c r="J179" s="859"/>
      <c r="K179" s="859" t="s">
        <v>210</v>
      </c>
      <c r="L179" s="1131">
        <v>45891</v>
      </c>
      <c r="M179" s="1041">
        <v>45894</v>
      </c>
      <c r="N179" s="551" t="s">
        <v>1570</v>
      </c>
      <c r="P179" s="547" t="s">
        <v>211</v>
      </c>
    </row>
    <row r="180" spans="1:1023 1279:2047 2303:3071 3327:4095 4351:5119 5375:6143 6399:7167 7423:8191 8447:9215 9471:10239 10495:11263 11519:12287 12543:13311 13567:14335 14591:15359 15615:16127" s="1207" customFormat="1" ht="15.5">
      <c r="A180" s="1204">
        <f t="shared" si="7"/>
        <v>173</v>
      </c>
      <c r="B180" s="652" t="s">
        <v>327</v>
      </c>
      <c r="C180" s="556"/>
      <c r="D180" s="930" t="s">
        <v>242</v>
      </c>
      <c r="E180" s="853">
        <v>1.86</v>
      </c>
      <c r="F180" s="853">
        <v>12.47</v>
      </c>
      <c r="G180" s="853">
        <v>134.69999999999999</v>
      </c>
      <c r="H180" s="855">
        <v>1.115</v>
      </c>
      <c r="I180" s="853">
        <v>0.29899999999999999</v>
      </c>
      <c r="J180" s="930"/>
      <c r="K180" s="930" t="s">
        <v>210</v>
      </c>
      <c r="L180" s="1127">
        <v>45889</v>
      </c>
      <c r="M180" s="1205">
        <v>45895</v>
      </c>
      <c r="N180" s="348" t="s">
        <v>1696</v>
      </c>
      <c r="O180" s="913"/>
      <c r="P180" s="1206" t="s">
        <v>211</v>
      </c>
      <c r="IU180" s="321"/>
      <c r="SQ180" s="321"/>
      <c r="ACM180" s="321"/>
      <c r="AMI180" s="321"/>
      <c r="AWE180" s="321"/>
      <c r="BGA180" s="321"/>
      <c r="BPW180" s="321"/>
      <c r="BZS180" s="321"/>
      <c r="CJO180" s="321"/>
      <c r="CTK180" s="321"/>
      <c r="DDG180" s="321"/>
      <c r="DNC180" s="321"/>
      <c r="DWY180" s="321"/>
      <c r="EGU180" s="321"/>
      <c r="EQQ180" s="321"/>
      <c r="FAM180" s="321"/>
      <c r="FKI180" s="321"/>
      <c r="FUE180" s="321"/>
      <c r="GEA180" s="321"/>
      <c r="GNW180" s="321"/>
      <c r="GXS180" s="321"/>
      <c r="HHO180" s="321"/>
      <c r="HRK180" s="321"/>
      <c r="IBG180" s="321"/>
      <c r="ILC180" s="321"/>
      <c r="IUY180" s="321"/>
      <c r="JEU180" s="321"/>
      <c r="JOQ180" s="321"/>
      <c r="JYM180" s="321"/>
      <c r="KII180" s="321"/>
      <c r="KSE180" s="321"/>
      <c r="LCA180" s="321"/>
      <c r="LLW180" s="321"/>
      <c r="LVS180" s="321"/>
      <c r="MFO180" s="321"/>
      <c r="MPK180" s="321"/>
      <c r="MZG180" s="321"/>
      <c r="NJC180" s="321"/>
      <c r="NSY180" s="321"/>
      <c r="OCU180" s="321"/>
      <c r="OMQ180" s="321"/>
      <c r="OWM180" s="321"/>
      <c r="PGI180" s="321"/>
      <c r="PQE180" s="321"/>
      <c r="QAA180" s="321"/>
      <c r="QJW180" s="321"/>
      <c r="QTS180" s="321"/>
      <c r="RDO180" s="321"/>
      <c r="RNK180" s="321"/>
      <c r="RXG180" s="321"/>
      <c r="SHC180" s="321"/>
      <c r="SQY180" s="321"/>
      <c r="TAU180" s="321"/>
      <c r="TKQ180" s="321"/>
      <c r="TUM180" s="321"/>
      <c r="UEI180" s="321"/>
      <c r="UOE180" s="321"/>
      <c r="UYA180" s="321"/>
      <c r="VHW180" s="321"/>
      <c r="VRS180" s="321"/>
      <c r="WBO180" s="321"/>
      <c r="WLK180" s="321"/>
      <c r="WVG180" s="321"/>
    </row>
    <row r="181" spans="1:1023 1279:2047 2303:3071 3327:4095 4351:5119 5375:6143 6399:7167 7423:8191 8447:9215 9471:10239 10495:11263 11519:12287 12543:13311 13567:14335 14591:15359 15615:16127" ht="14.5">
      <c r="A181" s="548">
        <f t="shared" si="7"/>
        <v>174</v>
      </c>
      <c r="B181" s="316" t="s">
        <v>1358</v>
      </c>
      <c r="C181" s="327"/>
      <c r="D181" s="316" t="s">
        <v>185</v>
      </c>
      <c r="E181" s="316"/>
      <c r="F181" s="316"/>
      <c r="G181" s="316"/>
      <c r="H181" s="316"/>
      <c r="I181" s="316"/>
      <c r="J181" s="316"/>
      <c r="K181" s="316" t="s">
        <v>210</v>
      </c>
      <c r="L181" s="1098">
        <v>45893</v>
      </c>
      <c r="M181" s="1041">
        <v>45895</v>
      </c>
      <c r="N181" s="850" t="s">
        <v>1614</v>
      </c>
      <c r="O181" s="913"/>
      <c r="P181" s="547" t="s">
        <v>211</v>
      </c>
    </row>
    <row r="182" spans="1:1023 1279:2047 2303:3071 3327:4095 4351:5119 5375:6143 6399:7167 7423:8191 8447:9215 9471:10239 10495:11263 11519:12287 12543:13311 13567:14335 14591:15359 15615:16127" s="1207" customFormat="1" ht="15.5">
      <c r="A182" s="1204">
        <f t="shared" si="7"/>
        <v>175</v>
      </c>
      <c r="B182" s="652" t="s">
        <v>325</v>
      </c>
      <c r="C182" s="556"/>
      <c r="D182" s="930" t="s">
        <v>182</v>
      </c>
      <c r="E182" s="927">
        <v>1.57</v>
      </c>
      <c r="F182" s="927">
        <v>11.05</v>
      </c>
      <c r="G182" s="927">
        <v>115.3</v>
      </c>
      <c r="H182" s="928">
        <v>0.91900000000000004</v>
      </c>
      <c r="I182" s="929">
        <v>0.29899999999999999</v>
      </c>
      <c r="J182" s="930"/>
      <c r="K182" s="930" t="s">
        <v>210</v>
      </c>
      <c r="L182" s="1127">
        <v>45885</v>
      </c>
      <c r="M182" s="1205">
        <v>45896</v>
      </c>
      <c r="N182" s="348" t="s">
        <v>1696</v>
      </c>
      <c r="O182" s="913"/>
      <c r="P182" s="1206"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023 1279:2047 2303:3071 3327:4095 4351:5119 5375:6143 6399:7167 7423:8191 8447:9215 9471:10239 10495:11263 11519:12287 12543:13311 13567:14335 14591:15359 15615:16127" ht="14.5">
      <c r="A183" s="548">
        <f t="shared" si="7"/>
        <v>176</v>
      </c>
      <c r="B183" s="922" t="s">
        <v>1679</v>
      </c>
      <c r="C183" s="556"/>
      <c r="D183" s="316" t="s">
        <v>125</v>
      </c>
      <c r="E183" s="316"/>
      <c r="F183" s="316"/>
      <c r="G183" s="316"/>
      <c r="H183" s="316"/>
      <c r="I183" s="316"/>
      <c r="J183" s="316"/>
      <c r="K183" s="316" t="s">
        <v>210</v>
      </c>
      <c r="L183" s="1098">
        <v>45887</v>
      </c>
      <c r="M183" s="1041">
        <v>45897</v>
      </c>
      <c r="N183" s="327" t="s">
        <v>1499</v>
      </c>
      <c r="O183" s="913"/>
      <c r="P183" s="547" t="s">
        <v>211</v>
      </c>
    </row>
    <row r="184" spans="1:1023 1279:2047 2303:3071 3327:4095 4351:5119 5375:6143 6399:7167 7423:8191 8447:9215 9471:10239 10495:11263 11519:12287 12543:13311 13567:14335 14591:15359 15615:16127" ht="14.5">
      <c r="A184" s="548">
        <f t="shared" si="7"/>
        <v>177</v>
      </c>
      <c r="B184" s="556" t="s">
        <v>187</v>
      </c>
      <c r="C184" s="556"/>
      <c r="D184" s="316" t="s">
        <v>188</v>
      </c>
      <c r="E184" s="316"/>
      <c r="F184" s="316"/>
      <c r="G184" s="316"/>
      <c r="H184" s="316"/>
      <c r="I184" s="316"/>
      <c r="J184" s="316"/>
      <c r="K184" s="316" t="s">
        <v>210</v>
      </c>
      <c r="L184" s="1098">
        <v>45891</v>
      </c>
      <c r="M184" s="1041">
        <v>45897</v>
      </c>
      <c r="N184" s="327" t="s">
        <v>1570</v>
      </c>
      <c r="P184" s="547" t="s">
        <v>211</v>
      </c>
    </row>
    <row r="185" spans="1:1023 1279:2047 2303:3071 3327:4095 4351:5119 5375:6143 6399:7167 7423:8191 8447:9215 9471:10239 10495:11263 11519:12287 12543:13311 13567:14335 14591:15359 15615:16127" ht="14.5">
      <c r="A185" s="548">
        <f t="shared" si="7"/>
        <v>178</v>
      </c>
      <c r="B185" s="374" t="s">
        <v>1683</v>
      </c>
      <c r="C185" s="636"/>
      <c r="D185" s="857" t="s">
        <v>125</v>
      </c>
      <c r="E185" s="625"/>
      <c r="F185" s="625"/>
      <c r="G185" s="625"/>
      <c r="H185" s="625"/>
      <c r="I185" s="625"/>
      <c r="J185" s="625"/>
      <c r="K185" s="325" t="s">
        <v>210</v>
      </c>
      <c r="L185" s="1089">
        <v>45893</v>
      </c>
      <c r="M185" s="1041">
        <v>45898</v>
      </c>
      <c r="N185" s="922" t="s">
        <v>1698</v>
      </c>
      <c r="O185" s="913"/>
      <c r="P185" s="547" t="s">
        <v>211</v>
      </c>
    </row>
    <row r="186" spans="1:1023 1279:2047 2303:3071 3327:4095 4351:5119 5375:6143 6399:7167 7423:8191 8447:9215 9471:10239 10495:11263 11519:12287 12543:13311 13567:14335 14591:15359 15615:16127" ht="14.5">
      <c r="A186" s="548">
        <f t="shared" si="7"/>
        <v>179</v>
      </c>
      <c r="B186" s="556" t="s">
        <v>1357</v>
      </c>
      <c r="C186" s="327"/>
      <c r="D186" s="316" t="s">
        <v>248</v>
      </c>
      <c r="E186" s="316"/>
      <c r="F186" s="316"/>
      <c r="G186" s="316"/>
      <c r="H186" s="316"/>
      <c r="I186" s="316"/>
      <c r="J186" s="316"/>
      <c r="K186" s="316" t="s">
        <v>210</v>
      </c>
      <c r="L186" s="1098">
        <v>45894</v>
      </c>
      <c r="M186" s="1041">
        <v>45898</v>
      </c>
      <c r="N186" s="850" t="s">
        <v>1614</v>
      </c>
      <c r="O186" s="913"/>
      <c r="P186" s="547" t="s">
        <v>211</v>
      </c>
    </row>
    <row r="187" spans="1:1023 1279:2047 2303:3071 3327:4095 4351:5119 5375:6143 6399:7167 7423:8191 8447:9215 9471:10239 10495:11263 11519:12287 12543:13311 13567:14335 14591:15359 15615:16127" s="1207" customFormat="1" ht="15.5">
      <c r="A187" s="1204">
        <f t="shared" si="7"/>
        <v>180</v>
      </c>
      <c r="B187" s="652" t="s">
        <v>328</v>
      </c>
      <c r="C187" s="556"/>
      <c r="D187" s="930" t="s">
        <v>242</v>
      </c>
      <c r="E187" s="853">
        <v>1.86</v>
      </c>
      <c r="F187" s="853">
        <v>12.47</v>
      </c>
      <c r="G187" s="853">
        <v>134.69999999999999</v>
      </c>
      <c r="H187" s="855">
        <v>1.115</v>
      </c>
      <c r="I187" s="853">
        <v>0.29899999999999999</v>
      </c>
      <c r="J187" s="930"/>
      <c r="K187" s="930" t="s">
        <v>210</v>
      </c>
      <c r="L187" s="1127">
        <v>45895</v>
      </c>
      <c r="M187" s="1205">
        <v>45900</v>
      </c>
      <c r="N187" s="348" t="s">
        <v>1696</v>
      </c>
      <c r="O187" s="913"/>
      <c r="P187" s="1206" t="s">
        <v>211</v>
      </c>
      <c r="IU187" s="321"/>
      <c r="SQ187" s="321"/>
      <c r="ACM187" s="321"/>
      <c r="AMI187" s="321"/>
      <c r="AWE187" s="321"/>
      <c r="BGA187" s="321"/>
      <c r="BPW187" s="321"/>
      <c r="BZS187" s="321"/>
      <c r="CJO187" s="321"/>
      <c r="CTK187" s="321"/>
      <c r="DDG187" s="321"/>
      <c r="DNC187" s="321"/>
      <c r="DWY187" s="321"/>
      <c r="EGU187" s="321"/>
      <c r="EQQ187" s="321"/>
      <c r="FAM187" s="321"/>
      <c r="FKI187" s="321"/>
      <c r="FUE187" s="321"/>
      <c r="GEA187" s="321"/>
      <c r="GNW187" s="321"/>
      <c r="GXS187" s="321"/>
      <c r="HHO187" s="321"/>
      <c r="HRK187" s="321"/>
      <c r="IBG187" s="321"/>
      <c r="ILC187" s="321"/>
      <c r="IUY187" s="321"/>
      <c r="JEU187" s="321"/>
      <c r="JOQ187" s="321"/>
      <c r="JYM187" s="321"/>
      <c r="KII187" s="321"/>
      <c r="KSE187" s="321"/>
      <c r="LCA187" s="321"/>
      <c r="LLW187" s="321"/>
      <c r="LVS187" s="321"/>
      <c r="MFO187" s="321"/>
      <c r="MPK187" s="321"/>
      <c r="MZG187" s="321"/>
      <c r="NJC187" s="321"/>
      <c r="NSY187" s="321"/>
      <c r="OCU187" s="321"/>
      <c r="OMQ187" s="321"/>
      <c r="OWM187" s="321"/>
      <c r="PGI187" s="321"/>
      <c r="PQE187" s="321"/>
      <c r="QAA187" s="321"/>
      <c r="QJW187" s="321"/>
      <c r="QTS187" s="321"/>
      <c r="RDO187" s="321"/>
      <c r="RNK187" s="321"/>
      <c r="RXG187" s="321"/>
      <c r="SHC187" s="321"/>
      <c r="SQY187" s="321"/>
      <c r="TAU187" s="321"/>
      <c r="TKQ187" s="321"/>
      <c r="TUM187" s="321"/>
      <c r="UEI187" s="321"/>
      <c r="UOE187" s="321"/>
      <c r="UYA187" s="321"/>
      <c r="VHW187" s="321"/>
      <c r="VRS187" s="321"/>
      <c r="WBO187" s="321"/>
      <c r="WLK187" s="321"/>
      <c r="WVG187" s="321"/>
    </row>
    <row r="188" spans="1:1023 1279:2047 2303:3071 3327:4095 4351:5119 5375:6143 6399:7167 7423:8191 8447:9215 9471:10239 10495:11263 11519:12287 12543:13311 13567:14335 14591:15359 15615:16127" ht="14.5">
      <c r="A188" s="548">
        <f t="shared" si="7"/>
        <v>181</v>
      </c>
      <c r="B188" s="922" t="s">
        <v>1680</v>
      </c>
      <c r="C188" s="556"/>
      <c r="D188" s="316" t="s">
        <v>188</v>
      </c>
      <c r="E188" s="316"/>
      <c r="F188" s="316"/>
      <c r="G188" s="316"/>
      <c r="H188" s="316"/>
      <c r="I188" s="316"/>
      <c r="J188" s="316"/>
      <c r="K188" s="316" t="s">
        <v>210</v>
      </c>
      <c r="L188" s="1098">
        <v>45527</v>
      </c>
      <c r="M188" s="1041">
        <v>45900</v>
      </c>
      <c r="N188" s="327" t="s">
        <v>1290</v>
      </c>
      <c r="O188" s="913"/>
      <c r="P188" s="547" t="s">
        <v>211</v>
      </c>
    </row>
    <row r="189" spans="1:1023 1279:2047 2303:3071 3327:4095 4351:5119 5375:6143 6399:7167 7423:8191 8447:9215 9471:10239 10495:11263 11519:12287 12543:13311 13567:14335 14591:15359 15615:16127" ht="14.5">
      <c r="A189" s="548">
        <f t="shared" si="7"/>
        <v>182</v>
      </c>
      <c r="B189" s="850" t="s">
        <v>1305</v>
      </c>
      <c r="C189" s="556"/>
      <c r="D189" s="316" t="s">
        <v>115</v>
      </c>
      <c r="E189" s="556"/>
      <c r="F189" s="556"/>
      <c r="G189" s="556"/>
      <c r="H189" s="556"/>
      <c r="I189" s="556"/>
      <c r="J189" s="556"/>
      <c r="K189" s="316" t="s">
        <v>292</v>
      </c>
      <c r="L189" s="1098">
        <v>45891</v>
      </c>
      <c r="M189" s="1041">
        <v>45900</v>
      </c>
      <c r="N189" s="556" t="s">
        <v>1704</v>
      </c>
      <c r="O189" s="914"/>
      <c r="P189" s="547" t="s">
        <v>211</v>
      </c>
    </row>
    <row r="190" spans="1:1023 1279:2047 2303:3071 3327:4095 4351:5119 5375:6143 6399:7167 7423:8191 8447:9215 9471:10239 10495:11263 11519:12287 12543:13311 13567:14335 14591:15359 15615:16127" ht="14.5">
      <c r="A190" s="548">
        <f t="shared" si="7"/>
        <v>183</v>
      </c>
      <c r="B190" s="1125" t="s">
        <v>171</v>
      </c>
      <c r="C190" s="1058"/>
      <c r="D190" s="316" t="s">
        <v>167</v>
      </c>
      <c r="E190" s="316"/>
      <c r="F190" s="316"/>
      <c r="G190" s="316"/>
      <c r="H190" s="316"/>
      <c r="I190" s="316"/>
      <c r="J190" s="316"/>
      <c r="K190" s="316" t="s">
        <v>210</v>
      </c>
      <c r="L190" s="1098">
        <v>45892</v>
      </c>
      <c r="M190" s="1041">
        <v>45900</v>
      </c>
      <c r="N190" s="546" t="s">
        <v>254</v>
      </c>
      <c r="O190" s="913"/>
      <c r="P190" s="547" t="s">
        <v>211</v>
      </c>
    </row>
    <row r="191" spans="1:1023 1279:2047 2303:3071 3327:4095 4351:5119 5375:6143 6399:7167 7423:8191 8447:9215 9471:10239 10495:11263 11519:12287 12543:13311 13567:14335 14591:15359 15615:16127" ht="14.5">
      <c r="A191" s="548">
        <f t="shared" si="7"/>
        <v>184</v>
      </c>
      <c r="B191" s="556" t="s">
        <v>468</v>
      </c>
      <c r="C191" s="1058"/>
      <c r="D191" s="316" t="s">
        <v>182</v>
      </c>
      <c r="E191" s="556"/>
      <c r="F191" s="556"/>
      <c r="G191" s="556"/>
      <c r="H191" s="556"/>
      <c r="I191" s="556"/>
      <c r="J191" s="556"/>
      <c r="K191" s="316" t="s">
        <v>210</v>
      </c>
      <c r="L191" s="1098">
        <v>45891</v>
      </c>
      <c r="M191" s="1041">
        <v>45900</v>
      </c>
      <c r="N191" s="922" t="s">
        <v>1695</v>
      </c>
      <c r="O191" s="914"/>
      <c r="P191" s="547" t="s">
        <v>211</v>
      </c>
    </row>
    <row r="192" spans="1:1023 1279:2047 2303:3071 3327:4095 4351:5119 5375:6143 6399:7167 7423:8191 8447:9215 9471:10239 10495:11263 11519:12287 12543:13311 13567:14335 14591:15359 15615:16127" ht="14.5">
      <c r="A192" s="548">
        <f t="shared" si="7"/>
        <v>185</v>
      </c>
      <c r="B192" s="556" t="s">
        <v>782</v>
      </c>
      <c r="C192" s="1059"/>
      <c r="D192" s="859" t="s">
        <v>182</v>
      </c>
      <c r="E192" s="859"/>
      <c r="F192" s="859"/>
      <c r="G192" s="859"/>
      <c r="H192" s="859"/>
      <c r="I192" s="859"/>
      <c r="J192" s="859"/>
      <c r="K192" s="859" t="s">
        <v>210</v>
      </c>
      <c r="L192" s="1131">
        <v>45895</v>
      </c>
      <c r="M192" s="1055">
        <v>45900</v>
      </c>
      <c r="N192" s="551" t="s">
        <v>1570</v>
      </c>
      <c r="O192" s="1056"/>
      <c r="P192" s="1057" t="s">
        <v>211</v>
      </c>
    </row>
    <row r="193" spans="1:1023 1279:2047 2303:3071 3327:4095 4351:5119 5375:6143 6399:7167 7423:8191 8447:9215 9471:10239 10495:11263 11519:12287 12543:13311 13567:14335 14591:15359 15615:16127" ht="14.5">
      <c r="A193" s="548">
        <f t="shared" si="7"/>
        <v>186</v>
      </c>
      <c r="B193" s="556" t="s">
        <v>760</v>
      </c>
      <c r="C193" s="1058"/>
      <c r="D193" s="316" t="s">
        <v>182</v>
      </c>
      <c r="E193" s="556"/>
      <c r="F193" s="556"/>
      <c r="G193" s="556"/>
      <c r="H193" s="556"/>
      <c r="I193" s="556"/>
      <c r="J193" s="556"/>
      <c r="K193" s="316" t="s">
        <v>210</v>
      </c>
      <c r="L193" s="1098">
        <v>45895</v>
      </c>
      <c r="M193" s="1055">
        <v>45900</v>
      </c>
      <c r="N193" s="922" t="s">
        <v>1575</v>
      </c>
      <c r="O193" s="556"/>
      <c r="P193" s="1057" t="s">
        <v>211</v>
      </c>
    </row>
    <row r="194" spans="1:1023 1279:2047 2303:3071 3327:4095 4351:5119 5375:6143 6399:7167 7423:8191 8447:9215 9471:10239 10495:11263 11519:12287 12543:13311 13567:14335 14591:15359 15615:16127" ht="14.5">
      <c r="A194" s="548">
        <f t="shared" si="7"/>
        <v>187</v>
      </c>
      <c r="B194" s="374" t="s">
        <v>1682</v>
      </c>
      <c r="C194" s="1058"/>
      <c r="D194" s="316" t="s">
        <v>125</v>
      </c>
      <c r="E194" s="316"/>
      <c r="F194" s="316"/>
      <c r="G194" s="316"/>
      <c r="H194" s="316"/>
      <c r="I194" s="316"/>
      <c r="J194" s="316"/>
      <c r="K194" s="316" t="s">
        <v>210</v>
      </c>
      <c r="L194" s="1129">
        <v>45894</v>
      </c>
      <c r="M194" s="1055">
        <v>45900</v>
      </c>
      <c r="N194" s="374" t="s">
        <v>1673</v>
      </c>
      <c r="O194" s="327"/>
      <c r="P194" s="1057" t="s">
        <v>211</v>
      </c>
    </row>
    <row r="195" spans="1:1023 1279:2047 2303:3071 3327:4095 4351:5119 5375:6143 6399:7167 7423:8191 8447:9215 9471:10239 10495:11263 11519:12287 12543:13311 13567:14335 14591:15359 15615:16127" ht="14.5">
      <c r="A195" s="548">
        <f t="shared" si="7"/>
        <v>188</v>
      </c>
      <c r="B195" s="1054" t="s">
        <v>178</v>
      </c>
      <c r="C195" s="1060"/>
      <c r="D195" s="316" t="s">
        <v>125</v>
      </c>
      <c r="E195" s="316"/>
      <c r="F195" s="316"/>
      <c r="G195" s="316"/>
      <c r="H195" s="316"/>
      <c r="I195" s="316"/>
      <c r="J195" s="316"/>
      <c r="K195" s="316" t="s">
        <v>210</v>
      </c>
      <c r="L195" s="1098">
        <v>45900</v>
      </c>
      <c r="M195" s="552">
        <v>45904</v>
      </c>
      <c r="N195" s="922" t="s">
        <v>1698</v>
      </c>
      <c r="O195" s="913"/>
      <c r="P195" s="1057" t="s">
        <v>211</v>
      </c>
    </row>
    <row r="196" spans="1:1023 1279:2047 2303:3071 3327:4095 4351:5119 5375:6143 6399:7167 7423:8191 8447:9215 9471:10239 10495:11263 11519:12287 12543:13311 13567:14335 14591:15359 15615:16127" ht="14.5">
      <c r="A196" s="548">
        <f t="shared" si="7"/>
        <v>189</v>
      </c>
      <c r="B196" s="556" t="s">
        <v>1705</v>
      </c>
      <c r="C196" s="1059"/>
      <c r="D196" s="859" t="s">
        <v>1708</v>
      </c>
      <c r="E196" s="859"/>
      <c r="F196" s="859"/>
      <c r="G196" s="859"/>
      <c r="H196" s="859"/>
      <c r="I196" s="859"/>
      <c r="J196" s="859"/>
      <c r="K196" s="859" t="s">
        <v>210</v>
      </c>
      <c r="L196" s="1098">
        <v>45898</v>
      </c>
      <c r="M196" s="552">
        <v>45905</v>
      </c>
      <c r="N196" s="327" t="s">
        <v>1570</v>
      </c>
      <c r="O196" s="913"/>
      <c r="P196" s="1057" t="s">
        <v>211</v>
      </c>
      <c r="Q196" s="923"/>
    </row>
    <row r="197" spans="1:1023 1279:2047 2303:3071 3327:4095 4351:5119 5375:6143 6399:7167 7423:8191 8447:9215 9471:10239 10495:11263 11519:12287 12543:13311 13567:14335 14591:15359 15615:16127" ht="14.5">
      <c r="A197" s="548">
        <f t="shared" si="7"/>
        <v>190</v>
      </c>
      <c r="B197" s="1084" t="s">
        <v>815</v>
      </c>
      <c r="C197" s="1083"/>
      <c r="D197" s="859" t="s">
        <v>182</v>
      </c>
      <c r="E197" s="859"/>
      <c r="F197" s="859"/>
      <c r="G197" s="859"/>
      <c r="H197" s="859"/>
      <c r="I197" s="859"/>
      <c r="J197" s="859"/>
      <c r="K197" s="859" t="s">
        <v>210</v>
      </c>
      <c r="L197" s="1131">
        <v>45901</v>
      </c>
      <c r="M197" s="851">
        <v>45905</v>
      </c>
      <c r="N197" s="551" t="s">
        <v>1499</v>
      </c>
      <c r="O197" s="1056"/>
      <c r="P197" s="1057" t="s">
        <v>211</v>
      </c>
      <c r="Q197" s="923"/>
    </row>
    <row r="198" spans="1:1023 1279:2047 2303:3071 3327:4095 4351:5119 5375:6143 6399:7167 7423:8191 8447:9215 9471:10239 10495:11263 11519:12287 12543:13311 13567:14335 14591:15359 15615:16127" s="1207" customFormat="1" ht="14.5">
      <c r="A198" s="1204">
        <f t="shared" si="7"/>
        <v>191</v>
      </c>
      <c r="B198" s="652" t="s">
        <v>1103</v>
      </c>
      <c r="C198" s="556"/>
      <c r="D198" s="930" t="s">
        <v>132</v>
      </c>
      <c r="E198" s="636">
        <v>1.68</v>
      </c>
      <c r="F198" s="636">
        <v>12.41</v>
      </c>
      <c r="G198" s="636">
        <v>143.4</v>
      </c>
      <c r="H198" s="636">
        <v>1.728</v>
      </c>
      <c r="I198" s="636">
        <v>0.41399999999999998</v>
      </c>
      <c r="J198" s="652"/>
      <c r="K198" s="1208" t="s">
        <v>210</v>
      </c>
      <c r="L198" s="1127">
        <v>45903</v>
      </c>
      <c r="M198" s="917">
        <v>45910</v>
      </c>
      <c r="N198" s="852" t="s">
        <v>1696</v>
      </c>
      <c r="O198" s="327"/>
      <c r="P198" s="1209" t="s">
        <v>211</v>
      </c>
      <c r="Q198" s="1210"/>
      <c r="IU198" s="321"/>
      <c r="SQ198" s="321"/>
      <c r="ACM198" s="321"/>
      <c r="AMI198" s="321"/>
      <c r="AWE198" s="321"/>
      <c r="BGA198" s="321"/>
      <c r="BPW198" s="321"/>
      <c r="BZS198" s="321"/>
      <c r="CJO198" s="321"/>
      <c r="CTK198" s="321"/>
      <c r="DDG198" s="321"/>
      <c r="DNC198" s="321"/>
      <c r="DWY198" s="321"/>
      <c r="EGU198" s="321"/>
      <c r="EQQ198" s="321"/>
      <c r="FAM198" s="321"/>
      <c r="FKI198" s="321"/>
      <c r="FUE198" s="321"/>
      <c r="GEA198" s="321"/>
      <c r="GNW198" s="321"/>
      <c r="GXS198" s="321"/>
      <c r="HHO198" s="321"/>
      <c r="HRK198" s="321"/>
      <c r="IBG198" s="321"/>
      <c r="ILC198" s="321"/>
      <c r="IUY198" s="321"/>
      <c r="JEU198" s="321"/>
      <c r="JOQ198" s="321"/>
      <c r="JYM198" s="321"/>
      <c r="KII198" s="321"/>
      <c r="KSE198" s="321"/>
      <c r="LCA198" s="321"/>
      <c r="LLW198" s="321"/>
      <c r="LVS198" s="321"/>
      <c r="MFO198" s="321"/>
      <c r="MPK198" s="321"/>
      <c r="MZG198" s="321"/>
      <c r="NJC198" s="321"/>
      <c r="NSY198" s="321"/>
      <c r="OCU198" s="321"/>
      <c r="OMQ198" s="321"/>
      <c r="OWM198" s="321"/>
      <c r="PGI198" s="321"/>
      <c r="PQE198" s="321"/>
      <c r="QAA198" s="321"/>
      <c r="QJW198" s="321"/>
      <c r="QTS198" s="321"/>
      <c r="RDO198" s="321"/>
      <c r="RNK198" s="321"/>
      <c r="RXG198" s="321"/>
      <c r="SHC198" s="321"/>
      <c r="SQY198" s="321"/>
      <c r="TAU198" s="321"/>
      <c r="TKQ198" s="321"/>
      <c r="TUM198" s="321"/>
      <c r="UEI198" s="321"/>
      <c r="UOE198" s="321"/>
      <c r="UYA198" s="321"/>
      <c r="VHW198" s="321"/>
      <c r="VRS198" s="321"/>
      <c r="WBO198" s="321"/>
      <c r="WLK198" s="321"/>
      <c r="WVG198" s="321"/>
    </row>
    <row r="199" spans="1:1023 1279:2047 2303:3071 3327:4095 4351:5119 5375:6143 6399:7167 7423:8191 8447:9215 9471:10239 10495:11263 11519:12287 12543:13311 13567:14335 14591:15359 15615:16127" ht="14.5">
      <c r="A199" s="548">
        <f t="shared" si="7"/>
        <v>192</v>
      </c>
      <c r="B199" s="556" t="s">
        <v>741</v>
      </c>
      <c r="C199" s="556"/>
      <c r="D199" s="316" t="s">
        <v>182</v>
      </c>
      <c r="E199" s="556"/>
      <c r="F199" s="556"/>
      <c r="G199" s="556"/>
      <c r="H199" s="556"/>
      <c r="I199" s="556"/>
      <c r="J199" s="556"/>
      <c r="K199" s="859" t="s">
        <v>210</v>
      </c>
      <c r="L199" s="1098">
        <v>45905</v>
      </c>
      <c r="M199" s="552">
        <v>45910</v>
      </c>
      <c r="N199" s="551" t="s">
        <v>1673</v>
      </c>
      <c r="O199" s="556"/>
      <c r="P199" s="1057" t="s">
        <v>211</v>
      </c>
      <c r="Q199" s="923"/>
    </row>
    <row r="200" spans="1:1023 1279:2047 2303:3071 3327:4095 4351:5119 5375:6143 6399:7167 7423:8191 8447:9215 9471:10239 10495:11263 11519:12287 12543:13311 13567:14335 14591:15359 15615:16127" ht="14.5">
      <c r="A200" s="548">
        <f t="shared" si="7"/>
        <v>193</v>
      </c>
      <c r="B200" s="625" t="s">
        <v>151</v>
      </c>
      <c r="C200" s="625"/>
      <c r="D200" s="316" t="s">
        <v>123</v>
      </c>
      <c r="E200" s="625"/>
      <c r="F200" s="625"/>
      <c r="G200" s="625"/>
      <c r="H200" s="625"/>
      <c r="I200" s="625"/>
      <c r="J200" s="625"/>
      <c r="K200" s="859" t="s">
        <v>210</v>
      </c>
      <c r="L200" s="1089">
        <v>45905</v>
      </c>
      <c r="M200" s="552">
        <v>45912</v>
      </c>
      <c r="N200" s="551" t="s">
        <v>1570</v>
      </c>
      <c r="O200" s="556"/>
      <c r="P200" s="1057" t="s">
        <v>211</v>
      </c>
      <c r="Q200" s="923"/>
    </row>
    <row r="201" spans="1:1023 1279:2047 2303:3071 3327:4095 4351:5119 5375:6143 6399:7167 7423:8191 8447:9215 9471:10239 10495:11263 11519:12287 12543:13311 13567:14335 14591:15359 15615:16127" ht="14.5">
      <c r="A201" s="548">
        <f t="shared" si="7"/>
        <v>194</v>
      </c>
      <c r="B201" s="625" t="s">
        <v>160</v>
      </c>
      <c r="C201" s="625"/>
      <c r="D201" s="316" t="s">
        <v>132</v>
      </c>
      <c r="E201" s="625"/>
      <c r="F201" s="625"/>
      <c r="G201" s="625"/>
      <c r="H201" s="625"/>
      <c r="I201" s="625"/>
      <c r="J201" s="625"/>
      <c r="K201" s="859" t="s">
        <v>210</v>
      </c>
      <c r="L201" s="1089">
        <v>45904</v>
      </c>
      <c r="M201" s="552">
        <v>45912</v>
      </c>
      <c r="N201" s="327" t="s">
        <v>1290</v>
      </c>
      <c r="O201" s="636"/>
      <c r="P201" s="1057" t="s">
        <v>211</v>
      </c>
      <c r="Q201" s="923"/>
    </row>
    <row r="202" spans="1:1023 1279:2047 2303:3071 3327:4095 4351:5119 5375:6143 6399:7167 7423:8191 8447:9215 9471:10239 10495:11263 11519:12287 12543:13311 13567:14335 14591:15359 15615:16127" ht="14.5">
      <c r="A202" s="548">
        <f t="shared" ref="A202:A227" si="8">A201+1</f>
        <v>195</v>
      </c>
      <c r="B202" s="625" t="s">
        <v>1706</v>
      </c>
      <c r="C202" s="625"/>
      <c r="D202" s="316" t="s">
        <v>1707</v>
      </c>
      <c r="E202" s="625"/>
      <c r="F202" s="625"/>
      <c r="G202" s="625"/>
      <c r="H202" s="625"/>
      <c r="I202" s="625"/>
      <c r="J202" s="625"/>
      <c r="K202" s="859" t="s">
        <v>210</v>
      </c>
      <c r="L202" s="1089">
        <v>45894</v>
      </c>
      <c r="M202" s="552">
        <v>45914</v>
      </c>
      <c r="N202" s="551" t="s">
        <v>1697</v>
      </c>
      <c r="O202" s="914"/>
      <c r="P202" s="1057" t="s">
        <v>211</v>
      </c>
      <c r="Q202" s="923"/>
    </row>
    <row r="203" spans="1:1023 1279:2047 2303:3071 3327:4095 4351:5119 5375:6143 6399:7167 7423:8191 8447:9215 9471:10239 10495:11263 11519:12287 12543:13311 13567:14335 14591:15359 15615:16127" ht="14.5">
      <c r="A203" s="548">
        <f t="shared" si="8"/>
        <v>196</v>
      </c>
      <c r="B203" s="625" t="s">
        <v>1286</v>
      </c>
      <c r="C203" s="625"/>
      <c r="D203" s="316" t="s">
        <v>182</v>
      </c>
      <c r="E203" s="625"/>
      <c r="F203" s="625"/>
      <c r="G203" s="625"/>
      <c r="H203" s="625"/>
      <c r="I203" s="625"/>
      <c r="J203" s="625"/>
      <c r="K203" s="316" t="s">
        <v>210</v>
      </c>
      <c r="L203" s="1089">
        <v>45906</v>
      </c>
      <c r="M203" s="552">
        <v>45914</v>
      </c>
      <c r="N203" s="625" t="s">
        <v>1499</v>
      </c>
      <c r="O203" s="914"/>
      <c r="P203" s="1057" t="s">
        <v>211</v>
      </c>
    </row>
    <row r="204" spans="1:1023 1279:2047 2303:3071 3327:4095 4351:5119 5375:6143 6399:7167 7423:8191 8447:9215 9471:10239 10495:11263 11519:12287 12543:13311 13567:14335 14591:15359 15615:16127" ht="14.5">
      <c r="A204" s="548">
        <f t="shared" si="8"/>
        <v>197</v>
      </c>
      <c r="B204" s="625" t="s">
        <v>1721</v>
      </c>
      <c r="C204" s="625"/>
      <c r="D204" s="316" t="s">
        <v>132</v>
      </c>
      <c r="E204" s="625"/>
      <c r="F204" s="625"/>
      <c r="G204" s="625"/>
      <c r="H204" s="625"/>
      <c r="I204" s="625"/>
      <c r="J204" s="625"/>
      <c r="K204" s="859" t="s">
        <v>210</v>
      </c>
      <c r="L204" s="1098">
        <v>45912</v>
      </c>
      <c r="M204" s="657" t="s">
        <v>1725</v>
      </c>
      <c r="N204" s="551" t="s">
        <v>1570</v>
      </c>
      <c r="P204" s="1057" t="s">
        <v>211</v>
      </c>
      <c r="Q204" s="923"/>
    </row>
    <row r="205" spans="1:1023 1279:2047 2303:3071 3327:4095 4351:5119 5375:6143 6399:7167 7423:8191 8447:9215 9471:10239 10495:11263 11519:12287 12543:13311 13567:14335 14591:15359 15615:16127" ht="14.5">
      <c r="A205" s="548">
        <f t="shared" si="8"/>
        <v>198</v>
      </c>
      <c r="B205" s="556" t="s">
        <v>740</v>
      </c>
      <c r="C205" s="556"/>
      <c r="D205" s="316" t="s">
        <v>182</v>
      </c>
      <c r="E205" s="556"/>
      <c r="F205" s="556"/>
      <c r="G205" s="556"/>
      <c r="H205" s="556"/>
      <c r="I205" s="556"/>
      <c r="J205" s="556"/>
      <c r="K205" s="859" t="s">
        <v>210</v>
      </c>
      <c r="L205" s="1098">
        <v>45913</v>
      </c>
      <c r="M205" s="660" t="s">
        <v>1726</v>
      </c>
      <c r="N205" s="556" t="s">
        <v>1673</v>
      </c>
      <c r="O205" s="914"/>
      <c r="P205" s="1057" t="s">
        <v>211</v>
      </c>
      <c r="Q205" s="923"/>
    </row>
    <row r="206" spans="1:1023 1279:2047 2303:3071 3327:4095 4351:5119 5375:6143 6399:7167 7423:8191 8447:9215 9471:10239 10495:11263 11519:12287 12543:13311 13567:14335 14591:15359 15615:16127" s="1207" customFormat="1" ht="14.5">
      <c r="A206" s="548">
        <f t="shared" si="8"/>
        <v>199</v>
      </c>
      <c r="B206" s="556" t="s">
        <v>324</v>
      </c>
      <c r="C206" s="556"/>
      <c r="D206" s="316" t="s">
        <v>132</v>
      </c>
      <c r="E206" s="636">
        <v>1.68</v>
      </c>
      <c r="F206" s="636">
        <v>12.41</v>
      </c>
      <c r="G206" s="636">
        <v>143.4</v>
      </c>
      <c r="H206" s="636">
        <v>1.728</v>
      </c>
      <c r="I206" s="636">
        <v>0.41399999999999998</v>
      </c>
      <c r="J206" s="556"/>
      <c r="K206" s="859" t="s">
        <v>210</v>
      </c>
      <c r="L206" s="1098">
        <v>45912</v>
      </c>
      <c r="M206" s="660">
        <v>45920</v>
      </c>
      <c r="N206" s="551" t="s">
        <v>1696</v>
      </c>
      <c r="O206" s="321"/>
      <c r="P206" s="1057" t="s">
        <v>211</v>
      </c>
      <c r="Q206" s="1210"/>
      <c r="IU206" s="321"/>
      <c r="SQ206" s="321"/>
      <c r="ACM206" s="321"/>
      <c r="AMI206" s="321"/>
      <c r="AWE206" s="321"/>
      <c r="BGA206" s="321"/>
      <c r="BPW206" s="321"/>
      <c r="BZS206" s="321"/>
      <c r="CJO206" s="321"/>
      <c r="CTK206" s="321"/>
      <c r="DDG206" s="321"/>
      <c r="DNC206" s="321"/>
      <c r="DWY206" s="321"/>
      <c r="EGU206" s="321"/>
      <c r="EQQ206" s="321"/>
      <c r="FAM206" s="321"/>
      <c r="FKI206" s="321"/>
      <c r="FUE206" s="321"/>
      <c r="GEA206" s="321"/>
      <c r="GNW206" s="321"/>
      <c r="GXS206" s="321"/>
      <c r="HHO206" s="321"/>
      <c r="HRK206" s="321"/>
      <c r="IBG206" s="321"/>
      <c r="ILC206" s="321"/>
      <c r="IUY206" s="321"/>
      <c r="JEU206" s="321"/>
      <c r="JOQ206" s="321"/>
      <c r="JYM206" s="321"/>
      <c r="KII206" s="321"/>
      <c r="KSE206" s="321"/>
      <c r="LCA206" s="321"/>
      <c r="LLW206" s="321"/>
      <c r="LVS206" s="321"/>
      <c r="MFO206" s="321"/>
      <c r="MPK206" s="321"/>
      <c r="MZG206" s="321"/>
      <c r="NJC206" s="321"/>
      <c r="NSY206" s="321"/>
      <c r="OCU206" s="321"/>
      <c r="OMQ206" s="321"/>
      <c r="OWM206" s="321"/>
      <c r="PGI206" s="321"/>
      <c r="PQE206" s="321"/>
      <c r="QAA206" s="321"/>
      <c r="QJW206" s="321"/>
      <c r="QTS206" s="321"/>
      <c r="RDO206" s="321"/>
      <c r="RNK206" s="321"/>
      <c r="RXG206" s="321"/>
      <c r="SHC206" s="321"/>
      <c r="SQY206" s="321"/>
      <c r="TAU206" s="321"/>
      <c r="TKQ206" s="321"/>
      <c r="TUM206" s="321"/>
      <c r="UEI206" s="321"/>
      <c r="UOE206" s="321"/>
      <c r="UYA206" s="321"/>
      <c r="VHW206" s="321"/>
      <c r="VRS206" s="321"/>
      <c r="WBO206" s="321"/>
      <c r="WLK206" s="321"/>
      <c r="WVG206" s="321"/>
    </row>
    <row r="207" spans="1:1023 1279:2047 2303:3071 3327:4095 4351:5119 5375:6143 6399:7167 7423:8191 8447:9215 9471:10239 10495:11263 11519:12287 12543:13311 13567:14335 14591:15359 15615:16127" ht="39">
      <c r="A207" s="548">
        <f t="shared" si="8"/>
        <v>200</v>
      </c>
      <c r="B207" s="625" t="s">
        <v>371</v>
      </c>
      <c r="C207" s="625"/>
      <c r="D207" s="933" t="s">
        <v>1674</v>
      </c>
      <c r="E207" s="625"/>
      <c r="F207" s="625"/>
      <c r="G207" s="625"/>
      <c r="H207" s="625"/>
      <c r="I207" s="625"/>
      <c r="J207" s="625"/>
      <c r="K207" s="859" t="s">
        <v>210</v>
      </c>
      <c r="L207" s="1089">
        <v>45881</v>
      </c>
      <c r="M207" s="1041" t="s">
        <v>1728</v>
      </c>
      <c r="N207" s="625" t="s">
        <v>1668</v>
      </c>
      <c r="O207" s="974"/>
      <c r="P207" s="1057" t="s">
        <v>211</v>
      </c>
    </row>
    <row r="208" spans="1:1023 1279:2047 2303:3071 3327:4095 4351:5119 5375:6143 6399:7167 7423:8191 8447:9215 9471:10239 10495:11263 11519:12287 12543:13311 13567:14335 14591:15359 15615:16127" ht="14.5">
      <c r="A208" s="548">
        <f t="shared" si="8"/>
        <v>201</v>
      </c>
      <c r="B208" s="625" t="s">
        <v>1716</v>
      </c>
      <c r="C208" s="625"/>
      <c r="D208" s="316" t="s">
        <v>125</v>
      </c>
      <c r="E208" s="625"/>
      <c r="F208" s="625"/>
      <c r="G208" s="625"/>
      <c r="H208" s="625"/>
      <c r="I208" s="625"/>
      <c r="J208" s="625"/>
      <c r="K208" s="859" t="s">
        <v>210</v>
      </c>
      <c r="L208" s="1089">
        <v>45903</v>
      </c>
      <c r="M208" s="1041" t="s">
        <v>1729</v>
      </c>
      <c r="N208" s="625" t="s">
        <v>1614</v>
      </c>
      <c r="O208" s="914"/>
      <c r="P208" s="1057" t="s">
        <v>211</v>
      </c>
    </row>
    <row r="209" spans="1:16" ht="14.5">
      <c r="A209" s="548">
        <f t="shared" si="8"/>
        <v>202</v>
      </c>
      <c r="B209" s="556" t="s">
        <v>1727</v>
      </c>
      <c r="C209" s="556"/>
      <c r="D209" s="316" t="s">
        <v>143</v>
      </c>
      <c r="E209" s="556"/>
      <c r="F209" s="556"/>
      <c r="G209" s="556"/>
      <c r="H209" s="556"/>
      <c r="I209" s="556"/>
      <c r="J209" s="556"/>
      <c r="K209" s="316" t="s">
        <v>210</v>
      </c>
      <c r="L209" s="1098">
        <v>45921</v>
      </c>
      <c r="M209" s="660">
        <v>45925</v>
      </c>
      <c r="N209" s="327" t="s">
        <v>1570</v>
      </c>
      <c r="P209" s="1057" t="s">
        <v>211</v>
      </c>
    </row>
    <row r="210" spans="1:16" ht="14.5">
      <c r="A210" s="548">
        <f t="shared" si="8"/>
        <v>203</v>
      </c>
      <c r="B210" s="625" t="s">
        <v>761</v>
      </c>
      <c r="C210" s="625"/>
      <c r="D210" s="325" t="s">
        <v>182</v>
      </c>
      <c r="E210" s="625"/>
      <c r="F210" s="625"/>
      <c r="G210" s="625"/>
      <c r="H210" s="625"/>
      <c r="I210" s="625"/>
      <c r="J210" s="625"/>
      <c r="K210" s="859" t="s">
        <v>210</v>
      </c>
      <c r="L210" s="1089">
        <v>45904</v>
      </c>
      <c r="M210" s="660">
        <v>45925</v>
      </c>
      <c r="N210" s="625" t="s">
        <v>1575</v>
      </c>
      <c r="O210" s="914"/>
      <c r="P210" s="1057" t="s">
        <v>211</v>
      </c>
    </row>
    <row r="211" spans="1:16" ht="19.5" customHeight="1">
      <c r="A211" s="548">
        <f t="shared" si="8"/>
        <v>204</v>
      </c>
      <c r="B211" s="1136" t="s">
        <v>197</v>
      </c>
      <c r="C211" s="859"/>
      <c r="D211" s="859" t="s">
        <v>117</v>
      </c>
      <c r="E211" s="859"/>
      <c r="F211" s="859"/>
      <c r="G211" s="859"/>
      <c r="H211" s="859"/>
      <c r="I211" s="859"/>
      <c r="J211" s="859"/>
      <c r="K211" s="859" t="s">
        <v>292</v>
      </c>
      <c r="L211" s="1131">
        <v>45917</v>
      </c>
      <c r="M211" s="851">
        <v>45930</v>
      </c>
      <c r="N211" s="970" t="s">
        <v>1698</v>
      </c>
      <c r="O211" s="1056"/>
      <c r="P211" s="1057" t="s">
        <v>211</v>
      </c>
    </row>
    <row r="212" spans="1:16" ht="14.5">
      <c r="A212" s="548">
        <f t="shared" si="8"/>
        <v>205</v>
      </c>
      <c r="B212" s="625" t="s">
        <v>179</v>
      </c>
      <c r="C212" s="625"/>
      <c r="D212" s="316" t="s">
        <v>115</v>
      </c>
      <c r="E212" s="625"/>
      <c r="F212" s="625"/>
      <c r="G212" s="625"/>
      <c r="H212" s="625"/>
      <c r="I212" s="625"/>
      <c r="J212" s="625"/>
      <c r="K212" s="859" t="s">
        <v>210</v>
      </c>
      <c r="L212" s="1089">
        <v>37510</v>
      </c>
      <c r="M212" s="851">
        <v>45930</v>
      </c>
      <c r="N212" s="625" t="s">
        <v>1575</v>
      </c>
      <c r="O212" s="914"/>
      <c r="P212" s="1057" t="s">
        <v>211</v>
      </c>
    </row>
    <row r="213" spans="1:16" ht="19.5" customHeight="1">
      <c r="A213" s="548">
        <f t="shared" si="8"/>
        <v>206</v>
      </c>
      <c r="B213" s="556" t="s">
        <v>864</v>
      </c>
      <c r="C213" s="556"/>
      <c r="D213" s="316" t="s">
        <v>115</v>
      </c>
      <c r="E213" s="556"/>
      <c r="F213" s="556"/>
      <c r="G213" s="556"/>
      <c r="H213" s="556"/>
      <c r="I213" s="556"/>
      <c r="J213" s="556"/>
      <c r="K213" s="316" t="s">
        <v>210</v>
      </c>
      <c r="L213" s="1098">
        <v>45922</v>
      </c>
      <c r="M213" s="851">
        <v>45930</v>
      </c>
      <c r="N213" s="556" t="s">
        <v>1673</v>
      </c>
      <c r="O213" s="914"/>
      <c r="P213" s="1057" t="s">
        <v>211</v>
      </c>
    </row>
    <row r="214" spans="1:16" ht="22" customHeight="1">
      <c r="A214" s="548">
        <f t="shared" si="8"/>
        <v>207</v>
      </c>
      <c r="B214" s="625" t="s">
        <v>1731</v>
      </c>
      <c r="C214" s="625"/>
      <c r="D214" s="316" t="s">
        <v>119</v>
      </c>
      <c r="E214" s="625"/>
      <c r="F214" s="625"/>
      <c r="G214" s="625"/>
      <c r="H214" s="625"/>
      <c r="I214" s="625"/>
      <c r="J214" s="625"/>
      <c r="K214" s="316" t="s">
        <v>292</v>
      </c>
      <c r="L214" s="1089">
        <v>45922</v>
      </c>
      <c r="M214" s="552">
        <v>45930</v>
      </c>
      <c r="N214" s="625" t="s">
        <v>1614</v>
      </c>
      <c r="O214" s="327"/>
      <c r="P214" s="547" t="s">
        <v>211</v>
      </c>
    </row>
    <row r="215" spans="1:16" ht="14.5">
      <c r="A215" s="548">
        <f t="shared" si="8"/>
        <v>208</v>
      </c>
      <c r="B215" s="625" t="s">
        <v>775</v>
      </c>
      <c r="C215" s="625"/>
      <c r="D215" s="316" t="s">
        <v>182</v>
      </c>
      <c r="E215" s="625"/>
      <c r="F215" s="625"/>
      <c r="G215" s="625"/>
      <c r="H215" s="625"/>
      <c r="I215" s="625"/>
      <c r="J215" s="625"/>
      <c r="K215" s="316" t="s">
        <v>210</v>
      </c>
      <c r="L215" s="1089">
        <v>45931</v>
      </c>
      <c r="M215" s="552">
        <v>45941</v>
      </c>
      <c r="N215" s="625" t="s">
        <v>1575</v>
      </c>
      <c r="O215" s="556"/>
      <c r="P215" s="547" t="s">
        <v>211</v>
      </c>
    </row>
    <row r="216" spans="1:16" ht="14.5">
      <c r="A216" s="548">
        <f t="shared" si="8"/>
        <v>209</v>
      </c>
      <c r="B216" s="625" t="s">
        <v>1367</v>
      </c>
      <c r="C216" s="556"/>
      <c r="D216" s="325" t="s">
        <v>132</v>
      </c>
      <c r="E216" s="556"/>
      <c r="F216" s="556"/>
      <c r="G216" s="556"/>
      <c r="H216" s="556"/>
      <c r="I216" s="556"/>
      <c r="J216" s="556"/>
      <c r="K216" s="325" t="s">
        <v>292</v>
      </c>
      <c r="L216" s="1089">
        <v>45931</v>
      </c>
      <c r="M216" s="657">
        <v>45943</v>
      </c>
      <c r="N216" s="374" t="s">
        <v>1673</v>
      </c>
      <c r="O216" s="556"/>
      <c r="P216" s="547" t="s">
        <v>211</v>
      </c>
    </row>
    <row r="217" spans="1:16" ht="13.5" customHeight="1">
      <c r="A217" s="548">
        <f t="shared" si="8"/>
        <v>210</v>
      </c>
      <c r="B217" s="625" t="s">
        <v>776</v>
      </c>
      <c r="C217" s="625"/>
      <c r="D217" s="316" t="s">
        <v>185</v>
      </c>
      <c r="E217" s="625"/>
      <c r="F217" s="625"/>
      <c r="G217" s="625"/>
      <c r="H217" s="625"/>
      <c r="I217" s="625"/>
      <c r="J217" s="625"/>
      <c r="K217" s="316" t="s">
        <v>210</v>
      </c>
      <c r="L217" s="1089">
        <v>45940</v>
      </c>
      <c r="M217" s="552">
        <v>45946</v>
      </c>
      <c r="N217" s="625" t="s">
        <v>1575</v>
      </c>
      <c r="O217" s="556"/>
      <c r="P217" s="547" t="s">
        <v>211</v>
      </c>
    </row>
    <row r="218" spans="1:16" ht="14.5">
      <c r="A218" s="548">
        <f t="shared" si="8"/>
        <v>211</v>
      </c>
      <c r="B218" s="625" t="s">
        <v>288</v>
      </c>
      <c r="C218" s="625"/>
      <c r="D218" s="316" t="s">
        <v>182</v>
      </c>
      <c r="E218" s="625"/>
      <c r="F218" s="625"/>
      <c r="G218" s="625"/>
      <c r="H218" s="625"/>
      <c r="I218" s="625"/>
      <c r="J218" s="625"/>
      <c r="K218" s="316" t="s">
        <v>210</v>
      </c>
      <c r="L218" s="1089">
        <v>45934</v>
      </c>
      <c r="M218" s="552">
        <v>45946</v>
      </c>
      <c r="N218" s="327" t="s">
        <v>1290</v>
      </c>
      <c r="O218" s="636"/>
      <c r="P218" s="547" t="s">
        <v>211</v>
      </c>
    </row>
    <row r="219" spans="1:16" ht="14.5">
      <c r="A219" s="548">
        <f t="shared" si="8"/>
        <v>212</v>
      </c>
      <c r="B219" s="625" t="s">
        <v>1304</v>
      </c>
      <c r="C219" s="625"/>
      <c r="D219" s="316" t="s">
        <v>128</v>
      </c>
      <c r="E219" s="625"/>
      <c r="F219" s="625"/>
      <c r="G219" s="625"/>
      <c r="H219" s="625"/>
      <c r="I219" s="625"/>
      <c r="J219" s="625"/>
      <c r="K219" s="316" t="s">
        <v>210</v>
      </c>
      <c r="L219" s="1089">
        <v>45940</v>
      </c>
      <c r="M219" s="552">
        <v>45949</v>
      </c>
      <c r="N219" s="374" t="s">
        <v>1756</v>
      </c>
      <c r="O219" s="636"/>
      <c r="P219" s="547" t="s">
        <v>211</v>
      </c>
    </row>
    <row r="220" spans="1:16" ht="14.5">
      <c r="A220" s="548">
        <f t="shared" si="8"/>
        <v>213</v>
      </c>
      <c r="B220" s="316" t="s">
        <v>195</v>
      </c>
      <c r="C220" s="327"/>
      <c r="D220" s="316" t="s">
        <v>147</v>
      </c>
      <c r="E220" s="316"/>
      <c r="F220" s="316"/>
      <c r="G220" s="316"/>
      <c r="H220" s="316"/>
      <c r="I220" s="316"/>
      <c r="J220" s="316"/>
      <c r="K220" s="316" t="s">
        <v>292</v>
      </c>
      <c r="L220" s="1098">
        <v>45944</v>
      </c>
      <c r="M220" s="552">
        <v>45949</v>
      </c>
      <c r="N220" s="374" t="s">
        <v>1673</v>
      </c>
      <c r="O220" s="327"/>
      <c r="P220" s="547" t="s">
        <v>211</v>
      </c>
    </row>
    <row r="221" spans="1:16" ht="14.5">
      <c r="A221" s="548">
        <f t="shared" si="8"/>
        <v>214</v>
      </c>
      <c r="B221" s="625" t="s">
        <v>368</v>
      </c>
      <c r="C221" s="625"/>
      <c r="D221" s="933" t="s">
        <v>182</v>
      </c>
      <c r="E221" s="625"/>
      <c r="F221" s="625"/>
      <c r="G221" s="625"/>
      <c r="H221" s="625"/>
      <c r="I221" s="625"/>
      <c r="J221" s="625"/>
      <c r="K221" s="316" t="s">
        <v>210</v>
      </c>
      <c r="L221" s="1089">
        <v>45946</v>
      </c>
      <c r="M221" s="660">
        <v>45960</v>
      </c>
      <c r="N221" s="327" t="s">
        <v>1290</v>
      </c>
      <c r="O221" s="636"/>
      <c r="P221" s="547" t="s">
        <v>211</v>
      </c>
    </row>
    <row r="222" spans="1:16" ht="65">
      <c r="A222" s="548">
        <f t="shared" si="8"/>
        <v>215</v>
      </c>
      <c r="B222" s="625" t="s">
        <v>1105</v>
      </c>
      <c r="C222" s="625"/>
      <c r="D222" s="1276" t="s">
        <v>125</v>
      </c>
      <c r="E222" s="625"/>
      <c r="F222" s="625"/>
      <c r="G222" s="625"/>
      <c r="H222" s="625"/>
      <c r="I222" s="625"/>
      <c r="J222" s="625"/>
      <c r="K222" s="316" t="s">
        <v>210</v>
      </c>
      <c r="L222" s="1089">
        <v>45926</v>
      </c>
      <c r="M222" s="1041"/>
      <c r="N222" s="625" t="s">
        <v>1668</v>
      </c>
      <c r="O222" s="636"/>
      <c r="P222" s="1092" t="s">
        <v>1798</v>
      </c>
    </row>
    <row r="223" spans="1:16" ht="39">
      <c r="A223" s="548">
        <f t="shared" si="8"/>
        <v>216</v>
      </c>
      <c r="B223" s="325" t="s">
        <v>383</v>
      </c>
      <c r="C223" s="327"/>
      <c r="D223" s="325" t="s">
        <v>185</v>
      </c>
      <c r="E223" s="316"/>
      <c r="F223" s="316"/>
      <c r="G223" s="316"/>
      <c r="H223" s="316"/>
      <c r="I223" s="316"/>
      <c r="J223" s="316"/>
      <c r="K223" s="316" t="s">
        <v>210</v>
      </c>
      <c r="L223" s="1089">
        <v>45957</v>
      </c>
      <c r="M223" s="327"/>
      <c r="N223" s="374" t="s">
        <v>1570</v>
      </c>
      <c r="O223" s="327"/>
      <c r="P223" s="1092" t="s">
        <v>1799</v>
      </c>
    </row>
    <row r="224" spans="1:16" ht="39">
      <c r="A224" s="548">
        <f t="shared" si="8"/>
        <v>217</v>
      </c>
      <c r="B224" s="325" t="s">
        <v>267</v>
      </c>
      <c r="C224" s="327"/>
      <c r="D224" s="325" t="s">
        <v>182</v>
      </c>
      <c r="E224" s="316"/>
      <c r="F224" s="316"/>
      <c r="G224" s="316"/>
      <c r="H224" s="316"/>
      <c r="I224" s="316"/>
      <c r="J224" s="316"/>
      <c r="K224" s="316" t="s">
        <v>210</v>
      </c>
      <c r="L224" s="1089">
        <v>45959</v>
      </c>
      <c r="M224" s="327"/>
      <c r="N224" s="374" t="s">
        <v>1570</v>
      </c>
      <c r="O224" s="327"/>
      <c r="P224" s="1092" t="s">
        <v>1799</v>
      </c>
    </row>
    <row r="225" spans="1:16" ht="26">
      <c r="A225" s="548">
        <f t="shared" si="8"/>
        <v>218</v>
      </c>
      <c r="B225" s="374" t="s">
        <v>1760</v>
      </c>
      <c r="C225" s="327"/>
      <c r="D225" s="316" t="s">
        <v>242</v>
      </c>
      <c r="E225" s="316"/>
      <c r="F225" s="316"/>
      <c r="G225" s="316"/>
      <c r="H225" s="316"/>
      <c r="I225" s="316"/>
      <c r="J225" s="316"/>
      <c r="K225" s="316" t="s">
        <v>210</v>
      </c>
      <c r="L225" s="1098">
        <v>45945</v>
      </c>
      <c r="M225" s="327"/>
      <c r="N225" s="327" t="s">
        <v>1575</v>
      </c>
      <c r="O225" s="327"/>
      <c r="P225" s="1092" t="s">
        <v>1800</v>
      </c>
    </row>
    <row r="226" spans="1:16" ht="52">
      <c r="A226" s="548">
        <f t="shared" si="8"/>
        <v>219</v>
      </c>
      <c r="B226" s="374" t="s">
        <v>1761</v>
      </c>
      <c r="C226" s="327"/>
      <c r="D226" s="316" t="s">
        <v>119</v>
      </c>
      <c r="E226" s="316"/>
      <c r="F226" s="316"/>
      <c r="G226" s="316"/>
      <c r="H226" s="316"/>
      <c r="I226" s="316"/>
      <c r="J226" s="316"/>
      <c r="K226" s="316" t="s">
        <v>292</v>
      </c>
      <c r="L226" s="1098">
        <v>45946</v>
      </c>
      <c r="M226" s="327"/>
      <c r="N226" s="327" t="s">
        <v>232</v>
      </c>
      <c r="O226" s="327"/>
      <c r="P226" s="1092" t="s">
        <v>1801</v>
      </c>
    </row>
    <row r="227" spans="1:16" ht="26">
      <c r="A227" s="548">
        <f t="shared" si="8"/>
        <v>220</v>
      </c>
      <c r="B227" s="316" t="s">
        <v>196</v>
      </c>
      <c r="C227" s="327"/>
      <c r="D227" s="316" t="s">
        <v>147</v>
      </c>
      <c r="E227" s="316"/>
      <c r="F227" s="316"/>
      <c r="G227" s="316"/>
      <c r="H227" s="316"/>
      <c r="I227" s="316"/>
      <c r="J227" s="316"/>
      <c r="K227" s="316" t="s">
        <v>292</v>
      </c>
      <c r="L227" s="1098">
        <v>45959</v>
      </c>
      <c r="M227" s="552"/>
      <c r="N227" s="374" t="s">
        <v>1673</v>
      </c>
      <c r="O227" s="327"/>
      <c r="P227" s="1092" t="s">
        <v>1802</v>
      </c>
    </row>
    <row r="228" spans="1:16">
      <c r="A228" s="327"/>
      <c r="B228" s="316"/>
      <c r="C228" s="327"/>
      <c r="D228" s="316"/>
      <c r="E228" s="316"/>
      <c r="F228" s="316"/>
      <c r="G228" s="316"/>
      <c r="H228" s="316"/>
      <c r="I228" s="316"/>
      <c r="J228" s="316"/>
      <c r="K228" s="316"/>
      <c r="L228" s="327"/>
      <c r="M228" s="327"/>
      <c r="N228" s="327"/>
      <c r="O228" s="327"/>
      <c r="P228" s="327"/>
    </row>
    <row r="229" spans="1:16">
      <c r="A229" s="327"/>
      <c r="B229" s="316"/>
      <c r="C229" s="327"/>
      <c r="D229" s="316"/>
      <c r="E229" s="316"/>
      <c r="F229" s="316"/>
      <c r="G229" s="316"/>
      <c r="H229" s="316"/>
      <c r="I229" s="316"/>
      <c r="J229" s="316"/>
      <c r="K229" s="316"/>
      <c r="L229" s="327"/>
      <c r="M229" s="327"/>
      <c r="N229" s="327"/>
      <c r="O229" s="327"/>
      <c r="P229" s="327"/>
    </row>
    <row r="306" spans="29:29">
      <c r="AC306" s="321">
        <v>185</v>
      </c>
    </row>
    <row r="307" spans="29:29">
      <c r="AC307" s="321">
        <v>5</v>
      </c>
    </row>
  </sheetData>
  <autoFilter ref="A8:P226" xr:uid="{00000000-0001-0000-0700-000000000000}"/>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02" type="noConversion"/>
  <conditionalFormatting sqref="B10:B30 B6:B7">
    <cfRule type="duplicateValues" dxfId="4834" priority="229"/>
  </conditionalFormatting>
  <conditionalFormatting sqref="B76">
    <cfRule type="duplicateValues" dxfId="4833" priority="47"/>
    <cfRule type="duplicateValues" dxfId="4832" priority="48"/>
    <cfRule type="duplicateValues" dxfId="4831" priority="49" stopIfTrue="1"/>
  </conditionalFormatting>
  <conditionalFormatting sqref="B121">
    <cfRule type="duplicateValues" dxfId="4830" priority="44"/>
    <cfRule type="duplicateValues" dxfId="4829" priority="43"/>
    <cfRule type="duplicateValues" dxfId="4828" priority="45" stopIfTrue="1"/>
  </conditionalFormatting>
  <conditionalFormatting sqref="B142">
    <cfRule type="duplicateValues" dxfId="4827" priority="36"/>
    <cfRule type="duplicateValues" dxfId="4826" priority="37"/>
    <cfRule type="duplicateValues" dxfId="4825" priority="38" stopIfTrue="1"/>
  </conditionalFormatting>
  <conditionalFormatting sqref="B143">
    <cfRule type="duplicateValues" dxfId="4824" priority="33" stopIfTrue="1"/>
    <cfRule type="duplicateValues" dxfId="4823" priority="34"/>
    <cfRule type="duplicateValues" dxfId="4822" priority="35"/>
  </conditionalFormatting>
  <conditionalFormatting sqref="B162">
    <cfRule type="duplicateValues" dxfId="4821" priority="40"/>
    <cfRule type="duplicateValues" dxfId="4820" priority="41"/>
    <cfRule type="duplicateValues" dxfId="4819" priority="42" stopIfTrue="1"/>
  </conditionalFormatting>
  <conditionalFormatting sqref="B193 B191">
    <cfRule type="duplicateValues" dxfId="4818" priority="5393" stopIfTrue="1"/>
    <cfRule type="duplicateValues" dxfId="4817" priority="5392"/>
    <cfRule type="duplicateValues" dxfId="4816" priority="5391"/>
  </conditionalFormatting>
  <conditionalFormatting sqref="B197 B195">
    <cfRule type="duplicateValues" dxfId="4815" priority="22"/>
    <cfRule type="duplicateValues" dxfId="4814" priority="23"/>
  </conditionalFormatting>
  <conditionalFormatting sqref="B209">
    <cfRule type="duplicateValues" dxfId="4813" priority="7415"/>
    <cfRule type="duplicateValues" dxfId="4812" priority="7414"/>
    <cfRule type="duplicateValues" dxfId="4811" priority="7416" stopIfTrue="1"/>
  </conditionalFormatting>
  <conditionalFormatting sqref="B211">
    <cfRule type="duplicateValues" dxfId="4810" priority="10"/>
    <cfRule type="duplicateValues" dxfId="4809" priority="9"/>
  </conditionalFormatting>
  <conditionalFormatting sqref="B220 N205 B189 B144 B77:B99 B6:B7 B101 B103 B105:B108 B111:B113 B10:B75 B115:B120 B122:B128 B131:B133 B135:B138 B140:B141 B146:B149 B151:B152 B155:B157 B159:B160 B163:B165 B168:B171 B175:B182 B186:B187 B192 B184 B196 M204 N203 B198:C208 E199:J205 N207:N208 N210 B210:C210 E210:J210 J198 E207:J208 J206 N212:N215 N217 B212:C217 E212:J217 B227:B65242 B223:B224">
    <cfRule type="duplicateValues" dxfId="4808" priority="7461" stopIfTrue="1"/>
  </conditionalFormatting>
  <conditionalFormatting sqref="B227:B1048576 B220 B211 N205 B1:B197 M204 N203 B198:C208 E199:J205 N207:N208 B209 N210 B210:C210 E210:J210 J198 E207:J208 J206 N212:N215 N217 N222 B212:C219 B221:C222 E212:J219 E221:J222 B223:B224">
    <cfRule type="duplicateValues" dxfId="4807" priority="7220"/>
  </conditionalFormatting>
  <conditionalFormatting sqref="B227:B1048576 B220 N205 B189 B1:B128 B130:B133 B135:B157 B159:B165 B168:B171 B173 B175:B182 B186:B187 B184 B191:B193 B196 M204 N203 B198:C208 E199:J205 N207:N208 B209 N210 B210:C210 E210:J210 J198 E207:J208 J206 N212:N215 N217 N222 B212:C219 B221:C222 E212:J219 E221:J222 B223:B224">
    <cfRule type="duplicateValues" dxfId="4806" priority="7246"/>
    <cfRule type="duplicateValues" dxfId="4805" priority="7247"/>
  </conditionalFormatting>
  <conditionalFormatting sqref="B227:B1048576 B220 N205 B189 B144 B77:B99 B6:B7 B101 B103 B105:B108 B111:B113 B115:B120 B122:B128 B10:B75 B131:B133 B135:B138 B140:B141 B146:B149 B151:B152 B155:B157 B159:B160 B163:B165 B168:B171 B175:B182 B186:B187 B192 B184 B196 M204 N203 B198:C208 E199:J205 N207:N208 N210 B210:C210 E210:J210 J198 E207:J208 J206 N212:N215 N217 B212:C217 E212:J217 B223:B224">
    <cfRule type="duplicateValues" dxfId="4804" priority="7318"/>
  </conditionalFormatting>
  <conditionalFormatting sqref="B227:B1048576 B220 N205 B189 B144 B77:B99 B101 B103 B105:B108 B111:B113 B115:B120 B122:B128 B1:B75 B131:B133 B135:B138 B140:B141 B146:B149 B151:B152 B155:B157 B159:B160 B163:B165 B168:B171 B175:B182 B186:B187 B192 B184 B196 M204 N203 B198:C208 E199:J205 N207:N208 N210 B210:C210 E210:J210 J198 E207:J208 J206 N212:N215 N217 B212:C217 E212:J217 B223:B224">
    <cfRule type="duplicateValues" dxfId="4803" priority="7364"/>
  </conditionalFormatting>
  <conditionalFormatting sqref="B218:C219 E218:J219">
    <cfRule type="duplicateValues" dxfId="4802" priority="11351" stopIfTrue="1"/>
    <cfRule type="duplicateValues" dxfId="4801" priority="11352"/>
    <cfRule type="duplicateValues" dxfId="4800" priority="11353"/>
  </conditionalFormatting>
  <conditionalFormatting sqref="B221:C222 E221:J222 N222">
    <cfRule type="duplicateValues" dxfId="4799" priority="7630" stopIfTrue="1"/>
    <cfRule type="duplicateValues" dxfId="4798" priority="7631"/>
    <cfRule type="duplicateValues" dxfId="4797" priority="7632"/>
  </conditionalFormatting>
  <conditionalFormatting sqref="C8:C9">
    <cfRule type="duplicateValues" dxfId="4796" priority="76"/>
    <cfRule type="duplicateValues" dxfId="4795" priority="77"/>
    <cfRule type="duplicateValues" dxfId="4794" priority="78" stopIfTrue="1"/>
  </conditionalFormatting>
  <conditionalFormatting sqref="C29 J29 O29">
    <cfRule type="duplicateValues" dxfId="4793" priority="58"/>
    <cfRule type="duplicateValues" dxfId="4792" priority="60" stopIfTrue="1"/>
    <cfRule type="duplicateValues" dxfId="4791" priority="59"/>
  </conditionalFormatting>
  <conditionalFormatting sqref="D9 J9:K9">
    <cfRule type="duplicateValues" dxfId="4790" priority="74"/>
    <cfRule type="duplicateValues" dxfId="4789" priority="75" stopIfTrue="1"/>
    <cfRule type="duplicateValues" dxfId="4788" priority="73"/>
  </conditionalFormatting>
  <conditionalFormatting sqref="D14">
    <cfRule type="duplicateValues" dxfId="4787" priority="66" stopIfTrue="1"/>
    <cfRule type="duplicateValues" dxfId="4786" priority="65"/>
    <cfRule type="duplicateValues" dxfId="4785" priority="64"/>
  </conditionalFormatting>
  <conditionalFormatting sqref="D15">
    <cfRule type="duplicateValues" dxfId="4784" priority="63" stopIfTrue="1"/>
    <cfRule type="duplicateValues" dxfId="4783" priority="62"/>
    <cfRule type="duplicateValues" dxfId="4782" priority="61"/>
  </conditionalFormatting>
  <conditionalFormatting sqref="D20">
    <cfRule type="duplicateValues" dxfId="4781" priority="150"/>
    <cfRule type="duplicateValues" dxfId="4780" priority="151"/>
    <cfRule type="duplicateValues" dxfId="4779" priority="152" stopIfTrue="1"/>
  </conditionalFormatting>
  <dataValidations count="1">
    <dataValidation type="list" allowBlank="1" showInputMessage="1" showErrorMessage="1" sqref="C65299:C65307 C130835:C130843 C196371:C196379 C261907:C261915 C327443:C327451 C392979:C392987 C458515:C458523 C524051:C524059 C589587:C589595 C655123:C655131 C720659:C720667 C786195:C786203 C851731:C851739 C917267:C917275 C982803:C982811 IN65264:IN65272 IN130800:IN130808 IN196336:IN196344 IN261872:IN261880 IN327408:IN327416 IN392944:IN392952 IN458480:IN458488 IN524016:IN524024 IN589552:IN589560 IN655088:IN655096 IN720624:IN720632 IN786160:IN786168 IN851696:IN851704 IN917232:IN917240 IN982768:IN982776 SJ65264:SJ65272 SJ130800:SJ130808 SJ196336:SJ196344 SJ261872:SJ261880 SJ327408:SJ327416 SJ392944:SJ392952 SJ458480:SJ458488 SJ524016:SJ524024 SJ589552:SJ589560 SJ655088:SJ655096 SJ720624:SJ720632 SJ786160:SJ786168 SJ851696:SJ851704 SJ917232:SJ917240 SJ982768:SJ982776 ACF65264:ACF65272 ACF130800:ACF130808 ACF196336:ACF196344 ACF261872:ACF261880 ACF327408:ACF327416 ACF392944:ACF392952 ACF458480:ACF458488 ACF524016:ACF524024 ACF589552:ACF589560 ACF655088:ACF655096 ACF720624:ACF720632 ACF786160:ACF786168 ACF851696:ACF851704 ACF917232:ACF917240 ACF982768:ACF982776 AMB65264:AMB65272 AMB130800:AMB130808 AMB196336:AMB196344 AMB261872:AMB261880 AMB327408:AMB327416 AMB392944:AMB392952 AMB458480:AMB458488 AMB524016:AMB524024 AMB589552:AMB589560 AMB655088:AMB655096 AMB720624:AMB720632 AMB786160:AMB786168 AMB851696:AMB851704 AMB917232:AMB917240 AMB982768:AMB982776 AVX65264:AVX65272 AVX130800:AVX130808 AVX196336:AVX196344 AVX261872:AVX261880 AVX327408:AVX327416 AVX392944:AVX392952 AVX458480:AVX458488 AVX524016:AVX524024 AVX589552:AVX589560 AVX655088:AVX655096 AVX720624:AVX720632 AVX786160:AVX786168 AVX851696:AVX851704 AVX917232:AVX917240 AVX982768:AVX982776 BFT65264:BFT65272 BFT130800:BFT130808 BFT196336:BFT196344 BFT261872:BFT261880 BFT327408:BFT327416 BFT392944:BFT392952 BFT458480:BFT458488 BFT524016:BFT524024 BFT589552:BFT589560 BFT655088:BFT655096 BFT720624:BFT720632 BFT786160:BFT786168 BFT851696:BFT851704 BFT917232:BFT917240 BFT982768:BFT982776 BPP65264:BPP65272 BPP130800:BPP130808 BPP196336:BPP196344 BPP261872:BPP261880 BPP327408:BPP327416 BPP392944:BPP392952 BPP458480:BPP458488 BPP524016:BPP524024 BPP589552:BPP589560 BPP655088:BPP655096 BPP720624:BPP720632 BPP786160:BPP786168 BPP851696:BPP851704 BPP917232:BPP917240 BPP982768:BPP982776 BZL65264:BZL65272 BZL130800:BZL130808 BZL196336:BZL196344 BZL261872:BZL261880 BZL327408:BZL327416 BZL392944:BZL392952 BZL458480:BZL458488 BZL524016:BZL524024 BZL589552:BZL589560 BZL655088:BZL655096 BZL720624:BZL720632 BZL786160:BZL786168 BZL851696:BZL851704 BZL917232:BZL917240 BZL982768:BZL982776 CJH65264:CJH65272 CJH130800:CJH130808 CJH196336:CJH196344 CJH261872:CJH261880 CJH327408:CJH327416 CJH392944:CJH392952 CJH458480:CJH458488 CJH524016:CJH524024 CJH589552:CJH589560 CJH655088:CJH655096 CJH720624:CJH720632 CJH786160:CJH786168 CJH851696:CJH851704 CJH917232:CJH917240 CJH982768:CJH982776 CTD65264:CTD65272 CTD130800:CTD130808 CTD196336:CTD196344 CTD261872:CTD261880 CTD327408:CTD327416 CTD392944:CTD392952 CTD458480:CTD458488 CTD524016:CTD524024 CTD589552:CTD589560 CTD655088:CTD655096 CTD720624:CTD720632 CTD786160:CTD786168 CTD851696:CTD851704 CTD917232:CTD917240 CTD982768:CTD982776 DCZ65264:DCZ65272 DCZ130800:DCZ130808 DCZ196336:DCZ196344 DCZ261872:DCZ261880 DCZ327408:DCZ327416 DCZ392944:DCZ392952 DCZ458480:DCZ458488 DCZ524016:DCZ524024 DCZ589552:DCZ589560 DCZ655088:DCZ655096 DCZ720624:DCZ720632 DCZ786160:DCZ786168 DCZ851696:DCZ851704 DCZ917232:DCZ917240 DCZ982768:DCZ982776 DMV65264:DMV65272 DMV130800:DMV130808 DMV196336:DMV196344 DMV261872:DMV261880 DMV327408:DMV327416 DMV392944:DMV392952 DMV458480:DMV458488 DMV524016:DMV524024 DMV589552:DMV589560 DMV655088:DMV655096 DMV720624:DMV720632 DMV786160:DMV786168 DMV851696:DMV851704 DMV917232:DMV917240 DMV982768:DMV982776 DWR65264:DWR65272 DWR130800:DWR130808 DWR196336:DWR196344 DWR261872:DWR261880 DWR327408:DWR327416 DWR392944:DWR392952 DWR458480:DWR458488 DWR524016:DWR524024 DWR589552:DWR589560 DWR655088:DWR655096 DWR720624:DWR720632 DWR786160:DWR786168 DWR851696:DWR851704 DWR917232:DWR917240 DWR982768:DWR982776 EGN65264:EGN65272 EGN130800:EGN130808 EGN196336:EGN196344 EGN261872:EGN261880 EGN327408:EGN327416 EGN392944:EGN392952 EGN458480:EGN458488 EGN524016:EGN524024 EGN589552:EGN589560 EGN655088:EGN655096 EGN720624:EGN720632 EGN786160:EGN786168 EGN851696:EGN851704 EGN917232:EGN917240 EGN982768:EGN982776 EQJ65264:EQJ65272 EQJ130800:EQJ130808 EQJ196336:EQJ196344 EQJ261872:EQJ261880 EQJ327408:EQJ327416 EQJ392944:EQJ392952 EQJ458480:EQJ458488 EQJ524016:EQJ524024 EQJ589552:EQJ589560 EQJ655088:EQJ655096 EQJ720624:EQJ720632 EQJ786160:EQJ786168 EQJ851696:EQJ851704 EQJ917232:EQJ917240 EQJ982768:EQJ982776 FAF65264:FAF65272 FAF130800:FAF130808 FAF196336:FAF196344 FAF261872:FAF261880 FAF327408:FAF327416 FAF392944:FAF392952 FAF458480:FAF458488 FAF524016:FAF524024 FAF589552:FAF589560 FAF655088:FAF655096 FAF720624:FAF720632 FAF786160:FAF786168 FAF851696:FAF851704 FAF917232:FAF917240 FAF982768:FAF982776 FKB65264:FKB65272 FKB130800:FKB130808 FKB196336:FKB196344 FKB261872:FKB261880 FKB327408:FKB327416 FKB392944:FKB392952 FKB458480:FKB458488 FKB524016:FKB524024 FKB589552:FKB589560 FKB655088:FKB655096 FKB720624:FKB720632 FKB786160:FKB786168 FKB851696:FKB851704 FKB917232:FKB917240 FKB982768:FKB982776 FTX65264:FTX65272 FTX130800:FTX130808 FTX196336:FTX196344 FTX261872:FTX261880 FTX327408:FTX327416 FTX392944:FTX392952 FTX458480:FTX458488 FTX524016:FTX524024 FTX589552:FTX589560 FTX655088:FTX655096 FTX720624:FTX720632 FTX786160:FTX786168 FTX851696:FTX851704 FTX917232:FTX917240 FTX982768:FTX982776 GDT65264:GDT65272 GDT130800:GDT130808 GDT196336:GDT196344 GDT261872:GDT261880 GDT327408:GDT327416 GDT392944:GDT392952 GDT458480:GDT458488 GDT524016:GDT524024 GDT589552:GDT589560 GDT655088:GDT655096 GDT720624:GDT720632 GDT786160:GDT786168 GDT851696:GDT851704 GDT917232:GDT917240 GDT982768:GDT982776 GNP65264:GNP65272 GNP130800:GNP130808 GNP196336:GNP196344 GNP261872:GNP261880 GNP327408:GNP327416 GNP392944:GNP392952 GNP458480:GNP458488 GNP524016:GNP524024 GNP589552:GNP589560 GNP655088:GNP655096 GNP720624:GNP720632 GNP786160:GNP786168 GNP851696:GNP851704 GNP917232:GNP917240 GNP982768:GNP982776 GXL65264:GXL65272 GXL130800:GXL130808 GXL196336:GXL196344 GXL261872:GXL261880 GXL327408:GXL327416 GXL392944:GXL392952 GXL458480:GXL458488 GXL524016:GXL524024 GXL589552:GXL589560 GXL655088:GXL655096 GXL720624:GXL720632 GXL786160:GXL786168 GXL851696:GXL851704 GXL917232:GXL917240 GXL982768:GXL982776 HHH65264:HHH65272 HHH130800:HHH130808 HHH196336:HHH196344 HHH261872:HHH261880 HHH327408:HHH327416 HHH392944:HHH392952 HHH458480:HHH458488 HHH524016:HHH524024 HHH589552:HHH589560 HHH655088:HHH655096 HHH720624:HHH720632 HHH786160:HHH786168 HHH851696:HHH851704 HHH917232:HHH917240 HHH982768:HHH982776 HRD65264:HRD65272 HRD130800:HRD130808 HRD196336:HRD196344 HRD261872:HRD261880 HRD327408:HRD327416 HRD392944:HRD392952 HRD458480:HRD458488 HRD524016:HRD524024 HRD589552:HRD589560 HRD655088:HRD655096 HRD720624:HRD720632 HRD786160:HRD786168 HRD851696:HRD851704 HRD917232:HRD917240 HRD982768:HRD982776 IAZ65264:IAZ65272 IAZ130800:IAZ130808 IAZ196336:IAZ196344 IAZ261872:IAZ261880 IAZ327408:IAZ327416 IAZ392944:IAZ392952 IAZ458480:IAZ458488 IAZ524016:IAZ524024 IAZ589552:IAZ589560 IAZ655088:IAZ655096 IAZ720624:IAZ720632 IAZ786160:IAZ786168 IAZ851696:IAZ851704 IAZ917232:IAZ917240 IAZ982768:IAZ982776 IKV65264:IKV65272 IKV130800:IKV130808 IKV196336:IKV196344 IKV261872:IKV261880 IKV327408:IKV327416 IKV392944:IKV392952 IKV458480:IKV458488 IKV524016:IKV524024 IKV589552:IKV589560 IKV655088:IKV655096 IKV720624:IKV720632 IKV786160:IKV786168 IKV851696:IKV851704 IKV917232:IKV917240 IKV982768:IKV982776 IUR65264:IUR65272 IUR130800:IUR130808 IUR196336:IUR196344 IUR261872:IUR261880 IUR327408:IUR327416 IUR392944:IUR392952 IUR458480:IUR458488 IUR524016:IUR524024 IUR589552:IUR589560 IUR655088:IUR655096 IUR720624:IUR720632 IUR786160:IUR786168 IUR851696:IUR851704 IUR917232:IUR917240 IUR982768:IUR982776 JEN65264:JEN65272 JEN130800:JEN130808 JEN196336:JEN196344 JEN261872:JEN261880 JEN327408:JEN327416 JEN392944:JEN392952 JEN458480:JEN458488 JEN524016:JEN524024 JEN589552:JEN589560 JEN655088:JEN655096 JEN720624:JEN720632 JEN786160:JEN786168 JEN851696:JEN851704 JEN917232:JEN917240 JEN982768:JEN982776 JOJ65264:JOJ65272 JOJ130800:JOJ130808 JOJ196336:JOJ196344 JOJ261872:JOJ261880 JOJ327408:JOJ327416 JOJ392944:JOJ392952 JOJ458480:JOJ458488 JOJ524016:JOJ524024 JOJ589552:JOJ589560 JOJ655088:JOJ655096 JOJ720624:JOJ720632 JOJ786160:JOJ786168 JOJ851696:JOJ851704 JOJ917232:JOJ917240 JOJ982768:JOJ982776 JYF65264:JYF65272 JYF130800:JYF130808 JYF196336:JYF196344 JYF261872:JYF261880 JYF327408:JYF327416 JYF392944:JYF392952 JYF458480:JYF458488 JYF524016:JYF524024 JYF589552:JYF589560 JYF655088:JYF655096 JYF720624:JYF720632 JYF786160:JYF786168 JYF851696:JYF851704 JYF917232:JYF917240 JYF982768:JYF982776 KIB65264:KIB65272 KIB130800:KIB130808 KIB196336:KIB196344 KIB261872:KIB261880 KIB327408:KIB327416 KIB392944:KIB392952 KIB458480:KIB458488 KIB524016:KIB524024 KIB589552:KIB589560 KIB655088:KIB655096 KIB720624:KIB720632 KIB786160:KIB786168 KIB851696:KIB851704 KIB917232:KIB917240 KIB982768:KIB982776 KRX65264:KRX65272 KRX130800:KRX130808 KRX196336:KRX196344 KRX261872:KRX261880 KRX327408:KRX327416 KRX392944:KRX392952 KRX458480:KRX458488 KRX524016:KRX524024 KRX589552:KRX589560 KRX655088:KRX655096 KRX720624:KRX720632 KRX786160:KRX786168 KRX851696:KRX851704 KRX917232:KRX917240 KRX982768:KRX982776 LBT65264:LBT65272 LBT130800:LBT130808 LBT196336:LBT196344 LBT261872:LBT261880 LBT327408:LBT327416 LBT392944:LBT392952 LBT458480:LBT458488 LBT524016:LBT524024 LBT589552:LBT589560 LBT655088:LBT655096 LBT720624:LBT720632 LBT786160:LBT786168 LBT851696:LBT851704 LBT917232:LBT917240 LBT982768:LBT982776 LLP65264:LLP65272 LLP130800:LLP130808 LLP196336:LLP196344 LLP261872:LLP261880 LLP327408:LLP327416 LLP392944:LLP392952 LLP458480:LLP458488 LLP524016:LLP524024 LLP589552:LLP589560 LLP655088:LLP655096 LLP720624:LLP720632 LLP786160:LLP786168 LLP851696:LLP851704 LLP917232:LLP917240 LLP982768:LLP982776 LVL65264:LVL65272 LVL130800:LVL130808 LVL196336:LVL196344 LVL261872:LVL261880 LVL327408:LVL327416 LVL392944:LVL392952 LVL458480:LVL458488 LVL524016:LVL524024 LVL589552:LVL589560 LVL655088:LVL655096 LVL720624:LVL720632 LVL786160:LVL786168 LVL851696:LVL851704 LVL917232:LVL917240 LVL982768:LVL982776 MFH65264:MFH65272 MFH130800:MFH130808 MFH196336:MFH196344 MFH261872:MFH261880 MFH327408:MFH327416 MFH392944:MFH392952 MFH458480:MFH458488 MFH524016:MFH524024 MFH589552:MFH589560 MFH655088:MFH655096 MFH720624:MFH720632 MFH786160:MFH786168 MFH851696:MFH851704 MFH917232:MFH917240 MFH982768:MFH982776 MPD65264:MPD65272 MPD130800:MPD130808 MPD196336:MPD196344 MPD261872:MPD261880 MPD327408:MPD327416 MPD392944:MPD392952 MPD458480:MPD458488 MPD524016:MPD524024 MPD589552:MPD589560 MPD655088:MPD655096 MPD720624:MPD720632 MPD786160:MPD786168 MPD851696:MPD851704 MPD917232:MPD917240 MPD982768:MPD982776 MYZ65264:MYZ65272 MYZ130800:MYZ130808 MYZ196336:MYZ196344 MYZ261872:MYZ261880 MYZ327408:MYZ327416 MYZ392944:MYZ392952 MYZ458480:MYZ458488 MYZ524016:MYZ524024 MYZ589552:MYZ589560 MYZ655088:MYZ655096 MYZ720624:MYZ720632 MYZ786160:MYZ786168 MYZ851696:MYZ851704 MYZ917232:MYZ917240 MYZ982768:MYZ982776 NIV65264:NIV65272 NIV130800:NIV130808 NIV196336:NIV196344 NIV261872:NIV261880 NIV327408:NIV327416 NIV392944:NIV392952 NIV458480:NIV458488 NIV524016:NIV524024 NIV589552:NIV589560 NIV655088:NIV655096 NIV720624:NIV720632 NIV786160:NIV786168 NIV851696:NIV851704 NIV917232:NIV917240 NIV982768:NIV982776 NSR65264:NSR65272 NSR130800:NSR130808 NSR196336:NSR196344 NSR261872:NSR261880 NSR327408:NSR327416 NSR392944:NSR392952 NSR458480:NSR458488 NSR524016:NSR524024 NSR589552:NSR589560 NSR655088:NSR655096 NSR720624:NSR720632 NSR786160:NSR786168 NSR851696:NSR851704 NSR917232:NSR917240 NSR982768:NSR982776 OCN65264:OCN65272 OCN130800:OCN130808 OCN196336:OCN196344 OCN261872:OCN261880 OCN327408:OCN327416 OCN392944:OCN392952 OCN458480:OCN458488 OCN524016:OCN524024 OCN589552:OCN589560 OCN655088:OCN655096 OCN720624:OCN720632 OCN786160:OCN786168 OCN851696:OCN851704 OCN917232:OCN917240 OCN982768:OCN982776 OMJ65264:OMJ65272 OMJ130800:OMJ130808 OMJ196336:OMJ196344 OMJ261872:OMJ261880 OMJ327408:OMJ327416 OMJ392944:OMJ392952 OMJ458480:OMJ458488 OMJ524016:OMJ524024 OMJ589552:OMJ589560 OMJ655088:OMJ655096 OMJ720624:OMJ720632 OMJ786160:OMJ786168 OMJ851696:OMJ851704 OMJ917232:OMJ917240 OMJ982768:OMJ982776 OWF65264:OWF65272 OWF130800:OWF130808 OWF196336:OWF196344 OWF261872:OWF261880 OWF327408:OWF327416 OWF392944:OWF392952 OWF458480:OWF458488 OWF524016:OWF524024 OWF589552:OWF589560 OWF655088:OWF655096 OWF720624:OWF720632 OWF786160:OWF786168 OWF851696:OWF851704 OWF917232:OWF917240 OWF982768:OWF982776 PGB65264:PGB65272 PGB130800:PGB130808 PGB196336:PGB196344 PGB261872:PGB261880 PGB327408:PGB327416 PGB392944:PGB392952 PGB458480:PGB458488 PGB524016:PGB524024 PGB589552:PGB589560 PGB655088:PGB655096 PGB720624:PGB720632 PGB786160:PGB786168 PGB851696:PGB851704 PGB917232:PGB917240 PGB982768:PGB982776 PPX65264:PPX65272 PPX130800:PPX130808 PPX196336:PPX196344 PPX261872:PPX261880 PPX327408:PPX327416 PPX392944:PPX392952 PPX458480:PPX458488 PPX524016:PPX524024 PPX589552:PPX589560 PPX655088:PPX655096 PPX720624:PPX720632 PPX786160:PPX786168 PPX851696:PPX851704 PPX917232:PPX917240 PPX982768:PPX982776 PZT65264:PZT65272 PZT130800:PZT130808 PZT196336:PZT196344 PZT261872:PZT261880 PZT327408:PZT327416 PZT392944:PZT392952 PZT458480:PZT458488 PZT524016:PZT524024 PZT589552:PZT589560 PZT655088:PZT655096 PZT720624:PZT720632 PZT786160:PZT786168 PZT851696:PZT851704 PZT917232:PZT917240 PZT982768:PZT982776 QJP65264:QJP65272 QJP130800:QJP130808 QJP196336:QJP196344 QJP261872:QJP261880 QJP327408:QJP327416 QJP392944:QJP392952 QJP458480:QJP458488 QJP524016:QJP524024 QJP589552:QJP589560 QJP655088:QJP655096 QJP720624:QJP720632 QJP786160:QJP786168 QJP851696:QJP851704 QJP917232:QJP917240 QJP982768:QJP982776 QTL65264:QTL65272 QTL130800:QTL130808 QTL196336:QTL196344 QTL261872:QTL261880 QTL327408:QTL327416 QTL392944:QTL392952 QTL458480:QTL458488 QTL524016:QTL524024 QTL589552:QTL589560 QTL655088:QTL655096 QTL720624:QTL720632 QTL786160:QTL786168 QTL851696:QTL851704 QTL917232:QTL917240 QTL982768:QTL982776 RDH65264:RDH65272 RDH130800:RDH130808 RDH196336:RDH196344 RDH261872:RDH261880 RDH327408:RDH327416 RDH392944:RDH392952 RDH458480:RDH458488 RDH524016:RDH524024 RDH589552:RDH589560 RDH655088:RDH655096 RDH720624:RDH720632 RDH786160:RDH786168 RDH851696:RDH851704 RDH917232:RDH917240 RDH982768:RDH982776 RND65264:RND65272 RND130800:RND130808 RND196336:RND196344 RND261872:RND261880 RND327408:RND327416 RND392944:RND392952 RND458480:RND458488 RND524016:RND524024 RND589552:RND589560 RND655088:RND655096 RND720624:RND720632 RND786160:RND786168 RND851696:RND851704 RND917232:RND917240 RND982768:RND982776 RWZ65264:RWZ65272 RWZ130800:RWZ130808 RWZ196336:RWZ196344 RWZ261872:RWZ261880 RWZ327408:RWZ327416 RWZ392944:RWZ392952 RWZ458480:RWZ458488 RWZ524016:RWZ524024 RWZ589552:RWZ589560 RWZ655088:RWZ655096 RWZ720624:RWZ720632 RWZ786160:RWZ786168 RWZ851696:RWZ851704 RWZ917232:RWZ917240 RWZ982768:RWZ982776 SGV65264:SGV65272 SGV130800:SGV130808 SGV196336:SGV196344 SGV261872:SGV261880 SGV327408:SGV327416 SGV392944:SGV392952 SGV458480:SGV458488 SGV524016:SGV524024 SGV589552:SGV589560 SGV655088:SGV655096 SGV720624:SGV720632 SGV786160:SGV786168 SGV851696:SGV851704 SGV917232:SGV917240 SGV982768:SGV982776 SQR65264:SQR65272 SQR130800:SQR130808 SQR196336:SQR196344 SQR261872:SQR261880 SQR327408:SQR327416 SQR392944:SQR392952 SQR458480:SQR458488 SQR524016:SQR524024 SQR589552:SQR589560 SQR655088:SQR655096 SQR720624:SQR720632 SQR786160:SQR786168 SQR851696:SQR851704 SQR917232:SQR917240 SQR982768:SQR982776 TAN65264:TAN65272 TAN130800:TAN130808 TAN196336:TAN196344 TAN261872:TAN261880 TAN327408:TAN327416 TAN392944:TAN392952 TAN458480:TAN458488 TAN524016:TAN524024 TAN589552:TAN589560 TAN655088:TAN655096 TAN720624:TAN720632 TAN786160:TAN786168 TAN851696:TAN851704 TAN917232:TAN917240 TAN982768:TAN982776 TKJ65264:TKJ65272 TKJ130800:TKJ130808 TKJ196336:TKJ196344 TKJ261872:TKJ261880 TKJ327408:TKJ327416 TKJ392944:TKJ392952 TKJ458480:TKJ458488 TKJ524016:TKJ524024 TKJ589552:TKJ589560 TKJ655088:TKJ655096 TKJ720624:TKJ720632 TKJ786160:TKJ786168 TKJ851696:TKJ851704 TKJ917232:TKJ917240 TKJ982768:TKJ982776 TUF65264:TUF65272 TUF130800:TUF130808 TUF196336:TUF196344 TUF261872:TUF261880 TUF327408:TUF327416 TUF392944:TUF392952 TUF458480:TUF458488 TUF524016:TUF524024 TUF589552:TUF589560 TUF655088:TUF655096 TUF720624:TUF720632 TUF786160:TUF786168 TUF851696:TUF851704 TUF917232:TUF917240 TUF982768:TUF982776 UEB65264:UEB65272 UEB130800:UEB130808 UEB196336:UEB196344 UEB261872:UEB261880 UEB327408:UEB327416 UEB392944:UEB392952 UEB458480:UEB458488 UEB524016:UEB524024 UEB589552:UEB589560 UEB655088:UEB655096 UEB720624:UEB720632 UEB786160:UEB786168 UEB851696:UEB851704 UEB917232:UEB917240 UEB982768:UEB982776 UNX65264:UNX65272 UNX130800:UNX130808 UNX196336:UNX196344 UNX261872:UNX261880 UNX327408:UNX327416 UNX392944:UNX392952 UNX458480:UNX458488 UNX524016:UNX524024 UNX589552:UNX589560 UNX655088:UNX655096 UNX720624:UNX720632 UNX786160:UNX786168 UNX851696:UNX851704 UNX917232:UNX917240 UNX982768:UNX982776 UXT65264:UXT65272 UXT130800:UXT130808 UXT196336:UXT196344 UXT261872:UXT261880 UXT327408:UXT327416 UXT392944:UXT392952 UXT458480:UXT458488 UXT524016:UXT524024 UXT589552:UXT589560 UXT655088:UXT655096 UXT720624:UXT720632 UXT786160:UXT786168 UXT851696:UXT851704 UXT917232:UXT917240 UXT982768:UXT982776 VHP65264:VHP65272 VHP130800:VHP130808 VHP196336:VHP196344 VHP261872:VHP261880 VHP327408:VHP327416 VHP392944:VHP392952 VHP458480:VHP458488 VHP524016:VHP524024 VHP589552:VHP589560 VHP655088:VHP655096 VHP720624:VHP720632 VHP786160:VHP786168 VHP851696:VHP851704 VHP917232:VHP917240 VHP982768:VHP982776 VRL65264:VRL65272 VRL130800:VRL130808 VRL196336:VRL196344 VRL261872:VRL261880 VRL327408:VRL327416 VRL392944:VRL392952 VRL458480:VRL458488 VRL524016:VRL524024 VRL589552:VRL589560 VRL655088:VRL655096 VRL720624:VRL720632 VRL786160:VRL786168 VRL851696:VRL851704 VRL917232:VRL917240 VRL982768:VRL982776 WBH65264:WBH65272 WBH130800:WBH130808 WBH196336:WBH196344 WBH261872:WBH261880 WBH327408:WBH327416 WBH392944:WBH392952 WBH458480:WBH458488 WBH524016:WBH524024 WBH589552:WBH589560 WBH655088:WBH655096 WBH720624:WBH720632 WBH786160:WBH786168 WBH851696:WBH851704 WBH917232:WBH917240 WBH982768:WBH982776 WLD65264:WLD65272 WLD130800:WLD130808 WLD196336:WLD196344 WLD261872:WLD261880 WLD327408:WLD327416 WLD392944:WLD392952 WLD458480:WLD458488 WLD524016:WLD524024 WLD589552:WLD589560 WLD655088:WLD655096 WLD720624:WLD720632 WLD786160:WLD786168 WLD851696:WLD851704 WLD917232:WLD917240 WLD982768:WLD982776 WUZ65264:WUZ65272 WUZ130800:WUZ130808 WUZ196336:WUZ196344 WUZ261872:WUZ261880 WUZ327408:WUZ327416 WUZ392944:WUZ392952 WUZ458480:WUZ458488 WUZ524016:WUZ524024 WUZ589552:WUZ589560 WUZ655088:WUZ655096 WUZ720624:WUZ720632 WUZ786160:WUZ786168 WUZ851696:WUZ851704 WUZ917232:WUZ917240 WUZ982768:WUZ982776" xr:uid="{00000000-0002-0000-0700-000000000000}">
      <formula1>#REF!</formula1>
    </dataValidation>
  </dataValidations>
  <pageMargins left="0.70866141732283472" right="0.70866141732283472" top="0.74803149606299213" bottom="0.74803149606299213" header="0.31496062992125984" footer="0.31496062992125984"/>
  <pageSetup paperSize="9" scale="7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99" t="s">
        <v>1614</v>
      </c>
    </row>
    <row r="4" spans="3:19">
      <c r="C4" s="887" t="s">
        <v>1119</v>
      </c>
      <c r="D4" s="887" t="s">
        <v>1092</v>
      </c>
      <c r="E4" s="887" t="s">
        <v>1605</v>
      </c>
      <c r="F4" s="887" t="s">
        <v>1122</v>
      </c>
    </row>
    <row r="5" spans="3:19">
      <c r="C5" s="643" t="s">
        <v>477</v>
      </c>
      <c r="D5" s="643" t="s">
        <v>242</v>
      </c>
      <c r="E5" s="853">
        <v>1.86</v>
      </c>
      <c r="F5" s="853">
        <v>12.47</v>
      </c>
      <c r="O5" s="643" t="s">
        <v>1368</v>
      </c>
      <c r="P5" s="643" t="s">
        <v>115</v>
      </c>
      <c r="Q5" s="316">
        <v>1.6</v>
      </c>
      <c r="R5" s="316">
        <v>13.129999999999999</v>
      </c>
    </row>
    <row r="6" spans="3:19">
      <c r="C6" s="888" t="s">
        <v>1370</v>
      </c>
      <c r="D6" s="888" t="s">
        <v>143</v>
      </c>
      <c r="E6" s="859">
        <v>2.93</v>
      </c>
      <c r="F6" s="859">
        <v>20.34</v>
      </c>
      <c r="O6" s="643" t="s">
        <v>1371</v>
      </c>
      <c r="P6" s="643" t="s">
        <v>125</v>
      </c>
      <c r="Q6" s="316">
        <v>2.93</v>
      </c>
      <c r="R6" s="316">
        <v>20.34</v>
      </c>
    </row>
    <row r="7" spans="3:19">
      <c r="C7" s="310"/>
      <c r="D7" s="889" t="s">
        <v>1604</v>
      </c>
      <c r="E7" s="310">
        <f>SUM(E5:E6)</f>
        <v>4.79</v>
      </c>
      <c r="F7" s="310">
        <f>SUM(F5:F6)</f>
        <v>32.81</v>
      </c>
      <c r="G7" s="889"/>
      <c r="J7" s="893" t="s">
        <v>1616</v>
      </c>
      <c r="O7" s="643" t="s">
        <v>159</v>
      </c>
      <c r="P7" s="643" t="s">
        <v>115</v>
      </c>
      <c r="Q7" s="316">
        <v>1.6</v>
      </c>
      <c r="R7" s="316">
        <v>13.129999999999999</v>
      </c>
    </row>
    <row r="8" spans="3:19">
      <c r="C8" s="889" t="s">
        <v>1604</v>
      </c>
      <c r="D8" s="889" t="s">
        <v>1606</v>
      </c>
      <c r="E8" s="310">
        <f>E7*1.54*6/10</f>
        <v>4.4259599999999999</v>
      </c>
      <c r="F8" s="310">
        <f>F7*1.54*3/5.5</f>
        <v>27.560400000000005</v>
      </c>
      <c r="G8" s="310">
        <f>SUM(E8:F8)</f>
        <v>31.986360000000005</v>
      </c>
      <c r="J8" s="894" t="s">
        <v>1615</v>
      </c>
      <c r="O8" s="643" t="s">
        <v>157</v>
      </c>
      <c r="P8" s="643" t="s">
        <v>132</v>
      </c>
      <c r="Q8" s="647">
        <v>1.68</v>
      </c>
      <c r="R8" s="647">
        <v>12.41</v>
      </c>
    </row>
    <row r="9" spans="3:19">
      <c r="C9" s="889" t="s">
        <v>1604</v>
      </c>
      <c r="D9" s="889" t="s">
        <v>1607</v>
      </c>
      <c r="E9" s="310">
        <f>E8*1.54*3/10</f>
        <v>2.0447935199999998</v>
      </c>
      <c r="F9" s="310">
        <f>F8*1.54*1.5/5.5</f>
        <v>11.575368000000003</v>
      </c>
      <c r="G9" s="310">
        <f>SUM(E9:F9)</f>
        <v>13.620161520000003</v>
      </c>
      <c r="J9" s="310">
        <v>18.48</v>
      </c>
      <c r="O9" s="658" t="s">
        <v>1496</v>
      </c>
      <c r="P9" s="658" t="s">
        <v>119</v>
      </c>
      <c r="Q9" s="647">
        <v>1.68</v>
      </c>
      <c r="R9" s="647">
        <v>12.41</v>
      </c>
    </row>
    <row r="10" spans="3:19">
      <c r="C10" s="889" t="s">
        <v>1608</v>
      </c>
      <c r="D10" s="889" t="s">
        <v>1606</v>
      </c>
      <c r="E10" s="310"/>
      <c r="F10" s="310"/>
      <c r="G10" s="310">
        <f>G8*1600/1000</f>
        <v>51.178176000000008</v>
      </c>
      <c r="H10" s="887" t="s">
        <v>1609</v>
      </c>
      <c r="J10" s="310">
        <v>14.67</v>
      </c>
      <c r="O10" s="636" t="s">
        <v>372</v>
      </c>
      <c r="P10" s="636" t="s">
        <v>185</v>
      </c>
      <c r="Q10" s="853">
        <v>1.86</v>
      </c>
      <c r="R10" s="853">
        <v>12.47</v>
      </c>
    </row>
    <row r="11" spans="3:19">
      <c r="C11" s="889" t="s">
        <v>1608</v>
      </c>
      <c r="D11" s="889" t="s">
        <v>1607</v>
      </c>
      <c r="E11" s="310"/>
      <c r="F11" s="310"/>
      <c r="G11" s="310">
        <f>G9*1600/1000</f>
        <v>21.792258432000008</v>
      </c>
      <c r="H11" s="887" t="s">
        <v>1609</v>
      </c>
      <c r="J11" s="310">
        <f>SUM(J9:J10)</f>
        <v>33.15</v>
      </c>
      <c r="Q11">
        <f>SUM(Q5:Q10)</f>
        <v>11.35</v>
      </c>
      <c r="R11">
        <f>SUM(R5:R10)</f>
        <v>83.889999999999986</v>
      </c>
    </row>
    <row r="12" spans="3:19">
      <c r="O12" s="889" t="s">
        <v>1604</v>
      </c>
      <c r="P12" s="889" t="s">
        <v>1606</v>
      </c>
      <c r="Q12" s="310">
        <f>Q11*1.54*6/10</f>
        <v>10.487399999999999</v>
      </c>
      <c r="R12" s="310">
        <f>R11*1.54*3/5.5</f>
        <v>70.46759999999999</v>
      </c>
      <c r="S12" s="310">
        <f>SUM(Q12:R12)</f>
        <v>80.954999999999984</v>
      </c>
    </row>
    <row r="13" spans="3:19">
      <c r="O13" s="889" t="s">
        <v>1604</v>
      </c>
      <c r="P13" s="889" t="s">
        <v>1607</v>
      </c>
      <c r="Q13" s="310">
        <f>Q12*1.54*3/10</f>
        <v>4.8451788000000002</v>
      </c>
      <c r="R13" s="310">
        <f>R12*1.54*1.5/5.5</f>
        <v>29.596391999999994</v>
      </c>
      <c r="S13" s="310">
        <f>SUM(Q13:R13)</f>
        <v>34.441570799999994</v>
      </c>
    </row>
    <row r="14" spans="3:19">
      <c r="C14" s="546" t="s">
        <v>215</v>
      </c>
      <c r="D14" s="546" t="s">
        <v>182</v>
      </c>
      <c r="E14" s="853">
        <v>1.57</v>
      </c>
      <c r="F14" s="853">
        <v>11.05</v>
      </c>
      <c r="O14" s="889" t="s">
        <v>1608</v>
      </c>
      <c r="P14" s="889" t="s">
        <v>1606</v>
      </c>
      <c r="Q14" s="310"/>
      <c r="R14" s="310"/>
      <c r="S14" s="310">
        <f>S12*1600/1000</f>
        <v>129.52799999999996</v>
      </c>
    </row>
    <row r="15" spans="3:19">
      <c r="C15" s="546" t="s">
        <v>240</v>
      </c>
      <c r="D15" s="546" t="s">
        <v>185</v>
      </c>
      <c r="E15" s="853">
        <v>1.86</v>
      </c>
      <c r="F15" s="853">
        <v>12.47</v>
      </c>
      <c r="O15" s="889" t="s">
        <v>1608</v>
      </c>
      <c r="P15" s="889" t="s">
        <v>1607</v>
      </c>
      <c r="Q15" s="310"/>
      <c r="R15" s="310"/>
      <c r="S15" s="310">
        <f>S13*1600/1000</f>
        <v>55.106513279999994</v>
      </c>
    </row>
    <row r="16" spans="3:19">
      <c r="C16" s="549" t="s">
        <v>253</v>
      </c>
      <c r="D16" s="546" t="s">
        <v>248</v>
      </c>
      <c r="E16" s="853">
        <v>1.86</v>
      </c>
      <c r="F16" s="853">
        <v>12.47</v>
      </c>
    </row>
    <row r="17" spans="3:21">
      <c r="C17" s="550" t="s">
        <v>263</v>
      </c>
      <c r="D17" s="546" t="s">
        <v>242</v>
      </c>
      <c r="E17" s="853">
        <v>1.86</v>
      </c>
      <c r="F17" s="853">
        <v>12.47</v>
      </c>
    </row>
    <row r="18" spans="3:21">
      <c r="C18" s="327" t="s">
        <v>258</v>
      </c>
      <c r="D18" s="327" t="s">
        <v>182</v>
      </c>
      <c r="E18" s="853">
        <v>1.57</v>
      </c>
      <c r="F18" s="853">
        <v>11.05</v>
      </c>
      <c r="O18" s="903" t="s">
        <v>1575</v>
      </c>
    </row>
    <row r="19" spans="3:21">
      <c r="C19" s="327" t="s">
        <v>277</v>
      </c>
      <c r="D19" s="327" t="s">
        <v>185</v>
      </c>
      <c r="E19" s="853">
        <v>1.86</v>
      </c>
      <c r="F19" s="853">
        <v>12.47</v>
      </c>
      <c r="O19" s="641"/>
      <c r="P19" s="643" t="s">
        <v>811</v>
      </c>
      <c r="Q19" s="643" t="s">
        <v>182</v>
      </c>
      <c r="R19" s="853">
        <v>1.57</v>
      </c>
      <c r="S19" s="853">
        <v>11.05</v>
      </c>
    </row>
    <row r="20" spans="3:21">
      <c r="C20" s="327" t="s">
        <v>280</v>
      </c>
      <c r="D20" s="327" t="s">
        <v>248</v>
      </c>
      <c r="E20" s="853">
        <v>1.86</v>
      </c>
      <c r="F20" s="853">
        <v>12.47</v>
      </c>
      <c r="O20" s="641"/>
      <c r="P20" s="643" t="s">
        <v>193</v>
      </c>
      <c r="Q20" s="643" t="s">
        <v>115</v>
      </c>
      <c r="R20" s="316">
        <v>1.6</v>
      </c>
      <c r="S20" s="316">
        <v>13.129999999999999</v>
      </c>
    </row>
    <row r="21" spans="3:21">
      <c r="C21" s="327" t="s">
        <v>406</v>
      </c>
      <c r="D21" s="327" t="s">
        <v>182</v>
      </c>
      <c r="E21" s="853">
        <v>1.57</v>
      </c>
      <c r="F21" s="853">
        <v>11.05</v>
      </c>
      <c r="O21" s="641"/>
      <c r="P21" s="643" t="s">
        <v>810</v>
      </c>
      <c r="Q21" s="643" t="s">
        <v>182</v>
      </c>
      <c r="R21" s="853">
        <v>1.57</v>
      </c>
      <c r="S21" s="853">
        <v>11.05</v>
      </c>
    </row>
    <row r="22" spans="3:21">
      <c r="C22" s="327" t="s">
        <v>290</v>
      </c>
      <c r="D22" s="327" t="s">
        <v>182</v>
      </c>
      <c r="E22" s="853">
        <v>1.57</v>
      </c>
      <c r="F22" s="853">
        <v>11.05</v>
      </c>
      <c r="O22" s="548"/>
      <c r="P22" s="625" t="s">
        <v>809</v>
      </c>
      <c r="Q22" s="625" t="s">
        <v>182</v>
      </c>
      <c r="R22" s="853">
        <v>1.57</v>
      </c>
      <c r="S22" s="853">
        <v>11.05</v>
      </c>
    </row>
    <row r="23" spans="3:21">
      <c r="C23" s="327" t="s">
        <v>426</v>
      </c>
      <c r="D23" s="327" t="s">
        <v>182</v>
      </c>
      <c r="E23" s="853">
        <v>1.08</v>
      </c>
      <c r="F23" s="853">
        <v>8.68</v>
      </c>
      <c r="O23" s="548"/>
      <c r="P23" s="556" t="s">
        <v>808</v>
      </c>
      <c r="Q23" s="556" t="s">
        <v>185</v>
      </c>
      <c r="R23" s="853">
        <v>1.86</v>
      </c>
      <c r="S23" s="853">
        <v>12.47</v>
      </c>
    </row>
    <row r="24" spans="3:21">
      <c r="C24" s="327" t="s">
        <v>1311</v>
      </c>
      <c r="D24" s="327" t="s">
        <v>115</v>
      </c>
      <c r="E24" s="316">
        <v>1.6</v>
      </c>
      <c r="F24" s="316">
        <v>13.129999999999999</v>
      </c>
      <c r="R24">
        <f>SUM(R19:R23)</f>
        <v>8.17</v>
      </c>
      <c r="S24">
        <f>SUM(S19:S23)</f>
        <v>58.75</v>
      </c>
    </row>
    <row r="25" spans="3:21">
      <c r="C25" s="643" t="s">
        <v>393</v>
      </c>
      <c r="D25" s="643" t="s">
        <v>182</v>
      </c>
      <c r="E25" s="853">
        <v>1.57</v>
      </c>
      <c r="F25" s="853">
        <v>11.05</v>
      </c>
      <c r="O25" s="889"/>
      <c r="P25" s="889" t="s">
        <v>1604</v>
      </c>
      <c r="Q25" s="889" t="s">
        <v>1606</v>
      </c>
      <c r="R25" s="310">
        <f>R24*1.54*6/10</f>
        <v>7.5490799999999991</v>
      </c>
      <c r="S25" s="310">
        <f>S24*1.54*3/5.5</f>
        <v>49.35</v>
      </c>
      <c r="T25" s="310">
        <f>SUM(R25:S25)</f>
        <v>56.899079999999998</v>
      </c>
    </row>
    <row r="26" spans="3:21">
      <c r="C26" s="642" t="s">
        <v>392</v>
      </c>
      <c r="D26" s="642" t="s">
        <v>242</v>
      </c>
      <c r="E26" s="853">
        <v>1.86</v>
      </c>
      <c r="F26" s="853">
        <v>12.47</v>
      </c>
      <c r="O26" s="889"/>
      <c r="P26" s="889" t="s">
        <v>1604</v>
      </c>
      <c r="Q26" s="889" t="s">
        <v>1607</v>
      </c>
      <c r="R26" s="310">
        <f>R25*1.54*3/10</f>
        <v>3.4876749599999997</v>
      </c>
      <c r="S26" s="310">
        <f>S25*1.54*1.5/5.5</f>
        <v>20.727</v>
      </c>
      <c r="T26" s="310">
        <f>SUM(R26:S26)</f>
        <v>24.21467496</v>
      </c>
    </row>
    <row r="27" spans="3:21">
      <c r="C27" s="625" t="s">
        <v>1303</v>
      </c>
      <c r="D27" s="625" t="s">
        <v>125</v>
      </c>
      <c r="E27" s="316">
        <v>2.93</v>
      </c>
      <c r="F27" s="316">
        <v>20.34</v>
      </c>
      <c r="O27" s="889"/>
      <c r="P27" s="889" t="s">
        <v>1608</v>
      </c>
      <c r="Q27" s="889" t="s">
        <v>1606</v>
      </c>
      <c r="R27" s="310"/>
      <c r="S27" s="310"/>
      <c r="T27" s="310">
        <f>T25*1600/1000</f>
        <v>91.038527999999985</v>
      </c>
    </row>
    <row r="28" spans="3:21">
      <c r="C28" s="876" t="s">
        <v>1596</v>
      </c>
      <c r="D28" s="636" t="s">
        <v>115</v>
      </c>
      <c r="E28" s="316">
        <v>1.6</v>
      </c>
      <c r="F28" s="316">
        <v>13.129999999999999</v>
      </c>
      <c r="O28" s="889"/>
      <c r="P28" s="889" t="s">
        <v>1608</v>
      </c>
      <c r="Q28" s="889" t="s">
        <v>1607</v>
      </c>
      <c r="R28" s="310"/>
      <c r="S28" s="310"/>
      <c r="T28" s="310">
        <f>T26*1600/1000</f>
        <v>38.743479936</v>
      </c>
    </row>
    <row r="29" spans="3:21">
      <c r="E29">
        <f>SUM(E14:E28)</f>
        <v>26.220000000000002</v>
      </c>
      <c r="F29">
        <f>SUM(F14:F28)</f>
        <v>185.35</v>
      </c>
      <c r="U29" t="s">
        <v>857</v>
      </c>
    </row>
    <row r="30" spans="3:21">
      <c r="C30" s="889" t="s">
        <v>1604</v>
      </c>
      <c r="D30" s="889" t="s">
        <v>1606</v>
      </c>
      <c r="E30" s="310">
        <f>E29*1.54*6/10</f>
        <v>24.22728</v>
      </c>
      <c r="F30" s="310">
        <f>F29*1.54*3/5.5</f>
        <v>155.69399999999999</v>
      </c>
      <c r="G30" s="310">
        <f>SUM(E30:F30)</f>
        <v>179.92128</v>
      </c>
      <c r="O30" t="s">
        <v>95</v>
      </c>
      <c r="P30" s="889" t="s">
        <v>1608</v>
      </c>
      <c r="Q30" s="889" t="s">
        <v>1606</v>
      </c>
      <c r="T30">
        <f>16.74+14.83+18.51+18.5</f>
        <v>68.58</v>
      </c>
      <c r="U30">
        <f>T27-T30</f>
        <v>22.458527999999987</v>
      </c>
    </row>
    <row r="31" spans="3:21">
      <c r="C31" s="889" t="s">
        <v>1604</v>
      </c>
      <c r="D31" s="889" t="s">
        <v>1607</v>
      </c>
      <c r="E31" s="310">
        <f>E30*1.54*3/10</f>
        <v>11.193003360000001</v>
      </c>
      <c r="F31" s="310">
        <f>F30*1.54*1.5/5.5</f>
        <v>65.391480000000001</v>
      </c>
      <c r="G31" s="310">
        <f>SUM(E31:F31)</f>
        <v>76.584483360000007</v>
      </c>
    </row>
    <row r="32" spans="3:21">
      <c r="C32" s="889" t="s">
        <v>1608</v>
      </c>
      <c r="D32" s="889" t="s">
        <v>1606</v>
      </c>
      <c r="E32" s="310"/>
      <c r="F32" s="310"/>
      <c r="G32" s="310">
        <f>G30*1600/1000</f>
        <v>287.87404800000002</v>
      </c>
    </row>
    <row r="33" spans="3:7">
      <c r="C33" s="889" t="s">
        <v>1608</v>
      </c>
      <c r="D33" s="889" t="s">
        <v>1607</v>
      </c>
      <c r="E33" s="310"/>
      <c r="F33" s="310"/>
      <c r="G33" s="310">
        <f>G31*1600/1000</f>
        <v>122.535173376</v>
      </c>
    </row>
  </sheetData>
  <conditionalFormatting sqref="C5">
    <cfRule type="duplicateValues" dxfId="4778" priority="17"/>
    <cfRule type="duplicateValues" dxfId="4777" priority="18"/>
    <cfRule type="duplicateValues" dxfId="4776" priority="19" stopIfTrue="1"/>
  </conditionalFormatting>
  <conditionalFormatting sqref="C6">
    <cfRule type="duplicateValues" dxfId="4775" priority="14"/>
    <cfRule type="duplicateValues" dxfId="4774" priority="15"/>
    <cfRule type="duplicateValues" dxfId="4773" priority="16" stopIfTrue="1"/>
  </conditionalFormatting>
  <conditionalFormatting sqref="C14:C17">
    <cfRule type="duplicateValues" dxfId="4772" priority="12"/>
  </conditionalFormatting>
  <conditionalFormatting sqref="C14:C27">
    <cfRule type="duplicateValues" dxfId="4771" priority="10"/>
    <cfRule type="duplicateValues" dxfId="4770" priority="11"/>
    <cfRule type="duplicateValues" dxfId="4769" priority="13" stopIfTrue="1"/>
  </conditionalFormatting>
  <conditionalFormatting sqref="C14:C28">
    <cfRule type="duplicateValues" dxfId="4768" priority="9"/>
  </conditionalFormatting>
  <conditionalFormatting sqref="O5:O10">
    <cfRule type="duplicateValues" dxfId="4767" priority="5"/>
    <cfRule type="duplicateValues" dxfId="4766" priority="6"/>
    <cfRule type="duplicateValues" dxfId="4765" priority="7"/>
    <cfRule type="duplicateValues" dxfId="4764" priority="8" stopIfTrue="1"/>
  </conditionalFormatting>
  <conditionalFormatting sqref="P19:P23">
    <cfRule type="duplicateValues" dxfId="4763" priority="1"/>
    <cfRule type="duplicateValues" dxfId="4762" priority="2" stopIfTrue="1"/>
    <cfRule type="duplicateValues" dxfId="4761" priority="3"/>
    <cfRule type="duplicateValues" dxfId="4760"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48">
        <v>1</v>
      </c>
      <c r="B2" s="636" t="s">
        <v>412</v>
      </c>
      <c r="C2" s="556" t="s">
        <v>119</v>
      </c>
      <c r="D2" s="316"/>
      <c r="E2" s="316" t="s">
        <v>292</v>
      </c>
      <c r="F2" s="552">
        <v>45831</v>
      </c>
      <c r="G2" s="552">
        <v>45842</v>
      </c>
      <c r="H2" s="970" t="s">
        <v>1669</v>
      </c>
      <c r="I2" s="547" t="s">
        <v>211</v>
      </c>
    </row>
    <row r="3" spans="1:9">
      <c r="A3" s="548">
        <f>A2+1</f>
        <v>2</v>
      </c>
      <c r="B3" s="548" t="s">
        <v>820</v>
      </c>
      <c r="C3" s="548" t="s">
        <v>182</v>
      </c>
      <c r="D3" s="548"/>
      <c r="E3" s="325" t="s">
        <v>210</v>
      </c>
      <c r="F3" s="654">
        <v>45835</v>
      </c>
      <c r="G3" s="552">
        <v>45843</v>
      </c>
      <c r="H3" s="548" t="s">
        <v>1499</v>
      </c>
      <c r="I3" s="547" t="s">
        <v>211</v>
      </c>
    </row>
    <row r="4" spans="1:9">
      <c r="A4" s="548">
        <f t="shared" ref="A4:A51" si="0">A3+1</f>
        <v>3</v>
      </c>
      <c r="B4" s="849" t="s">
        <v>727</v>
      </c>
      <c r="C4" s="850" t="s">
        <v>128</v>
      </c>
      <c r="D4" s="859"/>
      <c r="E4" s="859" t="s">
        <v>210</v>
      </c>
      <c r="F4" s="851">
        <v>45833</v>
      </c>
      <c r="G4" s="552">
        <v>45844</v>
      </c>
      <c r="H4" s="327" t="s">
        <v>1290</v>
      </c>
      <c r="I4" s="547" t="s">
        <v>211</v>
      </c>
    </row>
    <row r="5" spans="1:9">
      <c r="A5" s="548">
        <f t="shared" si="0"/>
        <v>4</v>
      </c>
      <c r="B5" s="548" t="s">
        <v>818</v>
      </c>
      <c r="C5" s="548" t="s">
        <v>182</v>
      </c>
      <c r="D5" s="548"/>
      <c r="E5" s="325" t="s">
        <v>210</v>
      </c>
      <c r="F5" s="654">
        <v>45842</v>
      </c>
      <c r="G5" s="654">
        <v>45846</v>
      </c>
      <c r="H5" s="548" t="s">
        <v>1499</v>
      </c>
      <c r="I5" s="547" t="s">
        <v>211</v>
      </c>
    </row>
    <row r="6" spans="1:9">
      <c r="A6" s="548">
        <f t="shared" si="0"/>
        <v>5</v>
      </c>
      <c r="B6" s="327" t="s">
        <v>1571</v>
      </c>
      <c r="C6" s="327" t="s">
        <v>115</v>
      </c>
      <c r="D6" s="327"/>
      <c r="E6" s="316" t="s">
        <v>210</v>
      </c>
      <c r="F6" s="552">
        <v>45841</v>
      </c>
      <c r="G6" s="654">
        <v>45846</v>
      </c>
      <c r="H6" s="327" t="s">
        <v>1575</v>
      </c>
      <c r="I6" s="547" t="s">
        <v>211</v>
      </c>
    </row>
    <row r="7" spans="1:9">
      <c r="A7" s="548">
        <f t="shared" si="0"/>
        <v>6</v>
      </c>
      <c r="B7" s="636" t="s">
        <v>270</v>
      </c>
      <c r="C7" s="636" t="s">
        <v>188</v>
      </c>
      <c r="D7" s="636" t="s">
        <v>454</v>
      </c>
      <c r="E7" s="636" t="s">
        <v>210</v>
      </c>
      <c r="F7" s="847">
        <v>45836</v>
      </c>
      <c r="G7" s="847">
        <v>45848</v>
      </c>
      <c r="H7" s="880" t="s">
        <v>1601</v>
      </c>
      <c r="I7" s="547" t="s">
        <v>211</v>
      </c>
    </row>
    <row r="8" spans="1:9">
      <c r="A8" s="548">
        <f t="shared" si="0"/>
        <v>7</v>
      </c>
      <c r="B8" s="656" t="s">
        <v>463</v>
      </c>
      <c r="C8" s="656" t="s">
        <v>248</v>
      </c>
      <c r="D8" s="327"/>
      <c r="E8" s="316" t="s">
        <v>210</v>
      </c>
      <c r="F8" s="552">
        <v>45842</v>
      </c>
      <c r="G8" s="847">
        <v>45848</v>
      </c>
      <c r="H8" s="374" t="s">
        <v>1603</v>
      </c>
      <c r="I8" s="547" t="s">
        <v>211</v>
      </c>
    </row>
    <row r="9" spans="1:9">
      <c r="A9" s="548">
        <f t="shared" si="0"/>
        <v>8</v>
      </c>
      <c r="B9" s="876" t="s">
        <v>819</v>
      </c>
      <c r="C9" s="636" t="s">
        <v>182</v>
      </c>
      <c r="D9" s="857"/>
      <c r="E9" s="857" t="s">
        <v>210</v>
      </c>
      <c r="F9" s="655">
        <v>45845</v>
      </c>
      <c r="G9" s="847">
        <v>45848</v>
      </c>
      <c r="H9" s="656" t="s">
        <v>1499</v>
      </c>
      <c r="I9" s="547" t="s">
        <v>211</v>
      </c>
    </row>
    <row r="10" spans="1:9">
      <c r="A10" s="548">
        <f t="shared" si="0"/>
        <v>9</v>
      </c>
      <c r="B10" s="636" t="s">
        <v>168</v>
      </c>
      <c r="C10" s="636" t="s">
        <v>167</v>
      </c>
      <c r="D10" s="636"/>
      <c r="E10" s="636" t="s">
        <v>210</v>
      </c>
      <c r="F10" s="847">
        <v>45835</v>
      </c>
      <c r="G10" s="847">
        <v>45849</v>
      </c>
      <c r="H10" s="970" t="s">
        <v>1669</v>
      </c>
      <c r="I10" s="547" t="s">
        <v>211</v>
      </c>
    </row>
    <row r="11" spans="1:9">
      <c r="A11" s="548">
        <f t="shared" si="0"/>
        <v>10</v>
      </c>
      <c r="B11" s="876" t="s">
        <v>790</v>
      </c>
      <c r="C11" s="636" t="s">
        <v>182</v>
      </c>
      <c r="D11" s="857"/>
      <c r="E11" s="857" t="s">
        <v>210</v>
      </c>
      <c r="F11" s="655">
        <v>45845</v>
      </c>
      <c r="G11" s="847">
        <v>45849</v>
      </c>
      <c r="H11" s="876" t="s">
        <v>1570</v>
      </c>
      <c r="I11" s="547" t="s">
        <v>211</v>
      </c>
    </row>
    <row r="12" spans="1:9">
      <c r="A12" s="548">
        <f t="shared" si="0"/>
        <v>11</v>
      </c>
      <c r="B12" s="556" t="s">
        <v>821</v>
      </c>
      <c r="C12" s="556" t="s">
        <v>182</v>
      </c>
      <c r="D12" s="316"/>
      <c r="E12" s="316" t="s">
        <v>210</v>
      </c>
      <c r="F12" s="552">
        <v>45848</v>
      </c>
      <c r="G12" s="552">
        <v>45850</v>
      </c>
      <c r="H12" s="656" t="s">
        <v>1499</v>
      </c>
      <c r="I12" s="547" t="s">
        <v>211</v>
      </c>
    </row>
    <row r="13" spans="1:9">
      <c r="A13" s="548">
        <f t="shared" si="0"/>
        <v>12</v>
      </c>
      <c r="B13" s="876" t="s">
        <v>791</v>
      </c>
      <c r="C13" s="636" t="s">
        <v>242</v>
      </c>
      <c r="D13" s="857"/>
      <c r="E13" s="857" t="s">
        <v>210</v>
      </c>
      <c r="F13" s="655">
        <v>45847</v>
      </c>
      <c r="G13" s="655">
        <v>45851</v>
      </c>
      <c r="H13" s="876" t="s">
        <v>1570</v>
      </c>
      <c r="I13" s="547" t="s">
        <v>211</v>
      </c>
    </row>
    <row r="14" spans="1:9">
      <c r="A14" s="548">
        <f t="shared" si="0"/>
        <v>13</v>
      </c>
      <c r="B14" s="556" t="s">
        <v>806</v>
      </c>
      <c r="C14" s="556" t="s">
        <v>185</v>
      </c>
      <c r="D14" s="556"/>
      <c r="E14" s="316" t="s">
        <v>210</v>
      </c>
      <c r="F14" s="660">
        <v>45847</v>
      </c>
      <c r="G14" s="655">
        <v>45851</v>
      </c>
      <c r="H14" s="556" t="s">
        <v>1575</v>
      </c>
      <c r="I14" s="547" t="s">
        <v>211</v>
      </c>
    </row>
    <row r="15" spans="1:9">
      <c r="A15" s="548">
        <f t="shared" si="0"/>
        <v>14</v>
      </c>
      <c r="B15" s="556" t="s">
        <v>765</v>
      </c>
      <c r="C15" s="556" t="s">
        <v>185</v>
      </c>
      <c r="D15" s="316"/>
      <c r="E15" s="316" t="s">
        <v>210</v>
      </c>
      <c r="F15" s="552">
        <v>45848</v>
      </c>
      <c r="G15" s="655">
        <v>45852</v>
      </c>
      <c r="H15" s="327" t="s">
        <v>1614</v>
      </c>
      <c r="I15" s="547" t="s">
        <v>211</v>
      </c>
    </row>
    <row r="16" spans="1:9">
      <c r="A16" s="548">
        <f t="shared" si="0"/>
        <v>15</v>
      </c>
      <c r="B16" s="656" t="s">
        <v>739</v>
      </c>
      <c r="C16" s="656" t="s">
        <v>182</v>
      </c>
      <c r="D16" s="548"/>
      <c r="E16" s="325" t="s">
        <v>210</v>
      </c>
      <c r="F16" s="654">
        <v>45842</v>
      </c>
      <c r="G16" s="655">
        <v>45852</v>
      </c>
      <c r="H16" s="374" t="s">
        <v>1580</v>
      </c>
      <c r="I16" s="547" t="s">
        <v>211</v>
      </c>
    </row>
    <row r="17" spans="1:9">
      <c r="A17" s="548">
        <f t="shared" si="0"/>
        <v>16</v>
      </c>
      <c r="B17" s="556" t="s">
        <v>822</v>
      </c>
      <c r="C17" s="556" t="s">
        <v>182</v>
      </c>
      <c r="D17" s="316"/>
      <c r="E17" s="316" t="s">
        <v>210</v>
      </c>
      <c r="F17" s="552">
        <v>45851</v>
      </c>
      <c r="G17" s="655">
        <v>45853</v>
      </c>
      <c r="H17" s="656" t="s">
        <v>1499</v>
      </c>
      <c r="I17" s="547" t="s">
        <v>211</v>
      </c>
    </row>
    <row r="18" spans="1:9">
      <c r="A18" s="548">
        <f t="shared" si="0"/>
        <v>17</v>
      </c>
      <c r="B18" s="876" t="s">
        <v>1595</v>
      </c>
      <c r="C18" s="636" t="s">
        <v>167</v>
      </c>
      <c r="D18" s="316"/>
      <c r="E18" s="316" t="s">
        <v>210</v>
      </c>
      <c r="F18" s="552">
        <v>45847</v>
      </c>
      <c r="G18" s="655">
        <v>45854</v>
      </c>
      <c r="H18" s="374" t="s">
        <v>1597</v>
      </c>
      <c r="I18" s="547" t="s">
        <v>211</v>
      </c>
    </row>
    <row r="19" spans="1:9">
      <c r="A19" s="548">
        <f t="shared" si="0"/>
        <v>18</v>
      </c>
      <c r="B19" s="876" t="s">
        <v>1321</v>
      </c>
      <c r="C19" s="636" t="s">
        <v>115</v>
      </c>
      <c r="D19" s="325"/>
      <c r="E19" s="325" t="s">
        <v>210</v>
      </c>
      <c r="F19" s="654">
        <v>45846</v>
      </c>
      <c r="G19" s="655">
        <v>45854</v>
      </c>
      <c r="H19" s="374" t="s">
        <v>1612</v>
      </c>
      <c r="I19" s="547" t="s">
        <v>211</v>
      </c>
    </row>
    <row r="20" spans="1:9">
      <c r="A20" s="548">
        <f t="shared" si="0"/>
        <v>19</v>
      </c>
      <c r="B20" s="556" t="s">
        <v>764</v>
      </c>
      <c r="C20" s="556" t="s">
        <v>182</v>
      </c>
      <c r="D20" s="316"/>
      <c r="E20" s="316" t="s">
        <v>210</v>
      </c>
      <c r="F20" s="552">
        <v>45852</v>
      </c>
      <c r="G20" s="655">
        <v>45854</v>
      </c>
      <c r="H20" s="327" t="s">
        <v>1614</v>
      </c>
      <c r="I20" s="547" t="s">
        <v>211</v>
      </c>
    </row>
    <row r="21" spans="1:9">
      <c r="A21" s="548">
        <f t="shared" si="0"/>
        <v>20</v>
      </c>
      <c r="B21" s="556" t="s">
        <v>804</v>
      </c>
      <c r="C21" s="556" t="s">
        <v>182</v>
      </c>
      <c r="D21" s="556"/>
      <c r="E21" s="316" t="s">
        <v>210</v>
      </c>
      <c r="F21" s="552">
        <v>45852</v>
      </c>
      <c r="G21" s="655">
        <v>45854</v>
      </c>
      <c r="H21" s="556" t="s">
        <v>1575</v>
      </c>
      <c r="I21" s="547" t="s">
        <v>211</v>
      </c>
    </row>
    <row r="22" spans="1:9">
      <c r="A22" s="548">
        <f t="shared" si="0"/>
        <v>21</v>
      </c>
      <c r="B22" s="556" t="s">
        <v>1617</v>
      </c>
      <c r="C22" s="556" t="s">
        <v>137</v>
      </c>
      <c r="D22" s="316"/>
      <c r="E22" s="316" t="s">
        <v>210</v>
      </c>
      <c r="F22" s="552">
        <v>45850</v>
      </c>
      <c r="G22" s="655">
        <v>45855</v>
      </c>
      <c r="H22" s="876" t="s">
        <v>1570</v>
      </c>
      <c r="I22" s="547" t="s">
        <v>211</v>
      </c>
    </row>
    <row r="23" spans="1:9">
      <c r="A23" s="548">
        <f t="shared" si="0"/>
        <v>22</v>
      </c>
      <c r="B23" s="374" t="s">
        <v>1610</v>
      </c>
      <c r="C23" s="316" t="s">
        <v>1611</v>
      </c>
      <c r="D23" s="316"/>
      <c r="E23" s="316" t="s">
        <v>210</v>
      </c>
      <c r="F23" s="552">
        <v>45848</v>
      </c>
      <c r="G23" s="655">
        <v>45856</v>
      </c>
      <c r="H23" s="374" t="s">
        <v>1613</v>
      </c>
      <c r="I23" s="547" t="s">
        <v>211</v>
      </c>
    </row>
    <row r="24" spans="1:9">
      <c r="A24" s="548">
        <f t="shared" si="0"/>
        <v>23</v>
      </c>
      <c r="B24" s="556" t="s">
        <v>823</v>
      </c>
      <c r="C24" s="556" t="s">
        <v>182</v>
      </c>
      <c r="D24" s="316"/>
      <c r="E24" s="316" t="s">
        <v>210</v>
      </c>
      <c r="F24" s="552">
        <v>45853</v>
      </c>
      <c r="G24" s="655">
        <v>45856</v>
      </c>
      <c r="H24" s="656" t="s">
        <v>1499</v>
      </c>
      <c r="I24" s="547" t="s">
        <v>211</v>
      </c>
    </row>
    <row r="25" spans="1:9">
      <c r="A25" s="548">
        <f t="shared" si="0"/>
        <v>24</v>
      </c>
      <c r="B25" s="327" t="s">
        <v>380</v>
      </c>
      <c r="C25" s="327" t="s">
        <v>119</v>
      </c>
      <c r="D25" s="327"/>
      <c r="E25" s="316" t="s">
        <v>210</v>
      </c>
      <c r="F25" s="552">
        <v>45846</v>
      </c>
      <c r="G25" s="655">
        <v>45857</v>
      </c>
      <c r="H25" s="374" t="s">
        <v>1602</v>
      </c>
      <c r="I25" s="547" t="s">
        <v>211</v>
      </c>
    </row>
    <row r="26" spans="1:9">
      <c r="A26" s="548">
        <f t="shared" si="0"/>
        <v>25</v>
      </c>
      <c r="B26" s="556" t="s">
        <v>763</v>
      </c>
      <c r="C26" s="556" t="s">
        <v>182</v>
      </c>
      <c r="D26" s="556"/>
      <c r="E26" s="556" t="s">
        <v>210</v>
      </c>
      <c r="F26" s="660">
        <v>45855</v>
      </c>
      <c r="G26" s="847">
        <v>45859</v>
      </c>
      <c r="H26" s="556" t="s">
        <v>1614</v>
      </c>
      <c r="I26" s="547" t="s">
        <v>211</v>
      </c>
    </row>
    <row r="27" spans="1:9">
      <c r="A27" s="548">
        <f t="shared" si="0"/>
        <v>26</v>
      </c>
      <c r="B27" s="556" t="s">
        <v>1634</v>
      </c>
      <c r="C27" s="556" t="s">
        <v>137</v>
      </c>
      <c r="D27" s="556"/>
      <c r="E27" s="556" t="s">
        <v>210</v>
      </c>
      <c r="F27" s="660">
        <v>45855</v>
      </c>
      <c r="G27" s="847">
        <v>45859</v>
      </c>
      <c r="H27" s="880" t="s">
        <v>1570</v>
      </c>
      <c r="I27" s="547" t="s">
        <v>211</v>
      </c>
    </row>
    <row r="28" spans="1:9">
      <c r="A28" s="548">
        <f t="shared" si="0"/>
        <v>27</v>
      </c>
      <c r="B28" s="556" t="s">
        <v>803</v>
      </c>
      <c r="C28" s="556" t="s">
        <v>185</v>
      </c>
      <c r="D28" s="556"/>
      <c r="E28" s="556" t="s">
        <v>210</v>
      </c>
      <c r="F28" s="660">
        <v>45854</v>
      </c>
      <c r="G28" s="847">
        <v>45859</v>
      </c>
      <c r="H28" s="556" t="s">
        <v>1575</v>
      </c>
      <c r="I28" s="547" t="s">
        <v>211</v>
      </c>
    </row>
    <row r="29" spans="1:9">
      <c r="A29" s="548">
        <f t="shared" si="0"/>
        <v>28</v>
      </c>
      <c r="B29" s="556" t="s">
        <v>824</v>
      </c>
      <c r="C29" s="556" t="s">
        <v>182</v>
      </c>
      <c r="D29" s="316"/>
      <c r="E29" s="556" t="s">
        <v>210</v>
      </c>
      <c r="F29" s="660">
        <v>45857</v>
      </c>
      <c r="G29" s="655">
        <v>45861</v>
      </c>
      <c r="H29" s="656" t="s">
        <v>1499</v>
      </c>
      <c r="I29" s="547" t="s">
        <v>211</v>
      </c>
    </row>
    <row r="30" spans="1:9">
      <c r="A30" s="548">
        <f t="shared" si="0"/>
        <v>29</v>
      </c>
      <c r="B30" s="636" t="s">
        <v>866</v>
      </c>
      <c r="C30" s="636" t="s">
        <v>137</v>
      </c>
      <c r="D30" s="625"/>
      <c r="E30" s="625" t="s">
        <v>210</v>
      </c>
      <c r="F30" s="657">
        <v>45853</v>
      </c>
      <c r="G30" s="655">
        <v>45862</v>
      </c>
      <c r="H30" s="922" t="s">
        <v>1580</v>
      </c>
      <c r="I30" s="547" t="s">
        <v>211</v>
      </c>
    </row>
    <row r="31" spans="1:9">
      <c r="A31" s="548">
        <f t="shared" si="0"/>
        <v>30</v>
      </c>
      <c r="B31" s="556" t="s">
        <v>166</v>
      </c>
      <c r="C31" s="556" t="s">
        <v>167</v>
      </c>
      <c r="D31" s="556"/>
      <c r="E31" s="556" t="s">
        <v>210</v>
      </c>
      <c r="F31" s="660">
        <v>45851</v>
      </c>
      <c r="G31" s="655">
        <v>45862</v>
      </c>
      <c r="H31" s="970" t="s">
        <v>1669</v>
      </c>
      <c r="I31" s="547" t="s">
        <v>211</v>
      </c>
    </row>
    <row r="32" spans="1:9">
      <c r="A32" s="548">
        <f t="shared" si="0"/>
        <v>31</v>
      </c>
      <c r="B32" s="556" t="s">
        <v>183</v>
      </c>
      <c r="C32" s="556" t="s">
        <v>182</v>
      </c>
      <c r="D32" s="556"/>
      <c r="E32" s="556" t="s">
        <v>210</v>
      </c>
      <c r="F32" s="660">
        <v>45860</v>
      </c>
      <c r="G32" s="655">
        <v>45862</v>
      </c>
      <c r="H32" s="556" t="s">
        <v>1614</v>
      </c>
      <c r="I32" s="547" t="s">
        <v>211</v>
      </c>
    </row>
    <row r="33" spans="1:9">
      <c r="A33" s="548">
        <f t="shared" si="0"/>
        <v>32</v>
      </c>
      <c r="B33" s="556" t="s">
        <v>805</v>
      </c>
      <c r="C33" s="556" t="s">
        <v>182</v>
      </c>
      <c r="D33" s="556"/>
      <c r="E33" s="556" t="s">
        <v>210</v>
      </c>
      <c r="F33" s="847">
        <v>45860</v>
      </c>
      <c r="G33" s="655">
        <v>45863</v>
      </c>
      <c r="H33" s="556" t="s">
        <v>1575</v>
      </c>
      <c r="I33" s="547" t="s">
        <v>211</v>
      </c>
    </row>
    <row r="34" spans="1:9">
      <c r="A34" s="548">
        <f t="shared" si="0"/>
        <v>33</v>
      </c>
      <c r="B34" s="556" t="s">
        <v>744</v>
      </c>
      <c r="C34" s="556" t="s">
        <v>185</v>
      </c>
      <c r="D34" s="556"/>
      <c r="E34" s="556" t="s">
        <v>210</v>
      </c>
      <c r="F34" s="660">
        <v>45853</v>
      </c>
      <c r="G34" s="655">
        <v>45864</v>
      </c>
      <c r="H34" s="556" t="s">
        <v>1618</v>
      </c>
      <c r="I34" s="547" t="s">
        <v>211</v>
      </c>
    </row>
    <row r="35" spans="1:9">
      <c r="A35" s="548">
        <f t="shared" si="0"/>
        <v>34</v>
      </c>
      <c r="B35" s="850" t="s">
        <v>796</v>
      </c>
      <c r="C35" s="850" t="s">
        <v>185</v>
      </c>
      <c r="D35" s="850"/>
      <c r="E35" s="850" t="s">
        <v>210</v>
      </c>
      <c r="F35" s="934">
        <v>45860</v>
      </c>
      <c r="G35" s="655">
        <v>45864</v>
      </c>
      <c r="H35" s="935" t="s">
        <v>1570</v>
      </c>
      <c r="I35" s="547" t="s">
        <v>211</v>
      </c>
    </row>
    <row r="36" spans="1:9">
      <c r="A36" s="548">
        <f t="shared" si="0"/>
        <v>35</v>
      </c>
      <c r="B36" s="556" t="s">
        <v>385</v>
      </c>
      <c r="C36" s="556" t="s">
        <v>182</v>
      </c>
      <c r="D36" s="556"/>
      <c r="E36" s="556" t="s">
        <v>210</v>
      </c>
      <c r="F36" s="660">
        <v>45849</v>
      </c>
      <c r="G36" s="655">
        <v>45865</v>
      </c>
      <c r="H36" s="922" t="s">
        <v>1601</v>
      </c>
      <c r="I36" s="547" t="s">
        <v>211</v>
      </c>
    </row>
    <row r="37" spans="1:9">
      <c r="A37" s="548">
        <f t="shared" si="0"/>
        <v>36</v>
      </c>
      <c r="B37" s="556" t="s">
        <v>767</v>
      </c>
      <c r="C37" s="556" t="s">
        <v>242</v>
      </c>
      <c r="D37" s="556"/>
      <c r="E37" s="556" t="s">
        <v>210</v>
      </c>
      <c r="F37" s="660">
        <v>45862</v>
      </c>
      <c r="G37" s="655">
        <v>45865</v>
      </c>
      <c r="H37" s="556" t="s">
        <v>1614</v>
      </c>
      <c r="I37" s="547" t="s">
        <v>211</v>
      </c>
    </row>
    <row r="38" spans="1:9">
      <c r="A38" s="548">
        <f t="shared" si="0"/>
        <v>37</v>
      </c>
      <c r="B38" s="374" t="s">
        <v>1654</v>
      </c>
      <c r="C38" s="556" t="s">
        <v>185</v>
      </c>
      <c r="D38" s="316"/>
      <c r="E38" s="556" t="s">
        <v>210</v>
      </c>
      <c r="F38" s="552">
        <v>45862</v>
      </c>
      <c r="G38" s="655">
        <v>45865</v>
      </c>
      <c r="H38" s="327" t="s">
        <v>1499</v>
      </c>
      <c r="I38" s="547" t="s">
        <v>211</v>
      </c>
    </row>
    <row r="39" spans="1:9">
      <c r="A39" s="548">
        <f t="shared" si="0"/>
        <v>38</v>
      </c>
      <c r="B39" s="880" t="s">
        <v>731</v>
      </c>
      <c r="C39" s="636" t="s">
        <v>115</v>
      </c>
      <c r="D39" s="556"/>
      <c r="E39" s="556" t="s">
        <v>210</v>
      </c>
      <c r="F39" s="660">
        <v>45859</v>
      </c>
      <c r="G39" s="655">
        <v>45866</v>
      </c>
      <c r="H39" s="922" t="s">
        <v>1597</v>
      </c>
      <c r="I39" s="547" t="s">
        <v>211</v>
      </c>
    </row>
    <row r="40" spans="1:9">
      <c r="A40" s="548">
        <f t="shared" si="0"/>
        <v>39</v>
      </c>
      <c r="B40" s="636" t="s">
        <v>427</v>
      </c>
      <c r="C40" s="636" t="s">
        <v>185</v>
      </c>
      <c r="D40" s="636"/>
      <c r="E40" s="636" t="s">
        <v>210</v>
      </c>
      <c r="F40" s="847">
        <v>45851</v>
      </c>
      <c r="G40" s="655">
        <v>45867</v>
      </c>
      <c r="H40" s="636" t="s">
        <v>254</v>
      </c>
      <c r="I40" s="547" t="s">
        <v>211</v>
      </c>
    </row>
    <row r="41" spans="1:9">
      <c r="A41" s="548">
        <f t="shared" si="0"/>
        <v>40</v>
      </c>
      <c r="B41" s="556" t="s">
        <v>794</v>
      </c>
      <c r="C41" s="556" t="s">
        <v>185</v>
      </c>
      <c r="D41" s="556"/>
      <c r="E41" s="556" t="s">
        <v>210</v>
      </c>
      <c r="F41" s="847">
        <v>45863</v>
      </c>
      <c r="G41" s="655">
        <v>45867</v>
      </c>
      <c r="H41" s="880" t="s">
        <v>1570</v>
      </c>
      <c r="I41" s="547" t="s">
        <v>211</v>
      </c>
    </row>
    <row r="42" spans="1:9">
      <c r="A42" s="548">
        <f t="shared" si="0"/>
        <v>41</v>
      </c>
      <c r="B42" s="556" t="s">
        <v>180</v>
      </c>
      <c r="C42" s="556" t="s">
        <v>182</v>
      </c>
      <c r="D42" s="556"/>
      <c r="E42" s="556" t="s">
        <v>210</v>
      </c>
      <c r="F42" s="660">
        <v>45865</v>
      </c>
      <c r="G42" s="655">
        <v>45868</v>
      </c>
      <c r="H42" s="556" t="s">
        <v>1614</v>
      </c>
      <c r="I42" s="547" t="s">
        <v>211</v>
      </c>
    </row>
    <row r="43" spans="1:9">
      <c r="A43" s="548">
        <f t="shared" si="0"/>
        <v>42</v>
      </c>
      <c r="B43" s="374" t="s">
        <v>1366</v>
      </c>
      <c r="C43" s="556" t="s">
        <v>182</v>
      </c>
      <c r="D43" s="316"/>
      <c r="E43" s="556" t="s">
        <v>210</v>
      </c>
      <c r="F43" s="552">
        <v>45865</v>
      </c>
      <c r="G43" s="655">
        <v>45868</v>
      </c>
      <c r="H43" s="327" t="s">
        <v>1499</v>
      </c>
      <c r="I43" s="547" t="s">
        <v>211</v>
      </c>
    </row>
    <row r="44" spans="1:9">
      <c r="A44" s="548">
        <f t="shared" si="0"/>
        <v>43</v>
      </c>
      <c r="B44" s="556" t="s">
        <v>191</v>
      </c>
      <c r="C44" s="556" t="s">
        <v>192</v>
      </c>
      <c r="D44" s="556"/>
      <c r="E44" s="556" t="s">
        <v>210</v>
      </c>
      <c r="F44" s="847">
        <v>45863</v>
      </c>
      <c r="G44" s="655">
        <v>45869</v>
      </c>
      <c r="H44" s="556" t="s">
        <v>1575</v>
      </c>
      <c r="I44" s="547" t="s">
        <v>211</v>
      </c>
    </row>
    <row r="45" spans="1:9">
      <c r="A45" s="548">
        <f t="shared" si="0"/>
        <v>44</v>
      </c>
      <c r="B45" s="556" t="s">
        <v>799</v>
      </c>
      <c r="C45" s="556" t="s">
        <v>182</v>
      </c>
      <c r="D45" s="556"/>
      <c r="E45" s="556" t="s">
        <v>210</v>
      </c>
      <c r="F45" s="847">
        <v>45867</v>
      </c>
      <c r="G45" s="655">
        <v>45869</v>
      </c>
      <c r="H45" s="880" t="s">
        <v>1570</v>
      </c>
      <c r="I45" s="547" t="s">
        <v>211</v>
      </c>
    </row>
    <row r="46" spans="1:9">
      <c r="A46" s="548">
        <f t="shared" si="0"/>
        <v>45</v>
      </c>
      <c r="B46" s="556" t="s">
        <v>766</v>
      </c>
      <c r="C46" s="556" t="s">
        <v>182</v>
      </c>
      <c r="D46" s="556"/>
      <c r="E46" s="556" t="s">
        <v>210</v>
      </c>
      <c r="F46" s="655">
        <v>45868</v>
      </c>
      <c r="G46" s="655">
        <v>45869</v>
      </c>
      <c r="H46" s="556" t="s">
        <v>1614</v>
      </c>
      <c r="I46" s="547" t="s">
        <v>211</v>
      </c>
    </row>
    <row r="47" spans="1:9">
      <c r="A47" s="548">
        <f t="shared" si="0"/>
        <v>46</v>
      </c>
      <c r="B47" s="556" t="s">
        <v>751</v>
      </c>
      <c r="C47" s="556" t="s">
        <v>248</v>
      </c>
      <c r="D47" s="556"/>
      <c r="E47" s="556" t="s">
        <v>210</v>
      </c>
      <c r="F47" s="660">
        <v>45863</v>
      </c>
      <c r="G47" s="655">
        <v>45869</v>
      </c>
      <c r="H47" s="556" t="s">
        <v>1580</v>
      </c>
      <c r="I47" s="547" t="s">
        <v>211</v>
      </c>
    </row>
    <row r="48" spans="1:9">
      <c r="A48" s="548">
        <f t="shared" si="0"/>
        <v>47</v>
      </c>
      <c r="B48" s="991" t="s">
        <v>174</v>
      </c>
      <c r="C48" s="636" t="s">
        <v>1633</v>
      </c>
      <c r="D48" s="556"/>
      <c r="E48" s="556" t="s">
        <v>210</v>
      </c>
      <c r="F48" s="660">
        <v>45855</v>
      </c>
      <c r="G48" s="655">
        <v>45869</v>
      </c>
      <c r="H48" s="922" t="s">
        <v>1612</v>
      </c>
      <c r="I48" s="547" t="s">
        <v>211</v>
      </c>
    </row>
    <row r="49" spans="1:9">
      <c r="A49" s="548">
        <f t="shared" si="0"/>
        <v>48</v>
      </c>
      <c r="B49" s="651" t="s">
        <v>422</v>
      </c>
      <c r="C49" s="636" t="s">
        <v>125</v>
      </c>
      <c r="D49" s="636"/>
      <c r="E49" s="636" t="s">
        <v>292</v>
      </c>
      <c r="F49" s="847">
        <v>45818</v>
      </c>
      <c r="G49" s="655">
        <v>45869</v>
      </c>
      <c r="H49" s="936" t="s">
        <v>1657</v>
      </c>
      <c r="I49" s="547" t="s">
        <v>211</v>
      </c>
    </row>
    <row r="50" spans="1:9">
      <c r="A50" s="548">
        <f t="shared" si="0"/>
        <v>49</v>
      </c>
      <c r="B50" s="992" t="s">
        <v>158</v>
      </c>
      <c r="C50" s="850" t="s">
        <v>115</v>
      </c>
      <c r="D50" s="850"/>
      <c r="E50" s="850" t="s">
        <v>210</v>
      </c>
      <c r="F50" s="969">
        <v>45862</v>
      </c>
      <c r="G50" s="655">
        <v>45869</v>
      </c>
      <c r="H50" s="970" t="s">
        <v>1669</v>
      </c>
      <c r="I50" s="547" t="s">
        <v>211</v>
      </c>
    </row>
    <row r="51" spans="1:9">
      <c r="A51" s="548">
        <f t="shared" si="0"/>
        <v>50</v>
      </c>
      <c r="B51" s="652" t="s">
        <v>1658</v>
      </c>
      <c r="C51" s="556" t="s">
        <v>125</v>
      </c>
      <c r="D51" s="556"/>
      <c r="E51" s="556" t="s">
        <v>210</v>
      </c>
      <c r="F51" s="660">
        <v>45861</v>
      </c>
      <c r="G51" s="655">
        <v>45869</v>
      </c>
      <c r="H51" s="922" t="s">
        <v>1613</v>
      </c>
      <c r="I51" s="547" t="s">
        <v>211</v>
      </c>
    </row>
  </sheetData>
  <conditionalFormatting sqref="B2:B8 B10 B12 B14:B17 B20:B22 B24:B29 B31:B37 B40:B42 B44:B47 B49:B50">
    <cfRule type="duplicateValues" dxfId="4759" priority="9"/>
    <cfRule type="duplicateValues" dxfId="4758" priority="11" stopIfTrue="1"/>
  </conditionalFormatting>
  <conditionalFormatting sqref="B2:B8">
    <cfRule type="duplicateValues" dxfId="4757" priority="10"/>
  </conditionalFormatting>
  <conditionalFormatting sqref="B2:B37 B39:B42 B44:B51">
    <cfRule type="duplicateValues" dxfId="4756" priority="7"/>
    <cfRule type="duplicateValues" dxfId="4755" priority="8"/>
  </conditionalFormatting>
  <conditionalFormatting sqref="B30">
    <cfRule type="duplicateValues" dxfId="4754" priority="4"/>
    <cfRule type="duplicateValues" dxfId="4753" priority="5"/>
    <cfRule type="duplicateValues" dxfId="4752" priority="6" stopIfTrue="1"/>
  </conditionalFormatting>
  <conditionalFormatting sqref="B51">
    <cfRule type="duplicateValues" dxfId="4751" priority="1"/>
    <cfRule type="duplicateValues" dxfId="4750" priority="2"/>
    <cfRule type="duplicateValues" dxfId="474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1743</v>
      </c>
      <c r="E4" s="310" t="s">
        <v>1173</v>
      </c>
      <c r="F4" s="310" t="s">
        <v>1092</v>
      </c>
      <c r="G4" s="310" t="s">
        <v>1744</v>
      </c>
      <c r="H4" s="310" t="s">
        <v>207</v>
      </c>
      <c r="I4" s="310" t="s">
        <v>1646</v>
      </c>
    </row>
    <row r="5" spans="4:10">
      <c r="D5" s="310">
        <v>1</v>
      </c>
      <c r="E5" s="310" t="s">
        <v>820</v>
      </c>
      <c r="F5" s="310" t="s">
        <v>182</v>
      </c>
      <c r="G5" s="310" t="s">
        <v>1700</v>
      </c>
      <c r="H5" s="657">
        <v>45898</v>
      </c>
      <c r="I5" s="657">
        <v>45904</v>
      </c>
      <c r="J5" t="s">
        <v>1506</v>
      </c>
    </row>
    <row r="6" spans="4:10">
      <c r="D6" s="310">
        <f>D5+1</f>
        <v>2</v>
      </c>
      <c r="E6" s="310" t="s">
        <v>268</v>
      </c>
      <c r="F6" s="310" t="s">
        <v>185</v>
      </c>
      <c r="G6" s="310" t="s">
        <v>1599</v>
      </c>
      <c r="H6" s="657">
        <v>45901</v>
      </c>
      <c r="I6" s="657">
        <v>45905</v>
      </c>
      <c r="J6" t="s">
        <v>1506</v>
      </c>
    </row>
    <row r="7" spans="4:10">
      <c r="D7" s="310">
        <f t="shared" ref="D7:D34" si="0">D6+1</f>
        <v>3</v>
      </c>
      <c r="E7" s="310" t="s">
        <v>803</v>
      </c>
      <c r="F7" s="310" t="s">
        <v>185</v>
      </c>
      <c r="G7" s="310" t="s">
        <v>1701</v>
      </c>
      <c r="H7" s="657">
        <v>45896</v>
      </c>
      <c r="I7" s="657">
        <v>45909</v>
      </c>
      <c r="J7" t="s">
        <v>1506</v>
      </c>
    </row>
    <row r="8" spans="4:10">
      <c r="D8" s="310">
        <f t="shared" si="0"/>
        <v>4</v>
      </c>
      <c r="E8" s="310" t="s">
        <v>227</v>
      </c>
      <c r="F8" s="310" t="s">
        <v>182</v>
      </c>
      <c r="G8" s="310" t="s">
        <v>1599</v>
      </c>
      <c r="H8" s="657">
        <v>45905</v>
      </c>
      <c r="I8" s="657">
        <v>45909</v>
      </c>
      <c r="J8" t="s">
        <v>1506</v>
      </c>
    </row>
    <row r="9" spans="4:10">
      <c r="D9" s="310">
        <f t="shared" si="0"/>
        <v>5</v>
      </c>
      <c r="E9" s="310" t="s">
        <v>819</v>
      </c>
      <c r="F9" s="310" t="s">
        <v>182</v>
      </c>
      <c r="G9" s="310" t="s">
        <v>1700</v>
      </c>
      <c r="H9" s="657">
        <v>45905</v>
      </c>
      <c r="I9" s="657">
        <v>45910</v>
      </c>
      <c r="J9" t="s">
        <v>1506</v>
      </c>
    </row>
    <row r="10" spans="4:10">
      <c r="D10" s="310">
        <f t="shared" si="0"/>
        <v>6</v>
      </c>
      <c r="E10" s="310" t="s">
        <v>225</v>
      </c>
      <c r="F10" s="310" t="s">
        <v>185</v>
      </c>
      <c r="G10" s="310" t="s">
        <v>1671</v>
      </c>
      <c r="H10" s="657">
        <v>45898</v>
      </c>
      <c r="I10" s="657">
        <v>45911</v>
      </c>
      <c r="J10" t="s">
        <v>1506</v>
      </c>
    </row>
    <row r="11" spans="4:10">
      <c r="D11" s="310">
        <f t="shared" si="0"/>
        <v>7</v>
      </c>
      <c r="E11" s="310" t="s">
        <v>1311</v>
      </c>
      <c r="F11" s="310" t="s">
        <v>115</v>
      </c>
      <c r="G11" s="310" t="s">
        <v>1709</v>
      </c>
      <c r="H11" s="657">
        <v>45901</v>
      </c>
      <c r="I11" s="657">
        <v>45911</v>
      </c>
      <c r="J11" t="s">
        <v>1506</v>
      </c>
    </row>
    <row r="12" spans="4:10">
      <c r="D12" s="310">
        <f t="shared" si="0"/>
        <v>8</v>
      </c>
      <c r="E12" s="310" t="s">
        <v>822</v>
      </c>
      <c r="F12" s="310" t="s">
        <v>182</v>
      </c>
      <c r="G12" s="310" t="s">
        <v>1700</v>
      </c>
      <c r="H12" s="657">
        <v>45911</v>
      </c>
      <c r="I12" s="657">
        <v>45914</v>
      </c>
      <c r="J12" t="s">
        <v>1506</v>
      </c>
    </row>
    <row r="13" spans="4:10">
      <c r="D13" s="310">
        <f t="shared" si="0"/>
        <v>9</v>
      </c>
      <c r="E13" s="310" t="s">
        <v>804</v>
      </c>
      <c r="F13" s="310" t="s">
        <v>182</v>
      </c>
      <c r="G13" s="310" t="s">
        <v>1701</v>
      </c>
      <c r="H13" s="657">
        <v>45909</v>
      </c>
      <c r="I13" s="657">
        <v>45914</v>
      </c>
      <c r="J13" t="s">
        <v>1506</v>
      </c>
    </row>
    <row r="14" spans="4:10">
      <c r="D14" s="310">
        <f t="shared" si="0"/>
        <v>10</v>
      </c>
      <c r="E14" s="310" t="s">
        <v>392</v>
      </c>
      <c r="F14" s="310" t="s">
        <v>242</v>
      </c>
      <c r="G14" s="310" t="s">
        <v>1599</v>
      </c>
      <c r="H14" s="657">
        <v>45909</v>
      </c>
      <c r="I14" s="657">
        <v>45914</v>
      </c>
      <c r="J14" t="s">
        <v>1506</v>
      </c>
    </row>
    <row r="15" spans="4:10">
      <c r="D15" s="310">
        <f t="shared" si="0"/>
        <v>11</v>
      </c>
      <c r="E15" s="310" t="s">
        <v>294</v>
      </c>
      <c r="F15" s="310" t="s">
        <v>182</v>
      </c>
      <c r="G15" s="310" t="s">
        <v>1709</v>
      </c>
      <c r="H15" s="657">
        <v>45901</v>
      </c>
      <c r="I15" s="657">
        <v>45915</v>
      </c>
      <c r="J15" t="s">
        <v>1506</v>
      </c>
    </row>
    <row r="16" spans="4:10">
      <c r="D16" s="310">
        <f t="shared" si="0"/>
        <v>12</v>
      </c>
      <c r="E16" s="310" t="s">
        <v>385</v>
      </c>
      <c r="F16" s="310" t="s">
        <v>182</v>
      </c>
      <c r="G16" s="310" t="s">
        <v>1671</v>
      </c>
      <c r="H16" s="657">
        <v>45911</v>
      </c>
      <c r="I16" s="657">
        <v>45915</v>
      </c>
      <c r="J16" t="s">
        <v>1506</v>
      </c>
    </row>
    <row r="17" spans="4:10">
      <c r="D17" s="310">
        <f t="shared" si="0"/>
        <v>13</v>
      </c>
      <c r="E17" s="310" t="s">
        <v>181</v>
      </c>
      <c r="F17" s="310" t="s">
        <v>182</v>
      </c>
      <c r="G17" s="310" t="s">
        <v>1702</v>
      </c>
      <c r="H17" s="657">
        <v>45897</v>
      </c>
      <c r="I17" s="657">
        <v>45916</v>
      </c>
      <c r="J17" t="s">
        <v>1506</v>
      </c>
    </row>
    <row r="18" spans="4:10">
      <c r="D18" s="310">
        <f t="shared" si="0"/>
        <v>14</v>
      </c>
      <c r="E18" s="310" t="s">
        <v>823</v>
      </c>
      <c r="F18" s="310" t="s">
        <v>182</v>
      </c>
      <c r="G18" s="310" t="s">
        <v>1700</v>
      </c>
      <c r="H18" s="657">
        <v>45914</v>
      </c>
      <c r="I18" s="657">
        <v>45919</v>
      </c>
      <c r="J18" t="s">
        <v>1506</v>
      </c>
    </row>
    <row r="19" spans="4:10">
      <c r="D19" s="310">
        <f t="shared" si="0"/>
        <v>15</v>
      </c>
      <c r="E19" s="310" t="s">
        <v>805</v>
      </c>
      <c r="F19" s="310" t="s">
        <v>182</v>
      </c>
      <c r="G19" s="310" t="s">
        <v>1701</v>
      </c>
      <c r="H19" s="657">
        <v>45914</v>
      </c>
      <c r="I19" s="657">
        <v>45919</v>
      </c>
      <c r="J19" t="s">
        <v>1506</v>
      </c>
    </row>
    <row r="20" spans="4:10">
      <c r="D20" s="310">
        <f t="shared" si="0"/>
        <v>16</v>
      </c>
      <c r="E20" s="310" t="s">
        <v>798</v>
      </c>
      <c r="F20" s="310" t="s">
        <v>185</v>
      </c>
      <c r="G20" s="310" t="s">
        <v>1723</v>
      </c>
      <c r="H20" s="657">
        <v>45911</v>
      </c>
      <c r="I20" s="657">
        <v>45917</v>
      </c>
      <c r="J20" t="s">
        <v>1506</v>
      </c>
    </row>
    <row r="21" spans="4:10">
      <c r="D21" s="310">
        <f t="shared" si="0"/>
        <v>17</v>
      </c>
      <c r="E21" s="310" t="s">
        <v>797</v>
      </c>
      <c r="F21" s="310" t="s">
        <v>185</v>
      </c>
      <c r="G21" s="310" t="s">
        <v>1724</v>
      </c>
      <c r="H21" s="657">
        <v>45911</v>
      </c>
      <c r="I21" s="657">
        <v>45917</v>
      </c>
      <c r="J21" t="s">
        <v>1506</v>
      </c>
    </row>
    <row r="22" spans="4:10">
      <c r="D22" s="310">
        <f t="shared" si="0"/>
        <v>18</v>
      </c>
      <c r="E22" s="310" t="s">
        <v>795</v>
      </c>
      <c r="F22" s="310" t="s">
        <v>182</v>
      </c>
      <c r="G22" s="310" t="s">
        <v>1723</v>
      </c>
      <c r="H22" s="657">
        <v>45918</v>
      </c>
      <c r="I22" s="657">
        <v>45920</v>
      </c>
      <c r="J22" t="s">
        <v>1506</v>
      </c>
    </row>
    <row r="23" spans="4:10">
      <c r="D23" s="310">
        <f t="shared" si="0"/>
        <v>19</v>
      </c>
      <c r="E23" s="310" t="s">
        <v>799</v>
      </c>
      <c r="F23" s="310" t="s">
        <v>182</v>
      </c>
      <c r="G23" s="310" t="s">
        <v>1724</v>
      </c>
      <c r="H23" s="657">
        <v>45918</v>
      </c>
      <c r="I23" s="657">
        <v>45920</v>
      </c>
      <c r="J23" t="s">
        <v>1506</v>
      </c>
    </row>
    <row r="24" spans="4:10">
      <c r="D24" s="310">
        <f t="shared" si="0"/>
        <v>20</v>
      </c>
      <c r="E24" s="310" t="s">
        <v>418</v>
      </c>
      <c r="F24" s="310" t="s">
        <v>185</v>
      </c>
      <c r="G24" s="310" t="s">
        <v>1710</v>
      </c>
      <c r="H24" s="657">
        <v>45911</v>
      </c>
      <c r="I24" s="657">
        <v>45921</v>
      </c>
      <c r="J24" t="s">
        <v>1506</v>
      </c>
    </row>
    <row r="25" spans="4:10">
      <c r="D25" s="310">
        <f t="shared" si="0"/>
        <v>21</v>
      </c>
      <c r="E25" s="310" t="s">
        <v>1321</v>
      </c>
      <c r="F25" s="310" t="s">
        <v>115</v>
      </c>
      <c r="G25" s="310" t="s">
        <v>1599</v>
      </c>
      <c r="H25" s="657">
        <v>45914</v>
      </c>
      <c r="I25" s="657">
        <v>45921</v>
      </c>
      <c r="J25" t="s">
        <v>1506</v>
      </c>
    </row>
    <row r="26" spans="4:10">
      <c r="D26" s="310">
        <f t="shared" si="0"/>
        <v>22</v>
      </c>
      <c r="E26" s="310" t="s">
        <v>183</v>
      </c>
      <c r="F26" s="310" t="s">
        <v>182</v>
      </c>
      <c r="G26" s="310" t="s">
        <v>1702</v>
      </c>
      <c r="H26" s="657">
        <v>45917</v>
      </c>
      <c r="I26" s="657">
        <v>45922</v>
      </c>
      <c r="J26" t="s">
        <v>1506</v>
      </c>
    </row>
    <row r="27" spans="4:10">
      <c r="D27" s="310">
        <f t="shared" si="0"/>
        <v>23</v>
      </c>
      <c r="E27" s="310" t="s">
        <v>796</v>
      </c>
      <c r="F27" s="310" t="s">
        <v>185</v>
      </c>
      <c r="G27" s="310" t="s">
        <v>1723</v>
      </c>
      <c r="H27" s="657">
        <v>45921</v>
      </c>
      <c r="I27" s="657">
        <v>45923</v>
      </c>
      <c r="J27" t="s">
        <v>1506</v>
      </c>
    </row>
    <row r="28" spans="4:10">
      <c r="D28" s="310">
        <f t="shared" si="0"/>
        <v>24</v>
      </c>
      <c r="E28" s="310" t="s">
        <v>800</v>
      </c>
      <c r="F28" s="310" t="s">
        <v>242</v>
      </c>
      <c r="G28" s="310" t="s">
        <v>1724</v>
      </c>
      <c r="H28" s="657">
        <v>45921</v>
      </c>
      <c r="I28" s="657">
        <v>45923</v>
      </c>
      <c r="J28" t="s">
        <v>1506</v>
      </c>
    </row>
    <row r="29" spans="4:10">
      <c r="D29" s="310">
        <f t="shared" si="0"/>
        <v>25</v>
      </c>
      <c r="E29" s="310" t="s">
        <v>824</v>
      </c>
      <c r="F29" s="310" t="s">
        <v>182</v>
      </c>
      <c r="G29" s="310" t="s">
        <v>1700</v>
      </c>
      <c r="H29" s="657">
        <v>45920</v>
      </c>
      <c r="I29" s="657">
        <v>45923</v>
      </c>
      <c r="J29" t="s">
        <v>1506</v>
      </c>
    </row>
    <row r="30" spans="4:10">
      <c r="D30" s="310">
        <f t="shared" si="0"/>
        <v>26</v>
      </c>
      <c r="E30" s="310" t="s">
        <v>169</v>
      </c>
      <c r="F30" s="310" t="s">
        <v>182</v>
      </c>
      <c r="G30" s="310" t="s">
        <v>1709</v>
      </c>
      <c r="H30" s="657">
        <v>45915</v>
      </c>
      <c r="I30" s="657">
        <v>45924</v>
      </c>
      <c r="J30" t="s">
        <v>1506</v>
      </c>
    </row>
    <row r="31" spans="4:10">
      <c r="D31" s="310">
        <f t="shared" si="0"/>
        <v>27</v>
      </c>
      <c r="E31" s="310" t="s">
        <v>463</v>
      </c>
      <c r="F31" s="310" t="s">
        <v>248</v>
      </c>
      <c r="G31" s="310" t="s">
        <v>1599</v>
      </c>
      <c r="H31" s="657">
        <v>45924</v>
      </c>
      <c r="I31" s="657">
        <v>45926</v>
      </c>
      <c r="J31" t="s">
        <v>1506</v>
      </c>
    </row>
    <row r="32" spans="4:10">
      <c r="D32" s="310">
        <f t="shared" si="0"/>
        <v>28</v>
      </c>
      <c r="E32" s="310" t="s">
        <v>794</v>
      </c>
      <c r="F32" s="310" t="s">
        <v>242</v>
      </c>
      <c r="G32" s="310" t="s">
        <v>1724</v>
      </c>
      <c r="H32" s="657">
        <v>45922</v>
      </c>
      <c r="I32" s="657">
        <v>45927</v>
      </c>
      <c r="J32" t="s">
        <v>1506</v>
      </c>
    </row>
    <row r="33" spans="4:10">
      <c r="D33" s="310">
        <f t="shared" si="0"/>
        <v>29</v>
      </c>
      <c r="E33" s="310" t="s">
        <v>791</v>
      </c>
      <c r="F33" s="310" t="s">
        <v>242</v>
      </c>
      <c r="G33" s="310" t="s">
        <v>1723</v>
      </c>
      <c r="H33" s="657">
        <v>45924</v>
      </c>
      <c r="I33" s="657">
        <v>45927</v>
      </c>
      <c r="J33" t="s">
        <v>1506</v>
      </c>
    </row>
    <row r="34" spans="4:10">
      <c r="D34" s="310">
        <f t="shared" si="0"/>
        <v>30</v>
      </c>
      <c r="E34" s="310" t="s">
        <v>1365</v>
      </c>
      <c r="F34" s="310" t="s">
        <v>185</v>
      </c>
      <c r="G34" s="310" t="s">
        <v>1700</v>
      </c>
      <c r="H34" s="657">
        <v>45924</v>
      </c>
      <c r="I34" s="657">
        <v>45927</v>
      </c>
      <c r="J34" t="s">
        <v>1506</v>
      </c>
    </row>
  </sheetData>
  <conditionalFormatting sqref="H5:I34">
    <cfRule type="duplicateValues" dxfId="4748" priority="1" stopIfTrue="1"/>
    <cfRule type="duplicateValues" dxfId="4747" priority="2"/>
    <cfRule type="duplicateValues" dxfId="4746" priority="3"/>
    <cfRule type="duplicateValues" dxfId="4745" priority="4"/>
    <cfRule type="duplicateValues" dxfId="4744" priority="5"/>
    <cfRule type="duplicateValues" dxfId="4743"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workbookViewId="0">
      <selection activeCell="B7" sqref="B7"/>
    </sheetView>
  </sheetViews>
  <sheetFormatPr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7265625" bestFit="1" customWidth="1"/>
    <col min="8" max="8" width="14.6328125" bestFit="1" customWidth="1"/>
    <col min="9" max="9" width="14.36328125" bestFit="1" customWidth="1"/>
    <col min="10" max="10" width="15.08984375" bestFit="1" customWidth="1"/>
    <col min="11" max="11" width="17.453125" bestFit="1" customWidth="1"/>
  </cols>
  <sheetData>
    <row r="1" spans="1:11">
      <c r="A1" s="1280" t="s">
        <v>1807</v>
      </c>
      <c r="B1" s="1280" t="s">
        <v>1808</v>
      </c>
      <c r="C1" s="1280" t="s">
        <v>1809</v>
      </c>
      <c r="D1" s="1280" t="s">
        <v>1810</v>
      </c>
      <c r="E1" s="1280" t="s">
        <v>1811</v>
      </c>
      <c r="F1" s="1280" t="s">
        <v>1812</v>
      </c>
      <c r="G1" s="1280" t="s">
        <v>1813</v>
      </c>
      <c r="H1" s="1280" t="s">
        <v>1814</v>
      </c>
      <c r="I1" s="1280" t="s">
        <v>1815</v>
      </c>
      <c r="J1" s="1280" t="s">
        <v>1816</v>
      </c>
      <c r="K1" s="1280" t="s">
        <v>1817</v>
      </c>
    </row>
    <row r="2" spans="1:11">
      <c r="A2" s="1281" t="s">
        <v>1818</v>
      </c>
      <c r="B2" s="1282" t="s">
        <v>1819</v>
      </c>
      <c r="C2" s="1282" t="s">
        <v>1820</v>
      </c>
      <c r="D2" s="1283">
        <v>45632</v>
      </c>
      <c r="E2" s="1283">
        <v>46178</v>
      </c>
      <c r="F2" s="1283"/>
      <c r="G2" s="1283"/>
      <c r="H2" s="1282"/>
      <c r="I2" s="1282"/>
      <c r="J2" s="1282"/>
      <c r="K2" s="1282"/>
    </row>
    <row r="3" spans="1:11">
      <c r="A3" s="1281"/>
      <c r="B3" s="1282"/>
      <c r="C3" s="1282"/>
      <c r="D3" s="1283"/>
      <c r="E3" s="1283"/>
      <c r="F3" s="1283"/>
      <c r="G3" s="1283"/>
      <c r="H3" s="1282"/>
      <c r="I3" s="1282"/>
      <c r="J3" s="1282"/>
      <c r="K3" s="1282"/>
    </row>
    <row r="4" spans="1:11">
      <c r="A4" s="1282"/>
      <c r="B4" s="1282"/>
      <c r="C4" s="1282"/>
      <c r="D4" s="1282"/>
      <c r="E4" s="1282"/>
      <c r="F4" s="1282"/>
      <c r="G4" s="1282"/>
      <c r="H4" s="1282"/>
      <c r="I4" s="1282"/>
      <c r="J4" s="1282"/>
      <c r="K4" s="1282"/>
    </row>
    <row r="5" spans="1:11">
      <c r="A5" s="1282"/>
      <c r="B5" s="1282"/>
      <c r="C5" s="1282"/>
      <c r="D5" s="1282"/>
      <c r="E5" s="1282"/>
      <c r="F5" s="1282"/>
      <c r="G5" s="1282"/>
      <c r="H5" s="1282"/>
      <c r="I5" s="1282"/>
      <c r="J5" s="1282"/>
      <c r="K5" s="1282"/>
    </row>
    <row r="6" spans="1:11">
      <c r="A6" s="1282"/>
      <c r="B6" s="1282"/>
      <c r="C6" s="1282"/>
      <c r="D6" s="1282"/>
      <c r="E6" s="1282"/>
      <c r="F6" s="1282"/>
      <c r="G6" s="1282"/>
      <c r="H6" s="1282"/>
      <c r="I6" s="1282"/>
      <c r="J6" s="1282"/>
      <c r="K6" s="1282"/>
    </row>
    <row r="7" spans="1:11">
      <c r="A7" s="1282"/>
      <c r="B7" s="1282"/>
      <c r="C7" s="1282"/>
      <c r="D7" s="1282"/>
      <c r="E7" s="1282"/>
      <c r="F7" s="1282"/>
      <c r="G7" s="1282"/>
      <c r="H7" s="1282"/>
      <c r="I7" s="1282"/>
      <c r="J7" s="1282"/>
      <c r="K7" s="1282"/>
    </row>
    <row r="8" spans="1:11">
      <c r="A8" s="1282"/>
      <c r="B8" s="1282"/>
      <c r="C8" s="1282"/>
      <c r="D8" s="1282"/>
      <c r="E8" s="1282"/>
      <c r="F8" s="1282"/>
      <c r="G8" s="1282"/>
      <c r="H8" s="1282"/>
      <c r="I8" s="1282"/>
      <c r="J8" s="1282"/>
      <c r="K8" s="1282"/>
    </row>
    <row r="9" spans="1:11">
      <c r="A9" s="1282"/>
      <c r="B9" s="1282"/>
      <c r="C9" s="1282"/>
      <c r="D9" s="1282"/>
      <c r="E9" s="1282"/>
      <c r="F9" s="1282"/>
      <c r="G9" s="1282"/>
      <c r="H9" s="1282"/>
      <c r="I9" s="1282"/>
      <c r="J9" s="1282"/>
      <c r="K9" s="1282"/>
    </row>
    <row r="10" spans="1:11">
      <c r="A10" s="1282"/>
      <c r="B10" s="1282"/>
      <c r="C10" s="1282"/>
      <c r="D10" s="1282"/>
      <c r="E10" s="1282"/>
      <c r="F10" s="1282"/>
      <c r="G10" s="1282"/>
      <c r="H10" s="1282"/>
      <c r="I10" s="1282"/>
      <c r="J10" s="1282"/>
      <c r="K10" s="1282"/>
    </row>
    <row r="11" spans="1:11">
      <c r="A11" s="1282"/>
      <c r="B11" s="1282"/>
      <c r="C11" s="1282"/>
      <c r="D11" s="1282"/>
      <c r="E11" s="1282"/>
      <c r="F11" s="1282"/>
      <c r="G11" s="1282"/>
      <c r="H11" s="1282"/>
      <c r="I11" s="1282"/>
      <c r="J11" s="1035"/>
      <c r="K11" s="1282"/>
    </row>
    <row r="12" spans="1:11">
      <c r="A12" s="1035"/>
      <c r="B12" s="1035"/>
      <c r="C12" s="1035"/>
      <c r="D12" s="1035"/>
      <c r="E12" s="1035"/>
      <c r="F12" s="1035"/>
      <c r="G12" s="1035"/>
      <c r="H12" s="1035"/>
      <c r="I12" s="1035"/>
      <c r="J12" s="1035"/>
      <c r="K12" s="1282"/>
    </row>
    <row r="13" spans="1:11">
      <c r="A13" s="1035"/>
      <c r="B13" s="1035"/>
      <c r="C13" s="1035"/>
      <c r="D13" s="1035"/>
      <c r="E13" s="1035"/>
      <c r="F13" s="1035"/>
      <c r="G13" s="1035"/>
      <c r="H13" s="1035"/>
      <c r="I13" s="1035"/>
      <c r="J13" s="1035"/>
      <c r="K13" s="128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10"/>
  <sheetViews>
    <sheetView tabSelected="1" zoomScale="85" zoomScaleNormal="85" workbookViewId="0">
      <selection activeCell="H6" sqref="H6"/>
    </sheetView>
  </sheetViews>
  <sheetFormatPr defaultColWidth="9" defaultRowHeight="14.5"/>
  <cols>
    <col min="1" max="1" width="10.08984375" customWidth="1"/>
    <col min="3" max="4" width="7.90625" customWidth="1"/>
    <col min="5" max="5" width="17.08984375" bestFit="1" customWidth="1"/>
    <col min="6" max="6" width="12.7265625" customWidth="1"/>
    <col min="7" max="7" width="10.54296875" bestFit="1" customWidth="1"/>
    <col min="8" max="8" width="23.08984375" bestFit="1" customWidth="1"/>
    <col min="9" max="9" width="0" hidden="1" customWidth="1"/>
    <col min="10" max="10" width="10.1796875" hidden="1" customWidth="1"/>
    <col min="11" max="12" width="0" hidden="1" customWidth="1"/>
    <col min="13" max="13" width="8.36328125" hidden="1" customWidth="1"/>
    <col min="14" max="14" width="10.81640625" bestFit="1" customWidth="1"/>
    <col min="19" max="23" width="0" hidden="1" customWidth="1"/>
    <col min="24" max="24" width="20.54296875" hidden="1" customWidth="1"/>
    <col min="25" max="25" width="13.1796875" hidden="1" customWidth="1"/>
  </cols>
  <sheetData>
    <row r="1" spans="1:22" ht="15.5">
      <c r="A1" s="1332" t="s">
        <v>78</v>
      </c>
      <c r="B1" s="1332"/>
      <c r="C1" s="1332"/>
      <c r="D1" s="1332"/>
      <c r="E1" s="1332"/>
      <c r="F1" s="1332"/>
      <c r="G1" s="1332"/>
      <c r="H1" s="1332"/>
      <c r="I1" s="891"/>
      <c r="J1" s="891"/>
      <c r="K1" s="891"/>
      <c r="L1" s="891"/>
      <c r="M1" s="891"/>
      <c r="N1" s="891"/>
      <c r="O1" s="891"/>
      <c r="P1" s="891"/>
      <c r="Q1" s="891"/>
      <c r="R1" s="891"/>
      <c r="S1" s="891"/>
      <c r="T1" s="891"/>
      <c r="U1" s="891"/>
      <c r="V1" s="891"/>
    </row>
    <row r="2" spans="1:22" ht="15.5" customHeight="1">
      <c r="A2" s="1333" t="s">
        <v>79</v>
      </c>
      <c r="B2" s="1333"/>
      <c r="C2" s="1333"/>
      <c r="D2" s="1333"/>
      <c r="E2" s="1333"/>
      <c r="F2" s="1333"/>
      <c r="G2" s="1333"/>
      <c r="H2" s="1333"/>
      <c r="I2" s="892"/>
      <c r="J2" s="892"/>
      <c r="K2" s="892"/>
      <c r="L2" s="892"/>
      <c r="M2" s="892"/>
      <c r="N2" s="892"/>
      <c r="O2" s="892"/>
      <c r="P2" s="892"/>
      <c r="Q2" s="892"/>
      <c r="R2" s="892"/>
      <c r="S2" s="892"/>
      <c r="T2" s="892"/>
      <c r="U2" s="892"/>
      <c r="V2" s="892"/>
    </row>
    <row r="3" spans="1:22" ht="15.5" customHeight="1">
      <c r="A3" s="1333" t="s">
        <v>80</v>
      </c>
      <c r="B3" s="1333"/>
      <c r="C3" s="1333"/>
      <c r="D3" s="1333"/>
      <c r="E3" s="1333"/>
      <c r="F3" s="1333"/>
      <c r="G3" s="1333"/>
      <c r="H3" s="1333"/>
      <c r="I3" s="892"/>
      <c r="J3" s="892"/>
      <c r="K3" s="892"/>
      <c r="L3" s="892"/>
      <c r="M3" s="892"/>
      <c r="N3" s="892"/>
      <c r="O3" s="892"/>
      <c r="P3" s="892"/>
      <c r="Q3" s="892"/>
      <c r="R3" s="892"/>
      <c r="S3" s="892"/>
      <c r="T3" s="892"/>
      <c r="U3" s="892"/>
      <c r="V3" s="892"/>
    </row>
    <row r="5" spans="1:22" ht="39">
      <c r="A5" s="637" t="s">
        <v>203</v>
      </c>
      <c r="B5" s="637" t="s">
        <v>1803</v>
      </c>
      <c r="C5" s="637" t="s">
        <v>205</v>
      </c>
      <c r="D5" s="637" t="s">
        <v>1804</v>
      </c>
      <c r="E5" s="637" t="s">
        <v>1805</v>
      </c>
      <c r="F5" s="637" t="s">
        <v>207</v>
      </c>
      <c r="G5" s="638" t="s">
        <v>1806</v>
      </c>
      <c r="H5" s="639" t="s">
        <v>1821</v>
      </c>
    </row>
    <row r="6" spans="1:22">
      <c r="A6" s="57">
        <v>1</v>
      </c>
      <c r="B6" s="845" t="s">
        <v>216</v>
      </c>
      <c r="C6" s="314" t="s">
        <v>185</v>
      </c>
      <c r="D6" s="1191">
        <v>11.145</v>
      </c>
      <c r="E6" s="1117" t="s">
        <v>1599</v>
      </c>
      <c r="F6" s="314">
        <v>45831</v>
      </c>
      <c r="G6" s="314">
        <v>45836</v>
      </c>
      <c r="H6" s="846" t="s">
        <v>1506</v>
      </c>
      <c r="M6" s="320"/>
      <c r="N6" s="320"/>
      <c r="O6" s="320"/>
    </row>
    <row r="7" spans="1:22">
      <c r="A7" s="57">
        <f t="shared" ref="A7:A79" si="0">A6+1</f>
        <v>2</v>
      </c>
      <c r="B7" s="844" t="s">
        <v>240</v>
      </c>
      <c r="C7" s="846" t="s">
        <v>185</v>
      </c>
      <c r="D7" s="309">
        <v>11.997</v>
      </c>
      <c r="E7" s="1117" t="s">
        <v>1599</v>
      </c>
      <c r="F7" s="314">
        <v>45836</v>
      </c>
      <c r="G7" s="314">
        <v>45840</v>
      </c>
      <c r="H7" s="846" t="s">
        <v>1506</v>
      </c>
      <c r="M7" s="320"/>
      <c r="N7" s="320"/>
      <c r="O7" s="320"/>
    </row>
    <row r="8" spans="1:22">
      <c r="A8" s="57">
        <f t="shared" si="0"/>
        <v>3</v>
      </c>
      <c r="B8" s="844" t="s">
        <v>231</v>
      </c>
      <c r="C8" s="846" t="s">
        <v>182</v>
      </c>
      <c r="D8" s="1191">
        <v>11.145</v>
      </c>
      <c r="E8" s="1117" t="s">
        <v>1600</v>
      </c>
      <c r="F8" s="314">
        <v>45837</v>
      </c>
      <c r="G8" s="314">
        <v>45843</v>
      </c>
      <c r="H8" s="846" t="s">
        <v>1506</v>
      </c>
      <c r="M8" s="319"/>
      <c r="N8" s="319"/>
      <c r="O8" s="319"/>
    </row>
    <row r="9" spans="1:22">
      <c r="A9" s="57">
        <f t="shared" si="0"/>
        <v>4</v>
      </c>
      <c r="B9" s="853" t="s">
        <v>241</v>
      </c>
      <c r="C9" s="854" t="s">
        <v>242</v>
      </c>
      <c r="D9" s="1191">
        <v>13.071999999999999</v>
      </c>
      <c r="E9" s="1117" t="s">
        <v>1599</v>
      </c>
      <c r="F9" s="314">
        <v>45841</v>
      </c>
      <c r="G9" s="314">
        <v>45843</v>
      </c>
      <c r="H9" s="846" t="s">
        <v>1506</v>
      </c>
      <c r="M9" s="320"/>
      <c r="N9" s="320"/>
      <c r="O9" s="320"/>
    </row>
    <row r="10" spans="1:22">
      <c r="A10" s="57">
        <f t="shared" si="0"/>
        <v>5</v>
      </c>
      <c r="B10" s="874" t="s">
        <v>239</v>
      </c>
      <c r="C10" s="875" t="s">
        <v>182</v>
      </c>
      <c r="D10" s="1191">
        <v>11.145</v>
      </c>
      <c r="E10" s="1117" t="s">
        <v>1599</v>
      </c>
      <c r="F10" s="314">
        <v>45845</v>
      </c>
      <c r="G10" s="314">
        <v>45848</v>
      </c>
      <c r="H10" s="846" t="s">
        <v>1506</v>
      </c>
      <c r="M10" s="320"/>
      <c r="N10" s="320"/>
      <c r="O10" s="320"/>
    </row>
    <row r="11" spans="1:22">
      <c r="A11" s="57">
        <f t="shared" si="0"/>
        <v>6</v>
      </c>
      <c r="B11" s="890" t="s">
        <v>215</v>
      </c>
      <c r="C11" s="875" t="s">
        <v>182</v>
      </c>
      <c r="D11" s="1191">
        <v>11.145</v>
      </c>
      <c r="E11" s="1117" t="s">
        <v>1599</v>
      </c>
      <c r="F11" s="314">
        <v>45849</v>
      </c>
      <c r="G11" s="314">
        <v>45852</v>
      </c>
      <c r="H11" s="846" t="s">
        <v>1506</v>
      </c>
      <c r="M11" s="320">
        <v>185</v>
      </c>
      <c r="N11" s="320"/>
      <c r="O11" s="320"/>
    </row>
    <row r="12" spans="1:22">
      <c r="A12" s="57">
        <f t="shared" si="0"/>
        <v>7</v>
      </c>
      <c r="B12" s="900" t="s">
        <v>209</v>
      </c>
      <c r="C12" s="901" t="s">
        <v>182</v>
      </c>
      <c r="D12" s="1191">
        <v>11.145</v>
      </c>
      <c r="E12" s="1118" t="s">
        <v>1599</v>
      </c>
      <c r="F12" s="314">
        <v>45853</v>
      </c>
      <c r="G12" s="314">
        <v>45856</v>
      </c>
      <c r="H12" s="846" t="s">
        <v>1506</v>
      </c>
      <c r="M12" s="320"/>
      <c r="N12" s="320"/>
      <c r="O12" s="320"/>
    </row>
    <row r="13" spans="1:22">
      <c r="A13" s="57">
        <f t="shared" si="0"/>
        <v>8</v>
      </c>
      <c r="B13" s="911" t="s">
        <v>212</v>
      </c>
      <c r="C13" s="912" t="s">
        <v>182</v>
      </c>
      <c r="D13" s="1191">
        <v>11.145</v>
      </c>
      <c r="E13" s="1119" t="s">
        <v>1599</v>
      </c>
      <c r="F13" s="314">
        <v>45857</v>
      </c>
      <c r="G13" s="314">
        <v>45860</v>
      </c>
      <c r="H13" s="846" t="s">
        <v>1506</v>
      </c>
      <c r="K13">
        <v>90</v>
      </c>
      <c r="M13">
        <v>24</v>
      </c>
    </row>
    <row r="14" spans="1:22">
      <c r="A14" s="57">
        <f t="shared" si="0"/>
        <v>9</v>
      </c>
      <c r="B14" s="931" t="s">
        <v>213</v>
      </c>
      <c r="C14" s="932" t="s">
        <v>182</v>
      </c>
      <c r="D14" s="1191">
        <v>11.145</v>
      </c>
      <c r="E14" s="1120" t="s">
        <v>1599</v>
      </c>
      <c r="F14" s="314">
        <v>45860</v>
      </c>
      <c r="G14" s="314">
        <v>45863</v>
      </c>
      <c r="H14" s="846" t="s">
        <v>1506</v>
      </c>
    </row>
    <row r="15" spans="1:22">
      <c r="A15" s="57">
        <f t="shared" si="0"/>
        <v>10</v>
      </c>
      <c r="B15" s="942" t="s">
        <v>214</v>
      </c>
      <c r="C15" s="943" t="s">
        <v>185</v>
      </c>
      <c r="D15" s="309">
        <v>11.997</v>
      </c>
      <c r="E15" s="1120" t="s">
        <v>1599</v>
      </c>
      <c r="F15" s="314">
        <v>45863</v>
      </c>
      <c r="G15" s="314">
        <v>45866</v>
      </c>
      <c r="H15" s="846" t="s">
        <v>1506</v>
      </c>
    </row>
    <row r="16" spans="1:22">
      <c r="A16" s="57">
        <f t="shared" si="0"/>
        <v>11</v>
      </c>
      <c r="B16" s="967" t="s">
        <v>237</v>
      </c>
      <c r="C16" s="968" t="s">
        <v>182</v>
      </c>
      <c r="D16" s="1191">
        <v>11.145</v>
      </c>
      <c r="E16" s="1121" t="s">
        <v>1599</v>
      </c>
      <c r="F16" s="314">
        <v>45867</v>
      </c>
      <c r="G16" s="314">
        <v>45869</v>
      </c>
      <c r="H16" s="846" t="s">
        <v>1506</v>
      </c>
    </row>
    <row r="17" spans="1:12">
      <c r="A17" s="57">
        <f t="shared" si="0"/>
        <v>12</v>
      </c>
      <c r="B17" s="931" t="s">
        <v>297</v>
      </c>
      <c r="C17" s="316" t="s">
        <v>182</v>
      </c>
      <c r="D17" s="1191">
        <v>11.145</v>
      </c>
      <c r="E17" s="1121" t="s">
        <v>1671</v>
      </c>
      <c r="F17" s="314">
        <v>45862</v>
      </c>
      <c r="G17" s="314">
        <v>45869</v>
      </c>
      <c r="H17" s="846" t="s">
        <v>1506</v>
      </c>
    </row>
    <row r="18" spans="1:12">
      <c r="A18" s="57">
        <f t="shared" si="0"/>
        <v>13</v>
      </c>
      <c r="B18" s="1078" t="s">
        <v>236</v>
      </c>
      <c r="C18" s="1078" t="s">
        <v>182</v>
      </c>
      <c r="D18" s="1191">
        <v>11.145</v>
      </c>
      <c r="E18" s="1121" t="s">
        <v>1599</v>
      </c>
      <c r="F18" s="314">
        <v>45870</v>
      </c>
      <c r="G18" s="430">
        <v>45873</v>
      </c>
      <c r="H18" s="846" t="s">
        <v>1506</v>
      </c>
      <c r="J18">
        <v>41</v>
      </c>
    </row>
    <row r="19" spans="1:12">
      <c r="A19" s="57">
        <f t="shared" si="0"/>
        <v>14</v>
      </c>
      <c r="B19" s="993" t="s">
        <v>251</v>
      </c>
      <c r="C19" s="993" t="s">
        <v>248</v>
      </c>
      <c r="D19" s="993">
        <v>13.958</v>
      </c>
      <c r="E19" s="1121" t="s">
        <v>1671</v>
      </c>
      <c r="F19" s="314">
        <v>45870</v>
      </c>
      <c r="G19" s="430">
        <v>45877</v>
      </c>
      <c r="H19" s="846" t="s">
        <v>1506</v>
      </c>
    </row>
    <row r="20" spans="1:12">
      <c r="A20" s="57">
        <f t="shared" si="0"/>
        <v>15</v>
      </c>
      <c r="B20" s="1078" t="s">
        <v>1368</v>
      </c>
      <c r="C20" s="1029" t="s">
        <v>115</v>
      </c>
      <c r="D20" s="1029">
        <v>18.727009000000002</v>
      </c>
      <c r="E20" s="1121" t="s">
        <v>1599</v>
      </c>
      <c r="F20" s="314">
        <v>45873</v>
      </c>
      <c r="G20" s="430">
        <v>45878</v>
      </c>
      <c r="H20" s="846" t="s">
        <v>1506</v>
      </c>
    </row>
    <row r="21" spans="1:12">
      <c r="A21" s="57">
        <f t="shared" si="0"/>
        <v>16</v>
      </c>
      <c r="B21" s="1033" t="s">
        <v>259</v>
      </c>
      <c r="C21" s="993" t="s">
        <v>248</v>
      </c>
      <c r="D21" s="993">
        <v>13.958</v>
      </c>
      <c r="E21" s="1121" t="s">
        <v>1671</v>
      </c>
      <c r="F21" s="314">
        <v>45877</v>
      </c>
      <c r="G21" s="439">
        <v>45885</v>
      </c>
      <c r="H21" s="1037" t="s">
        <v>1506</v>
      </c>
    </row>
    <row r="22" spans="1:12">
      <c r="A22" s="57">
        <f t="shared" si="0"/>
        <v>17</v>
      </c>
      <c r="B22" s="1078" t="s">
        <v>159</v>
      </c>
      <c r="C22" s="1036" t="s">
        <v>115</v>
      </c>
      <c r="D22" s="1029">
        <v>18.727009000000002</v>
      </c>
      <c r="E22" s="1121" t="s">
        <v>1599</v>
      </c>
      <c r="F22" s="430">
        <v>45879</v>
      </c>
      <c r="G22" s="439">
        <v>45885</v>
      </c>
      <c r="H22" s="1037" t="s">
        <v>1506</v>
      </c>
    </row>
    <row r="23" spans="1:12">
      <c r="A23" s="57">
        <f t="shared" si="0"/>
        <v>18</v>
      </c>
      <c r="B23" s="1037" t="s">
        <v>258</v>
      </c>
      <c r="C23" s="1037" t="s">
        <v>182</v>
      </c>
      <c r="D23" s="1191">
        <v>11.145</v>
      </c>
      <c r="E23" s="1121" t="s">
        <v>1671</v>
      </c>
      <c r="F23" s="1038">
        <v>45886</v>
      </c>
      <c r="G23" s="439">
        <v>45892</v>
      </c>
      <c r="H23" s="1037" t="s">
        <v>1506</v>
      </c>
    </row>
    <row r="24" spans="1:12">
      <c r="A24" s="57">
        <f t="shared" si="0"/>
        <v>19</v>
      </c>
      <c r="B24" s="1078" t="s">
        <v>1675</v>
      </c>
      <c r="C24" s="1037" t="s">
        <v>125</v>
      </c>
      <c r="D24" s="1037">
        <v>21.41</v>
      </c>
      <c r="E24" s="1121" t="s">
        <v>1599</v>
      </c>
      <c r="F24" s="430">
        <v>45886</v>
      </c>
      <c r="G24" s="439">
        <v>45892</v>
      </c>
      <c r="H24" s="1037" t="s">
        <v>1506</v>
      </c>
    </row>
    <row r="25" spans="1:12">
      <c r="A25" s="57">
        <f t="shared" si="0"/>
        <v>20</v>
      </c>
      <c r="B25" s="1044" t="s">
        <v>262</v>
      </c>
      <c r="C25" s="1044" t="s">
        <v>242</v>
      </c>
      <c r="D25" s="1191">
        <v>13.071999999999999</v>
      </c>
      <c r="E25" s="1116" t="s">
        <v>1671</v>
      </c>
      <c r="F25" s="314">
        <v>45892</v>
      </c>
      <c r="G25" s="439">
        <v>45897</v>
      </c>
      <c r="H25" s="1037" t="s">
        <v>1506</v>
      </c>
    </row>
    <row r="26" spans="1:12">
      <c r="A26" s="57">
        <f t="shared" si="0"/>
        <v>21</v>
      </c>
      <c r="B26" s="1077" t="s">
        <v>257</v>
      </c>
      <c r="C26" s="1044" t="s">
        <v>248</v>
      </c>
      <c r="D26" s="993">
        <v>13.958</v>
      </c>
      <c r="E26" s="1116" t="s">
        <v>1599</v>
      </c>
      <c r="F26" s="314">
        <v>45892</v>
      </c>
      <c r="G26" s="439">
        <v>45897</v>
      </c>
      <c r="H26" s="1037" t="s">
        <v>1506</v>
      </c>
    </row>
    <row r="27" spans="1:12">
      <c r="A27" s="57">
        <f t="shared" si="0"/>
        <v>22</v>
      </c>
      <c r="B27" s="1049" t="s">
        <v>821</v>
      </c>
      <c r="C27" s="1049" t="s">
        <v>182</v>
      </c>
      <c r="D27" s="1191">
        <v>11.145</v>
      </c>
      <c r="E27" s="1122" t="s">
        <v>1700</v>
      </c>
      <c r="F27" s="314">
        <v>45896</v>
      </c>
      <c r="G27" s="439">
        <v>45898</v>
      </c>
      <c r="H27" s="1037" t="s">
        <v>1506</v>
      </c>
    </row>
    <row r="28" spans="1:12">
      <c r="A28" s="57">
        <f t="shared" si="0"/>
        <v>23</v>
      </c>
      <c r="B28" s="1045" t="s">
        <v>217</v>
      </c>
      <c r="C28" s="1045" t="s">
        <v>182</v>
      </c>
      <c r="D28" s="1191">
        <v>11.145</v>
      </c>
      <c r="E28" s="1123" t="s">
        <v>1684</v>
      </c>
      <c r="F28" s="324">
        <v>45892</v>
      </c>
      <c r="G28" s="439">
        <v>45900</v>
      </c>
      <c r="H28" s="1037" t="s">
        <v>1506</v>
      </c>
      <c r="I28" s="1053"/>
      <c r="K28" s="1053"/>
      <c r="L28" s="1053"/>
    </row>
    <row r="29" spans="1:12">
      <c r="A29" s="57">
        <f t="shared" si="0"/>
        <v>24</v>
      </c>
      <c r="B29" s="1078" t="s">
        <v>269</v>
      </c>
      <c r="C29" s="1051" t="s">
        <v>182</v>
      </c>
      <c r="D29" s="1191">
        <v>11.145</v>
      </c>
      <c r="E29" s="1116" t="s">
        <v>1599</v>
      </c>
      <c r="F29" s="314">
        <v>45898</v>
      </c>
      <c r="G29" s="439">
        <v>45900</v>
      </c>
      <c r="H29" s="1037" t="s">
        <v>1506</v>
      </c>
      <c r="I29" s="1053"/>
    </row>
    <row r="30" spans="1:12">
      <c r="A30" s="57">
        <f t="shared" si="0"/>
        <v>25</v>
      </c>
      <c r="B30" s="1051" t="s">
        <v>820</v>
      </c>
      <c r="C30" s="532" t="s">
        <v>182</v>
      </c>
      <c r="D30" s="1191">
        <v>11.145</v>
      </c>
      <c r="E30" s="532" t="s">
        <v>1700</v>
      </c>
      <c r="F30" s="314">
        <v>45898</v>
      </c>
      <c r="G30" s="439">
        <v>45904</v>
      </c>
      <c r="H30" s="1037" t="s">
        <v>1506</v>
      </c>
      <c r="I30" s="1053"/>
    </row>
    <row r="31" spans="1:12">
      <c r="A31" s="57">
        <f t="shared" si="0"/>
        <v>26</v>
      </c>
      <c r="B31" s="1062" t="s">
        <v>268</v>
      </c>
      <c r="C31" s="1105" t="s">
        <v>185</v>
      </c>
      <c r="D31" s="309">
        <v>11.997</v>
      </c>
      <c r="E31" s="1116" t="s">
        <v>1599</v>
      </c>
      <c r="F31" s="430">
        <v>45901</v>
      </c>
      <c r="G31" s="439">
        <v>45905</v>
      </c>
      <c r="H31" s="1037" t="s">
        <v>1506</v>
      </c>
      <c r="I31" s="1053"/>
    </row>
    <row r="32" spans="1:12">
      <c r="A32" s="57">
        <f t="shared" si="0"/>
        <v>27</v>
      </c>
      <c r="B32" s="1049" t="s">
        <v>803</v>
      </c>
      <c r="C32" s="1106" t="s">
        <v>185</v>
      </c>
      <c r="D32" s="309">
        <v>11.997</v>
      </c>
      <c r="E32" s="1122" t="s">
        <v>1701</v>
      </c>
      <c r="F32" s="314">
        <v>45896</v>
      </c>
      <c r="G32" s="439">
        <v>45909</v>
      </c>
      <c r="H32" s="1037" t="s">
        <v>1506</v>
      </c>
      <c r="I32" s="1053"/>
    </row>
    <row r="33" spans="1:10">
      <c r="A33" s="57">
        <f t="shared" si="0"/>
        <v>28</v>
      </c>
      <c r="B33" s="1081" t="s">
        <v>227</v>
      </c>
      <c r="C33" s="1107" t="s">
        <v>182</v>
      </c>
      <c r="D33" s="1191">
        <v>11.145</v>
      </c>
      <c r="E33" s="1116" t="s">
        <v>1599</v>
      </c>
      <c r="F33" s="430">
        <v>45905</v>
      </c>
      <c r="G33" s="439">
        <v>45909</v>
      </c>
      <c r="H33" s="1037" t="s">
        <v>1506</v>
      </c>
      <c r="I33" s="1086" t="s">
        <v>1719</v>
      </c>
      <c r="J33" s="1086" t="s">
        <v>1720</v>
      </c>
    </row>
    <row r="34" spans="1:10">
      <c r="A34" s="57">
        <f t="shared" si="0"/>
        <v>29</v>
      </c>
      <c r="B34" s="1087" t="s">
        <v>819</v>
      </c>
      <c r="C34" s="1107" t="s">
        <v>182</v>
      </c>
      <c r="D34" s="1191">
        <v>11.145</v>
      </c>
      <c r="E34" s="532" t="s">
        <v>1700</v>
      </c>
      <c r="F34" s="430">
        <v>45905</v>
      </c>
      <c r="G34" s="439">
        <v>45910</v>
      </c>
      <c r="H34" s="1037" t="s">
        <v>1506</v>
      </c>
    </row>
    <row r="35" spans="1:10">
      <c r="A35" s="57">
        <f t="shared" si="0"/>
        <v>30</v>
      </c>
      <c r="B35" s="1050" t="s">
        <v>225</v>
      </c>
      <c r="C35" s="1108" t="s">
        <v>185</v>
      </c>
      <c r="D35" s="309">
        <v>11.997</v>
      </c>
      <c r="E35" s="1116" t="s">
        <v>1671</v>
      </c>
      <c r="F35" s="314">
        <v>45898</v>
      </c>
      <c r="G35" s="439">
        <v>45911</v>
      </c>
      <c r="H35" s="1037" t="s">
        <v>1506</v>
      </c>
    </row>
    <row r="36" spans="1:10">
      <c r="A36" s="57">
        <f t="shared" si="0"/>
        <v>31</v>
      </c>
      <c r="B36" s="1062" t="s">
        <v>1311</v>
      </c>
      <c r="C36" s="1105" t="s">
        <v>115</v>
      </c>
      <c r="D36" s="1029">
        <v>18.727009000000002</v>
      </c>
      <c r="E36" s="1105" t="s">
        <v>1709</v>
      </c>
      <c r="F36" s="430">
        <v>45901</v>
      </c>
      <c r="G36" s="439">
        <v>45911</v>
      </c>
      <c r="H36" s="1037" t="s">
        <v>1506</v>
      </c>
    </row>
    <row r="37" spans="1:10">
      <c r="A37" s="57">
        <f t="shared" si="0"/>
        <v>32</v>
      </c>
      <c r="B37" s="1090" t="s">
        <v>822</v>
      </c>
      <c r="C37" s="1109" t="s">
        <v>182</v>
      </c>
      <c r="D37" s="1191">
        <v>11.145</v>
      </c>
      <c r="E37" s="532" t="s">
        <v>1700</v>
      </c>
      <c r="F37" s="430">
        <v>45911</v>
      </c>
      <c r="G37" s="439">
        <v>45914</v>
      </c>
      <c r="H37" s="1037" t="s">
        <v>1506</v>
      </c>
      <c r="I37" s="1093"/>
    </row>
    <row r="38" spans="1:10">
      <c r="A38" s="57">
        <f t="shared" si="0"/>
        <v>33</v>
      </c>
      <c r="B38" s="1085" t="s">
        <v>804</v>
      </c>
      <c r="C38" s="1110" t="s">
        <v>182</v>
      </c>
      <c r="D38" s="1191">
        <v>11.145</v>
      </c>
      <c r="E38" s="1122" t="s">
        <v>1701</v>
      </c>
      <c r="F38" s="314">
        <v>45909</v>
      </c>
      <c r="G38" s="439">
        <v>45914</v>
      </c>
      <c r="H38" s="1037" t="s">
        <v>1506</v>
      </c>
      <c r="I38" s="1093"/>
    </row>
    <row r="39" spans="1:10">
      <c r="A39" s="57">
        <f t="shared" si="0"/>
        <v>34</v>
      </c>
      <c r="B39" s="1085" t="s">
        <v>392</v>
      </c>
      <c r="C39" s="1110" t="s">
        <v>242</v>
      </c>
      <c r="D39" s="1191">
        <v>13.071999999999999</v>
      </c>
      <c r="E39" s="1116" t="s">
        <v>1599</v>
      </c>
      <c r="F39" s="430">
        <v>45909</v>
      </c>
      <c r="G39" s="439">
        <v>45914</v>
      </c>
      <c r="H39" s="1037" t="s">
        <v>1506</v>
      </c>
      <c r="J39" s="1097" t="s">
        <v>1722</v>
      </c>
    </row>
    <row r="40" spans="1:10">
      <c r="A40" s="57">
        <f t="shared" si="0"/>
        <v>35</v>
      </c>
      <c r="B40" s="1082" t="s">
        <v>294</v>
      </c>
      <c r="C40" s="1111" t="s">
        <v>182</v>
      </c>
      <c r="D40" s="1191">
        <v>11.145</v>
      </c>
      <c r="E40" s="1112" t="s">
        <v>1709</v>
      </c>
      <c r="F40" s="430">
        <v>45901</v>
      </c>
      <c r="G40" s="439">
        <v>45915</v>
      </c>
      <c r="H40" s="315" t="s">
        <v>1506</v>
      </c>
      <c r="I40" s="1093"/>
    </row>
    <row r="41" spans="1:10">
      <c r="A41" s="57">
        <f t="shared" si="0"/>
        <v>36</v>
      </c>
      <c r="B41" s="1091" t="s">
        <v>385</v>
      </c>
      <c r="C41" s="1112" t="s">
        <v>182</v>
      </c>
      <c r="D41" s="1191">
        <v>11.145</v>
      </c>
      <c r="E41" s="1116" t="s">
        <v>1671</v>
      </c>
      <c r="F41" s="430">
        <v>45911</v>
      </c>
      <c r="G41" s="439">
        <v>45915</v>
      </c>
      <c r="H41" s="1100" t="s">
        <v>1506</v>
      </c>
      <c r="I41" s="1095" t="s">
        <v>183</v>
      </c>
    </row>
    <row r="42" spans="1:10">
      <c r="A42" s="57">
        <f t="shared" si="0"/>
        <v>37</v>
      </c>
      <c r="B42" s="1052" t="s">
        <v>181</v>
      </c>
      <c r="C42" s="1106" t="s">
        <v>182</v>
      </c>
      <c r="D42" s="1191">
        <v>11.145</v>
      </c>
      <c r="E42" s="1079" t="s">
        <v>1702</v>
      </c>
      <c r="F42" s="314">
        <v>45897</v>
      </c>
      <c r="G42" s="439">
        <v>45916</v>
      </c>
      <c r="H42" s="1100" t="s">
        <v>1506</v>
      </c>
    </row>
    <row r="43" spans="1:10">
      <c r="A43" s="57">
        <f t="shared" si="0"/>
        <v>38</v>
      </c>
      <c r="B43" s="1094" t="s">
        <v>823</v>
      </c>
      <c r="C43" s="1088" t="s">
        <v>182</v>
      </c>
      <c r="D43" s="1191">
        <v>11.145</v>
      </c>
      <c r="E43" s="310" t="s">
        <v>1700</v>
      </c>
      <c r="F43" s="430">
        <v>45914</v>
      </c>
      <c r="G43" s="439">
        <v>45919</v>
      </c>
      <c r="H43" s="1100" t="s">
        <v>1506</v>
      </c>
      <c r="I43" s="1103" t="s">
        <v>824</v>
      </c>
    </row>
    <row r="44" spans="1:10">
      <c r="A44" s="57">
        <f t="shared" si="0"/>
        <v>39</v>
      </c>
      <c r="B44" s="1094" t="s">
        <v>805</v>
      </c>
      <c r="C44" s="1110" t="s">
        <v>182</v>
      </c>
      <c r="D44" s="1191">
        <v>11.145</v>
      </c>
      <c r="E44" s="1122" t="s">
        <v>1701</v>
      </c>
      <c r="F44" s="1143">
        <v>45914</v>
      </c>
      <c r="G44" s="1143">
        <v>45919</v>
      </c>
      <c r="H44" s="1100" t="s">
        <v>1506</v>
      </c>
      <c r="I44" s="1103" t="s">
        <v>806</v>
      </c>
    </row>
    <row r="45" spans="1:10">
      <c r="A45" s="57">
        <f t="shared" si="0"/>
        <v>40</v>
      </c>
      <c r="B45" s="1094" t="s">
        <v>798</v>
      </c>
      <c r="C45" s="1115" t="s">
        <v>185</v>
      </c>
      <c r="D45" s="309">
        <v>11.997</v>
      </c>
      <c r="E45" s="1115" t="s">
        <v>1723</v>
      </c>
      <c r="F45" s="1145">
        <v>45911</v>
      </c>
      <c r="G45" s="1145">
        <v>45917</v>
      </c>
      <c r="H45" s="1100" t="s">
        <v>1506</v>
      </c>
    </row>
    <row r="46" spans="1:10">
      <c r="A46" s="57">
        <f t="shared" si="0"/>
        <v>41</v>
      </c>
      <c r="B46" s="1094" t="s">
        <v>797</v>
      </c>
      <c r="C46" s="1115" t="s">
        <v>185</v>
      </c>
      <c r="D46" s="309">
        <v>11.997</v>
      </c>
      <c r="E46" s="1115" t="s">
        <v>1724</v>
      </c>
      <c r="F46" s="1145">
        <v>45911</v>
      </c>
      <c r="G46" s="1145">
        <v>45917</v>
      </c>
      <c r="H46" s="1100" t="s">
        <v>1506</v>
      </c>
      <c r="I46" s="1103" t="s">
        <v>795</v>
      </c>
    </row>
    <row r="47" spans="1:10">
      <c r="A47" s="57">
        <f t="shared" si="0"/>
        <v>42</v>
      </c>
      <c r="B47" s="1104" t="s">
        <v>795</v>
      </c>
      <c r="C47" s="1146" t="s">
        <v>182</v>
      </c>
      <c r="D47" s="1191">
        <v>11.145</v>
      </c>
      <c r="E47" s="1115" t="s">
        <v>1723</v>
      </c>
      <c r="F47" s="1143">
        <v>45918</v>
      </c>
      <c r="G47" s="1147">
        <v>45920</v>
      </c>
      <c r="H47" s="1100" t="s">
        <v>1506</v>
      </c>
      <c r="I47" s="1140" t="s">
        <v>796</v>
      </c>
      <c r="J47" s="1113" t="s">
        <v>794</v>
      </c>
    </row>
    <row r="48" spans="1:10">
      <c r="A48" s="57">
        <f t="shared" si="0"/>
        <v>43</v>
      </c>
      <c r="B48" s="1104" t="s">
        <v>799</v>
      </c>
      <c r="C48" s="1146" t="s">
        <v>182</v>
      </c>
      <c r="D48" s="1191">
        <v>11.145</v>
      </c>
      <c r="E48" s="1115" t="s">
        <v>1724</v>
      </c>
      <c r="F48" s="1143">
        <v>45918</v>
      </c>
      <c r="G48" s="1147">
        <v>45920</v>
      </c>
      <c r="H48" s="1100" t="s">
        <v>1506</v>
      </c>
      <c r="I48" s="1114" t="s">
        <v>800</v>
      </c>
      <c r="J48" s="1113"/>
    </row>
    <row r="49" spans="1:18">
      <c r="A49" s="57">
        <f t="shared" si="0"/>
        <v>44</v>
      </c>
      <c r="B49" s="1090" t="s">
        <v>418</v>
      </c>
      <c r="C49" s="1148" t="s">
        <v>185</v>
      </c>
      <c r="D49" s="309">
        <v>11.997</v>
      </c>
      <c r="E49" s="1112" t="s">
        <v>1710</v>
      </c>
      <c r="F49" s="1143">
        <v>45911</v>
      </c>
      <c r="G49" s="1143">
        <v>45921</v>
      </c>
      <c r="H49" s="1100" t="s">
        <v>1506</v>
      </c>
      <c r="I49" s="1113" t="s">
        <v>289</v>
      </c>
      <c r="J49" s="1096"/>
    </row>
    <row r="50" spans="1:18">
      <c r="A50" s="57">
        <f t="shared" si="0"/>
        <v>45</v>
      </c>
      <c r="B50" s="1094" t="s">
        <v>1321</v>
      </c>
      <c r="C50" s="1115" t="s">
        <v>115</v>
      </c>
      <c r="D50" s="1029">
        <v>18.727009000000002</v>
      </c>
      <c r="E50" s="1116" t="s">
        <v>1599</v>
      </c>
      <c r="F50" s="1143">
        <v>45914</v>
      </c>
      <c r="G50" s="1143">
        <v>45921</v>
      </c>
      <c r="H50" s="1100" t="s">
        <v>1506</v>
      </c>
      <c r="I50" s="1113"/>
      <c r="J50" s="1096"/>
    </row>
    <row r="51" spans="1:18">
      <c r="A51" s="57">
        <f t="shared" si="0"/>
        <v>46</v>
      </c>
      <c r="B51" s="1104" t="s">
        <v>183</v>
      </c>
      <c r="C51" s="1146" t="s">
        <v>182</v>
      </c>
      <c r="D51" s="1191">
        <v>11.145</v>
      </c>
      <c r="E51" s="1122" t="s">
        <v>1702</v>
      </c>
      <c r="F51" s="1143">
        <v>45917</v>
      </c>
      <c r="G51" s="1143">
        <v>45922</v>
      </c>
      <c r="H51" s="1100" t="s">
        <v>1506</v>
      </c>
      <c r="I51" s="1113"/>
      <c r="J51" s="1113"/>
      <c r="L51" s="1102" t="s">
        <v>253</v>
      </c>
      <c r="M51" s="1103" t="s">
        <v>274</v>
      </c>
    </row>
    <row r="52" spans="1:18">
      <c r="A52" s="57">
        <f t="shared" si="0"/>
        <v>47</v>
      </c>
      <c r="B52" s="1134" t="s">
        <v>796</v>
      </c>
      <c r="C52" s="1149" t="s">
        <v>185</v>
      </c>
      <c r="D52" s="309">
        <v>11.997</v>
      </c>
      <c r="E52" s="1115" t="s">
        <v>1723</v>
      </c>
      <c r="F52" s="1143">
        <v>45921</v>
      </c>
      <c r="G52" s="1147">
        <v>45923</v>
      </c>
      <c r="H52" s="1100" t="s">
        <v>1506</v>
      </c>
      <c r="I52" s="1102" t="s">
        <v>1336</v>
      </c>
      <c r="J52" s="1101" t="s">
        <v>228</v>
      </c>
      <c r="K52" s="1103" t="s">
        <v>289</v>
      </c>
    </row>
    <row r="53" spans="1:18">
      <c r="A53" s="57">
        <f t="shared" si="0"/>
        <v>48</v>
      </c>
      <c r="B53" s="1134" t="s">
        <v>800</v>
      </c>
      <c r="C53" s="1149" t="s">
        <v>242</v>
      </c>
      <c r="D53" s="1191">
        <v>13.071999999999999</v>
      </c>
      <c r="E53" s="1115" t="s">
        <v>1724</v>
      </c>
      <c r="F53" s="1143">
        <v>45921</v>
      </c>
      <c r="G53" s="1143">
        <v>45923</v>
      </c>
      <c r="H53" s="1100" t="s">
        <v>1506</v>
      </c>
      <c r="I53" s="1113"/>
    </row>
    <row r="54" spans="1:18">
      <c r="A54" s="57">
        <f t="shared" si="0"/>
        <v>49</v>
      </c>
      <c r="B54" s="1137" t="s">
        <v>824</v>
      </c>
      <c r="C54" s="1109" t="s">
        <v>182</v>
      </c>
      <c r="D54" s="1191">
        <v>11.145</v>
      </c>
      <c r="E54" s="532" t="s">
        <v>1700</v>
      </c>
      <c r="F54" s="1143">
        <v>45920</v>
      </c>
      <c r="G54" s="1143">
        <v>45923</v>
      </c>
      <c r="H54" s="1100" t="s">
        <v>1506</v>
      </c>
    </row>
    <row r="55" spans="1:18">
      <c r="A55" s="57">
        <f t="shared" si="0"/>
        <v>50</v>
      </c>
      <c r="B55" s="1100" t="s">
        <v>169</v>
      </c>
      <c r="C55" s="1144" t="s">
        <v>182</v>
      </c>
      <c r="D55" s="1191">
        <v>11.145</v>
      </c>
      <c r="E55" s="1112" t="s">
        <v>1709</v>
      </c>
      <c r="F55" s="1143">
        <v>45915</v>
      </c>
      <c r="G55" s="1143">
        <v>45924</v>
      </c>
      <c r="H55" s="1100" t="s">
        <v>1506</v>
      </c>
      <c r="I55" s="1138" t="s">
        <v>1730</v>
      </c>
      <c r="J55" s="1124"/>
      <c r="K55" s="350"/>
    </row>
    <row r="56" spans="1:18">
      <c r="A56" s="57">
        <f t="shared" si="0"/>
        <v>51</v>
      </c>
      <c r="B56" s="1137" t="s">
        <v>463</v>
      </c>
      <c r="C56" s="1150" t="s">
        <v>248</v>
      </c>
      <c r="D56" s="993">
        <v>13.958</v>
      </c>
      <c r="E56" s="1116" t="s">
        <v>1599</v>
      </c>
      <c r="F56" s="1143">
        <v>45924</v>
      </c>
      <c r="G56" s="1143">
        <v>45926</v>
      </c>
      <c r="H56" s="1162" t="s">
        <v>1506</v>
      </c>
      <c r="I56" s="1093" t="s">
        <v>276</v>
      </c>
      <c r="J56" s="1096">
        <v>45915</v>
      </c>
      <c r="K56" s="1103" t="s">
        <v>158</v>
      </c>
      <c r="L56" s="1114" t="s">
        <v>421</v>
      </c>
    </row>
    <row r="57" spans="1:18">
      <c r="A57" s="57">
        <f t="shared" si="0"/>
        <v>52</v>
      </c>
      <c r="B57" s="1134" t="s">
        <v>794</v>
      </c>
      <c r="C57" s="1149" t="s">
        <v>242</v>
      </c>
      <c r="D57" s="1191">
        <v>13.071999999999999</v>
      </c>
      <c r="E57" s="1115" t="s">
        <v>1724</v>
      </c>
      <c r="F57" s="1143">
        <v>45922</v>
      </c>
      <c r="G57" s="1143">
        <v>45927</v>
      </c>
      <c r="H57" s="1164" t="s">
        <v>1506</v>
      </c>
    </row>
    <row r="58" spans="1:18">
      <c r="A58" s="57">
        <f t="shared" si="0"/>
        <v>53</v>
      </c>
      <c r="B58" s="1151" t="s">
        <v>791</v>
      </c>
      <c r="C58" s="1139" t="s">
        <v>242</v>
      </c>
      <c r="D58" s="1191">
        <v>13.071999999999999</v>
      </c>
      <c r="E58" s="1139" t="s">
        <v>1723</v>
      </c>
      <c r="F58" s="1143">
        <v>45924</v>
      </c>
      <c r="G58" s="1143">
        <v>45927</v>
      </c>
      <c r="H58" s="1164" t="s">
        <v>1506</v>
      </c>
    </row>
    <row r="59" spans="1:18">
      <c r="A59" s="57">
        <f t="shared" si="0"/>
        <v>54</v>
      </c>
      <c r="B59" s="1151" t="s">
        <v>1365</v>
      </c>
      <c r="C59" s="1139" t="s">
        <v>185</v>
      </c>
      <c r="D59" s="309">
        <v>11.997</v>
      </c>
      <c r="E59" s="532" t="s">
        <v>1700</v>
      </c>
      <c r="F59" s="1143">
        <v>45924</v>
      </c>
      <c r="G59" s="1143">
        <v>45927</v>
      </c>
      <c r="H59" s="1164" t="s">
        <v>1506</v>
      </c>
      <c r="I59" s="1093"/>
      <c r="J59" s="1096"/>
      <c r="K59" s="1103"/>
      <c r="L59" s="1114"/>
    </row>
    <row r="60" spans="1:18">
      <c r="A60" s="57">
        <f t="shared" si="0"/>
        <v>55</v>
      </c>
      <c r="B60" s="1104" t="s">
        <v>263</v>
      </c>
      <c r="C60" s="1166" t="s">
        <v>242</v>
      </c>
      <c r="D60" s="1191">
        <v>13.071999999999999</v>
      </c>
      <c r="E60" s="1116" t="s">
        <v>1671</v>
      </c>
      <c r="F60" s="1143">
        <v>45919</v>
      </c>
      <c r="G60" s="1167">
        <v>45927</v>
      </c>
      <c r="H60" s="1164" t="s">
        <v>1506</v>
      </c>
      <c r="I60" s="1103"/>
      <c r="J60" s="1124"/>
      <c r="K60" s="350"/>
    </row>
    <row r="61" spans="1:18">
      <c r="A61" s="57">
        <f t="shared" si="0"/>
        <v>56</v>
      </c>
      <c r="B61" s="1168" t="s">
        <v>468</v>
      </c>
      <c r="C61" s="1163" t="s">
        <v>182</v>
      </c>
      <c r="D61" s="1191">
        <v>11.145</v>
      </c>
      <c r="E61" s="1116" t="s">
        <v>1599</v>
      </c>
      <c r="F61" s="1143">
        <v>45927</v>
      </c>
      <c r="G61" s="1143">
        <v>45929</v>
      </c>
      <c r="H61" s="1179" t="s">
        <v>1506</v>
      </c>
      <c r="N61" s="1096">
        <v>45929</v>
      </c>
    </row>
    <row r="62" spans="1:18">
      <c r="A62" s="57">
        <f t="shared" si="0"/>
        <v>57</v>
      </c>
      <c r="B62" s="1185" t="s">
        <v>765</v>
      </c>
      <c r="C62" s="1154" t="s">
        <v>185</v>
      </c>
      <c r="D62" s="309">
        <v>11.997</v>
      </c>
      <c r="E62" s="1122" t="s">
        <v>1702</v>
      </c>
      <c r="F62" s="1143">
        <v>45923</v>
      </c>
      <c r="G62" s="1143">
        <v>45929</v>
      </c>
      <c r="H62" s="1179" t="s">
        <v>1506</v>
      </c>
      <c r="N62" s="1096">
        <v>45930</v>
      </c>
      <c r="O62" s="1169" t="s">
        <v>766</v>
      </c>
    </row>
    <row r="63" spans="1:18">
      <c r="A63" s="57">
        <f t="shared" si="0"/>
        <v>58</v>
      </c>
      <c r="B63" s="1186" t="s">
        <v>1366</v>
      </c>
      <c r="C63" s="1165" t="s">
        <v>182</v>
      </c>
      <c r="D63" s="1191">
        <v>11.145</v>
      </c>
      <c r="E63" s="532" t="s">
        <v>1700</v>
      </c>
      <c r="F63" s="1143">
        <v>45927</v>
      </c>
      <c r="G63" s="1180">
        <v>45930</v>
      </c>
      <c r="H63" s="1179" t="s">
        <v>1506</v>
      </c>
      <c r="I63" s="1103"/>
      <c r="J63" s="1124"/>
      <c r="K63" s="350"/>
      <c r="N63" s="1096">
        <v>45929</v>
      </c>
      <c r="O63" s="1169" t="s">
        <v>816</v>
      </c>
      <c r="P63" s="1243" t="s">
        <v>817</v>
      </c>
      <c r="Q63" s="1169" t="s">
        <v>1679</v>
      </c>
      <c r="R63" s="1169" t="s">
        <v>1363</v>
      </c>
    </row>
    <row r="64" spans="1:18">
      <c r="A64" s="57">
        <f t="shared" si="0"/>
        <v>59</v>
      </c>
      <c r="B64" s="1185" t="s">
        <v>806</v>
      </c>
      <c r="C64" s="1154" t="s">
        <v>185</v>
      </c>
      <c r="D64" s="309">
        <v>11.997</v>
      </c>
      <c r="E64" s="1165" t="s">
        <v>1742</v>
      </c>
      <c r="F64" s="1143">
        <v>45920</v>
      </c>
      <c r="G64" s="1180">
        <v>45930</v>
      </c>
      <c r="H64" s="1179" t="s">
        <v>1506</v>
      </c>
      <c r="N64" s="1170">
        <v>45929</v>
      </c>
      <c r="O64" s="1169" t="s">
        <v>808</v>
      </c>
    </row>
    <row r="65" spans="1:26">
      <c r="A65" s="57">
        <f t="shared" si="0"/>
        <v>60</v>
      </c>
      <c r="B65" s="1134" t="s">
        <v>289</v>
      </c>
      <c r="C65" s="1149" t="s">
        <v>182</v>
      </c>
      <c r="D65" s="1191">
        <v>11.145</v>
      </c>
      <c r="E65" s="1112" t="s">
        <v>1710</v>
      </c>
      <c r="F65" s="1143">
        <v>45923</v>
      </c>
      <c r="G65" s="1180">
        <v>45930</v>
      </c>
      <c r="H65" s="1179" t="s">
        <v>1506</v>
      </c>
    </row>
    <row r="66" spans="1:26">
      <c r="A66" s="57">
        <f t="shared" si="0"/>
        <v>61</v>
      </c>
      <c r="B66" s="1164" t="s">
        <v>790</v>
      </c>
      <c r="C66" s="1184" t="s">
        <v>182</v>
      </c>
      <c r="D66" s="1191">
        <v>11.145</v>
      </c>
      <c r="E66" s="1139" t="s">
        <v>1723</v>
      </c>
      <c r="F66" s="1143">
        <v>45927</v>
      </c>
      <c r="G66" s="1180">
        <v>45930</v>
      </c>
      <c r="H66" s="1179" t="s">
        <v>1506</v>
      </c>
    </row>
    <row r="67" spans="1:26">
      <c r="A67" s="57">
        <f t="shared" si="0"/>
        <v>62</v>
      </c>
      <c r="B67" s="1187" t="s">
        <v>1634</v>
      </c>
      <c r="C67" s="1188" t="s">
        <v>137</v>
      </c>
      <c r="D67" s="309">
        <f>(14703.841+4275.97)/1000</f>
        <v>18.979811000000002</v>
      </c>
      <c r="E67" s="1189" t="s">
        <v>1724</v>
      </c>
      <c r="F67" s="1190">
        <v>45927</v>
      </c>
      <c r="G67" s="1180">
        <v>45930</v>
      </c>
      <c r="H67" s="1179" t="s">
        <v>1506</v>
      </c>
      <c r="N67" s="1096">
        <v>45929</v>
      </c>
      <c r="O67" s="1169" t="s">
        <v>1617</v>
      </c>
    </row>
    <row r="68" spans="1:26">
      <c r="A68" s="57">
        <f t="shared" si="0"/>
        <v>63</v>
      </c>
      <c r="B68" s="1164" t="s">
        <v>808</v>
      </c>
      <c r="C68" s="532" t="s">
        <v>185</v>
      </c>
      <c r="D68" s="309">
        <v>11.997</v>
      </c>
      <c r="E68" s="1165" t="s">
        <v>1742</v>
      </c>
      <c r="F68" s="1143">
        <v>45930</v>
      </c>
      <c r="G68" s="1180">
        <v>45933</v>
      </c>
      <c r="H68" s="1179" t="s">
        <v>1506</v>
      </c>
      <c r="N68" s="1096"/>
      <c r="O68" s="1169"/>
    </row>
    <row r="69" spans="1:26">
      <c r="A69" s="57">
        <f t="shared" si="0"/>
        <v>64</v>
      </c>
      <c r="B69" s="1181" t="s">
        <v>816</v>
      </c>
      <c r="C69" s="1165" t="s">
        <v>182</v>
      </c>
      <c r="D69" s="1191">
        <v>11.145</v>
      </c>
      <c r="E69" s="532" t="s">
        <v>1700</v>
      </c>
      <c r="F69" s="1143">
        <v>45930</v>
      </c>
      <c r="G69" s="1180">
        <v>45933</v>
      </c>
      <c r="H69" s="1179" t="s">
        <v>1506</v>
      </c>
      <c r="N69" s="1096"/>
      <c r="O69" s="1169"/>
    </row>
    <row r="70" spans="1:26">
      <c r="A70" s="57">
        <f t="shared" si="0"/>
        <v>65</v>
      </c>
      <c r="B70" s="1179" t="s">
        <v>766</v>
      </c>
      <c r="C70" s="1183" t="s">
        <v>182</v>
      </c>
      <c r="D70" s="1191">
        <v>11.145</v>
      </c>
      <c r="E70" s="1122" t="s">
        <v>1702</v>
      </c>
      <c r="F70" s="1143">
        <v>45929</v>
      </c>
      <c r="G70" s="1180">
        <v>45935</v>
      </c>
      <c r="H70" s="1179" t="s">
        <v>1506</v>
      </c>
      <c r="N70" s="1096"/>
    </row>
    <row r="71" spans="1:26">
      <c r="A71" s="57">
        <f t="shared" si="0"/>
        <v>66</v>
      </c>
      <c r="B71" s="1200" t="s">
        <v>809</v>
      </c>
      <c r="C71" s="1194" t="s">
        <v>182</v>
      </c>
      <c r="D71" s="1191">
        <v>11.145</v>
      </c>
      <c r="E71" s="1165" t="s">
        <v>1742</v>
      </c>
      <c r="F71" s="1180">
        <v>45933</v>
      </c>
      <c r="G71" s="1180">
        <v>45935</v>
      </c>
      <c r="H71" s="1179" t="s">
        <v>1506</v>
      </c>
      <c r="N71" s="1096"/>
      <c r="O71" s="1169"/>
    </row>
    <row r="72" spans="1:26">
      <c r="A72" s="57">
        <f t="shared" si="0"/>
        <v>67</v>
      </c>
      <c r="B72" s="1181" t="s">
        <v>1658</v>
      </c>
      <c r="C72" s="1183" t="s">
        <v>125</v>
      </c>
      <c r="D72" s="1037">
        <v>21.41</v>
      </c>
      <c r="E72" s="1116" t="s">
        <v>1599</v>
      </c>
      <c r="F72" s="1143">
        <v>45930</v>
      </c>
      <c r="G72" s="1143">
        <v>45937</v>
      </c>
      <c r="H72" s="1202" t="s">
        <v>1506</v>
      </c>
      <c r="X72" s="1172" t="s">
        <v>1746</v>
      </c>
      <c r="Y72" s="1171" t="e">
        <f>#REF!*0.18</f>
        <v>#REF!</v>
      </c>
    </row>
    <row r="73" spans="1:26" ht="43.5">
      <c r="A73" s="57">
        <f t="shared" si="0"/>
        <v>68</v>
      </c>
      <c r="B73" s="1181" t="s">
        <v>1617</v>
      </c>
      <c r="C73" s="1182" t="s">
        <v>137</v>
      </c>
      <c r="D73" s="309">
        <f>(14703.841+4275.97)/1000</f>
        <v>18.979811000000002</v>
      </c>
      <c r="E73" s="1183" t="s">
        <v>1723</v>
      </c>
      <c r="F73" s="1143">
        <v>45931</v>
      </c>
      <c r="G73" s="1143">
        <v>45937</v>
      </c>
      <c r="H73" s="1202" t="s">
        <v>1506</v>
      </c>
      <c r="N73" s="1198" t="s">
        <v>1755</v>
      </c>
      <c r="S73" s="1037" t="s">
        <v>258</v>
      </c>
      <c r="T73" s="1037" t="s">
        <v>182</v>
      </c>
      <c r="V73" s="1169" t="s">
        <v>182</v>
      </c>
      <c r="W73">
        <v>3</v>
      </c>
      <c r="X73">
        <v>11.15</v>
      </c>
      <c r="Y73">
        <f>X73*W73</f>
        <v>33.450000000000003</v>
      </c>
      <c r="Z73">
        <f>511-72</f>
        <v>439</v>
      </c>
    </row>
    <row r="74" spans="1:26">
      <c r="A74" s="57">
        <f t="shared" si="0"/>
        <v>69</v>
      </c>
      <c r="B74" s="1181" t="s">
        <v>190</v>
      </c>
      <c r="C74" s="1182" t="s">
        <v>192</v>
      </c>
      <c r="D74">
        <f>(16972.938+2884.468+1298.28+5135.312)/1000</f>
        <v>26.290997999999998</v>
      </c>
      <c r="E74" s="1115" t="s">
        <v>1724</v>
      </c>
      <c r="F74" s="1143">
        <v>45931</v>
      </c>
      <c r="G74" s="1143">
        <v>45938</v>
      </c>
      <c r="H74" s="1202" t="s">
        <v>1506</v>
      </c>
      <c r="Y74">
        <v>9000</v>
      </c>
    </row>
    <row r="75" spans="1:26">
      <c r="A75" s="57">
        <f t="shared" si="0"/>
        <v>70</v>
      </c>
      <c r="B75" s="1201" t="s">
        <v>1571</v>
      </c>
      <c r="C75" s="1199" t="s">
        <v>115</v>
      </c>
      <c r="D75" s="1029">
        <v>18.727009000000002</v>
      </c>
      <c r="E75" s="1217" t="s">
        <v>1742</v>
      </c>
      <c r="F75" s="1143">
        <v>45935</v>
      </c>
      <c r="G75" s="1180">
        <v>45940</v>
      </c>
      <c r="H75" s="1202" t="s">
        <v>1506</v>
      </c>
      <c r="S75" s="1033" t="s">
        <v>259</v>
      </c>
      <c r="T75" s="993" t="s">
        <v>248</v>
      </c>
    </row>
    <row r="76" spans="1:26">
      <c r="A76" s="57">
        <f t="shared" si="0"/>
        <v>71</v>
      </c>
      <c r="B76" s="1211" t="s">
        <v>787</v>
      </c>
      <c r="C76" s="1214" t="s">
        <v>185</v>
      </c>
      <c r="D76" s="309">
        <v>11.997</v>
      </c>
      <c r="E76" s="1183" t="s">
        <v>1723</v>
      </c>
      <c r="F76" s="1143">
        <v>45938</v>
      </c>
      <c r="G76" s="1180">
        <v>45940</v>
      </c>
      <c r="H76" s="1202" t="s">
        <v>1506</v>
      </c>
      <c r="S76" s="1212"/>
      <c r="T76" s="1213"/>
    </row>
    <row r="77" spans="1:26">
      <c r="A77" s="57">
        <f t="shared" si="0"/>
        <v>72</v>
      </c>
      <c r="B77" s="1192" t="s">
        <v>1679</v>
      </c>
      <c r="C77" s="1193" t="s">
        <v>125</v>
      </c>
      <c r="D77" s="1037">
        <v>21.41</v>
      </c>
      <c r="E77" s="532" t="s">
        <v>1700</v>
      </c>
      <c r="F77" s="1180">
        <v>45933</v>
      </c>
      <c r="G77" s="1180">
        <v>45940</v>
      </c>
      <c r="H77" s="1202" t="s">
        <v>1506</v>
      </c>
      <c r="X77" s="1173" t="s">
        <v>1416</v>
      </c>
      <c r="Y77" s="1174" t="e">
        <f>SUM(Y72:Y72)</f>
        <v>#REF!</v>
      </c>
    </row>
    <row r="78" spans="1:26">
      <c r="A78" s="57">
        <f t="shared" si="0"/>
        <v>73</v>
      </c>
      <c r="B78" s="1201" t="s">
        <v>767</v>
      </c>
      <c r="C78" s="1216" t="s">
        <v>242</v>
      </c>
      <c r="D78" s="1191">
        <v>13.071999999999999</v>
      </c>
      <c r="E78" s="1122" t="s">
        <v>1702</v>
      </c>
      <c r="F78" s="1180">
        <v>45935</v>
      </c>
      <c r="G78" s="439">
        <v>45941</v>
      </c>
      <c r="H78" s="1202" t="s">
        <v>1506</v>
      </c>
      <c r="X78" s="1169" t="s">
        <v>1745</v>
      </c>
      <c r="Y78" s="1176" t="e">
        <f>Y77*0.05</f>
        <v>#REF!</v>
      </c>
    </row>
    <row r="79" spans="1:26">
      <c r="A79" s="57">
        <f t="shared" si="0"/>
        <v>74</v>
      </c>
      <c r="B79" s="1215" t="s">
        <v>788</v>
      </c>
      <c r="C79" s="1217" t="s">
        <v>185</v>
      </c>
      <c r="D79" s="309">
        <v>11.997</v>
      </c>
      <c r="E79" s="1183" t="s">
        <v>1723</v>
      </c>
      <c r="F79" s="1143">
        <v>45940</v>
      </c>
      <c r="G79" s="439">
        <v>45941</v>
      </c>
      <c r="H79" s="1202" t="s">
        <v>1506</v>
      </c>
      <c r="X79" s="1169" t="s">
        <v>1747</v>
      </c>
      <c r="Y79" s="1176" t="e">
        <f>Y77*0.01</f>
        <v>#REF!</v>
      </c>
    </row>
    <row r="80" spans="1:26">
      <c r="A80" s="57">
        <f t="shared" ref="A80:A114" si="1">A79+1</f>
        <v>75</v>
      </c>
      <c r="B80" s="1215" t="s">
        <v>193</v>
      </c>
      <c r="C80" s="1217" t="s">
        <v>115</v>
      </c>
      <c r="D80" s="1029">
        <v>18.727009000000002</v>
      </c>
      <c r="E80" s="1217" t="s">
        <v>1742</v>
      </c>
      <c r="F80" s="1143">
        <v>45940</v>
      </c>
      <c r="G80" s="439">
        <v>45942</v>
      </c>
      <c r="H80" s="1202" t="s">
        <v>1506</v>
      </c>
      <c r="X80" s="1169" t="s">
        <v>1748</v>
      </c>
      <c r="Y80" s="1176" t="e">
        <f>Y77*0.1</f>
        <v>#REF!</v>
      </c>
    </row>
    <row r="81" spans="1:25">
      <c r="A81" s="57">
        <f t="shared" si="1"/>
        <v>76</v>
      </c>
      <c r="B81" s="1211" t="s">
        <v>1610</v>
      </c>
      <c r="C81" s="1214" t="s">
        <v>115</v>
      </c>
      <c r="D81" s="1029">
        <v>18.727009000000002</v>
      </c>
      <c r="E81" s="1214" t="s">
        <v>1599</v>
      </c>
      <c r="F81" s="1143">
        <v>45938</v>
      </c>
      <c r="G81" s="430">
        <v>45943</v>
      </c>
      <c r="H81" s="1202" t="s">
        <v>1506</v>
      </c>
      <c r="N81" s="1219"/>
      <c r="X81" s="1169" t="s">
        <v>1749</v>
      </c>
      <c r="Y81" s="1176" t="e">
        <f>Y77*0.2</f>
        <v>#REF!</v>
      </c>
    </row>
    <row r="82" spans="1:25">
      <c r="A82" s="57">
        <f t="shared" si="1"/>
        <v>77</v>
      </c>
      <c r="B82" s="1211" t="s">
        <v>780</v>
      </c>
      <c r="C82" s="1214" t="s">
        <v>182</v>
      </c>
      <c r="D82" s="1191">
        <v>11.145</v>
      </c>
      <c r="E82" s="1115" t="s">
        <v>1724</v>
      </c>
      <c r="F82" s="1143">
        <v>45938</v>
      </c>
      <c r="G82" s="430">
        <v>45943</v>
      </c>
      <c r="H82" s="1202" t="s">
        <v>1506</v>
      </c>
      <c r="X82" s="1169" t="s">
        <v>1750</v>
      </c>
      <c r="Y82">
        <v>600000</v>
      </c>
    </row>
    <row r="83" spans="1:25" ht="20.5" customHeight="1">
      <c r="A83" s="57">
        <f t="shared" si="1"/>
        <v>78</v>
      </c>
      <c r="B83" s="1185" t="s">
        <v>421</v>
      </c>
      <c r="C83" s="1154" t="s">
        <v>115</v>
      </c>
      <c r="D83" s="1029">
        <v>18.727009000000002</v>
      </c>
      <c r="E83" s="1239" t="s">
        <v>1684</v>
      </c>
      <c r="F83" s="1143">
        <v>45926</v>
      </c>
      <c r="G83" s="430">
        <v>45945</v>
      </c>
      <c r="H83" s="1202" t="s">
        <v>1506</v>
      </c>
      <c r="X83" s="1175" t="s">
        <v>1752</v>
      </c>
      <c r="Y83" s="1176" t="e">
        <f>Y77*0.1</f>
        <v>#REF!</v>
      </c>
    </row>
    <row r="84" spans="1:25" ht="18.5">
      <c r="A84" s="57">
        <f t="shared" si="1"/>
        <v>79</v>
      </c>
      <c r="B84" s="1215" t="s">
        <v>1363</v>
      </c>
      <c r="C84" s="1217" t="s">
        <v>125</v>
      </c>
      <c r="D84" s="1037">
        <v>21.41</v>
      </c>
      <c r="E84" s="532" t="s">
        <v>1700</v>
      </c>
      <c r="F84" s="1143">
        <v>45940</v>
      </c>
      <c r="G84" s="430">
        <v>45945</v>
      </c>
      <c r="H84" s="1202" t="s">
        <v>1506</v>
      </c>
      <c r="X84" s="1177" t="s">
        <v>1751</v>
      </c>
      <c r="Y84" s="1178" t="e">
        <f>Y77-#REF!-Y82</f>
        <v>#REF!</v>
      </c>
    </row>
    <row r="85" spans="1:25">
      <c r="A85" s="57">
        <f t="shared" si="1"/>
        <v>80</v>
      </c>
      <c r="B85" s="1220" t="s">
        <v>763</v>
      </c>
      <c r="C85" s="1221" t="s">
        <v>182</v>
      </c>
      <c r="D85" s="1191">
        <v>11.145</v>
      </c>
      <c r="E85" s="1122" t="s">
        <v>1702</v>
      </c>
      <c r="F85" s="1180">
        <v>45941</v>
      </c>
      <c r="G85" s="430">
        <v>45945</v>
      </c>
      <c r="H85" s="1202" t="s">
        <v>1506</v>
      </c>
    </row>
    <row r="86" spans="1:25">
      <c r="A86" s="57">
        <f t="shared" si="1"/>
        <v>81</v>
      </c>
      <c r="B86" s="1220" t="s">
        <v>189</v>
      </c>
      <c r="C86" s="1221" t="s">
        <v>115</v>
      </c>
      <c r="D86" s="1029">
        <v>18.727009000000002</v>
      </c>
      <c r="E86" s="1183" t="s">
        <v>1723</v>
      </c>
      <c r="F86" s="1143">
        <v>45941</v>
      </c>
      <c r="G86" s="439">
        <v>45946</v>
      </c>
      <c r="H86" s="1202" t="s">
        <v>1506</v>
      </c>
    </row>
    <row r="87" spans="1:25">
      <c r="A87" s="57">
        <f t="shared" si="1"/>
        <v>82</v>
      </c>
      <c r="B87" s="1222" t="s">
        <v>812</v>
      </c>
      <c r="C87" s="1224" t="s">
        <v>182</v>
      </c>
      <c r="D87" s="1191">
        <v>11.145</v>
      </c>
      <c r="E87" s="1217" t="s">
        <v>1742</v>
      </c>
      <c r="F87" s="1223">
        <v>45942</v>
      </c>
      <c r="G87" s="430">
        <v>45945</v>
      </c>
      <c r="H87" s="1202" t="s">
        <v>1506</v>
      </c>
    </row>
    <row r="88" spans="1:25">
      <c r="A88" s="57">
        <f t="shared" si="1"/>
        <v>83</v>
      </c>
      <c r="B88" s="1236" t="s">
        <v>781</v>
      </c>
      <c r="C88" s="310" t="s">
        <v>182</v>
      </c>
      <c r="D88" s="1191">
        <v>11.145</v>
      </c>
      <c r="E88" s="1115" t="s">
        <v>1724</v>
      </c>
      <c r="F88" s="1143">
        <v>45943</v>
      </c>
      <c r="G88" s="439">
        <v>45946</v>
      </c>
      <c r="H88" s="1202" t="s">
        <v>1506</v>
      </c>
    </row>
    <row r="89" spans="1:25">
      <c r="A89" s="57">
        <f t="shared" si="1"/>
        <v>84</v>
      </c>
      <c r="B89" s="1236" t="s">
        <v>731</v>
      </c>
      <c r="C89" s="310" t="s">
        <v>115</v>
      </c>
      <c r="D89" s="1029">
        <v>18.727009000000002</v>
      </c>
      <c r="E89" s="1214" t="s">
        <v>1599</v>
      </c>
      <c r="F89" s="1143">
        <v>45943</v>
      </c>
      <c r="G89" s="439">
        <v>41200</v>
      </c>
      <c r="H89" s="1242" t="s">
        <v>1506</v>
      </c>
    </row>
    <row r="90" spans="1:25">
      <c r="A90" s="57">
        <f t="shared" si="1"/>
        <v>85</v>
      </c>
      <c r="B90" s="1238" t="s">
        <v>180</v>
      </c>
      <c r="C90" s="1237" t="s">
        <v>182</v>
      </c>
      <c r="D90" s="1191">
        <v>11.145</v>
      </c>
      <c r="E90" s="1122" t="s">
        <v>1702</v>
      </c>
      <c r="F90" s="430">
        <v>45945</v>
      </c>
      <c r="G90" s="439">
        <v>45949</v>
      </c>
      <c r="H90" s="1202" t="s">
        <v>1506</v>
      </c>
    </row>
    <row r="91" spans="1:25">
      <c r="A91" s="57">
        <f t="shared" si="1"/>
        <v>86</v>
      </c>
      <c r="B91" s="1238" t="s">
        <v>782</v>
      </c>
      <c r="C91" s="1237" t="s">
        <v>182</v>
      </c>
      <c r="D91" s="1191">
        <v>11.145</v>
      </c>
      <c r="E91" s="1237" t="s">
        <v>1724</v>
      </c>
      <c r="F91" s="430">
        <v>45946</v>
      </c>
      <c r="G91" s="439">
        <v>45949</v>
      </c>
      <c r="H91" s="1202" t="s">
        <v>1506</v>
      </c>
    </row>
    <row r="92" spans="1:25">
      <c r="A92" s="57">
        <f t="shared" si="1"/>
        <v>87</v>
      </c>
      <c r="B92" s="1238" t="s">
        <v>1286</v>
      </c>
      <c r="C92" s="1237" t="s">
        <v>182</v>
      </c>
      <c r="D92" s="1191">
        <v>11.145</v>
      </c>
      <c r="E92" s="1247" t="s">
        <v>1700</v>
      </c>
      <c r="F92" s="430">
        <v>45946</v>
      </c>
      <c r="G92" s="439">
        <v>45949</v>
      </c>
      <c r="H92" s="1244" t="s">
        <v>1506</v>
      </c>
    </row>
    <row r="93" spans="1:25">
      <c r="A93" s="57">
        <f t="shared" si="1"/>
        <v>88</v>
      </c>
      <c r="B93" s="1238" t="s">
        <v>811</v>
      </c>
      <c r="C93" s="1237" t="s">
        <v>182</v>
      </c>
      <c r="D93" s="1191">
        <v>11.145</v>
      </c>
      <c r="E93" s="1237" t="s">
        <v>1742</v>
      </c>
      <c r="F93" s="430">
        <v>45945</v>
      </c>
      <c r="G93" s="439">
        <v>45949</v>
      </c>
      <c r="H93" s="1244" t="s">
        <v>1506</v>
      </c>
    </row>
    <row r="94" spans="1:25">
      <c r="A94" s="57">
        <f t="shared" si="1"/>
        <v>89</v>
      </c>
      <c r="B94" s="1245" t="s">
        <v>810</v>
      </c>
      <c r="C94" s="310" t="s">
        <v>182</v>
      </c>
      <c r="D94" s="1191">
        <v>11.145</v>
      </c>
      <c r="E94" s="1246" t="s">
        <v>1742</v>
      </c>
      <c r="F94" s="430">
        <v>45949</v>
      </c>
      <c r="G94" s="439">
        <v>45952</v>
      </c>
      <c r="H94" s="1202" t="s">
        <v>1506</v>
      </c>
    </row>
    <row r="95" spans="1:25">
      <c r="A95" s="57">
        <f t="shared" si="1"/>
        <v>90</v>
      </c>
      <c r="B95" s="1245" t="s">
        <v>817</v>
      </c>
      <c r="C95" s="310" t="s">
        <v>182</v>
      </c>
      <c r="D95" s="1191">
        <v>11.145</v>
      </c>
      <c r="E95" s="1247" t="s">
        <v>1700</v>
      </c>
      <c r="F95" s="430">
        <v>45949</v>
      </c>
      <c r="G95" s="439">
        <v>45952</v>
      </c>
      <c r="H95" s="1202" t="s">
        <v>1506</v>
      </c>
    </row>
    <row r="96" spans="1:25">
      <c r="A96" s="57">
        <f t="shared" si="1"/>
        <v>91</v>
      </c>
      <c r="B96" s="1238" t="s">
        <v>1361</v>
      </c>
      <c r="C96" s="1237" t="s">
        <v>125</v>
      </c>
      <c r="D96" s="1037">
        <v>21.41</v>
      </c>
      <c r="E96" s="1237" t="s">
        <v>1723</v>
      </c>
      <c r="F96" s="430">
        <v>45946</v>
      </c>
      <c r="G96" s="439">
        <v>45953</v>
      </c>
      <c r="H96" s="1202" t="s">
        <v>1506</v>
      </c>
      <c r="N96" s="1250"/>
    </row>
    <row r="97" spans="1:14">
      <c r="A97" s="57">
        <f t="shared" si="1"/>
        <v>92</v>
      </c>
      <c r="B97" s="315" t="s">
        <v>774</v>
      </c>
      <c r="C97" s="1237" t="s">
        <v>182</v>
      </c>
      <c r="D97" s="1191">
        <v>11.145</v>
      </c>
      <c r="E97" s="1122" t="s">
        <v>1702</v>
      </c>
      <c r="F97" s="1249">
        <v>45949</v>
      </c>
      <c r="G97" s="439">
        <v>45954</v>
      </c>
      <c r="H97" s="1202" t="s">
        <v>1506</v>
      </c>
    </row>
    <row r="98" spans="1:14">
      <c r="A98" s="57">
        <f t="shared" si="1"/>
        <v>93</v>
      </c>
      <c r="B98" s="1240" t="s">
        <v>393</v>
      </c>
      <c r="C98" s="1241" t="s">
        <v>182</v>
      </c>
      <c r="D98" s="1191">
        <v>11.145</v>
      </c>
      <c r="E98" s="1241" t="s">
        <v>1765</v>
      </c>
      <c r="F98" s="430">
        <v>45949</v>
      </c>
      <c r="G98" s="439">
        <v>45954</v>
      </c>
      <c r="H98" s="1264" t="s">
        <v>1506</v>
      </c>
      <c r="N98" s="1248"/>
    </row>
    <row r="99" spans="1:14">
      <c r="A99" s="57">
        <f t="shared" si="1"/>
        <v>94</v>
      </c>
      <c r="B99" s="1240" t="s">
        <v>187</v>
      </c>
      <c r="C99" s="1241" t="s">
        <v>188</v>
      </c>
      <c r="D99" s="310">
        <f>(13334+4777.506)/1000</f>
        <v>18.111506000000002</v>
      </c>
      <c r="E99" s="1237" t="s">
        <v>1724</v>
      </c>
      <c r="F99" s="1249">
        <v>45949</v>
      </c>
      <c r="G99" s="439">
        <v>45954</v>
      </c>
      <c r="H99" s="1264" t="s">
        <v>1506</v>
      </c>
      <c r="N99" s="1263"/>
    </row>
    <row r="100" spans="1:14">
      <c r="A100" s="57">
        <f t="shared" si="1"/>
        <v>95</v>
      </c>
      <c r="B100" s="1251" t="s">
        <v>1358</v>
      </c>
      <c r="C100" s="1252" t="s">
        <v>185</v>
      </c>
      <c r="D100" s="309">
        <v>11.997</v>
      </c>
      <c r="E100" s="1237" t="s">
        <v>1723</v>
      </c>
      <c r="F100" s="439">
        <v>45954</v>
      </c>
      <c r="G100" s="439">
        <v>45956</v>
      </c>
      <c r="H100" s="1265" t="s">
        <v>1506</v>
      </c>
      <c r="N100" s="1250"/>
    </row>
    <row r="101" spans="1:14">
      <c r="A101" s="57">
        <f t="shared" si="1"/>
        <v>96</v>
      </c>
      <c r="B101" s="1240" t="s">
        <v>1667</v>
      </c>
      <c r="C101" s="310" t="s">
        <v>123</v>
      </c>
      <c r="D101" s="310">
        <f>(14703.841+2903.104+1061.94+ 5513.756)/1000</f>
        <v>24.182641</v>
      </c>
      <c r="E101" s="1214" t="s">
        <v>1599</v>
      </c>
      <c r="F101" s="430">
        <v>45949</v>
      </c>
      <c r="G101" s="439">
        <v>45957</v>
      </c>
      <c r="H101" s="1265" t="s">
        <v>1506</v>
      </c>
      <c r="N101" s="1266"/>
    </row>
    <row r="102" spans="1:14">
      <c r="A102" s="57">
        <f t="shared" si="1"/>
        <v>97</v>
      </c>
      <c r="B102" s="1251" t="s">
        <v>815</v>
      </c>
      <c r="C102" s="1252" t="s">
        <v>182</v>
      </c>
      <c r="D102" s="310"/>
      <c r="E102" s="1217" t="s">
        <v>1742</v>
      </c>
      <c r="F102" s="439">
        <v>45953</v>
      </c>
      <c r="G102" s="439">
        <v>45956</v>
      </c>
      <c r="H102" s="1269" t="s">
        <v>1506</v>
      </c>
    </row>
    <row r="103" spans="1:14">
      <c r="A103" s="57">
        <f t="shared" si="1"/>
        <v>98</v>
      </c>
      <c r="B103" s="1251" t="s">
        <v>818</v>
      </c>
      <c r="C103" s="1252" t="s">
        <v>182</v>
      </c>
      <c r="D103" s="310"/>
      <c r="E103" s="1237" t="s">
        <v>1700</v>
      </c>
      <c r="F103" s="439">
        <v>45953</v>
      </c>
      <c r="G103" s="439">
        <v>45957</v>
      </c>
      <c r="H103" s="1269" t="s">
        <v>1506</v>
      </c>
    </row>
    <row r="104" spans="1:14">
      <c r="A104" s="57">
        <f t="shared" si="1"/>
        <v>99</v>
      </c>
      <c r="B104" s="1270" t="s">
        <v>814</v>
      </c>
      <c r="C104" s="1270" t="s">
        <v>182</v>
      </c>
      <c r="D104" s="310"/>
      <c r="E104" s="1217" t="s">
        <v>1742</v>
      </c>
      <c r="F104" s="439">
        <v>45957</v>
      </c>
      <c r="G104" s="439">
        <v>45958</v>
      </c>
      <c r="H104" s="1269" t="s">
        <v>1506</v>
      </c>
      <c r="N104" s="1267"/>
    </row>
    <row r="105" spans="1:14">
      <c r="A105" s="57">
        <f t="shared" si="1"/>
        <v>100</v>
      </c>
      <c r="B105" s="1270" t="s">
        <v>184</v>
      </c>
      <c r="C105" s="1270" t="s">
        <v>125</v>
      </c>
      <c r="D105" s="310"/>
      <c r="E105" s="1270" t="s">
        <v>1724</v>
      </c>
      <c r="F105" s="439">
        <v>45957</v>
      </c>
      <c r="G105" s="439">
        <v>45959</v>
      </c>
      <c r="H105" s="1268" t="s">
        <v>1506</v>
      </c>
    </row>
    <row r="106" spans="1:14">
      <c r="A106" s="57">
        <f t="shared" si="1"/>
        <v>101</v>
      </c>
      <c r="B106" s="1238" t="s">
        <v>1336</v>
      </c>
      <c r="C106" s="1237" t="s">
        <v>115</v>
      </c>
      <c r="D106" s="1029">
        <v>18.727009000000002</v>
      </c>
      <c r="E106" s="1237" t="s">
        <v>1684</v>
      </c>
      <c r="F106" s="430">
        <v>45946</v>
      </c>
      <c r="G106" s="310"/>
      <c r="H106" s="1269" t="s">
        <v>278</v>
      </c>
    </row>
    <row r="107" spans="1:14" ht="87">
      <c r="A107" s="57">
        <f t="shared" si="1"/>
        <v>102</v>
      </c>
      <c r="B107" s="1271" t="s">
        <v>447</v>
      </c>
      <c r="C107" s="1272" t="s">
        <v>182</v>
      </c>
      <c r="D107" s="310"/>
      <c r="E107" s="1272" t="s">
        <v>1765</v>
      </c>
      <c r="F107" s="439">
        <v>45948</v>
      </c>
      <c r="G107" s="310"/>
      <c r="H107" s="1273" t="s">
        <v>1766</v>
      </c>
    </row>
    <row r="108" spans="1:14">
      <c r="A108" s="57">
        <f t="shared" si="1"/>
        <v>103</v>
      </c>
      <c r="B108" s="315" t="s">
        <v>158</v>
      </c>
      <c r="C108" s="310" t="s">
        <v>115</v>
      </c>
      <c r="D108" s="1029">
        <v>18.727009000000002</v>
      </c>
      <c r="E108" s="1241" t="s">
        <v>1765</v>
      </c>
      <c r="F108" s="439">
        <v>45954</v>
      </c>
      <c r="G108" s="310"/>
      <c r="H108" s="1264" t="s">
        <v>278</v>
      </c>
      <c r="N108" s="1277" t="s">
        <v>380</v>
      </c>
    </row>
    <row r="109" spans="1:14">
      <c r="A109" s="57">
        <f t="shared" si="1"/>
        <v>104</v>
      </c>
      <c r="B109" s="1274" t="s">
        <v>179</v>
      </c>
      <c r="C109" s="310" t="s">
        <v>115</v>
      </c>
      <c r="D109" s="1029">
        <v>18.727009000000002</v>
      </c>
      <c r="E109" s="1122" t="s">
        <v>1702</v>
      </c>
      <c r="F109" s="439">
        <v>45954</v>
      </c>
      <c r="G109" s="310"/>
      <c r="H109" s="1264" t="s">
        <v>278</v>
      </c>
      <c r="N109" s="1277" t="s">
        <v>760</v>
      </c>
    </row>
    <row r="110" spans="1:14">
      <c r="A110" s="57">
        <f t="shared" si="1"/>
        <v>105</v>
      </c>
      <c r="B110" s="1275" t="s">
        <v>465</v>
      </c>
      <c r="C110" s="1270" t="s">
        <v>132</v>
      </c>
      <c r="D110" s="310"/>
      <c r="E110" s="1214" t="s">
        <v>1599</v>
      </c>
      <c r="F110" s="439">
        <v>45957</v>
      </c>
      <c r="G110" s="310"/>
      <c r="H110" s="1268" t="s">
        <v>278</v>
      </c>
      <c r="N110" s="1277" t="s">
        <v>174</v>
      </c>
    </row>
    <row r="111" spans="1:14">
      <c r="A111" s="57">
        <f t="shared" si="1"/>
        <v>106</v>
      </c>
      <c r="B111" s="1268" t="s">
        <v>1678</v>
      </c>
      <c r="C111" s="1270" t="s">
        <v>125</v>
      </c>
      <c r="D111" s="310"/>
      <c r="E111" s="1278" t="s">
        <v>1723</v>
      </c>
      <c r="F111" s="439">
        <v>45959</v>
      </c>
      <c r="G111" s="310"/>
      <c r="H111" s="1275" t="s">
        <v>278</v>
      </c>
    </row>
    <row r="112" spans="1:14">
      <c r="A112" s="57">
        <f t="shared" si="1"/>
        <v>107</v>
      </c>
      <c r="B112" s="1275" t="s">
        <v>1731</v>
      </c>
      <c r="C112" s="1270" t="s">
        <v>119</v>
      </c>
      <c r="D112" s="310"/>
      <c r="E112" s="1237" t="s">
        <v>1700</v>
      </c>
      <c r="F112" s="439">
        <v>45957</v>
      </c>
      <c r="G112" s="310"/>
      <c r="H112" s="1275" t="s">
        <v>278</v>
      </c>
    </row>
    <row r="113" spans="1:8">
      <c r="A113" s="57">
        <f t="shared" si="1"/>
        <v>108</v>
      </c>
      <c r="B113" s="1275" t="s">
        <v>813</v>
      </c>
      <c r="C113" s="1270" t="s">
        <v>182</v>
      </c>
      <c r="D113" s="310"/>
      <c r="E113" s="1217" t="s">
        <v>1742</v>
      </c>
      <c r="F113" s="439">
        <v>45958</v>
      </c>
      <c r="G113" s="439"/>
      <c r="H113" s="1275" t="s">
        <v>278</v>
      </c>
    </row>
    <row r="114" spans="1:8">
      <c r="A114" s="57">
        <f t="shared" si="1"/>
        <v>109</v>
      </c>
      <c r="B114" s="1279" t="s">
        <v>1357</v>
      </c>
      <c r="C114" s="1278" t="s">
        <v>248</v>
      </c>
      <c r="D114" s="310"/>
      <c r="E114" s="1270" t="s">
        <v>1724</v>
      </c>
      <c r="F114" s="439">
        <v>45959</v>
      </c>
      <c r="G114" s="310"/>
      <c r="H114" s="1275" t="s">
        <v>278</v>
      </c>
    </row>
    <row r="196" spans="2:2">
      <c r="B196" s="310"/>
    </row>
    <row r="197" spans="2:2">
      <c r="B197" s="310"/>
    </row>
    <row r="198" spans="2:2">
      <c r="B198" s="310"/>
    </row>
    <row r="199" spans="2:2">
      <c r="B199" s="310"/>
    </row>
    <row r="200" spans="2:2">
      <c r="B200" s="310"/>
    </row>
    <row r="201" spans="2:2">
      <c r="B201" s="310"/>
    </row>
    <row r="202" spans="2:2">
      <c r="B202" s="310"/>
    </row>
    <row r="203" spans="2:2">
      <c r="B203" s="310"/>
    </row>
    <row r="204" spans="2:2">
      <c r="B204" s="310"/>
    </row>
    <row r="205" spans="2:2">
      <c r="B205" s="310"/>
    </row>
    <row r="206" spans="2:2">
      <c r="B206" s="310"/>
    </row>
    <row r="309" spans="30:30">
      <c r="AD309">
        <v>185</v>
      </c>
    </row>
    <row r="310" spans="30:30">
      <c r="AD310">
        <v>5</v>
      </c>
    </row>
  </sheetData>
  <autoFilter ref="A6:H109" xr:uid="{E5639B08-54A5-49D5-95E3-40F71BECF3F7}"/>
  <mergeCells count="3">
    <mergeCell ref="A1:H1"/>
    <mergeCell ref="A2:H2"/>
    <mergeCell ref="A3:H3"/>
  </mergeCells>
  <phoneticPr fontId="195" type="noConversion"/>
  <conditionalFormatting sqref="B5">
    <cfRule type="duplicateValues" dxfId="4742" priority="2178" stopIfTrue="1"/>
    <cfRule type="duplicateValues" dxfId="4741" priority="2177"/>
    <cfRule type="duplicateValues" dxfId="4740" priority="2176"/>
  </conditionalFormatting>
  <conditionalFormatting sqref="B6:B21">
    <cfRule type="duplicateValues" dxfId="4739" priority="2713"/>
  </conditionalFormatting>
  <conditionalFormatting sqref="B23">
    <cfRule type="duplicateValues" dxfId="4738" priority="52"/>
  </conditionalFormatting>
  <conditionalFormatting sqref="B114:B1048576 B1:B112">
    <cfRule type="duplicateValues" dxfId="4737" priority="44"/>
  </conditionalFormatting>
  <conditionalFormatting sqref="B114:B1048576 B57:C57 B4:B44 B45:C48 B49:B51 B54:B56 E45:G46 B52:C53 B58:B112">
    <cfRule type="duplicateValues" dxfId="4736" priority="7192"/>
  </conditionalFormatting>
  <conditionalFormatting sqref="D7 D15 D31:D32 D35 D45:D46 D49 D52 D59 D62 D64">
    <cfRule type="cellIs" dxfId="4735" priority="40" operator="greaterThan">
      <formula>45839</formula>
    </cfRule>
  </conditionalFormatting>
  <conditionalFormatting sqref="D64 D62 D59 D52 D49 D45:D46 D35 D31:D32 D15 D7">
    <cfRule type="duplicateValues" dxfId="4734" priority="7402"/>
    <cfRule type="duplicateValues" dxfId="4733" priority="7401"/>
    <cfRule type="duplicateValues" dxfId="4732" priority="7400"/>
  </conditionalFormatting>
  <conditionalFormatting sqref="D67">
    <cfRule type="duplicateValues" dxfId="4731" priority="37"/>
    <cfRule type="duplicateValues" dxfId="4730" priority="34"/>
    <cfRule type="duplicateValues" dxfId="4729" priority="35"/>
  </conditionalFormatting>
  <conditionalFormatting sqref="D67:D68">
    <cfRule type="cellIs" dxfId="4728" priority="1" operator="greaterThan">
      <formula>45839</formula>
    </cfRule>
  </conditionalFormatting>
  <conditionalFormatting sqref="D68">
    <cfRule type="duplicateValues" dxfId="4727" priority="2"/>
    <cfRule type="duplicateValues" dxfId="4726" priority="3"/>
    <cfRule type="duplicateValues" dxfId="4725" priority="4"/>
  </conditionalFormatting>
  <conditionalFormatting sqref="D73">
    <cfRule type="duplicateValues" dxfId="4724" priority="16"/>
    <cfRule type="duplicateValues" dxfId="4723" priority="15"/>
    <cfRule type="duplicateValues" dxfId="4722" priority="14"/>
    <cfRule type="cellIs" dxfId="4721" priority="13" operator="greaterThan">
      <formula>45839</formula>
    </cfRule>
  </conditionalFormatting>
  <conditionalFormatting sqref="D76 D79">
    <cfRule type="cellIs" dxfId="4720" priority="9" operator="greaterThan">
      <formula>45839</formula>
    </cfRule>
  </conditionalFormatting>
  <conditionalFormatting sqref="D79 D76">
    <cfRule type="duplicateValues" dxfId="4719" priority="10"/>
    <cfRule type="duplicateValues" dxfId="4718" priority="11"/>
    <cfRule type="duplicateValues" dxfId="4717" priority="12"/>
  </conditionalFormatting>
  <conditionalFormatting sqref="D100">
    <cfRule type="cellIs" dxfId="4716" priority="5" operator="greaterThan">
      <formula>45839</formula>
    </cfRule>
    <cfRule type="duplicateValues" dxfId="4715" priority="7"/>
    <cfRule type="duplicateValues" dxfId="4714" priority="8"/>
    <cfRule type="duplicateValues" dxfId="4713" priority="6"/>
  </conditionalFormatting>
  <conditionalFormatting sqref="E57 E52:E53 E47:E48">
    <cfRule type="duplicateValues" dxfId="4712" priority="6894"/>
  </conditionalFormatting>
  <conditionalFormatting sqref="E58">
    <cfRule type="duplicateValues" dxfId="4711" priority="50"/>
  </conditionalFormatting>
  <conditionalFormatting sqref="E66">
    <cfRule type="duplicateValues" dxfId="4710" priority="48"/>
  </conditionalFormatting>
  <conditionalFormatting sqref="E67">
    <cfRule type="duplicateValues" dxfId="4709" priority="49"/>
  </conditionalFormatting>
  <conditionalFormatting sqref="E73">
    <cfRule type="duplicateValues" dxfId="4708" priority="43"/>
  </conditionalFormatting>
  <conditionalFormatting sqref="E74">
    <cfRule type="duplicateValues" dxfId="4707" priority="42"/>
  </conditionalFormatting>
  <conditionalFormatting sqref="E76">
    <cfRule type="duplicateValues" dxfId="4706" priority="21"/>
  </conditionalFormatting>
  <conditionalFormatting sqref="E79">
    <cfRule type="duplicateValues" dxfId="4705" priority="19"/>
  </conditionalFormatting>
  <conditionalFormatting sqref="E82">
    <cfRule type="duplicateValues" dxfId="4704" priority="20"/>
  </conditionalFormatting>
  <conditionalFormatting sqref="E86">
    <cfRule type="duplicateValues" dxfId="4703" priority="18"/>
  </conditionalFormatting>
  <conditionalFormatting sqref="E88">
    <cfRule type="duplicateValues" dxfId="4702" priority="17"/>
  </conditionalFormatting>
  <conditionalFormatting sqref="S73 S75:S76">
    <cfRule type="duplicateValues" dxfId="4701" priority="7431"/>
  </conditionalFormatting>
  <conditionalFormatting sqref="S73">
    <cfRule type="duplicateValues" dxfId="4700" priority="45"/>
  </conditionalFormatting>
  <conditionalFormatting sqref="S75:S76">
    <cfRule type="duplicateValues" dxfId="4699" priority="7430"/>
  </conditionalFormatting>
  <hyperlinks>
    <hyperlink ref="X72" r:id="rId1" xr:uid="{5B55A7A2-1A7C-46E5-A5E4-F3CF07C36DD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W196"/>
  <sheetViews>
    <sheetView topLeftCell="A69" zoomScale="115" zoomScaleNormal="115" workbookViewId="0">
      <selection activeCell="G89" sqref="G89"/>
    </sheetView>
  </sheetViews>
  <sheetFormatPr defaultColWidth="9" defaultRowHeight="14.5"/>
  <cols>
    <col min="1" max="1" width="10.08984375" customWidth="1"/>
    <col min="3" max="3" width="10.54296875" bestFit="1" customWidth="1"/>
    <col min="5" max="5" width="10.36328125" customWidth="1"/>
    <col min="6" max="6" width="14.6328125" customWidth="1"/>
  </cols>
  <sheetData>
    <row r="1" spans="1:23" ht="15.5">
      <c r="A1" s="1366" t="s">
        <v>78</v>
      </c>
      <c r="B1" s="1367"/>
      <c r="C1" s="1367"/>
      <c r="D1" s="1367"/>
      <c r="E1" s="1367"/>
      <c r="F1" s="1367"/>
      <c r="G1" s="1367"/>
      <c r="H1" s="1367"/>
      <c r="I1" s="1367"/>
      <c r="J1" s="1367"/>
      <c r="K1" s="1367"/>
      <c r="L1" s="1367"/>
      <c r="M1" s="1367"/>
      <c r="N1" s="1367"/>
      <c r="O1" s="1367"/>
      <c r="P1" s="1367"/>
      <c r="Q1" s="1367"/>
      <c r="R1" s="1367"/>
      <c r="S1" s="1367"/>
      <c r="T1" s="1367"/>
      <c r="U1" s="1367"/>
      <c r="V1" s="1367"/>
      <c r="W1" s="1368"/>
    </row>
    <row r="2" spans="1:23" ht="15.5">
      <c r="A2" s="1369" t="s">
        <v>79</v>
      </c>
      <c r="B2" s="1370"/>
      <c r="C2" s="1370"/>
      <c r="D2" s="1370"/>
      <c r="E2" s="1370"/>
      <c r="F2" s="1370"/>
      <c r="G2" s="1370"/>
      <c r="H2" s="1370"/>
      <c r="I2" s="1370"/>
      <c r="J2" s="1370"/>
      <c r="K2" s="1370"/>
      <c r="L2" s="1370"/>
      <c r="M2" s="1370"/>
      <c r="N2" s="1370"/>
      <c r="O2" s="1370"/>
      <c r="P2" s="1370"/>
      <c r="Q2" s="1370"/>
      <c r="R2" s="1370"/>
      <c r="S2" s="1370"/>
      <c r="T2" s="1370"/>
      <c r="U2" s="1370"/>
      <c r="V2" s="1370"/>
      <c r="W2" s="1371"/>
    </row>
    <row r="3" spans="1:23" ht="15.5">
      <c r="A3" s="1369" t="s">
        <v>80</v>
      </c>
      <c r="B3" s="1370"/>
      <c r="C3" s="1370"/>
      <c r="D3" s="1370"/>
      <c r="E3" s="1370"/>
      <c r="F3" s="1370"/>
      <c r="G3" s="1370"/>
      <c r="H3" s="1370"/>
      <c r="I3" s="1370"/>
      <c r="J3" s="1370"/>
      <c r="K3" s="1370"/>
      <c r="L3" s="1370"/>
      <c r="M3" s="1370"/>
      <c r="N3" s="1370"/>
      <c r="O3" s="1370"/>
      <c r="P3" s="1370"/>
      <c r="Q3" s="1370"/>
      <c r="R3" s="1370"/>
      <c r="S3" s="1370"/>
      <c r="T3" s="1370"/>
      <c r="U3" s="1370"/>
      <c r="V3" s="1370"/>
      <c r="W3" s="1371"/>
    </row>
    <row r="5" spans="1:23">
      <c r="A5" s="1403" t="s">
        <v>203</v>
      </c>
      <c r="B5" s="1403" t="s">
        <v>204</v>
      </c>
      <c r="C5" s="1403" t="s">
        <v>205</v>
      </c>
      <c r="D5" s="1403" t="s">
        <v>221</v>
      </c>
      <c r="E5" s="309"/>
      <c r="F5" s="310"/>
    </row>
    <row r="6" spans="1:23" ht="26">
      <c r="A6" s="1404"/>
      <c r="B6" s="1404"/>
      <c r="C6" s="1404"/>
      <c r="D6" s="1404"/>
      <c r="E6" s="312" t="s">
        <v>208</v>
      </c>
      <c r="F6" s="313" t="s">
        <v>34</v>
      </c>
    </row>
    <row r="7" spans="1:23">
      <c r="A7" s="57">
        <v>1</v>
      </c>
      <c r="B7" s="314" t="s">
        <v>231</v>
      </c>
      <c r="C7" s="314" t="s">
        <v>182</v>
      </c>
      <c r="D7" s="314" t="s">
        <v>210</v>
      </c>
      <c r="E7" s="1229">
        <v>45685</v>
      </c>
      <c r="F7" s="314" t="s">
        <v>103</v>
      </c>
      <c r="G7" s="1142" t="s">
        <v>1732</v>
      </c>
    </row>
    <row r="8" spans="1:23" hidden="1">
      <c r="A8" s="57">
        <f>A7+1</f>
        <v>2</v>
      </c>
      <c r="B8" s="314" t="s">
        <v>209</v>
      </c>
      <c r="C8" s="314" t="s">
        <v>182</v>
      </c>
      <c r="D8" s="314" t="s">
        <v>210</v>
      </c>
      <c r="E8" s="1229">
        <v>45691</v>
      </c>
      <c r="F8" s="314" t="s">
        <v>103</v>
      </c>
      <c r="G8" s="1142" t="s">
        <v>1732</v>
      </c>
      <c r="K8" s="317"/>
      <c r="L8" s="317"/>
      <c r="M8" s="317"/>
      <c r="N8" s="317"/>
      <c r="O8" s="317"/>
      <c r="P8" s="317"/>
    </row>
    <row r="9" spans="1:23" hidden="1">
      <c r="A9" s="57">
        <f t="shared" ref="A9:A72" si="0">A8+1</f>
        <v>3</v>
      </c>
      <c r="B9" s="314" t="s">
        <v>241</v>
      </c>
      <c r="C9" s="314" t="s">
        <v>242</v>
      </c>
      <c r="D9" s="314" t="s">
        <v>210</v>
      </c>
      <c r="E9" s="1229">
        <v>45708</v>
      </c>
      <c r="F9" s="314" t="s">
        <v>103</v>
      </c>
      <c r="G9" s="1142" t="s">
        <v>1732</v>
      </c>
      <c r="K9" s="318"/>
      <c r="L9" s="318"/>
      <c r="M9" s="319"/>
      <c r="N9" s="319"/>
      <c r="O9" s="319"/>
      <c r="P9" s="319"/>
    </row>
    <row r="10" spans="1:23" hidden="1">
      <c r="A10" s="57">
        <f t="shared" si="0"/>
        <v>4</v>
      </c>
      <c r="B10" s="314" t="s">
        <v>214</v>
      </c>
      <c r="C10" s="314" t="s">
        <v>185</v>
      </c>
      <c r="D10" s="314" t="s">
        <v>210</v>
      </c>
      <c r="E10" s="1229">
        <v>45697</v>
      </c>
      <c r="F10" s="314" t="s">
        <v>103</v>
      </c>
      <c r="G10" s="1142" t="s">
        <v>1732</v>
      </c>
      <c r="K10" s="319"/>
      <c r="L10" s="318"/>
      <c r="M10" s="318"/>
      <c r="N10" s="320"/>
      <c r="O10" s="320"/>
      <c r="P10" s="320"/>
    </row>
    <row r="11" spans="1:23" hidden="1">
      <c r="A11" s="57">
        <f t="shared" si="0"/>
        <v>5</v>
      </c>
      <c r="B11" s="314" t="s">
        <v>251</v>
      </c>
      <c r="C11" s="314" t="s">
        <v>295</v>
      </c>
      <c r="D11" s="314" t="s">
        <v>210</v>
      </c>
      <c r="E11" s="1229">
        <v>45710</v>
      </c>
      <c r="F11" s="314" t="s">
        <v>103</v>
      </c>
      <c r="G11" s="1142" t="s">
        <v>1732</v>
      </c>
      <c r="K11" s="319"/>
      <c r="L11" s="318">
        <v>185</v>
      </c>
      <c r="M11" s="318"/>
      <c r="N11" s="320"/>
      <c r="O11" s="320"/>
      <c r="P11" s="320"/>
    </row>
    <row r="12" spans="1:23" hidden="1">
      <c r="A12" s="57">
        <f t="shared" si="0"/>
        <v>6</v>
      </c>
      <c r="B12" s="314" t="s">
        <v>236</v>
      </c>
      <c r="C12" s="314" t="s">
        <v>296</v>
      </c>
      <c r="D12" s="314" t="s">
        <v>210</v>
      </c>
      <c r="E12" s="1229">
        <v>45710</v>
      </c>
      <c r="F12" s="314" t="s">
        <v>103</v>
      </c>
      <c r="G12" s="1142" t="s">
        <v>1732</v>
      </c>
      <c r="K12" s="318"/>
      <c r="L12" s="318"/>
      <c r="M12" s="318"/>
      <c r="N12" s="318"/>
      <c r="O12" s="320"/>
      <c r="P12" s="320"/>
    </row>
    <row r="13" spans="1:23" hidden="1">
      <c r="A13" s="57">
        <f t="shared" si="0"/>
        <v>7</v>
      </c>
      <c r="B13" s="314" t="s">
        <v>237</v>
      </c>
      <c r="C13" s="314" t="s">
        <v>182</v>
      </c>
      <c r="D13" s="314" t="s">
        <v>210</v>
      </c>
      <c r="E13" s="1229">
        <v>45710</v>
      </c>
      <c r="F13" s="314" t="s">
        <v>103</v>
      </c>
      <c r="G13" s="1142" t="s">
        <v>1732</v>
      </c>
      <c r="K13" s="318"/>
      <c r="L13" s="318">
        <v>24</v>
      </c>
      <c r="M13" s="319"/>
      <c r="N13" s="319"/>
      <c r="O13" s="319"/>
      <c r="P13" s="319"/>
    </row>
    <row r="14" spans="1:23" hidden="1">
      <c r="A14" s="57">
        <f t="shared" si="0"/>
        <v>8</v>
      </c>
      <c r="B14" s="315" t="s">
        <v>215</v>
      </c>
      <c r="C14" s="314" t="s">
        <v>182</v>
      </c>
      <c r="D14" s="314" t="s">
        <v>210</v>
      </c>
      <c r="E14" s="1229">
        <v>45712</v>
      </c>
      <c r="F14" s="314" t="s">
        <v>103</v>
      </c>
      <c r="G14" s="1142" t="s">
        <v>1732</v>
      </c>
      <c r="K14" s="318"/>
      <c r="L14" s="318"/>
      <c r="M14" s="318"/>
      <c r="N14" s="320"/>
      <c r="O14" s="318"/>
      <c r="P14" s="320"/>
    </row>
    <row r="15" spans="1:23" hidden="1">
      <c r="A15" s="57">
        <f t="shared" si="0"/>
        <v>9</v>
      </c>
      <c r="B15" s="315" t="s">
        <v>240</v>
      </c>
      <c r="C15" s="314" t="s">
        <v>185</v>
      </c>
      <c r="D15" s="314" t="s">
        <v>210</v>
      </c>
      <c r="E15" s="1229">
        <v>45712</v>
      </c>
      <c r="F15" s="314" t="s">
        <v>103</v>
      </c>
      <c r="G15" s="1142" t="s">
        <v>1732</v>
      </c>
      <c r="K15" s="318"/>
      <c r="L15" s="318"/>
      <c r="M15" s="318"/>
      <c r="N15" s="320"/>
      <c r="O15" s="320"/>
      <c r="P15" s="320"/>
    </row>
    <row r="16" spans="1:23" hidden="1">
      <c r="A16" s="57">
        <f t="shared" si="0"/>
        <v>10</v>
      </c>
      <c r="B16" s="315" t="s">
        <v>253</v>
      </c>
      <c r="C16" s="314" t="s">
        <v>248</v>
      </c>
      <c r="D16" s="314" t="s">
        <v>210</v>
      </c>
      <c r="E16" s="1229">
        <v>45712</v>
      </c>
      <c r="F16" s="314" t="s">
        <v>103</v>
      </c>
      <c r="G16" s="1142" t="s">
        <v>1732</v>
      </c>
      <c r="K16" s="318"/>
      <c r="L16" s="318"/>
      <c r="M16" s="318"/>
      <c r="N16" s="320"/>
      <c r="O16" s="320"/>
      <c r="P16" s="320"/>
    </row>
    <row r="17" spans="1:16" hidden="1">
      <c r="A17" s="57">
        <f t="shared" si="0"/>
        <v>11</v>
      </c>
      <c r="B17" s="315" t="s">
        <v>217</v>
      </c>
      <c r="C17" s="314" t="s">
        <v>182</v>
      </c>
      <c r="D17" s="314" t="s">
        <v>292</v>
      </c>
      <c r="E17" s="1229">
        <v>45713</v>
      </c>
      <c r="F17" s="314" t="s">
        <v>103</v>
      </c>
      <c r="G17" s="1142" t="s">
        <v>1732</v>
      </c>
      <c r="K17" s="318"/>
      <c r="L17" s="318"/>
      <c r="M17" s="319"/>
      <c r="N17" s="319"/>
      <c r="O17" s="319"/>
      <c r="P17" s="319"/>
    </row>
    <row r="18" spans="1:16" hidden="1">
      <c r="A18" s="57">
        <f t="shared" si="0"/>
        <v>12</v>
      </c>
      <c r="B18" s="315" t="s">
        <v>259</v>
      </c>
      <c r="C18" s="314" t="s">
        <v>248</v>
      </c>
      <c r="D18" s="314" t="s">
        <v>210</v>
      </c>
      <c r="E18" s="1229">
        <v>45713</v>
      </c>
      <c r="F18" s="314" t="s">
        <v>103</v>
      </c>
      <c r="G18" s="1142" t="s">
        <v>1732</v>
      </c>
      <c r="K18" s="318"/>
      <c r="L18" s="318"/>
      <c r="M18" s="318"/>
      <c r="N18" s="320"/>
      <c r="O18" s="320"/>
      <c r="P18" s="320"/>
    </row>
    <row r="19" spans="1:16" hidden="1">
      <c r="A19" s="57">
        <f t="shared" si="0"/>
        <v>13</v>
      </c>
      <c r="B19" s="315" t="s">
        <v>257</v>
      </c>
      <c r="C19" s="314" t="s">
        <v>248</v>
      </c>
      <c r="D19" s="314" t="s">
        <v>210</v>
      </c>
      <c r="E19" s="1229">
        <v>45716</v>
      </c>
      <c r="F19" s="314" t="s">
        <v>103</v>
      </c>
      <c r="G19" s="1142" t="s">
        <v>1732</v>
      </c>
      <c r="K19" s="318"/>
      <c r="L19" s="318"/>
      <c r="M19" s="318"/>
      <c r="N19" s="320"/>
      <c r="O19" s="320"/>
      <c r="P19" s="320"/>
    </row>
    <row r="20" spans="1:16" hidden="1">
      <c r="A20" s="57">
        <f t="shared" si="0"/>
        <v>14</v>
      </c>
      <c r="B20" s="315" t="s">
        <v>239</v>
      </c>
      <c r="C20" s="314" t="s">
        <v>182</v>
      </c>
      <c r="D20" s="314" t="s">
        <v>210</v>
      </c>
      <c r="E20" s="1229">
        <v>45717</v>
      </c>
      <c r="F20" s="314" t="s">
        <v>103</v>
      </c>
      <c r="G20" s="1142" t="s">
        <v>1733</v>
      </c>
      <c r="K20" s="318"/>
      <c r="L20" s="318"/>
      <c r="M20" s="318"/>
      <c r="N20" s="320"/>
      <c r="O20" s="320"/>
      <c r="P20" s="320"/>
    </row>
    <row r="21" spans="1:16" hidden="1">
      <c r="A21" s="57">
        <f t="shared" si="0"/>
        <v>15</v>
      </c>
      <c r="B21" s="315" t="s">
        <v>216</v>
      </c>
      <c r="C21" s="314" t="s">
        <v>185</v>
      </c>
      <c r="D21" s="314" t="s">
        <v>210</v>
      </c>
      <c r="E21" s="1229">
        <v>45724</v>
      </c>
      <c r="F21" s="314" t="s">
        <v>103</v>
      </c>
      <c r="G21" s="1142" t="s">
        <v>1733</v>
      </c>
      <c r="K21" s="318"/>
      <c r="L21" s="318"/>
      <c r="M21" s="318"/>
      <c r="N21" s="320"/>
      <c r="O21" s="320"/>
      <c r="P21" s="320"/>
    </row>
    <row r="22" spans="1:16" hidden="1">
      <c r="A22" s="57">
        <f t="shared" si="0"/>
        <v>16</v>
      </c>
      <c r="B22" s="315" t="s">
        <v>263</v>
      </c>
      <c r="C22" s="314" t="s">
        <v>242</v>
      </c>
      <c r="D22" s="314" t="s">
        <v>210</v>
      </c>
      <c r="E22" s="1229">
        <v>45724</v>
      </c>
      <c r="F22" s="314" t="s">
        <v>103</v>
      </c>
      <c r="G22" s="1142" t="s">
        <v>1733</v>
      </c>
    </row>
    <row r="23" spans="1:16" hidden="1">
      <c r="A23" s="57">
        <f t="shared" si="0"/>
        <v>17</v>
      </c>
      <c r="B23" s="315" t="s">
        <v>297</v>
      </c>
      <c r="C23" s="314" t="s">
        <v>182</v>
      </c>
      <c r="D23" s="314" t="s">
        <v>210</v>
      </c>
      <c r="E23" s="1229">
        <v>45719</v>
      </c>
      <c r="F23" s="314" t="s">
        <v>103</v>
      </c>
      <c r="G23" s="1142" t="s">
        <v>1733</v>
      </c>
    </row>
    <row r="24" spans="1:16" hidden="1">
      <c r="A24" s="57">
        <f t="shared" si="0"/>
        <v>18</v>
      </c>
      <c r="B24" s="315" t="s">
        <v>294</v>
      </c>
      <c r="C24" s="316" t="s">
        <v>182</v>
      </c>
      <c r="D24" s="314" t="s">
        <v>210</v>
      </c>
      <c r="E24" s="1229">
        <v>45724</v>
      </c>
      <c r="F24" s="314" t="s">
        <v>103</v>
      </c>
      <c r="G24" s="1142" t="s">
        <v>1733</v>
      </c>
    </row>
    <row r="25" spans="1:16" hidden="1">
      <c r="A25" s="57">
        <f t="shared" si="0"/>
        <v>19</v>
      </c>
      <c r="B25" s="315" t="s">
        <v>276</v>
      </c>
      <c r="C25" s="316" t="s">
        <v>182</v>
      </c>
      <c r="D25" s="314" t="s">
        <v>210</v>
      </c>
      <c r="E25" s="1229">
        <v>45724</v>
      </c>
      <c r="F25" s="314" t="s">
        <v>103</v>
      </c>
      <c r="G25" s="1142" t="s">
        <v>1733</v>
      </c>
    </row>
    <row r="26" spans="1:16" hidden="1">
      <c r="A26" s="57">
        <f t="shared" si="0"/>
        <v>20</v>
      </c>
      <c r="B26" s="315" t="s">
        <v>213</v>
      </c>
      <c r="C26" s="314" t="s">
        <v>182</v>
      </c>
      <c r="D26" s="314" t="s">
        <v>210</v>
      </c>
      <c r="E26" s="1229">
        <v>45724</v>
      </c>
      <c r="F26" s="314" t="s">
        <v>103</v>
      </c>
      <c r="G26" s="1142" t="s">
        <v>1733</v>
      </c>
    </row>
    <row r="27" spans="1:16" hidden="1">
      <c r="A27" s="57">
        <f t="shared" si="0"/>
        <v>21</v>
      </c>
      <c r="B27" s="315" t="s">
        <v>268</v>
      </c>
      <c r="C27" s="316" t="s">
        <v>185</v>
      </c>
      <c r="D27" s="314" t="s">
        <v>210</v>
      </c>
      <c r="E27" s="1229">
        <v>45724</v>
      </c>
      <c r="F27" s="314" t="s">
        <v>103</v>
      </c>
      <c r="G27" s="1142" t="s">
        <v>1734</v>
      </c>
    </row>
    <row r="28" spans="1:16" hidden="1">
      <c r="A28" s="57">
        <f t="shared" si="0"/>
        <v>22</v>
      </c>
      <c r="B28" s="429" t="s">
        <v>274</v>
      </c>
      <c r="C28" s="429" t="s">
        <v>248</v>
      </c>
      <c r="D28" s="314" t="s">
        <v>210</v>
      </c>
      <c r="E28" s="1230">
        <v>45744</v>
      </c>
      <c r="F28" s="429" t="s">
        <v>103</v>
      </c>
      <c r="G28" s="1142" t="s">
        <v>1734</v>
      </c>
    </row>
    <row r="29" spans="1:16" hidden="1">
      <c r="A29" s="57">
        <f t="shared" si="0"/>
        <v>23</v>
      </c>
      <c r="B29" s="315" t="s">
        <v>258</v>
      </c>
      <c r="C29" s="315" t="s">
        <v>182</v>
      </c>
      <c r="D29" s="315" t="s">
        <v>210</v>
      </c>
      <c r="E29" s="1231">
        <v>45727</v>
      </c>
      <c r="F29" s="442" t="s">
        <v>103</v>
      </c>
      <c r="G29" s="1142" t="s">
        <v>1733</v>
      </c>
    </row>
    <row r="30" spans="1:16" hidden="1">
      <c r="A30" s="57">
        <f t="shared" si="0"/>
        <v>24</v>
      </c>
      <c r="B30" s="315" t="s">
        <v>169</v>
      </c>
      <c r="C30" s="316" t="s">
        <v>182</v>
      </c>
      <c r="D30" s="314" t="s">
        <v>292</v>
      </c>
      <c r="E30" s="1231">
        <v>45753</v>
      </c>
      <c r="F30" s="314" t="s">
        <v>103</v>
      </c>
      <c r="G30" s="1142" t="s">
        <v>1734</v>
      </c>
    </row>
    <row r="31" spans="1:16" hidden="1">
      <c r="A31" s="57">
        <f t="shared" si="0"/>
        <v>25</v>
      </c>
      <c r="B31" s="315" t="s">
        <v>355</v>
      </c>
      <c r="C31" s="315" t="s">
        <v>248</v>
      </c>
      <c r="D31" s="315" t="s">
        <v>210</v>
      </c>
      <c r="E31" s="1230">
        <v>45752</v>
      </c>
      <c r="F31" s="315" t="s">
        <v>103</v>
      </c>
      <c r="G31" s="1142" t="s">
        <v>1734</v>
      </c>
    </row>
    <row r="32" spans="1:16" hidden="1">
      <c r="A32" s="57">
        <f t="shared" si="0"/>
        <v>26</v>
      </c>
      <c r="B32" s="442" t="s">
        <v>289</v>
      </c>
      <c r="C32" s="316" t="s">
        <v>182</v>
      </c>
      <c r="D32" s="442" t="s">
        <v>292</v>
      </c>
      <c r="E32" s="1231">
        <v>45753</v>
      </c>
      <c r="F32" s="442" t="s">
        <v>103</v>
      </c>
      <c r="G32" s="1142" t="s">
        <v>1734</v>
      </c>
    </row>
    <row r="33" spans="1:7" hidden="1">
      <c r="A33" s="57">
        <f t="shared" si="0"/>
        <v>27</v>
      </c>
      <c r="B33" s="315" t="s">
        <v>275</v>
      </c>
      <c r="C33" s="315" t="s">
        <v>248</v>
      </c>
      <c r="D33" s="315" t="s">
        <v>210</v>
      </c>
      <c r="E33" s="1231">
        <v>45755</v>
      </c>
      <c r="F33" s="442" t="s">
        <v>103</v>
      </c>
      <c r="G33" s="1142" t="s">
        <v>1734</v>
      </c>
    </row>
    <row r="34" spans="1:7" hidden="1">
      <c r="A34" s="57">
        <f t="shared" si="0"/>
        <v>28</v>
      </c>
      <c r="B34" s="315" t="s">
        <v>284</v>
      </c>
      <c r="C34" s="315" t="s">
        <v>185</v>
      </c>
      <c r="D34" s="315" t="s">
        <v>210</v>
      </c>
      <c r="E34" s="1231">
        <v>45755</v>
      </c>
      <c r="F34" s="442" t="s">
        <v>103</v>
      </c>
      <c r="G34" s="1142" t="s">
        <v>1734</v>
      </c>
    </row>
    <row r="35" spans="1:7" hidden="1">
      <c r="A35" s="57">
        <f t="shared" si="0"/>
        <v>29</v>
      </c>
      <c r="B35" s="315" t="s">
        <v>285</v>
      </c>
      <c r="C35" s="315" t="s">
        <v>185</v>
      </c>
      <c r="D35" s="315" t="s">
        <v>210</v>
      </c>
      <c r="E35" s="1231">
        <v>45755</v>
      </c>
      <c r="F35" s="442" t="s">
        <v>103</v>
      </c>
      <c r="G35" s="1142" t="s">
        <v>1734</v>
      </c>
    </row>
    <row r="36" spans="1:7" hidden="1">
      <c r="A36" s="57">
        <f t="shared" si="0"/>
        <v>30</v>
      </c>
      <c r="B36" s="315" t="s">
        <v>287</v>
      </c>
      <c r="C36" s="315" t="s">
        <v>248</v>
      </c>
      <c r="D36" s="315" t="s">
        <v>210</v>
      </c>
      <c r="E36" s="1231">
        <v>45757</v>
      </c>
      <c r="F36" s="442" t="s">
        <v>103</v>
      </c>
      <c r="G36" s="1142" t="s">
        <v>1734</v>
      </c>
    </row>
    <row r="37" spans="1:7" hidden="1">
      <c r="A37" s="57">
        <f t="shared" si="0"/>
        <v>31</v>
      </c>
      <c r="B37" s="315" t="s">
        <v>1292</v>
      </c>
      <c r="C37" s="315" t="s">
        <v>182</v>
      </c>
      <c r="D37" s="315" t="s">
        <v>210</v>
      </c>
      <c r="E37" s="1231">
        <v>45764</v>
      </c>
      <c r="F37" s="523" t="s">
        <v>103</v>
      </c>
      <c r="G37" s="1142" t="s">
        <v>1734</v>
      </c>
    </row>
    <row r="38" spans="1:7" hidden="1">
      <c r="A38" s="57">
        <f t="shared" si="0"/>
        <v>32</v>
      </c>
      <c r="B38" s="315" t="s">
        <v>280</v>
      </c>
      <c r="C38" s="315" t="s">
        <v>248</v>
      </c>
      <c r="D38" s="315" t="s">
        <v>210</v>
      </c>
      <c r="E38" s="1231">
        <v>45764</v>
      </c>
      <c r="F38" s="523" t="s">
        <v>103</v>
      </c>
      <c r="G38" s="1142" t="s">
        <v>1734</v>
      </c>
    </row>
    <row r="39" spans="1:7" hidden="1">
      <c r="A39" s="57">
        <f t="shared" si="0"/>
        <v>33</v>
      </c>
      <c r="B39" s="315" t="s">
        <v>290</v>
      </c>
      <c r="C39" s="315" t="s">
        <v>182</v>
      </c>
      <c r="D39" s="315" t="s">
        <v>210</v>
      </c>
      <c r="E39" s="1230">
        <v>45764</v>
      </c>
      <c r="F39" s="523" t="s">
        <v>103</v>
      </c>
      <c r="G39" s="1142" t="s">
        <v>1734</v>
      </c>
    </row>
    <row r="40" spans="1:7" hidden="1">
      <c r="A40" s="57">
        <f t="shared" si="0"/>
        <v>34</v>
      </c>
      <c r="B40" s="315" t="s">
        <v>277</v>
      </c>
      <c r="C40" s="315" t="s">
        <v>185</v>
      </c>
      <c r="D40" s="315" t="s">
        <v>210</v>
      </c>
      <c r="E40" s="1230">
        <v>45764</v>
      </c>
      <c r="F40" s="523" t="s">
        <v>103</v>
      </c>
      <c r="G40" s="1142" t="s">
        <v>1734</v>
      </c>
    </row>
    <row r="41" spans="1:7" hidden="1">
      <c r="A41" s="57">
        <f t="shared" si="0"/>
        <v>35</v>
      </c>
      <c r="B41" s="315" t="s">
        <v>273</v>
      </c>
      <c r="C41" s="315" t="s">
        <v>182</v>
      </c>
      <c r="D41" s="315" t="s">
        <v>210</v>
      </c>
      <c r="E41" s="1230">
        <v>45765</v>
      </c>
      <c r="F41" s="523" t="s">
        <v>103</v>
      </c>
      <c r="G41" s="1142" t="s">
        <v>1734</v>
      </c>
    </row>
    <row r="42" spans="1:7" hidden="1">
      <c r="A42" s="57">
        <f t="shared" si="0"/>
        <v>36</v>
      </c>
      <c r="B42" s="315" t="s">
        <v>475</v>
      </c>
      <c r="C42" s="315" t="s">
        <v>185</v>
      </c>
      <c r="D42" s="315" t="s">
        <v>210</v>
      </c>
      <c r="E42" s="1230">
        <v>45768</v>
      </c>
      <c r="F42" s="523" t="s">
        <v>103</v>
      </c>
      <c r="G42" s="1142" t="s">
        <v>1734</v>
      </c>
    </row>
    <row r="43" spans="1:7" hidden="1">
      <c r="A43" s="57">
        <f t="shared" si="0"/>
        <v>37</v>
      </c>
      <c r="B43" s="315" t="s">
        <v>414</v>
      </c>
      <c r="C43" s="315" t="s">
        <v>248</v>
      </c>
      <c r="D43" s="315" t="s">
        <v>210</v>
      </c>
      <c r="E43" s="1230">
        <v>45768</v>
      </c>
      <c r="F43" s="315" t="s">
        <v>103</v>
      </c>
      <c r="G43" s="1142" t="s">
        <v>1734</v>
      </c>
    </row>
    <row r="44" spans="1:7" hidden="1">
      <c r="A44" s="57">
        <f t="shared" si="0"/>
        <v>38</v>
      </c>
      <c r="B44" s="525" t="s">
        <v>311</v>
      </c>
      <c r="C44" s="315" t="s">
        <v>185</v>
      </c>
      <c r="D44" s="315" t="s">
        <v>210</v>
      </c>
      <c r="E44" s="1230">
        <v>45771</v>
      </c>
      <c r="F44" s="315" t="s">
        <v>103</v>
      </c>
      <c r="G44" s="1142" t="s">
        <v>1734</v>
      </c>
    </row>
    <row r="45" spans="1:7" hidden="1">
      <c r="A45" s="57">
        <f t="shared" si="0"/>
        <v>39</v>
      </c>
      <c r="B45" s="525" t="s">
        <v>426</v>
      </c>
      <c r="C45" s="525" t="s">
        <v>182</v>
      </c>
      <c r="D45" s="525" t="s">
        <v>292</v>
      </c>
      <c r="E45" s="1230">
        <v>45772</v>
      </c>
      <c r="F45" s="525" t="s">
        <v>103</v>
      </c>
      <c r="G45" s="1142" t="s">
        <v>1734</v>
      </c>
    </row>
    <row r="46" spans="1:7" hidden="1">
      <c r="A46" s="57">
        <f t="shared" si="0"/>
        <v>40</v>
      </c>
      <c r="B46" s="528" t="s">
        <v>474</v>
      </c>
      <c r="C46" s="528" t="s">
        <v>185</v>
      </c>
      <c r="D46" s="315" t="s">
        <v>210</v>
      </c>
      <c r="E46" s="1230">
        <v>45767</v>
      </c>
      <c r="F46" s="525" t="s">
        <v>103</v>
      </c>
      <c r="G46" s="1142" t="s">
        <v>1734</v>
      </c>
    </row>
    <row r="47" spans="1:7" hidden="1">
      <c r="A47" s="57">
        <f t="shared" si="0"/>
        <v>41</v>
      </c>
      <c r="B47" s="315" t="s">
        <v>227</v>
      </c>
      <c r="C47" s="315" t="s">
        <v>182</v>
      </c>
      <c r="D47" s="315" t="s">
        <v>210</v>
      </c>
      <c r="E47" s="1231">
        <v>45779</v>
      </c>
      <c r="F47" s="315" t="s">
        <v>103</v>
      </c>
      <c r="G47" s="1142" t="s">
        <v>1735</v>
      </c>
    </row>
    <row r="48" spans="1:7" hidden="1">
      <c r="A48" s="57">
        <f t="shared" si="0"/>
        <v>42</v>
      </c>
      <c r="B48" s="1226" t="s">
        <v>282</v>
      </c>
      <c r="C48" s="315" t="s">
        <v>242</v>
      </c>
      <c r="D48" s="310" t="s">
        <v>210</v>
      </c>
      <c r="E48" s="1231">
        <v>45783</v>
      </c>
      <c r="F48" s="315" t="s">
        <v>103</v>
      </c>
      <c r="G48" s="1142" t="s">
        <v>1735</v>
      </c>
    </row>
    <row r="49" spans="1:7" hidden="1">
      <c r="A49" s="57">
        <f t="shared" si="0"/>
        <v>43</v>
      </c>
      <c r="B49" s="1226" t="s">
        <v>1310</v>
      </c>
      <c r="C49" s="315" t="s">
        <v>182</v>
      </c>
      <c r="D49" s="310" t="s">
        <v>210</v>
      </c>
      <c r="E49" s="1231">
        <v>45784</v>
      </c>
      <c r="F49" s="315" t="s">
        <v>103</v>
      </c>
      <c r="G49" s="1142" t="s">
        <v>1735</v>
      </c>
    </row>
    <row r="50" spans="1:7" hidden="1">
      <c r="A50" s="57">
        <f t="shared" si="0"/>
        <v>44</v>
      </c>
      <c r="B50" s="1226" t="s">
        <v>447</v>
      </c>
      <c r="C50" s="315" t="s">
        <v>182</v>
      </c>
      <c r="D50" s="310" t="s">
        <v>210</v>
      </c>
      <c r="E50" s="1231">
        <v>45784</v>
      </c>
      <c r="F50" s="315" t="s">
        <v>103</v>
      </c>
      <c r="G50" s="1142" t="s">
        <v>1735</v>
      </c>
    </row>
    <row r="51" spans="1:7" hidden="1">
      <c r="A51" s="57">
        <f t="shared" si="0"/>
        <v>45</v>
      </c>
      <c r="B51" s="315" t="s">
        <v>449</v>
      </c>
      <c r="C51" s="315" t="s">
        <v>185</v>
      </c>
      <c r="D51" s="310" t="s">
        <v>210</v>
      </c>
      <c r="E51" s="1230">
        <v>45792</v>
      </c>
      <c r="F51" s="315" t="s">
        <v>103</v>
      </c>
      <c r="G51" s="1142" t="s">
        <v>1735</v>
      </c>
    </row>
    <row r="52" spans="1:7" hidden="1">
      <c r="A52" s="57">
        <f t="shared" si="0"/>
        <v>46</v>
      </c>
      <c r="B52" s="540" t="s">
        <v>435</v>
      </c>
      <c r="C52" s="540" t="s">
        <v>242</v>
      </c>
      <c r="D52" s="310" t="s">
        <v>210</v>
      </c>
      <c r="E52" s="1230">
        <v>45796</v>
      </c>
      <c r="F52" s="315" t="s">
        <v>103</v>
      </c>
      <c r="G52" s="1142" t="s">
        <v>1735</v>
      </c>
    </row>
    <row r="53" spans="1:7" hidden="1">
      <c r="A53" s="57">
        <f t="shared" si="0"/>
        <v>47</v>
      </c>
      <c r="B53" s="315" t="s">
        <v>271</v>
      </c>
      <c r="C53" s="315" t="s">
        <v>242</v>
      </c>
      <c r="D53" s="310" t="s">
        <v>210</v>
      </c>
      <c r="E53" s="1231">
        <v>45798</v>
      </c>
      <c r="F53" s="315" t="s">
        <v>103</v>
      </c>
      <c r="G53" s="1142" t="s">
        <v>1735</v>
      </c>
    </row>
    <row r="54" spans="1:7" hidden="1">
      <c r="A54" s="57">
        <f t="shared" si="0"/>
        <v>48</v>
      </c>
      <c r="B54" s="555" t="s">
        <v>1331</v>
      </c>
      <c r="C54" s="555" t="s">
        <v>242</v>
      </c>
      <c r="D54" s="555" t="s">
        <v>210</v>
      </c>
      <c r="E54" s="1230">
        <v>45803</v>
      </c>
      <c r="F54" s="315" t="s">
        <v>103</v>
      </c>
      <c r="G54" s="1142" t="s">
        <v>1735</v>
      </c>
    </row>
    <row r="55" spans="1:7" hidden="1">
      <c r="A55" s="57">
        <f t="shared" si="0"/>
        <v>49</v>
      </c>
      <c r="B55" s="555" t="s">
        <v>726</v>
      </c>
      <c r="C55" s="555" t="s">
        <v>125</v>
      </c>
      <c r="D55" s="555" t="s">
        <v>210</v>
      </c>
      <c r="E55" s="1230">
        <v>45805</v>
      </c>
      <c r="F55" s="315" t="s">
        <v>103</v>
      </c>
      <c r="G55" s="1142" t="s">
        <v>1735</v>
      </c>
    </row>
    <row r="56" spans="1:7" hidden="1">
      <c r="A56" s="57">
        <f t="shared" si="0"/>
        <v>50</v>
      </c>
      <c r="B56" s="315" t="s">
        <v>283</v>
      </c>
      <c r="C56" s="315" t="s">
        <v>242</v>
      </c>
      <c r="D56" s="315" t="s">
        <v>210</v>
      </c>
      <c r="E56" s="1230">
        <v>45807</v>
      </c>
      <c r="F56" s="315" t="s">
        <v>103</v>
      </c>
      <c r="G56" s="1142" t="s">
        <v>1735</v>
      </c>
    </row>
    <row r="57" spans="1:7" hidden="1">
      <c r="A57" s="57">
        <f t="shared" si="0"/>
        <v>51</v>
      </c>
      <c r="B57" s="315" t="s">
        <v>421</v>
      </c>
      <c r="C57" s="315" t="s">
        <v>115</v>
      </c>
      <c r="D57" s="315" t="s">
        <v>292</v>
      </c>
      <c r="E57" s="1230">
        <v>45807</v>
      </c>
      <c r="F57" s="315" t="s">
        <v>103</v>
      </c>
      <c r="G57" s="1142" t="s">
        <v>1736</v>
      </c>
    </row>
    <row r="58" spans="1:7" hidden="1">
      <c r="A58" s="57">
        <f t="shared" si="0"/>
        <v>52</v>
      </c>
      <c r="B58" s="569" t="s">
        <v>269</v>
      </c>
      <c r="C58" s="569" t="s">
        <v>182</v>
      </c>
      <c r="D58" s="569" t="s">
        <v>210</v>
      </c>
      <c r="E58" s="1230">
        <v>45813</v>
      </c>
      <c r="F58" s="569" t="s">
        <v>103</v>
      </c>
      <c r="G58" s="1142" t="s">
        <v>1736</v>
      </c>
    </row>
    <row r="59" spans="1:7">
      <c r="A59" s="57">
        <f t="shared" si="0"/>
        <v>53</v>
      </c>
      <c r="B59" s="574" t="s">
        <v>477</v>
      </c>
      <c r="C59" s="574" t="s">
        <v>242</v>
      </c>
      <c r="D59" s="574" t="s">
        <v>210</v>
      </c>
      <c r="E59" s="1230">
        <v>45814</v>
      </c>
      <c r="F59" s="574" t="s">
        <v>103</v>
      </c>
    </row>
    <row r="60" spans="1:7" hidden="1">
      <c r="A60" s="57">
        <f t="shared" si="0"/>
        <v>54</v>
      </c>
      <c r="B60" s="571" t="s">
        <v>1311</v>
      </c>
      <c r="C60" s="571" t="s">
        <v>1374</v>
      </c>
      <c r="D60" s="571" t="s">
        <v>210</v>
      </c>
      <c r="E60" s="1230">
        <v>45818</v>
      </c>
      <c r="F60" s="571" t="s">
        <v>103</v>
      </c>
      <c r="G60" s="1142" t="s">
        <v>1736</v>
      </c>
    </row>
    <row r="61" spans="1:7" hidden="1">
      <c r="A61" s="57">
        <f t="shared" si="0"/>
        <v>55</v>
      </c>
      <c r="B61" s="572" t="s">
        <v>393</v>
      </c>
      <c r="C61" s="572" t="s">
        <v>182</v>
      </c>
      <c r="D61" s="572" t="s">
        <v>210</v>
      </c>
      <c r="E61" s="1230">
        <v>45818</v>
      </c>
      <c r="F61" s="315" t="s">
        <v>103</v>
      </c>
      <c r="G61" s="1142" t="s">
        <v>1736</v>
      </c>
    </row>
    <row r="62" spans="1:7" hidden="1">
      <c r="A62" s="57">
        <f t="shared" si="0"/>
        <v>56</v>
      </c>
      <c r="B62" s="574" t="s">
        <v>1334</v>
      </c>
      <c r="C62" s="574" t="s">
        <v>115</v>
      </c>
      <c r="D62" s="574" t="s">
        <v>210</v>
      </c>
      <c r="E62" s="1230">
        <v>45815</v>
      </c>
      <c r="F62" s="574" t="s">
        <v>103</v>
      </c>
      <c r="G62" s="1142" t="s">
        <v>1736</v>
      </c>
    </row>
    <row r="63" spans="1:7">
      <c r="A63" s="57">
        <f t="shared" si="0"/>
        <v>57</v>
      </c>
      <c r="B63" s="316" t="s">
        <v>1370</v>
      </c>
      <c r="C63" s="647" t="s">
        <v>143</v>
      </c>
      <c r="D63" s="897" t="s">
        <v>210</v>
      </c>
      <c r="E63" s="1231">
        <v>45823</v>
      </c>
      <c r="F63" s="897" t="s">
        <v>103</v>
      </c>
    </row>
    <row r="64" spans="1:7">
      <c r="A64" s="57">
        <f t="shared" si="0"/>
        <v>58</v>
      </c>
      <c r="B64" s="316" t="s">
        <v>813</v>
      </c>
      <c r="C64" s="647" t="s">
        <v>182</v>
      </c>
      <c r="D64" s="897" t="s">
        <v>210</v>
      </c>
      <c r="E64" s="1231">
        <v>45824</v>
      </c>
      <c r="F64" s="897" t="s">
        <v>103</v>
      </c>
    </row>
    <row r="65" spans="1:11">
      <c r="A65" s="57">
        <f t="shared" si="0"/>
        <v>59</v>
      </c>
      <c r="B65" s="575" t="s">
        <v>1375</v>
      </c>
      <c r="C65" s="575" t="s">
        <v>182</v>
      </c>
      <c r="D65" s="575" t="s">
        <v>210</v>
      </c>
      <c r="E65" s="1231">
        <v>45821</v>
      </c>
      <c r="F65" s="575" t="s">
        <v>103</v>
      </c>
    </row>
    <row r="66" spans="1:11">
      <c r="A66" s="57">
        <f t="shared" si="0"/>
        <v>60</v>
      </c>
      <c r="B66" s="925" t="s">
        <v>1371</v>
      </c>
      <c r="C66" s="925" t="s">
        <v>125</v>
      </c>
      <c r="D66" s="925" t="s">
        <v>210</v>
      </c>
      <c r="E66" s="1230">
        <v>45822</v>
      </c>
      <c r="F66" s="925" t="s">
        <v>103</v>
      </c>
    </row>
    <row r="67" spans="1:11">
      <c r="A67" s="57">
        <f t="shared" si="0"/>
        <v>61</v>
      </c>
      <c r="B67" s="925" t="s">
        <v>159</v>
      </c>
      <c r="C67" s="925" t="s">
        <v>115</v>
      </c>
      <c r="D67" s="925" t="s">
        <v>210</v>
      </c>
      <c r="E67" s="1230">
        <v>45824</v>
      </c>
      <c r="F67" s="925" t="s">
        <v>103</v>
      </c>
    </row>
    <row r="68" spans="1:11">
      <c r="A68" s="57">
        <f t="shared" si="0"/>
        <v>62</v>
      </c>
      <c r="B68" s="591" t="s">
        <v>392</v>
      </c>
      <c r="C68" s="591" t="s">
        <v>242</v>
      </c>
      <c r="D68" s="591" t="s">
        <v>210</v>
      </c>
      <c r="E68" s="1230">
        <v>45824</v>
      </c>
      <c r="F68" s="591" t="s">
        <v>103</v>
      </c>
    </row>
    <row r="69" spans="1:11">
      <c r="A69" s="57">
        <f t="shared" si="0"/>
        <v>63</v>
      </c>
      <c r="B69" s="624" t="s">
        <v>157</v>
      </c>
      <c r="C69" s="624" t="s">
        <v>132</v>
      </c>
      <c r="D69" s="624" t="s">
        <v>210</v>
      </c>
      <c r="E69" s="1230">
        <v>45828</v>
      </c>
      <c r="F69" s="624" t="s">
        <v>103</v>
      </c>
    </row>
    <row r="70" spans="1:11">
      <c r="A70" s="57">
        <f t="shared" si="0"/>
        <v>64</v>
      </c>
      <c r="B70" s="640" t="s">
        <v>810</v>
      </c>
      <c r="C70" s="640" t="s">
        <v>1498</v>
      </c>
      <c r="D70" s="640" t="s">
        <v>210</v>
      </c>
      <c r="E70" s="1230">
        <v>45830</v>
      </c>
      <c r="F70" s="640" t="s">
        <v>103</v>
      </c>
    </row>
    <row r="71" spans="1:11">
      <c r="A71" s="57">
        <f t="shared" si="0"/>
        <v>65</v>
      </c>
      <c r="B71" s="315" t="s">
        <v>415</v>
      </c>
      <c r="C71" s="315" t="s">
        <v>119</v>
      </c>
      <c r="D71" s="315" t="s">
        <v>210</v>
      </c>
      <c r="E71" s="1230">
        <v>45832</v>
      </c>
      <c r="F71" s="315" t="s">
        <v>103</v>
      </c>
    </row>
    <row r="72" spans="1:11">
      <c r="A72" s="57">
        <f t="shared" si="0"/>
        <v>66</v>
      </c>
      <c r="B72" s="806" t="s">
        <v>193</v>
      </c>
      <c r="C72" s="806" t="s">
        <v>115</v>
      </c>
      <c r="D72" s="806" t="s">
        <v>210</v>
      </c>
      <c r="E72" s="1230">
        <v>45835</v>
      </c>
      <c r="F72" s="806" t="s">
        <v>103</v>
      </c>
    </row>
    <row r="73" spans="1:11">
      <c r="A73" s="57">
        <f t="shared" ref="A73:A136" si="1">A72+1</f>
        <v>67</v>
      </c>
      <c r="B73" s="843" t="s">
        <v>1496</v>
      </c>
      <c r="C73" s="843" t="s">
        <v>119</v>
      </c>
      <c r="D73" s="843" t="s">
        <v>210</v>
      </c>
      <c r="E73" s="1230">
        <v>45836</v>
      </c>
      <c r="F73" s="843" t="s">
        <v>103</v>
      </c>
      <c r="G73" s="873"/>
      <c r="H73" s="873"/>
      <c r="I73" s="873"/>
      <c r="J73" s="322"/>
      <c r="K73" s="322"/>
    </row>
    <row r="74" spans="1:11">
      <c r="A74" s="57">
        <f t="shared" si="1"/>
        <v>68</v>
      </c>
      <c r="B74" s="844" t="s">
        <v>816</v>
      </c>
      <c r="C74" s="844" t="s">
        <v>182</v>
      </c>
      <c r="D74" s="844" t="s">
        <v>210</v>
      </c>
      <c r="E74" s="1230">
        <v>45837</v>
      </c>
      <c r="F74" s="843" t="s">
        <v>103</v>
      </c>
    </row>
    <row r="75" spans="1:11">
      <c r="A75" s="57">
        <f t="shared" si="1"/>
        <v>69</v>
      </c>
      <c r="B75" s="844" t="s">
        <v>812</v>
      </c>
      <c r="C75" s="844" t="s">
        <v>182</v>
      </c>
      <c r="D75" s="844" t="s">
        <v>210</v>
      </c>
      <c r="E75" s="1230">
        <v>45837</v>
      </c>
      <c r="F75" s="843" t="s">
        <v>103</v>
      </c>
    </row>
    <row r="76" spans="1:11" hidden="1">
      <c r="A76" s="57">
        <f t="shared" si="1"/>
        <v>70</v>
      </c>
      <c r="B76" s="844" t="s">
        <v>1303</v>
      </c>
      <c r="C76" s="844" t="s">
        <v>125</v>
      </c>
      <c r="D76" s="844" t="s">
        <v>210</v>
      </c>
      <c r="E76" s="1230">
        <v>45837</v>
      </c>
      <c r="F76" s="843" t="s">
        <v>103</v>
      </c>
      <c r="G76" s="1142" t="s">
        <v>1736</v>
      </c>
    </row>
    <row r="77" spans="1:11">
      <c r="A77" s="57">
        <f t="shared" si="1"/>
        <v>71</v>
      </c>
      <c r="B77" s="925" t="s">
        <v>372</v>
      </c>
      <c r="C77" s="925" t="s">
        <v>185</v>
      </c>
      <c r="D77" s="925" t="s">
        <v>292</v>
      </c>
      <c r="E77" s="1230">
        <v>45839</v>
      </c>
      <c r="F77" s="925" t="s">
        <v>103</v>
      </c>
    </row>
    <row r="78" spans="1:11">
      <c r="A78" s="57">
        <f t="shared" si="1"/>
        <v>72</v>
      </c>
      <c r="B78" s="872" t="s">
        <v>817</v>
      </c>
      <c r="C78" s="872" t="s">
        <v>182</v>
      </c>
      <c r="D78" s="872" t="s">
        <v>210</v>
      </c>
      <c r="E78" s="1232">
        <v>45839</v>
      </c>
      <c r="F78" s="872" t="s">
        <v>103</v>
      </c>
    </row>
    <row r="79" spans="1:11">
      <c r="A79" s="57">
        <f t="shared" si="1"/>
        <v>73</v>
      </c>
      <c r="B79" s="848" t="s">
        <v>412</v>
      </c>
      <c r="C79" s="848" t="s">
        <v>119</v>
      </c>
      <c r="D79" s="848" t="s">
        <v>292</v>
      </c>
      <c r="E79" s="1230">
        <v>45844</v>
      </c>
      <c r="F79" s="848" t="s">
        <v>103</v>
      </c>
    </row>
    <row r="80" spans="1:11">
      <c r="A80" s="57">
        <f t="shared" si="1"/>
        <v>74</v>
      </c>
      <c r="B80" s="882" t="s">
        <v>1372</v>
      </c>
      <c r="C80" s="882" t="s">
        <v>115</v>
      </c>
      <c r="D80" s="882" t="s">
        <v>210</v>
      </c>
      <c r="E80" s="1230">
        <v>45845</v>
      </c>
      <c r="F80" s="882" t="s">
        <v>103</v>
      </c>
    </row>
    <row r="81" spans="1:6">
      <c r="A81" s="57">
        <f t="shared" si="1"/>
        <v>75</v>
      </c>
      <c r="B81" s="1026" t="s">
        <v>727</v>
      </c>
      <c r="C81" s="1026" t="s">
        <v>128</v>
      </c>
      <c r="D81" s="1026" t="s">
        <v>210</v>
      </c>
      <c r="E81" s="1230">
        <v>45845</v>
      </c>
      <c r="F81" s="1026" t="s">
        <v>103</v>
      </c>
    </row>
    <row r="82" spans="1:6">
      <c r="A82" s="57">
        <f t="shared" si="1"/>
        <v>76</v>
      </c>
      <c r="B82" s="885" t="s">
        <v>808</v>
      </c>
      <c r="C82" s="885" t="s">
        <v>185</v>
      </c>
      <c r="D82" s="885" t="s">
        <v>210</v>
      </c>
      <c r="E82" s="1230">
        <v>45846</v>
      </c>
      <c r="F82" s="882" t="s">
        <v>103</v>
      </c>
    </row>
    <row r="83" spans="1:6">
      <c r="A83" s="57">
        <f t="shared" si="1"/>
        <v>77</v>
      </c>
      <c r="B83" s="885" t="s">
        <v>1571</v>
      </c>
      <c r="C83" s="885" t="s">
        <v>115</v>
      </c>
      <c r="D83" s="885" t="s">
        <v>210</v>
      </c>
      <c r="E83" s="1230">
        <v>45846</v>
      </c>
      <c r="F83" s="882" t="s">
        <v>103</v>
      </c>
    </row>
    <row r="84" spans="1:6">
      <c r="A84" s="57">
        <f t="shared" si="1"/>
        <v>78</v>
      </c>
      <c r="B84" s="1026" t="s">
        <v>270</v>
      </c>
      <c r="C84" s="1026" t="s">
        <v>1666</v>
      </c>
      <c r="D84" s="1026" t="s">
        <v>210</v>
      </c>
      <c r="E84" s="1230">
        <v>45848</v>
      </c>
      <c r="F84" s="1026" t="s">
        <v>103</v>
      </c>
    </row>
    <row r="85" spans="1:6">
      <c r="A85" s="57">
        <f t="shared" si="1"/>
        <v>79</v>
      </c>
      <c r="B85" s="315" t="s">
        <v>463</v>
      </c>
      <c r="C85" s="315" t="s">
        <v>248</v>
      </c>
      <c r="D85" s="972" t="s">
        <v>210</v>
      </c>
      <c r="E85" s="1230">
        <v>45848</v>
      </c>
      <c r="F85" s="972" t="s">
        <v>103</v>
      </c>
    </row>
    <row r="86" spans="1:6">
      <c r="A86" s="57">
        <f t="shared" si="1"/>
        <v>80</v>
      </c>
      <c r="B86" s="897" t="s">
        <v>806</v>
      </c>
      <c r="C86" s="897" t="s">
        <v>182</v>
      </c>
      <c r="D86" s="897" t="s">
        <v>210</v>
      </c>
      <c r="E86" s="1231">
        <v>45850</v>
      </c>
      <c r="F86" s="897" t="s">
        <v>103</v>
      </c>
    </row>
    <row r="87" spans="1:6">
      <c r="A87" s="57">
        <f t="shared" si="1"/>
        <v>81</v>
      </c>
      <c r="B87" s="911" t="s">
        <v>765</v>
      </c>
      <c r="C87" s="911" t="s">
        <v>185</v>
      </c>
      <c r="D87" s="911" t="s">
        <v>210</v>
      </c>
      <c r="E87" s="1230">
        <v>45854</v>
      </c>
      <c r="F87" s="911" t="s">
        <v>103</v>
      </c>
    </row>
    <row r="88" spans="1:6">
      <c r="A88" s="57">
        <f t="shared" si="1"/>
        <v>82</v>
      </c>
      <c r="B88" s="911" t="s">
        <v>168</v>
      </c>
      <c r="C88" s="911" t="s">
        <v>132</v>
      </c>
      <c r="D88" s="911" t="s">
        <v>292</v>
      </c>
      <c r="E88" s="1230">
        <v>45854</v>
      </c>
      <c r="F88" s="911" t="s">
        <v>103</v>
      </c>
    </row>
    <row r="89" spans="1:6">
      <c r="A89" s="57">
        <f t="shared" si="1"/>
        <v>83</v>
      </c>
      <c r="B89" s="1026" t="s">
        <v>819</v>
      </c>
      <c r="C89" s="1026" t="s">
        <v>182</v>
      </c>
      <c r="D89" s="1026" t="s">
        <v>210</v>
      </c>
      <c r="E89" s="1231">
        <v>45855</v>
      </c>
      <c r="F89" s="1026" t="s">
        <v>103</v>
      </c>
    </row>
    <row r="90" spans="1:6">
      <c r="A90" s="57">
        <f t="shared" si="1"/>
        <v>84</v>
      </c>
      <c r="B90" s="1026" t="s">
        <v>820</v>
      </c>
      <c r="C90" s="1026" t="s">
        <v>182</v>
      </c>
      <c r="D90" s="1026" t="s">
        <v>210</v>
      </c>
      <c r="E90" s="1231">
        <v>45855</v>
      </c>
      <c r="F90" s="1026" t="s">
        <v>103</v>
      </c>
    </row>
    <row r="91" spans="1:6">
      <c r="A91" s="57">
        <f t="shared" si="1"/>
        <v>85</v>
      </c>
      <c r="B91" s="1026" t="s">
        <v>818</v>
      </c>
      <c r="C91" s="1026" t="s">
        <v>182</v>
      </c>
      <c r="D91" s="1026" t="s">
        <v>210</v>
      </c>
      <c r="E91" s="1231">
        <v>45855</v>
      </c>
      <c r="F91" s="1026" t="s">
        <v>103</v>
      </c>
    </row>
    <row r="92" spans="1:6">
      <c r="A92" s="57">
        <f t="shared" si="1"/>
        <v>86</v>
      </c>
      <c r="B92" s="925" t="s">
        <v>1321</v>
      </c>
      <c r="C92" s="925" t="s">
        <v>115</v>
      </c>
      <c r="D92" s="925" t="s">
        <v>210</v>
      </c>
      <c r="E92" s="1230">
        <v>45858</v>
      </c>
      <c r="F92" s="925" t="s">
        <v>103</v>
      </c>
    </row>
    <row r="93" spans="1:6">
      <c r="A93" s="57">
        <f t="shared" si="1"/>
        <v>87</v>
      </c>
      <c r="B93" s="925" t="s">
        <v>1595</v>
      </c>
      <c r="C93" s="925" t="s">
        <v>167</v>
      </c>
      <c r="D93" s="925" t="s">
        <v>210</v>
      </c>
      <c r="E93" s="1230">
        <v>45858</v>
      </c>
      <c r="F93" s="925" t="s">
        <v>103</v>
      </c>
    </row>
    <row r="94" spans="1:6">
      <c r="A94" s="57">
        <f t="shared" si="1"/>
        <v>88</v>
      </c>
      <c r="B94" s="925" t="s">
        <v>763</v>
      </c>
      <c r="C94" s="925" t="s">
        <v>182</v>
      </c>
      <c r="D94" s="925" t="s">
        <v>210</v>
      </c>
      <c r="E94" s="1230">
        <v>45858</v>
      </c>
      <c r="F94" s="925" t="s">
        <v>103</v>
      </c>
    </row>
    <row r="95" spans="1:6">
      <c r="A95" s="57">
        <f t="shared" si="1"/>
        <v>89</v>
      </c>
      <c r="B95" s="926" t="s">
        <v>380</v>
      </c>
      <c r="C95" s="926" t="s">
        <v>119</v>
      </c>
      <c r="D95" s="926" t="s">
        <v>210</v>
      </c>
      <c r="E95" s="1233">
        <v>45859</v>
      </c>
      <c r="F95" s="926" t="s">
        <v>103</v>
      </c>
    </row>
    <row r="96" spans="1:6">
      <c r="A96" s="57">
        <f t="shared" si="1"/>
        <v>90</v>
      </c>
      <c r="B96" s="926" t="s">
        <v>823</v>
      </c>
      <c r="C96" s="926" t="s">
        <v>182</v>
      </c>
      <c r="D96" s="926" t="s">
        <v>210</v>
      </c>
      <c r="E96" s="1230">
        <v>45859</v>
      </c>
      <c r="F96" s="926" t="s">
        <v>103</v>
      </c>
    </row>
    <row r="97" spans="1:6">
      <c r="A97" s="57">
        <f t="shared" si="1"/>
        <v>91</v>
      </c>
      <c r="B97" s="931" t="s">
        <v>1610</v>
      </c>
      <c r="C97" s="931" t="s">
        <v>115</v>
      </c>
      <c r="D97" s="931" t="s">
        <v>210</v>
      </c>
      <c r="E97" s="1230">
        <v>45860</v>
      </c>
      <c r="F97" s="931" t="s">
        <v>103</v>
      </c>
    </row>
    <row r="98" spans="1:6">
      <c r="A98" s="57">
        <f t="shared" si="1"/>
        <v>92</v>
      </c>
      <c r="B98" s="942" t="s">
        <v>183</v>
      </c>
      <c r="C98" s="942" t="s">
        <v>182</v>
      </c>
      <c r="D98" s="942" t="s">
        <v>210</v>
      </c>
      <c r="E98" s="1230">
        <v>45863</v>
      </c>
      <c r="F98" s="942" t="s">
        <v>103</v>
      </c>
    </row>
    <row r="99" spans="1:6">
      <c r="A99" s="57">
        <f t="shared" si="1"/>
        <v>93</v>
      </c>
      <c r="B99" s="942" t="s">
        <v>166</v>
      </c>
      <c r="C99" s="942" t="s">
        <v>167</v>
      </c>
      <c r="D99" s="942" t="s">
        <v>210</v>
      </c>
      <c r="E99" s="1230">
        <v>45863</v>
      </c>
      <c r="F99" s="942" t="s">
        <v>103</v>
      </c>
    </row>
    <row r="100" spans="1:6">
      <c r="A100" s="57">
        <f t="shared" si="1"/>
        <v>94</v>
      </c>
      <c r="B100" s="944" t="s">
        <v>767</v>
      </c>
      <c r="C100" s="944" t="s">
        <v>242</v>
      </c>
      <c r="D100" s="942" t="s">
        <v>210</v>
      </c>
      <c r="E100" s="1231">
        <v>45864</v>
      </c>
      <c r="F100" s="944" t="s">
        <v>103</v>
      </c>
    </row>
    <row r="101" spans="1:6">
      <c r="A101" s="57">
        <f t="shared" si="1"/>
        <v>95</v>
      </c>
      <c r="B101" s="1026" t="s">
        <v>824</v>
      </c>
      <c r="C101" s="1026" t="s">
        <v>182</v>
      </c>
      <c r="D101" s="1026" t="s">
        <v>210</v>
      </c>
      <c r="E101" s="1231">
        <v>45865</v>
      </c>
      <c r="F101" s="1026" t="s">
        <v>103</v>
      </c>
    </row>
    <row r="102" spans="1:6">
      <c r="A102" s="57">
        <f t="shared" si="1"/>
        <v>96</v>
      </c>
      <c r="B102" s="967" t="s">
        <v>385</v>
      </c>
      <c r="C102" s="967" t="s">
        <v>182</v>
      </c>
      <c r="D102" s="967" t="s">
        <v>210</v>
      </c>
      <c r="E102" s="1230">
        <v>45866</v>
      </c>
      <c r="F102" s="944" t="s">
        <v>103</v>
      </c>
    </row>
    <row r="103" spans="1:6">
      <c r="A103" s="57">
        <f t="shared" si="1"/>
        <v>97</v>
      </c>
      <c r="B103" s="972" t="s">
        <v>427</v>
      </c>
      <c r="C103" s="972" t="s">
        <v>185</v>
      </c>
      <c r="D103" s="972" t="s">
        <v>210</v>
      </c>
      <c r="E103" s="1230">
        <v>45867</v>
      </c>
      <c r="F103" s="972" t="s">
        <v>103</v>
      </c>
    </row>
    <row r="104" spans="1:6">
      <c r="A104" s="57">
        <f t="shared" si="1"/>
        <v>98</v>
      </c>
      <c r="B104" s="315" t="s">
        <v>731</v>
      </c>
      <c r="C104" s="315" t="s">
        <v>115</v>
      </c>
      <c r="D104" s="972" t="s">
        <v>210</v>
      </c>
      <c r="E104" s="1230">
        <v>45868</v>
      </c>
      <c r="F104" s="972" t="s">
        <v>103</v>
      </c>
    </row>
    <row r="105" spans="1:6">
      <c r="A105" s="57">
        <f t="shared" si="1"/>
        <v>99</v>
      </c>
      <c r="B105" s="993" t="s">
        <v>1365</v>
      </c>
      <c r="C105" s="993" t="s">
        <v>185</v>
      </c>
      <c r="D105" s="972" t="s">
        <v>210</v>
      </c>
      <c r="E105" s="1230">
        <v>45869</v>
      </c>
      <c r="F105" s="972" t="s">
        <v>103</v>
      </c>
    </row>
    <row r="106" spans="1:6">
      <c r="A106" s="57">
        <f t="shared" si="1"/>
        <v>100</v>
      </c>
      <c r="B106" s="993" t="s">
        <v>1366</v>
      </c>
      <c r="C106" s="993" t="s">
        <v>182</v>
      </c>
      <c r="D106" s="972" t="s">
        <v>210</v>
      </c>
      <c r="E106" s="1230">
        <v>45869</v>
      </c>
      <c r="F106" s="972" t="s">
        <v>103</v>
      </c>
    </row>
    <row r="107" spans="1:6">
      <c r="A107" s="57">
        <f t="shared" si="1"/>
        <v>101</v>
      </c>
      <c r="B107" s="1026" t="s">
        <v>174</v>
      </c>
      <c r="C107" s="1026" t="s">
        <v>1633</v>
      </c>
      <c r="D107" s="1026" t="s">
        <v>210</v>
      </c>
      <c r="E107" s="1231">
        <v>45870</v>
      </c>
      <c r="F107" s="1026" t="s">
        <v>103</v>
      </c>
    </row>
    <row r="108" spans="1:6">
      <c r="A108" s="57">
        <f t="shared" si="1"/>
        <v>102</v>
      </c>
      <c r="B108" s="1026" t="s">
        <v>180</v>
      </c>
      <c r="C108" s="1026" t="s">
        <v>182</v>
      </c>
      <c r="D108" s="1026" t="s">
        <v>210</v>
      </c>
      <c r="E108" s="1231">
        <v>45870</v>
      </c>
      <c r="F108" s="1026" t="s">
        <v>103</v>
      </c>
    </row>
    <row r="109" spans="1:6">
      <c r="A109" s="57">
        <f t="shared" si="1"/>
        <v>103</v>
      </c>
      <c r="B109" s="1027" t="s">
        <v>422</v>
      </c>
      <c r="C109" s="1027" t="s">
        <v>125</v>
      </c>
      <c r="D109" s="1027" t="s">
        <v>292</v>
      </c>
      <c r="E109" s="1230">
        <v>45871</v>
      </c>
      <c r="F109" s="1027" t="s">
        <v>103</v>
      </c>
    </row>
    <row r="110" spans="1:6">
      <c r="A110" s="57">
        <f t="shared" si="1"/>
        <v>104</v>
      </c>
      <c r="B110" s="1028" t="s">
        <v>158</v>
      </c>
      <c r="C110" s="1028" t="s">
        <v>115</v>
      </c>
      <c r="D110" s="1028" t="s">
        <v>210</v>
      </c>
      <c r="E110" s="1230">
        <v>45872</v>
      </c>
      <c r="F110" s="1028" t="s">
        <v>103</v>
      </c>
    </row>
    <row r="111" spans="1:6">
      <c r="A111" s="57">
        <f t="shared" si="1"/>
        <v>105</v>
      </c>
      <c r="B111" s="1028" t="s">
        <v>1658</v>
      </c>
      <c r="C111" s="1028" t="s">
        <v>125</v>
      </c>
      <c r="D111" s="1028" t="s">
        <v>210</v>
      </c>
      <c r="E111" s="1230">
        <v>45872</v>
      </c>
      <c r="F111" s="1028" t="s">
        <v>103</v>
      </c>
    </row>
    <row r="112" spans="1:6">
      <c r="A112" s="57">
        <f t="shared" si="1"/>
        <v>106</v>
      </c>
      <c r="B112" s="1030" t="s">
        <v>161</v>
      </c>
      <c r="C112" s="1030" t="s">
        <v>115</v>
      </c>
      <c r="D112" s="1030" t="s">
        <v>210</v>
      </c>
      <c r="E112" s="1230">
        <v>45874</v>
      </c>
      <c r="F112" s="1030" t="s">
        <v>103</v>
      </c>
    </row>
    <row r="113" spans="1:6">
      <c r="A113" s="57">
        <f t="shared" si="1"/>
        <v>107</v>
      </c>
      <c r="B113" s="1030" t="s">
        <v>418</v>
      </c>
      <c r="C113" s="1030" t="s">
        <v>185</v>
      </c>
      <c r="D113" s="1030" t="s">
        <v>210</v>
      </c>
      <c r="E113" s="1230">
        <v>45875</v>
      </c>
      <c r="F113" s="1030" t="s">
        <v>103</v>
      </c>
    </row>
    <row r="114" spans="1:6">
      <c r="A114" s="57">
        <f t="shared" si="1"/>
        <v>108</v>
      </c>
      <c r="B114" s="1033" t="s">
        <v>1336</v>
      </c>
      <c r="C114" s="1032" t="s">
        <v>1611</v>
      </c>
      <c r="D114" s="1033" t="s">
        <v>210</v>
      </c>
      <c r="E114" s="1230">
        <v>45876</v>
      </c>
      <c r="F114" s="1033" t="s">
        <v>103</v>
      </c>
    </row>
    <row r="115" spans="1:6">
      <c r="A115" s="57">
        <f t="shared" si="1"/>
        <v>109</v>
      </c>
      <c r="B115" s="1033" t="s">
        <v>181</v>
      </c>
      <c r="C115" s="1034" t="s">
        <v>182</v>
      </c>
      <c r="D115" s="1034" t="s">
        <v>210</v>
      </c>
      <c r="E115" s="1230">
        <v>45877</v>
      </c>
      <c r="F115" s="1034" t="s">
        <v>103</v>
      </c>
    </row>
    <row r="116" spans="1:6">
      <c r="A116" s="57">
        <f t="shared" si="1"/>
        <v>110</v>
      </c>
      <c r="B116" s="1034" t="s">
        <v>439</v>
      </c>
      <c r="C116" s="1034" t="s">
        <v>182</v>
      </c>
      <c r="D116" s="1034" t="s">
        <v>210</v>
      </c>
      <c r="E116" s="1230">
        <v>45877</v>
      </c>
      <c r="F116" s="1034" t="s">
        <v>103</v>
      </c>
    </row>
    <row r="117" spans="1:6">
      <c r="A117" s="57">
        <f t="shared" si="1"/>
        <v>111</v>
      </c>
      <c r="B117" s="1034" t="s">
        <v>869</v>
      </c>
      <c r="C117" s="1034" t="s">
        <v>115</v>
      </c>
      <c r="D117" s="1034" t="s">
        <v>210</v>
      </c>
      <c r="E117" s="1230">
        <v>45877</v>
      </c>
      <c r="F117" s="1034" t="s">
        <v>103</v>
      </c>
    </row>
    <row r="118" spans="1:6">
      <c r="A118" s="57">
        <f t="shared" si="1"/>
        <v>112</v>
      </c>
      <c r="B118" s="1036" t="s">
        <v>190</v>
      </c>
      <c r="C118" s="1036" t="s">
        <v>192</v>
      </c>
      <c r="D118" s="1036" t="s">
        <v>210</v>
      </c>
      <c r="E118" s="1231">
        <v>45875</v>
      </c>
      <c r="F118" s="1034" t="s">
        <v>103</v>
      </c>
    </row>
    <row r="119" spans="1:6">
      <c r="A119" s="57">
        <f t="shared" si="1"/>
        <v>113</v>
      </c>
      <c r="B119" s="1036" t="s">
        <v>799</v>
      </c>
      <c r="C119" s="1036" t="s">
        <v>182</v>
      </c>
      <c r="D119" s="1036" t="s">
        <v>210</v>
      </c>
      <c r="E119" s="1231">
        <v>45875</v>
      </c>
      <c r="F119" s="1034" t="s">
        <v>103</v>
      </c>
    </row>
    <row r="120" spans="1:6">
      <c r="A120" s="57">
        <f t="shared" si="1"/>
        <v>114</v>
      </c>
      <c r="B120" s="1036" t="s">
        <v>798</v>
      </c>
      <c r="C120" s="1036" t="s">
        <v>185</v>
      </c>
      <c r="D120" s="1036" t="s">
        <v>210</v>
      </c>
      <c r="E120" s="1231">
        <v>45875</v>
      </c>
      <c r="F120" s="1034" t="s">
        <v>103</v>
      </c>
    </row>
    <row r="121" spans="1:6">
      <c r="A121" s="57">
        <f t="shared" si="1"/>
        <v>115</v>
      </c>
      <c r="B121" s="1036" t="s">
        <v>805</v>
      </c>
      <c r="C121" s="1036" t="s">
        <v>182</v>
      </c>
      <c r="D121" s="1036" t="s">
        <v>210</v>
      </c>
      <c r="E121" s="1231">
        <v>45875</v>
      </c>
      <c r="F121" s="1034" t="s">
        <v>103</v>
      </c>
    </row>
    <row r="122" spans="1:6">
      <c r="A122" s="57">
        <f t="shared" si="1"/>
        <v>116</v>
      </c>
      <c r="B122" s="1036" t="s">
        <v>800</v>
      </c>
      <c r="C122" s="1036" t="s">
        <v>185</v>
      </c>
      <c r="D122" s="1036" t="s">
        <v>210</v>
      </c>
      <c r="E122" s="1231">
        <v>45875</v>
      </c>
      <c r="F122" s="1034" t="s">
        <v>103</v>
      </c>
    </row>
    <row r="123" spans="1:6">
      <c r="A123" s="57">
        <f t="shared" si="1"/>
        <v>117</v>
      </c>
      <c r="B123" s="1036" t="s">
        <v>191</v>
      </c>
      <c r="C123" s="1036" t="s">
        <v>192</v>
      </c>
      <c r="D123" s="1036" t="s">
        <v>210</v>
      </c>
      <c r="E123" s="1231">
        <v>45876</v>
      </c>
      <c r="F123" s="1036" t="s">
        <v>103</v>
      </c>
    </row>
    <row r="124" spans="1:6">
      <c r="A124" s="57">
        <f t="shared" si="1"/>
        <v>118</v>
      </c>
      <c r="B124" s="1039" t="s">
        <v>425</v>
      </c>
      <c r="C124" s="1039" t="s">
        <v>1374</v>
      </c>
      <c r="D124" s="1039" t="s">
        <v>210</v>
      </c>
      <c r="E124" s="1231">
        <v>45881</v>
      </c>
      <c r="F124" s="1036" t="s">
        <v>103</v>
      </c>
    </row>
    <row r="125" spans="1:6">
      <c r="A125" s="57">
        <f t="shared" si="1"/>
        <v>119</v>
      </c>
      <c r="B125" s="1039" t="s">
        <v>794</v>
      </c>
      <c r="C125" s="1039" t="s">
        <v>242</v>
      </c>
      <c r="D125" s="1039" t="s">
        <v>210</v>
      </c>
      <c r="E125" s="1231">
        <v>45881</v>
      </c>
      <c r="F125" s="1036" t="s">
        <v>103</v>
      </c>
    </row>
    <row r="126" spans="1:6">
      <c r="A126" s="57">
        <f t="shared" si="1"/>
        <v>120</v>
      </c>
      <c r="B126" s="1037" t="s">
        <v>465</v>
      </c>
      <c r="C126" s="1037" t="s">
        <v>132</v>
      </c>
      <c r="D126" s="1037" t="s">
        <v>210</v>
      </c>
      <c r="E126" s="1231">
        <v>45885</v>
      </c>
      <c r="F126" s="1036" t="s">
        <v>103</v>
      </c>
    </row>
    <row r="127" spans="1:6">
      <c r="A127" s="57">
        <f t="shared" si="1"/>
        <v>121</v>
      </c>
      <c r="B127" s="1037" t="s">
        <v>438</v>
      </c>
      <c r="C127" s="1037" t="s">
        <v>182</v>
      </c>
      <c r="D127" s="1037" t="s">
        <v>210</v>
      </c>
      <c r="E127" s="1231">
        <v>45885</v>
      </c>
      <c r="F127" s="1036" t="s">
        <v>103</v>
      </c>
    </row>
    <row r="128" spans="1:6">
      <c r="A128" s="57">
        <f t="shared" si="1"/>
        <v>122</v>
      </c>
      <c r="B128" s="1042" t="s">
        <v>790</v>
      </c>
      <c r="C128" s="1042" t="s">
        <v>182</v>
      </c>
      <c r="D128" s="1042" t="s">
        <v>210</v>
      </c>
      <c r="E128" s="1231">
        <v>45888</v>
      </c>
      <c r="F128" s="1036" t="s">
        <v>103</v>
      </c>
    </row>
    <row r="129" spans="1:6">
      <c r="A129" s="57">
        <f t="shared" si="1"/>
        <v>123</v>
      </c>
      <c r="B129" s="1042" t="s">
        <v>795</v>
      </c>
      <c r="C129" s="1042" t="s">
        <v>182</v>
      </c>
      <c r="D129" s="1042" t="s">
        <v>210</v>
      </c>
      <c r="E129" s="1231">
        <v>45888</v>
      </c>
      <c r="F129" s="1036" t="s">
        <v>103</v>
      </c>
    </row>
    <row r="130" spans="1:6">
      <c r="A130" s="57">
        <f t="shared" si="1"/>
        <v>124</v>
      </c>
      <c r="B130" s="1042" t="s">
        <v>1362</v>
      </c>
      <c r="C130" s="1042" t="s">
        <v>125</v>
      </c>
      <c r="D130" s="1042" t="s">
        <v>210</v>
      </c>
      <c r="E130" s="1231">
        <v>45888</v>
      </c>
      <c r="F130" s="1036" t="s">
        <v>103</v>
      </c>
    </row>
    <row r="131" spans="1:6">
      <c r="A131" s="57">
        <f t="shared" si="1"/>
        <v>125</v>
      </c>
      <c r="B131" s="1043" t="s">
        <v>755</v>
      </c>
      <c r="C131" s="315" t="s">
        <v>185</v>
      </c>
      <c r="D131" s="315" t="s">
        <v>210</v>
      </c>
      <c r="E131" s="1231">
        <v>45890</v>
      </c>
      <c r="F131" s="315" t="s">
        <v>103</v>
      </c>
    </row>
    <row r="132" spans="1:6">
      <c r="A132" s="57">
        <f t="shared" si="1"/>
        <v>126</v>
      </c>
      <c r="B132" s="315" t="s">
        <v>756</v>
      </c>
      <c r="C132" s="315" t="s">
        <v>185</v>
      </c>
      <c r="D132" s="315" t="s">
        <v>210</v>
      </c>
      <c r="E132" s="1231">
        <v>45890</v>
      </c>
      <c r="F132" s="315" t="s">
        <v>103</v>
      </c>
    </row>
    <row r="133" spans="1:6">
      <c r="A133" s="57">
        <f t="shared" si="1"/>
        <v>127</v>
      </c>
      <c r="B133" s="1043" t="s">
        <v>189</v>
      </c>
      <c r="C133" s="1043" t="s">
        <v>115</v>
      </c>
      <c r="D133" s="1043" t="s">
        <v>210</v>
      </c>
      <c r="E133" s="1231">
        <v>45890</v>
      </c>
      <c r="F133" s="315" t="s">
        <v>103</v>
      </c>
    </row>
    <row r="134" spans="1:6">
      <c r="A134" s="57">
        <f t="shared" si="1"/>
        <v>128</v>
      </c>
      <c r="B134" s="315" t="s">
        <v>739</v>
      </c>
      <c r="C134" s="315" t="s">
        <v>182</v>
      </c>
      <c r="D134" s="315" t="s">
        <v>210</v>
      </c>
      <c r="E134" s="1231">
        <v>45895</v>
      </c>
      <c r="F134" s="315" t="s">
        <v>103</v>
      </c>
    </row>
    <row r="135" spans="1:6">
      <c r="A135" s="57">
        <f t="shared" si="1"/>
        <v>129</v>
      </c>
      <c r="B135" s="315" t="s">
        <v>866</v>
      </c>
      <c r="C135" s="315" t="s">
        <v>137</v>
      </c>
      <c r="D135" s="315" t="s">
        <v>210</v>
      </c>
      <c r="E135" s="1231">
        <v>45895</v>
      </c>
      <c r="F135" s="315" t="s">
        <v>103</v>
      </c>
    </row>
    <row r="136" spans="1:6">
      <c r="A136" s="57">
        <f t="shared" si="1"/>
        <v>130</v>
      </c>
      <c r="B136" s="315" t="s">
        <v>751</v>
      </c>
      <c r="C136" s="315" t="s">
        <v>185</v>
      </c>
      <c r="D136" s="315" t="s">
        <v>210</v>
      </c>
      <c r="E136" s="1231">
        <v>45895</v>
      </c>
      <c r="F136" s="315" t="s">
        <v>103</v>
      </c>
    </row>
    <row r="137" spans="1:6">
      <c r="A137" s="57">
        <f t="shared" ref="A137:A143" si="2">A136+1</f>
        <v>131</v>
      </c>
      <c r="B137" s="315" t="s">
        <v>868</v>
      </c>
      <c r="C137" s="315" t="s">
        <v>137</v>
      </c>
      <c r="D137" s="315" t="s">
        <v>210</v>
      </c>
      <c r="E137" s="1231">
        <v>45895</v>
      </c>
      <c r="F137" s="315" t="s">
        <v>103</v>
      </c>
    </row>
    <row r="138" spans="1:6">
      <c r="A138" s="57">
        <f t="shared" si="2"/>
        <v>132</v>
      </c>
      <c r="B138" s="315" t="s">
        <v>177</v>
      </c>
      <c r="C138" s="315" t="s">
        <v>128</v>
      </c>
      <c r="D138" s="315" t="s">
        <v>210</v>
      </c>
      <c r="E138" s="1231">
        <v>45895</v>
      </c>
      <c r="F138" s="315" t="s">
        <v>103</v>
      </c>
    </row>
    <row r="139" spans="1:6">
      <c r="A139" s="57">
        <f t="shared" si="2"/>
        <v>133</v>
      </c>
      <c r="B139" s="315" t="s">
        <v>743</v>
      </c>
      <c r="C139" s="315" t="s">
        <v>242</v>
      </c>
      <c r="D139" s="315" t="s">
        <v>210</v>
      </c>
      <c r="E139" s="1231">
        <v>45895</v>
      </c>
      <c r="F139" s="315" t="s">
        <v>103</v>
      </c>
    </row>
    <row r="140" spans="1:6">
      <c r="A140" s="57">
        <f t="shared" si="2"/>
        <v>134</v>
      </c>
      <c r="B140" s="315" t="s">
        <v>744</v>
      </c>
      <c r="C140" s="315" t="s">
        <v>185</v>
      </c>
      <c r="D140" s="315" t="s">
        <v>210</v>
      </c>
      <c r="E140" s="1231">
        <v>45895</v>
      </c>
      <c r="F140" s="315" t="s">
        <v>103</v>
      </c>
    </row>
    <row r="141" spans="1:6">
      <c r="A141" s="57">
        <f t="shared" si="2"/>
        <v>135</v>
      </c>
      <c r="B141" s="315" t="s">
        <v>821</v>
      </c>
      <c r="C141" s="315" t="s">
        <v>182</v>
      </c>
      <c r="D141" s="315" t="s">
        <v>210</v>
      </c>
      <c r="E141" s="1231">
        <v>45895</v>
      </c>
      <c r="F141" s="315" t="s">
        <v>103</v>
      </c>
    </row>
    <row r="142" spans="1:6">
      <c r="A142" s="57">
        <f t="shared" si="2"/>
        <v>136</v>
      </c>
      <c r="B142" s="315" t="s">
        <v>822</v>
      </c>
      <c r="C142" s="315" t="s">
        <v>182</v>
      </c>
      <c r="D142" s="315" t="s">
        <v>210</v>
      </c>
      <c r="E142" s="1231">
        <v>45895</v>
      </c>
      <c r="F142" s="315" t="s">
        <v>103</v>
      </c>
    </row>
    <row r="143" spans="1:6">
      <c r="A143" s="57">
        <f t="shared" si="2"/>
        <v>137</v>
      </c>
      <c r="B143" s="1050" t="s">
        <v>1672</v>
      </c>
      <c r="C143" s="1050" t="s">
        <v>188</v>
      </c>
      <c r="D143" s="1050" t="s">
        <v>210</v>
      </c>
      <c r="E143" s="1231">
        <v>45897</v>
      </c>
      <c r="F143" s="1050" t="s">
        <v>103</v>
      </c>
    </row>
    <row r="144" spans="1:6">
      <c r="A144" s="57">
        <f>A143+1</f>
        <v>138</v>
      </c>
      <c r="B144" s="1050" t="s">
        <v>1679</v>
      </c>
      <c r="C144" s="1050" t="s">
        <v>125</v>
      </c>
      <c r="D144" s="1050" t="s">
        <v>210</v>
      </c>
      <c r="E144" s="1231">
        <v>45897</v>
      </c>
      <c r="F144" s="1050" t="s">
        <v>103</v>
      </c>
    </row>
    <row r="145" spans="1:6">
      <c r="A145" s="57">
        <f t="shared" ref="A145:A196" si="3">A144+1</f>
        <v>139</v>
      </c>
      <c r="B145" s="1062" t="s">
        <v>1680</v>
      </c>
      <c r="C145" s="1062" t="s">
        <v>188</v>
      </c>
      <c r="D145" s="1050" t="s">
        <v>210</v>
      </c>
      <c r="E145" s="1234">
        <v>45901</v>
      </c>
      <c r="F145" s="1050" t="s">
        <v>103</v>
      </c>
    </row>
    <row r="146" spans="1:6">
      <c r="A146" s="57">
        <f t="shared" si="3"/>
        <v>140</v>
      </c>
      <c r="B146" s="1227" t="s">
        <v>1654</v>
      </c>
      <c r="C146" s="1062" t="s">
        <v>185</v>
      </c>
      <c r="D146" s="1050" t="s">
        <v>210</v>
      </c>
      <c r="E146" s="1231">
        <v>45867</v>
      </c>
      <c r="F146" s="1050" t="s">
        <v>103</v>
      </c>
    </row>
    <row r="147" spans="1:6">
      <c r="A147" s="57">
        <f t="shared" si="3"/>
        <v>141</v>
      </c>
      <c r="B147" s="316" t="s">
        <v>804</v>
      </c>
      <c r="C147" s="1062" t="s">
        <v>182</v>
      </c>
      <c r="D147" s="1050" t="s">
        <v>210</v>
      </c>
      <c r="E147" s="1231">
        <v>45855</v>
      </c>
      <c r="F147" s="1050" t="s">
        <v>103</v>
      </c>
    </row>
    <row r="148" spans="1:6">
      <c r="A148" s="57">
        <f t="shared" si="3"/>
        <v>142</v>
      </c>
      <c r="B148" s="316" t="s">
        <v>803</v>
      </c>
      <c r="C148" s="1062" t="s">
        <v>185</v>
      </c>
      <c r="D148" s="1050" t="s">
        <v>210</v>
      </c>
      <c r="E148" s="1231">
        <v>45855</v>
      </c>
      <c r="F148" s="1050" t="s">
        <v>103</v>
      </c>
    </row>
    <row r="149" spans="1:6">
      <c r="A149" s="57">
        <f t="shared" si="3"/>
        <v>143</v>
      </c>
      <c r="B149" s="316" t="s">
        <v>797</v>
      </c>
      <c r="C149" s="1062" t="s">
        <v>185</v>
      </c>
      <c r="D149" s="1050" t="s">
        <v>210</v>
      </c>
      <c r="E149" s="1231">
        <v>45888</v>
      </c>
      <c r="F149" s="1050" t="s">
        <v>103</v>
      </c>
    </row>
    <row r="150" spans="1:6">
      <c r="A150" s="57">
        <f t="shared" si="3"/>
        <v>144</v>
      </c>
      <c r="B150" s="316" t="s">
        <v>788</v>
      </c>
      <c r="C150" s="1062" t="s">
        <v>185</v>
      </c>
      <c r="D150" s="1050" t="s">
        <v>210</v>
      </c>
      <c r="E150" s="1231">
        <v>45888</v>
      </c>
      <c r="F150" s="1050" t="s">
        <v>103</v>
      </c>
    </row>
    <row r="151" spans="1:6">
      <c r="A151" s="57">
        <f t="shared" si="3"/>
        <v>145</v>
      </c>
      <c r="B151" s="316" t="s">
        <v>787</v>
      </c>
      <c r="C151" s="1062" t="s">
        <v>185</v>
      </c>
      <c r="D151" s="1050" t="s">
        <v>210</v>
      </c>
      <c r="E151" s="1231">
        <v>45888</v>
      </c>
      <c r="F151" s="1050" t="s">
        <v>103</v>
      </c>
    </row>
    <row r="152" spans="1:6">
      <c r="A152" s="57">
        <f t="shared" si="3"/>
        <v>146</v>
      </c>
      <c r="B152" s="316" t="s">
        <v>764</v>
      </c>
      <c r="C152" s="1062" t="s">
        <v>182</v>
      </c>
      <c r="D152" s="1050" t="s">
        <v>210</v>
      </c>
      <c r="E152" s="1231">
        <v>45855</v>
      </c>
      <c r="F152" s="1050" t="s">
        <v>103</v>
      </c>
    </row>
    <row r="153" spans="1:6">
      <c r="A153" s="57">
        <f t="shared" si="3"/>
        <v>147</v>
      </c>
      <c r="B153" s="316" t="s">
        <v>766</v>
      </c>
      <c r="C153" s="1062" t="s">
        <v>182</v>
      </c>
      <c r="D153" s="1050" t="s">
        <v>210</v>
      </c>
      <c r="E153" s="1231">
        <v>45870</v>
      </c>
      <c r="F153" s="1050" t="s">
        <v>103</v>
      </c>
    </row>
    <row r="154" spans="1:6">
      <c r="A154" s="57">
        <f t="shared" si="3"/>
        <v>148</v>
      </c>
      <c r="B154" s="1227" t="s">
        <v>1678</v>
      </c>
      <c r="C154" s="1062" t="s">
        <v>115</v>
      </c>
      <c r="D154" s="1050" t="s">
        <v>210</v>
      </c>
      <c r="E154" s="1231">
        <v>45890</v>
      </c>
      <c r="F154" s="1050" t="s">
        <v>103</v>
      </c>
    </row>
    <row r="155" spans="1:6">
      <c r="A155" s="57">
        <f t="shared" si="3"/>
        <v>149</v>
      </c>
      <c r="B155" s="1227" t="s">
        <v>774</v>
      </c>
      <c r="C155" s="1062" t="s">
        <v>182</v>
      </c>
      <c r="D155" s="1050" t="s">
        <v>210</v>
      </c>
      <c r="E155" s="1231">
        <v>45892</v>
      </c>
      <c r="F155" s="1050" t="s">
        <v>103</v>
      </c>
    </row>
    <row r="156" spans="1:6">
      <c r="A156" s="57">
        <f t="shared" si="3"/>
        <v>150</v>
      </c>
      <c r="B156" s="1063" t="s">
        <v>752</v>
      </c>
      <c r="C156" s="1062" t="s">
        <v>1670</v>
      </c>
      <c r="D156" s="1050" t="s">
        <v>210</v>
      </c>
      <c r="E156" s="1231">
        <v>45893</v>
      </c>
      <c r="F156" s="1050" t="s">
        <v>103</v>
      </c>
    </row>
    <row r="157" spans="1:6">
      <c r="A157" s="57">
        <f t="shared" si="3"/>
        <v>151</v>
      </c>
      <c r="B157" s="1063" t="s">
        <v>468</v>
      </c>
      <c r="C157" s="1080" t="s">
        <v>182</v>
      </c>
      <c r="D157" s="1080" t="s">
        <v>210</v>
      </c>
      <c r="E157" s="1230">
        <v>45903</v>
      </c>
      <c r="F157" s="1050" t="s">
        <v>103</v>
      </c>
    </row>
    <row r="158" spans="1:6">
      <c r="A158" s="57">
        <f t="shared" si="3"/>
        <v>152</v>
      </c>
      <c r="B158" s="1063" t="s">
        <v>171</v>
      </c>
      <c r="C158" s="1080" t="s">
        <v>167</v>
      </c>
      <c r="D158" s="1080" t="s">
        <v>210</v>
      </c>
      <c r="E158" s="1230">
        <v>45903</v>
      </c>
      <c r="F158" s="1050" t="s">
        <v>103</v>
      </c>
    </row>
    <row r="159" spans="1:6">
      <c r="A159" s="57">
        <f t="shared" si="3"/>
        <v>153</v>
      </c>
      <c r="B159" s="1090" t="s">
        <v>1358</v>
      </c>
      <c r="C159" s="315" t="s">
        <v>185</v>
      </c>
      <c r="D159" s="315" t="s">
        <v>210</v>
      </c>
      <c r="E159" s="1230">
        <v>45896</v>
      </c>
      <c r="F159" s="315" t="s">
        <v>103</v>
      </c>
    </row>
    <row r="160" spans="1:6">
      <c r="A160" s="57">
        <f t="shared" si="3"/>
        <v>154</v>
      </c>
      <c r="B160" s="1090" t="s">
        <v>1357</v>
      </c>
      <c r="C160" s="315" t="s">
        <v>248</v>
      </c>
      <c r="D160" s="315" t="s">
        <v>210</v>
      </c>
      <c r="E160" s="1230">
        <v>45898</v>
      </c>
      <c r="F160" s="315" t="s">
        <v>103</v>
      </c>
    </row>
    <row r="161" spans="1:6">
      <c r="A161" s="57">
        <f t="shared" si="3"/>
        <v>155</v>
      </c>
      <c r="B161" s="1063" t="s">
        <v>350</v>
      </c>
      <c r="C161" s="1091" t="s">
        <v>182</v>
      </c>
      <c r="D161" s="1091" t="s">
        <v>210</v>
      </c>
      <c r="E161" s="1231">
        <v>45911</v>
      </c>
      <c r="F161" s="1091" t="s">
        <v>103</v>
      </c>
    </row>
    <row r="162" spans="1:6">
      <c r="A162" s="57">
        <f t="shared" si="3"/>
        <v>156</v>
      </c>
      <c r="B162" s="1099" t="s">
        <v>1103</v>
      </c>
      <c r="C162" s="1099" t="s">
        <v>132</v>
      </c>
      <c r="D162" s="1099" t="s">
        <v>210</v>
      </c>
      <c r="E162" s="1231">
        <v>45913</v>
      </c>
      <c r="F162" s="1091" t="s">
        <v>103</v>
      </c>
    </row>
    <row r="163" spans="1:6">
      <c r="A163" s="57">
        <f t="shared" si="3"/>
        <v>157</v>
      </c>
      <c r="B163" s="1100" t="s">
        <v>160</v>
      </c>
      <c r="C163" s="315" t="s">
        <v>132</v>
      </c>
      <c r="D163" s="1099" t="s">
        <v>210</v>
      </c>
      <c r="E163" s="1231">
        <v>45915</v>
      </c>
      <c r="F163" s="1091" t="s">
        <v>103</v>
      </c>
    </row>
    <row r="164" spans="1:6">
      <c r="A164" s="57">
        <f t="shared" si="3"/>
        <v>158</v>
      </c>
      <c r="B164" s="1100" t="s">
        <v>153</v>
      </c>
      <c r="C164" s="315" t="s">
        <v>123</v>
      </c>
      <c r="D164" s="1099" t="s">
        <v>210</v>
      </c>
      <c r="E164" s="1231">
        <v>45915</v>
      </c>
      <c r="F164" s="1091" t="s">
        <v>103</v>
      </c>
    </row>
    <row r="165" spans="1:6">
      <c r="A165" s="57">
        <f t="shared" si="3"/>
        <v>159</v>
      </c>
      <c r="B165" s="315" t="s">
        <v>325</v>
      </c>
      <c r="C165" s="315" t="s">
        <v>182</v>
      </c>
      <c r="D165" s="1099" t="s">
        <v>210</v>
      </c>
      <c r="E165" s="1231">
        <v>45916</v>
      </c>
      <c r="F165" s="1091" t="s">
        <v>103</v>
      </c>
    </row>
    <row r="166" spans="1:6">
      <c r="A166" s="57">
        <f t="shared" si="3"/>
        <v>160</v>
      </c>
      <c r="B166" s="315" t="s">
        <v>327</v>
      </c>
      <c r="C166" s="315" t="s">
        <v>242</v>
      </c>
      <c r="D166" s="1099" t="s">
        <v>210</v>
      </c>
      <c r="E166" s="1231">
        <v>45916</v>
      </c>
      <c r="F166" s="1091" t="s">
        <v>103</v>
      </c>
    </row>
    <row r="167" spans="1:6">
      <c r="A167" s="57">
        <f t="shared" si="3"/>
        <v>161</v>
      </c>
      <c r="B167" s="315" t="s">
        <v>328</v>
      </c>
      <c r="C167" s="315" t="s">
        <v>242</v>
      </c>
      <c r="D167" s="1099" t="s">
        <v>210</v>
      </c>
      <c r="E167" s="1231">
        <v>45916</v>
      </c>
      <c r="F167" s="1091" t="s">
        <v>103</v>
      </c>
    </row>
    <row r="168" spans="1:6">
      <c r="A168" s="57">
        <f t="shared" si="3"/>
        <v>162</v>
      </c>
      <c r="B168" s="315" t="s">
        <v>187</v>
      </c>
      <c r="C168" s="315" t="s">
        <v>188</v>
      </c>
      <c r="D168" s="1099" t="s">
        <v>210</v>
      </c>
      <c r="E168" s="1231">
        <v>45898</v>
      </c>
      <c r="F168" s="1091" t="s">
        <v>103</v>
      </c>
    </row>
    <row r="169" spans="1:6">
      <c r="A169" s="57">
        <f t="shared" si="3"/>
        <v>163</v>
      </c>
      <c r="B169" s="315" t="s">
        <v>780</v>
      </c>
      <c r="C169" s="315" t="s">
        <v>182</v>
      </c>
      <c r="D169" s="1099" t="s">
        <v>210</v>
      </c>
      <c r="E169" s="1231">
        <v>45893</v>
      </c>
      <c r="F169" s="1091" t="s">
        <v>103</v>
      </c>
    </row>
    <row r="170" spans="1:6">
      <c r="A170" s="57">
        <f t="shared" si="3"/>
        <v>164</v>
      </c>
      <c r="B170" s="315" t="s">
        <v>781</v>
      </c>
      <c r="C170" s="315" t="s">
        <v>182</v>
      </c>
      <c r="D170" s="1099" t="s">
        <v>210</v>
      </c>
      <c r="E170" s="1231">
        <v>45895</v>
      </c>
      <c r="F170" s="1091" t="s">
        <v>103</v>
      </c>
    </row>
    <row r="171" spans="1:6">
      <c r="A171" s="57">
        <f t="shared" si="3"/>
        <v>165</v>
      </c>
      <c r="B171" s="315" t="s">
        <v>782</v>
      </c>
      <c r="C171" s="315" t="s">
        <v>182</v>
      </c>
      <c r="D171" s="1099" t="s">
        <v>210</v>
      </c>
      <c r="E171" s="1231">
        <v>45919</v>
      </c>
      <c r="F171" s="1091" t="s">
        <v>103</v>
      </c>
    </row>
    <row r="172" spans="1:6">
      <c r="A172" s="57">
        <f t="shared" si="3"/>
        <v>166</v>
      </c>
      <c r="B172" s="315" t="s">
        <v>324</v>
      </c>
      <c r="C172" s="315" t="s">
        <v>132</v>
      </c>
      <c r="D172" s="1099" t="s">
        <v>210</v>
      </c>
      <c r="E172" s="1231">
        <v>45919</v>
      </c>
      <c r="F172" s="1091" t="s">
        <v>103</v>
      </c>
    </row>
    <row r="173" spans="1:6">
      <c r="A173" s="57">
        <f t="shared" si="3"/>
        <v>167</v>
      </c>
      <c r="B173" s="315" t="s">
        <v>151</v>
      </c>
      <c r="C173" s="315" t="s">
        <v>123</v>
      </c>
      <c r="D173" s="1099" t="s">
        <v>210</v>
      </c>
      <c r="E173" s="1231">
        <v>45919</v>
      </c>
      <c r="F173" s="1091" t="s">
        <v>103</v>
      </c>
    </row>
    <row r="174" spans="1:6">
      <c r="A174" s="57">
        <f t="shared" si="3"/>
        <v>168</v>
      </c>
      <c r="B174" s="315" t="s">
        <v>1721</v>
      </c>
      <c r="C174" s="315" t="s">
        <v>132</v>
      </c>
      <c r="D174" s="1099" t="s">
        <v>210</v>
      </c>
      <c r="E174" s="1231">
        <v>45919</v>
      </c>
      <c r="F174" s="1091" t="s">
        <v>103</v>
      </c>
    </row>
    <row r="175" spans="1:6">
      <c r="A175" s="57">
        <f t="shared" si="3"/>
        <v>169</v>
      </c>
      <c r="B175" s="1141" t="s">
        <v>371</v>
      </c>
      <c r="C175" s="1141" t="s">
        <v>185</v>
      </c>
      <c r="D175" s="1099" t="s">
        <v>210</v>
      </c>
      <c r="E175" s="1230">
        <v>45922</v>
      </c>
      <c r="F175" s="1091" t="s">
        <v>103</v>
      </c>
    </row>
    <row r="176" spans="1:6">
      <c r="A176" s="57">
        <f t="shared" si="3"/>
        <v>170</v>
      </c>
      <c r="B176" s="1141" t="s">
        <v>428</v>
      </c>
      <c r="C176" s="1192" t="s">
        <v>185</v>
      </c>
      <c r="D176" s="1099" t="s">
        <v>210</v>
      </c>
      <c r="E176" s="1230">
        <v>45893</v>
      </c>
      <c r="F176" s="1091" t="s">
        <v>103</v>
      </c>
    </row>
    <row r="177" spans="1:6">
      <c r="A177" s="57">
        <f t="shared" si="3"/>
        <v>171</v>
      </c>
      <c r="B177" s="1192" t="s">
        <v>1731</v>
      </c>
      <c r="C177" s="1192" t="s">
        <v>119</v>
      </c>
      <c r="D177" s="1192" t="s">
        <v>292</v>
      </c>
      <c r="E177" s="1230">
        <v>45929</v>
      </c>
      <c r="F177" s="1192" t="s">
        <v>103</v>
      </c>
    </row>
    <row r="178" spans="1:6">
      <c r="A178" s="57">
        <f t="shared" si="3"/>
        <v>172</v>
      </c>
      <c r="B178" s="1228" t="s">
        <v>1667</v>
      </c>
      <c r="C178" s="315" t="s">
        <v>123</v>
      </c>
      <c r="D178" s="315" t="s">
        <v>210</v>
      </c>
      <c r="E178" s="1230">
        <v>45879</v>
      </c>
      <c r="F178" s="1197" t="s">
        <v>103</v>
      </c>
    </row>
    <row r="179" spans="1:6">
      <c r="A179" s="57">
        <f t="shared" si="3"/>
        <v>173</v>
      </c>
      <c r="B179" s="1141" t="s">
        <v>740</v>
      </c>
      <c r="C179" s="647" t="s">
        <v>182</v>
      </c>
      <c r="D179" s="647" t="s">
        <v>210</v>
      </c>
      <c r="E179" s="1235">
        <v>45916</v>
      </c>
      <c r="F179" s="1197" t="s">
        <v>103</v>
      </c>
    </row>
    <row r="180" spans="1:6">
      <c r="A180" s="57">
        <f t="shared" si="3"/>
        <v>174</v>
      </c>
      <c r="B180" s="1141" t="s">
        <v>741</v>
      </c>
      <c r="C180" s="647" t="s">
        <v>182</v>
      </c>
      <c r="D180" s="647" t="s">
        <v>210</v>
      </c>
      <c r="E180" s="1235">
        <v>45910</v>
      </c>
      <c r="F180" s="1197" t="s">
        <v>103</v>
      </c>
    </row>
    <row r="181" spans="1:6">
      <c r="A181" s="57">
        <f t="shared" si="3"/>
        <v>175</v>
      </c>
      <c r="B181" s="1141" t="s">
        <v>1598</v>
      </c>
      <c r="C181" s="1225" t="s">
        <v>128</v>
      </c>
      <c r="D181" s="648" t="s">
        <v>210</v>
      </c>
      <c r="E181" s="1235">
        <v>45892</v>
      </c>
      <c r="F181" s="1197" t="s">
        <v>103</v>
      </c>
    </row>
    <row r="182" spans="1:6">
      <c r="A182" s="57">
        <f t="shared" si="3"/>
        <v>176</v>
      </c>
      <c r="B182" s="1141" t="s">
        <v>178</v>
      </c>
      <c r="C182" s="647" t="s">
        <v>125</v>
      </c>
      <c r="D182" s="647" t="s">
        <v>210</v>
      </c>
      <c r="E182" s="1235">
        <v>45905</v>
      </c>
      <c r="F182" s="1197" t="s">
        <v>103</v>
      </c>
    </row>
    <row r="183" spans="1:6">
      <c r="A183" s="57">
        <f t="shared" si="3"/>
        <v>177</v>
      </c>
      <c r="B183" s="1141" t="s">
        <v>758</v>
      </c>
      <c r="C183" s="647" t="s">
        <v>182</v>
      </c>
      <c r="D183" s="647" t="s">
        <v>210</v>
      </c>
      <c r="E183" s="1235">
        <v>45931</v>
      </c>
      <c r="F183" s="1197" t="s">
        <v>103</v>
      </c>
    </row>
    <row r="184" spans="1:6">
      <c r="A184" s="57">
        <f t="shared" si="3"/>
        <v>178</v>
      </c>
      <c r="B184" s="1141" t="s">
        <v>760</v>
      </c>
      <c r="C184" s="647" t="s">
        <v>182</v>
      </c>
      <c r="D184" s="647" t="s">
        <v>210</v>
      </c>
      <c r="E184" s="1235">
        <v>45931</v>
      </c>
      <c r="F184" s="1197" t="s">
        <v>103</v>
      </c>
    </row>
    <row r="185" spans="1:6">
      <c r="A185" s="57">
        <f t="shared" si="3"/>
        <v>179</v>
      </c>
      <c r="B185" s="1141" t="s">
        <v>1683</v>
      </c>
      <c r="C185" s="1225" t="s">
        <v>125</v>
      </c>
      <c r="D185" s="648" t="s">
        <v>210</v>
      </c>
      <c r="E185" s="1235">
        <v>45899</v>
      </c>
      <c r="F185" s="1197" t="s">
        <v>103</v>
      </c>
    </row>
    <row r="186" spans="1:6">
      <c r="A186" s="57">
        <f t="shared" si="3"/>
        <v>180</v>
      </c>
      <c r="B186" s="1141" t="s">
        <v>1682</v>
      </c>
      <c r="C186" s="647" t="s">
        <v>125</v>
      </c>
      <c r="D186" s="647" t="s">
        <v>210</v>
      </c>
      <c r="E186" s="1235">
        <v>45902</v>
      </c>
      <c r="F186" s="1197" t="s">
        <v>103</v>
      </c>
    </row>
    <row r="187" spans="1:6">
      <c r="A187" s="57">
        <f t="shared" si="3"/>
        <v>181</v>
      </c>
      <c r="B187" s="1141" t="s">
        <v>1716</v>
      </c>
      <c r="C187" s="647" t="s">
        <v>125</v>
      </c>
      <c r="D187" s="647" t="s">
        <v>210</v>
      </c>
      <c r="E187" s="1235">
        <v>45922</v>
      </c>
      <c r="F187" s="1197" t="s">
        <v>103</v>
      </c>
    </row>
    <row r="188" spans="1:6">
      <c r="A188" s="57">
        <f t="shared" si="3"/>
        <v>182</v>
      </c>
      <c r="B188" s="1141" t="s">
        <v>186</v>
      </c>
      <c r="C188" s="647" t="s">
        <v>188</v>
      </c>
      <c r="D188" s="647" t="s">
        <v>210</v>
      </c>
      <c r="E188" s="1235">
        <v>45897</v>
      </c>
      <c r="F188" s="1197" t="s">
        <v>103</v>
      </c>
    </row>
    <row r="189" spans="1:6">
      <c r="A189" s="57">
        <f t="shared" si="3"/>
        <v>183</v>
      </c>
      <c r="B189" s="1141" t="s">
        <v>1705</v>
      </c>
      <c r="C189" s="647" t="s">
        <v>1708</v>
      </c>
      <c r="D189" s="647" t="s">
        <v>210</v>
      </c>
      <c r="E189" s="1235">
        <v>45907</v>
      </c>
      <c r="F189" s="1197" t="s">
        <v>103</v>
      </c>
    </row>
    <row r="190" spans="1:6">
      <c r="A190" s="57">
        <f t="shared" si="3"/>
        <v>184</v>
      </c>
      <c r="B190" s="1141" t="s">
        <v>791</v>
      </c>
      <c r="C190" s="1225" t="s">
        <v>242</v>
      </c>
      <c r="D190" s="1225" t="s">
        <v>210</v>
      </c>
      <c r="E190" s="1235">
        <v>45862</v>
      </c>
      <c r="F190" s="1197" t="s">
        <v>103</v>
      </c>
    </row>
    <row r="191" spans="1:6">
      <c r="A191" s="57">
        <f t="shared" si="3"/>
        <v>185</v>
      </c>
      <c r="B191" s="1141" t="s">
        <v>1617</v>
      </c>
      <c r="C191" s="647" t="s">
        <v>137</v>
      </c>
      <c r="D191" s="647" t="s">
        <v>210</v>
      </c>
      <c r="E191" s="1235">
        <v>45882</v>
      </c>
      <c r="F191" s="1197" t="s">
        <v>103</v>
      </c>
    </row>
    <row r="192" spans="1:6">
      <c r="A192" s="57">
        <f t="shared" si="3"/>
        <v>186</v>
      </c>
      <c r="B192" s="1141" t="s">
        <v>1634</v>
      </c>
      <c r="C192" s="647" t="s">
        <v>137</v>
      </c>
      <c r="D192" s="647" t="s">
        <v>210</v>
      </c>
      <c r="E192" s="1235">
        <v>45862</v>
      </c>
      <c r="F192" s="1197" t="s">
        <v>103</v>
      </c>
    </row>
    <row r="193" spans="1:6">
      <c r="A193" s="57">
        <f t="shared" si="3"/>
        <v>187</v>
      </c>
      <c r="B193" s="1141" t="s">
        <v>796</v>
      </c>
      <c r="C193" s="647" t="s">
        <v>185</v>
      </c>
      <c r="D193" s="647" t="s">
        <v>210</v>
      </c>
      <c r="E193" s="1235">
        <v>45882</v>
      </c>
      <c r="F193" s="1197" t="s">
        <v>103</v>
      </c>
    </row>
    <row r="194" spans="1:6">
      <c r="A194" s="57">
        <f t="shared" si="3"/>
        <v>188</v>
      </c>
      <c r="B194" s="1141" t="s">
        <v>815</v>
      </c>
      <c r="C194" s="647" t="s">
        <v>182</v>
      </c>
      <c r="D194" s="647" t="s">
        <v>210</v>
      </c>
      <c r="E194" s="1235">
        <v>45908</v>
      </c>
      <c r="F194" s="1197" t="s">
        <v>103</v>
      </c>
    </row>
    <row r="195" spans="1:6">
      <c r="A195" s="57">
        <f t="shared" si="3"/>
        <v>189</v>
      </c>
      <c r="B195" s="1141" t="s">
        <v>1286</v>
      </c>
      <c r="C195" s="647" t="s">
        <v>182</v>
      </c>
      <c r="D195" s="647" t="s">
        <v>210</v>
      </c>
      <c r="E195" s="1235">
        <v>45917</v>
      </c>
      <c r="F195" s="1197" t="s">
        <v>103</v>
      </c>
    </row>
    <row r="196" spans="1:6">
      <c r="A196" s="57">
        <f t="shared" si="3"/>
        <v>190</v>
      </c>
      <c r="B196" s="1141" t="s">
        <v>1363</v>
      </c>
      <c r="C196" s="647" t="s">
        <v>125</v>
      </c>
      <c r="D196" s="647" t="s">
        <v>210</v>
      </c>
      <c r="E196" s="1235">
        <v>45926</v>
      </c>
      <c r="F196" s="1197" t="s">
        <v>103</v>
      </c>
    </row>
  </sheetData>
  <autoFilter ref="A7:G196" xr:uid="{00000000-0001-0000-0800-000000000000}">
    <filterColumn colId="6">
      <filters blank="1"/>
    </filterColumn>
  </autoFilter>
  <mergeCells count="7">
    <mergeCell ref="A1:W1"/>
    <mergeCell ref="A2:W2"/>
    <mergeCell ref="A3:W3"/>
    <mergeCell ref="A5:A6"/>
    <mergeCell ref="B5:B6"/>
    <mergeCell ref="C5:C6"/>
    <mergeCell ref="D5:D6"/>
  </mergeCells>
  <phoneticPr fontId="201" type="noConversion"/>
  <conditionalFormatting sqref="B1:B62 B65:B78 B80:B146 B157:B1048576">
    <cfRule type="duplicateValues" dxfId="4698" priority="6949"/>
  </conditionalFormatting>
  <conditionalFormatting sqref="B1:B62 B65:B146 B157:B1048576">
    <cfRule type="duplicateValues" dxfId="4697" priority="6955"/>
  </conditionalFormatting>
  <conditionalFormatting sqref="B1:B146 B157:B1048576">
    <cfRule type="duplicateValues" dxfId="4696" priority="6963"/>
    <cfRule type="duplicateValues" dxfId="4695" priority="6962"/>
    <cfRule type="duplicateValues" dxfId="4694" priority="6961"/>
    <cfRule type="duplicateValues" dxfId="4693" priority="6960"/>
  </conditionalFormatting>
  <conditionalFormatting sqref="B1:B1048576">
    <cfRule type="duplicateValues" dxfId="4692" priority="1"/>
    <cfRule type="duplicateValues" dxfId="4691" priority="2"/>
    <cfRule type="duplicateValues" dxfId="4690" priority="3"/>
    <cfRule type="duplicateValues" dxfId="4689" priority="4"/>
    <cfRule type="duplicateValues" dxfId="4688" priority="5"/>
    <cfRule type="duplicateValues" dxfId="4687" priority="50"/>
    <cfRule type="duplicateValues" dxfId="4686" priority="96"/>
    <cfRule type="duplicateValues" dxfId="4685" priority="6994"/>
    <cfRule type="duplicateValues" dxfId="4684" priority="6997"/>
    <cfRule type="duplicateValues" dxfId="4683" priority="6981"/>
    <cfRule type="duplicateValues" dxfId="4682" priority="6980"/>
    <cfRule type="duplicateValues" dxfId="4681" priority="6979"/>
    <cfRule type="duplicateValues" dxfId="4680" priority="6978"/>
    <cfRule type="duplicateValues" dxfId="4679" priority="6977"/>
    <cfRule type="duplicateValues" dxfId="4678" priority="6976"/>
  </conditionalFormatting>
  <conditionalFormatting sqref="B5:B6">
    <cfRule type="duplicateValues" dxfId="4677" priority="279"/>
    <cfRule type="duplicateValues" dxfId="4676" priority="293"/>
    <cfRule type="duplicateValues" dxfId="4675" priority="295" stopIfTrue="1"/>
  </conditionalFormatting>
  <conditionalFormatting sqref="B7:B45">
    <cfRule type="duplicateValues" dxfId="4674" priority="248"/>
  </conditionalFormatting>
  <conditionalFormatting sqref="B63">
    <cfRule type="duplicateValues" dxfId="4673" priority="236"/>
    <cfRule type="duplicateValues" dxfId="4672" priority="237"/>
    <cfRule type="duplicateValues" dxfId="4671" priority="238" stopIfTrue="1"/>
    <cfRule type="duplicateValues" dxfId="4670" priority="2709"/>
  </conditionalFormatting>
  <conditionalFormatting sqref="B64">
    <cfRule type="duplicateValues" dxfId="4669" priority="235" stopIfTrue="1"/>
    <cfRule type="duplicateValues" dxfId="4668" priority="234"/>
    <cfRule type="duplicateValues" dxfId="4667" priority="233"/>
    <cfRule type="duplicateValues" dxfId="4666" priority="232"/>
  </conditionalFormatting>
  <conditionalFormatting sqref="B77 B66:B67">
    <cfRule type="duplicateValues" dxfId="4665" priority="2743"/>
    <cfRule type="duplicateValues" dxfId="4664" priority="2744"/>
    <cfRule type="duplicateValues" dxfId="4663" priority="2745" stopIfTrue="1"/>
  </conditionalFormatting>
  <conditionalFormatting sqref="B146:B155">
    <cfRule type="duplicateValues" dxfId="4662" priority="6539" stopIfTrue="1"/>
    <cfRule type="duplicateValues" dxfId="4661" priority="6541"/>
  </conditionalFormatting>
  <conditionalFormatting sqref="B146:B158">
    <cfRule type="duplicateValues" dxfId="4660" priority="6543"/>
    <cfRule type="duplicateValues" dxfId="4659" priority="6544"/>
    <cfRule type="duplicateValues" dxfId="4658" priority="6547"/>
  </conditionalFormatting>
  <conditionalFormatting sqref="B148">
    <cfRule type="duplicateValues" dxfId="4657" priority="134" stopIfTrue="1"/>
    <cfRule type="duplicateValues" dxfId="4656" priority="132"/>
    <cfRule type="duplicateValues" dxfId="4655" priority="133"/>
  </conditionalFormatting>
  <conditionalFormatting sqref="B155">
    <cfRule type="duplicateValues" dxfId="4654" priority="137" stopIfTrue="1"/>
    <cfRule type="duplicateValues" dxfId="4653" priority="136"/>
    <cfRule type="duplicateValues" dxfId="4652" priority="135"/>
  </conditionalFormatting>
  <conditionalFormatting sqref="B156:B158">
    <cfRule type="duplicateValues" dxfId="4651" priority="148" stopIfTrue="1"/>
    <cfRule type="duplicateValues" dxfId="4650" priority="147"/>
    <cfRule type="duplicateValues" dxfId="4649" priority="146"/>
  </conditionalFormatting>
  <conditionalFormatting sqref="B179:B196">
    <cfRule type="duplicateValues" dxfId="4648" priority="10707"/>
    <cfRule type="duplicateValues" dxfId="4647" priority="10708"/>
    <cfRule type="duplicateValues" dxfId="4646" priority="10711"/>
  </conditionalFormatting>
  <conditionalFormatting sqref="B190:B193">
    <cfRule type="duplicateValues" dxfId="4645" priority="10704"/>
  </conditionalFormatting>
  <conditionalFormatting sqref="B195 B179:B193">
    <cfRule type="duplicateValues" dxfId="4644" priority="10322" stopIfTrue="1"/>
    <cfRule type="duplicateValues" dxfId="4643" priority="10324"/>
  </conditionalFormatting>
  <conditionalFormatting sqref="B79:D79 F79">
    <cfRule type="duplicateValues" dxfId="4642" priority="244"/>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1" workbookViewId="0">
      <selection activeCell="K11" sqref="K11:M11"/>
    </sheetView>
  </sheetViews>
  <sheetFormatPr defaultColWidth="9" defaultRowHeight="14.5"/>
  <cols>
    <col min="1" max="6" width="15.1796875" customWidth="1"/>
  </cols>
  <sheetData>
    <row r="1" spans="1:19" ht="15.5">
      <c r="A1" s="1366" t="s">
        <v>78</v>
      </c>
      <c r="B1" s="1367"/>
      <c r="C1" s="1367"/>
      <c r="D1" s="1367"/>
      <c r="E1" s="1367"/>
      <c r="F1" s="1367"/>
      <c r="G1" s="1367"/>
      <c r="H1" s="1367"/>
      <c r="I1" s="1367"/>
      <c r="J1" s="1367"/>
      <c r="K1" s="1367"/>
      <c r="L1" s="1367"/>
      <c r="M1" s="1367"/>
      <c r="N1" s="1367"/>
      <c r="O1" s="1367"/>
      <c r="P1" s="1367"/>
      <c r="Q1" s="1367"/>
      <c r="R1" s="1367"/>
      <c r="S1" s="1368"/>
    </row>
    <row r="2" spans="1:19" ht="15.5">
      <c r="A2" s="1369" t="s">
        <v>79</v>
      </c>
      <c r="B2" s="1370"/>
      <c r="C2" s="1370"/>
      <c r="D2" s="1370"/>
      <c r="E2" s="1370"/>
      <c r="F2" s="1370"/>
      <c r="G2" s="1370"/>
      <c r="H2" s="1370"/>
      <c r="I2" s="1370"/>
      <c r="J2" s="1370"/>
      <c r="K2" s="1370"/>
      <c r="L2" s="1370"/>
      <c r="M2" s="1370"/>
      <c r="N2" s="1370"/>
      <c r="O2" s="1370"/>
      <c r="P2" s="1370"/>
      <c r="Q2" s="1370"/>
      <c r="R2" s="1370"/>
      <c r="S2" s="1371"/>
    </row>
    <row r="3" spans="1:19" ht="15.5">
      <c r="A3" s="1369" t="s">
        <v>80</v>
      </c>
      <c r="B3" s="1370"/>
      <c r="C3" s="1370"/>
      <c r="D3" s="1370"/>
      <c r="E3" s="1370"/>
      <c r="F3" s="1370"/>
      <c r="G3" s="1370"/>
      <c r="H3" s="1370"/>
      <c r="I3" s="1370"/>
      <c r="J3" s="1370"/>
      <c r="K3" s="1370"/>
      <c r="L3" s="1370"/>
      <c r="M3" s="1370"/>
      <c r="N3" s="1370"/>
      <c r="O3" s="1370"/>
      <c r="P3" s="1370"/>
      <c r="Q3" s="1370"/>
      <c r="R3" s="1370"/>
      <c r="S3" s="1371"/>
    </row>
    <row r="4" spans="1:19" ht="18.5">
      <c r="A4" s="1451" t="s">
        <v>106</v>
      </c>
      <c r="B4" s="1452"/>
      <c r="C4" s="1452"/>
      <c r="D4" s="1452"/>
      <c r="E4" s="351"/>
      <c r="F4" s="351"/>
    </row>
    <row r="5" spans="1:19" ht="43.5">
      <c r="A5" s="352" t="s">
        <v>107</v>
      </c>
      <c r="B5" s="352" t="s">
        <v>108</v>
      </c>
      <c r="C5" s="352" t="s">
        <v>109</v>
      </c>
      <c r="D5" s="353" t="s">
        <v>110</v>
      </c>
      <c r="E5" s="353" t="s">
        <v>111</v>
      </c>
      <c r="F5" s="353" t="s">
        <v>34</v>
      </c>
    </row>
    <row r="6" spans="1:19">
      <c r="A6" s="522">
        <v>1</v>
      </c>
      <c r="B6" s="57" t="s">
        <v>112</v>
      </c>
      <c r="C6" s="355" t="s">
        <v>113</v>
      </c>
      <c r="D6" s="356">
        <v>45689</v>
      </c>
      <c r="E6" s="357"/>
      <c r="F6" s="357"/>
    </row>
    <row r="7" spans="1:19">
      <c r="A7" s="522">
        <v>2</v>
      </c>
      <c r="B7" s="57" t="s">
        <v>114</v>
      </c>
      <c r="C7" s="355" t="s">
        <v>115</v>
      </c>
      <c r="D7" s="356">
        <v>45689</v>
      </c>
      <c r="E7" s="357"/>
      <c r="F7" s="357"/>
    </row>
    <row r="8" spans="1:19">
      <c r="A8" s="522">
        <v>3</v>
      </c>
      <c r="B8" s="57" t="s">
        <v>116</v>
      </c>
      <c r="C8" s="355" t="s">
        <v>117</v>
      </c>
      <c r="D8" s="358">
        <v>45688</v>
      </c>
      <c r="E8" s="357"/>
      <c r="F8" s="357"/>
    </row>
    <row r="9" spans="1:19">
      <c r="A9" s="522">
        <v>4</v>
      </c>
      <c r="B9" s="57" t="s">
        <v>118</v>
      </c>
      <c r="C9" s="355" t="s">
        <v>119</v>
      </c>
      <c r="D9" s="358">
        <v>45688</v>
      </c>
      <c r="E9" s="357"/>
      <c r="F9" s="357"/>
    </row>
    <row r="10" spans="1:19">
      <c r="A10" s="522">
        <v>5</v>
      </c>
      <c r="B10" s="57" t="s">
        <v>120</v>
      </c>
      <c r="C10" s="355" t="s">
        <v>119</v>
      </c>
      <c r="D10" s="358">
        <v>45688</v>
      </c>
      <c r="E10" s="357"/>
      <c r="F10" s="357"/>
    </row>
    <row r="11" spans="1:19">
      <c r="A11" s="522">
        <v>6</v>
      </c>
      <c r="B11" s="57" t="s">
        <v>121</v>
      </c>
      <c r="C11" s="355" t="s">
        <v>119</v>
      </c>
      <c r="D11" s="358">
        <v>45688</v>
      </c>
      <c r="E11" s="357"/>
      <c r="F11" s="357"/>
    </row>
    <row r="12" spans="1:19">
      <c r="A12" s="522">
        <v>7</v>
      </c>
      <c r="B12" s="57" t="s">
        <v>122</v>
      </c>
      <c r="C12" s="355" t="s">
        <v>123</v>
      </c>
      <c r="D12" s="358">
        <v>45687</v>
      </c>
      <c r="E12" s="357"/>
      <c r="F12" s="357"/>
    </row>
    <row r="13" spans="1:19">
      <c r="A13" s="522">
        <v>8</v>
      </c>
      <c r="B13" s="57" t="s">
        <v>124</v>
      </c>
      <c r="C13" s="359" t="s">
        <v>125</v>
      </c>
      <c r="D13" s="314">
        <v>45687</v>
      </c>
      <c r="E13" s="357"/>
      <c r="F13" s="357"/>
      <c r="K13">
        <v>90</v>
      </c>
    </row>
    <row r="14" spans="1:19">
      <c r="A14" s="522">
        <v>9</v>
      </c>
      <c r="B14" s="57" t="s">
        <v>126</v>
      </c>
      <c r="C14" s="359" t="s">
        <v>115</v>
      </c>
      <c r="D14" s="314">
        <v>45687</v>
      </c>
      <c r="E14" s="357"/>
      <c r="F14" s="357"/>
    </row>
    <row r="15" spans="1:19">
      <c r="A15" s="522">
        <v>10</v>
      </c>
      <c r="B15" s="57" t="s">
        <v>127</v>
      </c>
      <c r="C15" s="359" t="s">
        <v>128</v>
      </c>
      <c r="D15" s="314">
        <v>45686</v>
      </c>
      <c r="E15" s="357"/>
      <c r="F15" s="357"/>
    </row>
    <row r="16" spans="1:19">
      <c r="A16" s="522">
        <v>11</v>
      </c>
      <c r="B16" s="57" t="s">
        <v>129</v>
      </c>
      <c r="C16" s="359" t="s">
        <v>115</v>
      </c>
      <c r="D16" s="314">
        <v>45686</v>
      </c>
      <c r="E16" s="357"/>
      <c r="F16" s="357"/>
    </row>
    <row r="17" spans="1:6">
      <c r="A17" s="522">
        <v>12</v>
      </c>
      <c r="B17" s="57" t="s">
        <v>130</v>
      </c>
      <c r="C17" s="359" t="s">
        <v>119</v>
      </c>
      <c r="D17" s="314">
        <v>45686</v>
      </c>
      <c r="E17" s="357"/>
      <c r="F17" s="357"/>
    </row>
    <row r="18" spans="1:6">
      <c r="A18" s="522">
        <v>13</v>
      </c>
      <c r="B18" s="57" t="s">
        <v>131</v>
      </c>
      <c r="C18" s="359" t="s">
        <v>132</v>
      </c>
      <c r="D18" s="314">
        <v>45686</v>
      </c>
      <c r="E18" s="357"/>
      <c r="F18" s="357"/>
    </row>
    <row r="19" spans="1:6">
      <c r="A19" s="522">
        <v>14</v>
      </c>
      <c r="B19" s="57" t="s">
        <v>133</v>
      </c>
      <c r="C19" s="359" t="s">
        <v>123</v>
      </c>
      <c r="D19" s="314">
        <v>45685</v>
      </c>
      <c r="E19" s="357"/>
      <c r="F19" s="357"/>
    </row>
    <row r="20" spans="1:6">
      <c r="A20" s="522">
        <v>15</v>
      </c>
      <c r="B20" s="57" t="s">
        <v>134</v>
      </c>
      <c r="C20" s="359" t="s">
        <v>117</v>
      </c>
      <c r="D20" s="314">
        <v>45685</v>
      </c>
      <c r="E20" s="357"/>
      <c r="F20" s="357"/>
    </row>
    <row r="21" spans="1:6">
      <c r="A21" s="522">
        <v>16</v>
      </c>
      <c r="B21" s="57" t="s">
        <v>135</v>
      </c>
      <c r="C21" s="359" t="s">
        <v>113</v>
      </c>
      <c r="D21" s="314">
        <v>45685</v>
      </c>
      <c r="E21" s="357"/>
      <c r="F21" s="357"/>
    </row>
    <row r="22" spans="1:6">
      <c r="A22" s="522">
        <v>17</v>
      </c>
      <c r="B22" s="57" t="s">
        <v>136</v>
      </c>
      <c r="C22" s="359" t="s">
        <v>137</v>
      </c>
      <c r="D22" s="314">
        <v>45684</v>
      </c>
      <c r="E22" s="357"/>
      <c r="F22" s="357"/>
    </row>
    <row r="23" spans="1:6">
      <c r="A23" s="522">
        <v>18</v>
      </c>
      <c r="B23" s="57" t="s">
        <v>138</v>
      </c>
      <c r="C23" s="359" t="s">
        <v>137</v>
      </c>
      <c r="D23" s="314">
        <v>45684</v>
      </c>
      <c r="E23" s="357"/>
      <c r="F23" s="357"/>
    </row>
    <row r="24" spans="1:6">
      <c r="A24" s="522">
        <v>19</v>
      </c>
      <c r="B24" s="57" t="s">
        <v>139</v>
      </c>
      <c r="C24" s="359" t="s">
        <v>123</v>
      </c>
      <c r="D24" s="314">
        <v>45684</v>
      </c>
      <c r="E24" s="357"/>
      <c r="F24" s="357"/>
    </row>
    <row r="25" spans="1:6">
      <c r="A25" s="522">
        <v>20</v>
      </c>
      <c r="B25" s="57" t="s">
        <v>140</v>
      </c>
      <c r="C25" s="359" t="s">
        <v>123</v>
      </c>
      <c r="D25" s="314">
        <v>45683</v>
      </c>
      <c r="E25" s="357"/>
      <c r="F25" s="357"/>
    </row>
    <row r="26" spans="1:6">
      <c r="A26" s="522">
        <v>21</v>
      </c>
      <c r="B26" s="57" t="s">
        <v>141</v>
      </c>
      <c r="C26" s="359" t="s">
        <v>119</v>
      </c>
      <c r="D26" s="314">
        <v>45683</v>
      </c>
      <c r="E26" s="357"/>
      <c r="F26" s="357"/>
    </row>
    <row r="27" spans="1:6">
      <c r="A27" s="522">
        <v>22</v>
      </c>
      <c r="B27" s="57" t="s">
        <v>142</v>
      </c>
      <c r="C27" s="359" t="s">
        <v>143</v>
      </c>
      <c r="D27" s="314">
        <v>45683</v>
      </c>
      <c r="E27" s="357"/>
      <c r="F27" s="357"/>
    </row>
    <row r="28" spans="1:6">
      <c r="A28" s="522">
        <v>23</v>
      </c>
      <c r="B28" s="57" t="s">
        <v>144</v>
      </c>
      <c r="C28" s="359" t="s">
        <v>128</v>
      </c>
      <c r="D28" s="314">
        <v>45682</v>
      </c>
      <c r="E28" s="57"/>
      <c r="F28" s="57"/>
    </row>
    <row r="29" spans="1:6">
      <c r="A29" s="522">
        <v>24</v>
      </c>
      <c r="B29" s="57" t="s">
        <v>145</v>
      </c>
      <c r="C29" s="359" t="s">
        <v>132</v>
      </c>
      <c r="D29" s="314">
        <v>45682</v>
      </c>
      <c r="E29" s="57"/>
      <c r="F29" s="57"/>
    </row>
    <row r="30" spans="1:6">
      <c r="A30" s="522">
        <v>25</v>
      </c>
      <c r="B30" s="57" t="s">
        <v>146</v>
      </c>
      <c r="C30" s="359" t="s">
        <v>147</v>
      </c>
      <c r="D30" s="314">
        <v>45682</v>
      </c>
      <c r="E30" s="57"/>
      <c r="F30" s="57"/>
    </row>
    <row r="31" spans="1:6">
      <c r="A31" s="522">
        <v>26</v>
      </c>
      <c r="B31" s="57" t="s">
        <v>148</v>
      </c>
      <c r="C31" s="359" t="s">
        <v>147</v>
      </c>
      <c r="D31" s="314">
        <v>45681</v>
      </c>
      <c r="E31" s="57"/>
      <c r="F31" s="57"/>
    </row>
    <row r="32" spans="1:6">
      <c r="A32" s="522">
        <v>27</v>
      </c>
      <c r="B32" s="57" t="s">
        <v>149</v>
      </c>
      <c r="C32" s="359" t="s">
        <v>117</v>
      </c>
      <c r="D32" s="314">
        <v>45681</v>
      </c>
      <c r="E32" s="57"/>
      <c r="F32" s="57"/>
    </row>
    <row r="33" spans="1:6">
      <c r="A33" s="522">
        <v>28</v>
      </c>
      <c r="B33" s="57" t="s">
        <v>150</v>
      </c>
      <c r="C33" s="360" t="s">
        <v>132</v>
      </c>
      <c r="D33" s="314">
        <v>45673</v>
      </c>
      <c r="E33" s="57"/>
      <c r="F33" s="57"/>
    </row>
    <row r="34" spans="1:6">
      <c r="A34" s="522">
        <v>29</v>
      </c>
      <c r="B34" s="57" t="s">
        <v>151</v>
      </c>
      <c r="C34" s="360" t="s">
        <v>147</v>
      </c>
      <c r="D34" s="314">
        <v>45673</v>
      </c>
      <c r="E34" s="57"/>
      <c r="F34" s="57"/>
    </row>
    <row r="35" spans="1:6">
      <c r="A35" s="522">
        <v>30</v>
      </c>
      <c r="B35" s="57" t="s">
        <v>152</v>
      </c>
      <c r="C35" s="360" t="s">
        <v>119</v>
      </c>
      <c r="D35" s="314">
        <v>45673</v>
      </c>
      <c r="E35" s="57"/>
      <c r="F35" s="57"/>
    </row>
    <row r="36" spans="1:6">
      <c r="A36" s="522">
        <v>31</v>
      </c>
      <c r="B36" s="57" t="s">
        <v>153</v>
      </c>
      <c r="C36" s="360" t="s">
        <v>132</v>
      </c>
      <c r="D36" s="314">
        <v>45672</v>
      </c>
      <c r="E36" s="57"/>
      <c r="F36" s="57"/>
    </row>
    <row r="37" spans="1:6">
      <c r="A37" s="522">
        <v>32</v>
      </c>
      <c r="B37" s="57" t="s">
        <v>154</v>
      </c>
      <c r="C37" s="360" t="s">
        <v>143</v>
      </c>
      <c r="D37" s="314">
        <v>45672</v>
      </c>
      <c r="E37" s="57"/>
      <c r="F37" s="57"/>
    </row>
    <row r="38" spans="1:6">
      <c r="A38" s="522">
        <v>33</v>
      </c>
      <c r="B38" s="57" t="s">
        <v>155</v>
      </c>
      <c r="C38" s="360" t="s">
        <v>132</v>
      </c>
      <c r="D38" s="314">
        <v>45672</v>
      </c>
      <c r="E38" s="57"/>
      <c r="F38" s="57"/>
    </row>
    <row r="39" spans="1:6">
      <c r="A39" s="522">
        <v>34</v>
      </c>
      <c r="B39" s="57" t="s">
        <v>156</v>
      </c>
      <c r="C39" s="360" t="s">
        <v>119</v>
      </c>
      <c r="D39" s="314">
        <v>45671</v>
      </c>
      <c r="E39" s="57"/>
      <c r="F39" s="57"/>
    </row>
    <row r="40" spans="1:6">
      <c r="A40" s="522">
        <v>35</v>
      </c>
      <c r="B40" s="57" t="s">
        <v>157</v>
      </c>
      <c r="C40" s="360" t="s">
        <v>132</v>
      </c>
      <c r="D40" s="314">
        <v>45671</v>
      </c>
      <c r="E40" s="57"/>
      <c r="F40" s="57"/>
    </row>
    <row r="41" spans="1:6">
      <c r="A41" s="522">
        <v>36</v>
      </c>
      <c r="B41" s="57" t="s">
        <v>158</v>
      </c>
      <c r="C41" s="360" t="s">
        <v>115</v>
      </c>
      <c r="D41" s="314">
        <v>45664</v>
      </c>
      <c r="E41" s="57"/>
      <c r="F41" s="57"/>
    </row>
    <row r="42" spans="1:6">
      <c r="A42" s="522">
        <v>37</v>
      </c>
      <c r="B42" s="57" t="s">
        <v>159</v>
      </c>
      <c r="C42" s="360" t="s">
        <v>115</v>
      </c>
      <c r="D42" s="314">
        <v>45664</v>
      </c>
      <c r="E42" s="57"/>
      <c r="F42" s="57"/>
    </row>
    <row r="43" spans="1:6">
      <c r="A43" s="522">
        <v>38</v>
      </c>
      <c r="B43" s="57" t="s">
        <v>160</v>
      </c>
      <c r="C43" s="360" t="s">
        <v>132</v>
      </c>
      <c r="D43" s="314">
        <v>45665</v>
      </c>
      <c r="E43" s="57"/>
      <c r="F43" s="57"/>
    </row>
    <row r="44" spans="1:6">
      <c r="A44" s="522">
        <v>39</v>
      </c>
      <c r="B44" s="57" t="s">
        <v>161</v>
      </c>
      <c r="C44" s="360" t="s">
        <v>119</v>
      </c>
      <c r="D44" s="314">
        <v>45666</v>
      </c>
      <c r="E44" s="57"/>
      <c r="F44" s="57"/>
    </row>
    <row r="45" spans="1:6">
      <c r="A45" s="522">
        <v>40</v>
      </c>
      <c r="B45" s="57" t="s">
        <v>162</v>
      </c>
      <c r="C45" s="360" t="s">
        <v>115</v>
      </c>
      <c r="D45" s="314">
        <v>45666</v>
      </c>
      <c r="E45" s="57"/>
      <c r="F45" s="57"/>
    </row>
    <row r="46" spans="1:6">
      <c r="A46" s="522">
        <v>41</v>
      </c>
      <c r="B46" s="57" t="s">
        <v>163</v>
      </c>
      <c r="C46" s="360" t="s">
        <v>125</v>
      </c>
      <c r="D46" s="314">
        <v>45666</v>
      </c>
      <c r="E46" s="57"/>
      <c r="F46" s="57"/>
    </row>
    <row r="47" spans="1:6">
      <c r="A47" s="522">
        <v>42</v>
      </c>
      <c r="B47" s="57" t="s">
        <v>164</v>
      </c>
      <c r="C47" s="360" t="s">
        <v>115</v>
      </c>
      <c r="D47" s="314">
        <v>45667</v>
      </c>
      <c r="E47" s="57"/>
      <c r="F47" s="57"/>
    </row>
    <row r="48" spans="1:6">
      <c r="A48" s="522">
        <v>43</v>
      </c>
      <c r="B48" s="57" t="s">
        <v>165</v>
      </c>
      <c r="C48" s="360" t="s">
        <v>115</v>
      </c>
      <c r="D48" s="314">
        <v>45667</v>
      </c>
      <c r="E48" s="57"/>
      <c r="F48" s="57"/>
    </row>
    <row r="49" spans="1:6">
      <c r="A49" s="522">
        <v>44</v>
      </c>
      <c r="B49" s="57" t="s">
        <v>166</v>
      </c>
      <c r="C49" s="360" t="s">
        <v>167</v>
      </c>
      <c r="D49" s="314">
        <v>45668</v>
      </c>
      <c r="E49" s="57"/>
      <c r="F49" s="57"/>
    </row>
    <row r="50" spans="1:6">
      <c r="A50" s="522">
        <v>45</v>
      </c>
      <c r="B50" s="57" t="s">
        <v>168</v>
      </c>
      <c r="C50" s="360" t="s">
        <v>167</v>
      </c>
      <c r="D50" s="314">
        <v>45668</v>
      </c>
      <c r="E50" s="57"/>
      <c r="F50" s="57"/>
    </row>
    <row r="51" spans="1:6">
      <c r="A51" s="522">
        <v>46</v>
      </c>
      <c r="B51" s="384" t="s">
        <v>169</v>
      </c>
      <c r="C51" s="360" t="s">
        <v>170</v>
      </c>
      <c r="D51" s="314">
        <v>45668</v>
      </c>
      <c r="E51" s="57"/>
      <c r="F51" s="57"/>
    </row>
    <row r="52" spans="1:6">
      <c r="A52" s="522">
        <v>47</v>
      </c>
      <c r="B52" s="384" t="s">
        <v>171</v>
      </c>
      <c r="C52" s="360" t="s">
        <v>119</v>
      </c>
      <c r="D52" s="314">
        <v>45669</v>
      </c>
      <c r="E52" s="57"/>
      <c r="F52" s="57"/>
    </row>
    <row r="53" spans="1:6">
      <c r="A53" s="522">
        <v>48</v>
      </c>
      <c r="B53" s="384" t="s">
        <v>172</v>
      </c>
      <c r="C53" s="360" t="s">
        <v>115</v>
      </c>
      <c r="D53" s="314">
        <v>45669</v>
      </c>
      <c r="E53" s="57"/>
      <c r="F53" s="57"/>
    </row>
    <row r="54" spans="1:6">
      <c r="A54" s="522">
        <v>49</v>
      </c>
      <c r="B54" s="384" t="s">
        <v>173</v>
      </c>
      <c r="C54" s="360" t="s">
        <v>143</v>
      </c>
      <c r="D54" s="314">
        <v>45669</v>
      </c>
      <c r="E54" s="57"/>
      <c r="F54" s="57"/>
    </row>
    <row r="55" spans="1:6">
      <c r="A55" s="522">
        <v>50</v>
      </c>
      <c r="B55" s="384" t="s">
        <v>174</v>
      </c>
      <c r="C55" s="360" t="s">
        <v>147</v>
      </c>
      <c r="D55" s="314">
        <v>45670</v>
      </c>
      <c r="E55" s="57"/>
      <c r="F55" s="57"/>
    </row>
    <row r="56" spans="1:6">
      <c r="A56" s="522">
        <v>51</v>
      </c>
      <c r="B56" s="384" t="s">
        <v>175</v>
      </c>
      <c r="C56" s="360" t="s">
        <v>115</v>
      </c>
      <c r="D56" s="314">
        <v>45670</v>
      </c>
      <c r="E56" s="57"/>
      <c r="F56" s="57"/>
    </row>
    <row r="57" spans="1:6">
      <c r="A57" s="522">
        <v>52</v>
      </c>
      <c r="B57" s="384" t="s">
        <v>176</v>
      </c>
      <c r="C57" s="360" t="s">
        <v>125</v>
      </c>
      <c r="D57" s="314">
        <v>45670</v>
      </c>
      <c r="E57" s="57"/>
      <c r="F57" s="57"/>
    </row>
    <row r="58" spans="1:6">
      <c r="A58" s="522">
        <v>53</v>
      </c>
      <c r="B58" s="384" t="s">
        <v>177</v>
      </c>
      <c r="C58" s="360" t="s">
        <v>137</v>
      </c>
      <c r="D58" s="314">
        <v>45674</v>
      </c>
      <c r="E58" s="57"/>
      <c r="F58" s="57"/>
    </row>
    <row r="59" spans="1:6">
      <c r="A59" s="522">
        <v>54</v>
      </c>
      <c r="B59" s="384" t="s">
        <v>178</v>
      </c>
      <c r="C59" s="360" t="s">
        <v>115</v>
      </c>
      <c r="D59" s="314">
        <v>45674</v>
      </c>
      <c r="E59" s="57"/>
      <c r="F59" s="57"/>
    </row>
    <row r="60" spans="1:6">
      <c r="A60" s="522">
        <v>55</v>
      </c>
      <c r="B60" s="384" t="s">
        <v>179</v>
      </c>
      <c r="C60" s="360" t="s">
        <v>125</v>
      </c>
      <c r="D60" s="314">
        <v>45675</v>
      </c>
      <c r="E60" s="57"/>
      <c r="F60" s="57"/>
    </row>
    <row r="61" spans="1:6">
      <c r="A61" s="522">
        <v>56</v>
      </c>
      <c r="B61" s="384" t="s">
        <v>180</v>
      </c>
      <c r="C61" s="360" t="s">
        <v>115</v>
      </c>
      <c r="D61" s="314">
        <v>45675</v>
      </c>
      <c r="E61" s="57"/>
      <c r="F61" s="57" t="s">
        <v>64</v>
      </c>
    </row>
    <row r="62" spans="1:6">
      <c r="A62" s="522">
        <v>57</v>
      </c>
      <c r="B62" s="384" t="s">
        <v>181</v>
      </c>
      <c r="C62" s="360" t="s">
        <v>182</v>
      </c>
      <c r="D62" s="314">
        <v>45675</v>
      </c>
      <c r="E62" s="57"/>
      <c r="F62" s="57" t="s">
        <v>64</v>
      </c>
    </row>
    <row r="63" spans="1:6">
      <c r="A63" s="522">
        <v>58</v>
      </c>
      <c r="B63" s="384" t="s">
        <v>183</v>
      </c>
      <c r="C63" s="360" t="s">
        <v>182</v>
      </c>
      <c r="D63" s="314">
        <v>45675</v>
      </c>
      <c r="E63" s="57"/>
      <c r="F63" s="57"/>
    </row>
    <row r="64" spans="1:6">
      <c r="A64" s="522">
        <v>59</v>
      </c>
      <c r="B64" s="384" t="s">
        <v>184</v>
      </c>
      <c r="C64" s="360" t="s">
        <v>185</v>
      </c>
      <c r="D64" s="314">
        <v>45676</v>
      </c>
      <c r="E64" s="57"/>
      <c r="F64" s="57"/>
    </row>
    <row r="65" spans="1:6">
      <c r="A65" s="522">
        <v>60</v>
      </c>
      <c r="B65" s="384" t="s">
        <v>186</v>
      </c>
      <c r="C65" s="360" t="s">
        <v>119</v>
      </c>
      <c r="D65" s="314">
        <v>45676</v>
      </c>
      <c r="E65" s="57"/>
      <c r="F65" s="57"/>
    </row>
    <row r="66" spans="1:6">
      <c r="A66" s="522">
        <v>61</v>
      </c>
      <c r="B66" s="384" t="s">
        <v>187</v>
      </c>
      <c r="C66" s="360" t="s">
        <v>188</v>
      </c>
      <c r="D66" s="314">
        <v>45677</v>
      </c>
      <c r="E66" s="57"/>
      <c r="F66" s="57"/>
    </row>
    <row r="67" spans="1:6">
      <c r="A67" s="522">
        <v>62</v>
      </c>
      <c r="B67" s="384" t="s">
        <v>189</v>
      </c>
      <c r="C67" s="360" t="s">
        <v>188</v>
      </c>
      <c r="D67" s="314">
        <v>45677</v>
      </c>
      <c r="E67" s="57"/>
      <c r="F67" s="57"/>
    </row>
    <row r="68" spans="1:6">
      <c r="A68" s="522">
        <v>63</v>
      </c>
      <c r="B68" s="384" t="s">
        <v>190</v>
      </c>
      <c r="C68" s="360" t="s">
        <v>115</v>
      </c>
      <c r="D68" s="314">
        <v>45677</v>
      </c>
      <c r="E68" s="57"/>
      <c r="F68" s="57"/>
    </row>
    <row r="69" spans="1:6">
      <c r="A69" s="522">
        <v>64</v>
      </c>
      <c r="B69" s="384" t="s">
        <v>191</v>
      </c>
      <c r="C69" s="360" t="s">
        <v>192</v>
      </c>
      <c r="D69" s="314">
        <v>45678</v>
      </c>
      <c r="E69" s="57"/>
      <c r="F69" s="57"/>
    </row>
    <row r="70" spans="1:6">
      <c r="A70" s="522">
        <v>65</v>
      </c>
      <c r="B70" s="384" t="s">
        <v>193</v>
      </c>
      <c r="C70" s="360" t="s">
        <v>192</v>
      </c>
      <c r="D70" s="314">
        <v>45678</v>
      </c>
      <c r="E70" s="57"/>
      <c r="F70" s="57"/>
    </row>
    <row r="71" spans="1:6">
      <c r="A71" s="522">
        <v>66</v>
      </c>
      <c r="B71" s="384" t="s">
        <v>194</v>
      </c>
      <c r="C71" s="360" t="s">
        <v>115</v>
      </c>
      <c r="D71" s="314">
        <v>45679</v>
      </c>
      <c r="E71" s="57"/>
      <c r="F71" s="57"/>
    </row>
    <row r="72" spans="1:6">
      <c r="A72" s="522">
        <v>67</v>
      </c>
      <c r="B72" s="384" t="s">
        <v>195</v>
      </c>
      <c r="C72" s="360" t="s">
        <v>119</v>
      </c>
      <c r="D72" s="314">
        <v>45678</v>
      </c>
      <c r="E72" s="57"/>
      <c r="F72" s="57"/>
    </row>
    <row r="73" spans="1:6">
      <c r="A73" s="522">
        <v>68</v>
      </c>
      <c r="B73" s="384" t="s">
        <v>196</v>
      </c>
      <c r="C73" s="360" t="s">
        <v>147</v>
      </c>
      <c r="D73" s="314">
        <v>45679</v>
      </c>
      <c r="E73" s="57"/>
      <c r="F73" s="57"/>
    </row>
    <row r="74" spans="1:6">
      <c r="A74" s="522">
        <v>69</v>
      </c>
      <c r="B74" s="384" t="s">
        <v>197</v>
      </c>
      <c r="C74" s="360" t="s">
        <v>147</v>
      </c>
      <c r="D74" s="314">
        <v>45679</v>
      </c>
      <c r="E74" s="57"/>
      <c r="F74" s="57"/>
    </row>
    <row r="75" spans="1:6">
      <c r="A75" s="522">
        <v>70</v>
      </c>
      <c r="B75" s="384" t="s">
        <v>198</v>
      </c>
      <c r="C75" s="360" t="s">
        <v>117</v>
      </c>
      <c r="D75" s="314">
        <v>45679</v>
      </c>
      <c r="E75" s="57"/>
      <c r="F75" s="57"/>
    </row>
    <row r="76" spans="1:6">
      <c r="A76" s="522">
        <v>71</v>
      </c>
      <c r="B76" s="384" t="s">
        <v>199</v>
      </c>
      <c r="C76" s="360" t="s">
        <v>117</v>
      </c>
      <c r="D76" s="314">
        <v>45680</v>
      </c>
      <c r="E76" s="57"/>
      <c r="F76" s="57"/>
    </row>
    <row r="77" spans="1:6">
      <c r="A77" s="522">
        <v>72</v>
      </c>
      <c r="B77" s="384" t="s">
        <v>200</v>
      </c>
      <c r="C77" s="360" t="s">
        <v>201</v>
      </c>
      <c r="D77" s="314">
        <v>45680</v>
      </c>
      <c r="E77" s="57"/>
      <c r="F77" s="57"/>
    </row>
    <row r="78" spans="1:6">
      <c r="A78" s="522">
        <v>73</v>
      </c>
      <c r="B78" s="527" t="s">
        <v>1289</v>
      </c>
      <c r="C78" s="359" t="s">
        <v>113</v>
      </c>
      <c r="D78" s="314">
        <v>45744</v>
      </c>
      <c r="E78" s="57"/>
      <c r="F78" s="57"/>
    </row>
    <row r="79" spans="1:6">
      <c r="A79" s="1453" t="s">
        <v>202</v>
      </c>
      <c r="B79" s="1453"/>
      <c r="C79" s="1453"/>
      <c r="D79" s="361">
        <v>73</v>
      </c>
      <c r="E79" s="361"/>
      <c r="F79" s="361"/>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57" customWidth="1"/>
    <col min="2" max="2" width="17.6328125" style="457" customWidth="1"/>
    <col min="3" max="3" width="11.1796875" style="457" customWidth="1"/>
    <col min="4" max="4" width="17.6328125" style="457" customWidth="1"/>
    <col min="5" max="5" width="13" style="457" customWidth="1"/>
    <col min="6" max="6" width="17.6328125" style="457" customWidth="1"/>
    <col min="7" max="7" width="11.1796875" style="457" customWidth="1"/>
    <col min="8" max="8" width="17.6328125" style="457" customWidth="1"/>
    <col min="9" max="9" width="15.7265625" style="457" customWidth="1"/>
    <col min="10" max="10" width="17.6328125" style="457" customWidth="1"/>
    <col min="11" max="11" width="11.1796875" style="457" customWidth="1"/>
    <col min="12" max="12" width="17.6328125" style="457" customWidth="1"/>
    <col min="13" max="13" width="11.1796875" style="457" customWidth="1"/>
    <col min="14" max="14" width="17.6328125" style="457" customWidth="1"/>
    <col min="15" max="15" width="11.1796875" style="457" customWidth="1"/>
    <col min="16" max="16" width="17.6328125" style="457" customWidth="1"/>
    <col min="17" max="17" width="16.90625" style="457" customWidth="1"/>
    <col min="18" max="18" width="17.6328125" style="457" customWidth="1"/>
    <col min="19" max="19" width="14.26953125" style="457" customWidth="1"/>
    <col min="20" max="20" width="17.6328125" style="457" customWidth="1"/>
    <col min="21" max="21" width="19.36328125" style="457" customWidth="1"/>
    <col min="22" max="22" width="23.08984375" style="457" customWidth="1"/>
    <col min="23" max="23" width="19.08984375" style="457" customWidth="1"/>
    <col min="24" max="24" width="17.6328125" style="457" customWidth="1"/>
    <col min="25" max="25" width="13" style="457" customWidth="1"/>
    <col min="26" max="26" width="17.6328125" style="457" customWidth="1"/>
    <col min="27" max="27" width="11.1796875" style="457" customWidth="1"/>
    <col min="28" max="28" width="17.6328125" style="457" customWidth="1"/>
    <col min="29" max="29" width="13.453125" style="457" customWidth="1"/>
    <col min="30" max="30" width="14.81640625" style="457" customWidth="1"/>
    <col min="31" max="31" width="14.36328125" style="457" customWidth="1"/>
    <col min="32" max="32" width="15.453125" style="457" customWidth="1"/>
    <col min="33" max="33" width="8.453125" style="457" customWidth="1"/>
    <col min="34" max="38" width="11" style="457" hidden="1" customWidth="1"/>
    <col min="39" max="39" width="28.7265625" style="457" customWidth="1"/>
    <col min="40" max="40" width="12.1796875" style="457" bestFit="1" customWidth="1"/>
    <col min="41" max="41" width="32" style="457" bestFit="1" customWidth="1"/>
    <col min="42" max="16384" width="8.81640625" style="457"/>
  </cols>
  <sheetData>
    <row r="1" spans="1:41" ht="46" customHeight="1" thickBot="1">
      <c r="A1" s="1454" t="s">
        <v>1504</v>
      </c>
      <c r="B1" s="1455"/>
      <c r="C1" s="1455"/>
      <c r="D1" s="1455"/>
      <c r="E1" s="1455"/>
      <c r="F1" s="1455"/>
      <c r="G1" s="1455"/>
      <c r="H1" s="1455"/>
      <c r="I1" s="1455"/>
      <c r="J1" s="1455"/>
      <c r="K1" s="1455"/>
      <c r="L1" s="1455"/>
      <c r="M1" s="1455"/>
      <c r="N1" s="1455"/>
      <c r="O1" s="1455"/>
      <c r="P1" s="1455"/>
      <c r="Q1" s="1455"/>
      <c r="R1" s="1455"/>
      <c r="S1" s="1455"/>
      <c r="T1" s="1455"/>
      <c r="U1" s="1455"/>
      <c r="V1" s="1455"/>
      <c r="W1" s="1455"/>
      <c r="X1" s="1455"/>
      <c r="Y1" s="1455"/>
      <c r="Z1" s="1456"/>
      <c r="AA1" s="1456"/>
      <c r="AB1" s="1456"/>
      <c r="AC1" s="1456"/>
      <c r="AD1" s="1456"/>
      <c r="AE1" s="455"/>
      <c r="AF1" s="455"/>
      <c r="AG1" s="455"/>
    </row>
    <row r="2" spans="1:41" ht="48.5" customHeight="1" thickBot="1">
      <c r="A2" s="1457" t="s">
        <v>1163</v>
      </c>
      <c r="B2" s="1458"/>
      <c r="C2" s="1458"/>
      <c r="D2" s="1458"/>
      <c r="E2" s="1458"/>
      <c r="F2" s="1458"/>
      <c r="G2" s="1458"/>
      <c r="H2" s="1458"/>
      <c r="I2" s="1458"/>
      <c r="J2" s="1458"/>
      <c r="K2" s="1458"/>
      <c r="L2" s="1458"/>
      <c r="M2" s="1458"/>
      <c r="N2" s="1458"/>
      <c r="O2" s="1458"/>
      <c r="P2" s="1458"/>
      <c r="Q2" s="1458"/>
      <c r="R2" s="1458"/>
      <c r="S2" s="1458"/>
      <c r="T2" s="1458"/>
      <c r="U2" s="1458"/>
      <c r="V2" s="1458"/>
      <c r="W2" s="1458"/>
      <c r="X2" s="1458"/>
      <c r="Y2" s="1458"/>
      <c r="Z2" s="1459" t="s">
        <v>1505</v>
      </c>
      <c r="AA2" s="1459"/>
      <c r="AB2" s="1459">
        <f ca="1">NOW()-1</f>
        <v>45964.674155324072</v>
      </c>
      <c r="AC2" s="1459"/>
      <c r="AD2" s="1459"/>
    </row>
    <row r="3" spans="1:41" ht="14.5">
      <c r="A3" s="1460" t="s">
        <v>1164</v>
      </c>
      <c r="B3" s="1461"/>
      <c r="C3" s="1461"/>
      <c r="D3" s="1461"/>
      <c r="E3" s="1461"/>
      <c r="F3" s="1461"/>
      <c r="G3" s="1461"/>
      <c r="H3" s="1461"/>
      <c r="I3" s="1461"/>
      <c r="J3" s="1461"/>
      <c r="K3" s="1461"/>
      <c r="L3" s="1461"/>
      <c r="M3" s="1461"/>
      <c r="N3" s="1461"/>
      <c r="O3" s="1461"/>
      <c r="P3" s="1462"/>
      <c r="Q3" s="661"/>
      <c r="R3" s="661"/>
      <c r="S3" s="1466"/>
      <c r="T3" s="1466"/>
      <c r="U3" s="1466"/>
      <c r="V3" s="662"/>
      <c r="W3" s="1467"/>
      <c r="X3" s="1467"/>
      <c r="Y3" s="1467"/>
      <c r="Z3" s="1468"/>
      <c r="AA3" s="662"/>
      <c r="AB3" s="662"/>
      <c r="AC3" s="663"/>
      <c r="AD3" s="663"/>
    </row>
    <row r="4" spans="1:41" ht="24.5">
      <c r="A4" s="1463"/>
      <c r="B4" s="1464"/>
      <c r="C4" s="1464"/>
      <c r="D4" s="1464"/>
      <c r="E4" s="1464"/>
      <c r="F4" s="1464"/>
      <c r="G4" s="1464"/>
      <c r="H4" s="1464"/>
      <c r="I4" s="1464"/>
      <c r="J4" s="1464"/>
      <c r="K4" s="1464"/>
      <c r="L4" s="1464"/>
      <c r="M4" s="1464"/>
      <c r="N4" s="1464"/>
      <c r="O4" s="1464"/>
      <c r="P4" s="1465"/>
      <c r="Q4" s="661"/>
      <c r="R4" s="661"/>
      <c r="S4" s="1469" t="s">
        <v>1165</v>
      </c>
      <c r="T4" s="1469"/>
      <c r="U4" s="1469"/>
      <c r="V4" s="664"/>
      <c r="W4" s="1470" t="s">
        <v>1166</v>
      </c>
      <c r="X4" s="1470"/>
      <c r="Y4" s="1470"/>
      <c r="Z4" s="1470"/>
      <c r="AA4" s="664"/>
      <c r="AB4" s="664"/>
      <c r="AC4" s="664"/>
      <c r="AD4" s="664"/>
    </row>
    <row r="5" spans="1:41" ht="30.5">
      <c r="A5" s="1472" t="s">
        <v>1012</v>
      </c>
      <c r="B5" s="1473"/>
      <c r="C5" s="1473" t="s">
        <v>27</v>
      </c>
      <c r="D5" s="1473"/>
      <c r="E5" s="1473"/>
      <c r="F5" s="1473" t="s">
        <v>1167</v>
      </c>
      <c r="G5" s="1473"/>
      <c r="H5" s="1473" t="s">
        <v>1168</v>
      </c>
      <c r="I5" s="1473"/>
      <c r="J5" s="1473"/>
      <c r="K5" s="1473" t="s">
        <v>1506</v>
      </c>
      <c r="L5" s="1473"/>
      <c r="M5" s="1473"/>
      <c r="N5" s="1473" t="s">
        <v>857</v>
      </c>
      <c r="O5" s="1473"/>
      <c r="P5" s="1479"/>
      <c r="Q5" s="661"/>
      <c r="R5" s="661"/>
      <c r="S5" s="666"/>
      <c r="T5" s="664"/>
      <c r="U5" s="664"/>
      <c r="V5" s="664"/>
      <c r="W5" s="664"/>
      <c r="X5" s="664"/>
      <c r="Y5" s="664"/>
      <c r="Z5" s="664"/>
      <c r="AA5" s="1471" t="s">
        <v>64</v>
      </c>
      <c r="AB5" s="1471"/>
      <c r="AC5" s="1471"/>
      <c r="AD5" s="667"/>
    </row>
    <row r="6" spans="1:41" ht="17">
      <c r="A6" s="1472"/>
      <c r="B6" s="1473"/>
      <c r="C6" s="1473"/>
      <c r="D6" s="1473"/>
      <c r="E6" s="1473"/>
      <c r="F6" s="1473"/>
      <c r="G6" s="1473"/>
      <c r="H6" s="1473"/>
      <c r="I6" s="1473"/>
      <c r="J6" s="1473"/>
      <c r="K6" s="1473"/>
      <c r="L6" s="1473"/>
      <c r="M6" s="1473"/>
      <c r="N6" s="1473"/>
      <c r="O6" s="1473"/>
      <c r="P6" s="1479"/>
      <c r="Q6" s="661"/>
      <c r="R6" s="661"/>
      <c r="S6" s="666"/>
      <c r="T6" s="664"/>
      <c r="U6" s="664"/>
      <c r="V6" s="664"/>
      <c r="W6" s="664"/>
      <c r="X6" s="664"/>
      <c r="Y6" s="664"/>
      <c r="Z6" s="664"/>
      <c r="AA6" s="668"/>
      <c r="AB6" s="668"/>
      <c r="AC6" s="668"/>
      <c r="AD6" s="668"/>
    </row>
    <row r="7" spans="1:41" ht="40" customHeight="1">
      <c r="A7" s="1472">
        <v>1</v>
      </c>
      <c r="B7" s="1473"/>
      <c r="C7" s="1464" t="s">
        <v>1170</v>
      </c>
      <c r="D7" s="1464"/>
      <c r="E7" s="1464"/>
      <c r="F7" s="1473" t="s">
        <v>1065</v>
      </c>
      <c r="G7" s="1473"/>
      <c r="H7" s="1474">
        <v>188.44399999999999</v>
      </c>
      <c r="I7" s="1474"/>
      <c r="J7" s="1474"/>
      <c r="K7" s="1475">
        <v>188.44399999999999</v>
      </c>
      <c r="L7" s="1476"/>
      <c r="M7" s="1477"/>
      <c r="N7" s="1474">
        <f>H7-K7</f>
        <v>0</v>
      </c>
      <c r="O7" s="1474"/>
      <c r="P7" s="1478"/>
      <c r="Q7" s="661"/>
      <c r="R7" s="661"/>
      <c r="S7" s="666"/>
      <c r="T7" s="664"/>
      <c r="U7" s="664"/>
      <c r="V7" s="664"/>
      <c r="W7" s="664"/>
      <c r="X7" s="664"/>
      <c r="Y7" s="664"/>
      <c r="Z7" s="664"/>
      <c r="AA7" s="668"/>
      <c r="AB7" s="668"/>
      <c r="AC7" s="668"/>
      <c r="AD7" s="668"/>
    </row>
    <row r="8" spans="1:41" ht="40" customHeight="1">
      <c r="A8" s="1472">
        <f>A7+1</f>
        <v>2</v>
      </c>
      <c r="B8" s="1473"/>
      <c r="C8" s="1464" t="s">
        <v>1171</v>
      </c>
      <c r="D8" s="1464"/>
      <c r="E8" s="1464"/>
      <c r="F8" s="1473" t="s">
        <v>1065</v>
      </c>
      <c r="G8" s="1473"/>
      <c r="H8" s="1474">
        <v>188.44399999999999</v>
      </c>
      <c r="I8" s="1474"/>
      <c r="J8" s="1474"/>
      <c r="K8" s="1474">
        <v>178.07499999999999</v>
      </c>
      <c r="L8" s="1474"/>
      <c r="M8" s="1474"/>
      <c r="N8" s="1474">
        <f>H8-K8</f>
        <v>10.369</v>
      </c>
      <c r="O8" s="1474"/>
      <c r="P8" s="1478"/>
      <c r="Q8" s="661"/>
      <c r="R8" s="661"/>
      <c r="S8" s="661"/>
      <c r="T8" s="663"/>
      <c r="U8" s="663"/>
      <c r="V8" s="663"/>
      <c r="W8" s="663"/>
      <c r="X8" s="663"/>
      <c r="Y8" s="663"/>
      <c r="Z8" s="663"/>
      <c r="AA8" s="669"/>
      <c r="AB8" s="669"/>
      <c r="AC8" s="669"/>
      <c r="AD8" s="669"/>
    </row>
    <row r="9" spans="1:41" ht="40" customHeight="1">
      <c r="A9" s="1472">
        <f>A8+1</f>
        <v>3</v>
      </c>
      <c r="B9" s="1473"/>
      <c r="C9" s="1464" t="s">
        <v>1507</v>
      </c>
      <c r="D9" s="1464"/>
      <c r="E9" s="1464"/>
      <c r="F9" s="1473" t="s">
        <v>1065</v>
      </c>
      <c r="G9" s="1473"/>
      <c r="H9" s="1474">
        <v>188.44399999999999</v>
      </c>
      <c r="I9" s="1474"/>
      <c r="J9" s="1474"/>
      <c r="K9" s="1475">
        <v>178.07499999999999</v>
      </c>
      <c r="L9" s="1476"/>
      <c r="M9" s="1477"/>
      <c r="N9" s="1474">
        <f>H9-K9</f>
        <v>10.369</v>
      </c>
      <c r="O9" s="1474"/>
      <c r="P9" s="1478"/>
      <c r="Q9" s="661"/>
      <c r="R9" s="661"/>
      <c r="S9" s="661"/>
      <c r="T9" s="663"/>
      <c r="U9" s="663"/>
      <c r="V9" s="663"/>
      <c r="W9" s="663"/>
      <c r="X9" s="663"/>
      <c r="Y9" s="663"/>
      <c r="Z9" s="663"/>
      <c r="AA9" s="669"/>
      <c r="AB9" s="669"/>
      <c r="AC9" s="669"/>
      <c r="AD9" s="669"/>
    </row>
    <row r="10" spans="1:41" ht="40" customHeight="1">
      <c r="A10" s="1472">
        <f>A9+1</f>
        <v>4</v>
      </c>
      <c r="B10" s="1473"/>
      <c r="C10" s="1464" t="s">
        <v>1172</v>
      </c>
      <c r="D10" s="1464"/>
      <c r="E10" s="1464"/>
      <c r="F10" s="1480" t="s">
        <v>1173</v>
      </c>
      <c r="G10" s="1481"/>
      <c r="H10" s="1482">
        <v>73</v>
      </c>
      <c r="I10" s="1483"/>
      <c r="J10" s="1484"/>
      <c r="K10" s="1482">
        <v>73</v>
      </c>
      <c r="L10" s="1483"/>
      <c r="M10" s="1484"/>
      <c r="N10" s="1486">
        <f t="shared" ref="N10:N14" si="0">H10-K10</f>
        <v>0</v>
      </c>
      <c r="O10" s="1486"/>
      <c r="P10" s="1487"/>
      <c r="Q10" s="661"/>
      <c r="R10" s="661"/>
      <c r="S10" s="661"/>
      <c r="T10" s="663"/>
      <c r="U10" s="663"/>
      <c r="V10" s="663"/>
      <c r="W10" s="663"/>
      <c r="X10" s="663"/>
      <c r="Y10" s="663"/>
      <c r="Z10" s="663"/>
      <c r="AA10" s="669"/>
      <c r="AB10" s="669"/>
      <c r="AC10" s="669"/>
      <c r="AD10" s="669"/>
    </row>
    <row r="11" spans="1:41" ht="40" customHeight="1">
      <c r="A11" s="1472">
        <f>A10+1</f>
        <v>5</v>
      </c>
      <c r="B11" s="1473"/>
      <c r="C11" s="1464" t="s">
        <v>304</v>
      </c>
      <c r="D11" s="1464"/>
      <c r="E11" s="1464"/>
      <c r="F11" s="1480" t="s">
        <v>1173</v>
      </c>
      <c r="G11" s="1481"/>
      <c r="H11" s="1482">
        <v>512</v>
      </c>
      <c r="I11" s="1483"/>
      <c r="J11" s="1484"/>
      <c r="K11" s="1485">
        <v>208</v>
      </c>
      <c r="L11" s="1485"/>
      <c r="M11" s="1485"/>
      <c r="N11" s="1486">
        <f t="shared" si="0"/>
        <v>304</v>
      </c>
      <c r="O11" s="1486"/>
      <c r="P11" s="1487"/>
      <c r="Q11" s="661"/>
      <c r="R11" s="661"/>
      <c r="S11" s="663"/>
      <c r="T11" s="663"/>
      <c r="U11" s="663"/>
      <c r="V11" s="663"/>
      <c r="W11" s="663"/>
      <c r="X11" s="663"/>
      <c r="Y11" s="663"/>
      <c r="Z11" s="663"/>
      <c r="AA11" s="670" t="s">
        <v>1174</v>
      </c>
      <c r="AB11" s="671"/>
      <c r="AC11" s="669"/>
      <c r="AD11" s="669"/>
    </row>
    <row r="12" spans="1:41" ht="40" customHeight="1">
      <c r="A12" s="1472">
        <f t="shared" ref="A12:A16" si="1">A11+1</f>
        <v>6</v>
      </c>
      <c r="B12" s="1473"/>
      <c r="C12" s="1464" t="s">
        <v>305</v>
      </c>
      <c r="D12" s="1464"/>
      <c r="E12" s="1464"/>
      <c r="F12" s="1480" t="s">
        <v>1175</v>
      </c>
      <c r="G12" s="1481"/>
      <c r="H12" s="1482">
        <v>514</v>
      </c>
      <c r="I12" s="1483"/>
      <c r="J12" s="1484"/>
      <c r="K12" s="1485">
        <v>190</v>
      </c>
      <c r="L12" s="1485"/>
      <c r="M12" s="1485"/>
      <c r="N12" s="1486">
        <f t="shared" si="0"/>
        <v>324</v>
      </c>
      <c r="O12" s="1486"/>
      <c r="P12" s="1487"/>
      <c r="Q12" s="661"/>
      <c r="R12" s="672"/>
      <c r="S12" s="673" t="s">
        <v>1176</v>
      </c>
      <c r="T12" s="665"/>
      <c r="U12" s="663"/>
      <c r="V12" s="1488" t="s">
        <v>219</v>
      </c>
      <c r="W12" s="1488"/>
      <c r="X12" s="1488"/>
      <c r="Y12" s="663"/>
      <c r="Z12" s="663"/>
      <c r="AA12" s="669"/>
      <c r="AB12" s="674"/>
      <c r="AC12" s="670" t="s">
        <v>1508</v>
      </c>
      <c r="AD12" s="671"/>
    </row>
    <row r="13" spans="1:41" ht="40" customHeight="1">
      <c r="A13" s="1472">
        <f t="shared" si="1"/>
        <v>7</v>
      </c>
      <c r="B13" s="1473"/>
      <c r="C13" s="1464" t="s">
        <v>1178</v>
      </c>
      <c r="D13" s="1464"/>
      <c r="E13" s="1464"/>
      <c r="F13" s="1480" t="s">
        <v>1173</v>
      </c>
      <c r="G13" s="1481"/>
      <c r="H13" s="1482">
        <v>512</v>
      </c>
      <c r="I13" s="1483"/>
      <c r="J13" s="1484"/>
      <c r="K13" s="1485">
        <v>75</v>
      </c>
      <c r="L13" s="1485"/>
      <c r="M13" s="1485"/>
      <c r="N13" s="1486">
        <f t="shared" si="0"/>
        <v>437</v>
      </c>
      <c r="O13" s="1486"/>
      <c r="P13" s="1487"/>
      <c r="Q13" s="661"/>
      <c r="R13" s="672"/>
      <c r="S13" s="665" t="s">
        <v>305</v>
      </c>
      <c r="T13" s="665"/>
      <c r="U13" s="663"/>
      <c r="V13" s="1489"/>
      <c r="W13" s="1489"/>
      <c r="X13" s="1489"/>
      <c r="Y13" s="663"/>
      <c r="Z13" s="663"/>
      <c r="AA13" s="675"/>
      <c r="AB13" s="669"/>
      <c r="AC13" s="669"/>
      <c r="AD13" s="669"/>
    </row>
    <row r="14" spans="1:41" ht="40" customHeight="1">
      <c r="A14" s="1472">
        <f t="shared" si="1"/>
        <v>8</v>
      </c>
      <c r="B14" s="1473"/>
      <c r="C14" s="1464" t="s">
        <v>517</v>
      </c>
      <c r="D14" s="1464"/>
      <c r="E14" s="1464"/>
      <c r="F14" s="1480" t="s">
        <v>1175</v>
      </c>
      <c r="G14" s="1481"/>
      <c r="H14" s="1482">
        <v>512</v>
      </c>
      <c r="I14" s="1483"/>
      <c r="J14" s="1484"/>
      <c r="K14" s="1485"/>
      <c r="L14" s="1485"/>
      <c r="M14" s="1485"/>
      <c r="N14" s="1486">
        <f t="shared" si="0"/>
        <v>512</v>
      </c>
      <c r="O14" s="1486"/>
      <c r="P14" s="1487"/>
      <c r="Q14" s="661"/>
      <c r="R14" s="661"/>
      <c r="S14" s="661"/>
      <c r="T14" s="663"/>
      <c r="U14" s="663"/>
      <c r="V14" s="663"/>
      <c r="W14" s="663"/>
      <c r="X14" s="663"/>
      <c r="Y14" s="663"/>
      <c r="Z14" s="663"/>
      <c r="AA14" s="669"/>
      <c r="AB14" s="669"/>
      <c r="AC14" s="669"/>
      <c r="AD14" s="669"/>
    </row>
    <row r="15" spans="1:41" ht="40" customHeight="1">
      <c r="A15" s="1472">
        <f t="shared" si="1"/>
        <v>9</v>
      </c>
      <c r="B15" s="1473"/>
      <c r="C15" s="1491" t="s">
        <v>1509</v>
      </c>
      <c r="D15" s="1491"/>
      <c r="E15" s="1491"/>
      <c r="F15" s="1473" t="s">
        <v>1065</v>
      </c>
      <c r="G15" s="1473"/>
      <c r="H15" s="1474">
        <v>188.44399999999999</v>
      </c>
      <c r="I15" s="1474"/>
      <c r="J15" s="1474"/>
      <c r="K15" s="1473"/>
      <c r="L15" s="1473"/>
      <c r="M15" s="1473"/>
      <c r="N15" s="1474">
        <v>188.44399999999999</v>
      </c>
      <c r="O15" s="1474"/>
      <c r="P15" s="1478"/>
      <c r="Q15" s="661"/>
      <c r="R15" s="661"/>
      <c r="S15" s="1490" t="s">
        <v>1510</v>
      </c>
      <c r="T15" s="1490"/>
      <c r="U15" s="663"/>
      <c r="V15" s="663"/>
      <c r="W15" s="664"/>
      <c r="X15" s="673" t="s">
        <v>1180</v>
      </c>
      <c r="Y15" s="664"/>
      <c r="Z15" s="664"/>
      <c r="AA15" s="664"/>
      <c r="AB15" s="664"/>
      <c r="AC15" s="664"/>
      <c r="AD15" s="664"/>
      <c r="AO15" s="676"/>
    </row>
    <row r="16" spans="1:41" ht="40" customHeight="1">
      <c r="A16" s="1472">
        <f t="shared" si="1"/>
        <v>10</v>
      </c>
      <c r="B16" s="1473"/>
      <c r="C16" s="1491" t="s">
        <v>1511</v>
      </c>
      <c r="D16" s="1491"/>
      <c r="E16" s="1491"/>
      <c r="F16" s="1473" t="s">
        <v>1065</v>
      </c>
      <c r="G16" s="1473"/>
      <c r="H16" s="1474">
        <v>188.44399999999999</v>
      </c>
      <c r="I16" s="1474"/>
      <c r="J16" s="1474"/>
      <c r="K16" s="1473"/>
      <c r="L16" s="1473"/>
      <c r="M16" s="1473"/>
      <c r="N16" s="1474">
        <v>188.44399999999999</v>
      </c>
      <c r="O16" s="1474"/>
      <c r="P16" s="1478"/>
      <c r="Q16" s="677"/>
      <c r="R16" s="677"/>
      <c r="S16" s="677"/>
      <c r="T16" s="678"/>
      <c r="U16" s="678"/>
      <c r="V16" s="678"/>
      <c r="W16" s="679"/>
      <c r="X16" s="679"/>
      <c r="Y16" s="679"/>
      <c r="Z16" s="680" t="s">
        <v>1512</v>
      </c>
      <c r="AA16" s="681" t="s">
        <v>1513</v>
      </c>
      <c r="AB16" s="1495" t="s">
        <v>1514</v>
      </c>
      <c r="AC16" s="1495"/>
      <c r="AD16" s="1495"/>
    </row>
    <row r="17" spans="1:41" ht="67" customHeight="1">
      <c r="A17" s="1496" t="s">
        <v>1515</v>
      </c>
      <c r="B17" s="1497"/>
      <c r="C17" s="683"/>
      <c r="D17" s="682" t="s">
        <v>520</v>
      </c>
      <c r="E17" s="683"/>
      <c r="F17" s="1498" t="s">
        <v>1516</v>
      </c>
      <c r="G17" s="1498"/>
      <c r="H17" s="684" t="s">
        <v>521</v>
      </c>
      <c r="I17" s="683"/>
      <c r="J17" s="684" t="s">
        <v>522</v>
      </c>
      <c r="K17" s="683"/>
      <c r="L17" s="684" t="s">
        <v>1186</v>
      </c>
      <c r="M17" s="683"/>
      <c r="N17" s="684" t="s">
        <v>524</v>
      </c>
      <c r="O17" s="683"/>
      <c r="P17" s="684" t="s">
        <v>525</v>
      </c>
      <c r="Q17" s="683"/>
      <c r="R17" s="684" t="s">
        <v>532</v>
      </c>
      <c r="S17" s="683"/>
      <c r="T17" s="684" t="s">
        <v>533</v>
      </c>
      <c r="U17" s="683"/>
      <c r="V17" s="684" t="s">
        <v>1187</v>
      </c>
      <c r="W17" s="683"/>
      <c r="X17" s="684" t="s">
        <v>1188</v>
      </c>
      <c r="Y17" s="683"/>
      <c r="Z17" s="684" t="s">
        <v>1189</v>
      </c>
      <c r="AA17" s="683"/>
      <c r="AB17" s="684" t="s">
        <v>1190</v>
      </c>
      <c r="AC17" s="685" t="s">
        <v>1513</v>
      </c>
      <c r="AD17" s="686"/>
      <c r="AE17" s="477"/>
      <c r="AF17" s="477"/>
      <c r="AG17" s="477"/>
    </row>
    <row r="18" spans="1:41" ht="33.5">
      <c r="A18" s="469"/>
      <c r="B18" s="380"/>
      <c r="C18" s="686"/>
      <c r="D18" s="380"/>
      <c r="E18" s="686"/>
      <c r="F18" s="380"/>
      <c r="G18" s="686"/>
      <c r="H18" s="380"/>
      <c r="I18" s="686"/>
      <c r="J18" s="380"/>
      <c r="K18" s="686"/>
      <c r="L18" s="380"/>
      <c r="M18" s="686"/>
      <c r="N18" s="380"/>
      <c r="O18" s="687"/>
      <c r="P18" s="380"/>
      <c r="Q18" s="686"/>
      <c r="R18" s="380"/>
      <c r="S18" s="686"/>
      <c r="T18" s="380"/>
      <c r="U18" s="686"/>
      <c r="V18" s="380"/>
      <c r="W18" s="686"/>
      <c r="X18" s="380"/>
      <c r="Y18" s="686"/>
      <c r="Z18" s="380"/>
      <c r="AA18" s="686"/>
      <c r="AB18" s="380"/>
      <c r="AC18" s="686"/>
      <c r="AD18" s="380"/>
      <c r="AE18" s="477"/>
      <c r="AF18" s="477"/>
      <c r="AG18" s="477"/>
      <c r="AM18" s="684" t="s">
        <v>390</v>
      </c>
      <c r="AN18" s="684" t="s">
        <v>228</v>
      </c>
      <c r="AO18" s="684" t="s">
        <v>375</v>
      </c>
    </row>
    <row r="19" spans="1:41" ht="15" thickBot="1">
      <c r="A19" s="469"/>
      <c r="B19" s="688"/>
      <c r="C19" s="686"/>
      <c r="D19" s="688"/>
      <c r="E19" s="686"/>
      <c r="F19" s="688"/>
      <c r="G19" s="686"/>
      <c r="H19" s="688"/>
      <c r="I19" s="686"/>
      <c r="J19" s="688"/>
      <c r="K19" s="686"/>
      <c r="L19" s="688"/>
      <c r="M19" s="686"/>
      <c r="N19" s="688"/>
      <c r="O19" s="687"/>
      <c r="P19" s="688"/>
      <c r="Q19" s="686"/>
      <c r="R19" s="688"/>
      <c r="S19" s="686"/>
      <c r="T19" s="688"/>
      <c r="U19" s="686"/>
      <c r="V19" s="688"/>
      <c r="W19" s="686"/>
      <c r="X19" s="688"/>
      <c r="Y19" s="686"/>
      <c r="Z19" s="688"/>
      <c r="AA19" s="686"/>
      <c r="AB19" s="688"/>
      <c r="AC19" s="686"/>
      <c r="AD19" s="686"/>
      <c r="AE19" s="477"/>
      <c r="AF19" s="477"/>
      <c r="AG19" s="477"/>
    </row>
    <row r="20" spans="1:41" ht="101.5" customHeight="1" thickBot="1">
      <c r="A20" s="469"/>
      <c r="B20" s="689"/>
      <c r="C20" s="690">
        <v>89</v>
      </c>
      <c r="D20" s="691"/>
      <c r="E20" s="690">
        <v>113</v>
      </c>
      <c r="F20" s="691"/>
      <c r="G20" s="690">
        <v>264</v>
      </c>
      <c r="H20" s="691"/>
      <c r="I20" s="690">
        <v>244</v>
      </c>
      <c r="J20" s="691"/>
      <c r="K20" s="690">
        <v>657</v>
      </c>
      <c r="L20" s="691"/>
      <c r="M20" s="690">
        <v>419.226</v>
      </c>
      <c r="N20" s="691"/>
      <c r="O20" s="690">
        <v>420.01</v>
      </c>
      <c r="P20" s="691"/>
      <c r="Q20" s="690">
        <v>416.53100000000001</v>
      </c>
      <c r="R20" s="691"/>
      <c r="S20" s="690">
        <v>356.262</v>
      </c>
      <c r="T20" s="691"/>
      <c r="U20" s="690">
        <v>343.07400000000001</v>
      </c>
      <c r="V20" s="691"/>
      <c r="W20" s="690">
        <v>381.32900000000001</v>
      </c>
      <c r="X20" s="691"/>
      <c r="Y20" s="690">
        <v>373.32299999999998</v>
      </c>
      <c r="Z20" s="691"/>
      <c r="AA20" s="690">
        <v>246.012</v>
      </c>
      <c r="AB20" s="691"/>
      <c r="AC20" s="692">
        <v>249.42400000000001</v>
      </c>
      <c r="AD20" s="686"/>
      <c r="AE20" s="696"/>
      <c r="AF20" s="696"/>
      <c r="AG20" s="696"/>
      <c r="AM20" s="896">
        <f>COUNTIF(B20:AB20,"U/P")</f>
        <v>0</v>
      </c>
      <c r="AN20" s="896">
        <f>COUNTIF(C20:AC20,"ROW")</f>
        <v>0</v>
      </c>
      <c r="AO20" s="896">
        <f>COUNTIF(D20:AD20,"C")</f>
        <v>0</v>
      </c>
    </row>
    <row r="21" spans="1:41" ht="15" thickBot="1">
      <c r="A21" s="469"/>
      <c r="B21" s="693"/>
      <c r="C21" s="687"/>
      <c r="D21" s="694"/>
      <c r="E21" s="687"/>
      <c r="F21" s="694"/>
      <c r="G21" s="687"/>
      <c r="H21" s="694"/>
      <c r="I21" s="687"/>
      <c r="J21" s="694"/>
      <c r="K21" s="687"/>
      <c r="L21" s="694"/>
      <c r="M21" s="687"/>
      <c r="N21" s="694"/>
      <c r="O21" s="687"/>
      <c r="P21" s="694"/>
      <c r="Q21" s="687"/>
      <c r="R21" s="694"/>
      <c r="S21" s="687"/>
      <c r="T21" s="694"/>
      <c r="U21" s="687"/>
      <c r="V21" s="694"/>
      <c r="W21" s="687"/>
      <c r="X21" s="694"/>
      <c r="Y21" s="687"/>
      <c r="Z21" s="694"/>
      <c r="AA21" s="687"/>
      <c r="AB21" s="694"/>
      <c r="AC21" s="687"/>
      <c r="AD21" s="686"/>
      <c r="AE21" s="695"/>
      <c r="AF21" s="696"/>
      <c r="AG21" s="696"/>
    </row>
    <row r="22" spans="1:41" ht="33.5">
      <c r="A22" s="697"/>
      <c r="B22" s="698"/>
      <c r="C22" s="698"/>
      <c r="D22" s="699" t="s">
        <v>125</v>
      </c>
      <c r="E22" s="700"/>
      <c r="F22" s="699" t="s">
        <v>143</v>
      </c>
      <c r="G22" s="700"/>
      <c r="H22" s="699" t="s">
        <v>113</v>
      </c>
      <c r="I22" s="701"/>
      <c r="J22" s="699" t="s">
        <v>113</v>
      </c>
      <c r="K22" s="701"/>
      <c r="L22" s="699" t="s">
        <v>167</v>
      </c>
      <c r="M22" s="698"/>
      <c r="N22" s="698" t="s">
        <v>182</v>
      </c>
      <c r="O22" s="698"/>
      <c r="P22" s="698" t="s">
        <v>248</v>
      </c>
      <c r="Q22" s="698"/>
      <c r="R22" s="699" t="s">
        <v>115</v>
      </c>
      <c r="S22" s="698"/>
      <c r="T22" s="698" t="s">
        <v>182</v>
      </c>
      <c r="U22" s="698"/>
      <c r="V22" s="698" t="s">
        <v>182</v>
      </c>
      <c r="W22" s="698"/>
      <c r="X22" s="698" t="s">
        <v>242</v>
      </c>
      <c r="Y22" s="698"/>
      <c r="Z22" s="698" t="s">
        <v>185</v>
      </c>
      <c r="AA22" s="698"/>
      <c r="AB22" s="699" t="s">
        <v>119</v>
      </c>
      <c r="AC22" s="702"/>
      <c r="AD22" s="686"/>
      <c r="AE22" s="695"/>
      <c r="AF22" s="696"/>
      <c r="AG22" s="696"/>
      <c r="AM22" s="896"/>
      <c r="AN22" s="896"/>
      <c r="AO22" s="896"/>
    </row>
    <row r="23" spans="1:41" ht="29" customHeight="1">
      <c r="A23" s="1499" t="s">
        <v>1711</v>
      </c>
      <c r="B23" s="1500"/>
      <c r="C23" s="1500"/>
      <c r="D23" s="1500"/>
      <c r="E23" s="1500"/>
      <c r="F23" s="1500"/>
      <c r="G23" s="1500"/>
      <c r="H23" s="1500"/>
      <c r="I23" s="1500"/>
      <c r="J23" s="1500"/>
      <c r="K23" s="1500"/>
      <c r="L23" s="1500"/>
      <c r="M23" s="1500"/>
      <c r="N23" s="1500"/>
      <c r="O23" s="1500"/>
      <c r="P23" s="1500"/>
      <c r="Q23" s="1500"/>
      <c r="R23" s="1500"/>
      <c r="S23" s="1500"/>
      <c r="T23" s="1500"/>
      <c r="U23" s="1500"/>
      <c r="V23" s="1500"/>
      <c r="W23" s="1500"/>
      <c r="X23" s="1500"/>
      <c r="Y23" s="1500"/>
      <c r="Z23" s="1500"/>
      <c r="AA23" s="1500"/>
      <c r="AB23" s="1500"/>
      <c r="AC23" s="1500"/>
      <c r="AD23" s="1500"/>
      <c r="AE23" s="1500"/>
      <c r="AF23" s="1500"/>
      <c r="AG23" s="1500"/>
      <c r="AH23" s="1500"/>
      <c r="AI23" s="910"/>
      <c r="AJ23" s="910"/>
      <c r="AK23" s="910"/>
      <c r="AL23" s="910"/>
      <c r="AM23" s="896"/>
      <c r="AN23" s="896"/>
      <c r="AO23" s="896"/>
    </row>
    <row r="24" spans="1:41" ht="29.5" customHeight="1">
      <c r="A24" s="697"/>
      <c r="B24" s="684" t="s">
        <v>1195</v>
      </c>
      <c r="C24" s="683"/>
      <c r="D24" s="684" t="s">
        <v>1196</v>
      </c>
      <c r="E24" s="683"/>
      <c r="F24" s="684" t="s">
        <v>1197</v>
      </c>
      <c r="G24" s="683"/>
      <c r="H24" s="684" t="s">
        <v>1198</v>
      </c>
      <c r="I24" s="683"/>
      <c r="J24" s="684" t="s">
        <v>534</v>
      </c>
      <c r="K24" s="683"/>
      <c r="L24" s="684" t="s">
        <v>537</v>
      </c>
      <c r="M24" s="683"/>
      <c r="N24" s="684" t="s">
        <v>1199</v>
      </c>
      <c r="O24" s="683"/>
      <c r="P24" s="684" t="s">
        <v>1200</v>
      </c>
      <c r="Q24" s="683"/>
      <c r="R24" s="684" t="s">
        <v>1201</v>
      </c>
      <c r="S24" s="683"/>
      <c r="T24" s="684" t="s">
        <v>1202</v>
      </c>
      <c r="U24" s="683"/>
      <c r="V24" s="684" t="s">
        <v>1203</v>
      </c>
      <c r="W24" s="683"/>
      <c r="X24" s="684" t="s">
        <v>1204</v>
      </c>
      <c r="Y24" s="683"/>
      <c r="Z24" s="684" t="s">
        <v>1205</v>
      </c>
      <c r="AA24" s="683"/>
      <c r="AB24" s="684" t="s">
        <v>538</v>
      </c>
      <c r="AC24" s="702"/>
      <c r="AD24" s="703"/>
      <c r="AE24" s="696"/>
      <c r="AF24" s="696"/>
      <c r="AG24" s="696"/>
      <c r="AM24" s="896"/>
      <c r="AN24" s="896"/>
      <c r="AO24" s="896"/>
    </row>
    <row r="25" spans="1:41" ht="31">
      <c r="A25" s="469"/>
      <c r="B25" s="704"/>
      <c r="C25" s="705"/>
      <c r="D25" s="704"/>
      <c r="E25" s="705"/>
      <c r="F25" s="704"/>
      <c r="G25" s="705"/>
      <c r="H25" s="704"/>
      <c r="I25" s="705"/>
      <c r="J25" s="704"/>
      <c r="K25" s="705"/>
      <c r="L25" s="704"/>
      <c r="M25" s="705"/>
      <c r="N25" s="704"/>
      <c r="O25" s="705"/>
      <c r="P25" s="704"/>
      <c r="Q25" s="705"/>
      <c r="R25" s="704"/>
      <c r="S25" s="705"/>
      <c r="T25" s="704"/>
      <c r="U25" s="705"/>
      <c r="V25" s="704"/>
      <c r="W25" s="705"/>
      <c r="X25" s="704"/>
      <c r="Y25" s="705"/>
      <c r="Z25" s="704"/>
      <c r="AA25" s="705"/>
      <c r="AB25" s="704"/>
      <c r="AC25" s="705"/>
      <c r="AD25" s="703"/>
      <c r="AE25" s="696"/>
      <c r="AF25" s="696"/>
      <c r="AG25" s="696"/>
      <c r="AM25" s="896"/>
      <c r="AN25" s="896"/>
      <c r="AO25" s="896"/>
    </row>
    <row r="26" spans="1:41" ht="16.5" customHeight="1" thickBot="1">
      <c r="A26" s="469"/>
      <c r="B26" s="706"/>
      <c r="C26" s="705"/>
      <c r="D26" s="706"/>
      <c r="E26" s="705"/>
      <c r="F26" s="706"/>
      <c r="G26" s="705"/>
      <c r="H26" s="706"/>
      <c r="I26" s="705"/>
      <c r="J26" s="706"/>
      <c r="K26" s="705"/>
      <c r="L26" s="706"/>
      <c r="M26" s="705"/>
      <c r="N26" s="706"/>
      <c r="O26" s="705"/>
      <c r="P26" s="706"/>
      <c r="Q26" s="705"/>
      <c r="R26" s="706"/>
      <c r="S26" s="705"/>
      <c r="T26" s="706"/>
      <c r="U26" s="705"/>
      <c r="V26" s="706"/>
      <c r="W26" s="705"/>
      <c r="X26" s="706"/>
      <c r="Y26" s="705"/>
      <c r="Z26" s="706"/>
      <c r="AA26" s="705"/>
      <c r="AB26" s="706"/>
      <c r="AC26" s="705"/>
      <c r="AD26" s="703"/>
      <c r="AE26" s="696"/>
      <c r="AF26" s="696"/>
      <c r="AG26" s="696"/>
      <c r="AM26" s="896"/>
      <c r="AN26" s="896"/>
      <c r="AO26" s="896"/>
    </row>
    <row r="27" spans="1:41" ht="100" customHeight="1" thickBot="1">
      <c r="A27" s="469"/>
      <c r="B27" s="568"/>
      <c r="C27" s="707">
        <v>399.70699999999999</v>
      </c>
      <c r="D27" s="691"/>
      <c r="E27" s="707">
        <v>438.61599999999999</v>
      </c>
      <c r="F27" s="691"/>
      <c r="G27" s="707">
        <v>400.60399999999998</v>
      </c>
      <c r="H27" s="691"/>
      <c r="I27" s="707">
        <v>438.76499999999999</v>
      </c>
      <c r="J27" s="691"/>
      <c r="K27" s="707">
        <v>226.315</v>
      </c>
      <c r="L27" s="691"/>
      <c r="M27" s="707">
        <v>442.553</v>
      </c>
      <c r="N27" s="691"/>
      <c r="O27" s="707">
        <v>389.32900000000001</v>
      </c>
      <c r="P27" s="691"/>
      <c r="Q27" s="707">
        <v>359.36099999999999</v>
      </c>
      <c r="R27" s="691"/>
      <c r="S27" s="707">
        <v>405.00599999999997</v>
      </c>
      <c r="T27" s="691"/>
      <c r="U27" s="707">
        <v>426.51799999999997</v>
      </c>
      <c r="V27" s="691"/>
      <c r="W27" s="707">
        <v>356.05500000000001</v>
      </c>
      <c r="X27" s="691"/>
      <c r="Y27" s="707">
        <v>369.29500000000002</v>
      </c>
      <c r="Z27" s="691"/>
      <c r="AA27" s="707">
        <v>374.99299999999999</v>
      </c>
      <c r="AB27" s="691"/>
      <c r="AC27" s="708">
        <v>383.76799999999997</v>
      </c>
      <c r="AD27" s="703"/>
      <c r="AE27" s="696"/>
      <c r="AF27" s="696"/>
      <c r="AG27" s="696"/>
      <c r="AM27" s="896">
        <f>COUNTIF(B27:AB27,"U/P")</f>
        <v>0</v>
      </c>
      <c r="AN27" s="896">
        <f>COUNTIF(C27:AC27,"ROW")</f>
        <v>0</v>
      </c>
      <c r="AO27" s="896">
        <f>COUNTIF(D27:AD27,"C")</f>
        <v>0</v>
      </c>
    </row>
    <row r="28" spans="1:41" ht="34" thickBot="1">
      <c r="A28" s="469"/>
      <c r="B28" s="709"/>
      <c r="C28" s="702"/>
      <c r="D28" s="710"/>
      <c r="E28" s="702"/>
      <c r="F28" s="710"/>
      <c r="G28" s="702"/>
      <c r="H28" s="710"/>
      <c r="I28" s="702"/>
      <c r="J28" s="710"/>
      <c r="K28" s="702"/>
      <c r="L28" s="710"/>
      <c r="M28" s="702"/>
      <c r="N28" s="710"/>
      <c r="O28" s="702"/>
      <c r="P28" s="710"/>
      <c r="Q28" s="702"/>
      <c r="R28" s="710"/>
      <c r="S28" s="702"/>
      <c r="T28" s="710"/>
      <c r="U28" s="702"/>
      <c r="V28" s="710"/>
      <c r="W28" s="702"/>
      <c r="X28" s="710"/>
      <c r="Y28" s="702"/>
      <c r="Z28" s="710"/>
      <c r="AA28" s="702"/>
      <c r="AB28" s="710"/>
      <c r="AC28" s="705"/>
      <c r="AD28" s="703"/>
      <c r="AE28" s="696"/>
      <c r="AF28" s="696"/>
      <c r="AG28" s="696"/>
      <c r="AM28" s="896"/>
      <c r="AN28" s="896"/>
      <c r="AO28" s="896"/>
    </row>
    <row r="29" spans="1:41" ht="33.5">
      <c r="A29" s="469"/>
      <c r="B29" s="698" t="s">
        <v>182</v>
      </c>
      <c r="C29" s="698"/>
      <c r="D29" s="698" t="s">
        <v>242</v>
      </c>
      <c r="E29" s="698"/>
      <c r="F29" s="698" t="s">
        <v>242</v>
      </c>
      <c r="G29" s="698"/>
      <c r="H29" s="698" t="s">
        <v>185</v>
      </c>
      <c r="I29" s="698"/>
      <c r="J29" s="699" t="s">
        <v>117</v>
      </c>
      <c r="K29" s="698"/>
      <c r="L29" s="699" t="s">
        <v>117</v>
      </c>
      <c r="M29" s="698"/>
      <c r="N29" s="698" t="s">
        <v>185</v>
      </c>
      <c r="O29" s="698"/>
      <c r="P29" s="698" t="s">
        <v>182</v>
      </c>
      <c r="Q29" s="698"/>
      <c r="R29" s="698" t="s">
        <v>182</v>
      </c>
      <c r="S29" s="698"/>
      <c r="T29" s="698" t="s">
        <v>182</v>
      </c>
      <c r="U29" s="698"/>
      <c r="V29" s="698" t="s">
        <v>182</v>
      </c>
      <c r="W29" s="698"/>
      <c r="X29" s="698" t="s">
        <v>182</v>
      </c>
      <c r="Y29" s="698"/>
      <c r="Z29" s="698" t="s">
        <v>182</v>
      </c>
      <c r="AA29" s="698"/>
      <c r="AB29" s="699" t="s">
        <v>119</v>
      </c>
      <c r="AC29" s="705"/>
      <c r="AD29" s="703"/>
      <c r="AE29" s="695"/>
      <c r="AF29" s="696"/>
      <c r="AG29" s="696"/>
      <c r="AM29" s="896"/>
      <c r="AN29" s="896"/>
      <c r="AO29" s="896"/>
    </row>
    <row r="30" spans="1:41" ht="28.5" customHeight="1">
      <c r="A30" s="1499" t="s">
        <v>1711</v>
      </c>
      <c r="B30" s="1500"/>
      <c r="C30" s="1500"/>
      <c r="D30" s="1500"/>
      <c r="E30" s="1500"/>
      <c r="F30" s="1500"/>
      <c r="G30" s="1500"/>
      <c r="H30" s="1500"/>
      <c r="I30" s="1500"/>
      <c r="J30" s="1500"/>
      <c r="K30" s="1500"/>
      <c r="L30" s="1500"/>
      <c r="M30" s="1500"/>
      <c r="N30" s="1500"/>
      <c r="O30" s="1500"/>
      <c r="P30" s="1500"/>
      <c r="Q30" s="1500"/>
      <c r="R30" s="1500"/>
      <c r="S30" s="1500"/>
      <c r="T30" s="1500"/>
      <c r="U30" s="1500"/>
      <c r="V30" s="1500"/>
      <c r="W30" s="1500"/>
      <c r="X30" s="1500"/>
      <c r="Y30" s="1500"/>
      <c r="Z30" s="1500"/>
      <c r="AA30" s="1500"/>
      <c r="AB30" s="1500"/>
      <c r="AC30" s="1500"/>
      <c r="AD30" s="1500"/>
      <c r="AE30" s="1500"/>
      <c r="AF30" s="1500"/>
      <c r="AG30" s="1500"/>
      <c r="AH30" s="1500"/>
      <c r="AI30" s="910"/>
      <c r="AJ30" s="910"/>
      <c r="AK30" s="910"/>
      <c r="AL30" s="910"/>
    </row>
    <row r="31" spans="1:41" ht="21" customHeight="1">
      <c r="A31" s="469"/>
      <c r="B31" s="684" t="s">
        <v>539</v>
      </c>
      <c r="C31" s="683"/>
      <c r="D31" s="684"/>
      <c r="E31" s="683"/>
      <c r="F31" s="684" t="s">
        <v>542</v>
      </c>
      <c r="G31" s="683"/>
      <c r="H31" s="684" t="s">
        <v>543</v>
      </c>
      <c r="I31" s="683"/>
      <c r="J31" s="684" t="s">
        <v>544</v>
      </c>
      <c r="K31" s="683"/>
      <c r="L31" s="684" t="s">
        <v>545</v>
      </c>
      <c r="M31" s="683"/>
      <c r="N31" s="684" t="s">
        <v>546</v>
      </c>
      <c r="O31" s="683"/>
      <c r="P31" s="684" t="s">
        <v>1206</v>
      </c>
      <c r="Q31" s="683"/>
      <c r="R31" s="684" t="s">
        <v>1207</v>
      </c>
      <c r="S31" s="683"/>
      <c r="T31" s="684" t="s">
        <v>1208</v>
      </c>
      <c r="U31" s="683"/>
      <c r="V31" s="684" t="s">
        <v>1209</v>
      </c>
      <c r="W31" s="683"/>
      <c r="X31" s="684" t="s">
        <v>548</v>
      </c>
      <c r="Y31" s="683"/>
      <c r="Z31" s="711" t="s">
        <v>1210</v>
      </c>
      <c r="AA31" s="683"/>
      <c r="AB31" s="684" t="s">
        <v>1211</v>
      </c>
      <c r="AC31" s="702"/>
      <c r="AD31" s="703"/>
      <c r="AE31" s="696"/>
      <c r="AF31" s="696"/>
      <c r="AG31" s="696"/>
    </row>
    <row r="32" spans="1:41" ht="33.5">
      <c r="A32" s="469"/>
      <c r="B32" s="712"/>
      <c r="C32" s="702"/>
      <c r="D32" s="712"/>
      <c r="E32" s="698"/>
      <c r="F32" s="712"/>
      <c r="G32" s="713"/>
      <c r="H32" s="712"/>
      <c r="I32" s="702"/>
      <c r="J32" s="712"/>
      <c r="K32" s="702"/>
      <c r="L32" s="712"/>
      <c r="M32" s="702"/>
      <c r="N32" s="712"/>
      <c r="O32" s="702"/>
      <c r="P32" s="712"/>
      <c r="Q32" s="702"/>
      <c r="R32" s="712"/>
      <c r="S32" s="702"/>
      <c r="T32" s="712"/>
      <c r="U32" s="702"/>
      <c r="V32" s="712"/>
      <c r="W32" s="698"/>
      <c r="X32" s="712"/>
      <c r="Y32" s="698"/>
      <c r="Z32" s="712"/>
      <c r="AA32" s="702"/>
      <c r="AB32" s="712"/>
      <c r="AC32" s="702"/>
      <c r="AD32" s="703"/>
      <c r="AE32" s="696"/>
      <c r="AF32" s="696"/>
      <c r="AG32" s="696"/>
    </row>
    <row r="33" spans="1:41" ht="15" customHeight="1" thickBot="1">
      <c r="A33" s="469"/>
      <c r="B33" s="714"/>
      <c r="C33" s="702"/>
      <c r="D33" s="714"/>
      <c r="E33" s="702"/>
      <c r="F33" s="714"/>
      <c r="G33" s="702"/>
      <c r="H33" s="714"/>
      <c r="I33" s="702"/>
      <c r="J33" s="714"/>
      <c r="K33" s="702"/>
      <c r="L33" s="714"/>
      <c r="M33" s="702"/>
      <c r="N33" s="714"/>
      <c r="O33" s="702"/>
      <c r="P33" s="714"/>
      <c r="Q33" s="702"/>
      <c r="R33" s="714"/>
      <c r="S33" s="702"/>
      <c r="T33" s="714"/>
      <c r="U33" s="702"/>
      <c r="V33" s="714"/>
      <c r="W33" s="702"/>
      <c r="X33" s="714"/>
      <c r="Y33" s="702"/>
      <c r="Z33" s="714"/>
      <c r="AA33" s="702"/>
      <c r="AB33" s="714"/>
      <c r="AC33" s="702"/>
      <c r="AD33" s="703"/>
      <c r="AE33" s="696"/>
      <c r="AF33" s="696"/>
      <c r="AG33" s="696"/>
    </row>
    <row r="34" spans="1:41" ht="100" customHeight="1" thickBot="1">
      <c r="A34" s="469"/>
      <c r="B34" s="691"/>
      <c r="C34" s="707"/>
      <c r="D34" s="707">
        <v>396.38</v>
      </c>
      <c r="E34" s="707"/>
      <c r="F34" s="691"/>
      <c r="G34" s="707">
        <v>392.53399999999999</v>
      </c>
      <c r="H34" s="691"/>
      <c r="I34" s="707">
        <v>332.16199999999998</v>
      </c>
      <c r="J34" s="691"/>
      <c r="K34" s="707">
        <v>352.11200000000002</v>
      </c>
      <c r="L34" s="691"/>
      <c r="M34" s="707">
        <v>389.39299999999997</v>
      </c>
      <c r="N34" s="691"/>
      <c r="O34" s="707">
        <v>374.47699999999998</v>
      </c>
      <c r="P34" s="691"/>
      <c r="Q34" s="707">
        <v>419.97699999999998</v>
      </c>
      <c r="R34" s="691"/>
      <c r="S34" s="707">
        <v>387.899</v>
      </c>
      <c r="T34" s="691"/>
      <c r="U34" s="707">
        <v>407.654</v>
      </c>
      <c r="V34" s="691"/>
      <c r="W34" s="707">
        <v>402.35700000000003</v>
      </c>
      <c r="X34" s="691"/>
      <c r="Y34" s="690">
        <v>372.25900000000001</v>
      </c>
      <c r="Z34" s="691"/>
      <c r="AA34" s="707">
        <v>410.94900000000001</v>
      </c>
      <c r="AB34" s="691"/>
      <c r="AC34" s="707">
        <v>379.07499999999999</v>
      </c>
      <c r="AD34" s="703"/>
      <c r="AE34" s="696"/>
      <c r="AF34" s="696"/>
      <c r="AG34" s="696"/>
      <c r="AM34" s="896">
        <f>COUNTIF(B34:AB34,"U/P")</f>
        <v>0</v>
      </c>
      <c r="AN34" s="896">
        <f>COUNTIF(C34:AC34,"ROW")</f>
        <v>0</v>
      </c>
      <c r="AO34" s="896">
        <f>COUNTIF(D34:AD34,"C")</f>
        <v>0</v>
      </c>
    </row>
    <row r="35" spans="1:41" ht="34" thickBot="1">
      <c r="A35" s="469"/>
      <c r="B35" s="710"/>
      <c r="C35" s="702"/>
      <c r="D35" s="712"/>
      <c r="E35" s="702"/>
      <c r="F35" s="710"/>
      <c r="G35" s="702"/>
      <c r="H35" s="710"/>
      <c r="I35" s="702"/>
      <c r="J35" s="710"/>
      <c r="K35" s="702"/>
      <c r="L35" s="710"/>
      <c r="M35" s="702"/>
      <c r="N35" s="710"/>
      <c r="O35" s="702"/>
      <c r="P35" s="710"/>
      <c r="Q35" s="702"/>
      <c r="R35" s="710"/>
      <c r="S35" s="702"/>
      <c r="T35" s="904" t="s">
        <v>454</v>
      </c>
      <c r="U35" s="702"/>
      <c r="V35" s="710"/>
      <c r="W35" s="702"/>
      <c r="X35" s="710"/>
      <c r="Y35" s="702"/>
      <c r="Z35" s="710"/>
      <c r="AA35" s="702"/>
      <c r="AB35" s="710"/>
      <c r="AC35" s="702"/>
      <c r="AD35" s="703"/>
      <c r="AE35" s="696"/>
      <c r="AF35" s="696"/>
      <c r="AG35" s="696"/>
    </row>
    <row r="36" spans="1:41" ht="33.5">
      <c r="A36" s="469"/>
      <c r="B36" s="715" t="s">
        <v>182</v>
      </c>
      <c r="C36" s="698"/>
      <c r="D36" s="715"/>
      <c r="E36" s="698"/>
      <c r="F36" s="715" t="s">
        <v>182</v>
      </c>
      <c r="G36" s="698"/>
      <c r="H36" s="715" t="s">
        <v>182</v>
      </c>
      <c r="I36" s="698"/>
      <c r="J36" s="715" t="s">
        <v>182</v>
      </c>
      <c r="K36" s="698"/>
      <c r="L36" s="715" t="s">
        <v>182</v>
      </c>
      <c r="M36" s="698"/>
      <c r="N36" s="715" t="s">
        <v>182</v>
      </c>
      <c r="O36" s="698"/>
      <c r="P36" s="715" t="s">
        <v>182</v>
      </c>
      <c r="Q36" s="698"/>
      <c r="R36" s="715" t="s">
        <v>185</v>
      </c>
      <c r="S36" s="698"/>
      <c r="T36" s="715" t="s">
        <v>182</v>
      </c>
      <c r="U36" s="698"/>
      <c r="V36" s="715" t="s">
        <v>185</v>
      </c>
      <c r="W36" s="698"/>
      <c r="X36" s="699" t="s">
        <v>119</v>
      </c>
      <c r="Y36" s="698"/>
      <c r="Z36" s="715" t="s">
        <v>182</v>
      </c>
      <c r="AA36" s="698"/>
      <c r="AB36" s="715" t="s">
        <v>182</v>
      </c>
      <c r="AC36" s="705"/>
      <c r="AD36" s="703"/>
      <c r="AE36" s="695"/>
      <c r="AF36" s="696"/>
      <c r="AG36" s="696"/>
    </row>
    <row r="37" spans="1:41" ht="30.5" customHeight="1">
      <c r="A37" s="1501" t="s">
        <v>1712</v>
      </c>
      <c r="B37" s="1502"/>
      <c r="C37" s="1502"/>
      <c r="D37" s="1502"/>
      <c r="E37" s="1502"/>
      <c r="F37" s="1502"/>
      <c r="G37" s="1502"/>
      <c r="H37" s="1502"/>
      <c r="I37" s="1502"/>
      <c r="J37" s="1502"/>
      <c r="K37" s="1502"/>
      <c r="L37" s="1502"/>
      <c r="M37" s="1502"/>
      <c r="N37" s="1502"/>
      <c r="O37" s="1502"/>
      <c r="P37" s="1502"/>
      <c r="Q37" s="1502"/>
      <c r="R37" s="1502"/>
      <c r="S37" s="1502"/>
      <c r="T37" s="1502"/>
      <c r="U37" s="1502"/>
      <c r="V37" s="1502"/>
      <c r="W37" s="1502"/>
      <c r="X37" s="1502"/>
      <c r="Y37" s="1502"/>
      <c r="Z37" s="1502"/>
      <c r="AA37" s="1502"/>
      <c r="AB37" s="1502"/>
      <c r="AC37" s="1502"/>
      <c r="AD37" s="1502"/>
      <c r="AE37" s="1502"/>
      <c r="AF37" s="1502"/>
      <c r="AG37" s="1502"/>
      <c r="AH37" s="1502"/>
      <c r="AI37" s="910"/>
      <c r="AJ37" s="910"/>
      <c r="AK37" s="910"/>
      <c r="AL37" s="910"/>
    </row>
    <row r="38" spans="1:41" ht="25" customHeight="1">
      <c r="A38" s="469"/>
      <c r="B38" s="684" t="s">
        <v>1212</v>
      </c>
      <c r="C38" s="683"/>
      <c r="D38" s="684" t="s">
        <v>1213</v>
      </c>
      <c r="E38" s="683"/>
      <c r="F38" s="684" t="s">
        <v>556</v>
      </c>
      <c r="G38" s="683"/>
      <c r="H38" s="684" t="s">
        <v>1214</v>
      </c>
      <c r="I38" s="683"/>
      <c r="J38" s="684" t="s">
        <v>1215</v>
      </c>
      <c r="K38" s="683"/>
      <c r="L38" s="684" t="s">
        <v>1216</v>
      </c>
      <c r="M38" s="683"/>
      <c r="N38" s="684" t="s">
        <v>1217</v>
      </c>
      <c r="O38" s="683"/>
      <c r="P38" s="684" t="s">
        <v>1218</v>
      </c>
      <c r="Q38" s="683"/>
      <c r="R38" s="684" t="s">
        <v>1517</v>
      </c>
      <c r="S38" s="683"/>
      <c r="T38" s="684" t="s">
        <v>1219</v>
      </c>
      <c r="U38" s="683"/>
      <c r="V38" s="684" t="s">
        <v>1220</v>
      </c>
      <c r="W38" s="683"/>
      <c r="X38" s="684" t="s">
        <v>1221</v>
      </c>
      <c r="Y38" s="683"/>
      <c r="Z38" s="684" t="s">
        <v>1222</v>
      </c>
      <c r="AA38" s="683"/>
      <c r="AB38" s="684" t="s">
        <v>1223</v>
      </c>
      <c r="AC38" s="702"/>
      <c r="AD38" s="703"/>
      <c r="AE38" s="696"/>
      <c r="AF38" s="696"/>
      <c r="AG38" s="696"/>
    </row>
    <row r="39" spans="1:41" ht="33.5">
      <c r="A39" s="469"/>
      <c r="B39" s="712"/>
      <c r="C39" s="702"/>
      <c r="D39" s="712"/>
      <c r="E39" s="702"/>
      <c r="F39" s="712"/>
      <c r="G39" s="702"/>
      <c r="H39" s="712"/>
      <c r="I39" s="702"/>
      <c r="J39" s="712"/>
      <c r="K39" s="702"/>
      <c r="L39" s="712"/>
      <c r="M39" s="702"/>
      <c r="N39" s="712"/>
      <c r="O39" s="702"/>
      <c r="P39" s="712"/>
      <c r="Q39" s="702"/>
      <c r="R39" s="712"/>
      <c r="S39" s="702"/>
      <c r="T39" s="712"/>
      <c r="U39" s="702"/>
      <c r="V39" s="712"/>
      <c r="W39" s="702"/>
      <c r="X39" s="712"/>
      <c r="Y39" s="702"/>
      <c r="Z39" s="712"/>
      <c r="AA39" s="702"/>
      <c r="AB39" s="712"/>
      <c r="AC39" s="702"/>
      <c r="AD39" s="703"/>
      <c r="AE39" s="696"/>
      <c r="AF39" s="696"/>
      <c r="AG39" s="696"/>
    </row>
    <row r="40" spans="1:41" ht="15" customHeight="1" thickBot="1">
      <c r="A40" s="469"/>
      <c r="B40" s="714"/>
      <c r="C40" s="702"/>
      <c r="D40" s="714"/>
      <c r="E40" s="702"/>
      <c r="F40" s="714"/>
      <c r="G40" s="702"/>
      <c r="H40" s="714"/>
      <c r="I40" s="702"/>
      <c r="J40" s="714"/>
      <c r="K40" s="702"/>
      <c r="L40" s="714"/>
      <c r="M40" s="702"/>
      <c r="N40" s="714"/>
      <c r="O40" s="702"/>
      <c r="P40" s="714"/>
      <c r="Q40" s="702"/>
      <c r="R40" s="714"/>
      <c r="S40" s="702"/>
      <c r="T40" s="714"/>
      <c r="U40" s="702"/>
      <c r="V40" s="714"/>
      <c r="W40" s="702"/>
      <c r="X40" s="714"/>
      <c r="Y40" s="702"/>
      <c r="Z40" s="714"/>
      <c r="AA40" s="702"/>
      <c r="AB40" s="714"/>
      <c r="AC40" s="702"/>
      <c r="AD40" s="703"/>
      <c r="AE40" s="696"/>
      <c r="AF40" s="696"/>
      <c r="AG40" s="696"/>
    </row>
    <row r="41" spans="1:41" ht="100" customHeight="1" thickBot="1">
      <c r="A41" s="469"/>
      <c r="B41" s="691"/>
      <c r="C41" s="707">
        <v>412.596</v>
      </c>
      <c r="D41" s="691"/>
      <c r="E41" s="707">
        <v>340.11200000000002</v>
      </c>
      <c r="F41" s="691"/>
      <c r="G41" s="707">
        <v>410.76</v>
      </c>
      <c r="H41" s="691"/>
      <c r="I41" s="707">
        <v>427.9</v>
      </c>
      <c r="J41" s="691"/>
      <c r="K41" s="707">
        <v>404.21</v>
      </c>
      <c r="L41" s="691"/>
      <c r="M41" s="707">
        <v>398.44600000000003</v>
      </c>
      <c r="N41" s="691"/>
      <c r="O41" s="707">
        <v>431.93900000000002</v>
      </c>
      <c r="P41" s="691"/>
      <c r="Q41" s="707">
        <v>486.19600000000003</v>
      </c>
      <c r="R41" s="691"/>
      <c r="S41" s="707">
        <v>369.71699999999998</v>
      </c>
      <c r="T41" s="691"/>
      <c r="U41" s="707">
        <v>389.34399999999999</v>
      </c>
      <c r="V41" s="691"/>
      <c r="W41" s="707">
        <v>395.60199999999998</v>
      </c>
      <c r="X41" s="691"/>
      <c r="Y41" s="707">
        <v>375</v>
      </c>
      <c r="Z41" s="691"/>
      <c r="AA41" s="707">
        <v>462</v>
      </c>
      <c r="AB41" s="691"/>
      <c r="AC41" s="707">
        <v>382</v>
      </c>
      <c r="AD41" s="703"/>
      <c r="AE41" s="696"/>
      <c r="AF41" s="696"/>
      <c r="AG41" s="696"/>
      <c r="AM41" s="896">
        <f>COUNTIF(B41:AB41,"U/P")</f>
        <v>0</v>
      </c>
      <c r="AN41" s="896">
        <f>COUNTIF(C41:AC41,"ROW")</f>
        <v>0</v>
      </c>
      <c r="AO41" s="896">
        <f>COUNTIF(D41:AD41,"C")</f>
        <v>0</v>
      </c>
    </row>
    <row r="42" spans="1:41" ht="34" thickBot="1">
      <c r="A42" s="469"/>
      <c r="B42" s="710"/>
      <c r="C42" s="702"/>
      <c r="D42" s="710"/>
      <c r="E42" s="702"/>
      <c r="F42" s="710"/>
      <c r="G42" s="702"/>
      <c r="H42" s="710"/>
      <c r="I42" s="702"/>
      <c r="J42" s="710"/>
      <c r="K42" s="702"/>
      <c r="L42" s="710"/>
      <c r="M42" s="702"/>
      <c r="N42" s="710"/>
      <c r="O42" s="702"/>
      <c r="P42" s="710"/>
      <c r="Q42" s="702"/>
      <c r="R42" s="710"/>
      <c r="S42" s="702"/>
      <c r="T42" s="710"/>
      <c r="U42" s="702"/>
      <c r="V42" s="710"/>
      <c r="W42" s="702"/>
      <c r="X42" s="710"/>
      <c r="Y42" s="702"/>
      <c r="Z42" s="710"/>
      <c r="AA42" s="702"/>
      <c r="AB42" s="710"/>
      <c r="AC42" s="702"/>
      <c r="AD42" s="703"/>
      <c r="AE42" s="696"/>
      <c r="AF42" s="696"/>
      <c r="AG42" s="696"/>
    </row>
    <row r="43" spans="1:41" ht="33.5">
      <c r="A43" s="469"/>
      <c r="B43" s="698" t="s">
        <v>182</v>
      </c>
      <c r="C43" s="698"/>
      <c r="D43" s="698" t="s">
        <v>185</v>
      </c>
      <c r="E43" s="698"/>
      <c r="F43" s="699" t="s">
        <v>119</v>
      </c>
      <c r="G43" s="698"/>
      <c r="H43" s="698" t="s">
        <v>185</v>
      </c>
      <c r="I43" s="698"/>
      <c r="J43" s="698" t="s">
        <v>242</v>
      </c>
      <c r="K43" s="698"/>
      <c r="L43" s="698" t="s">
        <v>182</v>
      </c>
      <c r="M43" s="698"/>
      <c r="N43" s="698" t="s">
        <v>185</v>
      </c>
      <c r="O43" s="698"/>
      <c r="P43" s="699" t="s">
        <v>132</v>
      </c>
      <c r="Q43" s="698"/>
      <c r="R43" s="699" t="s">
        <v>137</v>
      </c>
      <c r="S43" s="698"/>
      <c r="T43" s="698" t="s">
        <v>185</v>
      </c>
      <c r="U43" s="698"/>
      <c r="V43" s="698" t="s">
        <v>182</v>
      </c>
      <c r="W43" s="698"/>
      <c r="X43" s="698" t="s">
        <v>185</v>
      </c>
      <c r="Y43" s="698"/>
      <c r="Z43" s="698" t="s">
        <v>242</v>
      </c>
      <c r="AA43" s="698"/>
      <c r="AB43" s="698" t="s">
        <v>182</v>
      </c>
      <c r="AC43" s="702"/>
      <c r="AD43" s="703"/>
      <c r="AE43" s="696"/>
      <c r="AF43" s="696"/>
      <c r="AG43" s="696"/>
    </row>
    <row r="44" spans="1:41" ht="30.5" customHeight="1">
      <c r="A44" s="1492" t="s">
        <v>1518</v>
      </c>
      <c r="B44" s="1493"/>
      <c r="C44" s="1493"/>
      <c r="D44" s="1493"/>
      <c r="E44" s="1493"/>
      <c r="F44" s="1493"/>
      <c r="G44" s="1493"/>
      <c r="H44" s="1493"/>
      <c r="I44" s="1493"/>
      <c r="J44" s="1493"/>
      <c r="K44" s="1493"/>
      <c r="L44" s="1493"/>
      <c r="M44" s="1493"/>
      <c r="N44" s="1493"/>
      <c r="O44" s="1493"/>
      <c r="P44" s="1493"/>
      <c r="Q44" s="1493"/>
      <c r="R44" s="1493"/>
      <c r="S44" s="1493"/>
      <c r="T44" s="1493"/>
      <c r="U44" s="1493"/>
      <c r="V44" s="1493"/>
      <c r="W44" s="1493"/>
      <c r="X44" s="1493"/>
      <c r="Y44" s="1493"/>
      <c r="Z44" s="1493"/>
      <c r="AA44" s="1493"/>
      <c r="AB44" s="1493"/>
      <c r="AC44" s="1493"/>
      <c r="AD44" s="1493"/>
      <c r="AE44" s="1493"/>
      <c r="AF44" s="1493"/>
      <c r="AG44" s="1493"/>
      <c r="AH44" s="1493"/>
      <c r="AI44" s="907"/>
      <c r="AJ44" s="907"/>
      <c r="AK44" s="907"/>
      <c r="AL44" s="907"/>
    </row>
    <row r="45" spans="1:41" ht="67" customHeight="1">
      <c r="A45" s="469"/>
      <c r="B45" s="684" t="s">
        <v>1224</v>
      </c>
      <c r="C45" s="683"/>
      <c r="D45" s="684" t="s">
        <v>1225</v>
      </c>
      <c r="E45" s="683"/>
      <c r="F45" s="684" t="s">
        <v>1226</v>
      </c>
      <c r="G45" s="683"/>
      <c r="H45" s="684" t="s">
        <v>1227</v>
      </c>
      <c r="I45" s="683"/>
      <c r="J45" s="684" t="s">
        <v>1228</v>
      </c>
      <c r="K45" s="683"/>
      <c r="L45" s="1494" t="s">
        <v>1229</v>
      </c>
      <c r="M45" s="1494"/>
      <c r="N45" s="1494" t="s">
        <v>1230</v>
      </c>
      <c r="O45" s="1494"/>
      <c r="P45" s="1494" t="s">
        <v>1231</v>
      </c>
      <c r="Q45" s="1494"/>
      <c r="R45" s="1494" t="s">
        <v>1232</v>
      </c>
      <c r="S45" s="1494"/>
      <c r="T45" s="1494" t="s">
        <v>1233</v>
      </c>
      <c r="U45" s="1494"/>
      <c r="V45" s="1494" t="s">
        <v>573</v>
      </c>
      <c r="W45" s="1494"/>
      <c r="X45" s="684" t="s">
        <v>1234</v>
      </c>
      <c r="Y45" s="683"/>
      <c r="Z45" s="684" t="s">
        <v>1235</v>
      </c>
      <c r="AA45" s="683"/>
      <c r="AB45" s="684" t="s">
        <v>1236</v>
      </c>
      <c r="AC45" s="702"/>
      <c r="AD45" s="703"/>
      <c r="AE45" s="696"/>
      <c r="AF45" s="696"/>
      <c r="AG45" s="696"/>
    </row>
    <row r="46" spans="1:41" ht="33.5">
      <c r="A46" s="469"/>
      <c r="B46" s="712"/>
      <c r="C46" s="702"/>
      <c r="D46" s="712"/>
      <c r="E46" s="702"/>
      <c r="F46" s="712"/>
      <c r="G46" s="702"/>
      <c r="H46" s="712"/>
      <c r="I46" s="702"/>
      <c r="J46" s="712"/>
      <c r="K46" s="702"/>
      <c r="L46" s="712"/>
      <c r="M46" s="702"/>
      <c r="N46" s="712"/>
      <c r="O46" s="702"/>
      <c r="P46" s="712"/>
      <c r="Q46" s="702"/>
      <c r="R46" s="712"/>
      <c r="S46" s="702"/>
      <c r="T46" s="712"/>
      <c r="U46" s="702"/>
      <c r="V46" s="712"/>
      <c r="W46" s="702"/>
      <c r="X46" s="712"/>
      <c r="Y46" s="702"/>
      <c r="Z46" s="712"/>
      <c r="AA46" s="702"/>
      <c r="AB46" s="712"/>
      <c r="AC46" s="702"/>
      <c r="AD46" s="703"/>
      <c r="AE46" s="696"/>
      <c r="AF46" s="696"/>
      <c r="AG46" s="696"/>
    </row>
    <row r="47" spans="1:41" ht="16.5" customHeight="1" thickBot="1">
      <c r="A47" s="469"/>
      <c r="B47" s="714"/>
      <c r="C47" s="702"/>
      <c r="D47" s="714"/>
      <c r="E47" s="702"/>
      <c r="F47" s="714"/>
      <c r="G47" s="702"/>
      <c r="H47" s="714"/>
      <c r="I47" s="702"/>
      <c r="J47" s="714"/>
      <c r="K47" s="702"/>
      <c r="L47" s="714"/>
      <c r="M47" s="702"/>
      <c r="N47" s="714"/>
      <c r="O47" s="702"/>
      <c r="P47" s="714"/>
      <c r="Q47" s="702"/>
      <c r="R47" s="714"/>
      <c r="S47" s="702"/>
      <c r="T47" s="714"/>
      <c r="U47" s="702"/>
      <c r="V47" s="714"/>
      <c r="W47" s="702"/>
      <c r="X47" s="714"/>
      <c r="Y47" s="702"/>
      <c r="Z47" s="714"/>
      <c r="AA47" s="702"/>
      <c r="AB47" s="714"/>
      <c r="AC47" s="702"/>
      <c r="AD47" s="703"/>
      <c r="AE47" s="696"/>
      <c r="AF47" s="696"/>
      <c r="AG47" s="696"/>
    </row>
    <row r="48" spans="1:41" ht="100" customHeight="1" thickBot="1">
      <c r="A48" s="469"/>
      <c r="B48" s="691"/>
      <c r="C48" s="707">
        <v>428</v>
      </c>
      <c r="D48" s="691"/>
      <c r="E48" s="707">
        <v>411</v>
      </c>
      <c r="F48" s="691"/>
      <c r="G48" s="707">
        <v>352</v>
      </c>
      <c r="H48" s="691"/>
      <c r="I48" s="707">
        <v>405</v>
      </c>
      <c r="J48" s="691"/>
      <c r="K48" s="707">
        <v>400.12599999999998</v>
      </c>
      <c r="L48" s="691"/>
      <c r="M48" s="707">
        <v>384</v>
      </c>
      <c r="N48" s="691"/>
      <c r="O48" s="707">
        <v>406</v>
      </c>
      <c r="P48" s="691"/>
      <c r="Q48" s="707">
        <v>378</v>
      </c>
      <c r="R48" s="691"/>
      <c r="S48" s="707">
        <v>373</v>
      </c>
      <c r="T48" s="691"/>
      <c r="U48" s="707">
        <v>378.36200000000002</v>
      </c>
      <c r="V48" s="691"/>
      <c r="W48" s="707">
        <v>433.995</v>
      </c>
      <c r="X48" s="691"/>
      <c r="Y48" s="707">
        <v>370.685</v>
      </c>
      <c r="Z48" s="691"/>
      <c r="AA48" s="707">
        <v>323.97199999999998</v>
      </c>
      <c r="AB48" s="691"/>
      <c r="AC48" s="707">
        <v>384.46199999999999</v>
      </c>
      <c r="AD48" s="703"/>
      <c r="AE48" s="696"/>
      <c r="AF48" s="696"/>
      <c r="AG48" s="696"/>
      <c r="AM48" s="896">
        <f>COUNTIF(B48:AB48,"U/P")</f>
        <v>0</v>
      </c>
      <c r="AN48" s="896">
        <f>COUNTIF(C48:AC48,"ROW")</f>
        <v>0</v>
      </c>
      <c r="AO48" s="896">
        <f>COUNTIF(D48:AD48,"C")</f>
        <v>0</v>
      </c>
    </row>
    <row r="49" spans="1:41" ht="34" thickBot="1">
      <c r="A49" s="469"/>
      <c r="B49" s="710"/>
      <c r="C49" s="702"/>
      <c r="D49" s="710"/>
      <c r="E49" s="702"/>
      <c r="F49" s="710"/>
      <c r="G49" s="702"/>
      <c r="H49" s="710"/>
      <c r="I49" s="702"/>
      <c r="J49" s="710"/>
      <c r="K49" s="702"/>
      <c r="L49" s="710"/>
      <c r="M49" s="702"/>
      <c r="N49" s="710"/>
      <c r="O49" s="702"/>
      <c r="P49" s="710"/>
      <c r="Q49" s="702"/>
      <c r="R49" s="710"/>
      <c r="S49" s="702"/>
      <c r="T49" s="710"/>
      <c r="U49" s="702"/>
      <c r="V49" s="710"/>
      <c r="W49" s="702"/>
      <c r="X49" s="710"/>
      <c r="Y49" s="702"/>
      <c r="Z49" s="710"/>
      <c r="AA49" s="702"/>
      <c r="AB49" s="710"/>
      <c r="AC49" s="702"/>
      <c r="AD49" s="703"/>
      <c r="AE49" s="696"/>
      <c r="AF49" s="696"/>
      <c r="AG49" s="696"/>
    </row>
    <row r="50" spans="1:41" ht="33.5">
      <c r="A50" s="469"/>
      <c r="B50" s="698" t="s">
        <v>182</v>
      </c>
      <c r="C50" s="698"/>
      <c r="D50" s="698" t="s">
        <v>182</v>
      </c>
      <c r="E50" s="698"/>
      <c r="F50" s="698" t="s">
        <v>182</v>
      </c>
      <c r="G50" s="698"/>
      <c r="H50" s="699" t="s">
        <v>119</v>
      </c>
      <c r="I50" s="698"/>
      <c r="J50" s="698" t="s">
        <v>182</v>
      </c>
      <c r="K50" s="698"/>
      <c r="L50" s="698" t="s">
        <v>185</v>
      </c>
      <c r="M50" s="698"/>
      <c r="N50" s="698" t="s">
        <v>185</v>
      </c>
      <c r="O50" s="698"/>
      <c r="P50" s="698" t="s">
        <v>185</v>
      </c>
      <c r="Q50" s="698"/>
      <c r="R50" s="698" t="s">
        <v>182</v>
      </c>
      <c r="S50" s="698"/>
      <c r="T50" s="698" t="s">
        <v>242</v>
      </c>
      <c r="U50" s="698"/>
      <c r="V50" s="699" t="s">
        <v>119</v>
      </c>
      <c r="W50" s="698"/>
      <c r="X50" s="698" t="s">
        <v>185</v>
      </c>
      <c r="Y50" s="698"/>
      <c r="Z50" s="698" t="s">
        <v>182</v>
      </c>
      <c r="AA50" s="698"/>
      <c r="AB50" s="698" t="s">
        <v>182</v>
      </c>
      <c r="AC50" s="702"/>
      <c r="AD50" s="703"/>
      <c r="AE50" s="695"/>
      <c r="AF50" s="696"/>
      <c r="AG50" s="696"/>
    </row>
    <row r="51" spans="1:41" ht="29.5" customHeight="1">
      <c r="A51" s="469"/>
      <c r="B51" s="716"/>
      <c r="C51" s="716"/>
      <c r="D51" s="717" t="s">
        <v>1620</v>
      </c>
      <c r="E51" s="716"/>
      <c r="F51" s="716"/>
      <c r="G51" s="716"/>
      <c r="H51" s="716"/>
      <c r="I51" s="716"/>
      <c r="J51" s="717" t="s">
        <v>1620</v>
      </c>
      <c r="K51" s="716"/>
      <c r="L51" s="716"/>
      <c r="M51" s="716"/>
      <c r="N51" s="716"/>
      <c r="O51" s="716"/>
      <c r="P51" s="716"/>
      <c r="Q51" s="716"/>
      <c r="R51" s="716"/>
      <c r="S51" s="716"/>
      <c r="T51" s="716"/>
      <c r="U51" s="716"/>
      <c r="V51" s="716"/>
      <c r="W51" s="716"/>
      <c r="X51" s="716"/>
      <c r="Y51" s="716"/>
      <c r="Z51" s="716"/>
      <c r="AA51" s="716"/>
      <c r="AB51" s="716"/>
      <c r="AC51" s="705"/>
      <c r="AD51" s="703"/>
      <c r="AE51" s="695"/>
      <c r="AF51" s="696"/>
      <c r="AG51" s="696"/>
    </row>
    <row r="52" spans="1:41" ht="41.5" customHeight="1">
      <c r="A52" s="1501" t="s">
        <v>1518</v>
      </c>
      <c r="B52" s="1502"/>
      <c r="C52" s="1502"/>
      <c r="D52" s="1502"/>
      <c r="E52" s="1502"/>
      <c r="F52" s="1502"/>
      <c r="G52" s="1502"/>
      <c r="H52" s="1502"/>
      <c r="I52" s="1502"/>
      <c r="J52" s="1502"/>
      <c r="K52" s="1502"/>
      <c r="L52" s="1502"/>
      <c r="M52" s="1502"/>
      <c r="N52" s="1502"/>
      <c r="O52" s="1502"/>
      <c r="P52" s="1502"/>
      <c r="Q52" s="1502"/>
      <c r="R52" s="1502"/>
      <c r="S52" s="1502"/>
      <c r="T52" s="1502"/>
      <c r="U52" s="1502"/>
      <c r="V52" s="1502"/>
      <c r="W52" s="1502"/>
      <c r="X52" s="1502"/>
      <c r="Y52" s="1502"/>
      <c r="Z52" s="1502"/>
      <c r="AA52" s="1502"/>
      <c r="AB52" s="1502"/>
      <c r="AC52" s="1502"/>
      <c r="AD52" s="1502"/>
      <c r="AE52" s="1502"/>
      <c r="AF52" s="1502"/>
      <c r="AG52" s="1502"/>
      <c r="AH52" s="1502"/>
      <c r="AI52" s="907"/>
      <c r="AJ52" s="907"/>
      <c r="AK52" s="907"/>
      <c r="AL52" s="907"/>
    </row>
    <row r="53" spans="1:41" ht="29.5" customHeight="1">
      <c r="A53" s="718"/>
      <c r="B53" s="719"/>
      <c r="C53" s="719"/>
      <c r="D53" s="719"/>
      <c r="E53" s="719"/>
      <c r="F53" s="719"/>
      <c r="G53" s="719"/>
      <c r="H53" s="719"/>
      <c r="I53" s="719"/>
      <c r="J53" s="719"/>
      <c r="K53" s="719"/>
      <c r="L53" s="719"/>
      <c r="M53" s="719"/>
      <c r="N53" s="719"/>
      <c r="O53" s="719"/>
      <c r="P53" s="719"/>
      <c r="Q53" s="719"/>
      <c r="R53" s="719"/>
      <c r="S53" s="719"/>
      <c r="T53" s="719"/>
      <c r="U53" s="719"/>
      <c r="V53" s="719"/>
      <c r="W53" s="719"/>
      <c r="X53" s="719"/>
      <c r="Y53" s="719"/>
      <c r="Z53" s="719"/>
      <c r="AA53" s="719"/>
      <c r="AB53" s="719"/>
      <c r="AC53" s="719"/>
      <c r="AD53" s="719"/>
      <c r="AE53" s="719"/>
      <c r="AF53" s="719"/>
      <c r="AG53" s="719"/>
      <c r="AH53" s="719"/>
      <c r="AI53" s="719"/>
      <c r="AJ53" s="719"/>
      <c r="AK53" s="719"/>
      <c r="AL53" s="719"/>
    </row>
    <row r="54" spans="1:41" ht="67" customHeight="1">
      <c r="A54" s="469"/>
      <c r="B54" s="684" t="s">
        <v>1237</v>
      </c>
      <c r="C54" s="683"/>
      <c r="D54" s="684" t="s">
        <v>1238</v>
      </c>
      <c r="E54" s="683"/>
      <c r="F54" s="684" t="s">
        <v>1239</v>
      </c>
      <c r="G54" s="683"/>
      <c r="H54" s="684" t="s">
        <v>575</v>
      </c>
      <c r="I54" s="683"/>
      <c r="J54" s="684" t="s">
        <v>1240</v>
      </c>
      <c r="K54" s="683"/>
      <c r="L54" s="684" t="s">
        <v>1241</v>
      </c>
      <c r="M54" s="683"/>
      <c r="N54" s="1505" t="s">
        <v>584</v>
      </c>
      <c r="O54" s="1505"/>
      <c r="P54" s="684" t="s">
        <v>1242</v>
      </c>
      <c r="Q54" s="683"/>
      <c r="R54" s="684" t="s">
        <v>1243</v>
      </c>
      <c r="S54" s="683"/>
      <c r="T54" s="684" t="s">
        <v>1244</v>
      </c>
      <c r="U54" s="683"/>
      <c r="V54" s="1505" t="s">
        <v>589</v>
      </c>
      <c r="W54" s="1505"/>
      <c r="X54" s="684" t="s">
        <v>1245</v>
      </c>
      <c r="Y54" s="683"/>
      <c r="Z54" s="1505" t="s">
        <v>590</v>
      </c>
      <c r="AA54" s="1505"/>
      <c r="AB54" s="684" t="s">
        <v>1246</v>
      </c>
      <c r="AC54" s="702"/>
      <c r="AD54" s="720"/>
      <c r="AE54" s="696"/>
      <c r="AF54" s="696"/>
      <c r="AG54" s="696"/>
    </row>
    <row r="55" spans="1:41" ht="33.5">
      <c r="A55" s="469"/>
      <c r="B55" s="712"/>
      <c r="C55" s="702"/>
      <c r="D55" s="712"/>
      <c r="E55" s="713"/>
      <c r="F55" s="712"/>
      <c r="G55" s="713"/>
      <c r="H55" s="712"/>
      <c r="I55" s="702"/>
      <c r="J55" s="712"/>
      <c r="K55" s="702"/>
      <c r="L55" s="712"/>
      <c r="M55" s="702"/>
      <c r="N55" s="712"/>
      <c r="O55" s="702"/>
      <c r="P55" s="712"/>
      <c r="Q55" s="702"/>
      <c r="R55" s="712"/>
      <c r="S55" s="713"/>
      <c r="T55" s="712"/>
      <c r="U55" s="713"/>
      <c r="V55" s="712"/>
      <c r="W55" s="698"/>
      <c r="X55" s="712"/>
      <c r="Y55" s="702"/>
      <c r="Z55" s="712"/>
      <c r="AA55" s="721"/>
      <c r="AB55" s="712"/>
      <c r="AC55" s="702"/>
      <c r="AD55" s="720"/>
      <c r="AE55" s="696"/>
      <c r="AF55" s="696"/>
      <c r="AG55" s="696"/>
    </row>
    <row r="56" spans="1:41" ht="14" customHeight="1" thickBot="1">
      <c r="A56" s="469"/>
      <c r="B56" s="714"/>
      <c r="C56" s="702"/>
      <c r="D56" s="714"/>
      <c r="E56" s="702"/>
      <c r="F56" s="714"/>
      <c r="G56" s="702"/>
      <c r="H56" s="714"/>
      <c r="I56" s="702"/>
      <c r="J56" s="714"/>
      <c r="K56" s="702"/>
      <c r="L56" s="714"/>
      <c r="M56" s="702"/>
      <c r="N56" s="714"/>
      <c r="O56" s="702"/>
      <c r="P56" s="714"/>
      <c r="Q56" s="702"/>
      <c r="R56" s="714"/>
      <c r="S56" s="702"/>
      <c r="T56" s="714"/>
      <c r="U56" s="702"/>
      <c r="V56" s="714"/>
      <c r="W56" s="702"/>
      <c r="X56" s="714"/>
      <c r="Y56" s="702"/>
      <c r="Z56" s="714"/>
      <c r="AA56" s="702"/>
      <c r="AB56" s="714"/>
      <c r="AC56" s="702"/>
      <c r="AD56" s="720"/>
      <c r="AE56" s="696"/>
      <c r="AF56" s="696"/>
      <c r="AG56" s="696"/>
    </row>
    <row r="57" spans="1:41" ht="100" customHeight="1" thickBot="1">
      <c r="A57" s="469"/>
      <c r="B57" s="691"/>
      <c r="C57" s="707">
        <v>381.18799999999999</v>
      </c>
      <c r="D57" s="691"/>
      <c r="E57" s="707">
        <v>336.40899999999999</v>
      </c>
      <c r="F57" s="691"/>
      <c r="G57" s="707">
        <v>438.97</v>
      </c>
      <c r="H57" s="691"/>
      <c r="I57" s="707">
        <v>395.17899999999997</v>
      </c>
      <c r="J57" s="691"/>
      <c r="K57" s="707">
        <v>388.12</v>
      </c>
      <c r="L57" s="691"/>
      <c r="M57" s="707">
        <v>364.44600000000003</v>
      </c>
      <c r="N57" s="691"/>
      <c r="O57" s="707">
        <v>404.572</v>
      </c>
      <c r="P57" s="691"/>
      <c r="Q57" s="707">
        <v>432.27</v>
      </c>
      <c r="R57" s="691"/>
      <c r="S57" s="707">
        <v>404.23</v>
      </c>
      <c r="T57" s="691"/>
      <c r="U57" s="707">
        <v>416.62099999999998</v>
      </c>
      <c r="V57" s="691"/>
      <c r="W57" s="707">
        <v>468.03899999999999</v>
      </c>
      <c r="X57" s="691"/>
      <c r="Y57" s="707">
        <v>432.31799999999998</v>
      </c>
      <c r="Z57" s="691"/>
      <c r="AA57" s="707">
        <v>464.52100000000002</v>
      </c>
      <c r="AB57" s="691"/>
      <c r="AC57" s="707">
        <v>369.74299999999999</v>
      </c>
      <c r="AD57" s="720"/>
      <c r="AE57" s="696"/>
      <c r="AF57" s="696"/>
      <c r="AG57" s="696"/>
      <c r="AM57" s="896">
        <f>COUNTIF(B57:AB57,"U/P")</f>
        <v>0</v>
      </c>
      <c r="AN57" s="896">
        <f>COUNTIF(C57:AC57,"ROW")</f>
        <v>0</v>
      </c>
      <c r="AO57" s="896">
        <f>COUNTIF(D57:AD57,"C")</f>
        <v>0</v>
      </c>
    </row>
    <row r="58" spans="1:41" ht="34" thickBot="1">
      <c r="A58" s="469"/>
      <c r="B58" s="710"/>
      <c r="C58" s="702"/>
      <c r="D58" s="710"/>
      <c r="E58" s="702"/>
      <c r="F58" s="710"/>
      <c r="G58" s="702"/>
      <c r="H58" s="710"/>
      <c r="I58" s="702"/>
      <c r="J58" s="710"/>
      <c r="K58" s="702"/>
      <c r="L58" s="710"/>
      <c r="M58" s="702"/>
      <c r="N58" s="710"/>
      <c r="O58" s="702"/>
      <c r="P58" s="710"/>
      <c r="Q58" s="702"/>
      <c r="R58" s="710"/>
      <c r="S58" s="702"/>
      <c r="T58" s="710"/>
      <c r="U58" s="702"/>
      <c r="V58" s="710"/>
      <c r="W58" s="702"/>
      <c r="X58" s="710"/>
      <c r="Y58" s="702"/>
      <c r="Z58" s="710"/>
      <c r="AA58" s="702"/>
      <c r="AB58" s="710"/>
      <c r="AC58" s="702"/>
      <c r="AD58" s="720"/>
      <c r="AE58" s="696"/>
      <c r="AF58" s="696"/>
      <c r="AG58" s="696"/>
    </row>
    <row r="59" spans="1:41" ht="33.5">
      <c r="A59" s="469"/>
      <c r="B59" s="698" t="s">
        <v>182</v>
      </c>
      <c r="C59" s="698"/>
      <c r="D59" s="698" t="s">
        <v>182</v>
      </c>
      <c r="E59" s="698"/>
      <c r="F59" s="698" t="s">
        <v>182</v>
      </c>
      <c r="G59" s="698"/>
      <c r="H59" s="699" t="s">
        <v>119</v>
      </c>
      <c r="I59" s="698"/>
      <c r="J59" s="698" t="s">
        <v>182</v>
      </c>
      <c r="K59" s="698"/>
      <c r="L59" s="698" t="s">
        <v>185</v>
      </c>
      <c r="M59" s="698"/>
      <c r="N59" s="699" t="s">
        <v>115</v>
      </c>
      <c r="O59" s="698"/>
      <c r="P59" s="698" t="s">
        <v>248</v>
      </c>
      <c r="Q59" s="698"/>
      <c r="R59" s="698" t="s">
        <v>242</v>
      </c>
      <c r="S59" s="698"/>
      <c r="T59" s="698" t="s">
        <v>185</v>
      </c>
      <c r="U59" s="698"/>
      <c r="V59" s="699" t="s">
        <v>119</v>
      </c>
      <c r="W59" s="698"/>
      <c r="X59" s="699" t="s">
        <v>132</v>
      </c>
      <c r="Y59" s="698"/>
      <c r="Z59" s="699" t="s">
        <v>123</v>
      </c>
      <c r="AA59" s="698"/>
      <c r="AB59" s="698" t="s">
        <v>242</v>
      </c>
      <c r="AC59" s="702"/>
      <c r="AD59" s="720"/>
      <c r="AE59" s="696"/>
      <c r="AF59" s="696"/>
      <c r="AG59" s="696"/>
    </row>
    <row r="60" spans="1:41" ht="51" customHeight="1">
      <c r="A60" s="469"/>
      <c r="B60" s="698"/>
      <c r="C60" s="698"/>
      <c r="D60" s="698"/>
      <c r="E60" s="698"/>
      <c r="F60" s="698"/>
      <c r="G60" s="698"/>
      <c r="H60" s="698"/>
      <c r="I60" s="1503" t="s">
        <v>1519</v>
      </c>
      <c r="J60" s="1503"/>
      <c r="K60" s="707"/>
      <c r="L60" s="1504" t="s">
        <v>1520</v>
      </c>
      <c r="M60" s="1504"/>
      <c r="N60" s="698"/>
      <c r="O60" s="698"/>
      <c r="P60" s="698"/>
      <c r="Q60" s="698"/>
      <c r="R60" s="698"/>
      <c r="S60" s="698"/>
      <c r="T60" s="698"/>
      <c r="U60" s="698"/>
      <c r="V60" s="729" t="s">
        <v>1685</v>
      </c>
      <c r="W60" s="698"/>
      <c r="X60" s="698"/>
      <c r="Y60" s="698"/>
      <c r="Z60" s="698"/>
      <c r="AA60" s="698"/>
      <c r="AB60" s="698"/>
      <c r="AC60" s="702"/>
      <c r="AD60" s="720"/>
      <c r="AE60" s="696"/>
      <c r="AF60" s="696"/>
      <c r="AG60" s="696"/>
    </row>
    <row r="61" spans="1:41" ht="33.5" customHeight="1">
      <c r="A61" s="1501" t="s">
        <v>1518</v>
      </c>
      <c r="B61" s="1502"/>
      <c r="C61" s="1502"/>
      <c r="D61" s="1502"/>
      <c r="E61" s="1502"/>
      <c r="F61" s="1502"/>
      <c r="G61" s="1502"/>
      <c r="H61" s="1502"/>
      <c r="I61" s="1502"/>
      <c r="J61" s="1502"/>
      <c r="K61" s="1502"/>
      <c r="L61" s="1502"/>
      <c r="M61" s="1502"/>
      <c r="N61" s="1502"/>
      <c r="O61" s="1502"/>
      <c r="P61" s="1502"/>
      <c r="Q61" s="1502"/>
      <c r="R61" s="1502"/>
      <c r="S61" s="1502"/>
      <c r="T61" s="1502"/>
      <c r="U61" s="1502"/>
      <c r="V61" s="1502"/>
      <c r="W61" s="1502"/>
      <c r="X61" s="1502"/>
      <c r="Y61" s="1502"/>
      <c r="Z61" s="1502"/>
      <c r="AA61" s="1502"/>
      <c r="AB61" s="1502"/>
      <c r="AC61" s="1502"/>
      <c r="AD61" s="1502"/>
      <c r="AE61" s="1502"/>
      <c r="AF61" s="1502"/>
      <c r="AG61" s="1502"/>
      <c r="AH61" s="1502"/>
      <c r="AI61" s="907"/>
      <c r="AJ61" s="907"/>
      <c r="AK61" s="907"/>
      <c r="AL61" s="907"/>
    </row>
    <row r="62" spans="1:41" ht="23.5" customHeight="1">
      <c r="A62" s="469"/>
      <c r="B62" s="684" t="s">
        <v>595</v>
      </c>
      <c r="C62" s="683"/>
      <c r="D62" s="684" t="s">
        <v>1247</v>
      </c>
      <c r="E62" s="683"/>
      <c r="F62" s="684" t="s">
        <v>604</v>
      </c>
      <c r="G62" s="683"/>
      <c r="H62" s="684" t="s">
        <v>1248</v>
      </c>
      <c r="I62" s="683"/>
      <c r="J62" s="684" t="s">
        <v>608</v>
      </c>
      <c r="K62" s="683"/>
      <c r="L62" s="684" t="s">
        <v>1249</v>
      </c>
      <c r="M62" s="683"/>
      <c r="N62" s="684" t="s">
        <v>609</v>
      </c>
      <c r="O62" s="683"/>
      <c r="P62" s="684" t="s">
        <v>1250</v>
      </c>
      <c r="Q62" s="683"/>
      <c r="R62" s="684" t="s">
        <v>1251</v>
      </c>
      <c r="S62" s="683"/>
      <c r="T62" s="684" t="s">
        <v>1252</v>
      </c>
      <c r="U62" s="683"/>
      <c r="V62" s="684" t="s">
        <v>610</v>
      </c>
      <c r="W62" s="683"/>
      <c r="X62" s="684" t="s">
        <v>1253</v>
      </c>
      <c r="Y62" s="683"/>
      <c r="Z62" s="684" t="s">
        <v>1254</v>
      </c>
      <c r="AA62" s="683"/>
      <c r="AB62" s="684" t="s">
        <v>1255</v>
      </c>
      <c r="AC62" s="702"/>
      <c r="AD62" s="720"/>
      <c r="AE62" s="723"/>
      <c r="AF62" s="723"/>
      <c r="AG62" s="723"/>
      <c r="AH62" s="720"/>
      <c r="AI62" s="720"/>
      <c r="AJ62" s="720"/>
      <c r="AK62" s="720"/>
      <c r="AL62" s="720"/>
    </row>
    <row r="63" spans="1:41" ht="33.5">
      <c r="A63" s="469"/>
      <c r="B63" s="712"/>
      <c r="C63" s="702"/>
      <c r="D63" s="712"/>
      <c r="E63" s="702"/>
      <c r="F63" s="712"/>
      <c r="G63" s="702"/>
      <c r="H63" s="712"/>
      <c r="I63" s="702"/>
      <c r="J63" s="712"/>
      <c r="K63" s="702"/>
      <c r="L63" s="712"/>
      <c r="M63" s="713"/>
      <c r="N63" s="712"/>
      <c r="O63" s="698"/>
      <c r="P63" s="712"/>
      <c r="Q63" s="702"/>
      <c r="R63" s="712"/>
      <c r="S63" s="702"/>
      <c r="T63" s="712"/>
      <c r="U63" s="702"/>
      <c r="V63" s="712"/>
      <c r="W63" s="702"/>
      <c r="X63" s="712"/>
      <c r="Y63" s="702"/>
      <c r="Z63" s="712"/>
      <c r="AA63" s="702"/>
      <c r="AB63" s="712"/>
      <c r="AC63" s="702"/>
      <c r="AD63" s="720"/>
      <c r="AE63" s="723"/>
      <c r="AF63" s="723"/>
      <c r="AG63" s="723"/>
      <c r="AH63" s="720"/>
      <c r="AI63" s="720"/>
      <c r="AJ63" s="720"/>
      <c r="AK63" s="720"/>
      <c r="AL63" s="720"/>
    </row>
    <row r="64" spans="1:41" ht="15" customHeight="1" thickBot="1">
      <c r="A64" s="469"/>
      <c r="B64" s="714"/>
      <c r="C64" s="702"/>
      <c r="D64" s="714"/>
      <c r="E64" s="702"/>
      <c r="F64" s="714"/>
      <c r="G64" s="702"/>
      <c r="H64" s="714"/>
      <c r="I64" s="702"/>
      <c r="J64" s="714"/>
      <c r="K64" s="702"/>
      <c r="L64" s="714"/>
      <c r="M64" s="702"/>
      <c r="N64" s="714"/>
      <c r="O64" s="702"/>
      <c r="P64" s="714"/>
      <c r="Q64" s="702"/>
      <c r="R64" s="714"/>
      <c r="S64" s="702"/>
      <c r="T64" s="714"/>
      <c r="U64" s="702"/>
      <c r="V64" s="714"/>
      <c r="W64" s="702"/>
      <c r="X64" s="714"/>
      <c r="Y64" s="702"/>
      <c r="Z64" s="714"/>
      <c r="AA64" s="702"/>
      <c r="AB64" s="714"/>
      <c r="AC64" s="702"/>
      <c r="AD64" s="720"/>
      <c r="AE64" s="723"/>
      <c r="AF64" s="723"/>
      <c r="AG64" s="723"/>
      <c r="AH64" s="720"/>
      <c r="AI64" s="720"/>
      <c r="AJ64" s="720"/>
      <c r="AK64" s="720"/>
      <c r="AL64" s="720"/>
    </row>
    <row r="65" spans="1:41" ht="100" customHeight="1" thickBot="1">
      <c r="A65" s="469"/>
      <c r="B65" s="691"/>
      <c r="C65" s="707">
        <v>284.16000000000003</v>
      </c>
      <c r="D65" s="691"/>
      <c r="E65" s="707">
        <v>270.74200000000002</v>
      </c>
      <c r="F65" s="691"/>
      <c r="G65" s="707">
        <v>286.64</v>
      </c>
      <c r="H65" s="691"/>
      <c r="I65" s="707">
        <v>291.69900000000001</v>
      </c>
      <c r="J65" s="691"/>
      <c r="K65" s="707">
        <v>398.71899999999999</v>
      </c>
      <c r="L65" s="691"/>
      <c r="M65" s="707">
        <v>425.46499999999997</v>
      </c>
      <c r="N65" s="691"/>
      <c r="O65" s="707">
        <v>383.81299999999999</v>
      </c>
      <c r="P65" s="691"/>
      <c r="Q65" s="707">
        <v>403.279</v>
      </c>
      <c r="R65" s="691"/>
      <c r="S65" s="707">
        <v>355.21499999999997</v>
      </c>
      <c r="T65" s="691"/>
      <c r="U65" s="707">
        <v>399.839</v>
      </c>
      <c r="V65" s="691"/>
      <c r="W65" s="707">
        <v>287.44200000000001</v>
      </c>
      <c r="X65" s="691"/>
      <c r="Y65" s="707">
        <v>390.74799999999999</v>
      </c>
      <c r="Z65" s="691"/>
      <c r="AA65" s="707">
        <v>364.274</v>
      </c>
      <c r="AB65" s="691"/>
      <c r="AC65" s="707">
        <v>337.54599999999999</v>
      </c>
      <c r="AD65" s="720"/>
      <c r="AE65" s="723"/>
      <c r="AF65" s="723"/>
      <c r="AG65" s="723"/>
      <c r="AH65" s="720"/>
      <c r="AI65" s="720"/>
      <c r="AJ65" s="720"/>
      <c r="AK65" s="720"/>
      <c r="AL65" s="720"/>
      <c r="AM65" s="896">
        <f>COUNTIF(B65:AB65,"U/P")</f>
        <v>0</v>
      </c>
      <c r="AN65" s="896">
        <f>COUNTIF(C65:AC65,"ROW")</f>
        <v>0</v>
      </c>
      <c r="AO65" s="896">
        <f>COUNTIF(D65:AD65,"C")</f>
        <v>0</v>
      </c>
    </row>
    <row r="66" spans="1:41" ht="34" thickBot="1">
      <c r="A66" s="469"/>
      <c r="B66" s="710"/>
      <c r="C66" s="702"/>
      <c r="D66" s="710"/>
      <c r="E66" s="702"/>
      <c r="F66" s="710"/>
      <c r="G66" s="702"/>
      <c r="H66" s="710"/>
      <c r="I66" s="702"/>
      <c r="J66" s="710"/>
      <c r="K66" s="702"/>
      <c r="L66" s="710"/>
      <c r="M66" s="702"/>
      <c r="N66" s="710"/>
      <c r="O66" s="702"/>
      <c r="P66" s="710"/>
      <c r="Q66" s="702"/>
      <c r="R66" s="710"/>
      <c r="S66" s="702"/>
      <c r="T66" s="710"/>
      <c r="U66" s="702"/>
      <c r="V66" s="710"/>
      <c r="W66" s="702"/>
      <c r="X66" s="710"/>
      <c r="Y66" s="702"/>
      <c r="Z66" s="710"/>
      <c r="AA66" s="702"/>
      <c r="AB66" s="710"/>
      <c r="AC66" s="702"/>
      <c r="AD66" s="720"/>
      <c r="AE66" s="723"/>
      <c r="AF66" s="723"/>
      <c r="AG66" s="723"/>
      <c r="AH66" s="720"/>
      <c r="AI66" s="720"/>
      <c r="AJ66" s="720"/>
      <c r="AK66" s="720"/>
      <c r="AL66" s="720"/>
    </row>
    <row r="67" spans="1:41" ht="21" customHeight="1">
      <c r="A67" s="469"/>
      <c r="B67" s="699" t="s">
        <v>125</v>
      </c>
      <c r="C67" s="698"/>
      <c r="D67" s="698" t="s">
        <v>182</v>
      </c>
      <c r="E67" s="698"/>
      <c r="F67" s="699" t="s">
        <v>119</v>
      </c>
      <c r="G67" s="698"/>
      <c r="H67" s="698" t="s">
        <v>182</v>
      </c>
      <c r="I67" s="698"/>
      <c r="J67" s="699" t="s">
        <v>115</v>
      </c>
      <c r="K67" s="698"/>
      <c r="L67" s="698" t="s">
        <v>242</v>
      </c>
      <c r="M67" s="698"/>
      <c r="N67" s="699" t="s">
        <v>125</v>
      </c>
      <c r="O67" s="698"/>
      <c r="P67" s="698" t="s">
        <v>185</v>
      </c>
      <c r="Q67" s="698"/>
      <c r="R67" s="698" t="s">
        <v>182</v>
      </c>
      <c r="S67" s="698"/>
      <c r="T67" s="698" t="s">
        <v>185</v>
      </c>
      <c r="U67" s="698"/>
      <c r="V67" s="699" t="s">
        <v>115</v>
      </c>
      <c r="W67" s="698"/>
      <c r="X67" s="698" t="s">
        <v>182</v>
      </c>
      <c r="Y67" s="698"/>
      <c r="Z67" s="698" t="s">
        <v>182</v>
      </c>
      <c r="AA67" s="698"/>
      <c r="AB67" s="698" t="s">
        <v>182</v>
      </c>
      <c r="AC67" s="702"/>
      <c r="AD67" s="720"/>
      <c r="AE67" s="723"/>
      <c r="AF67" s="723"/>
      <c r="AG67" s="723"/>
      <c r="AH67" s="720"/>
      <c r="AI67" s="720"/>
      <c r="AJ67" s="720"/>
      <c r="AK67" s="720"/>
      <c r="AL67" s="720"/>
    </row>
    <row r="68" spans="1:41" ht="37.5" customHeight="1">
      <c r="A68" s="469"/>
      <c r="B68" s="698"/>
      <c r="C68" s="698"/>
      <c r="D68" s="698"/>
      <c r="E68" s="698"/>
      <c r="F68" s="698"/>
      <c r="G68" s="698"/>
      <c r="H68" s="698"/>
      <c r="I68" s="698"/>
      <c r="J68" s="698"/>
      <c r="K68" s="698"/>
      <c r="L68" s="698"/>
      <c r="M68" s="1503" t="s">
        <v>1521</v>
      </c>
      <c r="N68" s="1503"/>
      <c r="O68" s="698"/>
      <c r="P68" s="698"/>
      <c r="Q68" s="698"/>
      <c r="R68" s="698"/>
      <c r="S68" s="698"/>
      <c r="T68" s="698"/>
      <c r="U68" s="698"/>
      <c r="V68" s="698"/>
      <c r="W68" s="698"/>
      <c r="X68" s="1504" t="s">
        <v>1522</v>
      </c>
      <c r="Y68" s="1504"/>
      <c r="Z68" s="698"/>
      <c r="AA68" s="698"/>
      <c r="AB68" s="698"/>
      <c r="AC68" s="702"/>
      <c r="AD68" s="720"/>
      <c r="AE68" s="723"/>
      <c r="AF68" s="723"/>
      <c r="AG68" s="723"/>
      <c r="AH68" s="720"/>
      <c r="AI68" s="720"/>
      <c r="AJ68" s="720"/>
      <c r="AK68" s="720"/>
      <c r="AL68" s="720"/>
    </row>
    <row r="69" spans="1:41" ht="41.5" customHeight="1">
      <c r="A69" s="1501" t="s">
        <v>1518</v>
      </c>
      <c r="B69" s="1502"/>
      <c r="C69" s="1502"/>
      <c r="D69" s="1502"/>
      <c r="E69" s="1502"/>
      <c r="F69" s="1502"/>
      <c r="G69" s="1502"/>
      <c r="H69" s="1502"/>
      <c r="I69" s="1502"/>
      <c r="J69" s="1502"/>
      <c r="K69" s="1502"/>
      <c r="L69" s="1502"/>
      <c r="M69" s="1502"/>
      <c r="N69" s="1502"/>
      <c r="O69" s="1502"/>
      <c r="P69" s="1502"/>
      <c r="Q69" s="1502"/>
      <c r="R69" s="1502"/>
      <c r="S69" s="1502"/>
      <c r="T69" s="1502"/>
      <c r="U69" s="1502"/>
      <c r="V69" s="1502"/>
      <c r="W69" s="1502"/>
      <c r="X69" s="1502"/>
      <c r="Y69" s="1502"/>
      <c r="Z69" s="1502"/>
      <c r="AA69" s="1502"/>
      <c r="AB69" s="1502"/>
      <c r="AC69" s="1502"/>
      <c r="AD69" s="1502"/>
      <c r="AE69" s="1502"/>
      <c r="AF69" s="1502"/>
      <c r="AG69" s="1502"/>
      <c r="AH69" s="1502"/>
      <c r="AI69" s="907"/>
      <c r="AJ69" s="907"/>
      <c r="AK69" s="907"/>
      <c r="AL69" s="907"/>
    </row>
    <row r="70" spans="1:41" ht="35.5" customHeight="1">
      <c r="A70" s="469"/>
      <c r="B70" s="684" t="s">
        <v>1256</v>
      </c>
      <c r="C70" s="683"/>
      <c r="D70" s="684" t="s">
        <v>1257</v>
      </c>
      <c r="E70" s="683"/>
      <c r="F70" s="684" t="s">
        <v>1258</v>
      </c>
      <c r="G70" s="683"/>
      <c r="H70" s="684" t="s">
        <v>616</v>
      </c>
      <c r="I70" s="683"/>
      <c r="J70" s="684" t="s">
        <v>1259</v>
      </c>
      <c r="K70" s="683"/>
      <c r="L70" s="684" t="s">
        <v>1260</v>
      </c>
      <c r="M70" s="683"/>
      <c r="N70" s="1505" t="s">
        <v>620</v>
      </c>
      <c r="O70" s="1505"/>
      <c r="P70" s="1505" t="s">
        <v>623</v>
      </c>
      <c r="Q70" s="1505"/>
      <c r="R70" s="684" t="s">
        <v>1261</v>
      </c>
      <c r="S70" s="683"/>
      <c r="T70" s="684" t="s">
        <v>1262</v>
      </c>
      <c r="U70" s="683"/>
      <c r="V70" s="684" t="s">
        <v>1263</v>
      </c>
      <c r="W70" s="683"/>
      <c r="X70" s="684" t="s">
        <v>624</v>
      </c>
      <c r="Y70" s="683"/>
      <c r="Z70" s="684" t="s">
        <v>1264</v>
      </c>
      <c r="AA70" s="683"/>
      <c r="AB70" s="684" t="s">
        <v>625</v>
      </c>
      <c r="AC70" s="702"/>
      <c r="AD70" s="720"/>
      <c r="AE70" s="723"/>
      <c r="AF70" s="723"/>
      <c r="AG70" s="723"/>
      <c r="AH70" s="720"/>
      <c r="AI70" s="720"/>
      <c r="AJ70" s="720"/>
      <c r="AK70" s="720"/>
      <c r="AL70" s="720"/>
    </row>
    <row r="71" spans="1:41" ht="33.5">
      <c r="A71" s="469"/>
      <c r="B71" s="712"/>
      <c r="C71" s="702"/>
      <c r="D71" s="712"/>
      <c r="E71" s="702"/>
      <c r="F71" s="712"/>
      <c r="G71" s="702"/>
      <c r="H71" s="712"/>
      <c r="I71" s="702"/>
      <c r="J71" s="712"/>
      <c r="K71" s="702"/>
      <c r="L71" s="712"/>
      <c r="M71" s="702"/>
      <c r="N71" s="712"/>
      <c r="O71" s="702"/>
      <c r="P71" s="712"/>
      <c r="Q71" s="702"/>
      <c r="R71" s="712"/>
      <c r="S71" s="713"/>
      <c r="T71" s="712"/>
      <c r="U71" s="713"/>
      <c r="V71" s="712"/>
      <c r="W71" s="702"/>
      <c r="X71" s="712"/>
      <c r="Y71" s="702"/>
      <c r="Z71" s="712"/>
      <c r="AA71" s="702"/>
      <c r="AB71" s="712"/>
      <c r="AC71" s="702"/>
      <c r="AD71" s="720"/>
      <c r="AE71" s="723"/>
      <c r="AF71" s="723"/>
      <c r="AG71" s="723"/>
      <c r="AH71" s="720"/>
      <c r="AI71" s="720"/>
      <c r="AJ71" s="720"/>
      <c r="AK71" s="720"/>
      <c r="AL71" s="720"/>
    </row>
    <row r="72" spans="1:41" ht="15.5" customHeight="1" thickBot="1">
      <c r="A72" s="469"/>
      <c r="B72" s="714"/>
      <c r="C72" s="702"/>
      <c r="D72" s="714"/>
      <c r="E72" s="702"/>
      <c r="F72" s="714"/>
      <c r="G72" s="702"/>
      <c r="H72" s="714"/>
      <c r="I72" s="702"/>
      <c r="J72" s="714"/>
      <c r="K72" s="702"/>
      <c r="L72" s="714"/>
      <c r="M72" s="702"/>
      <c r="N72" s="714"/>
      <c r="O72" s="702"/>
      <c r="P72" s="714"/>
      <c r="Q72" s="702"/>
      <c r="R72" s="714"/>
      <c r="S72" s="702"/>
      <c r="T72" s="714"/>
      <c r="U72" s="702"/>
      <c r="V72" s="714"/>
      <c r="W72" s="702"/>
      <c r="X72" s="714"/>
      <c r="Y72" s="702"/>
      <c r="Z72" s="714"/>
      <c r="AA72" s="702"/>
      <c r="AB72" s="714"/>
      <c r="AC72" s="702"/>
      <c r="AD72" s="720"/>
      <c r="AE72" s="723"/>
      <c r="AF72" s="723"/>
      <c r="AG72" s="723"/>
      <c r="AH72" s="720"/>
      <c r="AI72" s="720"/>
      <c r="AJ72" s="720"/>
      <c r="AK72" s="720"/>
      <c r="AL72" s="720"/>
    </row>
    <row r="73" spans="1:41" ht="100" customHeight="1" thickBot="1">
      <c r="A73" s="469"/>
      <c r="B73" s="691"/>
      <c r="C73" s="707">
        <v>348.29199999999997</v>
      </c>
      <c r="D73" s="691"/>
      <c r="E73" s="707">
        <v>418.83499999999998</v>
      </c>
      <c r="F73" s="691"/>
      <c r="G73" s="707">
        <v>408.96300000000002</v>
      </c>
      <c r="H73" s="691"/>
      <c r="I73" s="707">
        <v>365.46699999999998</v>
      </c>
      <c r="J73" s="691"/>
      <c r="K73" s="707">
        <v>437.07400000000001</v>
      </c>
      <c r="L73" s="691"/>
      <c r="M73" s="707">
        <v>363.142</v>
      </c>
      <c r="N73" s="691"/>
      <c r="O73" s="707">
        <v>159.78899999999999</v>
      </c>
      <c r="P73" s="691"/>
      <c r="Q73" s="707">
        <v>300.15800000000002</v>
      </c>
      <c r="R73" s="691"/>
      <c r="S73" s="707">
        <v>293.13099999999997</v>
      </c>
      <c r="T73" s="691"/>
      <c r="U73" s="707">
        <v>357.37700000000001</v>
      </c>
      <c r="V73" s="691"/>
      <c r="W73" s="707">
        <v>341.40899999999999</v>
      </c>
      <c r="X73" s="691"/>
      <c r="Y73" s="707">
        <v>362.90499999999997</v>
      </c>
      <c r="Z73" s="691"/>
      <c r="AA73" s="707">
        <v>421.05200000000002</v>
      </c>
      <c r="AB73" s="691"/>
      <c r="AC73" s="707">
        <v>216.44800000000001</v>
      </c>
      <c r="AD73" s="720"/>
      <c r="AE73" s="723"/>
      <c r="AF73" s="723"/>
      <c r="AG73" s="723"/>
      <c r="AH73" s="720"/>
      <c r="AI73" s="720"/>
      <c r="AJ73" s="720"/>
      <c r="AK73" s="720"/>
      <c r="AL73" s="720"/>
      <c r="AM73" s="896">
        <f>COUNTIF(B73:AB73,"U/P")</f>
        <v>0</v>
      </c>
      <c r="AN73" s="896">
        <f>COUNTIF(C73:AC73,"ROW")</f>
        <v>0</v>
      </c>
      <c r="AO73" s="896">
        <f>COUNTIF(D73:AD73,"C")</f>
        <v>0</v>
      </c>
    </row>
    <row r="74" spans="1:41" ht="34" thickBot="1">
      <c r="A74" s="469"/>
      <c r="B74" s="710"/>
      <c r="C74" s="702"/>
      <c r="D74" s="710"/>
      <c r="E74" s="702"/>
      <c r="F74" s="710"/>
      <c r="G74" s="702"/>
      <c r="H74" s="710"/>
      <c r="I74" s="702"/>
      <c r="J74" s="710"/>
      <c r="K74" s="702"/>
      <c r="L74" s="710"/>
      <c r="M74" s="702"/>
      <c r="N74" s="710"/>
      <c r="O74" s="702"/>
      <c r="P74" s="710"/>
      <c r="Q74" s="702"/>
      <c r="R74" s="710"/>
      <c r="S74" s="702"/>
      <c r="T74" s="710"/>
      <c r="U74" s="702"/>
      <c r="V74" s="710"/>
      <c r="W74" s="702"/>
      <c r="X74" s="710"/>
      <c r="Y74" s="702"/>
      <c r="Z74" s="710"/>
      <c r="AA74" s="702"/>
      <c r="AB74" s="710"/>
      <c r="AC74" s="702"/>
      <c r="AD74" s="720"/>
      <c r="AE74" s="723"/>
      <c r="AF74" s="723"/>
      <c r="AG74" s="723"/>
      <c r="AH74" s="720"/>
      <c r="AI74" s="720"/>
      <c r="AJ74" s="720"/>
      <c r="AK74" s="720"/>
      <c r="AL74" s="720"/>
    </row>
    <row r="75" spans="1:41" ht="33.5">
      <c r="A75" s="469"/>
      <c r="B75" s="698" t="s">
        <v>182</v>
      </c>
      <c r="C75" s="698"/>
      <c r="D75" s="698" t="s">
        <v>185</v>
      </c>
      <c r="E75" s="698"/>
      <c r="F75" s="698" t="s">
        <v>248</v>
      </c>
      <c r="G75" s="698"/>
      <c r="H75" s="699" t="s">
        <v>143</v>
      </c>
      <c r="I75" s="698"/>
      <c r="J75" s="698" t="s">
        <v>182</v>
      </c>
      <c r="K75" s="698"/>
      <c r="L75" s="698" t="s">
        <v>242</v>
      </c>
      <c r="M75" s="698"/>
      <c r="N75" s="699" t="s">
        <v>188</v>
      </c>
      <c r="O75" s="698"/>
      <c r="P75" s="699" t="s">
        <v>125</v>
      </c>
      <c r="Q75" s="698"/>
      <c r="R75" s="699" t="s">
        <v>188</v>
      </c>
      <c r="S75" s="698"/>
      <c r="T75" s="698" t="s">
        <v>182</v>
      </c>
      <c r="U75" s="698"/>
      <c r="V75" s="698" t="s">
        <v>182</v>
      </c>
      <c r="W75" s="698"/>
      <c r="X75" s="699" t="s">
        <v>123</v>
      </c>
      <c r="Y75" s="698"/>
      <c r="Z75" s="698" t="s">
        <v>248</v>
      </c>
      <c r="AA75" s="698"/>
      <c r="AB75" s="699" t="s">
        <v>192</v>
      </c>
      <c r="AC75" s="702"/>
      <c r="AD75" s="720"/>
      <c r="AE75" s="723"/>
      <c r="AF75" s="723"/>
      <c r="AG75" s="723"/>
      <c r="AH75" s="720"/>
      <c r="AI75" s="720"/>
      <c r="AJ75" s="720"/>
      <c r="AK75" s="720"/>
      <c r="AL75" s="720"/>
    </row>
    <row r="76" spans="1:41" ht="33.5">
      <c r="A76" s="469"/>
      <c r="B76" s="698"/>
      <c r="C76" s="698"/>
      <c r="D76" s="698"/>
      <c r="E76" s="729" t="s">
        <v>1621</v>
      </c>
      <c r="G76" s="698"/>
      <c r="H76" s="699"/>
      <c r="I76" s="698"/>
      <c r="J76" s="698"/>
      <c r="K76" s="698"/>
      <c r="L76" s="698"/>
      <c r="M76" s="698"/>
      <c r="N76" s="699"/>
      <c r="O76" s="698"/>
      <c r="P76" s="699"/>
      <c r="Q76" s="698"/>
      <c r="R76" s="699"/>
      <c r="S76" s="698"/>
      <c r="T76" s="698"/>
      <c r="U76" s="698"/>
      <c r="V76" s="698"/>
      <c r="W76" s="698"/>
      <c r="X76" s="699"/>
      <c r="Y76" s="698"/>
      <c r="Z76" s="698"/>
      <c r="AA76" s="698"/>
      <c r="AB76" s="699"/>
      <c r="AC76" s="702"/>
      <c r="AD76" s="720"/>
      <c r="AE76" s="723"/>
      <c r="AF76" s="723"/>
      <c r="AG76" s="723"/>
      <c r="AH76" s="720"/>
      <c r="AI76" s="720"/>
      <c r="AJ76" s="720"/>
      <c r="AK76" s="720"/>
      <c r="AL76" s="720"/>
    </row>
    <row r="77" spans="1:41" ht="36" customHeight="1">
      <c r="A77" s="1501" t="s">
        <v>1518</v>
      </c>
      <c r="B77" s="1502"/>
      <c r="C77" s="1502"/>
      <c r="D77" s="1502"/>
      <c r="E77" s="1502"/>
      <c r="F77" s="1502"/>
      <c r="G77" s="1502"/>
      <c r="H77" s="1502"/>
      <c r="I77" s="1502"/>
      <c r="J77" s="1502"/>
      <c r="K77" s="1502"/>
      <c r="L77" s="1502"/>
      <c r="M77" s="1502"/>
      <c r="N77" s="1502"/>
      <c r="O77" s="1502"/>
      <c r="P77" s="1502"/>
      <c r="Q77" s="1502"/>
      <c r="R77" s="1502"/>
      <c r="S77" s="1502"/>
      <c r="T77" s="1502"/>
      <c r="U77" s="1502"/>
      <c r="V77" s="1502"/>
      <c r="W77" s="1502"/>
      <c r="X77" s="1500" t="s">
        <v>1579</v>
      </c>
      <c r="Y77" s="1500"/>
      <c r="Z77" s="1500"/>
      <c r="AA77" s="1500"/>
      <c r="AB77" s="1500"/>
      <c r="AC77" s="1500"/>
      <c r="AD77" s="1500"/>
      <c r="AE77" s="1500"/>
      <c r="AF77" s="1500"/>
      <c r="AG77" s="1500"/>
      <c r="AH77" s="1500"/>
      <c r="AI77" s="910"/>
      <c r="AJ77" s="910"/>
      <c r="AK77" s="910"/>
      <c r="AL77" s="910"/>
    </row>
    <row r="78" spans="1:41" ht="22" customHeight="1">
      <c r="A78" s="725"/>
      <c r="B78" s="726"/>
      <c r="C78" s="726"/>
      <c r="D78" s="726"/>
      <c r="E78" s="726"/>
      <c r="F78" s="726"/>
      <c r="G78" s="726"/>
      <c r="H78" s="727"/>
      <c r="I78" s="726"/>
      <c r="J78" s="726"/>
      <c r="K78" s="726"/>
      <c r="L78" s="726"/>
      <c r="M78" s="726"/>
      <c r="N78" s="727"/>
      <c r="O78" s="726"/>
      <c r="P78" s="727"/>
      <c r="Q78" s="726"/>
      <c r="R78" s="727"/>
      <c r="S78" s="726"/>
      <c r="T78" s="726"/>
      <c r="U78" s="726"/>
      <c r="V78" s="726"/>
      <c r="W78" s="726"/>
      <c r="X78" s="727"/>
      <c r="Y78" s="726"/>
      <c r="Z78" s="726"/>
      <c r="AA78" s="726"/>
      <c r="AB78" s="727"/>
      <c r="AC78" s="705"/>
      <c r="AD78" s="703"/>
      <c r="AE78" s="695"/>
      <c r="AF78" s="696"/>
      <c r="AG78" s="696"/>
    </row>
    <row r="79" spans="1:41" ht="44.5" customHeight="1">
      <c r="A79" s="469"/>
      <c r="B79" s="684" t="s">
        <v>1635</v>
      </c>
      <c r="C79" s="683"/>
      <c r="D79" s="1505" t="s">
        <v>1637</v>
      </c>
      <c r="E79" s="1505"/>
      <c r="F79" s="1505" t="s">
        <v>1639</v>
      </c>
      <c r="G79" s="1505"/>
      <c r="H79" s="1505" t="s">
        <v>1640</v>
      </c>
      <c r="I79" s="1505"/>
      <c r="J79" s="1505" t="s">
        <v>1641</v>
      </c>
      <c r="K79" s="1505"/>
      <c r="L79" s="1505" t="s">
        <v>1266</v>
      </c>
      <c r="M79" s="1505"/>
      <c r="N79" s="1505" t="s">
        <v>1267</v>
      </c>
      <c r="O79" s="1505"/>
      <c r="P79" s="1505" t="s">
        <v>1269</v>
      </c>
      <c r="Q79" s="1505"/>
      <c r="R79" s="1505" t="s">
        <v>1270</v>
      </c>
      <c r="S79" s="1505"/>
      <c r="T79" s="1505" t="s">
        <v>1271</v>
      </c>
      <c r="U79" s="1505"/>
      <c r="V79" s="1505" t="s">
        <v>1272</v>
      </c>
      <c r="W79" s="1505"/>
      <c r="X79" s="1505" t="s">
        <v>637</v>
      </c>
      <c r="Y79" s="1505"/>
      <c r="Z79" s="684" t="s">
        <v>638</v>
      </c>
      <c r="AA79" s="683"/>
      <c r="AB79" s="684" t="s">
        <v>642</v>
      </c>
      <c r="AC79" s="684"/>
      <c r="AD79" s="702"/>
      <c r="AE79" s="720"/>
      <c r="AF79" s="695"/>
      <c r="AG79" s="696"/>
      <c r="AH79" s="696"/>
    </row>
    <row r="80" spans="1:41" ht="33.5">
      <c r="A80" s="469"/>
      <c r="B80" s="712"/>
      <c r="C80" s="702"/>
      <c r="D80" s="712"/>
      <c r="E80" s="702"/>
      <c r="F80" s="712"/>
      <c r="G80" s="702"/>
      <c r="H80" s="712"/>
      <c r="I80" s="702"/>
      <c r="J80" s="712"/>
      <c r="K80" s="702"/>
      <c r="L80" s="712"/>
      <c r="M80" s="702"/>
      <c r="N80" s="712"/>
      <c r="O80" s="702"/>
      <c r="P80" s="712"/>
      <c r="Q80" s="702"/>
      <c r="R80" s="712"/>
      <c r="S80" s="702"/>
      <c r="T80" s="712"/>
      <c r="U80" s="702"/>
      <c r="V80" s="712"/>
      <c r="W80" s="702"/>
      <c r="X80" s="712"/>
      <c r="Y80" s="702"/>
      <c r="Z80" s="712"/>
      <c r="AA80" s="702"/>
      <c r="AB80" s="712"/>
      <c r="AC80" s="702"/>
      <c r="AD80" s="720"/>
      <c r="AE80" s="696"/>
      <c r="AF80" s="696"/>
      <c r="AG80" s="696"/>
    </row>
    <row r="81" spans="1:43" ht="16" customHeight="1" thickBot="1">
      <c r="A81" s="469"/>
      <c r="B81" s="714"/>
      <c r="C81" s="702"/>
      <c r="D81" s="714"/>
      <c r="E81" s="702"/>
      <c r="F81" s="714"/>
      <c r="G81" s="702"/>
      <c r="H81" s="714"/>
      <c r="I81" s="702"/>
      <c r="J81" s="714"/>
      <c r="K81" s="702"/>
      <c r="L81" s="714"/>
      <c r="M81" s="702"/>
      <c r="N81" s="714"/>
      <c r="O81" s="702"/>
      <c r="P81" s="714"/>
      <c r="Q81" s="702"/>
      <c r="R81" s="714"/>
      <c r="S81" s="702"/>
      <c r="T81" s="714"/>
      <c r="U81" s="702"/>
      <c r="V81" s="714"/>
      <c r="W81" s="702"/>
      <c r="X81" s="714"/>
      <c r="Y81" s="702"/>
      <c r="Z81" s="714"/>
      <c r="AA81" s="702"/>
      <c r="AB81" s="714"/>
      <c r="AC81" s="702"/>
      <c r="AD81" s="720"/>
      <c r="AE81" s="696"/>
      <c r="AF81" s="696"/>
      <c r="AG81" s="696"/>
      <c r="AM81" s="896"/>
      <c r="AN81" s="896"/>
      <c r="AO81" s="896"/>
    </row>
    <row r="82" spans="1:43" ht="100" customHeight="1" thickBot="1">
      <c r="A82" s="469"/>
      <c r="B82" s="691"/>
      <c r="C82" s="707">
        <v>439.69499999999999</v>
      </c>
      <c r="D82" s="691"/>
      <c r="E82" s="707">
        <v>243.18799999999999</v>
      </c>
      <c r="F82" s="691"/>
      <c r="G82" s="707">
        <v>333.21899999999999</v>
      </c>
      <c r="H82" s="691"/>
      <c r="I82" s="707">
        <v>333.21899999999999</v>
      </c>
      <c r="J82" s="691"/>
      <c r="K82" s="707">
        <v>363.00099999999998</v>
      </c>
      <c r="L82" s="691"/>
      <c r="M82" s="707">
        <v>363.00099999999998</v>
      </c>
      <c r="N82" s="691"/>
      <c r="O82" s="707">
        <v>356.12400000000002</v>
      </c>
      <c r="P82" s="691"/>
      <c r="Q82" s="707">
        <v>376.245</v>
      </c>
      <c r="R82" s="691"/>
      <c r="S82" s="707">
        <v>381.12200000000001</v>
      </c>
      <c r="T82" s="691"/>
      <c r="U82" s="707">
        <v>364.43299999999999</v>
      </c>
      <c r="V82" s="691"/>
      <c r="W82" s="707">
        <v>263.077</v>
      </c>
      <c r="X82" s="691"/>
      <c r="Y82" s="707">
        <v>356.19299999999998</v>
      </c>
      <c r="Z82" s="691"/>
      <c r="AA82" s="707">
        <v>352.42</v>
      </c>
      <c r="AB82" s="691"/>
      <c r="AC82" s="707">
        <v>381.02800000000002</v>
      </c>
      <c r="AD82" s="720"/>
      <c r="AE82" s="696"/>
      <c r="AF82" s="696"/>
      <c r="AG82" s="696"/>
      <c r="AM82" s="896">
        <f>COUNTIF(B82:AB82,"U/P")</f>
        <v>0</v>
      </c>
      <c r="AN82" s="896">
        <f>COUNTIF(C82:AC82,"ROW")</f>
        <v>0</v>
      </c>
      <c r="AO82" s="896">
        <f>COUNTIF(D82:AD82,"C")</f>
        <v>0</v>
      </c>
    </row>
    <row r="83" spans="1:43" ht="34" thickBot="1">
      <c r="A83" s="469"/>
      <c r="B83" s="710"/>
      <c r="C83" s="702"/>
      <c r="D83" s="710"/>
      <c r="E83" s="702"/>
      <c r="F83" s="710"/>
      <c r="G83" s="702"/>
      <c r="H83" s="710"/>
      <c r="I83" s="702"/>
      <c r="J83" s="710"/>
      <c r="K83" s="702"/>
      <c r="L83" s="710"/>
      <c r="M83" s="702"/>
      <c r="N83" s="710"/>
      <c r="O83" s="702"/>
      <c r="P83" s="710"/>
      <c r="Q83" s="702"/>
      <c r="R83" s="710"/>
      <c r="S83" s="702"/>
      <c r="T83" s="710"/>
      <c r="U83" s="702"/>
      <c r="V83" s="710"/>
      <c r="W83" s="702"/>
      <c r="X83" s="710"/>
      <c r="Y83" s="702"/>
      <c r="Z83" s="710"/>
      <c r="AA83" s="702"/>
      <c r="AB83" s="710"/>
      <c r="AC83" s="702"/>
      <c r="AD83" s="720"/>
      <c r="AE83" s="696"/>
      <c r="AF83" s="696"/>
      <c r="AG83" s="696"/>
    </row>
    <row r="84" spans="1:43" ht="33.5">
      <c r="A84" s="469"/>
      <c r="B84" s="699" t="s">
        <v>1636</v>
      </c>
      <c r="C84" s="698"/>
      <c r="D84" s="699" t="s">
        <v>1638</v>
      </c>
      <c r="E84" s="698"/>
      <c r="F84" s="699" t="s">
        <v>119</v>
      </c>
      <c r="G84" s="698"/>
      <c r="H84" s="699" t="s">
        <v>123</v>
      </c>
      <c r="I84" s="698"/>
      <c r="J84" s="699" t="s">
        <v>147</v>
      </c>
      <c r="K84" s="698"/>
      <c r="L84" s="698" t="s">
        <v>182</v>
      </c>
      <c r="M84" s="698"/>
      <c r="N84" s="698" t="s">
        <v>242</v>
      </c>
      <c r="O84" s="698"/>
      <c r="P84" s="699" t="s">
        <v>115</v>
      </c>
      <c r="Q84" s="698"/>
      <c r="R84" s="698" t="s">
        <v>242</v>
      </c>
      <c r="S84" s="698"/>
      <c r="T84" s="698" t="s">
        <v>182</v>
      </c>
      <c r="U84" s="698"/>
      <c r="V84" s="698" t="s">
        <v>248</v>
      </c>
      <c r="W84" s="698"/>
      <c r="X84" s="699" t="s">
        <v>188</v>
      </c>
      <c r="Y84" s="698"/>
      <c r="Z84" s="698" t="s">
        <v>185</v>
      </c>
      <c r="AA84" s="698"/>
      <c r="AB84" s="699" t="s">
        <v>132</v>
      </c>
      <c r="AC84" s="702"/>
      <c r="AD84" s="720"/>
      <c r="AE84" s="696"/>
      <c r="AF84" s="696"/>
      <c r="AG84" s="696"/>
    </row>
    <row r="85" spans="1:43" ht="37" customHeight="1">
      <c r="A85" s="1499" t="s">
        <v>1578</v>
      </c>
      <c r="B85" s="1500"/>
      <c r="C85" s="1500"/>
      <c r="D85" s="1500"/>
      <c r="E85" s="1500"/>
      <c r="F85" s="1500"/>
      <c r="G85" s="1500"/>
      <c r="H85" s="1500"/>
      <c r="I85" s="1502" t="s">
        <v>1712</v>
      </c>
      <c r="J85" s="1502"/>
      <c r="K85" s="1502"/>
      <c r="L85" s="1502"/>
      <c r="M85" s="1502"/>
      <c r="N85" s="1502"/>
      <c r="O85" s="1502"/>
      <c r="P85" s="1502"/>
      <c r="Q85" s="1502"/>
      <c r="R85" s="1502"/>
      <c r="S85" s="1502"/>
      <c r="T85" s="1502"/>
      <c r="U85" s="1502"/>
      <c r="V85" s="1502"/>
      <c r="W85" s="1502"/>
      <c r="X85" s="1502"/>
      <c r="Y85" s="1502"/>
      <c r="Z85" s="1502"/>
      <c r="AA85" s="1502"/>
      <c r="AB85" s="1502"/>
      <c r="AC85" s="1502"/>
      <c r="AD85" s="1502"/>
      <c r="AE85" s="1502"/>
      <c r="AF85" s="1502"/>
      <c r="AG85" s="1067"/>
      <c r="AH85" s="1067"/>
      <c r="AI85" s="910"/>
      <c r="AJ85" s="910"/>
      <c r="AK85" s="910"/>
      <c r="AL85" s="910"/>
    </row>
    <row r="86" spans="1:43" ht="21.5" customHeight="1">
      <c r="A86" s="469"/>
      <c r="B86" s="716"/>
      <c r="C86" s="716"/>
      <c r="D86" s="716"/>
      <c r="E86" s="716"/>
      <c r="F86" s="716"/>
      <c r="G86" s="716"/>
      <c r="H86" s="716"/>
      <c r="I86" s="716"/>
      <c r="J86" s="716"/>
      <c r="K86" s="716"/>
      <c r="L86" s="716"/>
      <c r="M86" s="716"/>
      <c r="N86" s="716"/>
      <c r="O86" s="716"/>
      <c r="P86" s="716"/>
      <c r="Q86" s="716"/>
      <c r="R86" s="716"/>
      <c r="S86" s="716"/>
      <c r="T86" s="716"/>
      <c r="U86" s="716"/>
      <c r="V86" s="716"/>
      <c r="W86" s="716"/>
      <c r="X86" s="716"/>
      <c r="Y86" s="716"/>
      <c r="Z86" s="716"/>
      <c r="AA86" s="716"/>
      <c r="AB86" s="716"/>
      <c r="AC86" s="705"/>
      <c r="AD86" s="703"/>
      <c r="AE86" s="695"/>
      <c r="AF86" s="696"/>
      <c r="AG86" s="696"/>
    </row>
    <row r="87" spans="1:43" ht="32" customHeight="1">
      <c r="A87" s="469"/>
      <c r="B87" s="684" t="s">
        <v>643</v>
      </c>
      <c r="C87" s="683"/>
      <c r="D87" s="684" t="s">
        <v>644</v>
      </c>
      <c r="E87" s="683"/>
      <c r="F87" s="684" t="s">
        <v>1642</v>
      </c>
      <c r="G87" s="683"/>
      <c r="H87" s="684" t="s">
        <v>645</v>
      </c>
      <c r="I87" s="683"/>
      <c r="J87" s="684" t="s">
        <v>646</v>
      </c>
      <c r="K87" s="683"/>
      <c r="L87" s="684" t="s">
        <v>647</v>
      </c>
      <c r="M87" s="683"/>
      <c r="N87" s="684" t="s">
        <v>648</v>
      </c>
      <c r="O87" s="683"/>
      <c r="P87" s="684" t="s">
        <v>649</v>
      </c>
      <c r="Q87" s="683"/>
      <c r="R87" s="684" t="s">
        <v>650</v>
      </c>
      <c r="S87" s="683"/>
      <c r="T87" s="684" t="s">
        <v>651</v>
      </c>
      <c r="U87" s="683"/>
      <c r="V87" s="684" t="s">
        <v>652</v>
      </c>
      <c r="W87" s="683"/>
      <c r="X87" s="684" t="s">
        <v>653</v>
      </c>
      <c r="Y87" s="683"/>
      <c r="Z87" s="684" t="s">
        <v>654</v>
      </c>
      <c r="AA87" s="683"/>
      <c r="AB87" s="684" t="s">
        <v>655</v>
      </c>
      <c r="AC87" s="683"/>
      <c r="AD87" s="684" t="s">
        <v>656</v>
      </c>
      <c r="AE87" s="702"/>
      <c r="AF87" s="720"/>
      <c r="AG87" s="696"/>
      <c r="AH87" s="696"/>
      <c r="AI87" s="696"/>
    </row>
    <row r="88" spans="1:43" ht="33.5">
      <c r="A88" s="469"/>
      <c r="B88" s="712"/>
      <c r="C88" s="702"/>
      <c r="D88" s="712"/>
      <c r="E88" s="702"/>
      <c r="F88" s="712"/>
      <c r="G88" s="702"/>
      <c r="H88" s="712"/>
      <c r="I88" s="702"/>
      <c r="J88" s="712"/>
      <c r="K88" s="713"/>
      <c r="L88" s="712"/>
      <c r="M88" s="702"/>
      <c r="N88" s="712"/>
      <c r="O88" s="702"/>
      <c r="P88" s="712"/>
      <c r="Q88" s="702"/>
      <c r="R88" s="712"/>
      <c r="S88" s="702"/>
      <c r="T88" s="712"/>
      <c r="U88" s="702"/>
      <c r="V88" s="712"/>
      <c r="W88" s="702"/>
      <c r="X88" s="712"/>
      <c r="Y88" s="702"/>
      <c r="Z88" s="712"/>
      <c r="AA88" s="702"/>
      <c r="AB88" s="712"/>
      <c r="AC88" s="713"/>
      <c r="AD88" s="712"/>
      <c r="AE88" s="702"/>
      <c r="AF88" s="720"/>
      <c r="AG88" s="696"/>
      <c r="AH88" s="696"/>
      <c r="AI88" s="696"/>
    </row>
    <row r="89" spans="1:43" ht="15.5" customHeight="1" thickBot="1">
      <c r="A89" s="469"/>
      <c r="B89" s="714"/>
      <c r="C89" s="702"/>
      <c r="D89" s="714"/>
      <c r="E89" s="702"/>
      <c r="F89" s="714"/>
      <c r="G89" s="702"/>
      <c r="H89" s="714"/>
      <c r="I89" s="702"/>
      <c r="J89" s="714"/>
      <c r="K89" s="702"/>
      <c r="L89" s="714"/>
      <c r="M89" s="702"/>
      <c r="N89" s="714"/>
      <c r="O89" s="702"/>
      <c r="P89" s="714"/>
      <c r="Q89" s="702"/>
      <c r="R89" s="714"/>
      <c r="S89" s="702"/>
      <c r="T89" s="714"/>
      <c r="U89" s="702"/>
      <c r="V89" s="714"/>
      <c r="W89" s="702"/>
      <c r="X89" s="714"/>
      <c r="Y89" s="702"/>
      <c r="Z89" s="714"/>
      <c r="AA89" s="702"/>
      <c r="AB89" s="714"/>
      <c r="AC89" s="702"/>
      <c r="AD89" s="714"/>
      <c r="AE89" s="702"/>
      <c r="AF89" s="720"/>
      <c r="AG89" s="696"/>
      <c r="AH89" s="696"/>
      <c r="AI89" s="696"/>
    </row>
    <row r="90" spans="1:43" ht="100" customHeight="1" thickBot="1">
      <c r="A90" s="469"/>
      <c r="B90" s="691"/>
      <c r="C90" s="707">
        <v>419.60300000000001</v>
      </c>
      <c r="D90" s="691"/>
      <c r="E90" s="707">
        <v>425.18</v>
      </c>
      <c r="F90" s="691"/>
      <c r="G90" s="707">
        <v>425.18</v>
      </c>
      <c r="H90" s="691"/>
      <c r="I90" s="707">
        <v>287.53699999999998</v>
      </c>
      <c r="J90" s="691"/>
      <c r="K90" s="707">
        <v>336.512</v>
      </c>
      <c r="L90" s="691"/>
      <c r="M90" s="707">
        <v>325.30399999999997</v>
      </c>
      <c r="N90" s="691"/>
      <c r="O90" s="707">
        <v>214.25299999999999</v>
      </c>
      <c r="P90" s="691"/>
      <c r="Q90" s="707">
        <v>455.94600000000003</v>
      </c>
      <c r="R90" s="691"/>
      <c r="S90" s="707">
        <v>421</v>
      </c>
      <c r="T90" s="691"/>
      <c r="U90" s="707">
        <v>419</v>
      </c>
      <c r="V90" s="691"/>
      <c r="W90" s="707">
        <v>408</v>
      </c>
      <c r="X90" s="691"/>
      <c r="Y90" s="707">
        <v>409.74900000000002</v>
      </c>
      <c r="Z90" s="691"/>
      <c r="AA90" s="707">
        <v>324.02999999999997</v>
      </c>
      <c r="AB90" s="691"/>
      <c r="AC90" s="707">
        <v>366.7</v>
      </c>
      <c r="AD90" s="691"/>
      <c r="AE90" s="690">
        <v>473.30500000000001</v>
      </c>
      <c r="AF90" s="720"/>
      <c r="AG90" s="696"/>
      <c r="AH90" s="696"/>
      <c r="AI90" s="696"/>
      <c r="AM90" s="896">
        <f>COUNTIF(A90:AB90,"U/P")</f>
        <v>0</v>
      </c>
      <c r="AN90" s="896">
        <f>COUNTIF(A90:AC90,"ROW")</f>
        <v>0</v>
      </c>
      <c r="AO90" s="896">
        <f>COUNTIF(B90:AD90,"C")</f>
        <v>0</v>
      </c>
      <c r="AP90" s="896"/>
      <c r="AQ90" s="896"/>
    </row>
    <row r="91" spans="1:43" ht="34" thickBot="1">
      <c r="A91" s="469"/>
      <c r="B91" s="710"/>
      <c r="C91" s="702"/>
      <c r="D91" s="710"/>
      <c r="E91" s="702"/>
      <c r="F91" s="710"/>
      <c r="G91" s="702"/>
      <c r="H91" s="710"/>
      <c r="I91" s="702"/>
      <c r="J91" s="710"/>
      <c r="K91" s="702"/>
      <c r="L91" s="710"/>
      <c r="M91" s="702"/>
      <c r="N91" s="710"/>
      <c r="O91" s="702"/>
      <c r="P91" s="710"/>
      <c r="Q91" s="702"/>
      <c r="R91" s="710"/>
      <c r="S91" s="702"/>
      <c r="T91" s="710"/>
      <c r="U91" s="702"/>
      <c r="V91" s="710"/>
      <c r="W91" s="702"/>
      <c r="X91" s="710"/>
      <c r="Y91" s="702"/>
      <c r="Z91" s="710"/>
      <c r="AA91" s="702"/>
      <c r="AB91" s="710"/>
      <c r="AC91" s="702"/>
      <c r="AD91" s="710"/>
      <c r="AE91" s="702"/>
      <c r="AF91" s="720"/>
      <c r="AG91" s="696"/>
      <c r="AH91" s="696"/>
      <c r="AI91" s="696"/>
    </row>
    <row r="92" spans="1:43" ht="33.5">
      <c r="A92" s="469"/>
      <c r="B92" s="698" t="s">
        <v>242</v>
      </c>
      <c r="C92" s="698"/>
      <c r="D92" s="698" t="s">
        <v>248</v>
      </c>
      <c r="E92" s="698"/>
      <c r="F92" s="698" t="s">
        <v>132</v>
      </c>
      <c r="G92" s="698"/>
      <c r="H92" s="699" t="s">
        <v>115</v>
      </c>
      <c r="I92" s="698"/>
      <c r="J92" s="698" t="s">
        <v>182</v>
      </c>
      <c r="K92" s="698"/>
      <c r="L92" s="698" t="s">
        <v>182</v>
      </c>
      <c r="M92" s="698"/>
      <c r="N92" s="698" t="s">
        <v>182</v>
      </c>
      <c r="O92" s="698"/>
      <c r="P92" s="699" t="s">
        <v>123</v>
      </c>
      <c r="Q92" s="700"/>
      <c r="R92" s="699" t="s">
        <v>123</v>
      </c>
      <c r="S92" s="698"/>
      <c r="T92" s="698" t="s">
        <v>185</v>
      </c>
      <c r="U92" s="698"/>
      <c r="V92" s="698" t="s">
        <v>185</v>
      </c>
      <c r="W92" s="698"/>
      <c r="X92" s="698" t="s">
        <v>248</v>
      </c>
      <c r="Y92" s="698"/>
      <c r="Z92" s="699" t="s">
        <v>119</v>
      </c>
      <c r="AA92" s="700"/>
      <c r="AB92" s="699" t="s">
        <v>128</v>
      </c>
      <c r="AC92" s="698"/>
      <c r="AD92" s="698" t="s">
        <v>248</v>
      </c>
      <c r="AE92" s="702"/>
      <c r="AF92" s="720"/>
      <c r="AG92" s="696"/>
      <c r="AH92" s="696"/>
      <c r="AI92" s="696"/>
    </row>
    <row r="93" spans="1:43" ht="37" customHeight="1">
      <c r="A93" s="1501" t="s">
        <v>1713</v>
      </c>
      <c r="B93" s="1502"/>
      <c r="C93" s="1502"/>
      <c r="D93" s="1502"/>
      <c r="E93" s="1502"/>
      <c r="F93" s="1502"/>
      <c r="G93" s="1502"/>
      <c r="H93" s="1502"/>
      <c r="I93" s="1502"/>
      <c r="J93" s="1502"/>
      <c r="K93" s="1502"/>
      <c r="L93" s="1502"/>
      <c r="M93" s="1502"/>
      <c r="N93" s="1502"/>
      <c r="O93" s="1502"/>
      <c r="P93" s="1502"/>
      <c r="Q93" s="1502"/>
      <c r="R93" s="1502"/>
      <c r="S93" s="1502"/>
      <c r="T93" s="1502"/>
      <c r="U93" s="1502"/>
      <c r="V93" s="1502"/>
      <c r="W93" s="1502"/>
      <c r="X93" s="1502"/>
      <c r="Y93" s="1502"/>
      <c r="Z93" s="1502"/>
      <c r="AA93" s="1502"/>
      <c r="AB93" s="1502"/>
      <c r="AC93" s="1502"/>
      <c r="AD93" s="1502"/>
      <c r="AE93" s="1502"/>
      <c r="AF93" s="1502"/>
      <c r="AG93" s="1502"/>
      <c r="AH93" s="1502"/>
      <c r="AI93" s="910"/>
      <c r="AJ93" s="910"/>
      <c r="AK93" s="910"/>
      <c r="AL93" s="910"/>
    </row>
    <row r="94" spans="1:43" ht="15" customHeight="1">
      <c r="A94" s="469"/>
      <c r="B94" s="716"/>
      <c r="C94" s="716"/>
      <c r="D94" s="716"/>
      <c r="E94" s="716"/>
      <c r="F94" s="716"/>
      <c r="G94" s="716"/>
      <c r="H94" s="716"/>
      <c r="I94" s="716"/>
      <c r="J94" s="716"/>
      <c r="K94" s="716"/>
      <c r="L94" s="716"/>
      <c r="M94" s="705"/>
      <c r="N94" s="716"/>
      <c r="O94" s="716"/>
      <c r="P94" s="716"/>
      <c r="Q94" s="716"/>
      <c r="R94" s="716"/>
      <c r="S94" s="716"/>
      <c r="T94" s="716"/>
      <c r="U94" s="716"/>
      <c r="V94" s="716"/>
      <c r="W94" s="716"/>
      <c r="X94" s="716"/>
      <c r="Y94" s="716"/>
      <c r="Z94" s="716"/>
      <c r="AA94" s="716"/>
      <c r="AB94" s="716"/>
      <c r="AC94" s="705"/>
      <c r="AD94" s="703"/>
      <c r="AE94" s="695"/>
      <c r="AF94" s="696"/>
      <c r="AG94" s="696"/>
    </row>
    <row r="95" spans="1:43" ht="18" customHeight="1">
      <c r="A95" s="469"/>
      <c r="B95" s="703"/>
      <c r="C95" s="705"/>
      <c r="D95" s="703"/>
      <c r="E95" s="705"/>
      <c r="F95" s="703"/>
      <c r="G95" s="705"/>
      <c r="H95" s="703"/>
      <c r="I95" s="705"/>
      <c r="J95" s="703"/>
      <c r="K95" s="705"/>
      <c r="L95" s="703"/>
      <c r="M95" s="705"/>
      <c r="N95" s="703"/>
      <c r="O95" s="705"/>
      <c r="P95" s="703"/>
      <c r="Q95" s="705"/>
      <c r="R95" s="703"/>
      <c r="S95" s="705"/>
      <c r="T95" s="703"/>
      <c r="U95" s="705"/>
      <c r="V95" s="703"/>
      <c r="W95" s="705"/>
      <c r="X95" s="703"/>
      <c r="Y95" s="705"/>
      <c r="Z95" s="703"/>
      <c r="AA95" s="705"/>
      <c r="AB95" s="703"/>
      <c r="AC95" s="705"/>
      <c r="AD95" s="703"/>
      <c r="AE95" s="695"/>
      <c r="AF95" s="696"/>
      <c r="AG95" s="696"/>
    </row>
    <row r="96" spans="1:43" ht="28" customHeight="1">
      <c r="A96" s="469"/>
      <c r="B96" s="684" t="s">
        <v>657</v>
      </c>
      <c r="C96" s="683"/>
      <c r="D96" s="684" t="s">
        <v>658</v>
      </c>
      <c r="E96" s="683"/>
      <c r="F96" s="684" t="s">
        <v>659</v>
      </c>
      <c r="G96" s="683"/>
      <c r="H96" s="684" t="s">
        <v>660</v>
      </c>
      <c r="I96" s="683"/>
      <c r="J96" s="684" t="s">
        <v>661</v>
      </c>
      <c r="K96" s="683"/>
      <c r="L96" s="684" t="s">
        <v>1421</v>
      </c>
      <c r="M96" s="720"/>
      <c r="N96" s="684" t="s">
        <v>662</v>
      </c>
      <c r="O96" s="683"/>
      <c r="P96" s="684" t="s">
        <v>664</v>
      </c>
      <c r="Q96" s="683"/>
      <c r="R96" s="684" t="s">
        <v>665</v>
      </c>
      <c r="S96" s="683"/>
      <c r="T96" s="684" t="s">
        <v>666</v>
      </c>
      <c r="U96" s="683"/>
      <c r="V96" s="684" t="s">
        <v>667</v>
      </c>
      <c r="W96" s="683"/>
      <c r="X96" s="684" t="s">
        <v>1643</v>
      </c>
      <c r="Y96" s="683"/>
      <c r="Z96" s="684" t="s">
        <v>1644</v>
      </c>
      <c r="AA96" s="683"/>
      <c r="AB96" s="684" t="s">
        <v>668</v>
      </c>
      <c r="AC96" s="683"/>
      <c r="AD96" s="684" t="s">
        <v>669</v>
      </c>
      <c r="AE96" s="683"/>
      <c r="AF96" s="684" t="s">
        <v>670</v>
      </c>
      <c r="AG96" s="705"/>
      <c r="AH96" s="696"/>
      <c r="AI96" s="696"/>
    </row>
    <row r="97" spans="1:45" ht="33.5">
      <c r="A97" s="469"/>
      <c r="B97" s="712"/>
      <c r="C97" s="702"/>
      <c r="D97" s="712"/>
      <c r="E97" s="702"/>
      <c r="F97" s="712"/>
      <c r="G97" s="702"/>
      <c r="H97" s="712"/>
      <c r="I97" s="702"/>
      <c r="J97" s="712"/>
      <c r="K97" s="702"/>
      <c r="L97" s="712"/>
      <c r="M97" s="720"/>
      <c r="N97" s="712"/>
      <c r="O97" s="702"/>
      <c r="P97" s="712"/>
      <c r="Q97" s="702"/>
      <c r="R97" s="712"/>
      <c r="S97" s="702"/>
      <c r="T97" s="712"/>
      <c r="U97" s="702"/>
      <c r="V97" s="712"/>
      <c r="W97" s="702"/>
      <c r="X97" s="712"/>
      <c r="Y97" s="702"/>
      <c r="Z97" s="712"/>
      <c r="AA97" s="702"/>
      <c r="AB97" s="712"/>
      <c r="AC97" s="702"/>
      <c r="AD97" s="712"/>
      <c r="AE97" s="702"/>
      <c r="AF97" s="712"/>
      <c r="AG97" s="705"/>
      <c r="AH97" s="696"/>
      <c r="AI97" s="696"/>
    </row>
    <row r="98" spans="1:45" ht="15.5" customHeight="1" thickBot="1">
      <c r="A98" s="469"/>
      <c r="B98" s="714"/>
      <c r="C98" s="702"/>
      <c r="D98" s="714"/>
      <c r="E98" s="702"/>
      <c r="F98" s="714"/>
      <c r="G98" s="702"/>
      <c r="H98" s="714"/>
      <c r="I98" s="702"/>
      <c r="J98" s="714"/>
      <c r="K98" s="702"/>
      <c r="L98" s="714"/>
      <c r="M98" s="720"/>
      <c r="N98" s="714"/>
      <c r="O98" s="702"/>
      <c r="P98" s="714"/>
      <c r="Q98" s="702"/>
      <c r="R98" s="714"/>
      <c r="S98" s="702"/>
      <c r="T98" s="714"/>
      <c r="U98" s="702"/>
      <c r="V98" s="714"/>
      <c r="W98" s="702"/>
      <c r="X98" s="714"/>
      <c r="Y98" s="702"/>
      <c r="Z98" s="714"/>
      <c r="AA98" s="702"/>
      <c r="AB98" s="714"/>
      <c r="AC98" s="702"/>
      <c r="AD98" s="714"/>
      <c r="AE98" s="702"/>
      <c r="AF98" s="714"/>
      <c r="AG98" s="705"/>
      <c r="AH98" s="696"/>
      <c r="AI98" s="696"/>
    </row>
    <row r="99" spans="1:45" ht="100" customHeight="1" thickBot="1">
      <c r="A99" s="469"/>
      <c r="B99" s="691"/>
      <c r="C99" s="707">
        <v>358.32100000000003</v>
      </c>
      <c r="D99" s="691"/>
      <c r="E99" s="707">
        <v>477.815</v>
      </c>
      <c r="F99" s="691"/>
      <c r="G99" s="707">
        <v>415.464</v>
      </c>
      <c r="H99" s="691"/>
      <c r="I99" s="707">
        <v>402.22899999999998</v>
      </c>
      <c r="J99" s="691"/>
      <c r="K99" s="707">
        <v>437.43400000000003</v>
      </c>
      <c r="L99" s="691"/>
      <c r="M99" s="720"/>
      <c r="N99" s="691"/>
      <c r="O99" s="707">
        <v>455.92200000000003</v>
      </c>
      <c r="P99" s="691"/>
      <c r="Q99" s="707">
        <v>419.76499999999999</v>
      </c>
      <c r="R99" s="691"/>
      <c r="S99" s="707">
        <v>418.91699999999997</v>
      </c>
      <c r="T99" s="691"/>
      <c r="U99" s="707">
        <v>386.48599999999999</v>
      </c>
      <c r="V99" s="691"/>
      <c r="W99" s="707">
        <v>376.53</v>
      </c>
      <c r="X99" s="691"/>
      <c r="Y99" s="707"/>
      <c r="Z99" s="691"/>
      <c r="AA99" s="707"/>
      <c r="AB99" s="691"/>
      <c r="AC99" s="707">
        <v>404.73899999999998</v>
      </c>
      <c r="AD99" s="691"/>
      <c r="AE99" s="707">
        <v>366.72899999999998</v>
      </c>
      <c r="AF99" s="691"/>
      <c r="AG99" s="708">
        <v>274.58699999999999</v>
      </c>
      <c r="AH99" s="696"/>
      <c r="AI99" s="696"/>
      <c r="AM99" s="896">
        <f>COUNTIF(A99:AB99,"U/P")</f>
        <v>0</v>
      </c>
      <c r="AN99" s="896">
        <f>COUNTIF(A99:AC99,"ROW")</f>
        <v>0</v>
      </c>
      <c r="AO99" s="896">
        <f>COUNTIF(B99:AC99,"C")</f>
        <v>0</v>
      </c>
      <c r="AP99" s="896"/>
      <c r="AQ99" s="896"/>
      <c r="AR99" s="896"/>
      <c r="AS99" s="896"/>
    </row>
    <row r="100" spans="1:45" ht="34" thickBot="1">
      <c r="A100" s="469"/>
      <c r="B100" s="710"/>
      <c r="C100" s="702"/>
      <c r="D100" s="710"/>
      <c r="E100" s="702"/>
      <c r="F100" s="710"/>
      <c r="G100" s="702"/>
      <c r="H100" s="710"/>
      <c r="I100" s="702"/>
      <c r="J100" s="710"/>
      <c r="K100" s="702"/>
      <c r="L100" s="710"/>
      <c r="M100" s="720"/>
      <c r="N100" s="710"/>
      <c r="O100" s="702"/>
      <c r="P100" s="710"/>
      <c r="Q100" s="702"/>
      <c r="R100" s="710"/>
      <c r="S100" s="702"/>
      <c r="T100" s="710"/>
      <c r="U100" s="702"/>
      <c r="V100" s="710"/>
      <c r="W100" s="702"/>
      <c r="X100" s="710"/>
      <c r="Y100" s="702"/>
      <c r="Z100" s="710"/>
      <c r="AA100" s="702"/>
      <c r="AB100" s="710"/>
      <c r="AC100" s="702"/>
      <c r="AD100" s="710"/>
      <c r="AE100" s="702"/>
      <c r="AF100" s="710"/>
      <c r="AG100" s="705"/>
      <c r="AH100" s="696"/>
      <c r="AI100" s="696"/>
    </row>
    <row r="101" spans="1:45" ht="33.5">
      <c r="A101" s="469"/>
      <c r="B101" s="699" t="s">
        <v>123</v>
      </c>
      <c r="C101" s="698"/>
      <c r="D101" s="698" t="s">
        <v>248</v>
      </c>
      <c r="E101" s="698"/>
      <c r="F101" s="699" t="s">
        <v>128</v>
      </c>
      <c r="G101" s="698"/>
      <c r="H101" s="698" t="s">
        <v>248</v>
      </c>
      <c r="I101" s="698"/>
      <c r="J101" s="698" t="s">
        <v>182</v>
      </c>
      <c r="K101" s="698"/>
      <c r="L101" s="698" t="s">
        <v>125</v>
      </c>
      <c r="M101" s="720"/>
      <c r="N101" s="699" t="s">
        <v>125</v>
      </c>
      <c r="O101" s="698"/>
      <c r="P101" s="699" t="s">
        <v>119</v>
      </c>
      <c r="Q101" s="698"/>
      <c r="R101" s="698" t="s">
        <v>167</v>
      </c>
      <c r="S101" s="698"/>
      <c r="T101" s="698" t="s">
        <v>185</v>
      </c>
      <c r="U101" s="698"/>
      <c r="V101" s="698" t="s">
        <v>248</v>
      </c>
      <c r="W101" s="698"/>
      <c r="X101" s="698" t="s">
        <v>182</v>
      </c>
      <c r="Y101" s="698"/>
      <c r="Z101" s="698" t="s">
        <v>248</v>
      </c>
      <c r="AA101" s="698"/>
      <c r="AB101" s="699" t="s">
        <v>188</v>
      </c>
      <c r="AC101" s="698"/>
      <c r="AD101" s="698" t="s">
        <v>242</v>
      </c>
      <c r="AE101" s="698"/>
      <c r="AF101" s="698" t="s">
        <v>182</v>
      </c>
      <c r="AG101" s="705"/>
      <c r="AH101" s="696"/>
      <c r="AI101" s="696"/>
    </row>
    <row r="102" spans="1:45" ht="35" customHeight="1">
      <c r="A102" s="1501" t="s">
        <v>1713</v>
      </c>
      <c r="B102" s="1502"/>
      <c r="C102" s="1502"/>
      <c r="D102" s="1502"/>
      <c r="E102" s="1502"/>
      <c r="F102" s="1502"/>
      <c r="G102" s="1502"/>
      <c r="H102" s="1502"/>
      <c r="I102" s="1502"/>
      <c r="J102" s="1502"/>
      <c r="K102" s="1502"/>
      <c r="L102" s="1502"/>
      <c r="M102" s="1502"/>
      <c r="N102" s="1502"/>
      <c r="O102" s="1502"/>
      <c r="P102" s="1502"/>
      <c r="Q102" s="1502"/>
      <c r="R102" s="1502"/>
      <c r="S102" s="1502"/>
      <c r="T102" s="1502"/>
      <c r="U102" s="1502"/>
      <c r="V102" s="1502"/>
      <c r="W102" s="1502"/>
      <c r="X102" s="1502"/>
      <c r="Y102" s="1502"/>
      <c r="Z102" s="1502"/>
      <c r="AA102" s="1502"/>
      <c r="AB102" s="1502"/>
      <c r="AC102" s="1502"/>
      <c r="AD102" s="1502"/>
      <c r="AE102" s="1502"/>
      <c r="AF102" s="1502"/>
      <c r="AG102" s="1502"/>
      <c r="AH102" s="1502"/>
      <c r="AI102" s="910"/>
      <c r="AJ102" s="910"/>
      <c r="AK102" s="910"/>
      <c r="AL102" s="910"/>
    </row>
    <row r="103" spans="1:45" ht="14.5" customHeight="1">
      <c r="A103" s="469"/>
      <c r="B103" s="716"/>
      <c r="C103" s="716"/>
      <c r="D103" s="716"/>
      <c r="E103" s="716"/>
      <c r="F103" s="716"/>
      <c r="G103" s="716"/>
      <c r="H103" s="716"/>
      <c r="I103" s="716"/>
      <c r="J103" s="716"/>
      <c r="K103" s="716"/>
      <c r="L103" s="716"/>
      <c r="M103" s="716"/>
      <c r="N103" s="716"/>
      <c r="O103" s="716"/>
      <c r="P103" s="716"/>
      <c r="Q103" s="716"/>
      <c r="R103" s="716"/>
      <c r="S103" s="716"/>
      <c r="T103" s="716"/>
      <c r="U103" s="716"/>
      <c r="V103" s="716"/>
      <c r="W103" s="716"/>
      <c r="X103" s="716"/>
      <c r="Y103" s="716"/>
      <c r="Z103" s="716"/>
      <c r="AA103" s="716"/>
      <c r="AB103" s="716"/>
      <c r="AC103" s="705"/>
      <c r="AD103" s="703"/>
      <c r="AE103" s="695"/>
      <c r="AF103" s="696"/>
      <c r="AG103" s="696"/>
    </row>
    <row r="104" spans="1:45" ht="33.5">
      <c r="A104" s="469"/>
      <c r="B104" s="684" t="s">
        <v>671</v>
      </c>
      <c r="C104" s="683"/>
      <c r="D104" s="684" t="s">
        <v>672</v>
      </c>
      <c r="E104" s="683"/>
      <c r="F104" s="684" t="s">
        <v>674</v>
      </c>
      <c r="G104" s="683"/>
      <c r="H104" s="683"/>
      <c r="I104" s="684" t="s">
        <v>677</v>
      </c>
      <c r="J104" s="683"/>
      <c r="K104" s="684" t="s">
        <v>678</v>
      </c>
      <c r="L104" s="683"/>
      <c r="M104" s="684" t="s">
        <v>679</v>
      </c>
      <c r="N104" s="683"/>
      <c r="O104" s="684" t="s">
        <v>680</v>
      </c>
      <c r="P104" s="683"/>
      <c r="Q104" s="684" t="s">
        <v>681</v>
      </c>
      <c r="R104" s="683"/>
      <c r="S104" s="684" t="s">
        <v>682</v>
      </c>
      <c r="T104" s="683"/>
      <c r="U104" s="684" t="s">
        <v>683</v>
      </c>
      <c r="V104" s="683"/>
      <c r="W104" s="684" t="s">
        <v>684</v>
      </c>
      <c r="X104" s="702"/>
      <c r="Y104" s="703"/>
      <c r="Z104" s="696"/>
      <c r="AA104" s="696"/>
      <c r="AB104" s="696"/>
    </row>
    <row r="105" spans="1:45" ht="33.5">
      <c r="A105" s="469"/>
      <c r="B105" s="712"/>
      <c r="C105" s="698"/>
      <c r="D105" s="712"/>
      <c r="E105" s="702"/>
      <c r="F105" s="712"/>
      <c r="G105" s="702"/>
      <c r="H105" s="702"/>
      <c r="I105" s="712"/>
      <c r="J105" s="702"/>
      <c r="K105" s="712"/>
      <c r="L105" s="713"/>
      <c r="M105" s="712"/>
      <c r="N105" s="713"/>
      <c r="O105" s="712"/>
      <c r="P105" s="702"/>
      <c r="Q105" s="712"/>
      <c r="R105" s="702"/>
      <c r="S105" s="712"/>
      <c r="T105" s="702"/>
      <c r="U105" s="712"/>
      <c r="V105" s="702"/>
      <c r="W105" s="712"/>
      <c r="X105" s="702"/>
      <c r="Y105" s="703"/>
      <c r="Z105" s="696"/>
      <c r="AA105" s="696"/>
      <c r="AB105" s="696"/>
    </row>
    <row r="106" spans="1:45" ht="15.5" customHeight="1" thickBot="1">
      <c r="A106" s="469"/>
      <c r="B106" s="714"/>
      <c r="C106" s="702"/>
      <c r="D106" s="714"/>
      <c r="E106" s="702"/>
      <c r="F106" s="714"/>
      <c r="G106" s="702"/>
      <c r="H106" s="702"/>
      <c r="I106" s="714"/>
      <c r="J106" s="702"/>
      <c r="K106" s="714"/>
      <c r="L106" s="702"/>
      <c r="M106" s="714"/>
      <c r="N106" s="702"/>
      <c r="O106" s="714"/>
      <c r="P106" s="702"/>
      <c r="Q106" s="714"/>
      <c r="R106" s="702"/>
      <c r="S106" s="714"/>
      <c r="T106" s="702"/>
      <c r="U106" s="714"/>
      <c r="V106" s="702"/>
      <c r="W106" s="714"/>
      <c r="X106" s="702"/>
      <c r="Y106" s="703"/>
      <c r="Z106" s="696"/>
      <c r="AA106" s="696"/>
      <c r="AB106" s="696"/>
    </row>
    <row r="107" spans="1:45" ht="100" customHeight="1" thickBot="1">
      <c r="A107" s="469"/>
      <c r="B107" s="691"/>
      <c r="C107" s="707">
        <v>341.66800000000001</v>
      </c>
      <c r="D107" s="691"/>
      <c r="E107" s="707">
        <v>425.863</v>
      </c>
      <c r="F107" s="691"/>
      <c r="G107" s="707">
        <v>370.45</v>
      </c>
      <c r="H107" s="707">
        <v>397.61</v>
      </c>
      <c r="I107" s="691"/>
      <c r="J107" s="707">
        <v>413.4</v>
      </c>
      <c r="K107" s="691"/>
      <c r="L107" s="690">
        <v>423.65</v>
      </c>
      <c r="M107" s="691"/>
      <c r="N107" s="707">
        <v>415.97</v>
      </c>
      <c r="O107" s="691"/>
      <c r="P107" s="707">
        <v>415.35</v>
      </c>
      <c r="Q107" s="691"/>
      <c r="R107" s="690">
        <v>394.875</v>
      </c>
      <c r="S107" s="1133" t="s">
        <v>390</v>
      </c>
      <c r="T107" s="690">
        <v>429.62</v>
      </c>
      <c r="U107" s="691"/>
      <c r="V107" s="690">
        <v>381.90499999999997</v>
      </c>
      <c r="W107" s="691"/>
      <c r="X107" s="690">
        <v>405.26</v>
      </c>
      <c r="Y107" s="703"/>
      <c r="Z107" s="696"/>
      <c r="AA107" s="696"/>
      <c r="AB107" s="696"/>
      <c r="AH107" s="896">
        <f>COUNTIF(B107:W107,"U/P")</f>
        <v>1</v>
      </c>
      <c r="AI107" s="896">
        <f>COUNTIF(C107:X107,"ROW")</f>
        <v>0</v>
      </c>
      <c r="AJ107" s="896">
        <f>COUNTIF(D107:Y107,"C")</f>
        <v>0</v>
      </c>
      <c r="AM107" s="896">
        <f>COUNTIF(B107:AB107,"U/P")</f>
        <v>1</v>
      </c>
      <c r="AN107" s="896">
        <f>COUNTIF(C107:AC107,"ROW")</f>
        <v>0</v>
      </c>
      <c r="AO107" s="896">
        <f>COUNTIF(D107:AD107,"C")</f>
        <v>0</v>
      </c>
    </row>
    <row r="108" spans="1:45" ht="34" thickBot="1">
      <c r="A108" s="469"/>
      <c r="B108" s="710"/>
      <c r="C108" s="702"/>
      <c r="D108" s="710"/>
      <c r="E108" s="702"/>
      <c r="F108" s="710"/>
      <c r="G108" s="702"/>
      <c r="H108" s="702"/>
      <c r="I108" s="710"/>
      <c r="J108" s="702"/>
      <c r="K108" s="710"/>
      <c r="L108" s="702"/>
      <c r="M108" s="710"/>
      <c r="N108" s="702"/>
      <c r="O108" s="710"/>
      <c r="P108" s="702"/>
      <c r="Q108" s="710"/>
      <c r="R108" s="702"/>
      <c r="S108" s="784" t="s">
        <v>228</v>
      </c>
      <c r="T108" s="702"/>
      <c r="U108" s="710"/>
      <c r="V108" s="702"/>
      <c r="W108" s="710"/>
      <c r="X108" s="702"/>
      <c r="Y108" s="703"/>
      <c r="Z108" s="696"/>
      <c r="AA108" s="696"/>
      <c r="AB108" s="696"/>
    </row>
    <row r="109" spans="1:45" ht="33.5">
      <c r="A109" s="469"/>
      <c r="B109" s="698" t="s">
        <v>182</v>
      </c>
      <c r="C109" s="698"/>
      <c r="D109" s="698" t="s">
        <v>242</v>
      </c>
      <c r="E109" s="698"/>
      <c r="F109" s="699" t="s">
        <v>143</v>
      </c>
      <c r="G109" s="698"/>
      <c r="H109" s="698"/>
      <c r="I109" s="699" t="s">
        <v>119</v>
      </c>
      <c r="J109" s="698"/>
      <c r="K109" s="698" t="s">
        <v>248</v>
      </c>
      <c r="L109" s="698"/>
      <c r="M109" s="698" t="s">
        <v>182</v>
      </c>
      <c r="N109" s="698"/>
      <c r="O109" s="698" t="s">
        <v>248</v>
      </c>
      <c r="P109" s="698"/>
      <c r="Q109" s="699" t="s">
        <v>137</v>
      </c>
      <c r="R109" s="698"/>
      <c r="S109" s="698" t="s">
        <v>248</v>
      </c>
      <c r="T109" s="698"/>
      <c r="U109" s="728" t="s">
        <v>1273</v>
      </c>
      <c r="V109" s="698"/>
      <c r="W109" s="698" t="s">
        <v>248</v>
      </c>
      <c r="X109" s="702"/>
      <c r="Y109" s="703"/>
      <c r="Z109" s="696"/>
      <c r="AA109" s="696"/>
      <c r="AB109" s="696"/>
    </row>
    <row r="110" spans="1:45" ht="69" customHeight="1">
      <c r="A110" s="469"/>
      <c r="B110" s="698"/>
      <c r="C110" s="698"/>
      <c r="D110" s="698"/>
      <c r="E110" s="698"/>
      <c r="F110" s="698"/>
      <c r="G110" s="698"/>
      <c r="H110" s="698"/>
      <c r="I110" s="698"/>
      <c r="J110" s="698"/>
      <c r="K110" s="698"/>
      <c r="L110" s="698"/>
      <c r="M110" s="729" t="s">
        <v>1686</v>
      </c>
      <c r="N110" s="698"/>
      <c r="O110" s="698"/>
      <c r="P110" s="698"/>
      <c r="Q110" s="698"/>
      <c r="R110" s="729" t="s">
        <v>1622</v>
      </c>
      <c r="S110" s="698"/>
      <c r="T110" s="698"/>
      <c r="U110" s="698"/>
      <c r="V110" s="698"/>
      <c r="W110" s="1506" t="s">
        <v>1621</v>
      </c>
      <c r="X110" s="1506"/>
      <c r="Y110" s="1506"/>
      <c r="Z110" s="729"/>
      <c r="AA110" s="698"/>
      <c r="AB110" s="730"/>
      <c r="AC110" s="702"/>
      <c r="AD110" s="703"/>
      <c r="AE110" s="696"/>
      <c r="AF110" s="696"/>
      <c r="AG110" s="696"/>
    </row>
    <row r="111" spans="1:45" ht="41" customHeight="1">
      <c r="A111" s="1501" t="s">
        <v>1518</v>
      </c>
      <c r="B111" s="1502"/>
      <c r="C111" s="1502"/>
      <c r="D111" s="1502"/>
      <c r="E111" s="1502"/>
      <c r="F111" s="1502"/>
      <c r="G111" s="1502"/>
      <c r="H111" s="1502"/>
      <c r="I111" s="1502"/>
      <c r="J111" s="1502"/>
      <c r="K111" s="1502"/>
      <c r="L111" s="1502"/>
      <c r="M111" s="1502"/>
      <c r="N111" s="1502"/>
      <c r="O111" s="1502"/>
      <c r="P111" s="1502"/>
      <c r="Q111" s="1502"/>
      <c r="R111" s="1502"/>
      <c r="S111" s="1502"/>
      <c r="T111" s="1502"/>
      <c r="U111" s="1502"/>
      <c r="V111" s="1502"/>
      <c r="W111" s="1502"/>
      <c r="X111" s="1502"/>
      <c r="Y111" s="1502"/>
      <c r="Z111" s="1502"/>
      <c r="AA111" s="1502"/>
      <c r="AB111" s="1502"/>
      <c r="AC111" s="1502"/>
      <c r="AD111" s="1502"/>
      <c r="AE111" s="1502"/>
      <c r="AF111" s="1502"/>
      <c r="AG111" s="1502"/>
      <c r="AH111" s="1502"/>
      <c r="AI111" s="907"/>
      <c r="AJ111" s="907"/>
      <c r="AK111" s="907"/>
      <c r="AL111" s="907"/>
    </row>
    <row r="112" spans="1:45" ht="67" customHeight="1">
      <c r="A112" s="469"/>
      <c r="B112" s="684" t="s">
        <v>685</v>
      </c>
      <c r="C112" s="683"/>
      <c r="D112" s="684" t="s">
        <v>686</v>
      </c>
      <c r="E112" s="683"/>
      <c r="F112" s="684" t="s">
        <v>687</v>
      </c>
      <c r="G112" s="683"/>
      <c r="H112" s="684" t="s">
        <v>688</v>
      </c>
      <c r="I112" s="683"/>
      <c r="J112" s="684" t="s">
        <v>689</v>
      </c>
      <c r="K112" s="731" t="s">
        <v>1512</v>
      </c>
      <c r="L112" s="1505" t="s">
        <v>690</v>
      </c>
      <c r="M112" s="1505"/>
      <c r="N112" s="684" t="s">
        <v>691</v>
      </c>
      <c r="O112" s="683"/>
      <c r="P112" s="1505" t="s">
        <v>692</v>
      </c>
      <c r="Q112" s="1505"/>
      <c r="R112" s="684" t="s">
        <v>693</v>
      </c>
      <c r="S112" s="683"/>
      <c r="T112" s="684" t="s">
        <v>694</v>
      </c>
      <c r="U112" s="683"/>
      <c r="V112" s="684" t="s">
        <v>695</v>
      </c>
      <c r="W112" s="683"/>
      <c r="X112" s="684" t="s">
        <v>696</v>
      </c>
      <c r="Y112" s="683"/>
      <c r="Z112" s="1505" t="s">
        <v>697</v>
      </c>
      <c r="AA112" s="1505"/>
      <c r="AB112" s="684" t="s">
        <v>698</v>
      </c>
      <c r="AC112" s="702"/>
      <c r="AD112" s="703"/>
      <c r="AE112" s="696"/>
      <c r="AF112" s="696"/>
      <c r="AG112" s="696"/>
    </row>
    <row r="113" spans="1:41" ht="33.5">
      <c r="A113" s="469"/>
      <c r="B113" s="712"/>
      <c r="C113" s="702"/>
      <c r="D113" s="712"/>
      <c r="E113" s="702"/>
      <c r="F113" s="712"/>
      <c r="G113" s="702"/>
      <c r="H113" s="712"/>
      <c r="I113" s="702"/>
      <c r="J113" s="712"/>
      <c r="K113" s="702"/>
      <c r="L113" s="712"/>
      <c r="M113" s="702"/>
      <c r="N113" s="712"/>
      <c r="O113" s="702"/>
      <c r="P113" s="712"/>
      <c r="Q113" s="702"/>
      <c r="R113" s="712"/>
      <c r="S113" s="702"/>
      <c r="T113" s="712"/>
      <c r="U113" s="702"/>
      <c r="V113" s="712"/>
      <c r="W113" s="702"/>
      <c r="X113" s="712"/>
      <c r="Y113" s="702"/>
      <c r="Z113" s="712"/>
      <c r="AA113" s="702"/>
      <c r="AB113" s="712"/>
      <c r="AC113" s="702"/>
      <c r="AD113" s="703"/>
      <c r="AE113" s="696"/>
      <c r="AF113" s="696"/>
      <c r="AG113" s="696"/>
    </row>
    <row r="114" spans="1:41" ht="14" customHeight="1" thickBot="1">
      <c r="A114" s="469"/>
      <c r="B114" s="714"/>
      <c r="C114" s="702"/>
      <c r="D114" s="714"/>
      <c r="E114" s="702"/>
      <c r="F114" s="714"/>
      <c r="G114" s="702"/>
      <c r="H114" s="714"/>
      <c r="I114" s="702"/>
      <c r="J114" s="714"/>
      <c r="K114" s="702"/>
      <c r="L114" s="714"/>
      <c r="M114" s="702"/>
      <c r="N114" s="714"/>
      <c r="O114" s="702"/>
      <c r="P114" s="714"/>
      <c r="Q114" s="702"/>
      <c r="R114" s="714"/>
      <c r="S114" s="702"/>
      <c r="T114" s="714"/>
      <c r="U114" s="702"/>
      <c r="V114" s="714"/>
      <c r="W114" s="702"/>
      <c r="X114" s="714"/>
      <c r="Y114" s="702"/>
      <c r="Z114" s="714"/>
      <c r="AA114" s="702"/>
      <c r="AB114" s="714"/>
      <c r="AC114" s="702"/>
      <c r="AD114" s="703"/>
      <c r="AE114" s="696"/>
      <c r="AF114" s="696"/>
      <c r="AG114" s="696"/>
    </row>
    <row r="115" spans="1:41" ht="100" customHeight="1" thickBot="1">
      <c r="A115" s="469"/>
      <c r="B115" s="691"/>
      <c r="C115" s="707">
        <v>338.15600000000001</v>
      </c>
      <c r="D115" s="691"/>
      <c r="E115" s="707">
        <v>288.303</v>
      </c>
      <c r="F115" s="691"/>
      <c r="G115" s="707">
        <v>297.14999999999998</v>
      </c>
      <c r="H115" s="691"/>
      <c r="I115" s="707">
        <v>195.90299999999999</v>
      </c>
      <c r="J115" s="691"/>
      <c r="K115" s="707">
        <v>249.66</v>
      </c>
      <c r="L115" s="691"/>
      <c r="M115" s="707">
        <v>374.48</v>
      </c>
      <c r="N115" s="691"/>
      <c r="O115" s="707">
        <v>430.3</v>
      </c>
      <c r="P115" s="691"/>
      <c r="Q115" s="707">
        <v>404.38600000000002</v>
      </c>
      <c r="R115" s="691"/>
      <c r="S115" s="707">
        <v>341.423</v>
      </c>
      <c r="T115" s="691"/>
      <c r="U115" s="707">
        <v>305.40100000000001</v>
      </c>
      <c r="V115" s="691"/>
      <c r="W115" s="707">
        <v>319.98099999999999</v>
      </c>
      <c r="X115" s="691"/>
      <c r="Y115" s="707">
        <v>345.62099999999998</v>
      </c>
      <c r="Z115" s="691"/>
      <c r="AA115" s="707">
        <v>223.15100000000001</v>
      </c>
      <c r="AB115" s="691"/>
      <c r="AC115" s="707">
        <v>393.81700000000001</v>
      </c>
      <c r="AD115" s="703"/>
      <c r="AE115" s="696"/>
      <c r="AF115" s="696"/>
      <c r="AG115" s="696"/>
      <c r="AM115" s="896">
        <f>COUNTIF(B115:AB115,"U/P")</f>
        <v>0</v>
      </c>
      <c r="AN115" s="896">
        <f>COUNTIF(C115:AC115,"ROW")</f>
        <v>0</v>
      </c>
      <c r="AO115" s="896">
        <f>COUNTIF(D115:AD115,"C")</f>
        <v>0</v>
      </c>
    </row>
    <row r="116" spans="1:41" ht="34" thickBot="1">
      <c r="A116" s="469"/>
      <c r="B116" s="710"/>
      <c r="C116" s="702"/>
      <c r="D116" s="710"/>
      <c r="E116" s="702"/>
      <c r="F116" s="710"/>
      <c r="G116" s="702"/>
      <c r="H116" s="710"/>
      <c r="I116" s="702"/>
      <c r="J116" s="710"/>
      <c r="K116" s="702"/>
      <c r="L116" s="710"/>
      <c r="M116" s="702"/>
      <c r="N116" s="710"/>
      <c r="O116" s="702"/>
      <c r="P116" s="710"/>
      <c r="Q116" s="702"/>
      <c r="R116" s="710"/>
      <c r="S116" s="702"/>
      <c r="T116" s="710"/>
      <c r="U116" s="702"/>
      <c r="V116" s="710"/>
      <c r="W116" s="702"/>
      <c r="X116" s="710"/>
      <c r="Y116" s="702"/>
      <c r="Z116" s="710"/>
      <c r="AA116" s="702"/>
      <c r="AB116" s="710"/>
      <c r="AC116" s="702"/>
      <c r="AD116" s="703"/>
      <c r="AE116" s="696"/>
      <c r="AF116" s="696"/>
      <c r="AG116" s="696"/>
    </row>
    <row r="117" spans="1:41" ht="33.5">
      <c r="A117" s="469"/>
      <c r="B117" s="698" t="s">
        <v>248</v>
      </c>
      <c r="C117" s="698"/>
      <c r="D117" s="698" t="s">
        <v>182</v>
      </c>
      <c r="E117" s="698"/>
      <c r="F117" s="698" t="s">
        <v>185</v>
      </c>
      <c r="G117" s="698"/>
      <c r="H117" s="698" t="s">
        <v>182</v>
      </c>
      <c r="I117" s="698"/>
      <c r="J117" s="699" t="s">
        <v>128</v>
      </c>
      <c r="K117" s="698"/>
      <c r="L117" s="699" t="s">
        <v>132</v>
      </c>
      <c r="M117" s="698"/>
      <c r="N117" s="698" t="s">
        <v>248</v>
      </c>
      <c r="O117" s="698"/>
      <c r="P117" s="699" t="s">
        <v>147</v>
      </c>
      <c r="Q117" s="698"/>
      <c r="R117" s="698" t="s">
        <v>182</v>
      </c>
      <c r="S117" s="698"/>
      <c r="T117" s="698" t="s">
        <v>185</v>
      </c>
      <c r="U117" s="698"/>
      <c r="V117" s="698" t="s">
        <v>182</v>
      </c>
      <c r="W117" s="698"/>
      <c r="X117" s="698" t="s">
        <v>242</v>
      </c>
      <c r="Y117" s="698"/>
      <c r="Z117" s="699" t="s">
        <v>143</v>
      </c>
      <c r="AA117" s="698"/>
      <c r="AB117" s="699" t="s">
        <v>147</v>
      </c>
      <c r="AC117" s="702"/>
      <c r="AD117" s="703"/>
      <c r="AE117" s="696"/>
      <c r="AF117" s="696"/>
      <c r="AG117" s="696"/>
    </row>
    <row r="118" spans="1:41" ht="37.5" customHeight="1">
      <c r="A118" s="729" t="s">
        <v>1621</v>
      </c>
      <c r="C118" s="702"/>
      <c r="D118" s="729" t="s">
        <v>366</v>
      </c>
      <c r="E118" s="702"/>
      <c r="F118" s="729" t="s">
        <v>1623</v>
      </c>
      <c r="G118" s="702"/>
      <c r="H118" s="729" t="s">
        <v>366</v>
      </c>
      <c r="I118" s="702"/>
      <c r="J118" s="720"/>
      <c r="K118" s="702"/>
      <c r="L118" s="729" t="s">
        <v>1524</v>
      </c>
      <c r="M118" s="702"/>
      <c r="N118" s="729" t="s">
        <v>1524</v>
      </c>
      <c r="O118" s="702"/>
      <c r="P118" s="720"/>
      <c r="Q118" s="702"/>
      <c r="R118" s="720"/>
      <c r="S118" s="702"/>
      <c r="T118" s="720"/>
      <c r="U118" s="702"/>
      <c r="V118" s="720"/>
      <c r="W118" s="702"/>
      <c r="X118" s="720"/>
      <c r="Y118" s="702"/>
      <c r="Z118" s="720"/>
      <c r="AA118" s="702"/>
      <c r="AB118" s="720"/>
      <c r="AC118" s="702"/>
      <c r="AD118" s="703"/>
      <c r="AE118" s="696"/>
      <c r="AF118" s="696"/>
      <c r="AG118" s="696"/>
    </row>
    <row r="119" spans="1:41" ht="35" customHeight="1">
      <c r="A119" s="1501" t="s">
        <v>1518</v>
      </c>
      <c r="B119" s="1502"/>
      <c r="C119" s="1502"/>
      <c r="D119" s="1502"/>
      <c r="E119" s="1502"/>
      <c r="F119" s="1502"/>
      <c r="G119" s="1502"/>
      <c r="H119" s="1502"/>
      <c r="I119" s="1502"/>
      <c r="J119" s="1502"/>
      <c r="K119" s="1502"/>
      <c r="L119" s="1502"/>
      <c r="M119" s="1502"/>
      <c r="N119" s="1502"/>
      <c r="O119" s="1502"/>
      <c r="P119" s="1502"/>
      <c r="Q119" s="1500" t="s">
        <v>1714</v>
      </c>
      <c r="R119" s="1500"/>
      <c r="S119" s="1500"/>
      <c r="T119" s="1500"/>
      <c r="U119" s="1500"/>
      <c r="V119" s="1500"/>
      <c r="W119" s="1500"/>
      <c r="X119" s="1500"/>
      <c r="Y119" s="1500"/>
      <c r="Z119" s="1500"/>
      <c r="AA119" s="1500"/>
      <c r="AB119" s="1500"/>
      <c r="AC119" s="1500"/>
      <c r="AD119" s="1500"/>
      <c r="AE119" s="1500"/>
      <c r="AF119" s="1500"/>
      <c r="AG119" s="1067"/>
      <c r="AH119" s="1067"/>
      <c r="AI119" s="910"/>
      <c r="AJ119" s="910"/>
      <c r="AK119" s="910"/>
      <c r="AL119" s="910"/>
    </row>
    <row r="120" spans="1:41" ht="31" customHeight="1">
      <c r="A120" s="469"/>
      <c r="B120" s="684" t="s">
        <v>699</v>
      </c>
      <c r="C120" s="683"/>
      <c r="D120" s="684" t="s">
        <v>700</v>
      </c>
      <c r="E120" s="683"/>
      <c r="F120" s="684" t="s">
        <v>701</v>
      </c>
      <c r="G120" s="683"/>
      <c r="H120" s="684" t="s">
        <v>702</v>
      </c>
      <c r="I120" s="683"/>
      <c r="J120" s="684" t="s">
        <v>1275</v>
      </c>
      <c r="K120" s="683"/>
      <c r="L120" s="684" t="s">
        <v>310</v>
      </c>
      <c r="M120" s="683"/>
      <c r="N120" s="684" t="s">
        <v>272</v>
      </c>
      <c r="O120" s="683"/>
      <c r="P120" s="684" t="s">
        <v>273</v>
      </c>
      <c r="Q120" s="683"/>
      <c r="R120" s="684" t="s">
        <v>311</v>
      </c>
      <c r="S120" s="683"/>
      <c r="T120" s="684" t="s">
        <v>312</v>
      </c>
      <c r="U120" s="683"/>
      <c r="V120" s="684" t="s">
        <v>313</v>
      </c>
      <c r="W120" s="683"/>
      <c r="X120" s="684" t="s">
        <v>314</v>
      </c>
      <c r="Y120" s="685" t="s">
        <v>1513</v>
      </c>
      <c r="Z120" s="684" t="s">
        <v>315</v>
      </c>
      <c r="AA120" s="683"/>
      <c r="AB120" s="684" t="s">
        <v>316</v>
      </c>
      <c r="AC120" s="702"/>
      <c r="AD120" s="720"/>
      <c r="AE120" s="723"/>
      <c r="AF120" s="723"/>
      <c r="AG120" s="723"/>
      <c r="AH120" s="720"/>
      <c r="AI120" s="720"/>
      <c r="AJ120" s="720"/>
      <c r="AK120" s="720"/>
      <c r="AL120" s="720"/>
    </row>
    <row r="121" spans="1:41" ht="33.5">
      <c r="A121" s="469"/>
      <c r="B121" s="712"/>
      <c r="C121" s="702"/>
      <c r="D121" s="712"/>
      <c r="E121" s="702"/>
      <c r="F121" s="712"/>
      <c r="G121" s="702"/>
      <c r="H121" s="712"/>
      <c r="I121" s="702"/>
      <c r="J121" s="712"/>
      <c r="K121" s="702"/>
      <c r="L121" s="712"/>
      <c r="M121" s="702"/>
      <c r="N121" s="712"/>
      <c r="O121" s="702"/>
      <c r="P121" s="712"/>
      <c r="Q121" s="702"/>
      <c r="R121" s="712"/>
      <c r="S121" s="702"/>
      <c r="T121" s="712"/>
      <c r="U121" s="702"/>
      <c r="V121" s="712"/>
      <c r="W121" s="702"/>
      <c r="X121" s="712"/>
      <c r="Y121" s="713"/>
      <c r="Z121" s="712"/>
      <c r="AA121" s="713"/>
      <c r="AB121" s="712"/>
      <c r="AC121" s="702"/>
      <c r="AD121" s="720"/>
      <c r="AE121" s="723"/>
      <c r="AF121" s="723"/>
      <c r="AG121" s="723"/>
      <c r="AH121" s="720"/>
      <c r="AI121" s="720"/>
      <c r="AJ121" s="720"/>
      <c r="AK121" s="720"/>
      <c r="AL121" s="720"/>
    </row>
    <row r="122" spans="1:41" ht="13" customHeight="1" thickBot="1">
      <c r="A122" s="469"/>
      <c r="B122" s="714"/>
      <c r="C122" s="702"/>
      <c r="D122" s="714"/>
      <c r="E122" s="702"/>
      <c r="F122" s="714"/>
      <c r="G122" s="702"/>
      <c r="H122" s="714"/>
      <c r="I122" s="702"/>
      <c r="J122" s="714"/>
      <c r="K122" s="702"/>
      <c r="L122" s="714"/>
      <c r="M122" s="702"/>
      <c r="N122" s="714"/>
      <c r="O122" s="702"/>
      <c r="P122" s="714"/>
      <c r="Q122" s="702"/>
      <c r="R122" s="714"/>
      <c r="S122" s="702"/>
      <c r="T122" s="714"/>
      <c r="U122" s="702"/>
      <c r="V122" s="714"/>
      <c r="W122" s="702"/>
      <c r="X122" s="714"/>
      <c r="Y122" s="702"/>
      <c r="Z122" s="714"/>
      <c r="AA122" s="702"/>
      <c r="AB122" s="714"/>
      <c r="AC122" s="702"/>
      <c r="AD122" s="720"/>
      <c r="AE122" s="723"/>
      <c r="AF122" s="723"/>
      <c r="AG122" s="723"/>
      <c r="AH122" s="720"/>
      <c r="AI122" s="720"/>
      <c r="AJ122" s="720"/>
      <c r="AK122" s="720"/>
      <c r="AL122" s="720"/>
    </row>
    <row r="123" spans="1:41" ht="100" customHeight="1" thickBot="1">
      <c r="A123" s="469"/>
      <c r="B123" s="691"/>
      <c r="C123" s="707">
        <v>435.13600000000002</v>
      </c>
      <c r="D123" s="691" t="s">
        <v>390</v>
      </c>
      <c r="E123" s="707">
        <v>403.209</v>
      </c>
      <c r="F123" s="733"/>
      <c r="G123" s="707">
        <v>422.55399999999997</v>
      </c>
      <c r="H123" s="691"/>
      <c r="I123" s="707">
        <v>353.48399999999998</v>
      </c>
      <c r="J123" s="691"/>
      <c r="K123" s="707">
        <v>274.89999999999998</v>
      </c>
      <c r="L123" s="691"/>
      <c r="M123" s="707">
        <v>465.03300000000002</v>
      </c>
      <c r="N123" s="732"/>
      <c r="O123" s="707">
        <v>373.98</v>
      </c>
      <c r="P123" s="733"/>
      <c r="Q123" s="707">
        <v>416.86399999999998</v>
      </c>
      <c r="R123" s="733"/>
      <c r="S123" s="707">
        <v>381.01900000000001</v>
      </c>
      <c r="T123" s="691"/>
      <c r="U123" s="707">
        <v>391.52</v>
      </c>
      <c r="V123" s="691"/>
      <c r="W123" s="707">
        <v>374.93</v>
      </c>
      <c r="X123" s="691"/>
      <c r="Y123" s="690">
        <v>248.57</v>
      </c>
      <c r="Z123" s="691"/>
      <c r="AA123" s="707">
        <v>384.17</v>
      </c>
      <c r="AB123" s="691"/>
      <c r="AC123" s="690">
        <v>330.76</v>
      </c>
      <c r="AD123" s="720"/>
      <c r="AE123" s="723"/>
      <c r="AF123" s="723"/>
      <c r="AG123" s="723"/>
      <c r="AH123" s="720"/>
      <c r="AI123" s="720"/>
      <c r="AJ123" s="720"/>
      <c r="AK123" s="720"/>
      <c r="AL123" s="720"/>
      <c r="AM123" s="896">
        <f>COUNTIF(B123:AB123,"U/P")</f>
        <v>1</v>
      </c>
      <c r="AN123" s="896">
        <f>COUNTIF(C123:AC123,"ROW")</f>
        <v>0</v>
      </c>
      <c r="AO123" s="896">
        <f>COUNTIF(D123:AD123,"C")</f>
        <v>0</v>
      </c>
    </row>
    <row r="124" spans="1:41" ht="34" thickBot="1">
      <c r="A124" s="469"/>
      <c r="B124" s="710"/>
      <c r="C124" s="702"/>
      <c r="D124" s="784" t="s">
        <v>228</v>
      </c>
      <c r="E124" s="702"/>
      <c r="F124" s="710"/>
      <c r="G124" s="702"/>
      <c r="H124" s="710"/>
      <c r="I124" s="702"/>
      <c r="J124" s="710"/>
      <c r="K124" s="702"/>
      <c r="L124" s="710"/>
      <c r="M124" s="702"/>
      <c r="N124" s="710"/>
      <c r="O124" s="702"/>
      <c r="P124" s="710"/>
      <c r="Q124" s="702"/>
      <c r="R124" s="710"/>
      <c r="S124" s="702"/>
      <c r="T124" s="710"/>
      <c r="U124" s="702"/>
      <c r="V124" s="710"/>
      <c r="W124" s="702"/>
      <c r="X124" s="710"/>
      <c r="Y124" s="702"/>
      <c r="Z124" s="710"/>
      <c r="AA124" s="702"/>
      <c r="AB124" s="710"/>
      <c r="AC124" s="702"/>
      <c r="AD124" s="720"/>
      <c r="AE124" s="723"/>
      <c r="AF124" s="723"/>
      <c r="AG124" s="723"/>
      <c r="AH124" s="720"/>
      <c r="AI124" s="720"/>
      <c r="AJ124" s="720"/>
      <c r="AK124" s="720"/>
      <c r="AL124" s="720"/>
    </row>
    <row r="125" spans="1:41" ht="33.5">
      <c r="A125" s="469"/>
      <c r="B125" s="715" t="s">
        <v>248</v>
      </c>
      <c r="C125" s="698"/>
      <c r="D125" s="715" t="s">
        <v>248</v>
      </c>
      <c r="E125" s="698"/>
      <c r="F125" s="699" t="s">
        <v>143</v>
      </c>
      <c r="G125" s="698"/>
      <c r="H125" s="699" t="s">
        <v>143</v>
      </c>
      <c r="I125" s="698"/>
      <c r="J125" s="699" t="s">
        <v>147</v>
      </c>
      <c r="K125" s="698"/>
      <c r="L125" s="699" t="s">
        <v>117</v>
      </c>
      <c r="M125" s="698"/>
      <c r="N125" s="715" t="s">
        <v>185</v>
      </c>
      <c r="O125" s="698"/>
      <c r="P125" s="715" t="s">
        <v>182</v>
      </c>
      <c r="Q125" s="698"/>
      <c r="R125" s="715" t="s">
        <v>185</v>
      </c>
      <c r="S125" s="698"/>
      <c r="T125" s="699" t="s">
        <v>119</v>
      </c>
      <c r="U125" s="698"/>
      <c r="V125" s="715" t="s">
        <v>242</v>
      </c>
      <c r="W125" s="698"/>
      <c r="X125" s="699" t="s">
        <v>125</v>
      </c>
      <c r="Y125" s="698"/>
      <c r="Z125" s="699" t="s">
        <v>115</v>
      </c>
      <c r="AA125" s="698"/>
      <c r="AB125" s="715" t="s">
        <v>185</v>
      </c>
      <c r="AC125" s="702"/>
      <c r="AD125" s="720"/>
      <c r="AE125" s="723"/>
      <c r="AF125" s="723"/>
      <c r="AG125" s="723"/>
      <c r="AH125" s="720"/>
      <c r="AI125" s="720"/>
      <c r="AJ125" s="720"/>
      <c r="AK125" s="720"/>
      <c r="AL125" s="720"/>
    </row>
    <row r="126" spans="1:41" ht="33.5">
      <c r="A126" s="469"/>
      <c r="B126" s="715"/>
      <c r="C126" s="698"/>
      <c r="D126" s="715"/>
      <c r="E126" s="698"/>
      <c r="F126" s="715"/>
      <c r="G126" s="698"/>
      <c r="H126" s="715"/>
      <c r="I126" s="698"/>
      <c r="J126" s="729" t="s">
        <v>1524</v>
      </c>
      <c r="K126" s="698"/>
      <c r="L126" s="715"/>
      <c r="M126" s="698"/>
      <c r="N126" s="715"/>
      <c r="O126" s="698"/>
      <c r="P126" s="715"/>
      <c r="Q126" s="698"/>
      <c r="R126" s="715"/>
      <c r="S126" s="698"/>
      <c r="T126" s="734" t="s">
        <v>1687</v>
      </c>
      <c r="U126" s="698"/>
      <c r="V126" s="734" t="s">
        <v>1624</v>
      </c>
      <c r="W126" s="698"/>
      <c r="X126" s="715"/>
      <c r="Y126" s="698"/>
      <c r="Z126" s="715"/>
      <c r="AA126" s="698"/>
      <c r="AB126" s="715"/>
      <c r="AC126" s="702"/>
      <c r="AD126" s="720"/>
      <c r="AE126" s="723"/>
      <c r="AF126" s="723"/>
      <c r="AG126" s="723"/>
      <c r="AH126" s="720"/>
      <c r="AI126" s="720"/>
      <c r="AJ126" s="720"/>
      <c r="AK126" s="720"/>
      <c r="AL126" s="720"/>
    </row>
    <row r="127" spans="1:41" ht="38.5" customHeight="1">
      <c r="A127" s="1510" t="s">
        <v>1715</v>
      </c>
      <c r="B127" s="1511"/>
      <c r="C127" s="1511"/>
      <c r="D127" s="1511"/>
      <c r="E127" s="1511"/>
      <c r="F127" s="1512"/>
      <c r="G127" s="1492" t="s">
        <v>1525</v>
      </c>
      <c r="H127" s="1493"/>
      <c r="I127" s="1493"/>
      <c r="J127" s="1493"/>
      <c r="K127" s="1493"/>
      <c r="L127" s="1493"/>
      <c r="M127" s="1493"/>
      <c r="N127" s="1493"/>
      <c r="O127" s="1513"/>
      <c r="P127" s="735"/>
      <c r="Q127" s="735"/>
      <c r="R127" s="735"/>
      <c r="S127" s="1502" t="s">
        <v>1518</v>
      </c>
      <c r="T127" s="1502"/>
      <c r="U127" s="1502"/>
      <c r="V127" s="1502"/>
      <c r="W127" s="1502"/>
      <c r="X127" s="1502"/>
      <c r="Y127" s="1502"/>
      <c r="Z127" s="1502"/>
      <c r="AA127" s="1502"/>
      <c r="AB127" s="1502"/>
      <c r="AC127" s="1502"/>
      <c r="AD127" s="1502"/>
      <c r="AE127" s="1502"/>
      <c r="AF127" s="1502"/>
      <c r="AG127" s="1502"/>
      <c r="AH127" s="1502"/>
      <c r="AI127" s="907"/>
      <c r="AJ127" s="907"/>
      <c r="AK127" s="907"/>
      <c r="AL127" s="907"/>
    </row>
    <row r="128" spans="1:41" ht="14" customHeight="1">
      <c r="B128" s="736"/>
      <c r="C128" s="705"/>
      <c r="D128" s="736"/>
      <c r="E128" s="705"/>
      <c r="F128" s="736"/>
      <c r="G128" s="705"/>
      <c r="H128" s="736"/>
      <c r="I128" s="705"/>
      <c r="J128" s="736"/>
      <c r="K128" s="705"/>
      <c r="L128" s="736"/>
      <c r="M128" s="705"/>
      <c r="N128" s="736"/>
      <c r="O128" s="705"/>
      <c r="P128" s="736"/>
      <c r="Q128" s="705"/>
      <c r="R128" s="736"/>
      <c r="S128" s="705"/>
      <c r="T128" s="736"/>
      <c r="U128" s="705"/>
      <c r="V128" s="736"/>
      <c r="W128" s="705"/>
      <c r="X128" s="736"/>
      <c r="Y128" s="705"/>
      <c r="Z128" s="736"/>
      <c r="AA128" s="705"/>
      <c r="AB128" s="736"/>
      <c r="AC128" s="705"/>
      <c r="AD128" s="703"/>
      <c r="AE128" s="696"/>
      <c r="AF128" s="696"/>
      <c r="AG128" s="696"/>
    </row>
    <row r="129" spans="1:41" ht="67" customHeight="1">
      <c r="A129" s="469"/>
      <c r="B129" s="684" t="s">
        <v>320</v>
      </c>
      <c r="C129" s="683"/>
      <c r="D129" s="684" t="s">
        <v>321</v>
      </c>
      <c r="E129" s="683"/>
      <c r="F129" s="1505" t="s">
        <v>322</v>
      </c>
      <c r="G129" s="1505"/>
      <c r="H129" s="684" t="s">
        <v>323</v>
      </c>
      <c r="I129" s="684"/>
      <c r="J129" s="684" t="s">
        <v>324</v>
      </c>
      <c r="K129" s="683"/>
      <c r="L129" s="684" t="s">
        <v>325</v>
      </c>
      <c r="M129" s="683"/>
      <c r="N129" s="684" t="s">
        <v>326</v>
      </c>
      <c r="O129" s="683"/>
      <c r="P129" s="684" t="s">
        <v>327</v>
      </c>
      <c r="Q129" s="683"/>
      <c r="R129" s="684" t="s">
        <v>328</v>
      </c>
      <c r="S129" s="683"/>
      <c r="T129" s="1505" t="s">
        <v>329</v>
      </c>
      <c r="U129" s="1505"/>
      <c r="V129" s="1505" t="s">
        <v>333</v>
      </c>
      <c r="W129" s="1505"/>
      <c r="X129" s="684" t="s">
        <v>334</v>
      </c>
      <c r="Y129" s="683"/>
      <c r="Z129" s="684" t="s">
        <v>335</v>
      </c>
      <c r="AA129" s="683"/>
      <c r="AB129" s="684" t="s">
        <v>336</v>
      </c>
      <c r="AC129" s="702"/>
      <c r="AD129" s="703"/>
      <c r="AE129" s="696"/>
      <c r="AF129" s="696"/>
      <c r="AG129" s="696"/>
    </row>
    <row r="130" spans="1:41" ht="33.5">
      <c r="A130" s="469"/>
      <c r="B130" s="712"/>
      <c r="C130" s="713"/>
      <c r="D130" s="712"/>
      <c r="E130" s="713"/>
      <c r="F130" s="712"/>
      <c r="G130" s="713"/>
      <c r="H130" s="712"/>
      <c r="I130" s="737"/>
      <c r="J130" s="712"/>
      <c r="K130" s="738"/>
      <c r="L130" s="712"/>
      <c r="M130" s="698"/>
      <c r="N130" s="712"/>
      <c r="O130" s="702"/>
      <c r="P130" s="712"/>
      <c r="Q130" s="698"/>
      <c r="R130" s="712"/>
      <c r="S130" s="702"/>
      <c r="T130" s="712"/>
      <c r="U130" s="702"/>
      <c r="V130" s="712"/>
      <c r="W130" s="702"/>
      <c r="X130" s="712"/>
      <c r="Y130" s="698"/>
      <c r="Z130" s="712"/>
      <c r="AA130" s="698"/>
      <c r="AB130" s="712"/>
      <c r="AC130" s="702"/>
      <c r="AD130" s="703"/>
      <c r="AE130" s="696"/>
      <c r="AF130" s="696"/>
      <c r="AG130" s="696"/>
    </row>
    <row r="131" spans="1:41" ht="16.5" customHeight="1" thickBot="1">
      <c r="A131" s="469"/>
      <c r="B131" s="714"/>
      <c r="C131" s="702"/>
      <c r="D131" s="714"/>
      <c r="E131" s="702"/>
      <c r="F131" s="714"/>
      <c r="G131" s="702"/>
      <c r="H131" s="714"/>
      <c r="I131" s="702"/>
      <c r="J131" s="714"/>
      <c r="K131" s="702"/>
      <c r="L131" s="714" t="s">
        <v>71</v>
      </c>
      <c r="M131" s="702"/>
      <c r="N131" s="714"/>
      <c r="O131" s="702"/>
      <c r="P131" s="714"/>
      <c r="Q131" s="702"/>
      <c r="R131" s="714"/>
      <c r="S131" s="702"/>
      <c r="T131" s="714"/>
      <c r="U131" s="702"/>
      <c r="V131" s="714"/>
      <c r="W131" s="702"/>
      <c r="X131" s="714"/>
      <c r="Y131" s="702"/>
      <c r="Z131" s="714"/>
      <c r="AA131" s="702"/>
      <c r="AB131" s="714"/>
      <c r="AC131" s="702"/>
      <c r="AD131" s="703"/>
      <c r="AE131" s="696"/>
      <c r="AF131" s="696"/>
      <c r="AG131" s="696"/>
    </row>
    <row r="132" spans="1:41" ht="100" customHeight="1" thickBot="1">
      <c r="A132" s="469"/>
      <c r="B132" s="691" t="s">
        <v>71</v>
      </c>
      <c r="C132" s="707">
        <v>285.32</v>
      </c>
      <c r="D132" s="691"/>
      <c r="E132" s="707">
        <v>354.7</v>
      </c>
      <c r="F132" s="691"/>
      <c r="G132" s="707">
        <v>420.54</v>
      </c>
      <c r="H132" s="691"/>
      <c r="I132" s="707">
        <v>340.56</v>
      </c>
      <c r="J132" s="733"/>
      <c r="K132" s="707">
        <v>336.52</v>
      </c>
      <c r="L132" s="733"/>
      <c r="M132" s="707">
        <v>375.99</v>
      </c>
      <c r="N132" s="691"/>
      <c r="O132" s="690">
        <v>308.41000000000003</v>
      </c>
      <c r="P132" s="733"/>
      <c r="Q132" s="739">
        <v>444.84</v>
      </c>
      <c r="R132" s="733"/>
      <c r="S132" s="707">
        <v>392.02</v>
      </c>
      <c r="T132" s="733"/>
      <c r="U132" s="707">
        <v>407.803</v>
      </c>
      <c r="V132" s="733"/>
      <c r="W132" s="707">
        <v>206.06200000000001</v>
      </c>
      <c r="X132" s="733"/>
      <c r="Y132" s="690">
        <v>417.38400000000001</v>
      </c>
      <c r="Z132" s="691"/>
      <c r="AA132" s="707">
        <v>304.56400000000002</v>
      </c>
      <c r="AB132" s="691"/>
      <c r="AC132" s="690">
        <v>395.51</v>
      </c>
      <c r="AD132" s="703"/>
      <c r="AE132" s="696"/>
      <c r="AF132" s="696"/>
      <c r="AG132" s="696"/>
      <c r="AM132" s="896">
        <f>COUNTIF(B132:AB132,"U/P")</f>
        <v>0</v>
      </c>
      <c r="AN132" s="896">
        <f>COUNTIF(C132:AC132,"ROW")</f>
        <v>0</v>
      </c>
      <c r="AO132" s="896">
        <f>COUNTIF(B132:AD132,"C")</f>
        <v>1</v>
      </c>
    </row>
    <row r="133" spans="1:41" ht="34" thickBot="1">
      <c r="A133" s="469"/>
      <c r="B133" s="710"/>
      <c r="C133" s="702"/>
      <c r="D133" s="710"/>
      <c r="E133" s="702"/>
      <c r="F133" s="710"/>
      <c r="G133" s="702"/>
      <c r="H133" s="710"/>
      <c r="I133" s="702"/>
      <c r="J133" s="710"/>
      <c r="K133" s="702"/>
      <c r="L133" s="710"/>
      <c r="M133" s="702"/>
      <c r="N133" s="710"/>
      <c r="O133" s="702"/>
      <c r="P133" s="710"/>
      <c r="Q133" s="702"/>
      <c r="R133" s="710"/>
      <c r="S133" s="702"/>
      <c r="T133" s="710"/>
      <c r="U133" s="702"/>
      <c r="V133" s="710"/>
      <c r="W133" s="702"/>
      <c r="X133" s="710"/>
      <c r="Y133" s="702"/>
      <c r="Z133" s="710"/>
      <c r="AA133" s="702"/>
      <c r="AB133" s="710"/>
      <c r="AC133" s="702"/>
      <c r="AD133" s="703"/>
      <c r="AE133" s="696"/>
      <c r="AF133" s="696"/>
      <c r="AG133" s="696"/>
    </row>
    <row r="134" spans="1:41" ht="33.5">
      <c r="A134" s="469"/>
      <c r="B134" s="698" t="s">
        <v>242</v>
      </c>
      <c r="C134" s="698"/>
      <c r="D134" s="698" t="s">
        <v>185</v>
      </c>
      <c r="E134" s="698"/>
      <c r="F134" s="699" t="s">
        <v>117</v>
      </c>
      <c r="G134" s="698"/>
      <c r="H134" s="699" t="s">
        <v>132</v>
      </c>
      <c r="I134" s="698"/>
      <c r="J134" s="699" t="s">
        <v>132</v>
      </c>
      <c r="K134" s="698"/>
      <c r="L134" s="698" t="s">
        <v>182</v>
      </c>
      <c r="M134" s="698"/>
      <c r="N134" s="699" t="s">
        <v>132</v>
      </c>
      <c r="O134" s="698"/>
      <c r="P134" s="698" t="s">
        <v>242</v>
      </c>
      <c r="Q134" s="698"/>
      <c r="R134" s="698" t="s">
        <v>242</v>
      </c>
      <c r="S134" s="698"/>
      <c r="T134" s="699" t="s">
        <v>132</v>
      </c>
      <c r="U134" s="698"/>
      <c r="V134" s="699" t="s">
        <v>132</v>
      </c>
      <c r="W134" s="698"/>
      <c r="X134" s="699" t="s">
        <v>123</v>
      </c>
      <c r="Y134" s="698"/>
      <c r="Z134" s="714" t="s">
        <v>182</v>
      </c>
      <c r="AA134" s="698"/>
      <c r="AB134" s="699" t="s">
        <v>125</v>
      </c>
      <c r="AC134" s="702"/>
      <c r="AD134" s="703"/>
      <c r="AE134" s="696"/>
      <c r="AF134" s="696"/>
      <c r="AG134" s="696"/>
    </row>
    <row r="135" spans="1:41" ht="33.5">
      <c r="A135" s="469"/>
      <c r="B135" s="1046"/>
      <c r="C135" s="698"/>
      <c r="D135" s="734" t="s">
        <v>1625</v>
      </c>
      <c r="E135" s="698"/>
      <c r="F135" s="734" t="s">
        <v>1626</v>
      </c>
      <c r="G135" s="698"/>
      <c r="H135" s="734" t="s">
        <v>1688</v>
      </c>
      <c r="I135" s="698"/>
      <c r="J135" s="698"/>
      <c r="K135" s="698"/>
      <c r="L135" s="729" t="s">
        <v>1523</v>
      </c>
      <c r="M135" s="698"/>
      <c r="N135" s="698"/>
      <c r="O135" s="698"/>
      <c r="P135" s="698"/>
      <c r="Q135" s="698"/>
      <c r="R135" s="729" t="s">
        <v>1689</v>
      </c>
      <c r="S135" s="698"/>
      <c r="T135" s="729" t="s">
        <v>1689</v>
      </c>
      <c r="U135" s="729"/>
      <c r="V135" s="729"/>
      <c r="W135" s="698"/>
      <c r="X135" s="698"/>
      <c r="Y135" s="698"/>
      <c r="Z135" s="729" t="s">
        <v>366</v>
      </c>
      <c r="AA135" s="698"/>
      <c r="AB135" s="698"/>
      <c r="AC135" s="702"/>
      <c r="AD135" s="703"/>
      <c r="AE135" s="696"/>
      <c r="AF135" s="696"/>
      <c r="AG135" s="696"/>
    </row>
    <row r="136" spans="1:41" ht="36">
      <c r="A136" s="1501" t="s">
        <v>1518</v>
      </c>
      <c r="B136" s="1502"/>
      <c r="C136" s="1502"/>
      <c r="D136" s="1502"/>
      <c r="E136" s="1502"/>
      <c r="F136" s="1502"/>
      <c r="G136" s="1502"/>
      <c r="H136" s="1502"/>
      <c r="I136" s="1502"/>
      <c r="J136" s="1502"/>
      <c r="K136" s="841"/>
      <c r="L136" s="841"/>
      <c r="M136" s="841"/>
      <c r="N136" s="761" t="s">
        <v>228</v>
      </c>
      <c r="O136" s="841"/>
      <c r="P136" s="841"/>
      <c r="Q136" s="841"/>
      <c r="R136" s="841"/>
      <c r="S136" s="841"/>
      <c r="T136" s="841"/>
      <c r="U136" s="1502" t="s">
        <v>1518</v>
      </c>
      <c r="V136" s="1502"/>
      <c r="W136" s="1502"/>
      <c r="X136" s="1502"/>
      <c r="Y136" s="1502"/>
      <c r="Z136" s="1502"/>
      <c r="AA136" s="1502"/>
      <c r="AB136" s="1502"/>
      <c r="AC136" s="1502"/>
      <c r="AD136" s="1502"/>
      <c r="AE136" s="1502"/>
      <c r="AF136" s="1502"/>
      <c r="AG136" s="761"/>
      <c r="AH136" s="761"/>
      <c r="AI136" s="907"/>
      <c r="AJ136" s="907"/>
      <c r="AK136" s="907"/>
      <c r="AL136" s="907"/>
    </row>
    <row r="137" spans="1:41" ht="25" customHeight="1">
      <c r="A137" s="469"/>
      <c r="B137" s="720"/>
      <c r="C137" s="702"/>
      <c r="D137" s="720"/>
      <c r="E137" s="702"/>
      <c r="F137" s="720"/>
      <c r="G137" s="702"/>
      <c r="H137" s="720"/>
      <c r="I137" s="702"/>
      <c r="J137" s="720"/>
      <c r="K137" s="702"/>
      <c r="L137" s="720"/>
      <c r="M137" s="702"/>
      <c r="N137" s="720"/>
      <c r="O137" s="702"/>
      <c r="P137" s="720"/>
      <c r="Q137" s="702"/>
      <c r="R137" s="720"/>
      <c r="S137" s="702"/>
      <c r="T137" s="720"/>
      <c r="U137" s="702"/>
      <c r="V137" s="720"/>
      <c r="W137" s="702"/>
      <c r="X137" s="720"/>
      <c r="Y137" s="702"/>
      <c r="Z137" s="720"/>
      <c r="AA137" s="702"/>
      <c r="AB137" s="720"/>
      <c r="AC137" s="702"/>
      <c r="AD137" s="720"/>
      <c r="AE137" s="696"/>
      <c r="AF137" s="696"/>
      <c r="AG137" s="696"/>
    </row>
    <row r="138" spans="1:41" ht="33.5" customHeight="1">
      <c r="A138" s="469"/>
      <c r="B138" s="684" t="s">
        <v>337</v>
      </c>
      <c r="C138" s="683"/>
      <c r="D138" s="684" t="s">
        <v>338</v>
      </c>
      <c r="E138" s="683"/>
      <c r="F138" s="684" t="s">
        <v>339</v>
      </c>
      <c r="G138" s="740"/>
      <c r="H138" s="684" t="s">
        <v>340</v>
      </c>
      <c r="I138" s="683"/>
      <c r="J138" s="684" t="s">
        <v>281</v>
      </c>
      <c r="K138" s="683"/>
      <c r="L138" s="684" t="s">
        <v>341</v>
      </c>
      <c r="M138" s="683"/>
      <c r="N138" s="684" t="s">
        <v>346</v>
      </c>
      <c r="O138" s="683"/>
      <c r="P138" s="684" t="s">
        <v>347</v>
      </c>
      <c r="Q138" s="683"/>
      <c r="R138" s="684" t="s">
        <v>348</v>
      </c>
      <c r="S138" s="683"/>
      <c r="T138" s="684" t="s">
        <v>282</v>
      </c>
      <c r="U138" s="683"/>
      <c r="V138" s="684" t="s">
        <v>283</v>
      </c>
      <c r="W138" s="683"/>
      <c r="X138" s="684" t="s">
        <v>349</v>
      </c>
      <c r="Y138" s="683"/>
      <c r="Z138" s="684" t="s">
        <v>350</v>
      </c>
      <c r="AA138" s="683"/>
      <c r="AB138" s="684" t="s">
        <v>351</v>
      </c>
      <c r="AC138" s="702"/>
      <c r="AD138" s="720"/>
      <c r="AE138" s="696"/>
      <c r="AF138" s="696"/>
      <c r="AG138" s="696"/>
    </row>
    <row r="139" spans="1:41" ht="33.5">
      <c r="A139" s="469"/>
      <c r="B139" s="712"/>
      <c r="C139" s="702"/>
      <c r="D139" s="712"/>
      <c r="E139" s="698"/>
      <c r="F139" s="712"/>
      <c r="G139" s="741"/>
      <c r="H139" s="712"/>
      <c r="I139" s="702"/>
      <c r="J139" s="712"/>
      <c r="K139" s="702"/>
      <c r="L139" s="712"/>
      <c r="M139" s="702"/>
      <c r="N139" s="712"/>
      <c r="O139" s="702"/>
      <c r="P139" s="712"/>
      <c r="Q139" s="742"/>
      <c r="R139" s="712"/>
      <c r="S139" s="702"/>
      <c r="T139" s="712"/>
      <c r="U139" s="702"/>
      <c r="V139" s="712"/>
      <c r="W139" s="702"/>
      <c r="X139" s="712"/>
      <c r="Y139" s="702"/>
      <c r="Z139" s="712"/>
      <c r="AA139" s="702"/>
      <c r="AB139" s="712"/>
      <c r="AC139" s="702"/>
      <c r="AD139" s="720"/>
      <c r="AE139" s="696"/>
      <c r="AF139" s="696"/>
      <c r="AG139" s="696"/>
    </row>
    <row r="140" spans="1:41" ht="15.5" customHeight="1" thickBot="1">
      <c r="A140" s="469"/>
      <c r="B140" s="714"/>
      <c r="C140" s="702"/>
      <c r="D140" s="714"/>
      <c r="E140" s="702"/>
      <c r="F140" s="714"/>
      <c r="G140" s="702"/>
      <c r="H140" s="714"/>
      <c r="I140" s="702"/>
      <c r="J140" s="714"/>
      <c r="K140" s="702"/>
      <c r="L140" s="714"/>
      <c r="M140" s="702"/>
      <c r="N140" s="714"/>
      <c r="O140" s="702"/>
      <c r="P140" s="714"/>
      <c r="Q140" s="702"/>
      <c r="R140" s="714"/>
      <c r="S140" s="702"/>
      <c r="T140" s="714"/>
      <c r="U140" s="702"/>
      <c r="V140" s="714" t="s">
        <v>228</v>
      </c>
      <c r="W140" s="702"/>
      <c r="X140" s="714"/>
      <c r="Y140" s="702"/>
      <c r="Z140" s="714"/>
      <c r="AA140" s="702"/>
      <c r="AB140" s="714"/>
      <c r="AC140" s="702"/>
      <c r="AD140" s="720"/>
      <c r="AE140" s="696"/>
      <c r="AF140" s="696"/>
      <c r="AG140" s="696"/>
    </row>
    <row r="141" spans="1:41" ht="100" customHeight="1" thickBot="1">
      <c r="A141" s="469"/>
      <c r="B141" s="691"/>
      <c r="C141" s="707">
        <v>431.02</v>
      </c>
      <c r="D141" s="691"/>
      <c r="E141" s="707">
        <v>403.43</v>
      </c>
      <c r="F141" s="691"/>
      <c r="G141" s="707">
        <v>420.36</v>
      </c>
      <c r="H141" s="691"/>
      <c r="I141" s="707">
        <v>446.37</v>
      </c>
      <c r="J141" s="732"/>
      <c r="K141" s="707">
        <v>297.58</v>
      </c>
      <c r="L141" s="691"/>
      <c r="M141" s="707">
        <v>280.47000000000003</v>
      </c>
      <c r="N141" s="691"/>
      <c r="O141" s="707">
        <v>272.69</v>
      </c>
      <c r="P141" s="691"/>
      <c r="Q141" s="707">
        <v>347.88</v>
      </c>
      <c r="R141" s="691"/>
      <c r="S141" s="707">
        <v>379.25</v>
      </c>
      <c r="T141" s="733"/>
      <c r="U141" s="707">
        <v>398.7</v>
      </c>
      <c r="V141" s="733"/>
      <c r="W141" s="707">
        <v>439.06</v>
      </c>
      <c r="X141" s="691" t="s">
        <v>228</v>
      </c>
      <c r="Y141" s="690">
        <v>360.21</v>
      </c>
      <c r="Z141" s="733"/>
      <c r="AA141" s="707">
        <v>379.58</v>
      </c>
      <c r="AB141" s="733"/>
      <c r="AC141" s="707">
        <v>384</v>
      </c>
      <c r="AD141" s="720"/>
      <c r="AE141" s="696"/>
      <c r="AF141" s="696"/>
      <c r="AG141" s="696"/>
      <c r="AM141" s="896">
        <f>COUNTIF(B141:AB141,"U/P")</f>
        <v>0</v>
      </c>
      <c r="AN141" s="896">
        <f>COUNTIF(C141:AC141,"ROW")</f>
        <v>1</v>
      </c>
      <c r="AO141" s="896">
        <f>COUNTIF(B141:AD141,"C")</f>
        <v>0</v>
      </c>
    </row>
    <row r="142" spans="1:41" ht="14.25" customHeight="1" thickBot="1">
      <c r="A142" s="469"/>
      <c r="B142" s="710"/>
      <c r="C142" s="702"/>
      <c r="D142" s="710"/>
      <c r="E142" s="702"/>
      <c r="F142" s="710"/>
      <c r="G142" s="702"/>
      <c r="H142" s="710"/>
      <c r="I142" s="702"/>
      <c r="J142" s="710"/>
      <c r="K142" s="702"/>
      <c r="L142" s="710"/>
      <c r="M142" s="702"/>
      <c r="N142" s="710"/>
      <c r="O142" s="702"/>
      <c r="P142" s="710"/>
      <c r="Q142" s="702"/>
      <c r="R142" s="710"/>
      <c r="S142" s="702"/>
      <c r="T142" s="710"/>
      <c r="U142" s="702"/>
      <c r="V142" s="743"/>
      <c r="W142" s="702"/>
      <c r="X142" s="710"/>
      <c r="Y142" s="702"/>
      <c r="Z142" s="710"/>
      <c r="AA142" s="702"/>
      <c r="AB142" s="710"/>
      <c r="AC142" s="702"/>
      <c r="AD142" s="720"/>
      <c r="AE142" s="696"/>
      <c r="AF142" s="696"/>
      <c r="AG142" s="696"/>
    </row>
    <row r="143" spans="1:41" ht="33.5">
      <c r="A143" s="469"/>
      <c r="B143" s="744" t="s">
        <v>248</v>
      </c>
      <c r="C143" s="698"/>
      <c r="D143" s="715" t="s">
        <v>185</v>
      </c>
      <c r="E143" s="698"/>
      <c r="F143" s="744" t="s">
        <v>248</v>
      </c>
      <c r="G143" s="698"/>
      <c r="H143" s="699" t="s">
        <v>115</v>
      </c>
      <c r="I143" s="698"/>
      <c r="J143" s="744" t="s">
        <v>248</v>
      </c>
      <c r="K143" s="698"/>
      <c r="L143" s="699" t="s">
        <v>119</v>
      </c>
      <c r="M143" s="698"/>
      <c r="N143" s="744" t="s">
        <v>182</v>
      </c>
      <c r="O143" s="698"/>
      <c r="P143" s="744" t="s">
        <v>182</v>
      </c>
      <c r="Q143" s="698"/>
      <c r="R143" s="744" t="s">
        <v>248</v>
      </c>
      <c r="S143" s="698"/>
      <c r="T143" s="744" t="s">
        <v>242</v>
      </c>
      <c r="U143" s="698"/>
      <c r="V143" s="744" t="s">
        <v>242</v>
      </c>
      <c r="W143" s="698"/>
      <c r="X143" s="699" t="s">
        <v>115</v>
      </c>
      <c r="Y143" s="698"/>
      <c r="Z143" s="744" t="s">
        <v>182</v>
      </c>
      <c r="AA143" s="698"/>
      <c r="AB143" s="699" t="s">
        <v>123</v>
      </c>
      <c r="AC143" s="702"/>
      <c r="AD143" s="720"/>
      <c r="AE143" s="696"/>
      <c r="AF143" s="696"/>
      <c r="AG143" s="696"/>
    </row>
    <row r="144" spans="1:41" ht="28" customHeight="1">
      <c r="A144" s="469"/>
      <c r="B144" s="744"/>
      <c r="C144" s="698"/>
      <c r="D144" s="720"/>
      <c r="E144" s="698"/>
      <c r="F144" s="745" t="s">
        <v>1627</v>
      </c>
      <c r="G144" s="698"/>
      <c r="H144" s="744"/>
      <c r="I144" s="698"/>
      <c r="J144" s="744"/>
      <c r="K144" s="698"/>
      <c r="L144" s="744"/>
      <c r="M144" s="698"/>
      <c r="N144" s="745" t="s">
        <v>1628</v>
      </c>
      <c r="O144" s="698"/>
      <c r="P144" s="744"/>
      <c r="Q144" s="698"/>
      <c r="R144" s="745" t="s">
        <v>1626</v>
      </c>
      <c r="S144" s="698"/>
      <c r="T144" s="744"/>
      <c r="U144" s="698"/>
      <c r="V144" s="744"/>
      <c r="W144" s="698"/>
      <c r="X144" s="744"/>
      <c r="Y144" s="698"/>
      <c r="Z144" s="744"/>
      <c r="AA144" s="698"/>
      <c r="AC144" s="702"/>
      <c r="AD144" s="745" t="s">
        <v>1630</v>
      </c>
      <c r="AE144" s="695"/>
      <c r="AF144" s="696"/>
      <c r="AG144" s="696"/>
    </row>
    <row r="145" spans="1:41" ht="27" customHeight="1">
      <c r="A145" s="1507" t="s">
        <v>1518</v>
      </c>
      <c r="B145" s="1507"/>
      <c r="C145" s="1507"/>
      <c r="D145" s="1507"/>
      <c r="E145" s="1507"/>
      <c r="F145" s="1507"/>
      <c r="G145" s="1507"/>
      <c r="H145" s="1507"/>
      <c r="I145" s="1507"/>
      <c r="J145" s="1507"/>
      <c r="K145" s="1507"/>
      <c r="L145" s="1507"/>
      <c r="M145" s="1507"/>
      <c r="N145" s="1507"/>
      <c r="O145" s="1507"/>
      <c r="P145" s="1507"/>
      <c r="Q145" s="1507"/>
      <c r="R145" s="1507"/>
      <c r="S145" s="1507"/>
      <c r="T145" s="735"/>
      <c r="U145" s="735"/>
      <c r="V145" s="735"/>
      <c r="W145" s="841"/>
      <c r="X145" s="748" t="s">
        <v>228</v>
      </c>
      <c r="Y145" s="841"/>
      <c r="Z145" s="841"/>
      <c r="AA145" s="841"/>
      <c r="AB145" s="1068"/>
      <c r="AC145" s="841"/>
      <c r="AD145" s="841"/>
      <c r="AE145" s="841"/>
      <c r="AF145" s="841"/>
      <c r="AG145" s="761"/>
      <c r="AH145" s="1069"/>
      <c r="AI145" s="761"/>
      <c r="AJ145" s="761"/>
      <c r="AK145" s="761"/>
      <c r="AL145" s="761"/>
    </row>
    <row r="146" spans="1:41" ht="12" customHeight="1">
      <c r="A146" s="469"/>
      <c r="B146" s="746"/>
      <c r="C146" s="705"/>
      <c r="D146" s="746"/>
      <c r="E146" s="705"/>
      <c r="F146" s="746"/>
      <c r="G146" s="705"/>
      <c r="H146" s="746"/>
      <c r="I146" s="705"/>
      <c r="J146" s="746"/>
      <c r="K146" s="705"/>
      <c r="L146" s="746"/>
      <c r="M146" s="705"/>
      <c r="N146" s="746"/>
      <c r="O146" s="705"/>
      <c r="P146" s="746"/>
      <c r="Q146" s="705"/>
      <c r="R146" s="746"/>
      <c r="S146" s="705"/>
      <c r="T146" s="746"/>
      <c r="U146" s="705"/>
      <c r="V146" s="746"/>
      <c r="W146" s="705"/>
      <c r="X146" s="746"/>
      <c r="Y146" s="705"/>
      <c r="Z146" s="746"/>
      <c r="AA146" s="705"/>
      <c r="AB146" s="746"/>
      <c r="AC146" s="705"/>
      <c r="AD146" s="703"/>
      <c r="AE146" s="695"/>
      <c r="AF146" s="696"/>
      <c r="AG146" s="696"/>
    </row>
    <row r="147" spans="1:41" ht="22" customHeight="1">
      <c r="A147" s="469"/>
      <c r="B147" s="684" t="s">
        <v>352</v>
      </c>
      <c r="C147" s="683"/>
      <c r="D147" s="684" t="s">
        <v>353</v>
      </c>
      <c r="E147" s="683"/>
      <c r="F147" s="684" t="s">
        <v>274</v>
      </c>
      <c r="G147" s="683"/>
      <c r="H147" s="684" t="s">
        <v>275</v>
      </c>
      <c r="I147" s="683"/>
      <c r="J147" s="684" t="s">
        <v>355</v>
      </c>
      <c r="K147" s="683"/>
      <c r="L147" s="684" t="s">
        <v>284</v>
      </c>
      <c r="M147" s="683"/>
      <c r="N147" s="684" t="s">
        <v>285</v>
      </c>
      <c r="O147" s="683"/>
      <c r="P147" s="684" t="s">
        <v>705</v>
      </c>
      <c r="Q147" s="683"/>
      <c r="R147" s="684" t="s">
        <v>357</v>
      </c>
      <c r="S147" s="683"/>
      <c r="T147" s="684" t="s">
        <v>706</v>
      </c>
      <c r="U147" s="683"/>
      <c r="V147" s="684" t="s">
        <v>247</v>
      </c>
      <c r="W147" s="683"/>
      <c r="X147" s="684" t="s">
        <v>260</v>
      </c>
      <c r="Y147" s="683"/>
      <c r="Z147" s="684" t="s">
        <v>261</v>
      </c>
      <c r="AA147" s="683"/>
      <c r="AB147" s="684" t="s">
        <v>286</v>
      </c>
      <c r="AC147" s="702"/>
      <c r="AD147" s="703"/>
      <c r="AE147" s="696"/>
      <c r="AF147" s="696"/>
      <c r="AG147" s="696"/>
    </row>
    <row r="148" spans="1:41" ht="33.5">
      <c r="A148" s="469"/>
      <c r="B148" s="712"/>
      <c r="C148" s="702"/>
      <c r="D148" s="712"/>
      <c r="E148" s="702"/>
      <c r="F148" s="712"/>
      <c r="G148" s="702"/>
      <c r="H148" s="712"/>
      <c r="I148" s="713"/>
      <c r="J148" s="712"/>
      <c r="K148" s="698"/>
      <c r="L148" s="712"/>
      <c r="M148" s="702"/>
      <c r="N148" s="712"/>
      <c r="O148" s="702"/>
      <c r="P148" s="712"/>
      <c r="Q148" s="698"/>
      <c r="R148" s="712"/>
      <c r="S148" s="713"/>
      <c r="T148" s="712"/>
      <c r="U148" s="702"/>
      <c r="V148" s="712"/>
      <c r="W148" s="702"/>
      <c r="X148" s="712"/>
      <c r="Y148" s="707"/>
      <c r="Z148" s="712"/>
      <c r="AA148" s="698"/>
      <c r="AB148" s="712"/>
      <c r="AC148" s="702"/>
      <c r="AD148" s="703"/>
      <c r="AE148" s="696"/>
      <c r="AF148" s="696"/>
      <c r="AG148" s="696"/>
    </row>
    <row r="149" spans="1:41" ht="13" customHeight="1" thickBot="1">
      <c r="A149" s="469"/>
      <c r="B149" s="714"/>
      <c r="C149" s="702"/>
      <c r="D149" s="714"/>
      <c r="E149" s="702"/>
      <c r="F149" s="714"/>
      <c r="G149" s="702"/>
      <c r="H149" s="714"/>
      <c r="I149" s="702"/>
      <c r="J149" s="714"/>
      <c r="K149" s="702"/>
      <c r="L149" s="714"/>
      <c r="M149" s="702"/>
      <c r="N149" s="714"/>
      <c r="O149" s="702"/>
      <c r="P149" s="714"/>
      <c r="Q149" s="702"/>
      <c r="R149" s="714"/>
      <c r="S149" s="702"/>
      <c r="T149" s="714"/>
      <c r="U149" s="702"/>
      <c r="V149" s="714"/>
      <c r="W149" s="702"/>
      <c r="X149" s="714"/>
      <c r="Y149" s="702"/>
      <c r="Z149" s="714"/>
      <c r="AA149" s="702"/>
      <c r="AB149" s="714"/>
      <c r="AC149" s="702"/>
      <c r="AD149" s="703"/>
      <c r="AE149" s="696"/>
      <c r="AF149" s="696"/>
      <c r="AG149" s="696"/>
    </row>
    <row r="150" spans="1:41" ht="100" customHeight="1" thickBot="1">
      <c r="A150" s="469"/>
      <c r="B150" s="691" t="s">
        <v>228</v>
      </c>
      <c r="C150" s="707">
        <v>442</v>
      </c>
      <c r="D150" s="691" t="s">
        <v>228</v>
      </c>
      <c r="E150" s="707">
        <v>397</v>
      </c>
      <c r="F150" s="733"/>
      <c r="G150" s="707">
        <v>395</v>
      </c>
      <c r="H150" s="733"/>
      <c r="I150" s="707">
        <v>432</v>
      </c>
      <c r="J150" s="733"/>
      <c r="K150" s="707">
        <v>408</v>
      </c>
      <c r="L150" s="733"/>
      <c r="M150" s="707">
        <v>426</v>
      </c>
      <c r="N150" s="733"/>
      <c r="O150" s="707">
        <v>392.95</v>
      </c>
      <c r="P150" s="691"/>
      <c r="Q150" s="707">
        <v>431.96</v>
      </c>
      <c r="R150" s="691"/>
      <c r="S150" s="707">
        <v>426.02</v>
      </c>
      <c r="T150" s="691"/>
      <c r="U150" s="707">
        <v>401</v>
      </c>
      <c r="V150" s="733"/>
      <c r="W150" s="707">
        <v>437</v>
      </c>
      <c r="X150" s="733"/>
      <c r="Y150" s="690">
        <v>402</v>
      </c>
      <c r="Z150" s="733"/>
      <c r="AA150" s="707">
        <v>436</v>
      </c>
      <c r="AB150" s="691"/>
      <c r="AC150" s="690">
        <v>392.28</v>
      </c>
      <c r="AD150" s="703"/>
      <c r="AE150" s="696"/>
      <c r="AF150" s="696"/>
      <c r="AG150" s="696"/>
      <c r="AM150" s="896">
        <f>COUNTIF(B150:AB150,"U/P")</f>
        <v>0</v>
      </c>
      <c r="AN150" s="896">
        <f>COUNTIF(C150:AC150,"ROW")</f>
        <v>1</v>
      </c>
      <c r="AO150" s="896">
        <f>COUNTIF(D150:AD150,"C")</f>
        <v>0</v>
      </c>
    </row>
    <row r="151" spans="1:41" ht="34" thickBot="1">
      <c r="A151" s="469"/>
      <c r="B151" s="710"/>
      <c r="C151" s="702"/>
      <c r="D151" s="710"/>
      <c r="E151" s="702"/>
      <c r="F151" s="710"/>
      <c r="G151" s="702"/>
      <c r="H151" s="710"/>
      <c r="I151" s="702"/>
      <c r="J151" s="710"/>
      <c r="K151" s="702"/>
      <c r="L151" s="710"/>
      <c r="M151" s="702"/>
      <c r="N151" s="710"/>
      <c r="O151" s="702"/>
      <c r="P151" s="710"/>
      <c r="Q151" s="702"/>
      <c r="R151" s="710"/>
      <c r="S151" s="702"/>
      <c r="T151" s="710"/>
      <c r="U151" s="702"/>
      <c r="V151" s="710"/>
      <c r="W151" s="702"/>
      <c r="X151" s="710"/>
      <c r="Y151" s="702"/>
      <c r="Z151" s="710"/>
      <c r="AA151" s="702"/>
      <c r="AB151" s="710"/>
      <c r="AC151" s="702"/>
      <c r="AD151" s="703"/>
      <c r="AE151" s="696"/>
      <c r="AF151" s="696"/>
      <c r="AG151" s="696"/>
    </row>
    <row r="152" spans="1:41" ht="33.5">
      <c r="A152" s="469"/>
      <c r="B152" s="698" t="s">
        <v>248</v>
      </c>
      <c r="C152" s="698"/>
      <c r="D152" s="698" t="s">
        <v>248</v>
      </c>
      <c r="E152" s="698"/>
      <c r="F152" s="698" t="s">
        <v>248</v>
      </c>
      <c r="G152" s="698"/>
      <c r="H152" s="698" t="s">
        <v>248</v>
      </c>
      <c r="I152" s="698"/>
      <c r="J152" s="698" t="s">
        <v>248</v>
      </c>
      <c r="K152" s="698"/>
      <c r="L152" s="698" t="s">
        <v>185</v>
      </c>
      <c r="M152" s="698"/>
      <c r="N152" s="698" t="s">
        <v>185</v>
      </c>
      <c r="O152" s="698"/>
      <c r="P152" s="699" t="s">
        <v>125</v>
      </c>
      <c r="Q152" s="698"/>
      <c r="R152" s="699" t="s">
        <v>132</v>
      </c>
      <c r="S152" s="698"/>
      <c r="T152" s="699" t="s">
        <v>125</v>
      </c>
      <c r="U152" s="698"/>
      <c r="V152" s="698" t="s">
        <v>248</v>
      </c>
      <c r="W152" s="698"/>
      <c r="X152" s="698" t="s">
        <v>182</v>
      </c>
      <c r="Y152" s="698"/>
      <c r="Z152" s="698" t="s">
        <v>185</v>
      </c>
      <c r="AA152" s="698"/>
      <c r="AB152" s="698" t="s">
        <v>248</v>
      </c>
      <c r="AC152" s="702"/>
      <c r="AD152" s="703"/>
      <c r="AE152" s="696"/>
      <c r="AF152" s="696"/>
      <c r="AG152" s="696"/>
    </row>
    <row r="153" spans="1:41" ht="33.5">
      <c r="A153" s="469"/>
      <c r="B153" s="729" t="s">
        <v>1626</v>
      </c>
      <c r="C153" s="698"/>
      <c r="D153" s="729" t="s">
        <v>1629</v>
      </c>
      <c r="E153" s="698"/>
      <c r="F153" s="698"/>
      <c r="G153" s="698"/>
      <c r="H153" s="698"/>
      <c r="I153" s="698"/>
      <c r="J153" s="698"/>
      <c r="K153" s="698"/>
      <c r="L153" s="698"/>
      <c r="M153" s="698"/>
      <c r="N153" s="698"/>
      <c r="O153" s="698"/>
      <c r="P153" s="698"/>
      <c r="Q153" s="698"/>
      <c r="R153" s="698"/>
      <c r="S153" s="698"/>
      <c r="T153" s="729" t="s">
        <v>1629</v>
      </c>
      <c r="U153" s="698"/>
      <c r="V153" s="698"/>
      <c r="W153" s="698"/>
      <c r="X153" s="698"/>
      <c r="Y153" s="698"/>
      <c r="Z153" s="698"/>
      <c r="AA153" s="698"/>
      <c r="AB153" s="698"/>
      <c r="AC153" s="702"/>
      <c r="AD153" s="703"/>
      <c r="AE153" s="696"/>
      <c r="AF153" s="696"/>
      <c r="AG153" s="696"/>
    </row>
    <row r="154" spans="1:41" ht="46">
      <c r="A154" s="747"/>
      <c r="B154" s="1502" t="s">
        <v>228</v>
      </c>
      <c r="C154" s="1502"/>
      <c r="D154" s="1502"/>
      <c r="E154" s="735"/>
      <c r="F154" s="735"/>
      <c r="G154" s="735"/>
      <c r="H154" s="735"/>
      <c r="I154" s="735"/>
      <c r="J154" s="735"/>
      <c r="K154" s="735"/>
      <c r="L154" s="735"/>
      <c r="M154" s="735"/>
      <c r="N154" s="735"/>
      <c r="O154" s="735"/>
      <c r="P154" s="1508" t="s">
        <v>228</v>
      </c>
      <c r="Q154" s="1508"/>
      <c r="R154" s="1508"/>
      <c r="S154" s="1508"/>
      <c r="T154" s="1508"/>
      <c r="U154" s="735"/>
      <c r="V154" s="735"/>
      <c r="W154" s="735"/>
      <c r="X154" s="735"/>
      <c r="Y154" s="735"/>
      <c r="Z154" s="735"/>
      <c r="AA154" s="735"/>
      <c r="AB154" s="748" t="s">
        <v>228</v>
      </c>
      <c r="AC154" s="735"/>
      <c r="AD154" s="735"/>
      <c r="AE154" s="735"/>
      <c r="AF154" s="735"/>
      <c r="AG154" s="735"/>
      <c r="AH154" s="735"/>
      <c r="AI154" s="735"/>
      <c r="AJ154" s="735"/>
      <c r="AK154" s="735"/>
      <c r="AL154" s="735"/>
    </row>
    <row r="155" spans="1:41" ht="15" customHeight="1">
      <c r="A155" s="469"/>
      <c r="B155" s="720"/>
      <c r="C155" s="702"/>
      <c r="D155" s="720"/>
      <c r="E155" s="702"/>
      <c r="F155" s="720"/>
      <c r="G155" s="702"/>
      <c r="H155" s="720"/>
      <c r="I155" s="702"/>
      <c r="J155" s="720"/>
      <c r="K155" s="702"/>
      <c r="L155" s="720"/>
      <c r="M155" s="702"/>
      <c r="N155" s="684"/>
      <c r="O155" s="702"/>
      <c r="P155" s="720"/>
      <c r="Q155" s="702"/>
      <c r="R155" s="720"/>
      <c r="S155" s="702"/>
      <c r="T155" s="720"/>
      <c r="U155" s="702"/>
      <c r="V155" s="720"/>
      <c r="W155" s="702"/>
      <c r="X155" s="720"/>
      <c r="Y155" s="702"/>
      <c r="Z155" s="720"/>
      <c r="AA155" s="702"/>
      <c r="AB155" s="720"/>
      <c r="AC155" s="705"/>
      <c r="AD155" s="703"/>
      <c r="AE155" s="696"/>
      <c r="AF155" s="696"/>
      <c r="AG155" s="696"/>
    </row>
    <row r="156" spans="1:41" ht="29.5" customHeight="1">
      <c r="A156" s="469"/>
      <c r="B156" s="684" t="s">
        <v>707</v>
      </c>
      <c r="C156" s="683"/>
      <c r="D156" s="684" t="s">
        <v>359</v>
      </c>
      <c r="E156" s="683"/>
      <c r="F156" s="684" t="s">
        <v>360</v>
      </c>
      <c r="G156" s="683"/>
      <c r="H156" s="684" t="s">
        <v>361</v>
      </c>
      <c r="I156" s="683"/>
      <c r="J156" s="684" t="s">
        <v>362</v>
      </c>
      <c r="K156" s="683"/>
      <c r="L156" s="684" t="s">
        <v>363</v>
      </c>
      <c r="M156" s="683"/>
      <c r="N156" s="684" t="s">
        <v>364</v>
      </c>
      <c r="O156" s="683"/>
      <c r="P156" s="684" t="s">
        <v>365</v>
      </c>
      <c r="Q156" s="1509" t="s">
        <v>711</v>
      </c>
      <c r="R156" s="1509"/>
      <c r="S156" s="1509" t="s">
        <v>367</v>
      </c>
      <c r="T156" s="1509"/>
      <c r="U156" s="685" t="s">
        <v>1513</v>
      </c>
      <c r="V156" s="684" t="s">
        <v>287</v>
      </c>
      <c r="W156" s="683"/>
      <c r="X156" s="684" t="s">
        <v>368</v>
      </c>
      <c r="Y156" s="683"/>
      <c r="Z156" s="684" t="s">
        <v>369</v>
      </c>
      <c r="AA156" s="684"/>
      <c r="AB156" s="749" t="s">
        <v>370</v>
      </c>
      <c r="AC156" s="705"/>
      <c r="AD156" s="703"/>
      <c r="AE156" s="696"/>
      <c r="AF156" s="696"/>
      <c r="AG156" s="696"/>
    </row>
    <row r="157" spans="1:41" ht="33.5">
      <c r="A157" s="469"/>
      <c r="B157" s="712"/>
      <c r="C157" s="702"/>
      <c r="D157" s="712"/>
      <c r="E157" s="702"/>
      <c r="F157" s="712"/>
      <c r="G157" s="750"/>
      <c r="H157" s="712"/>
      <c r="I157" s="702"/>
      <c r="J157" s="712"/>
      <c r="K157" s="702"/>
      <c r="L157" s="712"/>
      <c r="M157" s="702"/>
      <c r="N157" s="712"/>
      <c r="O157" s="702"/>
      <c r="P157" s="712"/>
      <c r="Q157" s="702"/>
      <c r="R157" s="712"/>
      <c r="S157" s="702"/>
      <c r="T157" s="712"/>
      <c r="U157" s="685"/>
      <c r="V157" s="712"/>
      <c r="W157" s="702"/>
      <c r="X157" s="712"/>
      <c r="Y157" s="702"/>
      <c r="Z157" s="712"/>
      <c r="AA157" s="702"/>
      <c r="AB157" s="712"/>
      <c r="AC157" s="705"/>
      <c r="AD157" s="703"/>
      <c r="AE157" s="696"/>
      <c r="AF157" s="696"/>
      <c r="AG157" s="696"/>
    </row>
    <row r="158" spans="1:41" ht="16.5" customHeight="1" thickBot="1">
      <c r="A158" s="469"/>
      <c r="B158" s="714"/>
      <c r="C158" s="702"/>
      <c r="D158" s="714"/>
      <c r="E158" s="702"/>
      <c r="F158" s="714"/>
      <c r="G158" s="702"/>
      <c r="H158" s="714"/>
      <c r="I158" s="702"/>
      <c r="J158" s="714"/>
      <c r="K158" s="702"/>
      <c r="L158" s="714"/>
      <c r="M158" s="702"/>
      <c r="N158" s="714"/>
      <c r="O158" s="702"/>
      <c r="P158" s="714"/>
      <c r="Q158" s="702"/>
      <c r="R158" s="714"/>
      <c r="S158" s="702"/>
      <c r="T158" s="714"/>
      <c r="U158" s="702"/>
      <c r="V158" s="714"/>
      <c r="W158" s="702"/>
      <c r="X158" s="714"/>
      <c r="Y158" s="702"/>
      <c r="Z158" s="714"/>
      <c r="AA158" s="702"/>
      <c r="AB158" s="714"/>
      <c r="AC158" s="705"/>
      <c r="AD158" s="703"/>
      <c r="AE158" s="696"/>
      <c r="AF158" s="696"/>
      <c r="AG158" s="696"/>
    </row>
    <row r="159" spans="1:41" ht="100" customHeight="1" thickBot="1">
      <c r="A159" s="469"/>
      <c r="B159" s="691"/>
      <c r="C159" s="707">
        <v>402.5</v>
      </c>
      <c r="D159" s="691"/>
      <c r="E159" s="707">
        <v>411.56</v>
      </c>
      <c r="F159" s="691"/>
      <c r="G159" s="707">
        <v>438.46</v>
      </c>
      <c r="H159" s="691"/>
      <c r="I159" s="707">
        <v>410.36</v>
      </c>
      <c r="J159" s="691"/>
      <c r="K159" s="707">
        <v>379.76</v>
      </c>
      <c r="L159" s="691"/>
      <c r="M159" s="707">
        <v>396.95</v>
      </c>
      <c r="N159" s="691"/>
      <c r="O159" s="707">
        <v>414.59</v>
      </c>
      <c r="P159" s="691"/>
      <c r="Q159" s="707">
        <v>352.99</v>
      </c>
      <c r="R159" s="691"/>
      <c r="S159" s="707">
        <v>389.3</v>
      </c>
      <c r="T159" s="691"/>
      <c r="U159" s="707">
        <v>237.59</v>
      </c>
      <c r="V159" s="733"/>
      <c r="W159" s="707">
        <v>290.88</v>
      </c>
      <c r="X159" s="691"/>
      <c r="Y159" s="690">
        <v>345.61</v>
      </c>
      <c r="Z159" s="691"/>
      <c r="AA159" s="707">
        <v>318.63</v>
      </c>
      <c r="AB159" s="691" t="s">
        <v>390</v>
      </c>
      <c r="AC159" s="708">
        <v>307.02</v>
      </c>
      <c r="AD159" s="703"/>
      <c r="AE159" s="696"/>
      <c r="AF159" s="696"/>
      <c r="AG159" s="696"/>
      <c r="AM159" s="896">
        <f>COUNTIF(B159:AB159,"U/P")</f>
        <v>1</v>
      </c>
      <c r="AN159" s="896">
        <f>COUNTIF(C159:AC159,"ROW")</f>
        <v>0</v>
      </c>
      <c r="AO159" s="896">
        <f>COUNTIF(B159:AD159,"C")</f>
        <v>0</v>
      </c>
    </row>
    <row r="160" spans="1:41" ht="34" thickBot="1">
      <c r="A160" s="469"/>
      <c r="B160" s="710"/>
      <c r="C160" s="751"/>
      <c r="D160" s="710"/>
      <c r="E160" s="751"/>
      <c r="F160" s="710"/>
      <c r="G160" s="702"/>
      <c r="H160" s="710"/>
      <c r="I160" s="702"/>
      <c r="J160" s="710"/>
      <c r="K160" s="702"/>
      <c r="L160" s="710"/>
      <c r="M160" s="751"/>
      <c r="N160" s="710"/>
      <c r="O160" s="751"/>
      <c r="P160" s="710"/>
      <c r="Q160" s="751"/>
      <c r="R160" s="710"/>
      <c r="S160" s="751"/>
      <c r="T160" s="710"/>
      <c r="U160" s="751"/>
      <c r="V160" s="710"/>
      <c r="W160" s="751"/>
      <c r="X160" s="710"/>
      <c r="Y160" s="702"/>
      <c r="Z160" s="710"/>
      <c r="AA160" s="702"/>
      <c r="AB160" s="710"/>
      <c r="AC160" s="705"/>
      <c r="AD160" s="703"/>
      <c r="AE160" s="696"/>
      <c r="AF160" s="696"/>
      <c r="AG160" s="696"/>
    </row>
    <row r="161" spans="1:41" ht="33.5">
      <c r="A161" s="469"/>
      <c r="B161" s="699" t="s">
        <v>128</v>
      </c>
      <c r="C161" s="698"/>
      <c r="D161" s="698" t="s">
        <v>242</v>
      </c>
      <c r="E161" s="698"/>
      <c r="F161" s="699" t="s">
        <v>119</v>
      </c>
      <c r="G161" s="698"/>
      <c r="H161" s="699" t="s">
        <v>132</v>
      </c>
      <c r="I161" s="698"/>
      <c r="J161" s="699" t="s">
        <v>143</v>
      </c>
      <c r="K161" s="698"/>
      <c r="L161" s="698" t="s">
        <v>242</v>
      </c>
      <c r="M161" s="698"/>
      <c r="N161" s="698" t="s">
        <v>182</v>
      </c>
      <c r="O161" s="698"/>
      <c r="P161" s="698" t="s">
        <v>182</v>
      </c>
      <c r="Q161" s="698"/>
      <c r="R161" s="699" t="s">
        <v>125</v>
      </c>
      <c r="S161" s="698"/>
      <c r="T161" s="699" t="s">
        <v>119</v>
      </c>
      <c r="U161" s="698"/>
      <c r="V161" s="698" t="s">
        <v>248</v>
      </c>
      <c r="W161" s="698"/>
      <c r="X161" s="698" t="s">
        <v>182</v>
      </c>
      <c r="Y161" s="698"/>
      <c r="Z161" s="698" t="s">
        <v>182</v>
      </c>
      <c r="AA161" s="698"/>
      <c r="AB161" s="699" t="s">
        <v>125</v>
      </c>
      <c r="AC161" s="705"/>
      <c r="AD161" s="703"/>
      <c r="AE161" s="695"/>
      <c r="AF161" s="696"/>
      <c r="AG161" s="696"/>
    </row>
    <row r="162" spans="1:41" ht="82.25" customHeight="1">
      <c r="A162" s="469"/>
      <c r="B162" s="752" t="s">
        <v>1629</v>
      </c>
      <c r="C162" s="713"/>
      <c r="D162" s="713"/>
      <c r="E162" s="713"/>
      <c r="F162" s="713"/>
      <c r="G162" s="713"/>
      <c r="H162" s="713"/>
      <c r="I162" s="713"/>
      <c r="J162" s="713"/>
      <c r="K162" s="713"/>
      <c r="L162" s="713"/>
      <c r="M162" s="713"/>
      <c r="N162" s="752" t="s">
        <v>1526</v>
      </c>
      <c r="O162" s="713"/>
      <c r="P162" s="752" t="s">
        <v>1629</v>
      </c>
      <c r="Q162" s="713"/>
      <c r="R162" s="713"/>
      <c r="S162" s="713"/>
      <c r="T162" s="713"/>
      <c r="U162" s="713"/>
      <c r="V162" s="713"/>
      <c r="W162" s="713"/>
      <c r="X162" s="713"/>
      <c r="Y162" s="713"/>
      <c r="Z162" s="752" t="s">
        <v>1691</v>
      </c>
      <c r="AA162" s="753"/>
      <c r="AB162" s="1514" t="s">
        <v>1631</v>
      </c>
      <c r="AC162" s="1514"/>
      <c r="AD162" s="1514"/>
      <c r="AE162" s="1514"/>
      <c r="AF162" s="1514"/>
      <c r="AG162" s="1514"/>
      <c r="AH162" s="1514"/>
      <c r="AI162" s="909"/>
      <c r="AJ162" s="909"/>
      <c r="AK162" s="909"/>
      <c r="AL162" s="909"/>
    </row>
    <row r="163" spans="1:41" ht="37.5" customHeight="1">
      <c r="A163" s="1507" t="s">
        <v>1518</v>
      </c>
      <c r="B163" s="1507"/>
      <c r="C163" s="1507"/>
      <c r="D163" s="1507"/>
      <c r="E163" s="1507"/>
      <c r="F163" s="1507"/>
      <c r="G163" s="1507"/>
      <c r="H163" s="1507"/>
      <c r="I163" s="1507"/>
      <c r="J163" s="1507"/>
      <c r="K163" s="1507"/>
      <c r="L163" s="1507"/>
      <c r="M163" s="1507"/>
      <c r="N163" s="1507"/>
      <c r="O163" s="1507"/>
      <c r="P163" s="1507"/>
      <c r="Q163" s="1507"/>
      <c r="R163" s="1507"/>
      <c r="S163" s="1507"/>
      <c r="T163" s="1507"/>
      <c r="U163" s="735"/>
      <c r="V163" s="735"/>
      <c r="W163" s="1507" t="s">
        <v>1518</v>
      </c>
      <c r="X163" s="1507"/>
      <c r="Y163" s="1507"/>
      <c r="Z163" s="1507"/>
      <c r="AA163" s="1507"/>
      <c r="AB163" s="1507"/>
      <c r="AC163" s="1507"/>
      <c r="AD163" s="1507"/>
      <c r="AE163" s="1507"/>
      <c r="AF163" s="1507"/>
      <c r="AG163" s="1507"/>
      <c r="AH163" s="1492"/>
      <c r="AI163" s="907"/>
      <c r="AJ163" s="907"/>
      <c r="AK163" s="907"/>
      <c r="AL163" s="907"/>
    </row>
    <row r="164" spans="1:41" ht="9.5" hidden="1" customHeight="1">
      <c r="A164" s="469"/>
      <c r="B164" s="754"/>
      <c r="C164" s="754"/>
      <c r="D164" s="754"/>
      <c r="E164" s="754"/>
      <c r="F164" s="754"/>
      <c r="G164" s="754"/>
      <c r="H164" s="754"/>
      <c r="I164" s="754"/>
      <c r="J164" s="754"/>
      <c r="K164" s="754"/>
      <c r="L164" s="754"/>
      <c r="M164" s="754"/>
      <c r="N164" s="754"/>
      <c r="O164" s="754"/>
      <c r="P164" s="754"/>
      <c r="Q164" s="754"/>
      <c r="R164" s="754"/>
      <c r="S164" s="754"/>
      <c r="T164" s="754"/>
      <c r="U164" s="754"/>
      <c r="V164" s="754"/>
      <c r="W164" s="754"/>
      <c r="X164" s="754"/>
      <c r="Y164" s="754"/>
      <c r="Z164" s="754"/>
      <c r="AA164" s="754"/>
      <c r="AB164" s="754"/>
      <c r="AC164" s="755"/>
      <c r="AD164" s="756"/>
      <c r="AE164" s="695"/>
      <c r="AF164" s="696"/>
      <c r="AG164" s="696"/>
      <c r="AH164" s="757"/>
      <c r="AI164" s="757"/>
      <c r="AJ164" s="757"/>
      <c r="AK164" s="757"/>
      <c r="AL164" s="757"/>
    </row>
    <row r="165" spans="1:41" ht="24.5" customHeight="1">
      <c r="A165" s="469"/>
      <c r="B165" s="684" t="s">
        <v>371</v>
      </c>
      <c r="C165" s="683"/>
      <c r="D165" s="684" t="s">
        <v>372</v>
      </c>
      <c r="E165" s="683"/>
      <c r="F165" s="684" t="s">
        <v>373</v>
      </c>
      <c r="G165" s="683"/>
      <c r="H165" s="684" t="s">
        <v>288</v>
      </c>
      <c r="I165" s="683"/>
      <c r="J165" s="684" t="s">
        <v>259</v>
      </c>
      <c r="K165" s="683"/>
      <c r="L165" s="684" t="s">
        <v>251</v>
      </c>
      <c r="M165" s="683"/>
      <c r="N165" s="684" t="s">
        <v>377</v>
      </c>
      <c r="O165" s="683"/>
      <c r="P165" s="684" t="s">
        <v>297</v>
      </c>
      <c r="Q165" s="683"/>
      <c r="R165" s="684" t="s">
        <v>378</v>
      </c>
      <c r="S165" s="683"/>
      <c r="T165" s="684" t="s">
        <v>236</v>
      </c>
      <c r="U165" s="683"/>
      <c r="V165" s="684" t="s">
        <v>237</v>
      </c>
      <c r="W165" s="683"/>
      <c r="X165" s="684" t="s">
        <v>214</v>
      </c>
      <c r="Y165" s="683"/>
      <c r="Z165" s="684" t="s">
        <v>213</v>
      </c>
      <c r="AA165" s="683"/>
      <c r="AB165" s="684" t="s">
        <v>212</v>
      </c>
      <c r="AC165" s="702"/>
      <c r="AD165" s="720"/>
      <c r="AE165" s="696"/>
      <c r="AF165" s="696"/>
      <c r="AG165" s="696"/>
    </row>
    <row r="166" spans="1:41" ht="33.5">
      <c r="A166" s="469"/>
      <c r="B166" s="712"/>
      <c r="C166" s="702"/>
      <c r="D166" s="712"/>
      <c r="E166" s="702"/>
      <c r="F166" s="712"/>
      <c r="G166" s="702"/>
      <c r="H166" s="712"/>
      <c r="I166" s="702"/>
      <c r="J166" s="712"/>
      <c r="K166" s="702"/>
      <c r="L166" s="712"/>
      <c r="M166" s="702"/>
      <c r="N166" s="712"/>
      <c r="O166" s="702"/>
      <c r="P166" s="712"/>
      <c r="Q166" s="702"/>
      <c r="R166" s="712"/>
      <c r="S166" s="702"/>
      <c r="T166" s="712"/>
      <c r="U166" s="702"/>
      <c r="V166" s="712"/>
      <c r="W166" s="702"/>
      <c r="X166" s="712"/>
      <c r="Y166" s="702"/>
      <c r="Z166" s="712"/>
      <c r="AA166" s="737"/>
      <c r="AB166" s="712"/>
      <c r="AC166" s="702"/>
      <c r="AD166" s="720"/>
      <c r="AE166" s="696"/>
      <c r="AF166" s="696"/>
      <c r="AG166" s="696"/>
    </row>
    <row r="167" spans="1:41" ht="15.5" customHeight="1" thickBot="1">
      <c r="A167" s="469"/>
      <c r="B167" s="714"/>
      <c r="C167" s="702"/>
      <c r="D167" s="714"/>
      <c r="E167" s="702"/>
      <c r="F167" s="714"/>
      <c r="G167" s="702"/>
      <c r="H167" s="714"/>
      <c r="I167" s="702"/>
      <c r="J167" s="714"/>
      <c r="K167" s="702"/>
      <c r="L167" s="714"/>
      <c r="M167" s="702"/>
      <c r="N167" s="714"/>
      <c r="O167" s="702"/>
      <c r="P167" s="714"/>
      <c r="Q167" s="702"/>
      <c r="R167" s="714"/>
      <c r="S167" s="702"/>
      <c r="T167" s="714"/>
      <c r="U167" s="702"/>
      <c r="V167" s="714"/>
      <c r="W167" s="702"/>
      <c r="X167" s="714"/>
      <c r="Y167" s="702"/>
      <c r="Z167" s="714"/>
      <c r="AA167" s="702"/>
      <c r="AB167" s="714"/>
      <c r="AC167" s="702"/>
      <c r="AD167" s="720"/>
      <c r="AE167" s="696"/>
      <c r="AF167" s="696"/>
      <c r="AG167" s="696"/>
    </row>
    <row r="168" spans="1:41" ht="100" customHeight="1" thickBot="1">
      <c r="A168" s="469"/>
      <c r="B168" s="733"/>
      <c r="C168" s="707">
        <v>346.85</v>
      </c>
      <c r="D168" s="733"/>
      <c r="E168" s="707">
        <v>300.19</v>
      </c>
      <c r="F168" s="733"/>
      <c r="G168" s="707">
        <v>317</v>
      </c>
      <c r="H168" s="732" t="s">
        <v>390</v>
      </c>
      <c r="I168" s="707">
        <v>454</v>
      </c>
      <c r="J168" s="733"/>
      <c r="K168" s="707">
        <v>385</v>
      </c>
      <c r="L168" s="733"/>
      <c r="M168" s="707">
        <v>417.69</v>
      </c>
      <c r="N168" s="733"/>
      <c r="O168" s="707">
        <v>409.51</v>
      </c>
      <c r="P168" s="733"/>
      <c r="Q168" s="707">
        <v>385.17</v>
      </c>
      <c r="R168" s="733"/>
      <c r="S168" s="707">
        <v>345.19</v>
      </c>
      <c r="T168" s="733"/>
      <c r="U168" s="707">
        <v>332.38</v>
      </c>
      <c r="V168" s="733"/>
      <c r="W168" s="707">
        <v>393.62</v>
      </c>
      <c r="X168" s="733"/>
      <c r="Y168" s="707">
        <v>387.95</v>
      </c>
      <c r="Z168" s="733"/>
      <c r="AA168" s="707">
        <v>340.35</v>
      </c>
      <c r="AB168" s="733"/>
      <c r="AC168" s="707">
        <v>393.12</v>
      </c>
      <c r="AD168" s="720"/>
      <c r="AE168" s="696"/>
      <c r="AF168" s="696"/>
      <c r="AG168" s="696"/>
      <c r="AM168" s="896">
        <f>COUNTIF(B168:AB168,"U/P")</f>
        <v>1</v>
      </c>
      <c r="AN168" s="896">
        <f>COUNTIF(C168:AC168,"ROW")</f>
        <v>0</v>
      </c>
      <c r="AO168" s="896">
        <f>COUNTIF(D168:AD168,"C")</f>
        <v>0</v>
      </c>
    </row>
    <row r="169" spans="1:41" ht="34" thickBot="1">
      <c r="A169" s="469"/>
      <c r="B169" s="710"/>
      <c r="C169" s="702"/>
      <c r="D169" s="710"/>
      <c r="E169" s="702"/>
      <c r="F169" s="710"/>
      <c r="G169" s="702"/>
      <c r="H169" s="710"/>
      <c r="I169" s="702"/>
      <c r="J169" s="710"/>
      <c r="K169" s="702"/>
      <c r="L169" s="710"/>
      <c r="M169" s="702"/>
      <c r="N169" s="710"/>
      <c r="O169" s="702"/>
      <c r="P169" s="710"/>
      <c r="Q169" s="702"/>
      <c r="R169" s="710"/>
      <c r="S169" s="702"/>
      <c r="T169" s="710"/>
      <c r="U169" s="702"/>
      <c r="V169" s="710"/>
      <c r="W169" s="702"/>
      <c r="X169" s="710"/>
      <c r="Y169" s="702"/>
      <c r="Z169" s="710"/>
      <c r="AA169" s="702"/>
      <c r="AB169" s="710"/>
      <c r="AC169" s="702"/>
      <c r="AD169" s="720"/>
      <c r="AE169" s="696"/>
      <c r="AF169" s="696"/>
      <c r="AG169" s="696"/>
    </row>
    <row r="170" spans="1:41" ht="33.5">
      <c r="A170" s="469"/>
      <c r="B170" s="698" t="s">
        <v>185</v>
      </c>
      <c r="C170" s="698"/>
      <c r="D170" s="698" t="s">
        <v>185</v>
      </c>
      <c r="E170" s="698"/>
      <c r="F170" s="699" t="s">
        <v>119</v>
      </c>
      <c r="G170" s="698"/>
      <c r="H170" s="698" t="s">
        <v>182</v>
      </c>
      <c r="I170" s="698"/>
      <c r="J170" s="698" t="s">
        <v>248</v>
      </c>
      <c r="K170" s="698"/>
      <c r="L170" s="698" t="s">
        <v>248</v>
      </c>
      <c r="M170" s="698"/>
      <c r="N170" s="699" t="s">
        <v>132</v>
      </c>
      <c r="O170" s="698"/>
      <c r="P170" s="698" t="s">
        <v>182</v>
      </c>
      <c r="Q170" s="698"/>
      <c r="R170" s="699" t="s">
        <v>115</v>
      </c>
      <c r="S170" s="698"/>
      <c r="T170" s="698" t="s">
        <v>182</v>
      </c>
      <c r="U170" s="698"/>
      <c r="V170" s="698" t="s">
        <v>182</v>
      </c>
      <c r="W170" s="698"/>
      <c r="X170" s="698" t="s">
        <v>185</v>
      </c>
      <c r="Y170" s="698"/>
      <c r="Z170" s="698" t="s">
        <v>182</v>
      </c>
      <c r="AA170" s="698"/>
      <c r="AB170" s="698" t="s">
        <v>182</v>
      </c>
      <c r="AC170" s="702"/>
      <c r="AD170" s="720"/>
      <c r="AE170" s="696"/>
      <c r="AF170" s="696"/>
      <c r="AG170" s="696"/>
    </row>
    <row r="171" spans="1:41" ht="85" customHeight="1">
      <c r="A171" s="1515" t="s">
        <v>1690</v>
      </c>
      <c r="B171" s="1515"/>
      <c r="C171" s="1515"/>
      <c r="D171" s="758"/>
      <c r="E171" s="758"/>
      <c r="F171" s="758"/>
      <c r="G171" s="758"/>
      <c r="H171" s="842" t="s">
        <v>1569</v>
      </c>
      <c r="I171" s="758"/>
      <c r="J171" s="758"/>
      <c r="K171" s="758"/>
      <c r="L171" s="716"/>
      <c r="M171" s="716"/>
      <c r="N171" s="716"/>
      <c r="O171" s="716"/>
      <c r="P171" s="716"/>
      <c r="Q171" s="716"/>
      <c r="R171" s="716"/>
      <c r="S171" s="716"/>
      <c r="T171" s="759" t="s">
        <v>1526</v>
      </c>
      <c r="U171" s="716"/>
      <c r="V171" s="716"/>
      <c r="W171" s="716"/>
      <c r="X171" s="716"/>
      <c r="Y171" s="716"/>
      <c r="Z171" s="716"/>
      <c r="AA171" s="716"/>
      <c r="AB171" s="716"/>
      <c r="AC171" s="705"/>
      <c r="AD171" s="703"/>
      <c r="AE171" s="696"/>
      <c r="AF171" s="696"/>
      <c r="AG171" s="696"/>
    </row>
    <row r="172" spans="1:41" ht="15" customHeight="1">
      <c r="A172" s="469"/>
      <c r="B172" s="703"/>
      <c r="C172" s="705"/>
      <c r="D172" s="703"/>
      <c r="E172" s="705"/>
      <c r="F172" s="703"/>
      <c r="G172" s="705"/>
      <c r="H172" s="703"/>
      <c r="I172" s="705"/>
      <c r="J172" s="703"/>
      <c r="K172" s="705"/>
      <c r="L172" s="703"/>
      <c r="M172" s="705"/>
      <c r="N172" s="703"/>
      <c r="O172" s="705"/>
      <c r="P172" s="703"/>
      <c r="Q172" s="705"/>
      <c r="R172" s="703"/>
      <c r="S172" s="705"/>
      <c r="T172" s="703"/>
      <c r="U172" s="705"/>
      <c r="V172" s="703"/>
      <c r="W172" s="705"/>
      <c r="X172" s="703"/>
      <c r="Y172" s="705"/>
      <c r="Z172" s="703"/>
      <c r="AA172" s="705"/>
      <c r="AB172" s="703"/>
      <c r="AC172" s="705"/>
      <c r="AD172" s="703"/>
      <c r="AE172" s="696"/>
      <c r="AF172" s="696"/>
      <c r="AG172" s="696"/>
    </row>
    <row r="173" spans="1:41" ht="33.5" customHeight="1">
      <c r="A173" s="469"/>
      <c r="B173" s="684" t="s">
        <v>209</v>
      </c>
      <c r="C173" s="683"/>
      <c r="D173" s="684" t="s">
        <v>231</v>
      </c>
      <c r="E173" s="683"/>
      <c r="F173" s="684" t="s">
        <v>379</v>
      </c>
      <c r="G173" s="683"/>
      <c r="H173" s="684" t="s">
        <v>263</v>
      </c>
      <c r="I173" s="683"/>
      <c r="J173" s="684" t="s">
        <v>1279</v>
      </c>
      <c r="K173" s="683"/>
      <c r="L173" s="684" t="s">
        <v>215</v>
      </c>
      <c r="M173" s="683"/>
      <c r="N173" s="684" t="s">
        <v>216</v>
      </c>
      <c r="O173" s="683"/>
      <c r="P173" s="684" t="s">
        <v>239</v>
      </c>
      <c r="Q173" s="683"/>
      <c r="R173" s="684" t="s">
        <v>240</v>
      </c>
      <c r="S173" s="683"/>
      <c r="T173" s="684" t="s">
        <v>241</v>
      </c>
      <c r="U173" s="683"/>
      <c r="V173" s="684" t="s">
        <v>381</v>
      </c>
      <c r="W173" s="684"/>
      <c r="X173" s="684" t="s">
        <v>383</v>
      </c>
      <c r="Y173" s="683"/>
      <c r="Z173" s="684" t="s">
        <v>384</v>
      </c>
      <c r="AA173" s="683"/>
      <c r="AB173" s="684" t="s">
        <v>253</v>
      </c>
      <c r="AC173" s="702"/>
      <c r="AD173" s="720"/>
      <c r="AE173" s="696"/>
      <c r="AF173" s="696"/>
      <c r="AG173" s="696"/>
    </row>
    <row r="174" spans="1:41" ht="33.5">
      <c r="A174" s="469"/>
      <c r="B174" s="712"/>
      <c r="C174" s="698"/>
      <c r="D174" s="712"/>
      <c r="E174" s="702"/>
      <c r="F174" s="712"/>
      <c r="G174" s="707"/>
      <c r="H174" s="712"/>
      <c r="I174" s="707"/>
      <c r="J174" s="712"/>
      <c r="K174" s="707"/>
      <c r="L174" s="712"/>
      <c r="M174" s="702"/>
      <c r="N174" s="712"/>
      <c r="O174" s="702"/>
      <c r="P174" s="712"/>
      <c r="Q174" s="702"/>
      <c r="R174" s="712"/>
      <c r="S174" s="702"/>
      <c r="T174" s="712"/>
      <c r="U174" s="702"/>
      <c r="V174" s="712"/>
      <c r="W174" s="713"/>
      <c r="X174" s="712"/>
      <c r="Y174" s="713"/>
      <c r="Z174" s="712"/>
      <c r="AA174" s="702"/>
      <c r="AB174" s="712"/>
      <c r="AC174" s="702"/>
      <c r="AD174" s="720"/>
      <c r="AE174" s="696"/>
      <c r="AF174" s="696"/>
      <c r="AG174" s="696"/>
    </row>
    <row r="175" spans="1:41" ht="13" customHeight="1" thickBot="1">
      <c r="A175" s="469"/>
      <c r="B175" s="714"/>
      <c r="C175" s="702"/>
      <c r="D175" s="714"/>
      <c r="E175" s="702"/>
      <c r="F175" s="714"/>
      <c r="G175" s="702"/>
      <c r="H175" s="714"/>
      <c r="I175" s="702"/>
      <c r="J175" s="714"/>
      <c r="K175" s="702"/>
      <c r="L175" s="714"/>
      <c r="M175" s="702"/>
      <c r="N175" s="714"/>
      <c r="O175" s="702"/>
      <c r="P175" s="714"/>
      <c r="Q175" s="702"/>
      <c r="R175" s="714"/>
      <c r="S175" s="702"/>
      <c r="T175" s="714"/>
      <c r="U175" s="702"/>
      <c r="V175" s="714"/>
      <c r="W175" s="702"/>
      <c r="X175" s="714"/>
      <c r="Y175" s="702"/>
      <c r="Z175" s="714"/>
      <c r="AA175" s="702"/>
      <c r="AB175" s="714"/>
      <c r="AC175" s="702"/>
      <c r="AD175" s="720"/>
      <c r="AE175" s="696"/>
      <c r="AF175" s="696"/>
      <c r="AG175" s="696"/>
    </row>
    <row r="176" spans="1:41" ht="100" customHeight="1" thickBot="1">
      <c r="A176" s="469"/>
      <c r="B176" s="733"/>
      <c r="C176" s="707">
        <v>328.54</v>
      </c>
      <c r="D176" s="733"/>
      <c r="E176" s="707">
        <v>398.52</v>
      </c>
      <c r="F176" s="733"/>
      <c r="G176" s="707">
        <v>425.85</v>
      </c>
      <c r="H176" s="733"/>
      <c r="I176" s="707">
        <v>409.37</v>
      </c>
      <c r="J176" s="733"/>
      <c r="K176" s="707">
        <v>388.46</v>
      </c>
      <c r="L176" s="733"/>
      <c r="M176" s="707">
        <v>380.96</v>
      </c>
      <c r="N176" s="733"/>
      <c r="O176" s="707">
        <v>381.39</v>
      </c>
      <c r="P176" s="733"/>
      <c r="Q176" s="707">
        <v>344.6</v>
      </c>
      <c r="R176" s="733"/>
      <c r="S176" s="707">
        <v>395.64</v>
      </c>
      <c r="T176" s="733"/>
      <c r="U176" s="707">
        <v>414.76</v>
      </c>
      <c r="V176" s="733"/>
      <c r="W176" s="707">
        <v>401.93</v>
      </c>
      <c r="X176" s="691" t="s">
        <v>228</v>
      </c>
      <c r="Y176" s="707">
        <v>354.95</v>
      </c>
      <c r="Z176" s="763"/>
      <c r="AA176" s="707">
        <v>425</v>
      </c>
      <c r="AB176" s="763"/>
      <c r="AC176" s="690">
        <v>414</v>
      </c>
      <c r="AD176" s="720"/>
      <c r="AE176" s="696"/>
      <c r="AF176" s="696"/>
      <c r="AG176" s="696"/>
      <c r="AM176" s="896">
        <f>COUNTIF(B176:AB176,"U/P")</f>
        <v>0</v>
      </c>
      <c r="AN176" s="896">
        <f>COUNTIF(C176:AC176,"ROW")</f>
        <v>1</v>
      </c>
      <c r="AO176" s="896">
        <f>COUNTIF(D176:AD176,"C")</f>
        <v>0</v>
      </c>
    </row>
    <row r="177" spans="1:41" ht="34" thickBot="1">
      <c r="A177" s="469"/>
      <c r="B177" s="710"/>
      <c r="C177" s="702"/>
      <c r="D177" s="710"/>
      <c r="E177" s="702"/>
      <c r="F177" s="710"/>
      <c r="G177" s="702"/>
      <c r="H177" s="710"/>
      <c r="I177" s="702"/>
      <c r="J177" s="710"/>
      <c r="K177" s="702"/>
      <c r="L177" s="710"/>
      <c r="M177" s="702"/>
      <c r="N177" s="710"/>
      <c r="O177" s="702"/>
      <c r="P177" s="710"/>
      <c r="Q177" s="702"/>
      <c r="R177" s="710"/>
      <c r="S177" s="702"/>
      <c r="T177" s="710"/>
      <c r="U177" s="702"/>
      <c r="V177" s="710"/>
      <c r="W177" s="702"/>
      <c r="X177" s="710"/>
      <c r="Y177" s="702"/>
      <c r="Z177" s="710"/>
      <c r="AA177" s="702"/>
      <c r="AB177" s="710"/>
      <c r="AC177" s="702"/>
      <c r="AD177" s="720"/>
      <c r="AE177" s="696"/>
      <c r="AF177" s="696"/>
      <c r="AG177" s="696"/>
    </row>
    <row r="178" spans="1:41" ht="33.5">
      <c r="A178" s="469"/>
      <c r="B178" s="698" t="s">
        <v>182</v>
      </c>
      <c r="C178" s="698"/>
      <c r="D178" s="698" t="s">
        <v>182</v>
      </c>
      <c r="E178" s="698"/>
      <c r="F178" s="699" t="s">
        <v>115</v>
      </c>
      <c r="G178" s="698"/>
      <c r="H178" s="698" t="s">
        <v>242</v>
      </c>
      <c r="I178" s="698"/>
      <c r="J178" s="699" t="s">
        <v>119</v>
      </c>
      <c r="K178" s="698"/>
      <c r="L178" s="698" t="s">
        <v>182</v>
      </c>
      <c r="M178" s="698"/>
      <c r="N178" s="698" t="s">
        <v>185</v>
      </c>
      <c r="O178" s="698"/>
      <c r="P178" s="698" t="s">
        <v>182</v>
      </c>
      <c r="Q178" s="698"/>
      <c r="R178" s="698" t="s">
        <v>185</v>
      </c>
      <c r="S178" s="698"/>
      <c r="T178" s="698" t="s">
        <v>242</v>
      </c>
      <c r="U178" s="698"/>
      <c r="V178" s="699" t="s">
        <v>115</v>
      </c>
      <c r="W178" s="698"/>
      <c r="X178" s="698" t="s">
        <v>185</v>
      </c>
      <c r="Y178" s="698"/>
      <c r="Z178" s="699" t="s">
        <v>125</v>
      </c>
      <c r="AA178" s="698"/>
      <c r="AB178" s="698" t="s">
        <v>248</v>
      </c>
      <c r="AC178" s="702"/>
      <c r="AD178" s="720"/>
      <c r="AE178" s="696"/>
      <c r="AF178" s="696"/>
      <c r="AG178" s="696"/>
    </row>
    <row r="179" spans="1:41" ht="26">
      <c r="A179" s="469"/>
      <c r="B179" s="716"/>
      <c r="C179" s="716"/>
      <c r="D179" s="716"/>
      <c r="E179" s="716"/>
      <c r="F179" s="764"/>
      <c r="G179" s="716"/>
      <c r="H179" s="716"/>
      <c r="I179" s="716"/>
      <c r="J179" s="764"/>
      <c r="K179" s="716"/>
      <c r="L179" s="716"/>
      <c r="M179" s="716"/>
      <c r="N179" s="716"/>
      <c r="O179" s="716"/>
      <c r="P179" s="716"/>
      <c r="Q179" s="716"/>
      <c r="R179" s="716"/>
      <c r="S179" s="716"/>
      <c r="T179" s="716"/>
      <c r="U179" s="716"/>
      <c r="V179" s="764"/>
      <c r="W179" s="716"/>
      <c r="X179" s="716"/>
      <c r="Y179" s="716"/>
      <c r="Z179" s="764"/>
      <c r="AA179" s="716"/>
      <c r="AB179" s="716"/>
      <c r="AC179" s="705"/>
      <c r="AD179" s="703"/>
      <c r="AE179" s="696"/>
      <c r="AF179" s="696"/>
      <c r="AG179" s="696"/>
    </row>
    <row r="180" spans="1:41" ht="33.5">
      <c r="A180" s="469"/>
      <c r="B180" s="716"/>
      <c r="C180" s="716"/>
      <c r="D180" s="716"/>
      <c r="E180" s="716"/>
      <c r="F180" s="716"/>
      <c r="G180" s="716"/>
      <c r="H180" s="716"/>
      <c r="I180" s="716"/>
      <c r="J180" s="716"/>
      <c r="K180" s="716"/>
      <c r="L180" s="716"/>
      <c r="M180" s="716"/>
      <c r="N180" s="765" t="s">
        <v>1526</v>
      </c>
      <c r="O180" s="716"/>
      <c r="P180" s="716"/>
      <c r="Q180" s="716"/>
      <c r="R180" s="716"/>
      <c r="S180" s="716"/>
      <c r="T180" s="716"/>
      <c r="U180" s="716"/>
      <c r="V180" s="716"/>
      <c r="W180" s="716"/>
      <c r="X180" s="782" t="s">
        <v>454</v>
      </c>
      <c r="Y180" s="716"/>
      <c r="Z180" s="716"/>
      <c r="AA180" s="716"/>
      <c r="AB180" s="716"/>
      <c r="AC180" s="705"/>
      <c r="AD180" s="703"/>
      <c r="AE180" s="696"/>
      <c r="AF180" s="696"/>
      <c r="AG180" s="696"/>
    </row>
    <row r="181" spans="1:41" ht="36" customHeight="1">
      <c r="A181" s="747"/>
      <c r="B181" s="735"/>
      <c r="C181" s="735"/>
      <c r="D181" s="735"/>
      <c r="E181" s="735"/>
      <c r="F181" s="761"/>
      <c r="G181" s="735"/>
      <c r="H181" s="735"/>
      <c r="I181" s="735"/>
      <c r="J181" s="735"/>
      <c r="K181" s="735"/>
      <c r="L181" s="735"/>
      <c r="M181" s="735"/>
      <c r="N181" s="735"/>
      <c r="O181" s="735"/>
      <c r="P181" s="735"/>
      <c r="Q181" s="735"/>
      <c r="R181" s="735"/>
      <c r="S181" s="735"/>
      <c r="T181" s="735"/>
      <c r="U181" s="735"/>
      <c r="V181" s="735"/>
      <c r="W181" s="735"/>
      <c r="X181" s="907" t="s">
        <v>228</v>
      </c>
      <c r="Y181" s="735"/>
      <c r="Z181" s="735"/>
      <c r="AA181" s="735"/>
      <c r="AB181" s="735"/>
      <c r="AC181" s="735"/>
      <c r="AD181" s="735"/>
      <c r="AE181" s="735"/>
      <c r="AF181" s="735"/>
      <c r="AG181" s="735"/>
      <c r="AH181" s="735"/>
      <c r="AI181" s="735"/>
      <c r="AJ181" s="735"/>
      <c r="AK181" s="735"/>
      <c r="AL181" s="735"/>
    </row>
    <row r="182" spans="1:41" ht="21.75" customHeight="1">
      <c r="A182" s="697"/>
      <c r="B182" s="684" t="s">
        <v>385</v>
      </c>
      <c r="C182" s="683"/>
      <c r="D182" s="684" t="s">
        <v>386</v>
      </c>
      <c r="E182" s="683"/>
      <c r="F182" s="684" t="s">
        <v>257</v>
      </c>
      <c r="G182" s="683"/>
      <c r="H182" s="684" t="s">
        <v>387</v>
      </c>
      <c r="I182" s="683"/>
      <c r="J182" s="684" t="s">
        <v>267</v>
      </c>
      <c r="K182" s="683"/>
      <c r="L182" s="684" t="s">
        <v>268</v>
      </c>
      <c r="M182" s="683"/>
      <c r="N182" s="684" t="s">
        <v>269</v>
      </c>
      <c r="O182" s="683"/>
      <c r="P182" s="684" t="s">
        <v>227</v>
      </c>
      <c r="Q182" s="683"/>
      <c r="R182" s="684" t="s">
        <v>271</v>
      </c>
      <c r="S182" s="683"/>
      <c r="T182" s="684" t="s">
        <v>391</v>
      </c>
      <c r="U182" s="683"/>
      <c r="V182" s="684" t="s">
        <v>392</v>
      </c>
      <c r="W182" s="683"/>
      <c r="X182" s="684" t="s">
        <v>393</v>
      </c>
      <c r="Y182" s="683"/>
      <c r="Z182" s="684" t="s">
        <v>394</v>
      </c>
      <c r="AA182" s="683"/>
      <c r="AB182" s="684" t="s">
        <v>225</v>
      </c>
      <c r="AC182" s="702"/>
      <c r="AD182" s="720"/>
      <c r="AE182" s="696"/>
      <c r="AF182" s="696"/>
      <c r="AG182" s="696"/>
    </row>
    <row r="183" spans="1:41" ht="33.5">
      <c r="A183" s="697"/>
      <c r="B183" s="712"/>
      <c r="C183" s="698"/>
      <c r="D183" s="712"/>
      <c r="E183" s="702"/>
      <c r="F183" s="712"/>
      <c r="G183" s="702"/>
      <c r="H183" s="712"/>
      <c r="I183" s="702"/>
      <c r="J183" s="712"/>
      <c r="K183" s="702"/>
      <c r="L183" s="712"/>
      <c r="M183" s="702"/>
      <c r="N183" s="712"/>
      <c r="O183" s="702"/>
      <c r="P183" s="712"/>
      <c r="Q183" s="702"/>
      <c r="R183" s="712"/>
      <c r="S183" s="702"/>
      <c r="T183" s="712"/>
      <c r="U183" s="702"/>
      <c r="V183" s="712"/>
      <c r="W183" s="702"/>
      <c r="X183" s="712"/>
      <c r="Y183" s="702"/>
      <c r="Z183" s="712"/>
      <c r="AA183" s="702"/>
      <c r="AB183" s="712"/>
      <c r="AC183" s="702"/>
      <c r="AD183" s="720"/>
      <c r="AE183" s="696"/>
      <c r="AF183" s="696"/>
      <c r="AG183" s="696"/>
    </row>
    <row r="184" spans="1:41" ht="16" customHeight="1" thickBot="1">
      <c r="A184" s="697"/>
      <c r="B184" s="714"/>
      <c r="C184" s="702"/>
      <c r="D184" s="714"/>
      <c r="E184" s="702"/>
      <c r="F184" s="714"/>
      <c r="G184" s="702"/>
      <c r="H184" s="714"/>
      <c r="I184" s="702"/>
      <c r="J184" s="714"/>
      <c r="K184" s="702"/>
      <c r="L184" s="714"/>
      <c r="M184" s="702"/>
      <c r="N184" s="714"/>
      <c r="O184" s="702"/>
      <c r="P184" s="714"/>
      <c r="Q184" s="702"/>
      <c r="R184" s="714"/>
      <c r="S184" s="702"/>
      <c r="T184" s="714"/>
      <c r="U184" s="702"/>
      <c r="V184" s="714"/>
      <c r="W184" s="702"/>
      <c r="X184" s="714"/>
      <c r="Y184" s="702"/>
      <c r="Z184" s="714"/>
      <c r="AA184" s="702"/>
      <c r="AB184" s="714"/>
      <c r="AC184" s="702"/>
      <c r="AD184" s="720"/>
      <c r="AE184" s="696"/>
      <c r="AF184" s="696"/>
      <c r="AG184" s="696"/>
    </row>
    <row r="185" spans="1:41" ht="100" customHeight="1" thickBot="1">
      <c r="A185" s="697"/>
      <c r="B185" s="733"/>
      <c r="C185" s="707">
        <v>353.05</v>
      </c>
      <c r="D185" s="733"/>
      <c r="E185" s="707">
        <v>441.06</v>
      </c>
      <c r="F185" s="733"/>
      <c r="G185" s="707">
        <v>387.5</v>
      </c>
      <c r="H185" s="733"/>
      <c r="I185" s="707">
        <v>372.63</v>
      </c>
      <c r="J185" s="732"/>
      <c r="K185" s="707">
        <v>415.3</v>
      </c>
      <c r="L185" s="733"/>
      <c r="M185" s="707">
        <v>424.58</v>
      </c>
      <c r="N185" s="733"/>
      <c r="O185" s="707">
        <v>391.7</v>
      </c>
      <c r="P185" s="733"/>
      <c r="Q185" s="707">
        <v>410.47</v>
      </c>
      <c r="R185" s="733"/>
      <c r="S185" s="707">
        <v>385.54</v>
      </c>
      <c r="T185" s="733"/>
      <c r="U185" s="707">
        <v>418.31</v>
      </c>
      <c r="V185" s="733"/>
      <c r="W185" s="707">
        <v>421.47</v>
      </c>
      <c r="X185" s="733"/>
      <c r="Y185" s="707">
        <v>401.98</v>
      </c>
      <c r="Z185" s="733"/>
      <c r="AA185" s="707">
        <v>429.38</v>
      </c>
      <c r="AB185" s="733"/>
      <c r="AC185" s="707">
        <v>403.83</v>
      </c>
      <c r="AD185" s="720"/>
      <c r="AE185" s="696"/>
      <c r="AF185" s="696"/>
      <c r="AG185" s="696"/>
      <c r="AM185" s="896">
        <f>COUNTIF(B185:AB185,"U/P")</f>
        <v>0</v>
      </c>
      <c r="AN185" s="896">
        <f>COUNTIF(C185:AC185,"ROW")</f>
        <v>0</v>
      </c>
      <c r="AO185" s="896">
        <f>COUNTIF(D185:AD185,"C")</f>
        <v>0</v>
      </c>
    </row>
    <row r="186" spans="1:41" ht="34" thickBot="1">
      <c r="A186" s="697"/>
      <c r="B186" s="710"/>
      <c r="C186" s="702"/>
      <c r="D186" s="710"/>
      <c r="E186" s="702"/>
      <c r="F186" s="710"/>
      <c r="G186" s="702"/>
      <c r="H186" s="743"/>
      <c r="I186" s="702"/>
      <c r="J186" s="710"/>
      <c r="K186" s="702"/>
      <c r="L186" s="710"/>
      <c r="M186" s="702"/>
      <c r="N186" s="710"/>
      <c r="O186" s="702"/>
      <c r="P186" s="710"/>
      <c r="Q186" s="702"/>
      <c r="R186" s="710"/>
      <c r="S186" s="702"/>
      <c r="T186" s="710"/>
      <c r="U186" s="702"/>
      <c r="V186" s="710"/>
      <c r="W186" s="702"/>
      <c r="X186" s="710"/>
      <c r="Y186" s="702"/>
      <c r="Z186" s="710"/>
      <c r="AA186" s="702"/>
      <c r="AB186" s="710"/>
      <c r="AC186" s="702"/>
      <c r="AD186" s="720"/>
      <c r="AE186" s="696"/>
      <c r="AF186" s="696"/>
      <c r="AG186" s="696"/>
    </row>
    <row r="187" spans="1:41" ht="33.5">
      <c r="A187" s="697"/>
      <c r="B187" s="698" t="s">
        <v>182</v>
      </c>
      <c r="C187" s="698"/>
      <c r="D187" s="699" t="s">
        <v>188</v>
      </c>
      <c r="E187" s="698"/>
      <c r="F187" s="698" t="s">
        <v>248</v>
      </c>
      <c r="G187" s="698"/>
      <c r="H187" s="699" t="s">
        <v>132</v>
      </c>
      <c r="I187" s="698"/>
      <c r="J187" s="698" t="s">
        <v>182</v>
      </c>
      <c r="K187" s="698"/>
      <c r="L187" s="698" t="s">
        <v>185</v>
      </c>
      <c r="M187" s="698"/>
      <c r="N187" s="698" t="s">
        <v>182</v>
      </c>
      <c r="O187" s="698"/>
      <c r="P187" s="698" t="s">
        <v>182</v>
      </c>
      <c r="Q187" s="698"/>
      <c r="R187" s="698" t="s">
        <v>242</v>
      </c>
      <c r="S187" s="698"/>
      <c r="T187" s="699" t="s">
        <v>188</v>
      </c>
      <c r="U187" s="698"/>
      <c r="V187" s="698" t="s">
        <v>242</v>
      </c>
      <c r="W187" s="698"/>
      <c r="X187" s="698" t="s">
        <v>185</v>
      </c>
      <c r="Y187" s="698"/>
      <c r="Z187" s="699" t="s">
        <v>115</v>
      </c>
      <c r="AA187" s="698"/>
      <c r="AB187" s="698" t="s">
        <v>185</v>
      </c>
      <c r="AC187" s="702"/>
      <c r="AD187" s="720"/>
      <c r="AE187" s="696"/>
      <c r="AF187" s="696"/>
      <c r="AG187" s="696"/>
    </row>
    <row r="188" spans="1:41" ht="58.5" customHeight="1">
      <c r="A188" s="1516" t="s">
        <v>1527</v>
      </c>
      <c r="B188" s="1517"/>
      <c r="C188" s="698"/>
      <c r="D188" s="768" t="s">
        <v>454</v>
      </c>
      <c r="E188" s="713"/>
      <c r="F188" s="768" t="s">
        <v>1526</v>
      </c>
      <c r="G188" s="713"/>
      <c r="H188" s="768" t="s">
        <v>1526</v>
      </c>
      <c r="I188" s="713"/>
      <c r="J188" s="768" t="s">
        <v>1526</v>
      </c>
      <c r="K188" s="698"/>
      <c r="L188" s="698"/>
      <c r="M188" s="698"/>
      <c r="N188" s="698"/>
      <c r="O188" s="698"/>
      <c r="P188" s="698"/>
      <c r="Q188" s="698"/>
      <c r="R188" s="698"/>
      <c r="S188" s="698"/>
      <c r="T188" s="698"/>
      <c r="U188" s="698"/>
      <c r="V188" s="752"/>
      <c r="W188" s="698"/>
      <c r="X188" s="698"/>
      <c r="Y188" s="698"/>
      <c r="Z188" s="698"/>
      <c r="AA188" s="698"/>
      <c r="AB188" s="698"/>
      <c r="AC188" s="702"/>
      <c r="AD188" s="720"/>
      <c r="AE188" s="696"/>
      <c r="AF188" s="696"/>
      <c r="AG188" s="696"/>
    </row>
    <row r="189" spans="1:41" ht="36">
      <c r="A189" s="762"/>
      <c r="B189" s="762"/>
      <c r="C189" s="762"/>
      <c r="D189" s="762"/>
      <c r="E189" s="762"/>
      <c r="F189" s="762"/>
      <c r="G189" s="762"/>
      <c r="H189" s="761" t="s">
        <v>228</v>
      </c>
      <c r="I189" s="762"/>
      <c r="J189" s="762"/>
      <c r="K189" s="762"/>
      <c r="L189" s="762"/>
      <c r="M189" s="762"/>
      <c r="N189" s="762"/>
      <c r="O189" s="762"/>
      <c r="P189" s="762"/>
      <c r="Q189" s="762"/>
      <c r="R189" s="762"/>
      <c r="S189" s="762"/>
      <c r="T189" s="841"/>
      <c r="U189" s="762"/>
      <c r="V189" s="762"/>
      <c r="W189" s="762"/>
      <c r="X189" s="762"/>
      <c r="Y189" s="762"/>
      <c r="Z189" s="761" t="s">
        <v>228</v>
      </c>
      <c r="AA189" s="762"/>
      <c r="AB189" s="762"/>
      <c r="AC189" s="762"/>
      <c r="AD189" s="762"/>
      <c r="AE189" s="762"/>
      <c r="AF189" s="762"/>
      <c r="AG189" s="762"/>
      <c r="AH189" s="762"/>
      <c r="AI189" s="762"/>
      <c r="AJ189" s="762"/>
      <c r="AK189" s="762"/>
      <c r="AL189" s="762"/>
    </row>
    <row r="190" spans="1:41" ht="15" customHeight="1">
      <c r="B190" s="703"/>
      <c r="C190" s="705"/>
      <c r="D190" s="703"/>
      <c r="E190" s="705"/>
      <c r="F190" s="703"/>
      <c r="G190" s="705"/>
      <c r="H190" s="703"/>
      <c r="I190" s="705"/>
      <c r="J190" s="703"/>
      <c r="K190" s="705"/>
      <c r="L190" s="703"/>
      <c r="M190" s="705"/>
      <c r="N190" s="703"/>
      <c r="O190" s="705"/>
      <c r="P190" s="703"/>
      <c r="Q190" s="705"/>
      <c r="R190" s="703"/>
      <c r="S190" s="705"/>
      <c r="T190" s="703"/>
      <c r="U190" s="705"/>
      <c r="V190" s="703"/>
      <c r="W190" s="705"/>
      <c r="X190" s="703"/>
      <c r="Y190" s="705"/>
      <c r="Z190" s="703"/>
      <c r="AA190" s="705"/>
      <c r="AB190" s="703"/>
      <c r="AC190" s="705"/>
      <c r="AD190" s="703"/>
      <c r="AE190" s="696"/>
      <c r="AF190" s="696"/>
      <c r="AG190" s="696"/>
    </row>
    <row r="191" spans="1:41" ht="31" customHeight="1">
      <c r="B191" s="684" t="s">
        <v>395</v>
      </c>
      <c r="C191" s="683"/>
      <c r="D191" s="684" t="s">
        <v>396</v>
      </c>
      <c r="E191" s="683"/>
      <c r="F191" s="684" t="s">
        <v>258</v>
      </c>
      <c r="G191" s="683"/>
      <c r="H191" s="684" t="s">
        <v>398</v>
      </c>
      <c r="I191" s="683"/>
      <c r="J191" s="684" t="s">
        <v>262</v>
      </c>
      <c r="K191" s="683"/>
      <c r="L191" s="684" t="s">
        <v>244</v>
      </c>
      <c r="M191" s="683"/>
      <c r="N191" s="684" t="s">
        <v>399</v>
      </c>
      <c r="O191" s="683"/>
      <c r="P191" s="684" t="s">
        <v>277</v>
      </c>
      <c r="Q191" s="683"/>
      <c r="R191" s="684" t="s">
        <v>280</v>
      </c>
      <c r="S191" s="683"/>
      <c r="T191" s="684" t="s">
        <v>400</v>
      </c>
      <c r="U191" s="683"/>
      <c r="V191" s="684" t="s">
        <v>401</v>
      </c>
      <c r="W191" s="683"/>
      <c r="X191" s="684" t="s">
        <v>402</v>
      </c>
      <c r="Y191" s="683"/>
      <c r="Z191" s="684" t="s">
        <v>403</v>
      </c>
      <c r="AA191" s="683"/>
      <c r="AB191" s="684" t="s">
        <v>404</v>
      </c>
      <c r="AC191" s="702"/>
      <c r="AD191" s="703"/>
      <c r="AE191" s="696"/>
      <c r="AF191" s="696"/>
      <c r="AG191" s="696"/>
    </row>
    <row r="192" spans="1:41" ht="33.5">
      <c r="B192" s="712"/>
      <c r="C192" s="702"/>
      <c r="D192" s="712"/>
      <c r="E192" s="702"/>
      <c r="F192" s="712"/>
      <c r="G192" s="702"/>
      <c r="H192" s="712"/>
      <c r="I192" s="702"/>
      <c r="J192" s="712"/>
      <c r="K192" s="698"/>
      <c r="L192" s="712"/>
      <c r="M192" s="702"/>
      <c r="N192" s="712"/>
      <c r="O192" s="702"/>
      <c r="P192" s="712"/>
      <c r="Q192" s="698"/>
      <c r="R192" s="712"/>
      <c r="S192" s="698"/>
      <c r="T192" s="712"/>
      <c r="U192" s="702"/>
      <c r="V192" s="712"/>
      <c r="W192" s="702"/>
      <c r="X192" s="712"/>
      <c r="Y192" s="702"/>
      <c r="Z192" s="712"/>
      <c r="AA192" s="702"/>
      <c r="AB192" s="712"/>
      <c r="AC192" s="702"/>
      <c r="AD192" s="703"/>
      <c r="AE192" s="696"/>
      <c r="AF192" s="696"/>
      <c r="AG192" s="696"/>
    </row>
    <row r="193" spans="1:41" ht="15.5" customHeight="1" thickBot="1">
      <c r="B193" s="714"/>
      <c r="C193" s="702"/>
      <c r="D193" s="714"/>
      <c r="E193" s="702"/>
      <c r="F193" s="714"/>
      <c r="G193" s="702"/>
      <c r="H193" s="714"/>
      <c r="I193" s="702"/>
      <c r="J193" s="714"/>
      <c r="K193" s="702"/>
      <c r="L193" s="714"/>
      <c r="M193" s="702"/>
      <c r="N193" s="714"/>
      <c r="O193" s="702"/>
      <c r="P193" s="714"/>
      <c r="Q193" s="702"/>
      <c r="R193" s="714"/>
      <c r="S193" s="702"/>
      <c r="T193" s="714"/>
      <c r="U193" s="702"/>
      <c r="V193" s="714"/>
      <c r="W193" s="702"/>
      <c r="X193" s="714"/>
      <c r="Y193" s="702"/>
      <c r="Z193" s="714"/>
      <c r="AA193" s="702"/>
      <c r="AB193" s="714"/>
      <c r="AC193" s="702"/>
      <c r="AD193" s="703"/>
      <c r="AE193" s="696"/>
      <c r="AF193" s="696"/>
      <c r="AG193" s="696"/>
    </row>
    <row r="194" spans="1:41" ht="100" customHeight="1" thickBot="1">
      <c r="B194" s="1065" t="s">
        <v>390</v>
      </c>
      <c r="C194" s="707">
        <v>384.63</v>
      </c>
      <c r="D194" s="733"/>
      <c r="E194" s="707">
        <v>380.68200000000002</v>
      </c>
      <c r="F194" s="733"/>
      <c r="G194" s="707">
        <v>354.52600000000001</v>
      </c>
      <c r="H194" s="733"/>
      <c r="I194" s="707">
        <v>405.57400000000001</v>
      </c>
      <c r="J194" s="733"/>
      <c r="K194" s="707">
        <v>416.87400000000002</v>
      </c>
      <c r="L194" s="733"/>
      <c r="M194" s="707">
        <v>380.76600000000002</v>
      </c>
      <c r="N194" s="733"/>
      <c r="O194" s="707">
        <v>411.81</v>
      </c>
      <c r="P194" s="733"/>
      <c r="Q194" s="769">
        <v>392.08</v>
      </c>
      <c r="R194" s="733"/>
      <c r="S194" s="770">
        <v>296.87</v>
      </c>
      <c r="T194" s="691" t="s">
        <v>228</v>
      </c>
      <c r="U194" s="707">
        <v>412.4</v>
      </c>
      <c r="V194" s="691" t="s">
        <v>228</v>
      </c>
      <c r="W194" s="707">
        <v>382.17</v>
      </c>
      <c r="X194" s="691" t="s">
        <v>228</v>
      </c>
      <c r="Y194" s="707">
        <v>452.74</v>
      </c>
      <c r="Z194" s="691" t="s">
        <v>228</v>
      </c>
      <c r="AA194" s="707">
        <v>420.21</v>
      </c>
      <c r="AB194" s="691" t="s">
        <v>228</v>
      </c>
      <c r="AC194" s="707">
        <v>395.01</v>
      </c>
      <c r="AD194" s="703"/>
      <c r="AE194" s="696"/>
      <c r="AF194" s="696"/>
      <c r="AG194" s="696"/>
      <c r="AM194" s="896">
        <f>COUNTIF(B194:AB194,"U/P")</f>
        <v>1</v>
      </c>
      <c r="AN194" s="896">
        <f>COUNTIF(C194:AC194,"ROW")</f>
        <v>5</v>
      </c>
      <c r="AO194" s="896">
        <f>COUNTIF(B194:AD194,"C")</f>
        <v>0</v>
      </c>
    </row>
    <row r="195" spans="1:41" ht="34" thickBot="1">
      <c r="B195" s="1066"/>
      <c r="C195" s="702"/>
      <c r="D195" s="710"/>
      <c r="E195" s="702"/>
      <c r="F195" s="710"/>
      <c r="G195" s="702"/>
      <c r="H195" s="710"/>
      <c r="I195" s="702"/>
      <c r="J195" s="710"/>
      <c r="K195" s="702"/>
      <c r="L195" s="710"/>
      <c r="M195" s="702"/>
      <c r="N195" s="710"/>
      <c r="O195" s="702"/>
      <c r="P195" s="710"/>
      <c r="Q195" s="702"/>
      <c r="R195" s="710"/>
      <c r="S195" s="702"/>
      <c r="T195" s="710"/>
      <c r="U195" s="702"/>
      <c r="V195" s="710"/>
      <c r="W195" s="702"/>
      <c r="X195" s="710"/>
      <c r="Y195" s="702"/>
      <c r="Z195" s="710"/>
      <c r="AA195" s="702"/>
      <c r="AB195" s="710"/>
      <c r="AC195" s="720"/>
      <c r="AD195" s="703"/>
      <c r="AE195" s="696"/>
      <c r="AF195" s="696"/>
      <c r="AG195" s="696"/>
    </row>
    <row r="196" spans="1:41" ht="33.5">
      <c r="B196" s="699" t="s">
        <v>128</v>
      </c>
      <c r="C196" s="698"/>
      <c r="D196" s="699" t="s">
        <v>115</v>
      </c>
      <c r="E196" s="698"/>
      <c r="F196" s="698" t="s">
        <v>182</v>
      </c>
      <c r="G196" s="698"/>
      <c r="H196" s="699" t="s">
        <v>125</v>
      </c>
      <c r="I196" s="698"/>
      <c r="J196" s="698" t="s">
        <v>242</v>
      </c>
      <c r="K196" s="698"/>
      <c r="L196" s="698" t="s">
        <v>182</v>
      </c>
      <c r="M196" s="698"/>
      <c r="N196" s="699" t="s">
        <v>115</v>
      </c>
      <c r="O196" s="698"/>
      <c r="P196" s="698" t="s">
        <v>185</v>
      </c>
      <c r="Q196" s="698"/>
      <c r="R196" s="698" t="s">
        <v>248</v>
      </c>
      <c r="S196" s="698"/>
      <c r="T196" s="699" t="s">
        <v>128</v>
      </c>
      <c r="U196" s="698"/>
      <c r="V196" s="699" t="s">
        <v>115</v>
      </c>
      <c r="W196" s="698"/>
      <c r="X196" s="698" t="s">
        <v>248</v>
      </c>
      <c r="Y196" s="698"/>
      <c r="Z196" s="699" t="s">
        <v>115</v>
      </c>
      <c r="AA196" s="698"/>
      <c r="AB196" s="698" t="s">
        <v>248</v>
      </c>
      <c r="AC196" s="720"/>
      <c r="AD196" s="703"/>
      <c r="AE196" s="696"/>
      <c r="AF196" s="696"/>
      <c r="AG196" s="696"/>
    </row>
    <row r="197" spans="1:41" ht="27" customHeight="1">
      <c r="A197" s="735"/>
      <c r="B197" s="1064"/>
      <c r="C197" s="841"/>
      <c r="D197" s="841"/>
      <c r="E197" s="735"/>
      <c r="F197" s="735"/>
      <c r="G197" s="735"/>
      <c r="H197" s="735"/>
      <c r="I197" s="735"/>
      <c r="J197" s="735"/>
      <c r="K197" s="735"/>
      <c r="L197" s="735"/>
      <c r="M197" s="735"/>
      <c r="N197" s="841"/>
      <c r="O197" s="735"/>
      <c r="P197" s="735"/>
      <c r="Q197" s="735"/>
      <c r="R197" s="735"/>
      <c r="S197" s="735"/>
      <c r="T197" s="1507" t="s">
        <v>1518</v>
      </c>
      <c r="U197" s="1507"/>
      <c r="V197" s="1507"/>
      <c r="W197" s="1507"/>
      <c r="X197" s="1507"/>
      <c r="Y197" s="1507"/>
      <c r="Z197" s="1507"/>
      <c r="AA197" s="1507"/>
      <c r="AB197" s="1507"/>
      <c r="AC197" s="735"/>
      <c r="AD197" s="735"/>
      <c r="AE197" s="735"/>
      <c r="AF197" s="735"/>
      <c r="AG197" s="735"/>
      <c r="AH197" s="735"/>
      <c r="AI197" s="735"/>
      <c r="AJ197" s="735"/>
      <c r="AK197" s="735"/>
      <c r="AL197" s="735"/>
    </row>
    <row r="198" spans="1:41" ht="26">
      <c r="B198" s="705"/>
      <c r="C198" s="705"/>
      <c r="D198" s="703"/>
      <c r="E198" s="705"/>
      <c r="F198" s="703"/>
      <c r="G198" s="705"/>
      <c r="H198" s="703"/>
      <c r="I198" s="705"/>
      <c r="J198" s="703"/>
      <c r="K198" s="705"/>
      <c r="L198" s="703"/>
      <c r="M198" s="705"/>
      <c r="N198" s="703"/>
      <c r="O198" s="705"/>
      <c r="P198" s="703"/>
      <c r="Q198" s="705"/>
      <c r="R198" s="703"/>
      <c r="S198" s="705"/>
      <c r="T198" s="703"/>
      <c r="U198" s="705"/>
      <c r="V198" s="703"/>
      <c r="W198" s="705"/>
      <c r="X198" s="703"/>
      <c r="Y198" s="705"/>
      <c r="Z198" s="703"/>
      <c r="AA198" s="705"/>
      <c r="AB198" s="703"/>
      <c r="AC198" s="703"/>
      <c r="AD198" s="703"/>
      <c r="AE198" s="696"/>
      <c r="AF198" s="696"/>
      <c r="AG198" s="696"/>
    </row>
    <row r="199" spans="1:41" ht="28" customHeight="1">
      <c r="B199" s="684" t="s">
        <v>405</v>
      </c>
      <c r="C199" s="683"/>
      <c r="D199" s="684" t="s">
        <v>406</v>
      </c>
      <c r="E199" s="683"/>
      <c r="F199" s="684" t="s">
        <v>290</v>
      </c>
      <c r="G199" s="683"/>
      <c r="H199" s="684" t="s">
        <v>407</v>
      </c>
      <c r="I199" s="683"/>
      <c r="J199" s="684" t="s">
        <v>408</v>
      </c>
      <c r="K199" s="685" t="s">
        <v>1513</v>
      </c>
      <c r="L199" s="1505" t="s">
        <v>409</v>
      </c>
      <c r="M199" s="1505"/>
      <c r="N199" s="1505" t="s">
        <v>410</v>
      </c>
      <c r="O199" s="1505"/>
      <c r="P199" s="1505" t="s">
        <v>411</v>
      </c>
      <c r="Q199" s="1505"/>
      <c r="R199" s="684" t="s">
        <v>412</v>
      </c>
      <c r="S199" s="683"/>
      <c r="T199" s="684" t="s">
        <v>414</v>
      </c>
      <c r="U199" s="683"/>
      <c r="V199" s="741" t="s">
        <v>1280</v>
      </c>
      <c r="W199" s="683"/>
      <c r="X199" s="1505" t="s">
        <v>217</v>
      </c>
      <c r="Y199" s="1505"/>
      <c r="Z199" s="1505" t="s">
        <v>416</v>
      </c>
      <c r="AA199" s="1505"/>
      <c r="AB199" s="684" t="s">
        <v>294</v>
      </c>
      <c r="AC199" s="720"/>
      <c r="AD199" s="703"/>
      <c r="AE199" s="696"/>
      <c r="AF199" s="696"/>
      <c r="AG199" s="696"/>
    </row>
    <row r="200" spans="1:41" ht="33.5">
      <c r="A200" s="469"/>
      <c r="B200" s="712"/>
      <c r="C200" s="702"/>
      <c r="D200" s="712"/>
      <c r="E200" s="702"/>
      <c r="F200" s="712"/>
      <c r="G200" s="702"/>
      <c r="H200" s="712"/>
      <c r="I200" s="702"/>
      <c r="J200" s="712"/>
      <c r="K200" s="702"/>
      <c r="L200" s="712"/>
      <c r="M200" s="702"/>
      <c r="N200" s="712"/>
      <c r="O200" s="702"/>
      <c r="P200" s="712"/>
      <c r="Q200" s="702"/>
      <c r="R200" s="712"/>
      <c r="S200" s="702"/>
      <c r="T200" s="712"/>
      <c r="U200" s="702"/>
      <c r="V200" s="712"/>
      <c r="W200" s="702"/>
      <c r="X200" s="712"/>
      <c r="Y200" s="702"/>
      <c r="Z200" s="712"/>
      <c r="AA200" s="702"/>
      <c r="AB200" s="712"/>
      <c r="AC200" s="720"/>
      <c r="AD200" s="703"/>
      <c r="AE200" s="696"/>
      <c r="AF200" s="696"/>
      <c r="AG200" s="696"/>
    </row>
    <row r="201" spans="1:41" ht="15" customHeight="1" thickBot="1">
      <c r="A201" s="469"/>
      <c r="B201" s="714"/>
      <c r="C201" s="702"/>
      <c r="D201" s="714"/>
      <c r="E201" s="702"/>
      <c r="F201" s="714"/>
      <c r="G201" s="702"/>
      <c r="H201" s="714"/>
      <c r="I201" s="702"/>
      <c r="J201" s="714"/>
      <c r="K201" s="702"/>
      <c r="L201" s="714"/>
      <c r="M201" s="702"/>
      <c r="N201" s="714"/>
      <c r="O201" s="702"/>
      <c r="P201" s="714"/>
      <c r="Q201" s="702"/>
      <c r="R201" s="714"/>
      <c r="S201" s="702"/>
      <c r="T201" s="714"/>
      <c r="U201" s="702"/>
      <c r="V201" s="714"/>
      <c r="W201" s="702"/>
      <c r="X201" s="714"/>
      <c r="Y201" s="702"/>
      <c r="Z201" s="714"/>
      <c r="AA201" s="702"/>
      <c r="AB201" s="714"/>
      <c r="AC201" s="720"/>
      <c r="AD201" s="703"/>
      <c r="AE201" s="696"/>
      <c r="AF201" s="696"/>
      <c r="AG201" s="696"/>
      <c r="AH201" s="771"/>
      <c r="AI201" s="771"/>
      <c r="AJ201" s="771"/>
      <c r="AK201" s="771"/>
      <c r="AL201" s="771"/>
      <c r="AM201" s="771"/>
      <c r="AN201" s="771"/>
    </row>
    <row r="202" spans="1:41" ht="100" customHeight="1" thickBot="1">
      <c r="A202" s="469"/>
      <c r="B202" s="691" t="s">
        <v>228</v>
      </c>
      <c r="C202" s="707">
        <v>386.74</v>
      </c>
      <c r="D202" s="733"/>
      <c r="E202" s="770">
        <v>378.62</v>
      </c>
      <c r="F202" s="733"/>
      <c r="G202" s="707">
        <v>350.21499999999997</v>
      </c>
      <c r="H202" s="691" t="s">
        <v>228</v>
      </c>
      <c r="I202" s="707">
        <v>357.91</v>
      </c>
      <c r="J202" s="691" t="s">
        <v>228</v>
      </c>
      <c r="K202" s="707">
        <v>237.48</v>
      </c>
      <c r="L202" s="691" t="s">
        <v>228</v>
      </c>
      <c r="M202" s="707">
        <v>440.03</v>
      </c>
      <c r="N202" s="733"/>
      <c r="O202" s="707">
        <v>503.74</v>
      </c>
      <c r="P202" s="733"/>
      <c r="Q202" s="707">
        <v>437</v>
      </c>
      <c r="R202" s="733"/>
      <c r="S202" s="707">
        <v>430</v>
      </c>
      <c r="T202" s="733"/>
      <c r="U202" s="770">
        <v>409.27</v>
      </c>
      <c r="V202" s="733"/>
      <c r="W202" s="707">
        <v>312.45</v>
      </c>
      <c r="X202" s="733"/>
      <c r="Y202" s="707">
        <v>314.25</v>
      </c>
      <c r="Z202" s="733"/>
      <c r="AA202" s="707">
        <v>361.96</v>
      </c>
      <c r="AB202" s="733"/>
      <c r="AC202" s="715">
        <v>329.49</v>
      </c>
      <c r="AD202" s="703"/>
      <c r="AE202" s="696"/>
      <c r="AF202" s="696"/>
      <c r="AG202" s="696"/>
      <c r="AM202" s="896">
        <f>COUNTIF(B202:AB202,"U/P")</f>
        <v>0</v>
      </c>
      <c r="AN202" s="896">
        <f>COUNTIF(C202:AC202,"ROW")</f>
        <v>3</v>
      </c>
      <c r="AO202" s="896">
        <f>COUNTIF(D202:AD202,"C")</f>
        <v>0</v>
      </c>
    </row>
    <row r="203" spans="1:41" ht="34" thickBot="1">
      <c r="A203" s="469"/>
      <c r="B203" s="710"/>
      <c r="C203" s="702"/>
      <c r="D203" s="710"/>
      <c r="E203" s="702"/>
      <c r="F203" s="710"/>
      <c r="G203" s="702"/>
      <c r="H203" s="710"/>
      <c r="I203" s="702"/>
      <c r="J203" s="710"/>
      <c r="K203" s="702"/>
      <c r="L203" s="710" t="s">
        <v>228</v>
      </c>
      <c r="M203" s="702"/>
      <c r="N203" s="710"/>
      <c r="O203" s="702"/>
      <c r="P203" s="710"/>
      <c r="Q203" s="702"/>
      <c r="R203" s="710"/>
      <c r="S203" s="702"/>
      <c r="T203" s="710"/>
      <c r="U203" s="702"/>
      <c r="V203" s="710"/>
      <c r="W203" s="702"/>
      <c r="X203" s="710"/>
      <c r="Y203" s="702"/>
      <c r="Z203" s="710"/>
      <c r="AA203" s="702"/>
      <c r="AB203" s="710"/>
      <c r="AC203" s="720"/>
      <c r="AD203" s="703"/>
      <c r="AE203" s="696"/>
      <c r="AF203" s="696"/>
      <c r="AG203" s="696"/>
    </row>
    <row r="204" spans="1:41" ht="33.5">
      <c r="A204" s="772"/>
      <c r="B204" s="773" t="s">
        <v>125</v>
      </c>
      <c r="C204" s="698"/>
      <c r="D204" s="698" t="s">
        <v>182</v>
      </c>
      <c r="E204" s="698"/>
      <c r="F204" s="698" t="s">
        <v>182</v>
      </c>
      <c r="G204" s="698"/>
      <c r="H204" s="698" t="s">
        <v>182</v>
      </c>
      <c r="I204" s="698"/>
      <c r="J204" s="699" t="s">
        <v>115</v>
      </c>
      <c r="K204" s="698"/>
      <c r="L204" s="699" t="s">
        <v>115</v>
      </c>
      <c r="M204" s="698"/>
      <c r="N204" s="699" t="s">
        <v>167</v>
      </c>
      <c r="O204" s="698"/>
      <c r="P204" s="699" t="s">
        <v>132</v>
      </c>
      <c r="Q204" s="698"/>
      <c r="R204" s="699" t="s">
        <v>119</v>
      </c>
      <c r="S204" s="698"/>
      <c r="T204" s="698" t="s">
        <v>248</v>
      </c>
      <c r="U204" s="698"/>
      <c r="V204" s="699" t="s">
        <v>119</v>
      </c>
      <c r="W204" s="698"/>
      <c r="X204" s="698" t="s">
        <v>182</v>
      </c>
      <c r="Y204" s="698"/>
      <c r="Z204" s="699" t="s">
        <v>115</v>
      </c>
      <c r="AA204" s="698"/>
      <c r="AB204" s="698" t="s">
        <v>182</v>
      </c>
      <c r="AC204" s="720"/>
      <c r="AD204" s="703"/>
      <c r="AE204" s="696"/>
      <c r="AF204" s="696"/>
      <c r="AG204" s="696"/>
    </row>
    <row r="205" spans="1:41" ht="33.5" customHeight="1">
      <c r="A205" s="747"/>
      <c r="B205" s="761" t="s">
        <v>228</v>
      </c>
      <c r="C205" s="762"/>
      <c r="D205" s="762"/>
      <c r="E205" s="762"/>
      <c r="F205" s="762"/>
      <c r="G205" s="762"/>
      <c r="H205" s="1502" t="s">
        <v>228</v>
      </c>
      <c r="I205" s="1502"/>
      <c r="J205" s="1502"/>
      <c r="K205" s="1502"/>
      <c r="L205" s="1502"/>
      <c r="M205" s="762"/>
      <c r="N205" s="841"/>
      <c r="O205" s="735"/>
      <c r="P205" s="735"/>
      <c r="Q205" s="735"/>
      <c r="R205" s="735"/>
      <c r="S205" s="735"/>
      <c r="T205" s="735"/>
      <c r="U205" s="735"/>
      <c r="V205" s="735"/>
      <c r="W205" s="735"/>
      <c r="X205" s="735"/>
      <c r="Y205" s="735"/>
      <c r="Z205" s="735"/>
      <c r="AA205" s="735"/>
      <c r="AB205" s="735"/>
      <c r="AC205" s="735"/>
      <c r="AD205" s="735"/>
      <c r="AE205" s="735"/>
      <c r="AF205" s="735"/>
      <c r="AG205" s="735"/>
      <c r="AH205" s="735"/>
      <c r="AI205" s="735"/>
      <c r="AJ205" s="735"/>
      <c r="AK205" s="735"/>
      <c r="AL205" s="735"/>
    </row>
    <row r="206" spans="1:41" ht="23" customHeight="1">
      <c r="A206" s="469"/>
      <c r="B206" s="716"/>
      <c r="C206" s="716"/>
      <c r="D206" s="716"/>
      <c r="E206" s="716"/>
      <c r="F206" s="716"/>
      <c r="G206" s="716"/>
      <c r="H206" s="716"/>
      <c r="I206" s="716"/>
      <c r="J206" s="716"/>
      <c r="K206" s="716"/>
      <c r="L206" s="716"/>
      <c r="M206" s="716"/>
      <c r="N206" s="716"/>
      <c r="O206" s="716"/>
      <c r="P206" s="716"/>
      <c r="Q206" s="716"/>
      <c r="R206" s="716"/>
      <c r="S206" s="716"/>
      <c r="T206" s="716"/>
      <c r="U206" s="716"/>
      <c r="V206" s="716"/>
      <c r="W206" s="716"/>
      <c r="X206" s="716"/>
      <c r="Y206" s="716"/>
      <c r="Z206" s="716"/>
      <c r="AA206" s="716"/>
      <c r="AB206" s="716"/>
      <c r="AC206" s="703"/>
      <c r="AD206" s="703"/>
      <c r="AE206" s="696"/>
      <c r="AF206" s="696"/>
      <c r="AG206" s="696"/>
    </row>
    <row r="207" spans="1:41" ht="27" customHeight="1">
      <c r="A207" s="469"/>
      <c r="B207" s="684" t="s">
        <v>276</v>
      </c>
      <c r="C207" s="683"/>
      <c r="D207" s="684" t="s">
        <v>417</v>
      </c>
      <c r="E207" s="683"/>
      <c r="F207" s="684" t="s">
        <v>418</v>
      </c>
      <c r="G207" s="683"/>
      <c r="H207" s="684" t="s">
        <v>419</v>
      </c>
      <c r="I207" s="683"/>
      <c r="J207" s="684" t="s">
        <v>169</v>
      </c>
      <c r="K207" s="683"/>
      <c r="L207" s="774" t="s">
        <v>1281</v>
      </c>
      <c r="M207" s="683"/>
      <c r="N207" s="684" t="s">
        <v>289</v>
      </c>
      <c r="O207" s="683"/>
      <c r="P207" s="1505" t="s">
        <v>1282</v>
      </c>
      <c r="Q207" s="1505"/>
      <c r="R207" s="684" t="s">
        <v>423</v>
      </c>
      <c r="S207" s="683"/>
      <c r="T207" s="1505" t="s">
        <v>424</v>
      </c>
      <c r="U207" s="1505"/>
      <c r="V207" s="1505" t="s">
        <v>718</v>
      </c>
      <c r="W207" s="1505"/>
      <c r="X207" s="684" t="s">
        <v>279</v>
      </c>
      <c r="Y207" s="683"/>
      <c r="Z207" s="684" t="s">
        <v>426</v>
      </c>
      <c r="AA207" s="683"/>
      <c r="AB207" s="684" t="s">
        <v>427</v>
      </c>
      <c r="AC207" s="720"/>
      <c r="AD207" s="703"/>
      <c r="AE207" s="696"/>
      <c r="AF207" s="696"/>
      <c r="AG207" s="696"/>
    </row>
    <row r="208" spans="1:41" ht="33.5">
      <c r="A208" s="469"/>
      <c r="B208" s="712"/>
      <c r="C208" s="702"/>
      <c r="D208" s="712"/>
      <c r="E208" s="702"/>
      <c r="F208" s="712"/>
      <c r="G208" s="702"/>
      <c r="H208" s="712"/>
      <c r="I208" s="702"/>
      <c r="J208" s="712"/>
      <c r="K208" s="702"/>
      <c r="L208" s="712"/>
      <c r="M208" s="702"/>
      <c r="N208" s="712"/>
      <c r="O208" s="702"/>
      <c r="P208" s="712"/>
      <c r="Q208" s="702"/>
      <c r="R208" s="712"/>
      <c r="S208" s="702"/>
      <c r="T208" s="712"/>
      <c r="U208" s="702"/>
      <c r="V208" s="712"/>
      <c r="W208" s="702"/>
      <c r="X208" s="712"/>
      <c r="Y208" s="702"/>
      <c r="Z208" s="712"/>
      <c r="AA208" s="702"/>
      <c r="AB208" s="712"/>
      <c r="AC208" s="720"/>
      <c r="AD208" s="703"/>
      <c r="AE208" s="696"/>
      <c r="AF208" s="696"/>
      <c r="AG208" s="696"/>
    </row>
    <row r="209" spans="1:41" ht="15" customHeight="1" thickBot="1">
      <c r="A209" s="469"/>
      <c r="B209" s="714"/>
      <c r="C209" s="702"/>
      <c r="D209" s="714"/>
      <c r="E209" s="702"/>
      <c r="F209" s="714"/>
      <c r="G209" s="702"/>
      <c r="H209" s="714"/>
      <c r="I209" s="702"/>
      <c r="J209" s="714"/>
      <c r="K209" s="702"/>
      <c r="L209" s="714"/>
      <c r="M209" s="702"/>
      <c r="N209" s="714"/>
      <c r="O209" s="702"/>
      <c r="P209" s="714"/>
      <c r="Q209" s="702"/>
      <c r="R209" s="714"/>
      <c r="S209" s="702"/>
      <c r="T209" s="714"/>
      <c r="U209" s="702"/>
      <c r="V209" s="714"/>
      <c r="W209" s="702"/>
      <c r="X209" s="714"/>
      <c r="Y209" s="702"/>
      <c r="Z209" s="714"/>
      <c r="AA209" s="702"/>
      <c r="AB209" s="714"/>
      <c r="AC209" s="720"/>
      <c r="AD209" s="703"/>
      <c r="AE209" s="696"/>
      <c r="AF209" s="696"/>
      <c r="AG209" s="696"/>
    </row>
    <row r="210" spans="1:41" ht="100" customHeight="1" thickBot="1">
      <c r="A210" s="469"/>
      <c r="B210" s="733"/>
      <c r="C210" s="707">
        <v>371.33</v>
      </c>
      <c r="D210" s="733"/>
      <c r="E210" s="707">
        <v>417.92</v>
      </c>
      <c r="F210" s="733"/>
      <c r="G210" s="707">
        <v>376.99</v>
      </c>
      <c r="H210" s="733"/>
      <c r="I210" s="707">
        <v>343.8</v>
      </c>
      <c r="J210" s="733"/>
      <c r="K210" s="707">
        <v>318.7</v>
      </c>
      <c r="L210" s="733"/>
      <c r="M210" s="707">
        <v>308</v>
      </c>
      <c r="N210" s="733"/>
      <c r="O210" s="770">
        <v>324.87</v>
      </c>
      <c r="P210" s="733"/>
      <c r="Q210" s="707">
        <v>365.39</v>
      </c>
      <c r="R210" s="691" t="s">
        <v>228</v>
      </c>
      <c r="S210" s="707">
        <v>269.52999999999997</v>
      </c>
      <c r="T210" s="691" t="s">
        <v>228</v>
      </c>
      <c r="U210" s="707">
        <v>360.33</v>
      </c>
      <c r="V210" s="733"/>
      <c r="W210" s="707">
        <v>414</v>
      </c>
      <c r="X210" s="733"/>
      <c r="Y210" s="707">
        <v>424</v>
      </c>
      <c r="Z210" s="733"/>
      <c r="AA210" s="707">
        <v>405</v>
      </c>
      <c r="AB210" s="733"/>
      <c r="AC210" s="707">
        <v>426</v>
      </c>
      <c r="AD210" s="703"/>
      <c r="AE210" s="696"/>
      <c r="AF210" s="696"/>
      <c r="AG210" s="696"/>
      <c r="AM210" s="896">
        <f>COUNTIF(B210:AB210,"U/P")</f>
        <v>0</v>
      </c>
      <c r="AN210" s="896">
        <f>COUNTIF(C210:AC210,"ROW")</f>
        <v>2</v>
      </c>
      <c r="AO210" s="896">
        <f>COUNTIF(D210:AD210,"C")</f>
        <v>0</v>
      </c>
    </row>
    <row r="211" spans="1:41" ht="21.5" customHeight="1" thickBot="1">
      <c r="A211" s="469"/>
      <c r="B211" s="710"/>
      <c r="C211" s="702"/>
      <c r="D211" s="710"/>
      <c r="E211" s="702"/>
      <c r="F211" s="710"/>
      <c r="G211" s="702"/>
      <c r="H211" s="775"/>
      <c r="I211" s="702"/>
      <c r="J211" s="710"/>
      <c r="K211" s="702"/>
      <c r="L211" s="710"/>
      <c r="M211" s="702"/>
      <c r="N211" s="710"/>
      <c r="O211" s="702"/>
      <c r="P211" s="775"/>
      <c r="Q211" s="720"/>
      <c r="R211" s="710"/>
      <c r="S211" s="720"/>
      <c r="T211" s="710"/>
      <c r="U211" s="720"/>
      <c r="V211" s="710"/>
      <c r="W211" s="720"/>
      <c r="X211" s="710"/>
      <c r="Y211" s="720"/>
      <c r="Z211" s="710"/>
      <c r="AA211" s="720"/>
      <c r="AB211" s="904"/>
      <c r="AC211" s="720"/>
      <c r="AD211" s="703"/>
      <c r="AE211" s="696"/>
      <c r="AF211" s="696"/>
      <c r="AG211" s="696"/>
    </row>
    <row r="212" spans="1:41" ht="24.5" customHeight="1" thickBot="1">
      <c r="A212" s="469"/>
      <c r="B212" s="698" t="s">
        <v>182</v>
      </c>
      <c r="C212" s="698"/>
      <c r="D212" s="699" t="s">
        <v>115</v>
      </c>
      <c r="E212" s="698"/>
      <c r="F212" s="698" t="s">
        <v>185</v>
      </c>
      <c r="G212" s="698"/>
      <c r="H212" s="699" t="s">
        <v>115</v>
      </c>
      <c r="I212" s="698"/>
      <c r="J212" s="698" t="s">
        <v>182</v>
      </c>
      <c r="K212" s="698"/>
      <c r="L212" s="699" t="s">
        <v>115</v>
      </c>
      <c r="M212" s="698"/>
      <c r="N212" s="698" t="s">
        <v>182</v>
      </c>
      <c r="O212" s="698"/>
      <c r="P212" s="699" t="s">
        <v>125</v>
      </c>
      <c r="Q212" s="698"/>
      <c r="R212" s="738" t="s">
        <v>182</v>
      </c>
      <c r="S212" s="698"/>
      <c r="T212" s="728" t="s">
        <v>170</v>
      </c>
      <c r="U212" s="698"/>
      <c r="V212" s="699" t="s">
        <v>115</v>
      </c>
      <c r="W212" s="698"/>
      <c r="X212" s="698" t="s">
        <v>242</v>
      </c>
      <c r="Y212" s="698"/>
      <c r="Z212" s="698" t="s">
        <v>182</v>
      </c>
      <c r="AA212" s="698"/>
      <c r="AB212" s="698" t="s">
        <v>185</v>
      </c>
      <c r="AC212" s="720"/>
      <c r="AD212" s="703"/>
      <c r="AE212" s="696"/>
      <c r="AF212" s="696"/>
      <c r="AG212" s="696"/>
    </row>
    <row r="213" spans="1:41" ht="30.5" customHeight="1" thickBot="1">
      <c r="A213" s="469"/>
      <c r="B213" s="716"/>
      <c r="C213" s="716"/>
      <c r="D213" s="716"/>
      <c r="E213" s="716"/>
      <c r="F213" s="766" t="s">
        <v>1629</v>
      </c>
      <c r="G213" s="705"/>
      <c r="H213" s="762"/>
      <c r="I213" s="705"/>
      <c r="J213" s="705"/>
      <c r="K213" s="705"/>
      <c r="L213" s="705"/>
      <c r="M213" s="691" t="s">
        <v>228</v>
      </c>
      <c r="N213" s="705"/>
      <c r="O213" s="705"/>
      <c r="P213" s="841"/>
      <c r="Q213" s="705"/>
      <c r="R213" s="776" t="s">
        <v>1625</v>
      </c>
      <c r="S213" s="705"/>
      <c r="T213" s="705"/>
      <c r="U213" s="705"/>
      <c r="V213" s="705"/>
      <c r="W213" s="705"/>
      <c r="X213" s="705"/>
      <c r="Y213" s="691"/>
      <c r="Z213" s="705"/>
      <c r="AA213" s="705"/>
      <c r="AB213" s="841"/>
      <c r="AC213" s="703"/>
      <c r="AD213" s="703"/>
      <c r="AE213" s="696"/>
      <c r="AF213" s="696"/>
      <c r="AG213" s="696"/>
    </row>
    <row r="214" spans="1:41" ht="35.5" customHeight="1">
      <c r="A214" s="747"/>
      <c r="B214" s="735"/>
      <c r="C214" s="735"/>
      <c r="D214" s="735"/>
      <c r="E214" s="735"/>
      <c r="F214" s="1518"/>
      <c r="G214" s="1518"/>
      <c r="H214" s="1518"/>
      <c r="I214" s="735"/>
      <c r="J214" s="735"/>
      <c r="K214" s="735"/>
      <c r="L214" s="735"/>
      <c r="M214" s="735"/>
      <c r="N214" s="735"/>
      <c r="O214" s="735"/>
      <c r="P214" s="841"/>
      <c r="Q214" s="841"/>
      <c r="R214" s="1502" t="s">
        <v>228</v>
      </c>
      <c r="S214" s="1502"/>
      <c r="T214" s="1502"/>
      <c r="U214" s="841"/>
      <c r="V214" s="841"/>
      <c r="W214" s="735"/>
      <c r="X214" s="735"/>
      <c r="Y214" s="735"/>
      <c r="Z214" s="735"/>
      <c r="AA214" s="735"/>
      <c r="AB214" s="735"/>
      <c r="AC214" s="735"/>
      <c r="AD214" s="735"/>
      <c r="AE214" s="735"/>
      <c r="AF214" s="735"/>
      <c r="AG214" s="735"/>
      <c r="AH214" s="735"/>
      <c r="AI214" s="735"/>
      <c r="AJ214" s="735"/>
      <c r="AK214" s="735"/>
      <c r="AL214" s="735"/>
    </row>
    <row r="215" spans="1:41" ht="67" customHeight="1">
      <c r="A215" s="469"/>
      <c r="B215" s="684" t="s">
        <v>428</v>
      </c>
      <c r="C215" s="683"/>
      <c r="D215" s="1519" t="s">
        <v>171</v>
      </c>
      <c r="E215" s="1519"/>
      <c r="F215" s="1505" t="s">
        <v>1328</v>
      </c>
      <c r="G215" s="1505"/>
      <c r="H215" s="1505" t="s">
        <v>1528</v>
      </c>
      <c r="I215" s="1505"/>
      <c r="J215" s="684" t="s">
        <v>1330</v>
      </c>
      <c r="K215" s="683"/>
      <c r="L215" s="1505" t="s">
        <v>1331</v>
      </c>
      <c r="M215" s="1505"/>
      <c r="N215" s="1505" t="s">
        <v>434</v>
      </c>
      <c r="O215" s="1505"/>
      <c r="P215" s="1505" t="s">
        <v>435</v>
      </c>
      <c r="Q215" s="1505"/>
      <c r="R215" s="1505" t="s">
        <v>436</v>
      </c>
      <c r="S215" s="1505"/>
      <c r="T215" s="1505" t="s">
        <v>437</v>
      </c>
      <c r="U215" s="1505"/>
      <c r="V215" s="1505" t="s">
        <v>438</v>
      </c>
      <c r="W215" s="1505"/>
      <c r="X215" s="1505" t="s">
        <v>439</v>
      </c>
      <c r="Y215" s="1505"/>
      <c r="Z215" s="1505" t="s">
        <v>440</v>
      </c>
      <c r="AA215" s="1505"/>
      <c r="AB215" s="1505" t="s">
        <v>441</v>
      </c>
      <c r="AC215" s="1505"/>
      <c r="AD215" s="703"/>
      <c r="AE215" s="696"/>
      <c r="AF215" s="696"/>
      <c r="AG215" s="696"/>
    </row>
    <row r="216" spans="1:41" ht="33.5">
      <c r="A216" s="469"/>
      <c r="B216" s="712"/>
      <c r="C216" s="702"/>
      <c r="D216" s="712"/>
      <c r="E216" s="702"/>
      <c r="F216" s="712"/>
      <c r="G216" s="702"/>
      <c r="H216" s="712"/>
      <c r="I216" s="702"/>
      <c r="J216" s="712"/>
      <c r="K216" s="702"/>
      <c r="L216" s="712"/>
      <c r="M216" s="702"/>
      <c r="N216" s="712"/>
      <c r="O216" s="702"/>
      <c r="P216" s="712"/>
      <c r="Q216" s="720"/>
      <c r="R216" s="712"/>
      <c r="S216" s="702"/>
      <c r="T216" s="712"/>
      <c r="U216" s="702"/>
      <c r="V216" s="712"/>
      <c r="W216" s="702"/>
      <c r="X216" s="712"/>
      <c r="Y216" s="702"/>
      <c r="Z216" s="712"/>
      <c r="AA216" s="702"/>
      <c r="AB216" s="712"/>
      <c r="AC216" s="720"/>
      <c r="AD216" s="703"/>
      <c r="AE216" s="696"/>
      <c r="AF216" s="696"/>
      <c r="AG216" s="696"/>
    </row>
    <row r="217" spans="1:41" ht="16.5" customHeight="1" thickBot="1">
      <c r="A217" s="469"/>
      <c r="B217" s="714"/>
      <c r="C217" s="702"/>
      <c r="D217" s="714"/>
      <c r="E217" s="702"/>
      <c r="F217" s="714"/>
      <c r="G217" s="702"/>
      <c r="H217" s="714"/>
      <c r="I217" s="702"/>
      <c r="J217" s="714"/>
      <c r="K217" s="702"/>
      <c r="L217" s="714"/>
      <c r="M217" s="702"/>
      <c r="N217" s="714"/>
      <c r="O217" s="702"/>
      <c r="P217" s="714"/>
      <c r="Q217" s="720"/>
      <c r="R217" s="714"/>
      <c r="S217" s="702"/>
      <c r="T217" s="714"/>
      <c r="U217" s="702"/>
      <c r="V217" s="714"/>
      <c r="W217" s="702"/>
      <c r="X217" s="714"/>
      <c r="Y217" s="702"/>
      <c r="Z217" s="714"/>
      <c r="AA217" s="702"/>
      <c r="AB217" s="714"/>
      <c r="AC217" s="720"/>
      <c r="AD217" s="703"/>
      <c r="AE217" s="696"/>
      <c r="AF217" s="696"/>
      <c r="AG217" s="696"/>
    </row>
    <row r="218" spans="1:41" ht="100" customHeight="1" thickBot="1">
      <c r="A218" s="469"/>
      <c r="B218" s="733"/>
      <c r="C218" s="737">
        <v>410</v>
      </c>
      <c r="D218" s="733"/>
      <c r="E218" s="737">
        <v>421</v>
      </c>
      <c r="F218" s="767" t="s">
        <v>228</v>
      </c>
      <c r="G218" s="737">
        <v>407.61</v>
      </c>
      <c r="H218" s="691" t="s">
        <v>228</v>
      </c>
      <c r="I218" s="737">
        <v>364.36</v>
      </c>
      <c r="J218" s="691" t="s">
        <v>228</v>
      </c>
      <c r="K218" s="737">
        <v>332.44799999999998</v>
      </c>
      <c r="L218" s="733"/>
      <c r="M218" s="737">
        <v>348.85</v>
      </c>
      <c r="N218" s="691" t="s">
        <v>228</v>
      </c>
      <c r="O218" s="737">
        <v>387.35</v>
      </c>
      <c r="P218" s="733"/>
      <c r="Q218" s="707">
        <v>452.64</v>
      </c>
      <c r="R218" s="691" t="s">
        <v>228</v>
      </c>
      <c r="S218" s="723">
        <v>386.96</v>
      </c>
      <c r="T218" s="691" t="s">
        <v>228</v>
      </c>
      <c r="U218" s="723">
        <v>382.14</v>
      </c>
      <c r="V218" s="733"/>
      <c r="W218" s="723">
        <v>336.47</v>
      </c>
      <c r="X218" s="733"/>
      <c r="Y218" s="723">
        <v>389.14</v>
      </c>
      <c r="Z218" s="1047" t="s">
        <v>1692</v>
      </c>
      <c r="AA218" s="723">
        <v>334.55</v>
      </c>
      <c r="AB218" s="1047" t="s">
        <v>1692</v>
      </c>
      <c r="AC218" s="707">
        <v>396.2</v>
      </c>
      <c r="AD218" s="703"/>
      <c r="AE218" s="696"/>
      <c r="AF218" s="696"/>
      <c r="AG218" s="696"/>
      <c r="AM218" s="896">
        <f>COUNTIF(B218:AB218,"U/P")</f>
        <v>0</v>
      </c>
      <c r="AN218" s="896">
        <f>COUNTIF(C218:AC218,"ROW")</f>
        <v>6</v>
      </c>
      <c r="AO218" s="896">
        <f>COUNTIF(D218:AD218,"C")</f>
        <v>0</v>
      </c>
    </row>
    <row r="219" spans="1:41" ht="16.5" customHeight="1" thickBot="1">
      <c r="A219" s="469"/>
      <c r="B219" s="710"/>
      <c r="C219" s="778"/>
      <c r="D219" s="710"/>
      <c r="E219" s="778"/>
      <c r="F219" s="710"/>
      <c r="G219" s="778"/>
      <c r="H219" s="710"/>
      <c r="I219" s="778"/>
      <c r="J219" s="710"/>
      <c r="K219" s="778"/>
      <c r="L219" s="710"/>
      <c r="M219" s="778"/>
      <c r="N219" s="710"/>
      <c r="O219" s="778"/>
      <c r="P219" s="710"/>
      <c r="Q219" s="720"/>
      <c r="R219" s="710"/>
      <c r="S219" s="720"/>
      <c r="T219" s="710"/>
      <c r="U219" s="720"/>
      <c r="V219" s="710"/>
      <c r="W219" s="720"/>
      <c r="X219" s="710"/>
      <c r="Y219" s="720"/>
      <c r="Z219" s="710"/>
      <c r="AA219" s="720"/>
      <c r="AB219" s="710"/>
      <c r="AC219" s="720"/>
      <c r="AD219" s="703"/>
      <c r="AE219" s="696"/>
      <c r="AF219" s="696"/>
      <c r="AG219" s="696"/>
    </row>
    <row r="220" spans="1:41" ht="33.5">
      <c r="A220" s="469"/>
      <c r="B220" s="698" t="s">
        <v>185</v>
      </c>
      <c r="C220" s="698"/>
      <c r="D220" s="698" t="s">
        <v>167</v>
      </c>
      <c r="E220" s="698"/>
      <c r="F220" s="698" t="s">
        <v>125</v>
      </c>
      <c r="G220" s="698"/>
      <c r="H220" s="699" t="s">
        <v>125</v>
      </c>
      <c r="I220" s="698"/>
      <c r="J220" s="698" t="s">
        <v>242</v>
      </c>
      <c r="K220" s="698"/>
      <c r="L220" s="698" t="s">
        <v>185</v>
      </c>
      <c r="M220" s="698"/>
      <c r="N220" s="699" t="s">
        <v>115</v>
      </c>
      <c r="O220" s="702"/>
      <c r="P220" s="698" t="s">
        <v>242</v>
      </c>
      <c r="Q220" s="720"/>
      <c r="R220" s="699" t="s">
        <v>125</v>
      </c>
      <c r="S220" s="720"/>
      <c r="T220" s="699" t="s">
        <v>143</v>
      </c>
      <c r="U220" s="720"/>
      <c r="V220" s="698" t="s">
        <v>182</v>
      </c>
      <c r="W220" s="720"/>
      <c r="X220" s="698" t="s">
        <v>182</v>
      </c>
      <c r="Y220" s="720"/>
      <c r="Z220" s="699" t="s">
        <v>115</v>
      </c>
      <c r="AA220" s="720"/>
      <c r="AB220" s="698" t="s">
        <v>242</v>
      </c>
      <c r="AC220" s="720"/>
      <c r="AD220" s="703"/>
      <c r="AE220" s="696"/>
      <c r="AF220" s="696"/>
      <c r="AG220" s="696"/>
    </row>
    <row r="221" spans="1:41" ht="27" customHeight="1">
      <c r="A221" s="469"/>
      <c r="B221" s="703"/>
      <c r="C221" s="703"/>
      <c r="D221" s="703"/>
      <c r="E221" s="703"/>
      <c r="F221" s="703"/>
      <c r="G221" s="703"/>
      <c r="H221" s="703"/>
      <c r="I221" s="703"/>
      <c r="J221" s="703"/>
      <c r="K221" s="703"/>
      <c r="L221" s="703"/>
      <c r="M221" s="703"/>
      <c r="N221" s="703"/>
      <c r="O221" s="703"/>
      <c r="P221" s="703"/>
      <c r="Q221" s="703"/>
      <c r="R221" s="1520" t="s">
        <v>1529</v>
      </c>
      <c r="S221" s="1520"/>
      <c r="T221" s="703"/>
      <c r="U221" s="703"/>
      <c r="V221" s="703"/>
      <c r="W221" s="703"/>
      <c r="X221" s="703"/>
      <c r="Y221" s="703"/>
      <c r="Z221" s="703"/>
      <c r="AA221" s="703"/>
      <c r="AB221" s="703"/>
      <c r="AC221" s="703"/>
      <c r="AD221" s="703"/>
      <c r="AE221" s="696"/>
      <c r="AF221" s="696"/>
      <c r="AG221" s="696"/>
    </row>
    <row r="222" spans="1:41" ht="27" customHeight="1">
      <c r="A222" s="1070"/>
      <c r="B222" s="841"/>
      <c r="C222" s="841"/>
      <c r="D222" s="841"/>
      <c r="E222" s="841"/>
      <c r="F222" s="1502" t="s">
        <v>228</v>
      </c>
      <c r="G222" s="1502"/>
      <c r="H222" s="1502"/>
      <c r="I222" s="1502"/>
      <c r="J222" s="1502"/>
      <c r="K222" s="841"/>
      <c r="L222" s="735"/>
      <c r="M222" s="735"/>
      <c r="N222" s="761" t="s">
        <v>228</v>
      </c>
      <c r="O222" s="735"/>
      <c r="P222" s="735"/>
      <c r="Q222" s="735"/>
      <c r="R222" s="1502" t="s">
        <v>228</v>
      </c>
      <c r="S222" s="1502"/>
      <c r="T222" s="1502"/>
      <c r="U222" s="762"/>
      <c r="V222" s="762"/>
      <c r="W222" s="762"/>
      <c r="X222" s="762"/>
      <c r="Y222" s="762"/>
      <c r="Z222" s="1502" t="s">
        <v>228</v>
      </c>
      <c r="AA222" s="1502"/>
      <c r="AB222" s="1502"/>
      <c r="AC222" s="1502"/>
      <c r="AD222" s="762"/>
      <c r="AE222" s="762"/>
      <c r="AF222" s="762"/>
      <c r="AG222" s="761"/>
      <c r="AH222" s="761"/>
      <c r="AI222" s="907"/>
      <c r="AJ222" s="907"/>
      <c r="AK222" s="907"/>
      <c r="AL222" s="907"/>
    </row>
    <row r="223" spans="1:41" ht="54.5" customHeight="1">
      <c r="A223" s="1521" t="s">
        <v>443</v>
      </c>
      <c r="B223" s="1509"/>
      <c r="C223" s="1509" t="s">
        <v>1530</v>
      </c>
      <c r="D223" s="1509"/>
      <c r="E223" s="683"/>
      <c r="F223" s="1505" t="s">
        <v>1531</v>
      </c>
      <c r="G223" s="1505"/>
      <c r="H223" s="1522" t="s">
        <v>446</v>
      </c>
      <c r="I223" s="1522"/>
      <c r="J223" s="1505" t="s">
        <v>447</v>
      </c>
      <c r="K223" s="1505"/>
      <c r="L223" s="1505" t="s">
        <v>448</v>
      </c>
      <c r="M223" s="1505"/>
      <c r="N223" s="1505" t="s">
        <v>449</v>
      </c>
      <c r="O223" s="1505"/>
      <c r="P223" s="1505" t="s">
        <v>450</v>
      </c>
      <c r="Q223" s="1505"/>
      <c r="R223" s="1505" t="s">
        <v>451</v>
      </c>
      <c r="S223" s="1505"/>
      <c r="T223" s="1505" t="s">
        <v>452</v>
      </c>
      <c r="U223" s="1505"/>
      <c r="V223" s="1505" t="s">
        <v>728</v>
      </c>
      <c r="W223" s="1505"/>
      <c r="X223" s="779" t="s">
        <v>1532</v>
      </c>
      <c r="Y223" s="1509" t="s">
        <v>1533</v>
      </c>
      <c r="Z223" s="1509"/>
      <c r="AA223" s="720"/>
      <c r="AB223" s="1505" t="s">
        <v>457</v>
      </c>
      <c r="AC223" s="1505"/>
      <c r="AD223" s="720"/>
      <c r="AE223" s="723"/>
      <c r="AF223" s="723"/>
      <c r="AG223" s="723"/>
      <c r="AH223" s="720"/>
      <c r="AI223" s="720"/>
      <c r="AJ223" s="720"/>
      <c r="AK223" s="720"/>
      <c r="AL223" s="720"/>
    </row>
    <row r="224" spans="1:41" ht="33.5">
      <c r="A224" s="469"/>
      <c r="B224" s="712"/>
      <c r="C224" s="702"/>
      <c r="D224" s="712"/>
      <c r="E224" s="702"/>
      <c r="F224" s="712"/>
      <c r="G224" s="702"/>
      <c r="H224" s="712"/>
      <c r="I224" s="702"/>
      <c r="J224" s="712"/>
      <c r="K224" s="702"/>
      <c r="L224" s="712"/>
      <c r="M224" s="702"/>
      <c r="N224" s="712"/>
      <c r="O224" s="702"/>
      <c r="P224" s="712"/>
      <c r="Q224" s="720"/>
      <c r="R224" s="712"/>
      <c r="S224" s="702"/>
      <c r="T224" s="712"/>
      <c r="U224" s="702"/>
      <c r="V224" s="712"/>
      <c r="W224" s="702"/>
      <c r="X224" s="712"/>
      <c r="Y224" s="702"/>
      <c r="Z224" s="712"/>
      <c r="AA224" s="702"/>
      <c r="AB224" s="712"/>
      <c r="AC224" s="720"/>
      <c r="AD224" s="720"/>
      <c r="AE224" s="723"/>
      <c r="AF224" s="723"/>
      <c r="AG224" s="723"/>
      <c r="AH224" s="720"/>
      <c r="AI224" s="720"/>
      <c r="AJ224" s="720"/>
      <c r="AK224" s="720"/>
      <c r="AL224" s="720"/>
    </row>
    <row r="225" spans="1:41" ht="16.5" customHeight="1" thickBot="1">
      <c r="A225" s="469"/>
      <c r="B225" s="714"/>
      <c r="C225" s="702"/>
      <c r="D225" s="714"/>
      <c r="E225" s="702"/>
      <c r="F225" s="714"/>
      <c r="G225" s="702"/>
      <c r="H225" s="714"/>
      <c r="I225" s="702"/>
      <c r="J225" s="714"/>
      <c r="K225" s="702"/>
      <c r="L225" s="714"/>
      <c r="M225" s="702"/>
      <c r="N225" s="714"/>
      <c r="O225" s="702"/>
      <c r="P225" s="714"/>
      <c r="Q225" s="720"/>
      <c r="R225" s="714"/>
      <c r="S225" s="702"/>
      <c r="T225" s="714"/>
      <c r="U225" s="702"/>
      <c r="V225" s="714"/>
      <c r="W225" s="702"/>
      <c r="X225" s="714"/>
      <c r="Y225" s="702"/>
      <c r="Z225" s="714"/>
      <c r="AA225" s="702"/>
      <c r="AB225" s="714"/>
      <c r="AC225" s="720"/>
      <c r="AD225" s="720"/>
      <c r="AE225" s="723"/>
      <c r="AF225" s="723"/>
      <c r="AG225" s="723"/>
      <c r="AH225" s="720"/>
      <c r="AI225" s="720"/>
      <c r="AJ225" s="720"/>
      <c r="AK225" s="720"/>
      <c r="AL225" s="720"/>
    </row>
    <row r="226" spans="1:41" ht="100" customHeight="1" thickBot="1">
      <c r="A226" s="469"/>
      <c r="B226" s="691"/>
      <c r="C226" s="707">
        <v>233.29</v>
      </c>
      <c r="D226" s="691"/>
      <c r="E226" s="707">
        <v>467.19</v>
      </c>
      <c r="F226" s="1047" t="s">
        <v>1692</v>
      </c>
      <c r="G226" s="707">
        <v>423.02</v>
      </c>
      <c r="H226" s="733"/>
      <c r="I226" s="707">
        <v>248.69</v>
      </c>
      <c r="J226" s="733"/>
      <c r="K226" s="707">
        <v>282.02999999999997</v>
      </c>
      <c r="L226" s="733"/>
      <c r="M226" s="707">
        <v>398</v>
      </c>
      <c r="N226" s="733"/>
      <c r="O226" s="707">
        <v>370.48</v>
      </c>
      <c r="P226" s="733"/>
      <c r="Q226" s="707">
        <v>437.33</v>
      </c>
      <c r="R226" s="767"/>
      <c r="S226" s="744">
        <v>435</v>
      </c>
      <c r="T226" s="1048" t="s">
        <v>1692</v>
      </c>
      <c r="U226" s="744">
        <v>406.62</v>
      </c>
      <c r="V226" s="777"/>
      <c r="W226" s="744"/>
      <c r="X226" s="1048" t="s">
        <v>1693</v>
      </c>
      <c r="Y226" s="744">
        <v>440.63</v>
      </c>
      <c r="Z226" s="733"/>
      <c r="AA226" s="707">
        <v>410.34</v>
      </c>
      <c r="AB226" s="733"/>
      <c r="AC226" s="707">
        <v>444.33</v>
      </c>
      <c r="AD226" s="720"/>
      <c r="AE226" s="723"/>
      <c r="AF226" s="723"/>
      <c r="AG226" s="723"/>
      <c r="AH226" s="720"/>
      <c r="AI226" s="720"/>
      <c r="AJ226" s="720"/>
      <c r="AK226" s="720"/>
      <c r="AL226" s="720"/>
      <c r="AM226" s="896">
        <f>COUNTIF(B226:AB226,"U/P")</f>
        <v>0</v>
      </c>
      <c r="AN226" s="896">
        <f>COUNTIF(C226:AC226,"ROW")</f>
        <v>0</v>
      </c>
      <c r="AO226" s="896">
        <f>COUNTIF(D226:AD226,"C")</f>
        <v>0</v>
      </c>
    </row>
    <row r="227" spans="1:41" ht="16.5" customHeight="1" thickBot="1">
      <c r="A227" s="469"/>
      <c r="B227" s="710"/>
      <c r="C227" s="720"/>
      <c r="D227" s="710"/>
      <c r="E227" s="720"/>
      <c r="F227" s="710"/>
      <c r="G227" s="720"/>
      <c r="H227" s="710"/>
      <c r="I227" s="720"/>
      <c r="J227" s="710"/>
      <c r="K227" s="720"/>
      <c r="L227" s="710"/>
      <c r="M227" s="720"/>
      <c r="N227" s="710"/>
      <c r="O227" s="720"/>
      <c r="P227" s="710"/>
      <c r="Q227" s="720"/>
      <c r="R227" s="710"/>
      <c r="S227" s="720"/>
      <c r="T227" s="710"/>
      <c r="U227" s="720"/>
      <c r="V227" s="710"/>
      <c r="W227" s="720"/>
      <c r="X227" s="710"/>
      <c r="Y227" s="720"/>
      <c r="Z227" s="710"/>
      <c r="AA227" s="720"/>
      <c r="AB227" s="710"/>
      <c r="AC227" s="720"/>
      <c r="AD227" s="720"/>
      <c r="AE227" s="723"/>
      <c r="AF227" s="723"/>
      <c r="AG227" s="723"/>
      <c r="AH227" s="720"/>
      <c r="AI227" s="720"/>
      <c r="AJ227" s="720"/>
      <c r="AK227" s="720"/>
      <c r="AL227" s="720"/>
    </row>
    <row r="228" spans="1:41" ht="33.5">
      <c r="A228" s="469"/>
      <c r="B228" s="699" t="s">
        <v>125</v>
      </c>
      <c r="C228" s="698"/>
      <c r="D228" s="699" t="s">
        <v>123</v>
      </c>
      <c r="E228" s="698"/>
      <c r="F228" s="699" t="s">
        <v>132</v>
      </c>
      <c r="G228" s="698"/>
      <c r="H228" s="698" t="s">
        <v>182</v>
      </c>
      <c r="I228" s="698"/>
      <c r="J228" s="698" t="s">
        <v>182</v>
      </c>
      <c r="K228" s="698"/>
      <c r="L228" s="699" t="s">
        <v>125</v>
      </c>
      <c r="M228" s="698"/>
      <c r="N228" s="698" t="s">
        <v>185</v>
      </c>
      <c r="O228" s="702"/>
      <c r="P228" s="699" t="s">
        <v>128</v>
      </c>
      <c r="Q228" s="720"/>
      <c r="R228" s="699" t="s">
        <v>143</v>
      </c>
      <c r="S228" s="720"/>
      <c r="T228" s="698" t="s">
        <v>248</v>
      </c>
      <c r="U228" s="720"/>
      <c r="V228" s="699" t="s">
        <v>115</v>
      </c>
      <c r="W228" s="720"/>
      <c r="X228" s="699" t="s">
        <v>137</v>
      </c>
      <c r="Y228" s="720"/>
      <c r="Z228" s="699" t="s">
        <v>167</v>
      </c>
      <c r="AA228" s="720"/>
      <c r="AB228" s="699" t="s">
        <v>115</v>
      </c>
      <c r="AC228" s="720"/>
      <c r="AD228" s="720"/>
      <c r="AE228" s="723"/>
      <c r="AF228" s="723"/>
      <c r="AG228" s="723"/>
      <c r="AH228" s="720"/>
      <c r="AI228" s="720"/>
      <c r="AJ228" s="720"/>
      <c r="AK228" s="720"/>
      <c r="AL228" s="720"/>
    </row>
    <row r="229" spans="1:41" ht="33.5">
      <c r="B229" s="698"/>
      <c r="C229" s="698"/>
      <c r="D229" s="780" t="s">
        <v>1632</v>
      </c>
      <c r="E229" s="698"/>
      <c r="F229" s="780" t="s">
        <v>1632</v>
      </c>
      <c r="G229" s="698"/>
      <c r="H229" s="698"/>
      <c r="I229" s="698"/>
      <c r="J229" s="698"/>
      <c r="K229" s="698"/>
      <c r="L229" s="698"/>
      <c r="M229" s="698"/>
      <c r="N229" s="698"/>
      <c r="O229" s="702"/>
      <c r="P229" s="698"/>
      <c r="Q229" s="720"/>
      <c r="R229" s="698"/>
      <c r="S229" s="720"/>
      <c r="T229" s="698"/>
      <c r="U229" s="720"/>
      <c r="V229" s="780" t="s">
        <v>1625</v>
      </c>
      <c r="W229" s="720"/>
      <c r="X229" s="698"/>
      <c r="Y229" s="720"/>
      <c r="Z229" s="698"/>
      <c r="AA229" s="720"/>
      <c r="AB229" s="698"/>
      <c r="AC229" s="720"/>
      <c r="AD229" s="720"/>
      <c r="AE229" s="723"/>
      <c r="AF229" s="723"/>
      <c r="AG229" s="723"/>
      <c r="AH229" s="720"/>
      <c r="AI229" s="720"/>
      <c r="AJ229" s="720"/>
      <c r="AK229" s="720"/>
      <c r="AL229" s="720"/>
    </row>
    <row r="230" spans="1:41" ht="31" customHeight="1">
      <c r="A230" s="1501" t="s">
        <v>1518</v>
      </c>
      <c r="B230" s="1502"/>
      <c r="C230" s="1502"/>
      <c r="D230" s="1502"/>
      <c r="E230" s="1502"/>
      <c r="F230" s="1502"/>
      <c r="G230" s="1502"/>
      <c r="H230" s="1523"/>
      <c r="I230" s="1523"/>
      <c r="J230" s="1523"/>
      <c r="K230" s="1523"/>
      <c r="L230" s="1523"/>
      <c r="M230" s="1523"/>
      <c r="N230" s="1523"/>
      <c r="O230" s="1523"/>
      <c r="P230" s="1524"/>
      <c r="Q230" s="1492" t="s">
        <v>1518</v>
      </c>
      <c r="R230" s="1493"/>
      <c r="S230" s="1493"/>
      <c r="T230" s="1493"/>
      <c r="U230" s="1493"/>
      <c r="V230" s="1493"/>
      <c r="W230" s="1493"/>
      <c r="X230" s="1493"/>
      <c r="Y230" s="1525"/>
      <c r="Z230" s="1525"/>
      <c r="AA230" s="1525"/>
      <c r="AB230" s="1525"/>
      <c r="AC230" s="1525"/>
      <c r="AD230" s="1525"/>
      <c r="AE230" s="1073"/>
      <c r="AF230" s="1072"/>
      <c r="AG230" s="1071"/>
      <c r="AH230" s="895"/>
      <c r="AI230" s="907"/>
      <c r="AJ230" s="907"/>
      <c r="AK230" s="907"/>
      <c r="AL230" s="907"/>
    </row>
    <row r="231" spans="1:41" ht="22.5" customHeight="1">
      <c r="B231" s="703"/>
      <c r="C231" s="703"/>
      <c r="D231" s="703"/>
      <c r="E231" s="703"/>
      <c r="F231" s="703"/>
      <c r="G231" s="703"/>
      <c r="H231" s="703"/>
      <c r="I231" s="703"/>
      <c r="J231" s="703"/>
      <c r="K231" s="703"/>
      <c r="L231" s="703"/>
      <c r="M231" s="703"/>
      <c r="N231" s="703"/>
      <c r="O231" s="703"/>
      <c r="P231" s="703"/>
      <c r="Q231" s="703"/>
      <c r="R231" s="703"/>
      <c r="S231" s="703"/>
      <c r="T231" s="703"/>
      <c r="U231" s="703"/>
      <c r="V231" s="703"/>
      <c r="W231" s="703"/>
      <c r="X231" s="703"/>
      <c r="Y231" s="703"/>
      <c r="Z231" s="703"/>
      <c r="AA231" s="703"/>
      <c r="AB231" s="703"/>
      <c r="AC231" s="703"/>
      <c r="AD231" s="703"/>
      <c r="AE231" s="686"/>
      <c r="AF231" s="686"/>
      <c r="AG231" s="686"/>
    </row>
    <row r="232" spans="1:41" ht="36.5" customHeight="1">
      <c r="A232" s="1509" t="s">
        <v>458</v>
      </c>
      <c r="B232" s="1509"/>
      <c r="C232" s="720"/>
      <c r="D232" s="1505" t="s">
        <v>459</v>
      </c>
      <c r="E232" s="1505"/>
      <c r="F232" s="1505" t="s">
        <v>460</v>
      </c>
      <c r="G232" s="1505"/>
      <c r="H232" s="1505" t="s">
        <v>1534</v>
      </c>
      <c r="I232" s="1505"/>
      <c r="J232" s="1505" t="s">
        <v>462</v>
      </c>
      <c r="K232" s="1505"/>
      <c r="L232" s="1505" t="s">
        <v>463</v>
      </c>
      <c r="M232" s="1505"/>
      <c r="N232" s="1505" t="s">
        <v>464</v>
      </c>
      <c r="O232" s="1505"/>
      <c r="P232" s="1505" t="s">
        <v>465</v>
      </c>
      <c r="Q232" s="1505"/>
      <c r="R232" s="1505" t="s">
        <v>467</v>
      </c>
      <c r="S232" s="1505"/>
      <c r="T232" s="1505" t="s">
        <v>468</v>
      </c>
      <c r="U232" s="1505"/>
      <c r="V232" s="1505" t="s">
        <v>469</v>
      </c>
      <c r="W232" s="1505"/>
      <c r="X232" s="1505" t="s">
        <v>470</v>
      </c>
      <c r="Y232" s="1505"/>
      <c r="Z232" s="1505" t="s">
        <v>471</v>
      </c>
      <c r="AA232" s="1505"/>
      <c r="AB232" s="1505" t="s">
        <v>472</v>
      </c>
      <c r="AC232" s="1505"/>
      <c r="AD232" s="720"/>
      <c r="AE232" s="686"/>
      <c r="AF232" s="686"/>
      <c r="AG232" s="686"/>
    </row>
    <row r="233" spans="1:41" ht="33.5">
      <c r="A233" s="469"/>
      <c r="B233" s="712"/>
      <c r="C233" s="702"/>
      <c r="D233" s="712"/>
      <c r="E233" s="702"/>
      <c r="F233" s="712"/>
      <c r="G233" s="702"/>
      <c r="H233" s="712"/>
      <c r="I233" s="702"/>
      <c r="J233" s="712"/>
      <c r="K233" s="702"/>
      <c r="L233" s="712"/>
      <c r="M233" s="702"/>
      <c r="N233" s="712"/>
      <c r="O233" s="702"/>
      <c r="P233" s="712"/>
      <c r="Q233" s="720"/>
      <c r="R233" s="712"/>
      <c r="S233" s="702"/>
      <c r="T233" s="712"/>
      <c r="U233" s="702"/>
      <c r="V233" s="712"/>
      <c r="W233" s="702"/>
      <c r="X233" s="712"/>
      <c r="Y233" s="702"/>
      <c r="Z233" s="712"/>
      <c r="AA233" s="702"/>
      <c r="AB233" s="712"/>
      <c r="AC233" s="720"/>
      <c r="AD233" s="720"/>
      <c r="AE233" s="696"/>
      <c r="AF233" s="696"/>
      <c r="AG233" s="696"/>
    </row>
    <row r="234" spans="1:41" ht="16.5" customHeight="1" thickBot="1">
      <c r="A234" s="469"/>
      <c r="B234" s="714"/>
      <c r="C234" s="702"/>
      <c r="D234" s="714"/>
      <c r="E234" s="702"/>
      <c r="F234" s="714"/>
      <c r="G234" s="702"/>
      <c r="H234" s="714"/>
      <c r="I234" s="702"/>
      <c r="J234" s="714"/>
      <c r="K234" s="702"/>
      <c r="L234" s="714"/>
      <c r="M234" s="702"/>
      <c r="N234" s="714"/>
      <c r="O234" s="702"/>
      <c r="P234" s="714"/>
      <c r="Q234" s="720"/>
      <c r="R234" s="714"/>
      <c r="S234" s="702"/>
      <c r="T234" s="714"/>
      <c r="U234" s="702"/>
      <c r="V234" s="714"/>
      <c r="W234" s="702"/>
      <c r="X234" s="714"/>
      <c r="Y234" s="702"/>
      <c r="Z234" s="714"/>
      <c r="AA234" s="702"/>
      <c r="AB234" s="714"/>
      <c r="AC234" s="720"/>
      <c r="AD234" s="720"/>
      <c r="AE234" s="696"/>
      <c r="AF234" s="696"/>
      <c r="AG234" s="696"/>
    </row>
    <row r="235" spans="1:41" ht="100" customHeight="1" thickBot="1">
      <c r="A235" s="469"/>
      <c r="B235" s="763"/>
      <c r="C235" s="707">
        <v>189.81</v>
      </c>
      <c r="D235" s="733"/>
      <c r="E235" s="707">
        <v>157.88</v>
      </c>
      <c r="F235" s="1047" t="s">
        <v>1694</v>
      </c>
      <c r="G235" s="707">
        <v>200.69</v>
      </c>
      <c r="H235" s="733"/>
      <c r="I235" s="707">
        <v>165.49</v>
      </c>
      <c r="J235" s="733"/>
      <c r="K235" s="707">
        <v>403.86</v>
      </c>
      <c r="L235" s="733"/>
      <c r="M235" s="707">
        <v>434.79</v>
      </c>
      <c r="N235" s="733"/>
      <c r="O235" s="744">
        <v>425.38</v>
      </c>
      <c r="P235" s="733"/>
      <c r="Q235" s="744">
        <v>441.35</v>
      </c>
      <c r="R235" s="733"/>
      <c r="S235" s="744">
        <v>357.54</v>
      </c>
      <c r="T235" s="733"/>
      <c r="U235" s="744">
        <v>438.29</v>
      </c>
      <c r="V235" s="1048" t="s">
        <v>1693</v>
      </c>
      <c r="W235" s="744">
        <v>430</v>
      </c>
      <c r="X235" s="777"/>
      <c r="Y235" s="744">
        <v>410</v>
      </c>
      <c r="Z235" s="777"/>
      <c r="AA235" s="744">
        <v>439.98</v>
      </c>
      <c r="AB235" s="1048" t="s">
        <v>1693</v>
      </c>
      <c r="AC235" s="707">
        <v>424.44</v>
      </c>
      <c r="AD235" s="720"/>
      <c r="AE235" s="696"/>
      <c r="AF235" s="696"/>
      <c r="AG235" s="696"/>
      <c r="AM235" s="896">
        <f>COUNTIF(B235:AB235,"U/P")</f>
        <v>0</v>
      </c>
      <c r="AN235" s="896">
        <f>COUNTIF(C235:AC235,"ROW")</f>
        <v>0</v>
      </c>
      <c r="AO235" s="896">
        <f>COUNTIF(D235:AD235,"C")</f>
        <v>0</v>
      </c>
    </row>
    <row r="236" spans="1:41" ht="16.5" customHeight="1" thickBot="1">
      <c r="A236" s="469"/>
      <c r="B236" s="710"/>
      <c r="C236" s="720"/>
      <c r="D236" s="710"/>
      <c r="E236" s="720"/>
      <c r="F236" s="710"/>
      <c r="G236" s="720"/>
      <c r="H236" s="710"/>
      <c r="I236" s="720"/>
      <c r="J236" s="710"/>
      <c r="K236" s="720"/>
      <c r="L236" s="710"/>
      <c r="M236" s="720"/>
      <c r="N236" s="710"/>
      <c r="O236" s="720"/>
      <c r="P236" s="710"/>
      <c r="Q236" s="720"/>
      <c r="R236" s="710"/>
      <c r="S236" s="720"/>
      <c r="T236" s="710"/>
      <c r="U236" s="720"/>
      <c r="V236" s="710"/>
      <c r="W236" s="720"/>
      <c r="X236" s="710"/>
      <c r="Y236" s="720"/>
      <c r="Z236" s="710"/>
      <c r="AA236" s="720"/>
      <c r="AB236" s="710"/>
      <c r="AC236" s="720"/>
      <c r="AD236" s="720"/>
      <c r="AE236" s="696"/>
      <c r="AF236" s="696"/>
      <c r="AG236" s="696"/>
    </row>
    <row r="237" spans="1:41" ht="33.5">
      <c r="A237" s="469"/>
      <c r="B237" s="699" t="s">
        <v>132</v>
      </c>
      <c r="C237" s="698"/>
      <c r="D237" s="699" t="s">
        <v>123</v>
      </c>
      <c r="E237" s="698"/>
      <c r="F237" s="699" t="s">
        <v>125</v>
      </c>
      <c r="G237" s="698"/>
      <c r="H237" s="699" t="s">
        <v>115</v>
      </c>
      <c r="I237" s="698"/>
      <c r="J237" s="699" t="s">
        <v>115</v>
      </c>
      <c r="K237" s="698"/>
      <c r="L237" s="698" t="s">
        <v>248</v>
      </c>
      <c r="M237" s="698"/>
      <c r="N237" s="699" t="s">
        <v>115</v>
      </c>
      <c r="O237" s="702"/>
      <c r="P237" s="699" t="s">
        <v>132</v>
      </c>
      <c r="Q237" s="720"/>
      <c r="R237" s="699" t="s">
        <v>125</v>
      </c>
      <c r="S237" s="720"/>
      <c r="T237" s="698" t="s">
        <v>182</v>
      </c>
      <c r="U237" s="720"/>
      <c r="V237" s="699" t="s">
        <v>125</v>
      </c>
      <c r="W237" s="720"/>
      <c r="X237" s="698" t="s">
        <v>185</v>
      </c>
      <c r="Y237" s="720"/>
      <c r="Z237" s="699" t="s">
        <v>132</v>
      </c>
      <c r="AA237" s="720"/>
      <c r="AB237" s="699" t="s">
        <v>137</v>
      </c>
      <c r="AC237" s="720"/>
      <c r="AD237" s="720"/>
      <c r="AE237" s="696"/>
      <c r="AF237" s="696"/>
      <c r="AG237" s="696"/>
    </row>
    <row r="238" spans="1:41" ht="33.5">
      <c r="B238" s="782" t="s">
        <v>1524</v>
      </c>
      <c r="C238" s="737"/>
      <c r="D238" s="685"/>
      <c r="E238" s="737"/>
      <c r="F238" s="737"/>
      <c r="G238" s="737"/>
      <c r="H238" s="737"/>
      <c r="I238" s="737"/>
      <c r="J238" s="737"/>
      <c r="K238" s="737"/>
      <c r="L238" s="737"/>
      <c r="M238" s="737"/>
      <c r="N238" s="782" t="s">
        <v>1629</v>
      </c>
      <c r="O238" s="702"/>
      <c r="P238" s="698"/>
      <c r="Q238" s="720"/>
      <c r="R238" s="698"/>
      <c r="S238" s="780" t="s">
        <v>1619</v>
      </c>
      <c r="T238" s="780"/>
      <c r="U238" s="720"/>
      <c r="V238" s="698"/>
      <c r="W238" s="720"/>
      <c r="X238" s="698"/>
      <c r="Y238" s="720"/>
      <c r="Z238" s="698"/>
      <c r="AA238" s="720"/>
      <c r="AB238" s="698"/>
      <c r="AC238" s="720"/>
      <c r="AD238" s="720"/>
      <c r="AE238" s="696"/>
      <c r="AF238" s="696"/>
      <c r="AG238" s="696"/>
    </row>
    <row r="239" spans="1:41" ht="41" customHeight="1">
      <c r="A239" s="762"/>
      <c r="B239" s="762"/>
      <c r="C239" s="762"/>
      <c r="D239" s="762"/>
      <c r="E239" s="762"/>
      <c r="F239" s="761" t="s">
        <v>228</v>
      </c>
      <c r="G239" s="762"/>
      <c r="H239" s="735"/>
      <c r="I239" s="735"/>
      <c r="J239" s="735"/>
      <c r="K239" s="735"/>
      <c r="L239" s="735"/>
      <c r="M239" s="735"/>
      <c r="N239" s="762"/>
      <c r="O239" s="762"/>
      <c r="P239" s="762"/>
      <c r="Q239" s="762"/>
      <c r="R239" s="762"/>
      <c r="S239" s="762"/>
      <c r="T239" s="762"/>
      <c r="U239" s="762"/>
      <c r="V239" s="1493" t="s">
        <v>228</v>
      </c>
      <c r="W239" s="1493"/>
      <c r="X239" s="1493"/>
      <c r="Y239" s="1493"/>
      <c r="Z239" s="1493"/>
      <c r="AA239" s="1493"/>
      <c r="AB239" s="1493"/>
      <c r="AC239" s="1525"/>
      <c r="AD239" s="1525"/>
      <c r="AE239" s="1525"/>
      <c r="AF239" s="1525"/>
      <c r="AG239" s="1074"/>
      <c r="AH239" s="895"/>
      <c r="AI239" s="907"/>
      <c r="AJ239" s="907"/>
      <c r="AK239" s="907"/>
      <c r="AL239" s="907"/>
    </row>
    <row r="240" spans="1:41" ht="23" customHeight="1">
      <c r="B240" s="703"/>
      <c r="C240" s="703"/>
      <c r="D240" s="703"/>
      <c r="E240" s="703"/>
      <c r="F240" s="703"/>
      <c r="G240" s="703"/>
      <c r="H240" s="703"/>
      <c r="I240" s="703"/>
      <c r="J240" s="703"/>
      <c r="K240" s="703"/>
      <c r="L240" s="703"/>
      <c r="M240" s="703"/>
      <c r="N240" s="703"/>
      <c r="O240" s="703"/>
      <c r="P240" s="703"/>
      <c r="Q240" s="703"/>
      <c r="R240" s="703"/>
      <c r="S240" s="703"/>
      <c r="T240" s="703"/>
      <c r="U240" s="703"/>
      <c r="V240" s="703"/>
      <c r="W240" s="703"/>
      <c r="X240" s="703"/>
      <c r="Y240" s="703"/>
      <c r="Z240" s="703"/>
      <c r="AA240" s="703"/>
      <c r="AB240" s="703"/>
      <c r="AC240" s="703"/>
      <c r="AD240" s="703"/>
      <c r="AE240" s="686"/>
      <c r="AF240" s="686"/>
      <c r="AG240" s="686"/>
    </row>
    <row r="241" spans="1:41" ht="30.5" customHeight="1">
      <c r="A241" s="1509" t="s">
        <v>473</v>
      </c>
      <c r="B241" s="1509"/>
      <c r="C241" s="783"/>
      <c r="D241" s="1505" t="s">
        <v>474</v>
      </c>
      <c r="E241" s="1505"/>
      <c r="F241" s="1505" t="s">
        <v>475</v>
      </c>
      <c r="G241" s="1505"/>
      <c r="H241" s="1505" t="s">
        <v>476</v>
      </c>
      <c r="I241" s="1505"/>
      <c r="J241" s="684" t="s">
        <v>477</v>
      </c>
      <c r="K241" s="1509" t="s">
        <v>478</v>
      </c>
      <c r="L241" s="1509"/>
      <c r="M241" s="685" t="s">
        <v>1512</v>
      </c>
      <c r="N241" s="1505" t="s">
        <v>733</v>
      </c>
      <c r="O241" s="1505"/>
      <c r="P241" s="1505" t="s">
        <v>734</v>
      </c>
      <c r="Q241" s="1505"/>
      <c r="R241" s="1505" t="s">
        <v>735</v>
      </c>
      <c r="S241" s="1505"/>
      <c r="T241" s="1505" t="s">
        <v>736</v>
      </c>
      <c r="U241" s="1505"/>
      <c r="V241" s="1505" t="s">
        <v>737</v>
      </c>
      <c r="W241" s="1505"/>
      <c r="X241" s="1505" t="s">
        <v>738</v>
      </c>
      <c r="Y241" s="1505"/>
      <c r="Z241" s="1505" t="s">
        <v>739</v>
      </c>
      <c r="AA241" s="1505"/>
      <c r="AB241" s="1505" t="s">
        <v>740</v>
      </c>
      <c r="AC241" s="1505"/>
      <c r="AD241" s="703"/>
      <c r="AE241" s="686"/>
      <c r="AF241" s="686"/>
      <c r="AG241" s="686"/>
    </row>
    <row r="242" spans="1:41" ht="33.5">
      <c r="A242" s="469"/>
      <c r="B242" s="712"/>
      <c r="C242" s="702"/>
      <c r="D242" s="712"/>
      <c r="E242" s="702"/>
      <c r="F242" s="712"/>
      <c r="G242" s="702"/>
      <c r="H242" s="712"/>
      <c r="I242" s="702"/>
      <c r="J242" s="712"/>
      <c r="K242" s="702"/>
      <c r="L242" s="712"/>
      <c r="M242" s="702"/>
      <c r="N242" s="712"/>
      <c r="O242" s="702"/>
      <c r="P242" s="712"/>
      <c r="Q242" s="720"/>
      <c r="R242" s="712"/>
      <c r="S242" s="702"/>
      <c r="T242" s="712"/>
      <c r="U242" s="702"/>
      <c r="V242" s="712"/>
      <c r="W242" s="702"/>
      <c r="X242" s="712"/>
      <c r="Y242" s="702"/>
      <c r="Z242" s="712"/>
      <c r="AA242" s="702"/>
      <c r="AB242" s="712"/>
      <c r="AC242" s="703"/>
      <c r="AD242" s="703"/>
      <c r="AE242" s="696"/>
      <c r="AF242" s="696"/>
      <c r="AG242" s="696"/>
    </row>
    <row r="243" spans="1:41" ht="16.5" customHeight="1" thickBot="1">
      <c r="A243" s="469"/>
      <c r="B243" s="714"/>
      <c r="C243" s="702"/>
      <c r="D243" s="714"/>
      <c r="E243" s="702"/>
      <c r="F243" s="714"/>
      <c r="G243" s="702"/>
      <c r="H243" s="714"/>
      <c r="I243" s="702"/>
      <c r="J243" s="714"/>
      <c r="K243" s="702"/>
      <c r="L243" s="714"/>
      <c r="M243" s="702"/>
      <c r="N243" s="714"/>
      <c r="O243" s="702"/>
      <c r="P243" s="714"/>
      <c r="Q243" s="720"/>
      <c r="R243" s="714"/>
      <c r="S243" s="702"/>
      <c r="T243" s="714"/>
      <c r="U243" s="702"/>
      <c r="V243" s="714"/>
      <c r="W243" s="702"/>
      <c r="X243" s="714"/>
      <c r="Y243" s="702"/>
      <c r="Z243" s="714"/>
      <c r="AA243" s="702"/>
      <c r="AB243" s="714"/>
      <c r="AC243" s="703"/>
      <c r="AD243" s="703"/>
      <c r="AE243" s="696"/>
      <c r="AF243" s="696"/>
      <c r="AG243" s="696"/>
    </row>
    <row r="244" spans="1:41" ht="100" customHeight="1" thickBot="1">
      <c r="A244" s="469"/>
      <c r="B244" s="733"/>
      <c r="C244" s="707">
        <v>439</v>
      </c>
      <c r="D244" s="733"/>
      <c r="E244" s="770">
        <v>395</v>
      </c>
      <c r="F244" s="733"/>
      <c r="G244" s="770">
        <v>401.11</v>
      </c>
      <c r="H244" s="691" t="s">
        <v>228</v>
      </c>
      <c r="I244" s="707">
        <v>413</v>
      </c>
      <c r="J244" s="733"/>
      <c r="K244" s="707">
        <v>402.25</v>
      </c>
      <c r="L244" s="691"/>
      <c r="M244" s="707">
        <v>250.69</v>
      </c>
      <c r="N244" s="767"/>
      <c r="O244" s="744">
        <v>425.61</v>
      </c>
      <c r="P244" s="1048" t="s">
        <v>1693</v>
      </c>
      <c r="Q244" s="744">
        <v>381.68</v>
      </c>
      <c r="R244" s="1048" t="s">
        <v>1693</v>
      </c>
      <c r="S244" s="744">
        <v>351.87</v>
      </c>
      <c r="T244" s="733"/>
      <c r="U244" s="744">
        <v>419.36</v>
      </c>
      <c r="V244" s="1048" t="s">
        <v>1693</v>
      </c>
      <c r="W244" s="707">
        <v>421.74</v>
      </c>
      <c r="X244" s="733"/>
      <c r="Y244" s="707">
        <v>403</v>
      </c>
      <c r="Z244" s="733"/>
      <c r="AA244" s="707">
        <v>355</v>
      </c>
      <c r="AB244" s="733"/>
      <c r="AC244" s="708">
        <v>355</v>
      </c>
      <c r="AD244" s="703"/>
      <c r="AE244" s="696"/>
      <c r="AF244" s="696"/>
      <c r="AG244" s="696"/>
      <c r="AM244" s="896">
        <f>COUNTIF(B244:AB244,"U/P")</f>
        <v>0</v>
      </c>
      <c r="AN244" s="896">
        <f>COUNTIF(C244:AC244,"ROW")</f>
        <v>1</v>
      </c>
      <c r="AO244" s="896">
        <f>COUNTIF(D244:AD244,"C")</f>
        <v>0</v>
      </c>
    </row>
    <row r="245" spans="1:41" ht="16.5" customHeight="1" thickBot="1">
      <c r="A245" s="469"/>
      <c r="B245" s="784"/>
      <c r="C245" s="720"/>
      <c r="D245" s="710"/>
      <c r="E245" s="720"/>
      <c r="F245" s="710"/>
      <c r="G245" s="720"/>
      <c r="H245" s="710"/>
      <c r="I245" s="720"/>
      <c r="J245" s="710"/>
      <c r="K245" s="720"/>
      <c r="L245" s="710"/>
      <c r="M245" s="720"/>
      <c r="N245" s="710"/>
      <c r="O245" s="720"/>
      <c r="P245" s="785"/>
      <c r="Q245" s="720"/>
      <c r="R245" s="785"/>
      <c r="S245" s="720"/>
      <c r="T245" s="785"/>
      <c r="U245" s="720"/>
      <c r="V245" s="710"/>
      <c r="W245" s="720"/>
      <c r="X245" s="710"/>
      <c r="Y245" s="720"/>
      <c r="Z245" s="710"/>
      <c r="AA245" s="720"/>
      <c r="AB245" s="710"/>
      <c r="AC245" s="703"/>
      <c r="AD245" s="703"/>
      <c r="AE245" s="696"/>
      <c r="AF245" s="696"/>
      <c r="AG245" s="696"/>
    </row>
    <row r="246" spans="1:41" ht="32" customHeight="1">
      <c r="A246" s="469"/>
      <c r="B246" s="699" t="s">
        <v>143</v>
      </c>
      <c r="C246" s="698"/>
      <c r="D246" s="698" t="s">
        <v>185</v>
      </c>
      <c r="E246" s="698"/>
      <c r="F246" s="698" t="s">
        <v>185</v>
      </c>
      <c r="G246" s="698"/>
      <c r="H246" s="699" t="s">
        <v>115</v>
      </c>
      <c r="I246" s="698"/>
      <c r="J246" s="698" t="s">
        <v>242</v>
      </c>
      <c r="K246" s="698"/>
      <c r="L246" s="699" t="s">
        <v>125</v>
      </c>
      <c r="M246" s="698"/>
      <c r="N246" s="699" t="s">
        <v>128</v>
      </c>
      <c r="O246" s="702"/>
      <c r="P246" s="698" t="s">
        <v>185</v>
      </c>
      <c r="Q246" s="720"/>
      <c r="R246" s="698" t="s">
        <v>185</v>
      </c>
      <c r="S246" s="720"/>
      <c r="T246" s="699" t="s">
        <v>115</v>
      </c>
      <c r="U246" s="720"/>
      <c r="V246" s="699" t="s">
        <v>137</v>
      </c>
      <c r="W246" s="720"/>
      <c r="X246" s="699" t="s">
        <v>137</v>
      </c>
      <c r="Y246" s="720"/>
      <c r="Z246" s="698" t="s">
        <v>182</v>
      </c>
      <c r="AA246" s="720"/>
      <c r="AB246" s="698" t="s">
        <v>182</v>
      </c>
      <c r="AC246" s="703"/>
      <c r="AD246" s="703"/>
      <c r="AE246" s="696"/>
      <c r="AF246" s="696"/>
      <c r="AG246" s="696"/>
    </row>
    <row r="247" spans="1:41" ht="62.5" customHeight="1">
      <c r="A247" s="735"/>
      <c r="B247" s="735"/>
      <c r="C247" s="735"/>
      <c r="D247" s="735"/>
      <c r="E247" s="735"/>
      <c r="F247" s="735"/>
      <c r="G247" s="735"/>
      <c r="H247" s="907" t="s">
        <v>228</v>
      </c>
      <c r="I247" s="735"/>
      <c r="J247" s="735"/>
      <c r="K247" s="735"/>
      <c r="M247" s="841"/>
      <c r="N247" s="841"/>
      <c r="O247" s="1493" t="s">
        <v>1518</v>
      </c>
      <c r="P247" s="1493"/>
      <c r="Q247" s="1493"/>
      <c r="R247" s="1493"/>
      <c r="S247" s="1513"/>
      <c r="T247" s="1135"/>
      <c r="U247" s="1527" t="s">
        <v>1518</v>
      </c>
      <c r="V247" s="1528"/>
      <c r="W247" s="1529"/>
      <c r="X247" s="1530"/>
      <c r="Y247" s="1525"/>
      <c r="Z247" s="1525"/>
      <c r="AA247" s="1525"/>
      <c r="AB247" s="1525"/>
      <c r="AC247" s="1525"/>
      <c r="AD247" s="1525"/>
      <c r="AE247" s="1525"/>
      <c r="AF247" s="1525"/>
      <c r="AG247" s="1525"/>
      <c r="AH247" s="1525"/>
      <c r="AI247" s="908"/>
      <c r="AJ247" s="908"/>
      <c r="AK247" s="908"/>
      <c r="AL247" s="908"/>
    </row>
    <row r="248" spans="1:41" ht="28.5" customHeight="1">
      <c r="B248" s="716"/>
      <c r="C248" s="716"/>
      <c r="D248" s="716"/>
      <c r="E248" s="716"/>
      <c r="F248" s="716"/>
      <c r="G248" s="716"/>
      <c r="H248" s="716"/>
      <c r="I248" s="716"/>
      <c r="J248" s="716"/>
      <c r="K248" s="716"/>
      <c r="L248" s="716"/>
      <c r="M248" s="716"/>
      <c r="N248" s="716"/>
      <c r="O248" s="705"/>
      <c r="P248" s="716"/>
      <c r="Q248" s="703"/>
      <c r="R248" s="716"/>
      <c r="S248" s="703"/>
      <c r="T248" s="716"/>
      <c r="U248" s="703"/>
      <c r="V248" s="716"/>
      <c r="W248" s="703"/>
      <c r="X248" s="716"/>
      <c r="Y248" s="703"/>
      <c r="Z248" s="716"/>
      <c r="AA248" s="703"/>
      <c r="AB248" s="716"/>
      <c r="AC248" s="703"/>
      <c r="AD248" s="703"/>
      <c r="AE248" s="696"/>
      <c r="AF248" s="696"/>
      <c r="AG248" s="696"/>
    </row>
    <row r="249" spans="1:41" ht="67" customHeight="1">
      <c r="A249" s="720"/>
      <c r="B249" s="684" t="s">
        <v>741</v>
      </c>
      <c r="C249" s="684"/>
      <c r="D249" s="1505" t="s">
        <v>742</v>
      </c>
      <c r="E249" s="1505"/>
      <c r="F249" s="1505" t="s">
        <v>743</v>
      </c>
      <c r="G249" s="1505"/>
      <c r="H249" s="1505" t="s">
        <v>744</v>
      </c>
      <c r="I249" s="1505"/>
      <c r="J249" s="684" t="s">
        <v>745</v>
      </c>
      <c r="K249" s="684"/>
      <c r="L249" s="1505" t="s">
        <v>746</v>
      </c>
      <c r="M249" s="1505"/>
      <c r="N249" s="1505" t="s">
        <v>747</v>
      </c>
      <c r="O249" s="1505"/>
      <c r="P249" s="1505" t="s">
        <v>748</v>
      </c>
      <c r="Q249" s="1505"/>
      <c r="R249" s="1505" t="s">
        <v>749</v>
      </c>
      <c r="S249" s="1505"/>
      <c r="T249" s="1505" t="s">
        <v>750</v>
      </c>
      <c r="U249" s="1505"/>
      <c r="V249" s="1505" t="s">
        <v>751</v>
      </c>
      <c r="W249" s="1505"/>
      <c r="X249" s="786" t="s">
        <v>752</v>
      </c>
      <c r="Y249" s="720"/>
      <c r="Z249" s="786" t="s">
        <v>753</v>
      </c>
      <c r="AA249" s="778"/>
      <c r="AB249" s="786" t="s">
        <v>754</v>
      </c>
      <c r="AC249" s="685" t="s">
        <v>1513</v>
      </c>
      <c r="AD249" s="720"/>
      <c r="AE249" s="720"/>
      <c r="AF249" s="720"/>
      <c r="AG249" s="720"/>
      <c r="AH249" s="720"/>
      <c r="AI249" s="720"/>
      <c r="AJ249" s="720"/>
      <c r="AK249" s="720"/>
      <c r="AL249" s="720"/>
    </row>
    <row r="250" spans="1:41" ht="33.5">
      <c r="A250" s="720"/>
      <c r="B250" s="712"/>
      <c r="C250" s="702"/>
      <c r="D250" s="712"/>
      <c r="E250" s="702"/>
      <c r="F250" s="712"/>
      <c r="G250" s="702"/>
      <c r="H250" s="712"/>
      <c r="I250" s="702"/>
      <c r="J250" s="712"/>
      <c r="K250" s="702"/>
      <c r="L250" s="712"/>
      <c r="M250" s="702"/>
      <c r="N250" s="712"/>
      <c r="O250" s="702"/>
      <c r="P250" s="712"/>
      <c r="Q250" s="720"/>
      <c r="R250" s="712"/>
      <c r="S250" s="702"/>
      <c r="T250" s="712"/>
      <c r="U250" s="702"/>
      <c r="V250" s="712"/>
      <c r="W250" s="702"/>
      <c r="X250" s="712"/>
      <c r="Y250" s="702"/>
      <c r="Z250" s="712"/>
      <c r="AA250" s="702"/>
      <c r="AB250" s="712"/>
      <c r="AC250" s="720"/>
      <c r="AD250" s="720"/>
      <c r="AE250" s="723"/>
      <c r="AF250" s="723"/>
      <c r="AG250" s="723"/>
      <c r="AH250" s="720"/>
      <c r="AI250" s="720"/>
      <c r="AJ250" s="720"/>
      <c r="AK250" s="720"/>
      <c r="AL250" s="720"/>
    </row>
    <row r="251" spans="1:41" ht="16.5" customHeight="1" thickBot="1">
      <c r="A251" s="720"/>
      <c r="B251" s="714"/>
      <c r="C251" s="702"/>
      <c r="D251" s="714"/>
      <c r="E251" s="702"/>
      <c r="F251" s="714"/>
      <c r="G251" s="702"/>
      <c r="H251" s="714"/>
      <c r="I251" s="702"/>
      <c r="J251" s="714"/>
      <c r="K251" s="702"/>
      <c r="L251" s="714"/>
      <c r="M251" s="702"/>
      <c r="N251" s="714"/>
      <c r="O251" s="702"/>
      <c r="P251" s="714"/>
      <c r="Q251" s="720"/>
      <c r="R251" s="714"/>
      <c r="S251" s="702"/>
      <c r="T251" s="714"/>
      <c r="U251" s="702"/>
      <c r="V251" s="714"/>
      <c r="W251" s="702"/>
      <c r="X251" s="714"/>
      <c r="Y251" s="702"/>
      <c r="Z251" s="714"/>
      <c r="AA251" s="702"/>
      <c r="AB251" s="714"/>
      <c r="AC251" s="720"/>
      <c r="AD251" s="720"/>
      <c r="AE251" s="723"/>
      <c r="AF251" s="723"/>
      <c r="AG251" s="723"/>
      <c r="AH251" s="720"/>
      <c r="AI251" s="720"/>
      <c r="AJ251" s="720"/>
      <c r="AK251" s="720"/>
      <c r="AL251" s="720"/>
    </row>
    <row r="252" spans="1:41" ht="100" customHeight="1" thickBot="1">
      <c r="A252" s="720"/>
      <c r="B252" s="733"/>
      <c r="C252" s="707">
        <v>373.77100000000002</v>
      </c>
      <c r="D252" s="733"/>
      <c r="E252" s="707">
        <v>364</v>
      </c>
      <c r="F252" s="763"/>
      <c r="G252" s="707">
        <v>421</v>
      </c>
      <c r="H252" s="763"/>
      <c r="I252" s="707">
        <v>334</v>
      </c>
      <c r="J252" s="691" t="s">
        <v>1703</v>
      </c>
      <c r="K252" s="707">
        <v>388.22</v>
      </c>
      <c r="L252" s="691" t="s">
        <v>1703</v>
      </c>
      <c r="M252" s="707">
        <v>398</v>
      </c>
      <c r="N252" s="1048" t="s">
        <v>1694</v>
      </c>
      <c r="O252" s="707">
        <v>442.51499999999999</v>
      </c>
      <c r="P252" s="733"/>
      <c r="Q252" s="707">
        <v>415</v>
      </c>
      <c r="R252" s="1048" t="s">
        <v>1693</v>
      </c>
      <c r="S252" s="707">
        <v>417.97</v>
      </c>
      <c r="T252" s="763"/>
      <c r="U252" s="707">
        <v>424</v>
      </c>
      <c r="V252" s="763"/>
      <c r="W252" s="707">
        <v>415</v>
      </c>
      <c r="X252" s="763"/>
      <c r="Y252" s="707">
        <v>412.21</v>
      </c>
      <c r="Z252" s="763"/>
      <c r="AA252" s="707">
        <v>268</v>
      </c>
      <c r="AB252" s="1048" t="s">
        <v>1693</v>
      </c>
      <c r="AC252" s="744">
        <v>259.27</v>
      </c>
      <c r="AD252" s="720"/>
      <c r="AE252" s="723"/>
      <c r="AF252" s="723"/>
      <c r="AG252" s="723"/>
      <c r="AH252" s="720"/>
      <c r="AI252" s="720"/>
      <c r="AJ252" s="720"/>
      <c r="AK252" s="720"/>
      <c r="AL252" s="720"/>
      <c r="AM252" s="896">
        <f>COUNTIF(B252:AB252,"U/P")</f>
        <v>0</v>
      </c>
      <c r="AN252" s="896">
        <f>COUNTIF(C252:AC252,"ROW")</f>
        <v>0</v>
      </c>
      <c r="AO252" s="896">
        <f>COUNTIF(B252:AD252,"C")</f>
        <v>0</v>
      </c>
    </row>
    <row r="253" spans="1:41" ht="16.5" customHeight="1" thickBot="1">
      <c r="A253" s="720"/>
      <c r="B253" s="710"/>
      <c r="C253" s="720"/>
      <c r="D253" s="710"/>
      <c r="E253" s="720"/>
      <c r="F253" s="710"/>
      <c r="G253" s="720"/>
      <c r="H253" s="710"/>
      <c r="I253" s="720"/>
      <c r="J253" s="710"/>
      <c r="K253" s="720"/>
      <c r="L253" s="710"/>
      <c r="M253" s="720"/>
      <c r="N253" s="710"/>
      <c r="O253" s="720"/>
      <c r="P253" s="710"/>
      <c r="Q253" s="720"/>
      <c r="R253" s="710"/>
      <c r="S253" s="720"/>
      <c r="T253" s="710"/>
      <c r="U253" s="720"/>
      <c r="V253" s="710"/>
      <c r="W253" s="720"/>
      <c r="X253" s="710"/>
      <c r="Y253" s="720"/>
      <c r="Z253" s="710"/>
      <c r="AA253" s="720"/>
      <c r="AB253" s="710"/>
      <c r="AC253" s="720"/>
      <c r="AD253" s="720"/>
      <c r="AE253" s="723"/>
      <c r="AF253" s="723"/>
      <c r="AG253" s="723"/>
      <c r="AH253" s="720"/>
      <c r="AI253" s="720"/>
      <c r="AJ253" s="720"/>
      <c r="AK253" s="720"/>
      <c r="AL253" s="720"/>
    </row>
    <row r="254" spans="1:41" ht="33.5">
      <c r="A254" s="720"/>
      <c r="B254" s="698" t="s">
        <v>182</v>
      </c>
      <c r="C254" s="698"/>
      <c r="D254" s="699" t="s">
        <v>128</v>
      </c>
      <c r="E254" s="698"/>
      <c r="F254" s="698" t="s">
        <v>242</v>
      </c>
      <c r="G254" s="698"/>
      <c r="H254" s="698" t="s">
        <v>185</v>
      </c>
      <c r="I254" s="698"/>
      <c r="J254" s="698" t="s">
        <v>242</v>
      </c>
      <c r="K254" s="698"/>
      <c r="L254" s="699" t="s">
        <v>192</v>
      </c>
      <c r="M254" s="698"/>
      <c r="N254" s="698" t="s">
        <v>248</v>
      </c>
      <c r="O254" s="702"/>
      <c r="P254" s="699" t="s">
        <v>137</v>
      </c>
      <c r="Q254" s="698"/>
      <c r="R254" s="698" t="s">
        <v>242</v>
      </c>
      <c r="S254" s="720"/>
      <c r="T254" s="699" t="s">
        <v>115</v>
      </c>
      <c r="U254" s="720"/>
      <c r="V254" s="698" t="s">
        <v>185</v>
      </c>
      <c r="W254" s="720"/>
      <c r="X254" s="715" t="s">
        <v>248</v>
      </c>
      <c r="Y254" s="720"/>
      <c r="Z254" s="699" t="s">
        <v>128</v>
      </c>
      <c r="AA254" s="720"/>
      <c r="AB254" s="715" t="s">
        <v>182</v>
      </c>
      <c r="AC254" s="720"/>
      <c r="AD254" s="720"/>
      <c r="AE254" s="723"/>
      <c r="AF254" s="723"/>
      <c r="AG254" s="723"/>
      <c r="AH254" s="720"/>
      <c r="AI254" s="720"/>
      <c r="AJ254" s="720"/>
      <c r="AK254" s="720"/>
      <c r="AL254" s="720"/>
    </row>
    <row r="255" spans="1:41" ht="31.5" customHeight="1">
      <c r="A255" s="1075"/>
      <c r="B255" s="761"/>
      <c r="C255" s="762"/>
      <c r="D255" s="762"/>
      <c r="E255" s="762"/>
      <c r="F255" s="762"/>
      <c r="G255" s="762"/>
      <c r="H255" s="762"/>
      <c r="I255" s="762"/>
      <c r="J255" s="1502" t="s">
        <v>228</v>
      </c>
      <c r="K255" s="1502"/>
      <c r="L255" s="1502"/>
      <c r="M255" s="1502"/>
      <c r="N255" s="1502"/>
      <c r="O255" s="762"/>
      <c r="P255" s="762"/>
      <c r="Q255" s="762"/>
      <c r="R255" s="761" t="s">
        <v>228</v>
      </c>
      <c r="S255" s="762"/>
      <c r="T255" s="762"/>
      <c r="U255" s="762"/>
      <c r="V255" s="762"/>
      <c r="W255" s="762" t="s">
        <v>1626</v>
      </c>
      <c r="X255" s="762"/>
      <c r="Y255" s="762"/>
      <c r="Z255" s="762"/>
      <c r="AA255" s="762"/>
      <c r="AB255" s="762"/>
      <c r="AC255" s="762"/>
      <c r="AD255" s="762"/>
      <c r="AE255" s="762"/>
      <c r="AF255" s="762"/>
      <c r="AG255" s="761"/>
      <c r="AH255" s="761"/>
      <c r="AI255" s="907"/>
      <c r="AJ255" s="907"/>
      <c r="AK255" s="907"/>
      <c r="AL255" s="907"/>
    </row>
    <row r="256" spans="1:41" ht="13.5" customHeight="1">
      <c r="B256" s="703"/>
      <c r="C256" s="703"/>
      <c r="D256" s="703"/>
      <c r="E256" s="703"/>
      <c r="F256" s="703"/>
      <c r="G256" s="703"/>
      <c r="H256" s="703"/>
      <c r="I256" s="703"/>
      <c r="J256" s="703"/>
      <c r="K256" s="703"/>
      <c r="L256" s="703"/>
      <c r="M256" s="703"/>
      <c r="N256" s="703"/>
      <c r="O256" s="703"/>
      <c r="P256" s="703"/>
      <c r="Q256" s="703"/>
      <c r="R256" s="703"/>
      <c r="S256" s="703"/>
      <c r="T256" s="703"/>
      <c r="U256" s="703"/>
      <c r="V256" s="703"/>
      <c r="W256" s="703"/>
      <c r="X256" s="703"/>
      <c r="Y256" s="703"/>
      <c r="Z256" s="703"/>
      <c r="AA256" s="703"/>
      <c r="AB256" s="703"/>
      <c r="AC256" s="703"/>
      <c r="AD256" s="703"/>
      <c r="AE256" s="781"/>
      <c r="AF256" s="686"/>
      <c r="AG256" s="686"/>
    </row>
    <row r="257" spans="1:41" ht="33.5">
      <c r="B257" s="715" t="s">
        <v>1283</v>
      </c>
      <c r="C257" s="715"/>
      <c r="D257" s="715" t="s">
        <v>755</v>
      </c>
      <c r="E257" s="720"/>
      <c r="F257" s="715" t="s">
        <v>756</v>
      </c>
      <c r="G257" s="720"/>
      <c r="H257" s="715" t="s">
        <v>1284</v>
      </c>
      <c r="I257" s="720"/>
      <c r="J257" s="715" t="s">
        <v>758</v>
      </c>
      <c r="K257" s="720"/>
      <c r="L257" s="715" t="s">
        <v>759</v>
      </c>
      <c r="M257" s="720"/>
      <c r="N257" s="715" t="s">
        <v>760</v>
      </c>
      <c r="O257" s="720"/>
      <c r="P257" s="715" t="s">
        <v>761</v>
      </c>
      <c r="Q257" s="720"/>
      <c r="R257" s="715" t="s">
        <v>762</v>
      </c>
      <c r="S257" s="720"/>
      <c r="T257" s="715" t="s">
        <v>180</v>
      </c>
      <c r="U257" s="715"/>
      <c r="V257" s="715" t="s">
        <v>181</v>
      </c>
      <c r="W257" s="715"/>
      <c r="X257" s="715" t="s">
        <v>183</v>
      </c>
      <c r="Y257" s="715"/>
      <c r="Z257" s="715" t="s">
        <v>763</v>
      </c>
      <c r="AA257" s="715"/>
      <c r="AB257" s="715" t="s">
        <v>764</v>
      </c>
      <c r="AC257" s="720"/>
      <c r="AD257" s="720"/>
      <c r="AE257" s="686"/>
      <c r="AF257" s="686"/>
      <c r="AG257" s="686"/>
    </row>
    <row r="258" spans="1:41" ht="33.5">
      <c r="B258" s="712"/>
      <c r="C258" s="702"/>
      <c r="D258" s="712"/>
      <c r="E258" s="702"/>
      <c r="F258" s="712"/>
      <c r="G258" s="702"/>
      <c r="H258" s="712"/>
      <c r="I258" s="702"/>
      <c r="J258" s="712"/>
      <c r="K258" s="702"/>
      <c r="L258" s="712"/>
      <c r="M258" s="702"/>
      <c r="N258" s="712"/>
      <c r="O258" s="702"/>
      <c r="P258" s="712"/>
      <c r="Q258" s="720"/>
      <c r="R258" s="712"/>
      <c r="S258" s="702"/>
      <c r="T258" s="712"/>
      <c r="U258" s="702"/>
      <c r="V258" s="712"/>
      <c r="W258" s="702"/>
      <c r="X258" s="712"/>
      <c r="Y258" s="702"/>
      <c r="Z258" s="712"/>
      <c r="AA258" s="702"/>
      <c r="AB258" s="712"/>
      <c r="AC258" s="720"/>
      <c r="AD258" s="720"/>
      <c r="AE258" s="696"/>
      <c r="AF258" s="696"/>
      <c r="AG258" s="696"/>
    </row>
    <row r="259" spans="1:41" ht="16.5" customHeight="1" thickBot="1">
      <c r="A259" s="469"/>
      <c r="B259" s="714"/>
      <c r="C259" s="702"/>
      <c r="D259" s="714"/>
      <c r="E259" s="702"/>
      <c r="F259" s="714"/>
      <c r="G259" s="702"/>
      <c r="H259" s="714"/>
      <c r="I259" s="702"/>
      <c r="J259" s="714"/>
      <c r="K259" s="702"/>
      <c r="L259" s="714"/>
      <c r="M259" s="702"/>
      <c r="N259" s="714"/>
      <c r="O259" s="702"/>
      <c r="P259" s="714"/>
      <c r="Q259" s="720"/>
      <c r="R259" s="714"/>
      <c r="S259" s="702"/>
      <c r="T259" s="714"/>
      <c r="U259" s="702"/>
      <c r="V259" s="714"/>
      <c r="W259" s="702"/>
      <c r="X259" s="714"/>
      <c r="Y259" s="702"/>
      <c r="Z259" s="714"/>
      <c r="AA259" s="702"/>
      <c r="AB259" s="714"/>
      <c r="AC259" s="720"/>
      <c r="AD259" s="720"/>
      <c r="AE259" s="696"/>
      <c r="AF259" s="696"/>
      <c r="AG259" s="696"/>
    </row>
    <row r="260" spans="1:41" ht="100" customHeight="1" thickBot="1">
      <c r="A260" s="469"/>
      <c r="B260" s="733"/>
      <c r="C260" s="707">
        <v>395</v>
      </c>
      <c r="D260" s="733"/>
      <c r="E260" s="707">
        <v>408</v>
      </c>
      <c r="F260" s="733"/>
      <c r="G260" s="707">
        <v>356</v>
      </c>
      <c r="H260" s="691"/>
      <c r="I260" s="707">
        <v>379</v>
      </c>
      <c r="J260" s="733"/>
      <c r="K260" s="707">
        <v>367</v>
      </c>
      <c r="L260" s="691"/>
      <c r="M260" s="707">
        <v>384</v>
      </c>
      <c r="N260" s="733"/>
      <c r="O260" s="707">
        <v>385</v>
      </c>
      <c r="P260" s="733"/>
      <c r="Q260" s="744">
        <v>419.37</v>
      </c>
      <c r="R260" s="733"/>
      <c r="S260" s="707">
        <v>343.49</v>
      </c>
      <c r="T260" s="733"/>
      <c r="U260" s="707">
        <v>392.09</v>
      </c>
      <c r="V260" s="733"/>
      <c r="W260" s="707">
        <v>390.92</v>
      </c>
      <c r="X260" s="733"/>
      <c r="Y260" s="707">
        <v>372.24</v>
      </c>
      <c r="Z260" s="733"/>
      <c r="AA260" s="707">
        <v>388.01</v>
      </c>
      <c r="AB260" s="733"/>
      <c r="AC260" s="744">
        <v>414.07</v>
      </c>
      <c r="AD260" s="720"/>
      <c r="AE260" s="696"/>
      <c r="AF260" s="696"/>
      <c r="AG260" s="696"/>
      <c r="AM260" s="896">
        <f>COUNTIF(B260:AB260,"U/P")</f>
        <v>0</v>
      </c>
      <c r="AN260" s="896">
        <f>COUNTIF(C260:AC260,"ROW")</f>
        <v>0</v>
      </c>
      <c r="AO260" s="896">
        <f>COUNTIF(D260:AD260,"C")</f>
        <v>0</v>
      </c>
    </row>
    <row r="261" spans="1:41" ht="16.5" customHeight="1" thickBot="1">
      <c r="A261" s="469"/>
      <c r="B261" s="710"/>
      <c r="C261" s="720"/>
      <c r="D261" s="710"/>
      <c r="E261" s="720"/>
      <c r="F261" s="710"/>
      <c r="G261" s="720"/>
      <c r="H261" s="710"/>
      <c r="I261" s="720"/>
      <c r="J261" s="710"/>
      <c r="K261" s="720"/>
      <c r="L261" s="710"/>
      <c r="M261" s="720"/>
      <c r="N261" s="710"/>
      <c r="O261" s="720"/>
      <c r="P261" s="710"/>
      <c r="Q261" s="720"/>
      <c r="R261" s="710"/>
      <c r="S261" s="720"/>
      <c r="T261" s="710"/>
      <c r="U261" s="720"/>
      <c r="V261" s="710"/>
      <c r="W261" s="720"/>
      <c r="X261" s="710"/>
      <c r="Y261" s="720"/>
      <c r="Z261" s="710"/>
      <c r="AA261" s="720"/>
      <c r="AB261" s="710"/>
      <c r="AC261" s="720"/>
      <c r="AD261" s="720"/>
      <c r="AE261" s="696"/>
      <c r="AF261" s="696"/>
      <c r="AG261" s="696"/>
    </row>
    <row r="262" spans="1:41" ht="33.5">
      <c r="A262" s="469"/>
      <c r="B262" s="699" t="s">
        <v>125</v>
      </c>
      <c r="C262" s="698"/>
      <c r="D262" s="698" t="s">
        <v>185</v>
      </c>
      <c r="E262" s="698"/>
      <c r="F262" s="698" t="s">
        <v>185</v>
      </c>
      <c r="G262" s="698"/>
      <c r="H262" s="699" t="s">
        <v>125</v>
      </c>
      <c r="I262" s="698"/>
      <c r="J262" s="698" t="s">
        <v>182</v>
      </c>
      <c r="K262" s="698"/>
      <c r="L262" s="698" t="s">
        <v>182</v>
      </c>
      <c r="M262" s="698"/>
      <c r="N262" s="698" t="s">
        <v>182</v>
      </c>
      <c r="O262" s="702"/>
      <c r="P262" s="698" t="s">
        <v>182</v>
      </c>
      <c r="Q262" s="720"/>
      <c r="R262" s="699" t="s">
        <v>115</v>
      </c>
      <c r="S262" s="720"/>
      <c r="T262" s="715" t="s">
        <v>182</v>
      </c>
      <c r="U262" s="720"/>
      <c r="V262" s="715" t="s">
        <v>182</v>
      </c>
      <c r="W262" s="720"/>
      <c r="X262" s="715" t="s">
        <v>182</v>
      </c>
      <c r="Y262" s="720"/>
      <c r="Z262" s="715" t="s">
        <v>182</v>
      </c>
      <c r="AA262" s="720"/>
      <c r="AB262" s="715" t="s">
        <v>182</v>
      </c>
      <c r="AC262" s="720"/>
      <c r="AD262" s="720"/>
      <c r="AE262" s="696"/>
      <c r="AF262" s="696"/>
      <c r="AG262" s="696"/>
    </row>
    <row r="263" spans="1:41" ht="33.5">
      <c r="A263" s="469"/>
      <c r="B263" s="699"/>
      <c r="C263" s="698"/>
      <c r="D263" s="698"/>
      <c r="E263" s="698"/>
      <c r="F263" s="698"/>
      <c r="G263" s="698"/>
      <c r="H263" s="699"/>
      <c r="I263" s="698"/>
      <c r="J263" s="698"/>
      <c r="K263" s="698"/>
      <c r="L263" s="698"/>
      <c r="M263" s="698"/>
      <c r="N263" s="698"/>
      <c r="O263" s="702"/>
      <c r="P263" s="698"/>
      <c r="Q263" s="720"/>
      <c r="R263" s="699" t="s">
        <v>1681</v>
      </c>
      <c r="S263" s="720"/>
      <c r="T263" s="715"/>
      <c r="U263" s="720"/>
      <c r="V263" s="782" t="s">
        <v>1629</v>
      </c>
      <c r="W263" s="720"/>
      <c r="X263" s="715"/>
      <c r="Y263" s="720"/>
      <c r="Z263" s="715"/>
      <c r="AA263" s="720"/>
      <c r="AB263" s="715"/>
      <c r="AC263" s="720"/>
      <c r="AD263" s="720"/>
      <c r="AE263" s="696"/>
      <c r="AF263" s="696"/>
      <c r="AG263" s="696"/>
    </row>
    <row r="264" spans="1:41" ht="32" customHeight="1">
      <c r="A264" s="760"/>
      <c r="B264" s="762"/>
      <c r="C264" s="762"/>
      <c r="D264" s="762"/>
      <c r="E264" s="762"/>
      <c r="F264" s="762"/>
      <c r="G264" s="762"/>
      <c r="H264" s="761" t="s">
        <v>228</v>
      </c>
      <c r="I264" s="762"/>
      <c r="J264" s="762"/>
      <c r="K264" s="762"/>
      <c r="L264" s="761" t="s">
        <v>228</v>
      </c>
      <c r="M264" s="762"/>
      <c r="N264" s="762"/>
      <c r="O264" s="762"/>
      <c r="P264" s="761"/>
      <c r="Q264" s="762"/>
      <c r="R264" s="762"/>
      <c r="S264" s="762"/>
      <c r="T264" s="762"/>
      <c r="U264" s="762"/>
      <c r="V264" s="762"/>
      <c r="W264" s="762"/>
      <c r="X264" s="762"/>
      <c r="Y264" s="762"/>
      <c r="Z264" s="762"/>
      <c r="AA264" s="762"/>
      <c r="AB264" s="762"/>
      <c r="AC264" s="762"/>
      <c r="AD264" s="762"/>
      <c r="AE264" s="762"/>
      <c r="AF264" s="762"/>
      <c r="AG264" s="762"/>
      <c r="AH264" s="762"/>
      <c r="AI264" s="907"/>
      <c r="AJ264" s="907"/>
      <c r="AK264" s="907"/>
      <c r="AL264" s="907"/>
    </row>
    <row r="265" spans="1:41" ht="33.5">
      <c r="B265" s="715" t="s">
        <v>765</v>
      </c>
      <c r="C265" s="720"/>
      <c r="D265" s="715" t="s">
        <v>766</v>
      </c>
      <c r="E265" s="720"/>
      <c r="F265" s="715" t="s">
        <v>767</v>
      </c>
      <c r="G265" s="720"/>
      <c r="H265" s="715" t="s">
        <v>769</v>
      </c>
      <c r="I265" s="720"/>
      <c r="J265" s="715" t="s">
        <v>1361</v>
      </c>
      <c r="K265" s="720"/>
      <c r="L265" s="715" t="s">
        <v>1357</v>
      </c>
      <c r="M265" s="720"/>
      <c r="N265" s="715" t="s">
        <v>1358</v>
      </c>
      <c r="O265" s="720"/>
      <c r="P265" s="715" t="s">
        <v>1359</v>
      </c>
      <c r="Q265" s="720"/>
      <c r="R265" s="715" t="s">
        <v>1362</v>
      </c>
      <c r="S265" s="720"/>
      <c r="T265" s="715" t="s">
        <v>773</v>
      </c>
      <c r="U265" s="720"/>
      <c r="V265" s="715" t="s">
        <v>774</v>
      </c>
      <c r="W265" s="720"/>
      <c r="X265" s="715" t="s">
        <v>775</v>
      </c>
      <c r="Y265" s="720"/>
      <c r="Z265" s="715" t="s">
        <v>776</v>
      </c>
      <c r="AA265" s="720"/>
      <c r="AB265" s="744" t="s">
        <v>777</v>
      </c>
      <c r="AC265" s="720"/>
      <c r="AD265" s="715" t="s">
        <v>778</v>
      </c>
      <c r="AE265" s="720"/>
      <c r="AF265" s="720"/>
      <c r="AG265" s="720"/>
      <c r="AH265" s="720"/>
      <c r="AI265" s="720"/>
      <c r="AJ265" s="720"/>
      <c r="AK265" s="720"/>
      <c r="AL265" s="720"/>
    </row>
    <row r="266" spans="1:41" ht="33.5">
      <c r="A266" s="469"/>
      <c r="B266" s="712"/>
      <c r="C266" s="702"/>
      <c r="D266" s="712"/>
      <c r="E266" s="702"/>
      <c r="F266" s="712"/>
      <c r="G266" s="702"/>
      <c r="H266" s="712"/>
      <c r="I266" s="702"/>
      <c r="J266" s="712"/>
      <c r="K266" s="702"/>
      <c r="L266" s="712"/>
      <c r="M266" s="702"/>
      <c r="N266" s="712"/>
      <c r="O266" s="702"/>
      <c r="P266" s="712"/>
      <c r="Q266" s="720"/>
      <c r="R266" s="712"/>
      <c r="S266" s="720"/>
      <c r="T266" s="712"/>
      <c r="U266" s="702"/>
      <c r="V266" s="712"/>
      <c r="W266" s="702"/>
      <c r="X266" s="712"/>
      <c r="Y266" s="702"/>
      <c r="Z266" s="712"/>
      <c r="AA266" s="702"/>
      <c r="AB266" s="712"/>
      <c r="AC266" s="702"/>
      <c r="AD266" s="712"/>
      <c r="AE266" s="720"/>
      <c r="AF266" s="723"/>
      <c r="AG266" s="723"/>
      <c r="AH266" s="720"/>
      <c r="AI266" s="720"/>
      <c r="AJ266" s="720"/>
      <c r="AK266" s="720"/>
      <c r="AL266" s="720"/>
    </row>
    <row r="267" spans="1:41" ht="16.5" customHeight="1" thickBot="1">
      <c r="A267" s="469"/>
      <c r="B267" s="714"/>
      <c r="C267" s="702"/>
      <c r="D267" s="714"/>
      <c r="E267" s="702"/>
      <c r="F267" s="714"/>
      <c r="G267" s="702"/>
      <c r="H267" s="714"/>
      <c r="I267" s="702"/>
      <c r="J267" s="714"/>
      <c r="K267" s="702"/>
      <c r="L267" s="714"/>
      <c r="M267" s="702"/>
      <c r="N267" s="714"/>
      <c r="O267" s="702"/>
      <c r="P267" s="714"/>
      <c r="Q267" s="720"/>
      <c r="R267" s="714"/>
      <c r="S267" s="720"/>
      <c r="T267" s="714"/>
      <c r="U267" s="702"/>
      <c r="V267" s="714"/>
      <c r="W267" s="702"/>
      <c r="X267" s="714"/>
      <c r="Y267" s="702"/>
      <c r="Z267" s="714"/>
      <c r="AA267" s="702"/>
      <c r="AB267" s="714"/>
      <c r="AC267" s="702"/>
      <c r="AD267" s="714"/>
      <c r="AE267" s="720"/>
      <c r="AF267" s="723"/>
      <c r="AG267" s="723"/>
      <c r="AH267" s="720"/>
      <c r="AI267" s="720"/>
      <c r="AJ267" s="720"/>
      <c r="AK267" s="720"/>
      <c r="AL267" s="720"/>
    </row>
    <row r="268" spans="1:41" ht="100" customHeight="1" thickBot="1">
      <c r="A268" s="469"/>
      <c r="B268" s="733"/>
      <c r="C268" s="707">
        <v>410.11</v>
      </c>
      <c r="D268" s="733"/>
      <c r="E268" s="707">
        <v>414.83</v>
      </c>
      <c r="F268" s="733"/>
      <c r="G268" s="707">
        <v>360.43</v>
      </c>
      <c r="H268" s="733"/>
      <c r="I268" s="707">
        <v>226.21</v>
      </c>
      <c r="J268" s="733"/>
      <c r="K268" s="707">
        <v>438.04</v>
      </c>
      <c r="L268" s="733"/>
      <c r="M268" s="707">
        <v>402.74</v>
      </c>
      <c r="N268" s="733"/>
      <c r="O268" s="707">
        <v>433.49</v>
      </c>
      <c r="P268" s="691" t="s">
        <v>390</v>
      </c>
      <c r="Q268" s="744">
        <v>409.21</v>
      </c>
      <c r="R268" s="733"/>
      <c r="S268" s="744">
        <v>436.61</v>
      </c>
      <c r="T268" s="733"/>
      <c r="U268" s="707">
        <v>394.61</v>
      </c>
      <c r="V268" s="733"/>
      <c r="W268" s="707">
        <v>383.9</v>
      </c>
      <c r="X268" s="763"/>
      <c r="Y268" s="707">
        <v>356.32</v>
      </c>
      <c r="Z268" s="1218" t="s">
        <v>390</v>
      </c>
      <c r="AA268" s="707">
        <v>378.3</v>
      </c>
      <c r="AB268" s="763"/>
      <c r="AC268" s="707">
        <v>356.03</v>
      </c>
      <c r="AD268" s="763"/>
      <c r="AE268" s="744">
        <v>426.81700000000001</v>
      </c>
      <c r="AF268" s="723"/>
      <c r="AG268" s="723"/>
      <c r="AH268" s="707"/>
      <c r="AI268" s="707"/>
      <c r="AJ268" s="707"/>
      <c r="AK268" s="707"/>
      <c r="AL268" s="707"/>
      <c r="AM268" s="896">
        <f>COUNTIF(B268:AE268,"U/P")</f>
        <v>2</v>
      </c>
      <c r="AN268" s="896">
        <f>COUNTIF(C268:AC268,"ROW")</f>
        <v>0</v>
      </c>
      <c r="AO268" s="896">
        <f>COUNTIF(D268:AD268,"C")</f>
        <v>0</v>
      </c>
    </row>
    <row r="269" spans="1:41" ht="16.5" customHeight="1" thickBot="1">
      <c r="A269" s="469"/>
      <c r="B269" s="710"/>
      <c r="C269" s="720"/>
      <c r="D269" s="710"/>
      <c r="E269" s="720"/>
      <c r="F269" s="710"/>
      <c r="G269" s="720"/>
      <c r="H269" s="710"/>
      <c r="I269" s="720"/>
      <c r="J269" s="710"/>
      <c r="K269" s="720"/>
      <c r="L269" s="710"/>
      <c r="M269" s="720"/>
      <c r="N269" s="710"/>
      <c r="O269" s="720"/>
      <c r="P269" s="710"/>
      <c r="Q269" s="720"/>
      <c r="R269" s="710"/>
      <c r="S269" s="720"/>
      <c r="T269" s="710"/>
      <c r="U269" s="720"/>
      <c r="V269" s="710"/>
      <c r="W269" s="720"/>
      <c r="X269" s="710"/>
      <c r="Y269" s="720"/>
      <c r="Z269" s="710"/>
      <c r="AA269" s="720"/>
      <c r="AB269" s="710"/>
      <c r="AC269" s="720"/>
      <c r="AD269" s="710"/>
      <c r="AE269" s="720"/>
      <c r="AF269" s="723"/>
      <c r="AG269" s="723"/>
      <c r="AH269" s="720"/>
      <c r="AI269" s="720"/>
      <c r="AJ269" s="720"/>
      <c r="AK269" s="720"/>
      <c r="AL269" s="720"/>
    </row>
    <row r="270" spans="1:41" ht="33.5">
      <c r="A270" s="469"/>
      <c r="B270" s="698" t="s">
        <v>185</v>
      </c>
      <c r="C270" s="698"/>
      <c r="D270" s="698" t="s">
        <v>182</v>
      </c>
      <c r="E270" s="698"/>
      <c r="F270" s="698" t="s">
        <v>242</v>
      </c>
      <c r="G270" s="698"/>
      <c r="H270" s="699" t="s">
        <v>125</v>
      </c>
      <c r="I270" s="698"/>
      <c r="J270" s="699" t="s">
        <v>125</v>
      </c>
      <c r="K270" s="698"/>
      <c r="L270" s="698" t="s">
        <v>248</v>
      </c>
      <c r="M270" s="698"/>
      <c r="N270" s="698" t="s">
        <v>185</v>
      </c>
      <c r="O270" s="702"/>
      <c r="P270" s="698" t="s">
        <v>242</v>
      </c>
      <c r="Q270" s="720"/>
      <c r="R270" s="698" t="s">
        <v>248</v>
      </c>
      <c r="S270" s="720"/>
      <c r="T270" s="699" t="s">
        <v>115</v>
      </c>
      <c r="U270" s="720"/>
      <c r="V270" s="715" t="s">
        <v>182</v>
      </c>
      <c r="W270" s="720"/>
      <c r="X270" s="715" t="s">
        <v>182</v>
      </c>
      <c r="Y270" s="720"/>
      <c r="Z270" s="715" t="s">
        <v>185</v>
      </c>
      <c r="AA270" s="720"/>
      <c r="AB270" s="699" t="s">
        <v>125</v>
      </c>
      <c r="AC270" s="720"/>
      <c r="AD270" s="699" t="s">
        <v>188</v>
      </c>
      <c r="AE270" s="720"/>
      <c r="AF270" s="723"/>
      <c r="AG270" s="723"/>
      <c r="AH270" s="720"/>
      <c r="AI270" s="720"/>
      <c r="AJ270" s="720"/>
      <c r="AK270" s="720"/>
      <c r="AL270" s="720"/>
    </row>
    <row r="271" spans="1:41" ht="32" customHeight="1">
      <c r="A271" s="760"/>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907" t="s">
        <v>228</v>
      </c>
      <c r="AA271" s="762"/>
      <c r="AB271" s="762"/>
      <c r="AC271" s="762"/>
      <c r="AD271" s="762"/>
      <c r="AE271" s="762"/>
      <c r="AF271" s="762"/>
      <c r="AG271" s="762"/>
      <c r="AH271" s="762"/>
      <c r="AI271" s="907"/>
      <c r="AJ271" s="907"/>
      <c r="AK271" s="907"/>
      <c r="AL271" s="907"/>
    </row>
    <row r="272" spans="1:41" ht="15" customHeight="1">
      <c r="B272" s="716"/>
      <c r="C272" s="716"/>
      <c r="D272" s="716"/>
      <c r="E272" s="716"/>
      <c r="F272" s="716"/>
      <c r="G272" s="716"/>
      <c r="H272" s="716"/>
      <c r="I272" s="716"/>
      <c r="J272" s="716"/>
      <c r="K272" s="716"/>
      <c r="L272" s="716"/>
      <c r="M272" s="716"/>
      <c r="N272" s="716"/>
      <c r="O272" s="705"/>
      <c r="P272" s="716"/>
      <c r="Q272" s="703"/>
      <c r="R272" s="736"/>
      <c r="S272" s="703"/>
      <c r="T272" s="736"/>
      <c r="U272" s="703"/>
      <c r="V272" s="736"/>
      <c r="W272" s="703"/>
      <c r="X272" s="736"/>
      <c r="Y272" s="703"/>
      <c r="Z272" s="736"/>
      <c r="AA272" s="703"/>
      <c r="AB272" s="736"/>
      <c r="AC272" s="703"/>
      <c r="AD272" s="703"/>
      <c r="AE272" s="695"/>
      <c r="AF272" s="696"/>
      <c r="AG272" s="696"/>
    </row>
    <row r="273" spans="1:41" ht="33.5">
      <c r="B273" s="715" t="s">
        <v>779</v>
      </c>
      <c r="C273" s="720"/>
      <c r="D273" s="744" t="s">
        <v>780</v>
      </c>
      <c r="E273" s="720"/>
      <c r="F273" s="744" t="s">
        <v>781</v>
      </c>
      <c r="G273" s="720"/>
      <c r="H273" s="744" t="s">
        <v>782</v>
      </c>
      <c r="I273" s="720"/>
      <c r="J273" s="715" t="s">
        <v>783</v>
      </c>
      <c r="K273" s="720"/>
      <c r="L273" s="715" t="s">
        <v>784</v>
      </c>
      <c r="M273" s="720"/>
      <c r="N273" s="715" t="s">
        <v>785</v>
      </c>
      <c r="O273" s="720"/>
      <c r="P273" s="715" t="s">
        <v>786</v>
      </c>
      <c r="Q273" s="720"/>
      <c r="R273" s="715" t="s">
        <v>787</v>
      </c>
      <c r="S273" s="720"/>
      <c r="T273" s="715" t="s">
        <v>788</v>
      </c>
      <c r="U273" s="720"/>
      <c r="V273" s="715" t="s">
        <v>789</v>
      </c>
      <c r="W273" s="720"/>
      <c r="X273" s="715" t="s">
        <v>790</v>
      </c>
      <c r="Y273" s="720"/>
      <c r="Z273" s="744" t="s">
        <v>791</v>
      </c>
      <c r="AA273" s="720"/>
      <c r="AB273" s="715" t="s">
        <v>792</v>
      </c>
      <c r="AC273" s="720"/>
      <c r="AD273" s="720"/>
      <c r="AE273" s="720"/>
      <c r="AF273" s="720"/>
      <c r="AG273" s="720"/>
      <c r="AH273" s="720"/>
      <c r="AI273" s="720"/>
      <c r="AJ273" s="720"/>
      <c r="AK273" s="720"/>
      <c r="AL273" s="720"/>
    </row>
    <row r="274" spans="1:41" ht="33.5">
      <c r="A274" s="469"/>
      <c r="B274" s="712"/>
      <c r="C274" s="702"/>
      <c r="D274" s="712"/>
      <c r="E274" s="702"/>
      <c r="F274" s="712"/>
      <c r="G274" s="702"/>
      <c r="H274" s="712"/>
      <c r="I274" s="702"/>
      <c r="J274" s="712"/>
      <c r="K274" s="702"/>
      <c r="L274" s="712"/>
      <c r="M274" s="702"/>
      <c r="N274" s="712"/>
      <c r="O274" s="702"/>
      <c r="P274" s="712"/>
      <c r="Q274" s="720"/>
      <c r="R274" s="712"/>
      <c r="S274" s="702"/>
      <c r="T274" s="712"/>
      <c r="U274" s="702"/>
      <c r="V274" s="712"/>
      <c r="W274" s="702"/>
      <c r="X274" s="712"/>
      <c r="Y274" s="702"/>
      <c r="Z274" s="712"/>
      <c r="AA274" s="702"/>
      <c r="AB274" s="712"/>
      <c r="AC274" s="720"/>
      <c r="AD274" s="720"/>
      <c r="AE274" s="723"/>
      <c r="AF274" s="723"/>
      <c r="AG274" s="723"/>
      <c r="AH274" s="720"/>
      <c r="AI274" s="720"/>
      <c r="AJ274" s="720"/>
      <c r="AK274" s="720"/>
      <c r="AL274" s="720"/>
    </row>
    <row r="275" spans="1:41" ht="16.5" customHeight="1" thickBot="1">
      <c r="A275" s="469"/>
      <c r="B275" s="714"/>
      <c r="C275" s="702"/>
      <c r="D275" s="714"/>
      <c r="E275" s="702"/>
      <c r="F275" s="714"/>
      <c r="G275" s="702"/>
      <c r="H275" s="714"/>
      <c r="I275" s="702"/>
      <c r="J275" s="714"/>
      <c r="K275" s="702"/>
      <c r="L275" s="714"/>
      <c r="M275" s="702"/>
      <c r="N275" s="714"/>
      <c r="O275" s="702"/>
      <c r="P275" s="714"/>
      <c r="Q275" s="720"/>
      <c r="R275" s="714"/>
      <c r="S275" s="702"/>
      <c r="T275" s="714"/>
      <c r="U275" s="702"/>
      <c r="V275" s="714"/>
      <c r="W275" s="702"/>
      <c r="X275" s="714"/>
      <c r="Y275" s="702"/>
      <c r="Z275" s="714"/>
      <c r="AA275" s="702"/>
      <c r="AB275" s="714"/>
      <c r="AC275" s="720"/>
      <c r="AD275" s="720"/>
      <c r="AE275" s="723"/>
      <c r="AF275" s="723"/>
      <c r="AG275" s="723"/>
      <c r="AH275" s="720"/>
      <c r="AI275" s="720"/>
      <c r="AJ275" s="720"/>
      <c r="AK275" s="720"/>
      <c r="AL275" s="720"/>
    </row>
    <row r="276" spans="1:41" ht="100" customHeight="1" thickBot="1">
      <c r="A276" s="469"/>
      <c r="B276" s="733"/>
      <c r="C276" s="707">
        <v>381</v>
      </c>
      <c r="D276" s="733"/>
      <c r="E276" s="707">
        <v>334</v>
      </c>
      <c r="F276" s="763"/>
      <c r="G276" s="707">
        <v>347</v>
      </c>
      <c r="H276" s="763"/>
      <c r="I276" s="707">
        <v>375.55</v>
      </c>
      <c r="J276" s="763"/>
      <c r="K276" s="707">
        <v>392</v>
      </c>
      <c r="L276" s="691" t="s">
        <v>1703</v>
      </c>
      <c r="M276" s="707">
        <v>407.97</v>
      </c>
      <c r="N276" s="1048" t="s">
        <v>1693</v>
      </c>
      <c r="O276" s="707">
        <v>392</v>
      </c>
      <c r="P276" s="691" t="s">
        <v>1703</v>
      </c>
      <c r="Q276" s="744">
        <v>405</v>
      </c>
      <c r="R276" s="733"/>
      <c r="S276" s="707">
        <v>435</v>
      </c>
      <c r="T276" s="733"/>
      <c r="U276" s="707">
        <v>378.33</v>
      </c>
      <c r="V276" s="733"/>
      <c r="W276" s="707">
        <v>386</v>
      </c>
      <c r="X276" s="733"/>
      <c r="Y276" s="707">
        <v>391</v>
      </c>
      <c r="Z276" s="763"/>
      <c r="AA276" s="707">
        <v>399.83</v>
      </c>
      <c r="AB276" s="763"/>
      <c r="AC276" s="787">
        <v>437.01</v>
      </c>
      <c r="AD276" s="720"/>
      <c r="AE276" s="723"/>
      <c r="AF276" s="723"/>
      <c r="AG276" s="723"/>
      <c r="AH276" s="720"/>
      <c r="AI276" s="720"/>
      <c r="AJ276" s="720"/>
      <c r="AK276" s="720"/>
      <c r="AL276" s="720"/>
      <c r="AM276" s="896">
        <f>COUNTIF(B276:AB276,"U/P")</f>
        <v>0</v>
      </c>
      <c r="AN276" s="896">
        <f>COUNTIF(C276:AC276,"ROW")</f>
        <v>0</v>
      </c>
      <c r="AO276" s="896">
        <f>COUNTIF(D276:AD276,"C")</f>
        <v>0</v>
      </c>
    </row>
    <row r="277" spans="1:41" ht="16.5" customHeight="1" thickBot="1">
      <c r="A277" s="469"/>
      <c r="B277" s="710"/>
      <c r="C277" s="720"/>
      <c r="D277" s="710"/>
      <c r="E277" s="720"/>
      <c r="F277" s="710"/>
      <c r="G277" s="720"/>
      <c r="H277" s="710"/>
      <c r="I277" s="720"/>
      <c r="J277" s="710"/>
      <c r="K277" s="720"/>
      <c r="L277" s="710"/>
      <c r="M277" s="720"/>
      <c r="N277" s="710"/>
      <c r="O277" s="720"/>
      <c r="P277" s="710"/>
      <c r="Q277" s="720"/>
      <c r="R277" s="710"/>
      <c r="S277" s="720"/>
      <c r="T277" s="710"/>
      <c r="U277" s="720"/>
      <c r="V277" s="710"/>
      <c r="W277" s="720"/>
      <c r="X277" s="710"/>
      <c r="Y277" s="720"/>
      <c r="Z277" s="710"/>
      <c r="AA277" s="720"/>
      <c r="AB277" s="710"/>
      <c r="AC277" s="720"/>
      <c r="AD277" s="720"/>
      <c r="AE277" s="723"/>
      <c r="AF277" s="723"/>
      <c r="AG277" s="723"/>
      <c r="AH277" s="720"/>
      <c r="AI277" s="720"/>
      <c r="AJ277" s="720"/>
      <c r="AK277" s="720"/>
      <c r="AL277" s="720"/>
    </row>
    <row r="278" spans="1:41" ht="33.5">
      <c r="A278" s="469"/>
      <c r="B278" s="699" t="s">
        <v>188</v>
      </c>
      <c r="C278" s="698"/>
      <c r="D278" s="698" t="s">
        <v>182</v>
      </c>
      <c r="E278" s="698"/>
      <c r="F278" s="698" t="s">
        <v>182</v>
      </c>
      <c r="G278" s="698"/>
      <c r="H278" s="698" t="s">
        <v>182</v>
      </c>
      <c r="I278" s="698"/>
      <c r="J278" s="699" t="s">
        <v>137</v>
      </c>
      <c r="K278" s="698"/>
      <c r="L278" s="698" t="s">
        <v>248</v>
      </c>
      <c r="M278" s="698"/>
      <c r="N278" s="699" t="s">
        <v>119</v>
      </c>
      <c r="O278" s="702"/>
      <c r="P278" s="698" t="s">
        <v>185</v>
      </c>
      <c r="Q278" s="720"/>
      <c r="R278" s="715" t="s">
        <v>185</v>
      </c>
      <c r="S278" s="720"/>
      <c r="T278" s="715" t="s">
        <v>185</v>
      </c>
      <c r="U278" s="720"/>
      <c r="V278" s="699" t="s">
        <v>115</v>
      </c>
      <c r="W278" s="720"/>
      <c r="X278" s="715" t="s">
        <v>182</v>
      </c>
      <c r="Y278" s="720"/>
      <c r="Z278" s="787" t="s">
        <v>242</v>
      </c>
      <c r="AA278" s="720"/>
      <c r="AB278" s="699" t="s">
        <v>137</v>
      </c>
      <c r="AC278" s="720"/>
      <c r="AD278" s="720"/>
      <c r="AE278" s="723"/>
      <c r="AF278" s="723"/>
      <c r="AG278" s="723"/>
      <c r="AH278" s="720"/>
      <c r="AI278" s="720"/>
      <c r="AJ278" s="720"/>
      <c r="AK278" s="720"/>
      <c r="AL278" s="720"/>
    </row>
    <row r="279" spans="1:41" ht="31" customHeight="1">
      <c r="B279" s="698"/>
      <c r="C279" s="698"/>
      <c r="D279" s="698"/>
      <c r="E279" s="698"/>
      <c r="F279" s="698"/>
      <c r="G279" s="698"/>
      <c r="H279" s="698"/>
      <c r="I279" s="698"/>
      <c r="J279" s="780" t="s">
        <v>1629</v>
      </c>
      <c r="K279" s="698"/>
      <c r="L279" s="1526" t="s">
        <v>228</v>
      </c>
      <c r="M279" s="1526"/>
      <c r="N279" s="1526"/>
      <c r="O279" s="1526"/>
      <c r="P279" s="1526"/>
      <c r="Q279" s="720"/>
      <c r="R279" s="715"/>
      <c r="S279" s="720"/>
      <c r="T279" s="715"/>
      <c r="U279" s="720"/>
      <c r="V279" s="715"/>
      <c r="W279" s="720"/>
      <c r="X279" s="715"/>
      <c r="Y279" s="720"/>
      <c r="Z279" s="787"/>
      <c r="AA279" s="720"/>
      <c r="AB279" s="729" t="s">
        <v>228</v>
      </c>
      <c r="AC279" s="720"/>
      <c r="AD279" s="720"/>
      <c r="AE279" s="722"/>
      <c r="AF279" s="723"/>
      <c r="AG279" s="723"/>
      <c r="AH279" s="720"/>
      <c r="AI279" s="720"/>
      <c r="AJ279" s="720"/>
      <c r="AK279" s="720"/>
      <c r="AL279" s="720"/>
    </row>
    <row r="280" spans="1:41" ht="39" customHeight="1">
      <c r="A280" s="760"/>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c r="AA280" s="762"/>
      <c r="AB280" s="762"/>
      <c r="AC280" s="762"/>
      <c r="AD280" s="762"/>
      <c r="AE280" s="762"/>
      <c r="AF280" s="762"/>
      <c r="AG280" s="762"/>
      <c r="AH280" s="762"/>
      <c r="AI280" s="907"/>
      <c r="AJ280" s="907"/>
      <c r="AK280" s="907"/>
      <c r="AL280" s="907"/>
    </row>
    <row r="281" spans="1:41" ht="33.5">
      <c r="B281" s="715" t="s">
        <v>793</v>
      </c>
      <c r="C281" s="720"/>
      <c r="D281" s="744" t="s">
        <v>794</v>
      </c>
      <c r="E281" s="720"/>
      <c r="F281" s="744" t="s">
        <v>795</v>
      </c>
      <c r="G281" s="744"/>
      <c r="H281" s="744" t="s">
        <v>796</v>
      </c>
      <c r="I281" s="744"/>
      <c r="J281" s="744" t="s">
        <v>797</v>
      </c>
      <c r="K281" s="744"/>
      <c r="L281" s="744" t="s">
        <v>798</v>
      </c>
      <c r="M281" s="744"/>
      <c r="N281" s="744" t="s">
        <v>799</v>
      </c>
      <c r="O281" s="744"/>
      <c r="P281" s="744" t="s">
        <v>800</v>
      </c>
      <c r="Q281" s="744"/>
      <c r="R281" s="744" t="s">
        <v>801</v>
      </c>
      <c r="S281" s="744"/>
      <c r="T281" s="744" t="s">
        <v>802</v>
      </c>
      <c r="U281" s="744"/>
      <c r="V281" s="744" t="s">
        <v>803</v>
      </c>
      <c r="W281" s="744"/>
      <c r="X281" s="744" t="s">
        <v>804</v>
      </c>
      <c r="Y281" s="744"/>
      <c r="Z281" s="744" t="s">
        <v>805</v>
      </c>
      <c r="AA281" s="744"/>
      <c r="AB281" s="744" t="s">
        <v>806</v>
      </c>
      <c r="AC281" s="720"/>
      <c r="AD281" s="720"/>
      <c r="AE281" s="720"/>
      <c r="AF281" s="720"/>
      <c r="AG281" s="720"/>
      <c r="AH281" s="720"/>
      <c r="AI281" s="720"/>
      <c r="AJ281" s="720"/>
      <c r="AK281" s="720"/>
      <c r="AL281" s="720"/>
    </row>
    <row r="282" spans="1:41" ht="33.5">
      <c r="A282" s="469"/>
      <c r="B282" s="712"/>
      <c r="C282" s="702"/>
      <c r="D282" s="712"/>
      <c r="E282" s="702"/>
      <c r="F282" s="712"/>
      <c r="G282" s="702"/>
      <c r="H282" s="712"/>
      <c r="I282" s="702"/>
      <c r="J282" s="712"/>
      <c r="K282" s="702"/>
      <c r="L282" s="712"/>
      <c r="M282" s="702"/>
      <c r="N282" s="712"/>
      <c r="O282" s="702"/>
      <c r="P282" s="712"/>
      <c r="Q282" s="720"/>
      <c r="R282" s="712"/>
      <c r="S282" s="702"/>
      <c r="T282" s="712"/>
      <c r="U282" s="702"/>
      <c r="V282" s="712"/>
      <c r="W282" s="702"/>
      <c r="X282" s="712"/>
      <c r="Y282" s="702"/>
      <c r="Z282" s="712"/>
      <c r="AA282" s="702"/>
      <c r="AB282" s="712"/>
      <c r="AC282" s="720"/>
      <c r="AD282" s="720"/>
      <c r="AE282" s="723"/>
      <c r="AF282" s="723"/>
      <c r="AG282" s="723"/>
      <c r="AH282" s="720"/>
      <c r="AI282" s="720"/>
      <c r="AJ282" s="720"/>
      <c r="AK282" s="720"/>
      <c r="AL282" s="720"/>
    </row>
    <row r="283" spans="1:41" ht="16.5" customHeight="1" thickBot="1">
      <c r="A283" s="469"/>
      <c r="B283" s="714"/>
      <c r="C283" s="702"/>
      <c r="D283" s="714"/>
      <c r="E283" s="702"/>
      <c r="F283" s="714"/>
      <c r="G283" s="702"/>
      <c r="H283" s="714"/>
      <c r="I283" s="702"/>
      <c r="J283" s="714"/>
      <c r="K283" s="702"/>
      <c r="L283" s="714"/>
      <c r="M283" s="702"/>
      <c r="N283" s="714"/>
      <c r="O283" s="702"/>
      <c r="P283" s="714"/>
      <c r="Q283" s="720"/>
      <c r="R283" s="714"/>
      <c r="S283" s="702"/>
      <c r="T283" s="714"/>
      <c r="U283" s="702"/>
      <c r="V283" s="714"/>
      <c r="W283" s="702"/>
      <c r="X283" s="714"/>
      <c r="Y283" s="702"/>
      <c r="Z283" s="714"/>
      <c r="AA283" s="702"/>
      <c r="AB283" s="714"/>
      <c r="AC283" s="720"/>
      <c r="AD283" s="720"/>
      <c r="AE283" s="723"/>
      <c r="AF283" s="723"/>
      <c r="AG283" s="723"/>
      <c r="AH283" s="720"/>
      <c r="AI283" s="720"/>
      <c r="AJ283" s="720"/>
      <c r="AK283" s="720"/>
      <c r="AL283" s="720"/>
    </row>
    <row r="284" spans="1:41" ht="100" customHeight="1" thickBot="1">
      <c r="A284" s="469"/>
      <c r="B284" s="733"/>
      <c r="C284" s="707">
        <v>401.76</v>
      </c>
      <c r="D284" s="763"/>
      <c r="E284" s="707">
        <v>416.24</v>
      </c>
      <c r="F284" s="763"/>
      <c r="G284" s="707">
        <v>417</v>
      </c>
      <c r="H284" s="763"/>
      <c r="I284" s="707">
        <v>399</v>
      </c>
      <c r="J284" s="763"/>
      <c r="K284" s="707">
        <v>420</v>
      </c>
      <c r="L284" s="763"/>
      <c r="M284" s="707">
        <v>409</v>
      </c>
      <c r="N284" s="763"/>
      <c r="O284" s="707">
        <v>412</v>
      </c>
      <c r="P284" s="763"/>
      <c r="Q284" s="744">
        <v>400.41</v>
      </c>
      <c r="R284" s="763"/>
      <c r="S284" s="707">
        <v>232.12</v>
      </c>
      <c r="T284" s="733"/>
      <c r="U284" s="707">
        <v>442</v>
      </c>
      <c r="V284" s="733"/>
      <c r="W284" s="707">
        <v>385</v>
      </c>
      <c r="X284" s="902"/>
      <c r="Y284" s="707">
        <v>362</v>
      </c>
      <c r="Z284" s="902"/>
      <c r="AA284" s="707">
        <v>399</v>
      </c>
      <c r="AB284" s="902"/>
      <c r="AC284" s="744">
        <v>382.07</v>
      </c>
      <c r="AD284" s="720"/>
      <c r="AE284" s="723"/>
      <c r="AF284" s="723"/>
      <c r="AG284" s="723"/>
      <c r="AH284" s="720"/>
      <c r="AI284" s="720"/>
      <c r="AJ284" s="720"/>
      <c r="AK284" s="720"/>
      <c r="AL284" s="720"/>
      <c r="AM284" s="896">
        <f>COUNTIF(B284:AB284,"U/P")</f>
        <v>0</v>
      </c>
      <c r="AN284" s="896">
        <f>COUNTIF(C284:AC284,"ROW")</f>
        <v>0</v>
      </c>
      <c r="AO284" s="896">
        <f>COUNTIF(D284:AD284,"C")</f>
        <v>0</v>
      </c>
    </row>
    <row r="285" spans="1:41" ht="16.5" customHeight="1" thickBot="1">
      <c r="A285" s="469"/>
      <c r="B285" s="710"/>
      <c r="C285" s="720"/>
      <c r="D285" s="710"/>
      <c r="E285" s="720"/>
      <c r="F285" s="710"/>
      <c r="G285" s="720"/>
      <c r="H285" s="710"/>
      <c r="I285" s="720"/>
      <c r="J285" s="710"/>
      <c r="K285" s="720"/>
      <c r="L285" s="710"/>
      <c r="M285" s="720"/>
      <c r="N285" s="710"/>
      <c r="O285" s="720"/>
      <c r="P285" s="710"/>
      <c r="Q285" s="720"/>
      <c r="R285" s="710"/>
      <c r="S285" s="720"/>
      <c r="T285" s="710"/>
      <c r="U285" s="720"/>
      <c r="V285" s="710"/>
      <c r="W285" s="720"/>
      <c r="X285" s="710"/>
      <c r="Y285" s="720"/>
      <c r="Z285" s="710"/>
      <c r="AA285" s="720"/>
      <c r="AB285" s="710"/>
      <c r="AC285" s="720"/>
      <c r="AD285" s="720"/>
      <c r="AE285" s="723"/>
      <c r="AF285" s="723"/>
      <c r="AG285" s="723"/>
      <c r="AH285" s="720"/>
      <c r="AI285" s="720"/>
      <c r="AJ285" s="720"/>
      <c r="AK285" s="720"/>
      <c r="AL285" s="720"/>
    </row>
    <row r="286" spans="1:41" ht="33.5">
      <c r="A286" s="469"/>
      <c r="B286" s="699" t="s">
        <v>137</v>
      </c>
      <c r="C286" s="698"/>
      <c r="D286" s="698" t="s">
        <v>242</v>
      </c>
      <c r="E286" s="698"/>
      <c r="F286" s="698" t="s">
        <v>182</v>
      </c>
      <c r="G286" s="698"/>
      <c r="H286" s="698" t="s">
        <v>185</v>
      </c>
      <c r="I286" s="698"/>
      <c r="J286" s="698" t="s">
        <v>185</v>
      </c>
      <c r="K286" s="698"/>
      <c r="L286" s="698" t="s">
        <v>185</v>
      </c>
      <c r="M286" s="698"/>
      <c r="N286" s="698" t="s">
        <v>182</v>
      </c>
      <c r="O286" s="702"/>
      <c r="P286" s="698" t="s">
        <v>185</v>
      </c>
      <c r="Q286" s="720"/>
      <c r="R286" s="699" t="s">
        <v>192</v>
      </c>
      <c r="S286" s="720"/>
      <c r="T286" s="699" t="s">
        <v>192</v>
      </c>
      <c r="U286" s="715"/>
      <c r="V286" s="715" t="s">
        <v>185</v>
      </c>
      <c r="W286" s="720"/>
      <c r="X286" s="715" t="s">
        <v>182</v>
      </c>
      <c r="Y286" s="720"/>
      <c r="Z286" s="715" t="s">
        <v>182</v>
      </c>
      <c r="AA286" s="720"/>
      <c r="AB286" s="715" t="s">
        <v>185</v>
      </c>
      <c r="AC286" s="720"/>
      <c r="AD286" s="720"/>
      <c r="AE286" s="723"/>
      <c r="AF286" s="723"/>
      <c r="AG286" s="723"/>
      <c r="AH286" s="720"/>
      <c r="AI286" s="720"/>
      <c r="AJ286" s="720"/>
      <c r="AK286" s="720"/>
      <c r="AL286" s="720"/>
    </row>
    <row r="287" spans="1:41" ht="36">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c r="AA287" s="762"/>
      <c r="AB287" s="762"/>
      <c r="AC287" s="762"/>
      <c r="AD287" s="762"/>
      <c r="AE287" s="762"/>
      <c r="AF287" s="762"/>
      <c r="AG287" s="762"/>
      <c r="AH287" s="762"/>
      <c r="AI287" s="907"/>
      <c r="AJ287" s="907"/>
      <c r="AK287" s="907"/>
      <c r="AL287" s="907"/>
    </row>
    <row r="288" spans="1:41" ht="17.5" customHeight="1">
      <c r="B288" s="716"/>
      <c r="C288" s="716"/>
      <c r="D288" s="716"/>
      <c r="E288" s="716"/>
      <c r="F288" s="716"/>
      <c r="G288" s="716"/>
      <c r="H288" s="716"/>
      <c r="I288" s="716"/>
      <c r="J288" s="716"/>
      <c r="K288" s="716"/>
      <c r="L288" s="716"/>
      <c r="M288" s="716"/>
      <c r="N288" s="716"/>
      <c r="O288" s="705"/>
      <c r="P288" s="716"/>
      <c r="Q288" s="703"/>
      <c r="R288" s="736"/>
      <c r="S288" s="703"/>
      <c r="T288" s="736"/>
      <c r="U288" s="736"/>
      <c r="V288" s="736"/>
      <c r="W288" s="703"/>
      <c r="X288" s="736"/>
      <c r="Y288" s="703"/>
      <c r="Z288" s="736"/>
      <c r="AA288" s="703"/>
      <c r="AB288" s="736"/>
      <c r="AC288" s="703"/>
      <c r="AD288" s="703"/>
      <c r="AE288" s="695"/>
      <c r="AF288" s="696"/>
      <c r="AG288" s="696"/>
    </row>
    <row r="289" spans="1:41" ht="33.5">
      <c r="B289" s="715" t="s">
        <v>807</v>
      </c>
      <c r="C289" s="720"/>
      <c r="D289" s="715" t="s">
        <v>808</v>
      </c>
      <c r="E289" s="720"/>
      <c r="F289" s="744" t="s">
        <v>809</v>
      </c>
      <c r="G289" s="720"/>
      <c r="H289" s="744" t="s">
        <v>1285</v>
      </c>
      <c r="I289" s="720"/>
      <c r="J289" s="744" t="s">
        <v>810</v>
      </c>
      <c r="K289" s="720"/>
      <c r="L289" s="744" t="s">
        <v>811</v>
      </c>
      <c r="M289" s="720"/>
      <c r="N289" s="744" t="s">
        <v>812</v>
      </c>
      <c r="O289" s="720"/>
      <c r="P289" s="744" t="s">
        <v>813</v>
      </c>
      <c r="Q289" s="720"/>
      <c r="R289" s="744" t="s">
        <v>814</v>
      </c>
      <c r="S289" s="720"/>
      <c r="T289" s="744" t="s">
        <v>815</v>
      </c>
      <c r="U289" s="744"/>
      <c r="V289" s="744" t="s">
        <v>816</v>
      </c>
      <c r="W289" s="744"/>
      <c r="X289" s="744" t="s">
        <v>817</v>
      </c>
      <c r="Y289" s="744"/>
      <c r="Z289" s="744" t="s">
        <v>1286</v>
      </c>
      <c r="AA289" s="685" t="s">
        <v>1513</v>
      </c>
      <c r="AB289" s="744" t="s">
        <v>1287</v>
      </c>
      <c r="AC289" s="720"/>
      <c r="AD289" s="720"/>
      <c r="AE289" s="720"/>
      <c r="AF289" s="720"/>
      <c r="AG289" s="720"/>
      <c r="AH289" s="720"/>
      <c r="AI289" s="720"/>
      <c r="AJ289" s="720"/>
      <c r="AK289" s="720"/>
      <c r="AL289" s="720"/>
    </row>
    <row r="290" spans="1:41" ht="33.5">
      <c r="B290" s="712"/>
      <c r="C290" s="702"/>
      <c r="D290" s="712"/>
      <c r="E290" s="702"/>
      <c r="F290" s="712"/>
      <c r="G290" s="702"/>
      <c r="H290" s="712"/>
      <c r="I290" s="702"/>
      <c r="J290" s="712"/>
      <c r="K290" s="702"/>
      <c r="L290" s="712"/>
      <c r="M290" s="702"/>
      <c r="N290" s="712"/>
      <c r="O290" s="702"/>
      <c r="P290" s="712"/>
      <c r="Q290" s="720"/>
      <c r="R290" s="712"/>
      <c r="S290" s="702"/>
      <c r="T290" s="712"/>
      <c r="U290" s="702"/>
      <c r="V290" s="712"/>
      <c r="W290" s="702"/>
      <c r="X290" s="712"/>
      <c r="Y290" s="702"/>
      <c r="Z290" s="712"/>
      <c r="AA290" s="702"/>
      <c r="AB290" s="712"/>
      <c r="AC290" s="720"/>
      <c r="AD290" s="720"/>
      <c r="AE290" s="723"/>
      <c r="AF290" s="723"/>
      <c r="AG290" s="723"/>
      <c r="AH290" s="720"/>
      <c r="AI290" s="720"/>
      <c r="AJ290" s="720"/>
      <c r="AK290" s="720"/>
      <c r="AL290" s="720"/>
    </row>
    <row r="291" spans="1:41" ht="16.5" customHeight="1" thickBot="1">
      <c r="B291" s="714"/>
      <c r="C291" s="702"/>
      <c r="D291" s="714"/>
      <c r="E291" s="702"/>
      <c r="F291" s="714"/>
      <c r="G291" s="702"/>
      <c r="H291" s="714"/>
      <c r="I291" s="702"/>
      <c r="J291" s="714"/>
      <c r="K291" s="702"/>
      <c r="L291" s="714"/>
      <c r="M291" s="702"/>
      <c r="N291" s="714"/>
      <c r="O291" s="702"/>
      <c r="P291" s="714"/>
      <c r="Q291" s="720"/>
      <c r="R291" s="714"/>
      <c r="S291" s="702"/>
      <c r="T291" s="714"/>
      <c r="U291" s="702"/>
      <c r="V291" s="714"/>
      <c r="W291" s="702"/>
      <c r="X291" s="714"/>
      <c r="Y291" s="702"/>
      <c r="Z291" s="714"/>
      <c r="AA291" s="702"/>
      <c r="AB291" s="714"/>
      <c r="AC291" s="720"/>
      <c r="AD291" s="720"/>
      <c r="AE291" s="723"/>
      <c r="AF291" s="723"/>
      <c r="AG291" s="723"/>
      <c r="AH291" s="720"/>
      <c r="AI291" s="720"/>
      <c r="AJ291" s="720"/>
      <c r="AK291" s="720"/>
      <c r="AL291" s="720"/>
    </row>
    <row r="292" spans="1:41" ht="100" customHeight="1" thickBot="1">
      <c r="B292" s="733"/>
      <c r="C292" s="707">
        <v>392</v>
      </c>
      <c r="D292" s="733"/>
      <c r="E292" s="707">
        <v>422</v>
      </c>
      <c r="F292" s="733"/>
      <c r="G292" s="707">
        <v>409.46</v>
      </c>
      <c r="H292" s="733"/>
      <c r="I292" s="707">
        <v>373.69</v>
      </c>
      <c r="J292" s="733"/>
      <c r="K292" s="707">
        <v>381.62</v>
      </c>
      <c r="L292" s="733"/>
      <c r="M292" s="707">
        <v>381.82</v>
      </c>
      <c r="N292" s="733"/>
      <c r="O292" s="707">
        <v>391.44</v>
      </c>
      <c r="P292" s="733"/>
      <c r="Q292" s="744">
        <v>385.78</v>
      </c>
      <c r="R292" s="733"/>
      <c r="S292" s="707">
        <v>367.45</v>
      </c>
      <c r="T292" s="733"/>
      <c r="U292" s="707">
        <v>379.63</v>
      </c>
      <c r="V292" s="733"/>
      <c r="W292" s="707">
        <v>380.46</v>
      </c>
      <c r="X292" s="733"/>
      <c r="Y292" s="707">
        <v>382.98</v>
      </c>
      <c r="Z292" s="733"/>
      <c r="AA292" s="707">
        <v>241.5</v>
      </c>
      <c r="AB292" s="691" t="s">
        <v>228</v>
      </c>
      <c r="AC292" s="787">
        <v>363.92</v>
      </c>
      <c r="AD292" s="720"/>
      <c r="AE292" s="723"/>
      <c r="AF292" s="723"/>
      <c r="AG292" s="723"/>
      <c r="AH292" s="720"/>
      <c r="AI292" s="720"/>
      <c r="AJ292" s="720"/>
      <c r="AK292" s="720"/>
      <c r="AL292" s="720"/>
      <c r="AM292" s="896">
        <f>COUNTIF(B292:AB292,"U/P")</f>
        <v>0</v>
      </c>
      <c r="AN292" s="896">
        <f>COUNTIF(C292:AC292,"ROW")</f>
        <v>1</v>
      </c>
      <c r="AO292" s="896">
        <f>COUNTIF(D292:AD292,"C")</f>
        <v>0</v>
      </c>
    </row>
    <row r="293" spans="1:41" ht="16.5" customHeight="1" thickBot="1">
      <c r="B293" s="710"/>
      <c r="C293" s="720"/>
      <c r="D293" s="710"/>
      <c r="E293" s="720"/>
      <c r="F293" s="710"/>
      <c r="G293" s="720"/>
      <c r="H293" s="710"/>
      <c r="I293" s="720"/>
      <c r="J293" s="710"/>
      <c r="K293" s="720"/>
      <c r="L293" s="710"/>
      <c r="M293" s="720"/>
      <c r="N293" s="710"/>
      <c r="O293" s="720"/>
      <c r="P293" s="710"/>
      <c r="Q293" s="720"/>
      <c r="R293" s="710"/>
      <c r="S293" s="720"/>
      <c r="T293" s="710"/>
      <c r="U293" s="720"/>
      <c r="V293" s="710"/>
      <c r="W293" s="720"/>
      <c r="X293" s="710"/>
      <c r="Y293" s="720"/>
      <c r="Z293" s="710"/>
      <c r="AA293" s="720"/>
      <c r="AB293" s="710"/>
      <c r="AC293" s="720"/>
      <c r="AD293" s="720"/>
      <c r="AE293" s="723"/>
      <c r="AF293" s="723"/>
      <c r="AG293" s="723"/>
      <c r="AH293" s="720"/>
      <c r="AI293" s="720"/>
      <c r="AJ293" s="720"/>
      <c r="AK293" s="720"/>
      <c r="AL293" s="720"/>
    </row>
    <row r="294" spans="1:41" ht="33.5">
      <c r="B294" s="699" t="s">
        <v>115</v>
      </c>
      <c r="C294" s="698"/>
      <c r="D294" s="698" t="s">
        <v>185</v>
      </c>
      <c r="E294" s="698"/>
      <c r="F294" s="698" t="s">
        <v>182</v>
      </c>
      <c r="G294" s="698"/>
      <c r="H294" s="699" t="s">
        <v>115</v>
      </c>
      <c r="I294" s="698"/>
      <c r="J294" s="698" t="s">
        <v>182</v>
      </c>
      <c r="K294" s="698"/>
      <c r="L294" s="698" t="s">
        <v>182</v>
      </c>
      <c r="M294" s="698"/>
      <c r="N294" s="698" t="s">
        <v>182</v>
      </c>
      <c r="O294" s="702"/>
      <c r="P294" s="698" t="s">
        <v>182</v>
      </c>
      <c r="Q294" s="720"/>
      <c r="R294" s="715" t="s">
        <v>182</v>
      </c>
      <c r="S294" s="720"/>
      <c r="T294" s="715" t="s">
        <v>182</v>
      </c>
      <c r="U294" s="715"/>
      <c r="V294" s="715" t="s">
        <v>182</v>
      </c>
      <c r="W294" s="715"/>
      <c r="X294" s="715" t="s">
        <v>182</v>
      </c>
      <c r="Y294" s="715"/>
      <c r="Z294" s="715" t="s">
        <v>182</v>
      </c>
      <c r="AA294" s="715"/>
      <c r="AB294" s="699" t="s">
        <v>119</v>
      </c>
      <c r="AC294" s="720"/>
      <c r="AD294" s="720"/>
      <c r="AE294" s="723"/>
      <c r="AF294" s="723"/>
      <c r="AG294" s="723"/>
      <c r="AH294" s="720"/>
      <c r="AI294" s="720"/>
      <c r="AJ294" s="720"/>
      <c r="AK294" s="720"/>
      <c r="AL294" s="720"/>
      <c r="AM294" s="898"/>
    </row>
    <row r="295" spans="1:41" ht="46">
      <c r="A295" s="735"/>
      <c r="B295" s="762"/>
      <c r="C295" s="735"/>
      <c r="D295" s="735"/>
      <c r="E295" s="735"/>
      <c r="F295" s="735"/>
      <c r="G295" s="735"/>
      <c r="H295" s="735"/>
      <c r="I295" s="735"/>
      <c r="J295" s="735"/>
      <c r="K295" s="735"/>
      <c r="L295" s="735"/>
      <c r="M295" s="735"/>
      <c r="N295" s="735"/>
      <c r="O295" s="735"/>
      <c r="P295" s="735"/>
      <c r="Q295" s="735"/>
      <c r="R295" s="735"/>
      <c r="S295" s="735"/>
      <c r="T295" s="762"/>
      <c r="U295" s="735"/>
      <c r="V295" s="735"/>
      <c r="W295" s="735"/>
      <c r="X295" s="735"/>
      <c r="Y295" s="735"/>
      <c r="Z295" s="762"/>
      <c r="AA295" s="762"/>
      <c r="AB295" s="907" t="s">
        <v>228</v>
      </c>
      <c r="AC295" s="735"/>
      <c r="AD295" s="735"/>
      <c r="AE295" s="735"/>
      <c r="AF295" s="735"/>
      <c r="AG295" s="735"/>
      <c r="AH295" s="735"/>
      <c r="AI295" s="735"/>
      <c r="AJ295" s="735"/>
      <c r="AK295" s="735"/>
      <c r="AL295" s="735"/>
    </row>
    <row r="296" spans="1:41" ht="15" customHeight="1">
      <c r="B296" s="716"/>
      <c r="C296" s="716"/>
      <c r="D296" s="716"/>
      <c r="E296" s="716"/>
      <c r="F296" s="716"/>
      <c r="G296" s="716"/>
      <c r="H296" s="716"/>
      <c r="I296" s="716"/>
      <c r="J296" s="716"/>
      <c r="K296" s="716"/>
      <c r="L296" s="716"/>
      <c r="M296" s="716"/>
      <c r="N296" s="716"/>
      <c r="O296" s="705"/>
      <c r="P296" s="716"/>
      <c r="Q296" s="703"/>
      <c r="R296" s="736"/>
      <c r="S296" s="703"/>
      <c r="T296" s="736"/>
      <c r="U296" s="736"/>
      <c r="V296" s="736"/>
      <c r="W296" s="736"/>
      <c r="X296" s="736"/>
      <c r="Y296" s="736"/>
      <c r="Z296" s="736"/>
      <c r="AA296" s="736"/>
      <c r="AB296" s="736"/>
      <c r="AC296" s="703"/>
      <c r="AD296" s="703"/>
      <c r="AE296" s="695"/>
      <c r="AF296" s="696"/>
      <c r="AG296" s="696"/>
    </row>
    <row r="297" spans="1:41" ht="33.5">
      <c r="A297" s="505"/>
      <c r="B297" s="744" t="s">
        <v>818</v>
      </c>
      <c r="C297" s="744"/>
      <c r="D297" s="744" t="s">
        <v>819</v>
      </c>
      <c r="E297" s="744"/>
      <c r="F297" s="744" t="s">
        <v>820</v>
      </c>
      <c r="G297" s="744"/>
      <c r="H297" s="744" t="s">
        <v>821</v>
      </c>
      <c r="I297" s="744"/>
      <c r="J297" s="744" t="s">
        <v>822</v>
      </c>
      <c r="K297" s="744"/>
      <c r="L297" s="744" t="s">
        <v>823</v>
      </c>
      <c r="M297" s="744"/>
      <c r="N297" s="744" t="s">
        <v>824</v>
      </c>
      <c r="O297" s="744"/>
      <c r="P297" s="744" t="s">
        <v>827</v>
      </c>
      <c r="Q297" s="744"/>
      <c r="R297" s="744" t="s">
        <v>1363</v>
      </c>
      <c r="S297" s="744"/>
      <c r="T297" s="744" t="s">
        <v>1364</v>
      </c>
      <c r="U297" s="744"/>
      <c r="V297" s="744" t="s">
        <v>1365</v>
      </c>
      <c r="W297" s="744"/>
      <c r="X297" s="744" t="s">
        <v>1366</v>
      </c>
      <c r="Y297" s="744"/>
      <c r="Z297" s="744" t="s">
        <v>1367</v>
      </c>
      <c r="AA297" s="720"/>
      <c r="AB297" s="744" t="s">
        <v>830</v>
      </c>
      <c r="AC297" s="744"/>
      <c r="AD297" s="744" t="s">
        <v>831</v>
      </c>
      <c r="AE297" s="720"/>
      <c r="AF297" s="720"/>
      <c r="AG297" s="720"/>
      <c r="AH297" s="720"/>
      <c r="AI297" s="720"/>
      <c r="AJ297" s="720"/>
      <c r="AK297" s="720"/>
      <c r="AL297" s="720"/>
    </row>
    <row r="298" spans="1:41" ht="33.5">
      <c r="B298" s="712"/>
      <c r="C298" s="702"/>
      <c r="D298" s="712"/>
      <c r="E298" s="702"/>
      <c r="F298" s="712"/>
      <c r="G298" s="702"/>
      <c r="H298" s="712"/>
      <c r="I298" s="702"/>
      <c r="J298" s="712"/>
      <c r="K298" s="702"/>
      <c r="L298" s="712"/>
      <c r="M298" s="702"/>
      <c r="N298" s="712"/>
      <c r="O298" s="702"/>
      <c r="P298" s="712"/>
      <c r="Q298" s="720"/>
      <c r="R298" s="712"/>
      <c r="S298" s="702"/>
      <c r="T298" s="712"/>
      <c r="U298" s="702"/>
      <c r="V298" s="712"/>
      <c r="W298" s="702"/>
      <c r="X298" s="712"/>
      <c r="Y298" s="702"/>
      <c r="Z298" s="712"/>
      <c r="AA298" s="720"/>
      <c r="AB298" s="712"/>
      <c r="AC298" s="702"/>
      <c r="AD298" s="712"/>
      <c r="AE298" s="720"/>
      <c r="AF298" s="723"/>
      <c r="AG298" s="723"/>
      <c r="AH298" s="720"/>
      <c r="AI298" s="720"/>
      <c r="AJ298" s="720"/>
      <c r="AK298" s="720"/>
      <c r="AL298" s="720"/>
    </row>
    <row r="299" spans="1:41" ht="16.5" customHeight="1" thickBot="1">
      <c r="B299" s="714"/>
      <c r="C299" s="702"/>
      <c r="D299" s="714"/>
      <c r="E299" s="702"/>
      <c r="F299" s="714"/>
      <c r="G299" s="702"/>
      <c r="H299" s="714"/>
      <c r="I299" s="702"/>
      <c r="J299" s="714"/>
      <c r="K299" s="702"/>
      <c r="L299" s="714"/>
      <c r="M299" s="702"/>
      <c r="N299" s="714"/>
      <c r="O299" s="702"/>
      <c r="P299" s="714"/>
      <c r="Q299" s="720"/>
      <c r="R299" s="714"/>
      <c r="S299" s="702"/>
      <c r="T299" s="714"/>
      <c r="U299" s="702"/>
      <c r="V299" s="714"/>
      <c r="W299" s="702"/>
      <c r="X299" s="714"/>
      <c r="Y299" s="702"/>
      <c r="Z299" s="714"/>
      <c r="AA299" s="720"/>
      <c r="AB299" s="714"/>
      <c r="AC299" s="702"/>
      <c r="AD299" s="714"/>
      <c r="AE299" s="720"/>
      <c r="AF299" s="723"/>
      <c r="AG299" s="723"/>
      <c r="AH299" s="720"/>
      <c r="AI299" s="720"/>
      <c r="AJ299" s="720"/>
      <c r="AK299" s="720"/>
      <c r="AL299" s="720"/>
    </row>
    <row r="300" spans="1:41" ht="100" customHeight="1" thickBot="1">
      <c r="B300" s="733"/>
      <c r="C300" s="707">
        <v>359.14</v>
      </c>
      <c r="D300" s="733"/>
      <c r="E300" s="707">
        <v>384.88</v>
      </c>
      <c r="F300" s="733"/>
      <c r="G300" s="707">
        <v>381.91</v>
      </c>
      <c r="H300" s="733"/>
      <c r="I300" s="707">
        <v>397.15</v>
      </c>
      <c r="J300" s="733"/>
      <c r="K300" s="707">
        <v>387.13</v>
      </c>
      <c r="L300" s="733"/>
      <c r="M300" s="707">
        <v>392.12</v>
      </c>
      <c r="N300" s="733"/>
      <c r="O300" s="707">
        <v>364.62</v>
      </c>
      <c r="P300" s="733"/>
      <c r="Q300" s="744">
        <v>188.37</v>
      </c>
      <c r="R300" s="763"/>
      <c r="S300" s="707">
        <v>395.54</v>
      </c>
      <c r="T300" s="733"/>
      <c r="U300" s="707">
        <v>425</v>
      </c>
      <c r="V300" s="733"/>
      <c r="W300" s="707">
        <v>407</v>
      </c>
      <c r="X300" s="733"/>
      <c r="Y300" s="707">
        <v>433</v>
      </c>
      <c r="Z300" s="691" t="s">
        <v>390</v>
      </c>
      <c r="AA300" s="707">
        <v>489.23</v>
      </c>
      <c r="AB300" s="691" t="s">
        <v>71</v>
      </c>
      <c r="AC300" s="707">
        <v>290</v>
      </c>
      <c r="AD300" s="691"/>
      <c r="AE300" s="787">
        <v>419.40300000000002</v>
      </c>
      <c r="AF300" s="723"/>
      <c r="AG300" s="723"/>
      <c r="AH300" s="720"/>
      <c r="AI300" s="720"/>
      <c r="AJ300" s="720"/>
      <c r="AK300" s="720"/>
      <c r="AL300" s="720"/>
      <c r="AM300" s="896">
        <f>COUNTIF(B300:AB300,"U/P")</f>
        <v>1</v>
      </c>
      <c r="AN300" s="896">
        <f>COUNTIF(C300:AC300,"ROW")</f>
        <v>0</v>
      </c>
      <c r="AO300" s="896">
        <f>COUNTIF(B300:AD300,"C")</f>
        <v>1</v>
      </c>
    </row>
    <row r="301" spans="1:41" ht="16.5" customHeight="1" thickBot="1">
      <c r="B301" s="710"/>
      <c r="C301" s="720"/>
      <c r="D301" s="710"/>
      <c r="E301" s="720"/>
      <c r="F301" s="710"/>
      <c r="G301" s="720"/>
      <c r="H301" s="710"/>
      <c r="I301" s="720"/>
      <c r="J301" s="710"/>
      <c r="K301" s="720"/>
      <c r="L301" s="710"/>
      <c r="M301" s="720"/>
      <c r="N301" s="710"/>
      <c r="O301" s="720"/>
      <c r="P301" s="710"/>
      <c r="Q301" s="720"/>
      <c r="R301" s="710"/>
      <c r="S301" s="720"/>
      <c r="T301" s="710"/>
      <c r="U301" s="720"/>
      <c r="V301" s="710"/>
      <c r="W301" s="720"/>
      <c r="X301" s="710"/>
      <c r="Y301" s="720"/>
      <c r="Z301" s="710"/>
      <c r="AA301" s="720"/>
      <c r="AB301" s="710"/>
      <c r="AC301" s="720"/>
      <c r="AD301" s="788"/>
      <c r="AE301" s="720"/>
      <c r="AF301" s="723"/>
      <c r="AG301" s="723"/>
      <c r="AH301" s="720"/>
      <c r="AI301" s="720"/>
      <c r="AJ301" s="720"/>
      <c r="AK301" s="720"/>
      <c r="AL301" s="720"/>
    </row>
    <row r="302" spans="1:41" ht="33.5">
      <c r="B302" s="698" t="s">
        <v>182</v>
      </c>
      <c r="C302" s="698"/>
      <c r="D302" s="698" t="s">
        <v>182</v>
      </c>
      <c r="E302" s="698"/>
      <c r="F302" s="698" t="s">
        <v>182</v>
      </c>
      <c r="G302" s="698"/>
      <c r="H302" s="698" t="s">
        <v>182</v>
      </c>
      <c r="I302" s="698"/>
      <c r="J302" s="698" t="s">
        <v>182</v>
      </c>
      <c r="K302" s="698"/>
      <c r="L302" s="698" t="s">
        <v>182</v>
      </c>
      <c r="M302" s="698"/>
      <c r="N302" s="698" t="s">
        <v>182</v>
      </c>
      <c r="O302" s="702"/>
      <c r="P302" s="698" t="s">
        <v>125</v>
      </c>
      <c r="Q302" s="720"/>
      <c r="R302" s="789" t="s">
        <v>125</v>
      </c>
      <c r="S302" s="720"/>
      <c r="T302" s="699" t="s">
        <v>188</v>
      </c>
      <c r="U302" s="720"/>
      <c r="V302" s="720" t="s">
        <v>185</v>
      </c>
      <c r="W302" s="720"/>
      <c r="X302" s="790" t="s">
        <v>182</v>
      </c>
      <c r="Y302" s="720"/>
      <c r="Z302" s="699" t="s">
        <v>132</v>
      </c>
      <c r="AA302" s="720"/>
      <c r="AB302" s="699" t="s">
        <v>147</v>
      </c>
      <c r="AC302" s="720"/>
      <c r="AD302" s="699" t="s">
        <v>147</v>
      </c>
      <c r="AE302" s="720"/>
      <c r="AF302" s="723"/>
      <c r="AG302" s="723"/>
      <c r="AH302" s="720"/>
      <c r="AI302" s="720"/>
      <c r="AJ302" s="720"/>
      <c r="AK302" s="720"/>
      <c r="AL302" s="720"/>
    </row>
    <row r="303" spans="1:41" ht="4.5" customHeight="1">
      <c r="B303" s="703"/>
      <c r="C303" s="703"/>
      <c r="D303" s="703"/>
      <c r="E303" s="703"/>
      <c r="F303" s="703"/>
      <c r="G303" s="703"/>
      <c r="H303" s="703"/>
      <c r="I303" s="703"/>
      <c r="J303" s="703"/>
      <c r="K303" s="703"/>
      <c r="L303" s="703"/>
      <c r="M303" s="703"/>
      <c r="N303" s="703"/>
      <c r="O303" s="703"/>
      <c r="P303" s="703"/>
      <c r="Q303" s="703"/>
      <c r="R303" s="703"/>
      <c r="S303" s="703"/>
      <c r="T303" s="703"/>
      <c r="U303" s="703"/>
      <c r="V303" s="703"/>
      <c r="W303" s="703"/>
      <c r="X303" s="703"/>
      <c r="Y303" s="703"/>
      <c r="Z303" s="703"/>
      <c r="AA303" s="703"/>
      <c r="AB303" s="703"/>
      <c r="AC303" s="703"/>
      <c r="AD303" s="703"/>
      <c r="AE303" s="781"/>
      <c r="AF303" s="686"/>
      <c r="AG303" s="686"/>
    </row>
    <row r="304" spans="1:41" ht="30" customHeight="1">
      <c r="A304" s="735"/>
      <c r="B304" s="735"/>
      <c r="C304" s="735"/>
      <c r="D304" s="762"/>
      <c r="E304" s="735"/>
      <c r="F304" s="735"/>
      <c r="G304" s="735"/>
      <c r="H304" s="735"/>
      <c r="I304" s="735"/>
      <c r="J304" s="1525"/>
      <c r="K304" s="1525"/>
      <c r="L304" s="1525"/>
      <c r="M304" s="1525"/>
      <c r="N304" s="1525"/>
      <c r="O304" s="1525"/>
      <c r="P304" s="1525"/>
      <c r="Q304" s="1525"/>
      <c r="R304" s="1525"/>
      <c r="S304" s="1525"/>
      <c r="T304" s="1525"/>
      <c r="U304" s="1525"/>
      <c r="V304" s="1525"/>
      <c r="W304" s="1525"/>
      <c r="X304" s="1525"/>
      <c r="Y304" s="1525"/>
      <c r="Z304" s="1493" t="s">
        <v>1541</v>
      </c>
      <c r="AA304" s="1493"/>
      <c r="AB304" s="1493"/>
      <c r="AC304" s="1493"/>
      <c r="AD304" s="1493"/>
      <c r="AE304" s="1493"/>
      <c r="AF304" s="1513"/>
      <c r="AG304" s="840"/>
      <c r="AH304" s="895"/>
      <c r="AI304" s="907"/>
      <c r="AJ304" s="907"/>
      <c r="AK304" s="907"/>
      <c r="AL304" s="907"/>
    </row>
    <row r="305" spans="1:41" ht="33.5">
      <c r="A305" s="505"/>
      <c r="B305" s="744" t="s">
        <v>832</v>
      </c>
      <c r="C305" s="744"/>
      <c r="D305" s="744" t="s">
        <v>833</v>
      </c>
      <c r="E305" s="744"/>
      <c r="F305" s="744" t="s">
        <v>1288</v>
      </c>
      <c r="G305" s="744"/>
      <c r="H305" s="744" t="s">
        <v>835</v>
      </c>
      <c r="I305" s="744"/>
      <c r="J305" s="744" t="s">
        <v>836</v>
      </c>
      <c r="K305" s="744"/>
      <c r="L305" s="744" t="s">
        <v>837</v>
      </c>
      <c r="M305" s="744"/>
      <c r="N305" s="744" t="s">
        <v>838</v>
      </c>
      <c r="O305" s="744"/>
      <c r="P305" s="1537" t="s">
        <v>1515</v>
      </c>
      <c r="Q305" s="1537"/>
      <c r="R305" s="720"/>
      <c r="S305" s="703"/>
      <c r="T305" s="1076">
        <v>1</v>
      </c>
      <c r="U305" s="1538" t="s">
        <v>1535</v>
      </c>
      <c r="V305" s="1538"/>
      <c r="W305" s="1538"/>
      <c r="X305" s="1538"/>
      <c r="Y305" s="1538"/>
      <c r="Z305" s="1531"/>
      <c r="AA305" s="1531"/>
      <c r="AB305" s="1534"/>
      <c r="AC305" s="1534"/>
      <c r="AD305" s="1539"/>
      <c r="AE305" s="1540"/>
      <c r="AF305" s="1540"/>
      <c r="AG305" s="1540"/>
      <c r="AH305" s="1540"/>
      <c r="AI305" s="916"/>
      <c r="AJ305" s="916"/>
      <c r="AK305" s="916"/>
      <c r="AL305" s="916"/>
    </row>
    <row r="306" spans="1:41" ht="33.5" customHeight="1">
      <c r="B306" s="712"/>
      <c r="C306" s="702"/>
      <c r="D306" s="712"/>
      <c r="E306" s="702"/>
      <c r="F306" s="712"/>
      <c r="G306" s="702"/>
      <c r="H306" s="712"/>
      <c r="I306" s="702"/>
      <c r="J306" s="712"/>
      <c r="K306" s="702"/>
      <c r="L306" s="712"/>
      <c r="M306" s="702"/>
      <c r="N306" s="712"/>
      <c r="O306" s="702"/>
      <c r="P306" s="720"/>
      <c r="Q306" s="720"/>
      <c r="R306" s="712"/>
      <c r="S306" s="705"/>
      <c r="T306" s="792">
        <v>2</v>
      </c>
      <c r="U306" s="1531" t="s">
        <v>1536</v>
      </c>
      <c r="V306" s="1531"/>
      <c r="W306" s="1531"/>
      <c r="X306" s="1531"/>
      <c r="Y306" s="1531"/>
      <c r="Z306" s="1531"/>
      <c r="AA306" s="1531"/>
      <c r="AB306" s="1532"/>
      <c r="AC306" s="1532"/>
      <c r="AD306" s="1541">
        <f>AB306+AB307+AB308</f>
        <v>0</v>
      </c>
      <c r="AE306" s="1541"/>
      <c r="AF306" s="1541"/>
      <c r="AG306" s="1541"/>
      <c r="AH306" s="1541"/>
      <c r="AI306" s="906"/>
      <c r="AJ306" s="906"/>
      <c r="AK306" s="906"/>
      <c r="AL306" s="906"/>
    </row>
    <row r="307" spans="1:41" ht="32.5" customHeight="1" thickBot="1">
      <c r="A307" s="469"/>
      <c r="B307" s="714"/>
      <c r="C307" s="702"/>
      <c r="D307" s="714"/>
      <c r="E307" s="702"/>
      <c r="F307" s="714"/>
      <c r="G307" s="702"/>
      <c r="H307" s="714"/>
      <c r="I307" s="702"/>
      <c r="J307" s="714"/>
      <c r="K307" s="702"/>
      <c r="L307" s="714"/>
      <c r="M307" s="702"/>
      <c r="N307" s="714"/>
      <c r="O307" s="702"/>
      <c r="P307" s="714"/>
      <c r="Q307" s="720"/>
      <c r="R307" s="714"/>
      <c r="S307" s="705"/>
      <c r="T307" s="793">
        <v>3</v>
      </c>
      <c r="U307" s="1542" t="s">
        <v>1537</v>
      </c>
      <c r="V307" s="1543"/>
      <c r="W307" s="1543"/>
      <c r="X307" s="1543"/>
      <c r="Y307" s="1543"/>
      <c r="Z307" s="1543"/>
      <c r="AA307" s="1544"/>
      <c r="AB307" s="1532"/>
      <c r="AC307" s="1532"/>
      <c r="AD307" s="1541"/>
      <c r="AE307" s="1541"/>
      <c r="AF307" s="1541"/>
      <c r="AG307" s="1541"/>
      <c r="AH307" s="1541"/>
      <c r="AI307" s="906"/>
      <c r="AJ307" s="906"/>
      <c r="AK307" s="906"/>
      <c r="AL307" s="906"/>
    </row>
    <row r="308" spans="1:41" ht="100" customHeight="1" thickBot="1">
      <c r="A308" s="469"/>
      <c r="B308" s="763"/>
      <c r="C308" s="707">
        <v>242.63</v>
      </c>
      <c r="D308" s="691" t="s">
        <v>390</v>
      </c>
      <c r="E308" s="707">
        <v>342.72699999999998</v>
      </c>
      <c r="F308" s="733"/>
      <c r="G308" s="707">
        <v>389.221</v>
      </c>
      <c r="H308" s="691"/>
      <c r="I308" s="707">
        <v>220.25299999999999</v>
      </c>
      <c r="J308" s="691"/>
      <c r="K308" s="707">
        <v>241.31200000000001</v>
      </c>
      <c r="L308" s="691"/>
      <c r="M308" s="707">
        <v>214.90199999999999</v>
      </c>
      <c r="N308" s="691"/>
      <c r="O308" s="698">
        <v>113.742</v>
      </c>
      <c r="P308" s="794"/>
      <c r="Q308" s="720"/>
      <c r="R308" s="795"/>
      <c r="S308" s="708"/>
      <c r="T308" s="792">
        <v>4</v>
      </c>
      <c r="U308" s="1531" t="s">
        <v>1538</v>
      </c>
      <c r="V308" s="1531"/>
      <c r="W308" s="1531"/>
      <c r="X308" s="1531"/>
      <c r="Y308" s="1531"/>
      <c r="Z308" s="1531"/>
      <c r="AA308" s="1531"/>
      <c r="AB308" s="1545"/>
      <c r="AC308" s="1546"/>
      <c r="AD308" s="1541"/>
      <c r="AE308" s="1541"/>
      <c r="AF308" s="1541"/>
      <c r="AG308" s="1541"/>
      <c r="AH308" s="1541"/>
      <c r="AI308" s="906"/>
      <c r="AJ308" s="906"/>
      <c r="AK308" s="906"/>
      <c r="AL308" s="906"/>
      <c r="AM308" s="896">
        <f>COUNTIF(B308:AB308,"U/P")</f>
        <v>1</v>
      </c>
      <c r="AN308" s="896">
        <f>COUNTIF(C308:AC308,"ROW")</f>
        <v>0</v>
      </c>
      <c r="AO308" s="896">
        <f>COUNTIF(D308:AD308,"C")</f>
        <v>0</v>
      </c>
    </row>
    <row r="309" spans="1:41" ht="26.5" customHeight="1" thickBot="1">
      <c r="A309" s="469"/>
      <c r="B309" s="710"/>
      <c r="C309" s="720"/>
      <c r="D309" s="710"/>
      <c r="E309" s="720"/>
      <c r="F309" s="710"/>
      <c r="G309" s="720"/>
      <c r="H309" s="710"/>
      <c r="I309" s="720"/>
      <c r="J309" s="710"/>
      <c r="K309" s="720"/>
      <c r="L309" s="710"/>
      <c r="M309" s="720"/>
      <c r="N309" s="710"/>
      <c r="O309" s="720"/>
      <c r="P309" s="796"/>
      <c r="Q309" s="720"/>
      <c r="R309" s="712"/>
      <c r="S309" s="703"/>
      <c r="T309" s="724">
        <v>5</v>
      </c>
      <c r="U309" s="1531" t="s">
        <v>1539</v>
      </c>
      <c r="V309" s="1531"/>
      <c r="W309" s="1531"/>
      <c r="X309" s="1531"/>
      <c r="Y309" s="1531"/>
      <c r="Z309" s="1531"/>
      <c r="AA309" s="1531"/>
      <c r="AB309" s="1532"/>
      <c r="AC309" s="1532"/>
      <c r="AD309" s="1533">
        <f>AB309+AB310</f>
        <v>0</v>
      </c>
      <c r="AE309" s="1533"/>
      <c r="AF309" s="1533"/>
      <c r="AG309" s="1533"/>
      <c r="AH309" s="1533"/>
      <c r="AI309" s="905"/>
      <c r="AJ309" s="905"/>
      <c r="AK309" s="905"/>
      <c r="AL309" s="905"/>
      <c r="AM309" s="698">
        <f>SUM(AM19:AM308)</f>
        <v>9</v>
      </c>
      <c r="AN309" s="698">
        <f>SUM(AN20:AN308)</f>
        <v>21</v>
      </c>
      <c r="AO309" s="698">
        <f>SUM(AO20:AO308)</f>
        <v>2</v>
      </c>
    </row>
    <row r="310" spans="1:41" ht="35" customHeight="1">
      <c r="A310" s="469"/>
      <c r="B310" s="699" t="s">
        <v>117</v>
      </c>
      <c r="C310" s="698"/>
      <c r="D310" s="699" t="s">
        <v>117</v>
      </c>
      <c r="E310" s="698"/>
      <c r="F310" s="699" t="s">
        <v>119</v>
      </c>
      <c r="G310" s="698"/>
      <c r="H310" s="699" t="s">
        <v>125</v>
      </c>
      <c r="I310" s="698"/>
      <c r="J310" s="699" t="s">
        <v>125</v>
      </c>
      <c r="K310" s="698"/>
      <c r="L310" s="699" t="s">
        <v>147</v>
      </c>
      <c r="M310" s="698"/>
      <c r="N310" s="699" t="s">
        <v>125</v>
      </c>
      <c r="O310" s="702"/>
      <c r="P310" s="702"/>
      <c r="Q310" s="720"/>
      <c r="R310" s="720"/>
      <c r="S310" s="703"/>
      <c r="T310" s="797">
        <v>6</v>
      </c>
      <c r="U310" s="1531" t="s">
        <v>1540</v>
      </c>
      <c r="V310" s="1531"/>
      <c r="W310" s="1531"/>
      <c r="X310" s="1531"/>
      <c r="Y310" s="1531"/>
      <c r="Z310" s="1531"/>
      <c r="AA310" s="1531"/>
      <c r="AB310" s="1534"/>
      <c r="AC310" s="1534"/>
      <c r="AD310" s="1533"/>
      <c r="AE310" s="1533"/>
      <c r="AF310" s="1533"/>
      <c r="AG310" s="1533"/>
      <c r="AH310" s="1533"/>
      <c r="AI310" s="905"/>
      <c r="AJ310" s="905"/>
      <c r="AK310" s="905"/>
      <c r="AL310" s="905"/>
      <c r="AM310" s="738" t="s">
        <v>390</v>
      </c>
      <c r="AN310" s="738" t="s">
        <v>228</v>
      </c>
      <c r="AO310" s="738" t="s">
        <v>375</v>
      </c>
    </row>
    <row r="311" spans="1:41" ht="39.5" customHeight="1">
      <c r="A311" s="1135"/>
      <c r="B311" s="1135"/>
      <c r="C311" s="1135"/>
      <c r="D311" s="1135" t="s">
        <v>228</v>
      </c>
      <c r="E311" s="1135"/>
      <c r="F311" s="1135"/>
      <c r="G311" s="1135"/>
      <c r="J311" s="895" t="s">
        <v>1541</v>
      </c>
      <c r="K311" s="1069"/>
      <c r="L311" s="1069"/>
      <c r="M311" s="1069"/>
      <c r="N311" s="1069"/>
      <c r="O311" s="1069"/>
      <c r="P311" s="1069"/>
      <c r="Q311" s="1069"/>
      <c r="R311" s="1195"/>
      <c r="S311" s="735"/>
      <c r="T311" s="881">
        <v>7</v>
      </c>
      <c r="U311" s="1535" t="s">
        <v>1542</v>
      </c>
      <c r="V311" s="1535"/>
      <c r="W311" s="1535"/>
      <c r="X311" s="1535"/>
      <c r="Y311" s="1535"/>
      <c r="Z311" s="1535"/>
      <c r="AA311" s="1535"/>
      <c r="AB311" s="1536"/>
      <c r="AC311" s="1536"/>
      <c r="AD311" s="1533"/>
      <c r="AE311" s="1533"/>
      <c r="AF311" s="1533"/>
      <c r="AG311" s="1533"/>
      <c r="AH311" s="1533"/>
      <c r="AI311" s="905"/>
      <c r="AJ311" s="905"/>
      <c r="AK311" s="905"/>
      <c r="AL311" s="905"/>
    </row>
    <row r="312" spans="1:41" ht="14.5">
      <c r="AE312" s="686"/>
      <c r="AF312" s="686"/>
      <c r="AG312" s="686"/>
    </row>
    <row r="313" spans="1:41" ht="14.5">
      <c r="A313" s="469"/>
      <c r="B313" s="474"/>
      <c r="C313" s="475"/>
      <c r="D313" s="474"/>
      <c r="E313" s="475"/>
      <c r="F313" s="474"/>
      <c r="G313" s="475"/>
      <c r="H313" s="474"/>
      <c r="I313" s="475"/>
      <c r="J313" s="474"/>
      <c r="K313" s="475"/>
      <c r="L313" s="474"/>
      <c r="M313" s="475"/>
      <c r="N313" s="474"/>
      <c r="O313" s="475"/>
      <c r="P313" s="474"/>
      <c r="R313" s="474"/>
      <c r="S313" s="475"/>
      <c r="T313" s="474"/>
      <c r="U313" s="475"/>
      <c r="V313" s="474"/>
      <c r="W313" s="475"/>
      <c r="X313" s="474"/>
      <c r="Y313" s="475"/>
      <c r="Z313" s="474"/>
      <c r="AA313" s="475"/>
      <c r="AB313" s="474"/>
      <c r="AE313" s="696"/>
      <c r="AF313" s="696"/>
      <c r="AG313" s="696"/>
    </row>
    <row r="314" spans="1:41" ht="16.5" customHeight="1">
      <c r="A314" s="469"/>
      <c r="B314" s="446"/>
      <c r="C314" s="475"/>
      <c r="D314" s="446"/>
      <c r="E314" s="475"/>
      <c r="F314" s="446"/>
      <c r="G314" s="475"/>
      <c r="H314" s="446"/>
      <c r="I314" s="475"/>
      <c r="J314" s="446"/>
      <c r="K314" s="475"/>
      <c r="L314" s="446"/>
      <c r="M314" s="475"/>
      <c r="N314" s="446"/>
      <c r="O314" s="475"/>
      <c r="P314" s="446"/>
      <c r="R314" s="446"/>
      <c r="S314" s="475"/>
      <c r="T314" s="446"/>
      <c r="U314" s="475"/>
      <c r="V314" s="446"/>
      <c r="W314" s="475"/>
      <c r="X314" s="446"/>
      <c r="Y314" s="475"/>
      <c r="Z314" s="446"/>
      <c r="AA314" s="475"/>
      <c r="AB314" s="446"/>
      <c r="AE314" s="477"/>
      <c r="AF314" s="477"/>
      <c r="AG314" s="477"/>
    </row>
    <row r="315" spans="1:41" ht="42.75" customHeight="1">
      <c r="A315" s="469"/>
      <c r="B315" s="454"/>
      <c r="C315" s="479"/>
      <c r="D315" s="454"/>
      <c r="E315" s="479"/>
      <c r="F315" s="454"/>
      <c r="G315" s="479"/>
      <c r="H315" s="454"/>
      <c r="I315" s="479"/>
      <c r="J315" s="454"/>
      <c r="K315" s="479"/>
      <c r="L315" s="454"/>
      <c r="M315" s="479"/>
      <c r="N315" s="454"/>
      <c r="O315" s="475"/>
      <c r="P315" s="454"/>
      <c r="R315" s="454"/>
      <c r="S315" s="479"/>
      <c r="T315" s="454"/>
      <c r="U315" s="479"/>
      <c r="V315" s="454"/>
      <c r="W315" s="479"/>
      <c r="X315" s="454"/>
      <c r="Y315" s="479"/>
      <c r="Z315" s="454"/>
      <c r="AA315" s="479"/>
      <c r="AB315" s="454"/>
      <c r="AE315" s="477"/>
      <c r="AF315" s="477"/>
      <c r="AG315" s="477"/>
    </row>
    <row r="316" spans="1:41" ht="16.5" customHeight="1">
      <c r="A316" s="469"/>
      <c r="B316" s="474"/>
      <c r="D316" s="474"/>
      <c r="F316" s="474"/>
      <c r="H316" s="474"/>
      <c r="J316" s="474"/>
      <c r="L316" s="474"/>
      <c r="N316" s="474"/>
      <c r="P316" s="474"/>
      <c r="R316" s="474"/>
      <c r="T316" s="474"/>
      <c r="V316" s="474"/>
      <c r="X316" s="474"/>
      <c r="Z316" s="474"/>
      <c r="AB316" s="474"/>
      <c r="AE316" s="477"/>
      <c r="AF316" s="477"/>
      <c r="AG316" s="477"/>
    </row>
    <row r="317" spans="1:41">
      <c r="A317" s="469"/>
      <c r="B317" s="452"/>
      <c r="C317" s="452"/>
      <c r="D317" s="452"/>
      <c r="E317" s="452"/>
      <c r="F317" s="452"/>
      <c r="G317" s="452"/>
      <c r="H317" s="452"/>
      <c r="I317" s="452"/>
      <c r="J317" s="452"/>
      <c r="K317" s="452"/>
      <c r="L317" s="452"/>
      <c r="M317" s="452"/>
      <c r="N317" s="452"/>
      <c r="O317" s="475"/>
      <c r="P317" s="475"/>
      <c r="AE317" s="477"/>
      <c r="AF317" s="477"/>
      <c r="AG317" s="477"/>
    </row>
    <row r="319" spans="1:41">
      <c r="AE319" s="477"/>
      <c r="AF319" s="477"/>
      <c r="AG319" s="477"/>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4641" priority="459" operator="equal">
      <formula>0</formula>
    </cfRule>
  </conditionalFormatting>
  <conditionalFormatting sqref="A171">
    <cfRule type="cellIs" dxfId="4640" priority="409" operator="equal">
      <formula>0</formula>
    </cfRule>
  </conditionalFormatting>
  <conditionalFormatting sqref="A188 D188 F188 H188 J188 L188 N188 P188 R188 T188 V188 X188 Z188 AB188">
    <cfRule type="cellIs" dxfId="4639" priority="1453" operator="equal">
      <formula>0</formula>
    </cfRule>
  </conditionalFormatting>
  <conditionalFormatting sqref="B20">
    <cfRule type="cellIs" dxfId="4638" priority="1517" operator="equal">
      <formula>"U/P"</formula>
    </cfRule>
    <cfRule type="cellIs" dxfId="4637" priority="1518" operator="equal">
      <formula>"F"</formula>
    </cfRule>
    <cfRule type="cellIs" dxfId="4636" priority="1519" operator="equal">
      <formula>"F"</formula>
    </cfRule>
  </conditionalFormatting>
  <conditionalFormatting sqref="B27">
    <cfRule type="cellIs" dxfId="4635" priority="1414" operator="equal">
      <formula>"F"</formula>
    </cfRule>
    <cfRule type="cellIs" dxfId="4634" priority="1413" operator="equal">
      <formula>"U/P"</formula>
    </cfRule>
    <cfRule type="cellIs" dxfId="4633" priority="1415" operator="equal">
      <formula>"F"</formula>
    </cfRule>
  </conditionalFormatting>
  <conditionalFormatting sqref="B34">
    <cfRule type="cellIs" dxfId="4632" priority="1373" operator="equal">
      <formula>"F"</formula>
    </cfRule>
    <cfRule type="cellIs" dxfId="4631" priority="1372" operator="equal">
      <formula>"F"</formula>
    </cfRule>
    <cfRule type="cellIs" dxfId="4630" priority="1371" operator="equal">
      <formula>"U/P"</formula>
    </cfRule>
  </conditionalFormatting>
  <conditionalFormatting sqref="B41">
    <cfRule type="cellIs" dxfId="4629" priority="1333" operator="equal">
      <formula>"F"</formula>
    </cfRule>
    <cfRule type="cellIs" dxfId="4628" priority="1334" operator="equal">
      <formula>"F"</formula>
    </cfRule>
    <cfRule type="cellIs" dxfId="4627" priority="1332" operator="equal">
      <formula>"U/P"</formula>
    </cfRule>
  </conditionalFormatting>
  <conditionalFormatting sqref="B48">
    <cfRule type="cellIs" dxfId="4626" priority="1292" operator="equal">
      <formula>"F"</formula>
    </cfRule>
    <cfRule type="cellIs" dxfId="4625" priority="1291" operator="equal">
      <formula>"F"</formula>
    </cfRule>
    <cfRule type="cellIs" dxfId="4624" priority="1290" operator="equal">
      <formula>"U/P"</formula>
    </cfRule>
  </conditionalFormatting>
  <conditionalFormatting sqref="B51 D51 F51 H51 J51 L51 N51 P51 R51 T51 V51 X51 Z51 AB51">
    <cfRule type="cellIs" dxfId="4623" priority="1513" operator="equal">
      <formula>0</formula>
    </cfRule>
  </conditionalFormatting>
  <conditionalFormatting sqref="B57">
    <cfRule type="cellIs" dxfId="4622" priority="1250" operator="equal">
      <formula>"F"</formula>
    </cfRule>
    <cfRule type="cellIs" dxfId="4621" priority="1249" operator="equal">
      <formula>"F"</formula>
    </cfRule>
    <cfRule type="cellIs" dxfId="4620" priority="1248" operator="equal">
      <formula>"U/P"</formula>
    </cfRule>
  </conditionalFormatting>
  <conditionalFormatting sqref="B60 D60 F60 N60 P60 R60 T60 V60 X60 Z60 AB60">
    <cfRule type="cellIs" dxfId="4619" priority="1512" operator="equal">
      <formula>0</formula>
    </cfRule>
  </conditionalFormatting>
  <conditionalFormatting sqref="B65">
    <cfRule type="cellIs" dxfId="4618" priority="1208" operator="equal">
      <formula>"F"</formula>
    </cfRule>
    <cfRule type="cellIs" dxfId="4617" priority="1207" operator="equal">
      <formula>"F"</formula>
    </cfRule>
    <cfRule type="cellIs" dxfId="4616" priority="1206" operator="equal">
      <formula>"U/P"</formula>
    </cfRule>
  </conditionalFormatting>
  <conditionalFormatting sqref="B68 D68 F68 H68 J68 L68:M68 P68 R68 T68 V68 X68 Z68 AB68">
    <cfRule type="cellIs" dxfId="4615" priority="1511" operator="equal">
      <formula>0</formula>
    </cfRule>
  </conditionalFormatting>
  <conditionalFormatting sqref="B73">
    <cfRule type="cellIs" dxfId="4614" priority="1164" operator="equal">
      <formula>"U/P"</formula>
    </cfRule>
    <cfRule type="cellIs" dxfId="4613" priority="1165" operator="equal">
      <formula>"F"</formula>
    </cfRule>
    <cfRule type="cellIs" dxfId="4612" priority="1166" operator="equal">
      <formula>"F"</formula>
    </cfRule>
  </conditionalFormatting>
  <conditionalFormatting sqref="B82">
    <cfRule type="cellIs" dxfId="4611" priority="1122" operator="equal">
      <formula>"U/P"</formula>
    </cfRule>
    <cfRule type="cellIs" dxfId="4610" priority="1123" operator="equal">
      <formula>"F"</formula>
    </cfRule>
    <cfRule type="cellIs" dxfId="4609" priority="1124" operator="equal">
      <formula>"F"</formula>
    </cfRule>
  </conditionalFormatting>
  <conditionalFormatting sqref="B86 D86 F86 H86 J86 L86 N86 P86 R86 T86 V86 X86 Z86 AB86">
    <cfRule type="cellIs" dxfId="4608" priority="1501" operator="equal">
      <formula>0</formula>
    </cfRule>
  </conditionalFormatting>
  <conditionalFormatting sqref="B90">
    <cfRule type="cellIs" dxfId="4607" priority="1087" operator="equal">
      <formula>"F"</formula>
    </cfRule>
    <cfRule type="cellIs" dxfId="4606" priority="1088" operator="equal">
      <formula>"F"</formula>
    </cfRule>
    <cfRule type="cellIs" dxfId="4605" priority="1086" operator="equal">
      <formula>"U/P"</formula>
    </cfRule>
  </conditionalFormatting>
  <conditionalFormatting sqref="B94 D94 F94 H94 J94 L94 N94 P94 R94 T94 V94 X94 Z94 AB94">
    <cfRule type="cellIs" dxfId="4604" priority="1500" operator="equal">
      <formula>0</formula>
    </cfRule>
  </conditionalFormatting>
  <conditionalFormatting sqref="B99">
    <cfRule type="cellIs" dxfId="4603" priority="1044" operator="equal">
      <formula>"U/P"</formula>
    </cfRule>
    <cfRule type="cellIs" dxfId="4602" priority="1045" operator="equal">
      <formula>"F"</formula>
    </cfRule>
    <cfRule type="cellIs" dxfId="4601" priority="1046" operator="equal">
      <formula>"F"</formula>
    </cfRule>
  </conditionalFormatting>
  <conditionalFormatting sqref="B103 D103 F103 H103 J103 L103 N103 P103 R103 T103 V103 X103 Z103 AB103">
    <cfRule type="cellIs" dxfId="4600" priority="1499" operator="equal">
      <formula>0</formula>
    </cfRule>
  </conditionalFormatting>
  <conditionalFormatting sqref="B107">
    <cfRule type="cellIs" dxfId="4599" priority="1007" operator="equal">
      <formula>"F"</formula>
    </cfRule>
    <cfRule type="cellIs" dxfId="4598" priority="1006" operator="equal">
      <formula>"F"</formula>
    </cfRule>
    <cfRule type="cellIs" dxfId="4597" priority="1005" operator="equal">
      <formula>"U/P"</formula>
    </cfRule>
  </conditionalFormatting>
  <conditionalFormatting sqref="B110 D110 F110 H110 J110 L110 N110 P110 T110 AB110">
    <cfRule type="cellIs" dxfId="4596" priority="1498" operator="equal">
      <formula>0</formula>
    </cfRule>
  </conditionalFormatting>
  <conditionalFormatting sqref="B115">
    <cfRule type="cellIs" dxfId="4595" priority="979" operator="equal">
      <formula>"F"</formula>
    </cfRule>
    <cfRule type="cellIs" dxfId="4594" priority="980" operator="equal">
      <formula>"F"</formula>
    </cfRule>
    <cfRule type="cellIs" dxfId="4593" priority="978" operator="equal">
      <formula>"U/P"</formula>
    </cfRule>
  </conditionalFormatting>
  <conditionalFormatting sqref="B123">
    <cfRule type="cellIs" dxfId="4592" priority="936" operator="equal">
      <formula>"U/P"</formula>
    </cfRule>
    <cfRule type="cellIs" dxfId="4591" priority="937" operator="equal">
      <formula>"F"</formula>
    </cfRule>
    <cfRule type="cellIs" dxfId="4590" priority="938" operator="equal">
      <formula>"F"</formula>
    </cfRule>
  </conditionalFormatting>
  <conditionalFormatting sqref="B132">
    <cfRule type="cellIs" dxfId="4589" priority="909" operator="equal">
      <formula>"U/P"</formula>
    </cfRule>
    <cfRule type="cellIs" dxfId="4588" priority="911" operator="equal">
      <formula>"F"</formula>
    </cfRule>
    <cfRule type="cellIs" dxfId="4587" priority="910" operator="equal">
      <formula>"F"</formula>
    </cfRule>
  </conditionalFormatting>
  <conditionalFormatting sqref="B135 D135 F135 H135 J135 L135 N135 P135 R135 T135 V135 X135 Z135 AB135">
    <cfRule type="cellIs" dxfId="4586" priority="1476" operator="equal">
      <formula>0</formula>
    </cfRule>
  </conditionalFormatting>
  <conditionalFormatting sqref="B141">
    <cfRule type="cellIs" dxfId="4585" priority="1486" operator="equal">
      <formula>"U/P"</formula>
    </cfRule>
    <cfRule type="cellIs" dxfId="4584" priority="1487" operator="equal">
      <formula>"F"</formula>
    </cfRule>
    <cfRule type="cellIs" dxfId="4583" priority="1488" operator="equal">
      <formula>"F"</formula>
    </cfRule>
  </conditionalFormatting>
  <conditionalFormatting sqref="B150">
    <cfRule type="cellIs" dxfId="4582" priority="886" operator="equal">
      <formula>"F"</formula>
    </cfRule>
    <cfRule type="cellIs" dxfId="4581" priority="887" operator="equal">
      <formula>"F"</formula>
    </cfRule>
    <cfRule type="cellIs" dxfId="4580" priority="885" operator="equal">
      <formula>"U/P"</formula>
    </cfRule>
  </conditionalFormatting>
  <conditionalFormatting sqref="B153 D153 F153 H153 J153 L153 N153 P153 R153 T153 V153 X153 Z153 AB153">
    <cfRule type="cellIs" dxfId="4579" priority="1475" operator="equal">
      <formula>0</formula>
    </cfRule>
  </conditionalFormatting>
  <conditionalFormatting sqref="B159">
    <cfRule type="cellIs" dxfId="4578" priority="852" operator="equal">
      <formula>"U/P"</formula>
    </cfRule>
    <cfRule type="cellIs" dxfId="4577" priority="854" operator="equal">
      <formula>"F"</formula>
    </cfRule>
    <cfRule type="cellIs" dxfId="4576" priority="853" operator="equal">
      <formula>"F"</formula>
    </cfRule>
  </conditionalFormatting>
  <conditionalFormatting sqref="B162 D162 F162 H162 J162 L162 N162 P162 R162 T162 V162 X162 Z162 AB162 B164 D164 F164 H164 J164 L164 N164 P164 R164 T164 V164 X164 Z164 AB164">
    <cfRule type="cellIs" dxfId="4575" priority="1474" operator="equal">
      <formula>0</formula>
    </cfRule>
  </conditionalFormatting>
  <conditionalFormatting sqref="B168">
    <cfRule type="cellIs" dxfId="4574" priority="30" operator="equal">
      <formula>"F"</formula>
    </cfRule>
    <cfRule type="cellIs" dxfId="4573" priority="29" operator="equal">
      <formula>"F"</formula>
    </cfRule>
    <cfRule type="cellIs" dxfId="4572" priority="28" operator="equal">
      <formula>"U/P"</formula>
    </cfRule>
  </conditionalFormatting>
  <conditionalFormatting sqref="B176">
    <cfRule type="cellIs" dxfId="4571" priority="789" operator="equal">
      <formula>"U/P"</formula>
    </cfRule>
    <cfRule type="cellIs" dxfId="4570" priority="791" operator="equal">
      <formula>"F"</formula>
    </cfRule>
    <cfRule type="cellIs" dxfId="4569" priority="790" operator="equal">
      <formula>"F"</formula>
    </cfRule>
  </conditionalFormatting>
  <conditionalFormatting sqref="B180 D180 F180 H180 J180 L180 N180 P180 R180 T180 V180 X180 Z180 AB180">
    <cfRule type="cellIs" dxfId="4568" priority="1472" operator="equal">
      <formula>0</formula>
    </cfRule>
  </conditionalFormatting>
  <conditionalFormatting sqref="B185">
    <cfRule type="cellIs" dxfId="4567" priority="276" operator="equal">
      <formula>"F"</formula>
    </cfRule>
    <cfRule type="cellIs" dxfId="4566" priority="275" operator="equal">
      <formula>"F"</formula>
    </cfRule>
    <cfRule type="cellIs" dxfId="4565" priority="274" operator="equal">
      <formula>"U/P"</formula>
    </cfRule>
  </conditionalFormatting>
  <conditionalFormatting sqref="B194">
    <cfRule type="cellIs" dxfId="4564" priority="159" operator="equal">
      <formula>"F"</formula>
    </cfRule>
    <cfRule type="cellIs" dxfId="4563" priority="157" operator="equal">
      <formula>"U/P"</formula>
    </cfRule>
    <cfRule type="cellIs" dxfId="4562" priority="158" operator="equal">
      <formula>"F"</formula>
    </cfRule>
  </conditionalFormatting>
  <conditionalFormatting sqref="B206 D206 F206 H206 J206 L206 N206 P206 R206 T206 V206 X206 Z206 AB206">
    <cfRule type="cellIs" dxfId="4561" priority="1452" operator="equal">
      <formula>0</formula>
    </cfRule>
  </conditionalFormatting>
  <conditionalFormatting sqref="B210">
    <cfRule type="cellIs" dxfId="4560" priority="1458" operator="equal">
      <formula>"F"</formula>
    </cfRule>
    <cfRule type="cellIs" dxfId="4559" priority="1457" operator="equal">
      <formula>"U/P"</formula>
    </cfRule>
    <cfRule type="cellIs" dxfId="4558" priority="1459" operator="equal">
      <formula>"F"</formula>
    </cfRule>
  </conditionalFormatting>
  <conditionalFormatting sqref="B218">
    <cfRule type="cellIs" dxfId="4557" priority="151" operator="equal">
      <formula>"U/P"</formula>
    </cfRule>
    <cfRule type="cellIs" dxfId="4556" priority="152" operator="equal">
      <formula>"F"</formula>
    </cfRule>
    <cfRule type="cellIs" dxfId="4555" priority="153" operator="equal">
      <formula>"F"</formula>
    </cfRule>
  </conditionalFormatting>
  <conditionalFormatting sqref="B226">
    <cfRule type="cellIs" dxfId="4554" priority="723" operator="equal">
      <formula>"U/P"</formula>
    </cfRule>
    <cfRule type="cellIs" dxfId="4553" priority="724" operator="equal">
      <formula>"F"</formula>
    </cfRule>
    <cfRule type="cellIs" dxfId="4552" priority="725" operator="equal">
      <formula>"F"</formula>
    </cfRule>
  </conditionalFormatting>
  <conditionalFormatting sqref="B235">
    <cfRule type="cellIs" dxfId="4551" priority="702" operator="equal">
      <formula>"U/P"</formula>
    </cfRule>
    <cfRule type="cellIs" dxfId="4550" priority="703" operator="equal">
      <formula>"F"</formula>
    </cfRule>
    <cfRule type="cellIs" dxfId="4549" priority="704" operator="equal">
      <formula>"F"</formula>
    </cfRule>
  </conditionalFormatting>
  <conditionalFormatting sqref="B244">
    <cfRule type="cellIs" dxfId="4548" priority="465" operator="equal">
      <formula>"U/P"</formula>
    </cfRule>
    <cfRule type="cellIs" dxfId="4547" priority="466" operator="equal">
      <formula>"F"</formula>
    </cfRule>
    <cfRule type="cellIs" dxfId="4546" priority="467" operator="equal">
      <formula>"F"</formula>
    </cfRule>
  </conditionalFormatting>
  <conditionalFormatting sqref="B252">
    <cfRule type="cellIs" dxfId="4545" priority="50" operator="equal">
      <formula>"F"</formula>
    </cfRule>
    <cfRule type="cellIs" dxfId="4544" priority="51" operator="equal">
      <formula>"F"</formula>
    </cfRule>
    <cfRule type="cellIs" dxfId="4543" priority="49" operator="equal">
      <formula>"U/P"</formula>
    </cfRule>
  </conditionalFormatting>
  <conditionalFormatting sqref="B260">
    <cfRule type="cellIs" dxfId="4542" priority="63" operator="equal">
      <formula>"F"</formula>
    </cfRule>
    <cfRule type="cellIs" dxfId="4541" priority="61" operator="equal">
      <formula>"U/P"</formula>
    </cfRule>
    <cfRule type="cellIs" dxfId="4540" priority="62" operator="equal">
      <formula>"F"</formula>
    </cfRule>
  </conditionalFormatting>
  <conditionalFormatting sqref="B268">
    <cfRule type="cellIs" dxfId="4539" priority="337" operator="equal">
      <formula>"U/P"</formula>
    </cfRule>
    <cfRule type="cellIs" dxfId="4538" priority="339" operator="equal">
      <formula>"F"</formula>
    </cfRule>
    <cfRule type="cellIs" dxfId="4537" priority="338" operator="equal">
      <formula>"F"</formula>
    </cfRule>
  </conditionalFormatting>
  <conditionalFormatting sqref="B276">
    <cfRule type="cellIs" dxfId="4536" priority="96" operator="equal">
      <formula>"F"</formula>
    </cfRule>
    <cfRule type="cellIs" dxfId="4535" priority="94" operator="equal">
      <formula>"U/P"</formula>
    </cfRule>
    <cfRule type="cellIs" dxfId="4534" priority="95" operator="equal">
      <formula>"F"</formula>
    </cfRule>
  </conditionalFormatting>
  <conditionalFormatting sqref="B284">
    <cfRule type="cellIs" dxfId="4533" priority="293" operator="equal">
      <formula>"F"</formula>
    </cfRule>
    <cfRule type="cellIs" dxfId="4532" priority="292" operator="equal">
      <formula>"U/P"</formula>
    </cfRule>
    <cfRule type="cellIs" dxfId="4531" priority="294" operator="equal">
      <formula>"F"</formula>
    </cfRule>
  </conditionalFormatting>
  <conditionalFormatting sqref="B292">
    <cfRule type="cellIs" dxfId="4530" priority="382" operator="equal">
      <formula>"U/P"</formula>
    </cfRule>
    <cfRule type="cellIs" dxfId="4529" priority="384" operator="equal">
      <formula>"F"</formula>
    </cfRule>
    <cfRule type="cellIs" dxfId="4528" priority="383" operator="equal">
      <formula>"F"</formula>
    </cfRule>
  </conditionalFormatting>
  <conditionalFormatting sqref="B300">
    <cfRule type="cellIs" dxfId="4527" priority="385" operator="equal">
      <formula>"U/P"</formula>
    </cfRule>
    <cfRule type="cellIs" dxfId="4526" priority="387" operator="equal">
      <formula>"F"</formula>
    </cfRule>
    <cfRule type="cellIs" dxfId="4525" priority="386" operator="equal">
      <formula>"F"</formula>
    </cfRule>
  </conditionalFormatting>
  <conditionalFormatting sqref="B308">
    <cfRule type="cellIs" dxfId="4524" priority="10" operator="equal">
      <formula>"U/P"</formula>
    </cfRule>
    <cfRule type="cellIs" dxfId="4523" priority="11" operator="equal">
      <formula>"F"</formula>
    </cfRule>
    <cfRule type="cellIs" dxfId="4522" priority="12" operator="equal">
      <formula>"F"</formula>
    </cfRule>
  </conditionalFormatting>
  <conditionalFormatting sqref="B315">
    <cfRule type="cellIs" dxfId="4521" priority="604" operator="equal">
      <formula>"F"</formula>
    </cfRule>
    <cfRule type="cellIs" dxfId="4520" priority="603" operator="equal">
      <formula>"U/P"</formula>
    </cfRule>
    <cfRule type="cellIs" dxfId="4519" priority="605" operator="equal">
      <formula>"F"</formula>
    </cfRule>
  </conditionalFormatting>
  <conditionalFormatting sqref="D20">
    <cfRule type="cellIs" dxfId="4518" priority="1516" operator="equal">
      <formula>"F"</formula>
    </cfRule>
    <cfRule type="cellIs" dxfId="4517" priority="1515" operator="equal">
      <formula>"F"</formula>
    </cfRule>
    <cfRule type="cellIs" dxfId="4516" priority="1514" operator="equal">
      <formula>"U/P"</formula>
    </cfRule>
  </conditionalFormatting>
  <conditionalFormatting sqref="D27">
    <cfRule type="cellIs" dxfId="4515" priority="1410" operator="equal">
      <formula>"U/P"</formula>
    </cfRule>
    <cfRule type="cellIs" dxfId="4514" priority="1411" operator="equal">
      <formula>"F"</formula>
    </cfRule>
    <cfRule type="cellIs" dxfId="4513" priority="1412" operator="equal">
      <formula>"F"</formula>
    </cfRule>
  </conditionalFormatting>
  <conditionalFormatting sqref="D41">
    <cfRule type="cellIs" dxfId="4512" priority="1329" operator="equal">
      <formula>"U/P"</formula>
    </cfRule>
    <cfRule type="cellIs" dxfId="4511" priority="1331" operator="equal">
      <formula>"F"</formula>
    </cfRule>
    <cfRule type="cellIs" dxfId="4510" priority="1330" operator="equal">
      <formula>"F"</formula>
    </cfRule>
  </conditionalFormatting>
  <conditionalFormatting sqref="D48">
    <cfRule type="cellIs" dxfId="4509" priority="1287" operator="equal">
      <formula>"U/P"</formula>
    </cfRule>
    <cfRule type="cellIs" dxfId="4508" priority="1289" operator="equal">
      <formula>"F"</formula>
    </cfRule>
    <cfRule type="cellIs" dxfId="4507" priority="1288" operator="equal">
      <formula>"F"</formula>
    </cfRule>
  </conditionalFormatting>
  <conditionalFormatting sqref="D57">
    <cfRule type="cellIs" dxfId="4506" priority="1245" operator="equal">
      <formula>"U/P"</formula>
    </cfRule>
    <cfRule type="cellIs" dxfId="4505" priority="1246" operator="equal">
      <formula>"F"</formula>
    </cfRule>
    <cfRule type="cellIs" dxfId="4504" priority="1247" operator="equal">
      <formula>"F"</formula>
    </cfRule>
  </conditionalFormatting>
  <conditionalFormatting sqref="D65">
    <cfRule type="cellIs" dxfId="4503" priority="1205" operator="equal">
      <formula>"F"</formula>
    </cfRule>
    <cfRule type="cellIs" dxfId="4502" priority="1204" operator="equal">
      <formula>"F"</formula>
    </cfRule>
    <cfRule type="cellIs" dxfId="4501" priority="1203" operator="equal">
      <formula>"U/P"</formula>
    </cfRule>
  </conditionalFormatting>
  <conditionalFormatting sqref="D73">
    <cfRule type="cellIs" dxfId="4500" priority="1162" operator="equal">
      <formula>"F"</formula>
    </cfRule>
    <cfRule type="cellIs" dxfId="4499" priority="1163" operator="equal">
      <formula>"F"</formula>
    </cfRule>
    <cfRule type="cellIs" dxfId="4498" priority="1161" operator="equal">
      <formula>"U/P"</formula>
    </cfRule>
  </conditionalFormatting>
  <conditionalFormatting sqref="D82">
    <cfRule type="cellIs" dxfId="4497" priority="1121" operator="equal">
      <formula>"F"</formula>
    </cfRule>
    <cfRule type="cellIs" dxfId="4496" priority="1119" operator="equal">
      <formula>"U/P"</formula>
    </cfRule>
    <cfRule type="cellIs" dxfId="4495" priority="1120" operator="equal">
      <formula>"F"</formula>
    </cfRule>
  </conditionalFormatting>
  <conditionalFormatting sqref="D90">
    <cfRule type="cellIs" dxfId="4494" priority="1085" operator="equal">
      <formula>"F"</formula>
    </cfRule>
    <cfRule type="cellIs" dxfId="4493" priority="1084" operator="equal">
      <formula>"F"</formula>
    </cfRule>
    <cfRule type="cellIs" dxfId="4492" priority="1083" operator="equal">
      <formula>"U/P"</formula>
    </cfRule>
  </conditionalFormatting>
  <conditionalFormatting sqref="D99">
    <cfRule type="cellIs" dxfId="4491" priority="1043" operator="equal">
      <formula>"F"</formula>
    </cfRule>
    <cfRule type="cellIs" dxfId="4490" priority="1042" operator="equal">
      <formula>"F"</formula>
    </cfRule>
    <cfRule type="cellIs" dxfId="4489" priority="1041" operator="equal">
      <formula>"U/P"</formula>
    </cfRule>
  </conditionalFormatting>
  <conditionalFormatting sqref="D107">
    <cfRule type="cellIs" dxfId="4488" priority="1004" operator="equal">
      <formula>"F"</formula>
    </cfRule>
    <cfRule type="cellIs" dxfId="4487" priority="1003" operator="equal">
      <formula>"F"</formula>
    </cfRule>
    <cfRule type="cellIs" dxfId="4486" priority="1002" operator="equal">
      <formula>"U/P"</formula>
    </cfRule>
  </conditionalFormatting>
  <conditionalFormatting sqref="D115">
    <cfRule type="cellIs" dxfId="4485" priority="977" operator="equal">
      <formula>"F"</formula>
    </cfRule>
    <cfRule type="cellIs" dxfId="4484" priority="975" operator="equal">
      <formula>"U/P"</formula>
    </cfRule>
    <cfRule type="cellIs" dxfId="4483" priority="976" operator="equal">
      <formula>"F"</formula>
    </cfRule>
  </conditionalFormatting>
  <conditionalFormatting sqref="D118">
    <cfRule type="cellIs" dxfId="4482" priority="458" operator="equal">
      <formula>0</formula>
    </cfRule>
  </conditionalFormatting>
  <conditionalFormatting sqref="D123">
    <cfRule type="cellIs" dxfId="4481" priority="1504" operator="equal">
      <formula>"F"</formula>
    </cfRule>
    <cfRule type="cellIs" dxfId="4480" priority="1503" operator="equal">
      <formula>"F"</formula>
    </cfRule>
    <cfRule type="cellIs" dxfId="4479" priority="1502" operator="equal">
      <formula>"U/P"</formula>
    </cfRule>
  </conditionalFormatting>
  <conditionalFormatting sqref="D132">
    <cfRule type="cellIs" dxfId="4478" priority="908" operator="equal">
      <formula>"F"</formula>
    </cfRule>
    <cfRule type="cellIs" dxfId="4477" priority="907" operator="equal">
      <formula>"F"</formula>
    </cfRule>
    <cfRule type="cellIs" dxfId="4476" priority="906" operator="equal">
      <formula>"U/P"</formula>
    </cfRule>
  </conditionalFormatting>
  <conditionalFormatting sqref="D141">
    <cfRule type="cellIs" dxfId="4475" priority="726" operator="equal">
      <formula>"U/P"</formula>
    </cfRule>
    <cfRule type="cellIs" dxfId="4474" priority="727" operator="equal">
      <formula>"F"</formula>
    </cfRule>
    <cfRule type="cellIs" dxfId="4473" priority="728" operator="equal">
      <formula>"F"</formula>
    </cfRule>
  </conditionalFormatting>
  <conditionalFormatting sqref="D150">
    <cfRule type="cellIs" dxfId="4472" priority="92" operator="equal">
      <formula>"F"</formula>
    </cfRule>
    <cfRule type="cellIs" dxfId="4471" priority="93" operator="equal">
      <formula>"F"</formula>
    </cfRule>
    <cfRule type="cellIs" dxfId="4470" priority="91" operator="equal">
      <formula>"U/P"</formula>
    </cfRule>
  </conditionalFormatting>
  <conditionalFormatting sqref="D159">
    <cfRule type="cellIs" dxfId="4469" priority="849" operator="equal">
      <formula>"U/P"</formula>
    </cfRule>
    <cfRule type="cellIs" dxfId="4468" priority="850" operator="equal">
      <formula>"F"</formula>
    </cfRule>
    <cfRule type="cellIs" dxfId="4467" priority="851" operator="equal">
      <formula>"F"</formula>
    </cfRule>
  </conditionalFormatting>
  <conditionalFormatting sqref="D168">
    <cfRule type="cellIs" dxfId="4466" priority="407" operator="equal">
      <formula>"F"</formula>
    </cfRule>
    <cfRule type="cellIs" dxfId="4465" priority="406" operator="equal">
      <formula>"U/P"</formula>
    </cfRule>
    <cfRule type="cellIs" dxfId="4464" priority="408" operator="equal">
      <formula>"F"</formula>
    </cfRule>
  </conditionalFormatting>
  <conditionalFormatting sqref="D176">
    <cfRule type="cellIs" dxfId="4463" priority="787" operator="equal">
      <formula>"F"</formula>
    </cfRule>
    <cfRule type="cellIs" dxfId="4462" priority="786" operator="equal">
      <formula>"U/P"</formula>
    </cfRule>
    <cfRule type="cellIs" dxfId="4461" priority="788" operator="equal">
      <formula>"F"</formula>
    </cfRule>
  </conditionalFormatting>
  <conditionalFormatting sqref="D185">
    <cfRule type="cellIs" dxfId="4460" priority="381" operator="equal">
      <formula>"F"</formula>
    </cfRule>
    <cfRule type="cellIs" dxfId="4459" priority="379" operator="equal">
      <formula>"U/P"</formula>
    </cfRule>
    <cfRule type="cellIs" dxfId="4458" priority="380" operator="equal">
      <formula>"F"</formula>
    </cfRule>
  </conditionalFormatting>
  <conditionalFormatting sqref="D194">
    <cfRule type="cellIs" dxfId="4457" priority="72" operator="equal">
      <formula>"F"</formula>
    </cfRule>
    <cfRule type="cellIs" dxfId="4456" priority="70" operator="equal">
      <formula>"U/P"</formula>
    </cfRule>
    <cfRule type="cellIs" dxfId="4455" priority="71" operator="equal">
      <formula>"F"</formula>
    </cfRule>
  </conditionalFormatting>
  <conditionalFormatting sqref="D202">
    <cfRule type="cellIs" dxfId="4454" priority="560" operator="equal">
      <formula>"F"</formula>
    </cfRule>
    <cfRule type="cellIs" dxfId="4453" priority="559" operator="equal">
      <formula>"F"</formula>
    </cfRule>
    <cfRule type="cellIs" dxfId="4452" priority="558" operator="equal">
      <formula>"U/P"</formula>
    </cfRule>
  </conditionalFormatting>
  <conditionalFormatting sqref="D210">
    <cfRule type="cellIs" dxfId="4451" priority="514" operator="equal">
      <formula>"F"</formula>
    </cfRule>
    <cfRule type="cellIs" dxfId="4450" priority="515" operator="equal">
      <formula>"F"</formula>
    </cfRule>
    <cfRule type="cellIs" dxfId="4449" priority="513" operator="equal">
      <formula>"U/P"</formula>
    </cfRule>
  </conditionalFormatting>
  <conditionalFormatting sqref="D218">
    <cfRule type="cellIs" dxfId="4448" priority="77" operator="equal">
      <formula>"F"</formula>
    </cfRule>
    <cfRule type="cellIs" dxfId="4447" priority="78" operator="equal">
      <formula>"F"</formula>
    </cfRule>
    <cfRule type="cellIs" dxfId="4446" priority="76" operator="equal">
      <formula>"U/P"</formula>
    </cfRule>
  </conditionalFormatting>
  <conditionalFormatting sqref="D226">
    <cfRule type="cellIs" dxfId="4445" priority="720" operator="equal">
      <formula>"U/P"</formula>
    </cfRule>
    <cfRule type="cellIs" dxfId="4444" priority="721" operator="equal">
      <formula>"F"</formula>
    </cfRule>
    <cfRule type="cellIs" dxfId="4443" priority="722" operator="equal">
      <formula>"F"</formula>
    </cfRule>
  </conditionalFormatting>
  <conditionalFormatting sqref="D235">
    <cfRule type="cellIs" dxfId="4442" priority="197" operator="equal">
      <formula>"F"</formula>
    </cfRule>
    <cfRule type="cellIs" dxfId="4441" priority="196" operator="equal">
      <formula>"U/P"</formula>
    </cfRule>
    <cfRule type="cellIs" dxfId="4440" priority="198" operator="equal">
      <formula>"F"</formula>
    </cfRule>
  </conditionalFormatting>
  <conditionalFormatting sqref="D244">
    <cfRule type="cellIs" dxfId="4439" priority="550" operator="equal">
      <formula>"F"</formula>
    </cfRule>
    <cfRule type="cellIs" dxfId="4438" priority="549" operator="equal">
      <formula>"U/P"</formula>
    </cfRule>
    <cfRule type="cellIs" dxfId="4437" priority="551" operator="equal">
      <formula>"F"</formula>
    </cfRule>
  </conditionalFormatting>
  <conditionalFormatting sqref="D252">
    <cfRule type="cellIs" dxfId="4436" priority="170" operator="equal">
      <formula>"F"</formula>
    </cfRule>
    <cfRule type="cellIs" dxfId="4435" priority="171" operator="equal">
      <formula>"F"</formula>
    </cfRule>
    <cfRule type="cellIs" dxfId="4434" priority="169" operator="equal">
      <formula>"U/P"</formula>
    </cfRule>
  </conditionalFormatting>
  <conditionalFormatting sqref="D268">
    <cfRule type="cellIs" dxfId="4433" priority="244" operator="equal">
      <formula>"U/P"</formula>
    </cfRule>
    <cfRule type="cellIs" dxfId="4432" priority="245" operator="equal">
      <formula>"F"</formula>
    </cfRule>
    <cfRule type="cellIs" dxfId="4431" priority="246" operator="equal">
      <formula>"F"</formula>
    </cfRule>
  </conditionalFormatting>
  <conditionalFormatting sqref="D276">
    <cfRule type="cellIs" dxfId="4430" priority="142" operator="equal">
      <formula>"U/P"</formula>
    </cfRule>
    <cfRule type="cellIs" dxfId="4429" priority="143" operator="equal">
      <formula>"F"</formula>
    </cfRule>
    <cfRule type="cellIs" dxfId="4428" priority="144" operator="equal">
      <formula>"F"</formula>
    </cfRule>
  </conditionalFormatting>
  <conditionalFormatting sqref="D284">
    <cfRule type="cellIs" dxfId="4427" priority="259" operator="equal">
      <formula>"U/P"</formula>
    </cfRule>
    <cfRule type="cellIs" dxfId="4426" priority="260" operator="equal">
      <formula>"F"</formula>
    </cfRule>
    <cfRule type="cellIs" dxfId="4425" priority="261" operator="equal">
      <formula>"F"</formula>
    </cfRule>
  </conditionalFormatting>
  <conditionalFormatting sqref="D292">
    <cfRule type="cellIs" dxfId="4424" priority="400" operator="equal">
      <formula>"U/P"</formula>
    </cfRule>
    <cfRule type="cellIs" dxfId="4423" priority="402" operator="equal">
      <formula>"F"</formula>
    </cfRule>
    <cfRule type="cellIs" dxfId="4422" priority="401" operator="equal">
      <formula>"F"</formula>
    </cfRule>
  </conditionalFormatting>
  <conditionalFormatting sqref="D300">
    <cfRule type="cellIs" dxfId="4421" priority="374" operator="equal">
      <formula>"F"</formula>
    </cfRule>
    <cfRule type="cellIs" dxfId="4420" priority="375" operator="equal">
      <formula>"F"</formula>
    </cfRule>
    <cfRule type="cellIs" dxfId="4419" priority="373" operator="equal">
      <formula>"U/P"</formula>
    </cfRule>
  </conditionalFormatting>
  <conditionalFormatting sqref="D308">
    <cfRule type="cellIs" dxfId="4418" priority="621" operator="equal">
      <formula>"U/P"</formula>
    </cfRule>
    <cfRule type="cellIs" dxfId="4417" priority="622" operator="equal">
      <formula>"F"</formula>
    </cfRule>
    <cfRule type="cellIs" dxfId="4416" priority="623" operator="equal">
      <formula>"F"</formula>
    </cfRule>
  </conditionalFormatting>
  <conditionalFormatting sqref="D315">
    <cfRule type="cellIs" dxfId="4415" priority="596" operator="equal">
      <formula>"F"</formula>
    </cfRule>
    <cfRule type="cellIs" dxfId="4414" priority="594" operator="equal">
      <formula>"U/P"</formula>
    </cfRule>
    <cfRule type="cellIs" dxfId="4413" priority="595" operator="equal">
      <formula>"F"</formula>
    </cfRule>
  </conditionalFormatting>
  <conditionalFormatting sqref="F20">
    <cfRule type="cellIs" dxfId="4412" priority="1450" operator="equal">
      <formula>"F"</formula>
    </cfRule>
    <cfRule type="cellIs" dxfId="4411" priority="1449" operator="equal">
      <formula>"U/P"</formula>
    </cfRule>
    <cfRule type="cellIs" dxfId="4410" priority="1451" operator="equal">
      <formula>"F"</formula>
    </cfRule>
  </conditionalFormatting>
  <conditionalFormatting sqref="F27">
    <cfRule type="cellIs" dxfId="4409" priority="1409" operator="equal">
      <formula>"F"</formula>
    </cfRule>
    <cfRule type="cellIs" dxfId="4408" priority="1407" operator="equal">
      <formula>"U/P"</formula>
    </cfRule>
    <cfRule type="cellIs" dxfId="4407" priority="1408" operator="equal">
      <formula>"F"</formula>
    </cfRule>
  </conditionalFormatting>
  <conditionalFormatting sqref="F34">
    <cfRule type="cellIs" dxfId="4406" priority="1370" operator="equal">
      <formula>"F"</formula>
    </cfRule>
    <cfRule type="cellIs" dxfId="4405" priority="1368" operator="equal">
      <formula>"U/P"</formula>
    </cfRule>
    <cfRule type="cellIs" dxfId="4404" priority="1369" operator="equal">
      <formula>"F"</formula>
    </cfRule>
  </conditionalFormatting>
  <conditionalFormatting sqref="F41">
    <cfRule type="cellIs" dxfId="4403" priority="1326" operator="equal">
      <formula>"U/P"</formula>
    </cfRule>
    <cfRule type="cellIs" dxfId="4402" priority="1327" operator="equal">
      <formula>"F"</formula>
    </cfRule>
    <cfRule type="cellIs" dxfId="4401" priority="1328" operator="equal">
      <formula>"F"</formula>
    </cfRule>
  </conditionalFormatting>
  <conditionalFormatting sqref="F48">
    <cfRule type="cellIs" dxfId="4400" priority="1286" operator="equal">
      <formula>"F"</formula>
    </cfRule>
    <cfRule type="cellIs" dxfId="4399" priority="1284" operator="equal">
      <formula>"U/P"</formula>
    </cfRule>
    <cfRule type="cellIs" dxfId="4398" priority="1285" operator="equal">
      <formula>"F"</formula>
    </cfRule>
  </conditionalFormatting>
  <conditionalFormatting sqref="F57">
    <cfRule type="cellIs" dxfId="4397" priority="1243" operator="equal">
      <formula>"F"</formula>
    </cfRule>
    <cfRule type="cellIs" dxfId="4396" priority="1242" operator="equal">
      <formula>"U/P"</formula>
    </cfRule>
    <cfRule type="cellIs" dxfId="4395" priority="1244" operator="equal">
      <formula>"F"</formula>
    </cfRule>
  </conditionalFormatting>
  <conditionalFormatting sqref="F65">
    <cfRule type="cellIs" dxfId="4394" priority="1202" operator="equal">
      <formula>"F"</formula>
    </cfRule>
    <cfRule type="cellIs" dxfId="4393" priority="1200" operator="equal">
      <formula>"U/P"</formula>
    </cfRule>
    <cfRule type="cellIs" dxfId="4392" priority="1201" operator="equal">
      <formula>"F"</formula>
    </cfRule>
  </conditionalFormatting>
  <conditionalFormatting sqref="F73">
    <cfRule type="cellIs" dxfId="4391" priority="1159" operator="equal">
      <formula>"F"</formula>
    </cfRule>
    <cfRule type="cellIs" dxfId="4390" priority="1158" operator="equal">
      <formula>"U/P"</formula>
    </cfRule>
    <cfRule type="cellIs" dxfId="4389" priority="1160" operator="equal">
      <formula>"F"</formula>
    </cfRule>
  </conditionalFormatting>
  <conditionalFormatting sqref="F82">
    <cfRule type="cellIs" dxfId="4388" priority="319" operator="equal">
      <formula>"U/P"</formula>
    </cfRule>
    <cfRule type="cellIs" dxfId="4387" priority="321" operator="equal">
      <formula>"F"</formula>
    </cfRule>
    <cfRule type="cellIs" dxfId="4386" priority="320" operator="equal">
      <formula>"F"</formula>
    </cfRule>
  </conditionalFormatting>
  <conditionalFormatting sqref="F90">
    <cfRule type="cellIs" dxfId="4385" priority="315" operator="equal">
      <formula>"F"</formula>
    </cfRule>
    <cfRule type="cellIs" dxfId="4384" priority="313" operator="equal">
      <formula>"U/P"</formula>
    </cfRule>
    <cfRule type="cellIs" dxfId="4383" priority="314" operator="equal">
      <formula>"F"</formula>
    </cfRule>
  </conditionalFormatting>
  <conditionalFormatting sqref="F99">
    <cfRule type="cellIs" dxfId="4382" priority="1038" operator="equal">
      <formula>"U/P"</formula>
    </cfRule>
    <cfRule type="cellIs" dxfId="4381" priority="1039" operator="equal">
      <formula>"F"</formula>
    </cfRule>
    <cfRule type="cellIs" dxfId="4380" priority="1040" operator="equal">
      <formula>"F"</formula>
    </cfRule>
  </conditionalFormatting>
  <conditionalFormatting sqref="F107">
    <cfRule type="cellIs" dxfId="4379" priority="999" operator="equal">
      <formula>"U/P"</formula>
    </cfRule>
    <cfRule type="cellIs" dxfId="4378" priority="1000" operator="equal">
      <formula>"F"</formula>
    </cfRule>
    <cfRule type="cellIs" dxfId="4377" priority="1001" operator="equal">
      <formula>"F"</formula>
    </cfRule>
  </conditionalFormatting>
  <conditionalFormatting sqref="F115">
    <cfRule type="cellIs" dxfId="4376" priority="972" operator="equal">
      <formula>"U/P"</formula>
    </cfRule>
    <cfRule type="cellIs" dxfId="4375" priority="974" operator="equal">
      <formula>"F"</formula>
    </cfRule>
    <cfRule type="cellIs" dxfId="4374" priority="973" operator="equal">
      <formula>"F"</formula>
    </cfRule>
  </conditionalFormatting>
  <conditionalFormatting sqref="F123">
    <cfRule type="cellIs" dxfId="4373" priority="14" operator="equal">
      <formula>"F"</formula>
    </cfRule>
    <cfRule type="cellIs" dxfId="4372" priority="15" operator="equal">
      <formula>"F"</formula>
    </cfRule>
    <cfRule type="cellIs" dxfId="4371" priority="13" operator="equal">
      <formula>"U/P"</formula>
    </cfRule>
  </conditionalFormatting>
  <conditionalFormatting sqref="F132">
    <cfRule type="cellIs" dxfId="4370" priority="903" operator="equal">
      <formula>"U/P"</formula>
    </cfRule>
    <cfRule type="cellIs" dxfId="4369" priority="905" operator="equal">
      <formula>"F"</formula>
    </cfRule>
    <cfRule type="cellIs" dxfId="4368" priority="904" operator="equal">
      <formula>"F"</formula>
    </cfRule>
  </conditionalFormatting>
  <conditionalFormatting sqref="F141">
    <cfRule type="cellIs" dxfId="4367" priority="1483" operator="equal">
      <formula>"U/P"</formula>
    </cfRule>
    <cfRule type="cellIs" dxfId="4366" priority="1484" operator="equal">
      <formula>"F"</formula>
    </cfRule>
    <cfRule type="cellIs" dxfId="4365" priority="1485" operator="equal">
      <formula>"F"</formula>
    </cfRule>
  </conditionalFormatting>
  <conditionalFormatting sqref="F150">
    <cfRule type="cellIs" dxfId="4364" priority="884" operator="equal">
      <formula>"F"</formula>
    </cfRule>
    <cfRule type="cellIs" dxfId="4363" priority="883" operator="equal">
      <formula>"F"</formula>
    </cfRule>
    <cfRule type="cellIs" dxfId="4362" priority="882" operator="equal">
      <formula>"U/P"</formula>
    </cfRule>
  </conditionalFormatting>
  <conditionalFormatting sqref="F159">
    <cfRule type="cellIs" dxfId="4361" priority="848" operator="equal">
      <formula>"F"</formula>
    </cfRule>
    <cfRule type="cellIs" dxfId="4360" priority="846" operator="equal">
      <formula>"U/P"</formula>
    </cfRule>
    <cfRule type="cellIs" dxfId="4359" priority="847" operator="equal">
      <formula>"F"</formula>
    </cfRule>
  </conditionalFormatting>
  <conditionalFormatting sqref="F168">
    <cfRule type="cellIs" dxfId="4358" priority="412" operator="equal">
      <formula>"F"</formula>
    </cfRule>
    <cfRule type="cellIs" dxfId="4357" priority="411" operator="equal">
      <formula>"U/P"</formula>
    </cfRule>
    <cfRule type="cellIs" dxfId="4356" priority="413" operator="equal">
      <formula>"F"</formula>
    </cfRule>
  </conditionalFormatting>
  <conditionalFormatting sqref="F176">
    <cfRule type="cellIs" dxfId="4355" priority="227" operator="equal">
      <formula>"F"</formula>
    </cfRule>
    <cfRule type="cellIs" dxfId="4354" priority="226" operator="equal">
      <formula>"U/P"</formula>
    </cfRule>
    <cfRule type="cellIs" dxfId="4353" priority="228" operator="equal">
      <formula>"F"</formula>
    </cfRule>
  </conditionalFormatting>
  <conditionalFormatting sqref="F185">
    <cfRule type="cellIs" dxfId="4352" priority="1478" operator="equal">
      <formula>"F"</formula>
    </cfRule>
    <cfRule type="cellIs" dxfId="4351" priority="1479" operator="equal">
      <formula>"F"</formula>
    </cfRule>
    <cfRule type="cellIs" dxfId="4350" priority="1477" operator="equal">
      <formula>"U/P"</formula>
    </cfRule>
  </conditionalFormatting>
  <conditionalFormatting sqref="F194">
    <cfRule type="cellIs" dxfId="4349" priority="757" operator="equal">
      <formula>"F"</formula>
    </cfRule>
    <cfRule type="cellIs" dxfId="4348" priority="758" operator="equal">
      <formula>"F"</formula>
    </cfRule>
    <cfRule type="cellIs" dxfId="4347" priority="756" operator="equal">
      <formula>"U/P"</formula>
    </cfRule>
  </conditionalFormatting>
  <conditionalFormatting sqref="F202">
    <cfRule type="cellIs" dxfId="4346" priority="555" operator="equal">
      <formula>"U/P"</formula>
    </cfRule>
    <cfRule type="cellIs" dxfId="4345" priority="556" operator="equal">
      <formula>"F"</formula>
    </cfRule>
    <cfRule type="cellIs" dxfId="4344" priority="557" operator="equal">
      <formula>"F"</formula>
    </cfRule>
  </conditionalFormatting>
  <conditionalFormatting sqref="F210">
    <cfRule type="cellIs" dxfId="4343" priority="223" operator="equal">
      <formula>"U/P"</formula>
    </cfRule>
    <cfRule type="cellIs" dxfId="4342" priority="224" operator="equal">
      <formula>"F"</formula>
    </cfRule>
    <cfRule type="cellIs" dxfId="4341" priority="225" operator="equal">
      <formula>"F"</formula>
    </cfRule>
  </conditionalFormatting>
  <conditionalFormatting sqref="F218 H218 J218 N218">
    <cfRule type="cellIs" dxfId="4340" priority="353" operator="equal">
      <formula>"F"</formula>
    </cfRule>
    <cfRule type="cellIs" dxfId="4339" priority="352" operator="equal">
      <formula>"U/P"</formula>
    </cfRule>
    <cfRule type="cellIs" dxfId="4338" priority="354" operator="equal">
      <formula>"F"</formula>
    </cfRule>
  </conditionalFormatting>
  <conditionalFormatting sqref="F226">
    <cfRule type="cellIs" dxfId="4337" priority="717" operator="equal">
      <formula>"U/P"</formula>
    </cfRule>
    <cfRule type="cellIs" dxfId="4336" priority="718" operator="equal">
      <formula>"F"</formula>
    </cfRule>
    <cfRule type="cellIs" dxfId="4335" priority="719" operator="equal">
      <formula>"F"</formula>
    </cfRule>
  </conditionalFormatting>
  <conditionalFormatting sqref="F235">
    <cfRule type="cellIs" dxfId="4334" priority="701" operator="equal">
      <formula>"F"</formula>
    </cfRule>
    <cfRule type="cellIs" dxfId="4333" priority="699" operator="equal">
      <formula>"U/P"</formula>
    </cfRule>
    <cfRule type="cellIs" dxfId="4332" priority="700" operator="equal">
      <formula>"F"</formula>
    </cfRule>
  </conditionalFormatting>
  <conditionalFormatting sqref="F244">
    <cfRule type="cellIs" dxfId="4331" priority="548" operator="equal">
      <formula>"F"</formula>
    </cfRule>
    <cfRule type="cellIs" dxfId="4330" priority="546" operator="equal">
      <formula>"U/P"</formula>
    </cfRule>
    <cfRule type="cellIs" dxfId="4329" priority="547" operator="equal">
      <formula>"F"</formula>
    </cfRule>
  </conditionalFormatting>
  <conditionalFormatting sqref="F252">
    <cfRule type="cellIs" dxfId="4328" priority="238" operator="equal">
      <formula>"U/P"</formula>
    </cfRule>
    <cfRule type="cellIs" dxfId="4327" priority="239" operator="equal">
      <formula>"F"</formula>
    </cfRule>
    <cfRule type="cellIs" dxfId="4326" priority="240" operator="equal">
      <formula>"F"</formula>
    </cfRule>
  </conditionalFormatting>
  <conditionalFormatting sqref="F268">
    <cfRule type="cellIs" dxfId="4325" priority="271" operator="equal">
      <formula>"U/P"</formula>
    </cfRule>
    <cfRule type="cellIs" dxfId="4324" priority="272" operator="equal">
      <formula>"F"</formula>
    </cfRule>
    <cfRule type="cellIs" dxfId="4323" priority="273" operator="equal">
      <formula>"F"</formula>
    </cfRule>
  </conditionalFormatting>
  <conditionalFormatting sqref="F276">
    <cfRule type="cellIs" dxfId="4322" priority="111" operator="equal">
      <formula>"F"</formula>
    </cfRule>
    <cfRule type="cellIs" dxfId="4321" priority="110" operator="equal">
      <formula>"F"</formula>
    </cfRule>
    <cfRule type="cellIs" dxfId="4320" priority="109" operator="equal">
      <formula>"U/P"</formula>
    </cfRule>
  </conditionalFormatting>
  <conditionalFormatting sqref="F284">
    <cfRule type="cellIs" dxfId="4319" priority="208" operator="equal">
      <formula>"U/P"</formula>
    </cfRule>
    <cfRule type="cellIs" dxfId="4318" priority="209" operator="equal">
      <formula>"F"</formula>
    </cfRule>
    <cfRule type="cellIs" dxfId="4317" priority="210" operator="equal">
      <formula>"F"</formula>
    </cfRule>
  </conditionalFormatting>
  <conditionalFormatting sqref="F292">
    <cfRule type="cellIs" dxfId="4316" priority="434" operator="equal">
      <formula>"F"</formula>
    </cfRule>
    <cfRule type="cellIs" dxfId="4315" priority="435" operator="equal">
      <formula>"F"</formula>
    </cfRule>
    <cfRule type="cellIs" dxfId="4314" priority="433" operator="equal">
      <formula>"U/P"</formula>
    </cfRule>
  </conditionalFormatting>
  <conditionalFormatting sqref="F300">
    <cfRule type="cellIs" dxfId="4313" priority="388" operator="equal">
      <formula>"U/P"</formula>
    </cfRule>
    <cfRule type="cellIs" dxfId="4312" priority="389" operator="equal">
      <formula>"F"</formula>
    </cfRule>
    <cfRule type="cellIs" dxfId="4311" priority="390" operator="equal">
      <formula>"F"</formula>
    </cfRule>
  </conditionalFormatting>
  <conditionalFormatting sqref="F308">
    <cfRule type="cellIs" dxfId="4310" priority="9" operator="equal">
      <formula>"F"</formula>
    </cfRule>
    <cfRule type="cellIs" dxfId="4309" priority="8" operator="equal">
      <formula>"F"</formula>
    </cfRule>
    <cfRule type="cellIs" dxfId="4308" priority="7" operator="equal">
      <formula>"U/P"</formula>
    </cfRule>
  </conditionalFormatting>
  <conditionalFormatting sqref="F315">
    <cfRule type="cellIs" dxfId="4307" priority="569" operator="equal">
      <formula>"F"</formula>
    </cfRule>
    <cfRule type="cellIs" dxfId="4306" priority="568" operator="equal">
      <formula>"F"</formula>
    </cfRule>
    <cfRule type="cellIs" dxfId="4305" priority="567" operator="equal">
      <formula>"U/P"</formula>
    </cfRule>
  </conditionalFormatting>
  <conditionalFormatting sqref="H20">
    <cfRule type="cellIs" dxfId="4304" priority="1446" operator="equal">
      <formula>"U/P"</formula>
    </cfRule>
    <cfRule type="cellIs" dxfId="4303" priority="1447" operator="equal">
      <formula>"F"</formula>
    </cfRule>
    <cfRule type="cellIs" dxfId="4302" priority="1448" operator="equal">
      <formula>"F"</formula>
    </cfRule>
  </conditionalFormatting>
  <conditionalFormatting sqref="H27">
    <cfRule type="cellIs" dxfId="4301" priority="1404" operator="equal">
      <formula>"U/P"</formula>
    </cfRule>
    <cfRule type="cellIs" dxfId="4300" priority="1405" operator="equal">
      <formula>"F"</formula>
    </cfRule>
    <cfRule type="cellIs" dxfId="4299" priority="1406" operator="equal">
      <formula>"F"</formula>
    </cfRule>
  </conditionalFormatting>
  <conditionalFormatting sqref="H34">
    <cfRule type="cellIs" dxfId="4298" priority="1366" operator="equal">
      <formula>"F"</formula>
    </cfRule>
    <cfRule type="cellIs" dxfId="4297" priority="1367" operator="equal">
      <formula>"F"</formula>
    </cfRule>
    <cfRule type="cellIs" dxfId="4296" priority="1365" operator="equal">
      <formula>"U/P"</formula>
    </cfRule>
  </conditionalFormatting>
  <conditionalFormatting sqref="H41">
    <cfRule type="cellIs" dxfId="4295" priority="1324" operator="equal">
      <formula>"F"</formula>
    </cfRule>
    <cfRule type="cellIs" dxfId="4294" priority="1323" operator="equal">
      <formula>"U/P"</formula>
    </cfRule>
    <cfRule type="cellIs" dxfId="4293" priority="1325" operator="equal">
      <formula>"F"</formula>
    </cfRule>
  </conditionalFormatting>
  <conditionalFormatting sqref="H48">
    <cfRule type="cellIs" dxfId="4292" priority="1283" operator="equal">
      <formula>"F"</formula>
    </cfRule>
    <cfRule type="cellIs" dxfId="4291" priority="1281" operator="equal">
      <formula>"U/P"</formula>
    </cfRule>
    <cfRule type="cellIs" dxfId="4290" priority="1282" operator="equal">
      <formula>"F"</formula>
    </cfRule>
  </conditionalFormatting>
  <conditionalFormatting sqref="H57">
    <cfRule type="cellIs" dxfId="4289" priority="1240" operator="equal">
      <formula>"F"</formula>
    </cfRule>
    <cfRule type="cellIs" dxfId="4288" priority="1239" operator="equal">
      <formula>"U/P"</formula>
    </cfRule>
    <cfRule type="cellIs" dxfId="4287" priority="1241" operator="equal">
      <formula>"F"</formula>
    </cfRule>
  </conditionalFormatting>
  <conditionalFormatting sqref="H65">
    <cfRule type="cellIs" dxfId="4286" priority="1197" operator="equal">
      <formula>"U/P"</formula>
    </cfRule>
    <cfRule type="cellIs" dxfId="4285" priority="1198" operator="equal">
      <formula>"F"</formula>
    </cfRule>
    <cfRule type="cellIs" dxfId="4284" priority="1199" operator="equal">
      <formula>"F"</formula>
    </cfRule>
  </conditionalFormatting>
  <conditionalFormatting sqref="H73">
    <cfRule type="cellIs" dxfId="4283" priority="1156" operator="equal">
      <formula>"F"</formula>
    </cfRule>
    <cfRule type="cellIs" dxfId="4282" priority="1157" operator="equal">
      <formula>"F"</formula>
    </cfRule>
    <cfRule type="cellIs" dxfId="4281" priority="1155" operator="equal">
      <formula>"U/P"</formula>
    </cfRule>
  </conditionalFormatting>
  <conditionalFormatting sqref="H82">
    <cfRule type="cellIs" dxfId="4280" priority="1116" operator="equal">
      <formula>"U/P"</formula>
    </cfRule>
    <cfRule type="cellIs" dxfId="4279" priority="1118" operator="equal">
      <formula>"F"</formula>
    </cfRule>
    <cfRule type="cellIs" dxfId="4278" priority="1117" operator="equal">
      <formula>"F"</formula>
    </cfRule>
  </conditionalFormatting>
  <conditionalFormatting sqref="H90">
    <cfRule type="cellIs" dxfId="4277" priority="1081" operator="equal">
      <formula>"F"</formula>
    </cfRule>
    <cfRule type="cellIs" dxfId="4276" priority="1082" operator="equal">
      <formula>"F"</formula>
    </cfRule>
    <cfRule type="cellIs" dxfId="4275" priority="1080" operator="equal">
      <formula>"U/P"</formula>
    </cfRule>
  </conditionalFormatting>
  <conditionalFormatting sqref="H99">
    <cfRule type="cellIs" dxfId="4274" priority="1037" operator="equal">
      <formula>"F"</formula>
    </cfRule>
    <cfRule type="cellIs" dxfId="4273" priority="1036" operator="equal">
      <formula>"F"</formula>
    </cfRule>
    <cfRule type="cellIs" dxfId="4272" priority="1035" operator="equal">
      <formula>"U/P"</formula>
    </cfRule>
  </conditionalFormatting>
  <conditionalFormatting sqref="H115">
    <cfRule type="cellIs" dxfId="4271" priority="969" operator="equal">
      <formula>"U/P"</formula>
    </cfRule>
    <cfRule type="cellIs" dxfId="4270" priority="971" operator="equal">
      <formula>"F"</formula>
    </cfRule>
    <cfRule type="cellIs" dxfId="4269" priority="970" operator="equal">
      <formula>"F"</formula>
    </cfRule>
  </conditionalFormatting>
  <conditionalFormatting sqref="H118">
    <cfRule type="cellIs" dxfId="4268" priority="457" operator="equal">
      <formula>0</formula>
    </cfRule>
  </conditionalFormatting>
  <conditionalFormatting sqref="H123">
    <cfRule type="cellIs" dxfId="4267" priority="933" operator="equal">
      <formula>"U/P"</formula>
    </cfRule>
    <cfRule type="cellIs" dxfId="4266" priority="934" operator="equal">
      <formula>"F"</formula>
    </cfRule>
    <cfRule type="cellIs" dxfId="4265" priority="935" operator="equal">
      <formula>"F"</formula>
    </cfRule>
  </conditionalFormatting>
  <conditionalFormatting sqref="H132">
    <cfRule type="cellIs" dxfId="4264" priority="1497" operator="equal">
      <formula>"F"</formula>
    </cfRule>
    <cfRule type="cellIs" dxfId="4263" priority="1495" operator="equal">
      <formula>"U/P"</formula>
    </cfRule>
    <cfRule type="cellIs" dxfId="4262" priority="1496" operator="equal">
      <formula>"F"</formula>
    </cfRule>
  </conditionalFormatting>
  <conditionalFormatting sqref="H141">
    <cfRule type="cellIs" dxfId="4261" priority="1482" operator="equal">
      <formula>"F"</formula>
    </cfRule>
    <cfRule type="cellIs" dxfId="4260" priority="1481" operator="equal">
      <formula>"F"</formula>
    </cfRule>
    <cfRule type="cellIs" dxfId="4259" priority="1480" operator="equal">
      <formula>"U/P"</formula>
    </cfRule>
  </conditionalFormatting>
  <conditionalFormatting sqref="H150">
    <cfRule type="cellIs" dxfId="4258" priority="881" operator="equal">
      <formula>"F"</formula>
    </cfRule>
    <cfRule type="cellIs" dxfId="4257" priority="880" operator="equal">
      <formula>"F"</formula>
    </cfRule>
    <cfRule type="cellIs" dxfId="4256" priority="879" operator="equal">
      <formula>"U/P"</formula>
    </cfRule>
  </conditionalFormatting>
  <conditionalFormatting sqref="H159">
    <cfRule type="cellIs" dxfId="4255" priority="844" operator="equal">
      <formula>"F"</formula>
    </cfRule>
    <cfRule type="cellIs" dxfId="4254" priority="845" operator="equal">
      <formula>"F"</formula>
    </cfRule>
    <cfRule type="cellIs" dxfId="4253" priority="843" operator="equal">
      <formula>"U/P"</formula>
    </cfRule>
  </conditionalFormatting>
  <conditionalFormatting sqref="H168">
    <cfRule type="cellIs" dxfId="4252" priority="425" operator="equal">
      <formula>"F"</formula>
    </cfRule>
    <cfRule type="cellIs" dxfId="4251" priority="424" operator="equal">
      <formula>"F"</formula>
    </cfRule>
    <cfRule type="cellIs" dxfId="4250" priority="423" operator="equal">
      <formula>"U/P"</formula>
    </cfRule>
  </conditionalFormatting>
  <conditionalFormatting sqref="H171">
    <cfRule type="cellIs" dxfId="4249" priority="410" operator="equal">
      <formula>0</formula>
    </cfRule>
  </conditionalFormatting>
  <conditionalFormatting sqref="H176">
    <cfRule type="cellIs" dxfId="4248" priority="785" operator="equal">
      <formula>"F"</formula>
    </cfRule>
    <cfRule type="cellIs" dxfId="4247" priority="784" operator="equal">
      <formula>"F"</formula>
    </cfRule>
    <cfRule type="cellIs" dxfId="4246" priority="783" operator="equal">
      <formula>"U/P"</formula>
    </cfRule>
  </conditionalFormatting>
  <conditionalFormatting sqref="H185">
    <cfRule type="cellIs" dxfId="4245" priority="24" operator="equal">
      <formula>"F"</formula>
    </cfRule>
    <cfRule type="cellIs" dxfId="4244" priority="22" operator="equal">
      <formula>"U/P"</formula>
    </cfRule>
    <cfRule type="cellIs" dxfId="4243" priority="23" operator="equal">
      <formula>"F"</formula>
    </cfRule>
  </conditionalFormatting>
  <conditionalFormatting sqref="H194">
    <cfRule type="cellIs" dxfId="4242" priority="416" operator="equal">
      <formula>"F"</formula>
    </cfRule>
    <cfRule type="cellIs" dxfId="4241" priority="415" operator="equal">
      <formula>"F"</formula>
    </cfRule>
    <cfRule type="cellIs" dxfId="4240" priority="414" operator="equal">
      <formula>"U/P"</formula>
    </cfRule>
  </conditionalFormatting>
  <conditionalFormatting sqref="H210">
    <cfRule type="cellIs" dxfId="4239" priority="221" operator="equal">
      <formula>"F"</formula>
    </cfRule>
    <cfRule type="cellIs" dxfId="4238" priority="220" operator="equal">
      <formula>"U/P"</formula>
    </cfRule>
    <cfRule type="cellIs" dxfId="4237" priority="222" operator="equal">
      <formula>"F"</formula>
    </cfRule>
  </conditionalFormatting>
  <conditionalFormatting sqref="H226">
    <cfRule type="cellIs" dxfId="4236" priority="529" operator="equal">
      <formula>"F"</formula>
    </cfRule>
    <cfRule type="cellIs" dxfId="4235" priority="528" operator="equal">
      <formula>"U/P"</formula>
    </cfRule>
    <cfRule type="cellIs" dxfId="4234" priority="530" operator="equal">
      <formula>"F"</formula>
    </cfRule>
  </conditionalFormatting>
  <conditionalFormatting sqref="H235">
    <cfRule type="cellIs" dxfId="4233" priority="333" operator="equal">
      <formula>"F"</formula>
    </cfRule>
    <cfRule type="cellIs" dxfId="4232" priority="331" operator="equal">
      <formula>"U/P"</formula>
    </cfRule>
    <cfRule type="cellIs" dxfId="4231" priority="332" operator="equal">
      <formula>"F"</formula>
    </cfRule>
  </conditionalFormatting>
  <conditionalFormatting sqref="H244">
    <cfRule type="cellIs" dxfId="4230" priority="684" operator="equal">
      <formula>"U/P"</formula>
    </cfRule>
    <cfRule type="cellIs" dxfId="4229" priority="685" operator="equal">
      <formula>"F"</formula>
    </cfRule>
    <cfRule type="cellIs" dxfId="4228" priority="686" operator="equal">
      <formula>"F"</formula>
    </cfRule>
  </conditionalFormatting>
  <conditionalFormatting sqref="H252">
    <cfRule type="cellIs" dxfId="4227" priority="673" operator="equal">
      <formula>"F"</formula>
    </cfRule>
    <cfRule type="cellIs" dxfId="4226" priority="674" operator="equal">
      <formula>"F"</formula>
    </cfRule>
    <cfRule type="cellIs" dxfId="4225" priority="672" operator="equal">
      <formula>"U/P"</formula>
    </cfRule>
  </conditionalFormatting>
  <conditionalFormatting sqref="H260">
    <cfRule type="cellIs" dxfId="4224" priority="664" operator="equal">
      <formula>"F"</formula>
    </cfRule>
    <cfRule type="cellIs" dxfId="4223" priority="663" operator="equal">
      <formula>"U/P"</formula>
    </cfRule>
    <cfRule type="cellIs" dxfId="4222" priority="665" operator="equal">
      <formula>"F"</formula>
    </cfRule>
  </conditionalFormatting>
  <conditionalFormatting sqref="H268">
    <cfRule type="cellIs" dxfId="4221" priority="85" operator="equal">
      <formula>"U/P"</formula>
    </cfRule>
    <cfRule type="cellIs" dxfId="4220" priority="86" operator="equal">
      <formula>"F"</formula>
    </cfRule>
    <cfRule type="cellIs" dxfId="4219" priority="87" operator="equal">
      <formula>"F"</formula>
    </cfRule>
  </conditionalFormatting>
  <conditionalFormatting sqref="H276">
    <cfRule type="cellIs" dxfId="4218" priority="82" operator="equal">
      <formula>"U/P"</formula>
    </cfRule>
    <cfRule type="cellIs" dxfId="4217" priority="83" operator="equal">
      <formula>"F"</formula>
    </cfRule>
    <cfRule type="cellIs" dxfId="4216" priority="84" operator="equal">
      <formula>"F"</formula>
    </cfRule>
  </conditionalFormatting>
  <conditionalFormatting sqref="H284">
    <cfRule type="cellIs" dxfId="4215" priority="644" operator="equal">
      <formula>"F"</formula>
    </cfRule>
    <cfRule type="cellIs" dxfId="4214" priority="643" operator="equal">
      <formula>"F"</formula>
    </cfRule>
    <cfRule type="cellIs" dxfId="4213" priority="642" operator="equal">
      <formula>"U/P"</formula>
    </cfRule>
  </conditionalFormatting>
  <conditionalFormatting sqref="H292">
    <cfRule type="cellIs" dxfId="4212" priority="472" operator="equal">
      <formula>"F"</formula>
    </cfRule>
    <cfRule type="cellIs" dxfId="4211" priority="471" operator="equal">
      <formula>"U/P"</formula>
    </cfRule>
    <cfRule type="cellIs" dxfId="4210" priority="473" operator="equal">
      <formula>"F"</formula>
    </cfRule>
  </conditionalFormatting>
  <conditionalFormatting sqref="H300">
    <cfRule type="cellIs" dxfId="4209" priority="372" operator="equal">
      <formula>"F"</formula>
    </cfRule>
    <cfRule type="cellIs" dxfId="4208" priority="370" operator="equal">
      <formula>"U/P"</formula>
    </cfRule>
    <cfRule type="cellIs" dxfId="4207" priority="371" operator="equal">
      <formula>"F"</formula>
    </cfRule>
  </conditionalFormatting>
  <conditionalFormatting sqref="H308">
    <cfRule type="cellIs" dxfId="4206" priority="620" operator="equal">
      <formula>"F"</formula>
    </cfRule>
    <cfRule type="cellIs" dxfId="4205" priority="619" operator="equal">
      <formula>"F"</formula>
    </cfRule>
    <cfRule type="cellIs" dxfId="4204" priority="618" operator="equal">
      <formula>"U/P"</formula>
    </cfRule>
  </conditionalFormatting>
  <conditionalFormatting sqref="H315">
    <cfRule type="cellIs" dxfId="4203" priority="566" operator="equal">
      <formula>"F"</formula>
    </cfRule>
    <cfRule type="cellIs" dxfId="4202" priority="564" operator="equal">
      <formula>"U/P"</formula>
    </cfRule>
    <cfRule type="cellIs" dxfId="4201" priority="565" operator="equal">
      <formula>"F"</formula>
    </cfRule>
  </conditionalFormatting>
  <conditionalFormatting sqref="H60:I60">
    <cfRule type="cellIs" dxfId="4200" priority="463" operator="equal">
      <formula>0</formula>
    </cfRule>
  </conditionalFormatting>
  <conditionalFormatting sqref="I107">
    <cfRule type="cellIs" dxfId="4199" priority="996" operator="equal">
      <formula>"U/P"</formula>
    </cfRule>
    <cfRule type="cellIs" dxfId="4198" priority="998" operator="equal">
      <formula>"F"</formula>
    </cfRule>
    <cfRule type="cellIs" dxfId="4197" priority="997" operator="equal">
      <formula>"F"</formula>
    </cfRule>
  </conditionalFormatting>
  <conditionalFormatting sqref="J20">
    <cfRule type="cellIs" dxfId="4196" priority="1443" operator="equal">
      <formula>"U/P"</formula>
    </cfRule>
    <cfRule type="cellIs" dxfId="4195" priority="1445" operator="equal">
      <formula>"F"</formula>
    </cfRule>
    <cfRule type="cellIs" dxfId="4194" priority="1444" operator="equal">
      <formula>"F"</formula>
    </cfRule>
  </conditionalFormatting>
  <conditionalFormatting sqref="J27">
    <cfRule type="cellIs" dxfId="4193" priority="1402" operator="equal">
      <formula>"F"</formula>
    </cfRule>
    <cfRule type="cellIs" dxfId="4192" priority="1401" operator="equal">
      <formula>"U/P"</formula>
    </cfRule>
    <cfRule type="cellIs" dxfId="4191" priority="1403" operator="equal">
      <formula>"F"</formula>
    </cfRule>
  </conditionalFormatting>
  <conditionalFormatting sqref="J34">
    <cfRule type="cellIs" dxfId="4190" priority="1363" operator="equal">
      <formula>"F"</formula>
    </cfRule>
    <cfRule type="cellIs" dxfId="4189" priority="1362" operator="equal">
      <formula>"U/P"</formula>
    </cfRule>
    <cfRule type="cellIs" dxfId="4188" priority="1364" operator="equal">
      <formula>"F"</formula>
    </cfRule>
  </conditionalFormatting>
  <conditionalFormatting sqref="J41">
    <cfRule type="cellIs" dxfId="4187" priority="1322" operator="equal">
      <formula>"F"</formula>
    </cfRule>
    <cfRule type="cellIs" dxfId="4186" priority="1321" operator="equal">
      <formula>"F"</formula>
    </cfRule>
    <cfRule type="cellIs" dxfId="4185" priority="1320" operator="equal">
      <formula>"U/P"</formula>
    </cfRule>
  </conditionalFormatting>
  <conditionalFormatting sqref="J48">
    <cfRule type="cellIs" dxfId="4184" priority="1280" operator="equal">
      <formula>"F"</formula>
    </cfRule>
    <cfRule type="cellIs" dxfId="4183" priority="1279" operator="equal">
      <formula>"F"</formula>
    </cfRule>
    <cfRule type="cellIs" dxfId="4182" priority="1278" operator="equal">
      <formula>"U/P"</formula>
    </cfRule>
  </conditionalFormatting>
  <conditionalFormatting sqref="J57">
    <cfRule type="cellIs" dxfId="4181" priority="1236" operator="equal">
      <formula>"U/P"</formula>
    </cfRule>
    <cfRule type="cellIs" dxfId="4180" priority="1238" operator="equal">
      <formula>"F"</formula>
    </cfRule>
    <cfRule type="cellIs" dxfId="4179" priority="1237" operator="equal">
      <formula>"F"</formula>
    </cfRule>
  </conditionalFormatting>
  <conditionalFormatting sqref="J65">
    <cfRule type="cellIs" dxfId="4178" priority="1194" operator="equal">
      <formula>"U/P"</formula>
    </cfRule>
    <cfRule type="cellIs" dxfId="4177" priority="1196" operator="equal">
      <formula>"F"</formula>
    </cfRule>
    <cfRule type="cellIs" dxfId="4176" priority="1195" operator="equal">
      <formula>"F"</formula>
    </cfRule>
  </conditionalFormatting>
  <conditionalFormatting sqref="J73">
    <cfRule type="cellIs" dxfId="4175" priority="1152" operator="equal">
      <formula>"U/P"</formula>
    </cfRule>
    <cfRule type="cellIs" dxfId="4174" priority="1154" operator="equal">
      <formula>"F"</formula>
    </cfRule>
    <cfRule type="cellIs" dxfId="4173" priority="1153" operator="equal">
      <formula>"F"</formula>
    </cfRule>
  </conditionalFormatting>
  <conditionalFormatting sqref="J82">
    <cfRule type="cellIs" dxfId="4172" priority="318" operator="equal">
      <formula>"F"</formula>
    </cfRule>
    <cfRule type="cellIs" dxfId="4171" priority="317" operator="equal">
      <formula>"F"</formula>
    </cfRule>
    <cfRule type="cellIs" dxfId="4170" priority="316" operator="equal">
      <formula>"U/P"</formula>
    </cfRule>
  </conditionalFormatting>
  <conditionalFormatting sqref="J90">
    <cfRule type="cellIs" dxfId="4169" priority="1078" operator="equal">
      <formula>"F"</formula>
    </cfRule>
    <cfRule type="cellIs" dxfId="4168" priority="1077" operator="equal">
      <formula>"U/P"</formula>
    </cfRule>
    <cfRule type="cellIs" dxfId="4167" priority="1079" operator="equal">
      <formula>"F"</formula>
    </cfRule>
  </conditionalFormatting>
  <conditionalFormatting sqref="J99">
    <cfRule type="cellIs" dxfId="4166" priority="1032" operator="equal">
      <formula>"U/P"</formula>
    </cfRule>
    <cfRule type="cellIs" dxfId="4165" priority="1033" operator="equal">
      <formula>"F"</formula>
    </cfRule>
    <cfRule type="cellIs" dxfId="4164" priority="1034" operator="equal">
      <formula>"F"</formula>
    </cfRule>
  </conditionalFormatting>
  <conditionalFormatting sqref="J115">
    <cfRule type="cellIs" dxfId="4163" priority="968" operator="equal">
      <formula>"F"</formula>
    </cfRule>
    <cfRule type="cellIs" dxfId="4162" priority="967" operator="equal">
      <formula>"F"</formula>
    </cfRule>
    <cfRule type="cellIs" dxfId="4161" priority="966" operator="equal">
      <formula>"U/P"</formula>
    </cfRule>
  </conditionalFormatting>
  <conditionalFormatting sqref="J123">
    <cfRule type="cellIs" dxfId="4160" priority="930" operator="equal">
      <formula>"U/P"</formula>
    </cfRule>
    <cfRule type="cellIs" dxfId="4159" priority="932" operator="equal">
      <formula>"F"</formula>
    </cfRule>
    <cfRule type="cellIs" dxfId="4158" priority="931" operator="equal">
      <formula>"F"</formula>
    </cfRule>
  </conditionalFormatting>
  <conditionalFormatting sqref="J132">
    <cfRule type="cellIs" dxfId="4157" priority="32" operator="equal">
      <formula>"F"</formula>
    </cfRule>
    <cfRule type="cellIs" dxfId="4156" priority="31" operator="equal">
      <formula>"U/P"</formula>
    </cfRule>
    <cfRule type="cellIs" dxfId="4155" priority="33" operator="equal">
      <formula>"F"</formula>
    </cfRule>
  </conditionalFormatting>
  <conditionalFormatting sqref="J141">
    <cfRule type="cellIs" dxfId="4154" priority="426" operator="equal">
      <formula>"U/P"</formula>
    </cfRule>
    <cfRule type="cellIs" dxfId="4153" priority="427" operator="equal">
      <formula>"F"</formula>
    </cfRule>
    <cfRule type="cellIs" dxfId="4152" priority="428" operator="equal">
      <formula>"F"</formula>
    </cfRule>
  </conditionalFormatting>
  <conditionalFormatting sqref="J150">
    <cfRule type="cellIs" dxfId="4151" priority="876" operator="equal">
      <formula>"U/P"</formula>
    </cfRule>
    <cfRule type="cellIs" dxfId="4150" priority="878" operator="equal">
      <formula>"F"</formula>
    </cfRule>
    <cfRule type="cellIs" dxfId="4149" priority="877" operator="equal">
      <formula>"F"</formula>
    </cfRule>
  </conditionalFormatting>
  <conditionalFormatting sqref="J159">
    <cfRule type="cellIs" dxfId="4148" priority="841" operator="equal">
      <formula>"F"</formula>
    </cfRule>
    <cfRule type="cellIs" dxfId="4147" priority="842" operator="equal">
      <formula>"F"</formula>
    </cfRule>
    <cfRule type="cellIs" dxfId="4146" priority="840" operator="equal">
      <formula>"U/P"</formula>
    </cfRule>
  </conditionalFormatting>
  <conditionalFormatting sqref="J168">
    <cfRule type="cellIs" dxfId="4145" priority="814" operator="equal">
      <formula>"F"</formula>
    </cfRule>
    <cfRule type="cellIs" dxfId="4144" priority="815" operator="equal">
      <formula>"F"</formula>
    </cfRule>
    <cfRule type="cellIs" dxfId="4143" priority="813" operator="equal">
      <formula>"U/P"</formula>
    </cfRule>
  </conditionalFormatting>
  <conditionalFormatting sqref="J176">
    <cfRule type="cellIs" dxfId="4142" priority="298" operator="equal">
      <formula>"U/P"</formula>
    </cfRule>
    <cfRule type="cellIs" dxfId="4141" priority="300" operator="equal">
      <formula>"F"</formula>
    </cfRule>
    <cfRule type="cellIs" dxfId="4140" priority="299" operator="equal">
      <formula>"F"</formula>
    </cfRule>
  </conditionalFormatting>
  <conditionalFormatting sqref="J185">
    <cfRule type="cellIs" dxfId="4139" priority="420" operator="equal">
      <formula>"U/P"</formula>
    </cfRule>
    <cfRule type="cellIs" dxfId="4138" priority="421" operator="equal">
      <formula>"F"</formula>
    </cfRule>
    <cfRule type="cellIs" dxfId="4137" priority="422" operator="equal">
      <formula>"F"</formula>
    </cfRule>
  </conditionalFormatting>
  <conditionalFormatting sqref="J194">
    <cfRule type="cellIs" dxfId="4136" priority="1470" operator="equal">
      <formula>"F"</formula>
    </cfRule>
    <cfRule type="cellIs" dxfId="4135" priority="1469" operator="equal">
      <formula>"U/P"</formula>
    </cfRule>
    <cfRule type="cellIs" dxfId="4134" priority="1471" operator="equal">
      <formula>"F"</formula>
    </cfRule>
  </conditionalFormatting>
  <conditionalFormatting sqref="J202">
    <cfRule type="cellIs" dxfId="4133" priority="749" operator="equal">
      <formula>"F"</formula>
    </cfRule>
    <cfRule type="cellIs" dxfId="4132" priority="748" operator="equal">
      <formula>"F"</formula>
    </cfRule>
    <cfRule type="cellIs" dxfId="4131" priority="747" operator="equal">
      <formula>"U/P"</formula>
    </cfRule>
  </conditionalFormatting>
  <conditionalFormatting sqref="J210">
    <cfRule type="cellIs" dxfId="4130" priority="1456" operator="equal">
      <formula>"F"</formula>
    </cfRule>
    <cfRule type="cellIs" dxfId="4129" priority="1455" operator="equal">
      <formula>"F"</formula>
    </cfRule>
    <cfRule type="cellIs" dxfId="4128" priority="1454" operator="equal">
      <formula>"U/P"</formula>
    </cfRule>
  </conditionalFormatting>
  <conditionalFormatting sqref="J226">
    <cfRule type="cellIs" dxfId="4127" priority="523" operator="equal">
      <formula>"F"</formula>
    </cfRule>
    <cfRule type="cellIs" dxfId="4126" priority="524" operator="equal">
      <formula>"F"</formula>
    </cfRule>
    <cfRule type="cellIs" dxfId="4125" priority="522" operator="equal">
      <formula>"U/P"</formula>
    </cfRule>
  </conditionalFormatting>
  <conditionalFormatting sqref="J235">
    <cfRule type="cellIs" dxfId="4124" priority="403" operator="equal">
      <formula>"U/P"</formula>
    </cfRule>
    <cfRule type="cellIs" dxfId="4123" priority="404" operator="equal">
      <formula>"F"</formula>
    </cfRule>
    <cfRule type="cellIs" dxfId="4122" priority="405" operator="equal">
      <formula>"F"</formula>
    </cfRule>
  </conditionalFormatting>
  <conditionalFormatting sqref="J244">
    <cfRule type="cellIs" dxfId="4121" priority="488" operator="equal">
      <formula>"F"</formula>
    </cfRule>
    <cfRule type="cellIs" dxfId="4120" priority="487" operator="equal">
      <formula>"F"</formula>
    </cfRule>
    <cfRule type="cellIs" dxfId="4119" priority="486" operator="equal">
      <formula>"U/P"</formula>
    </cfRule>
  </conditionalFormatting>
  <conditionalFormatting sqref="J252">
    <cfRule type="cellIs" dxfId="4118" priority="675" operator="equal">
      <formula>"U/P"</formula>
    </cfRule>
    <cfRule type="cellIs" dxfId="4117" priority="676" operator="equal">
      <formula>"F"</formula>
    </cfRule>
    <cfRule type="cellIs" dxfId="4116" priority="677" operator="equal">
      <formula>"F"</formula>
    </cfRule>
  </conditionalFormatting>
  <conditionalFormatting sqref="J268">
    <cfRule type="cellIs" dxfId="4115" priority="66" operator="equal">
      <formula>"F"</formula>
    </cfRule>
    <cfRule type="cellIs" dxfId="4114" priority="64" operator="equal">
      <formula>"U/P"</formula>
    </cfRule>
    <cfRule type="cellIs" dxfId="4113" priority="65" operator="equal">
      <formula>"F"</formula>
    </cfRule>
  </conditionalFormatting>
  <conditionalFormatting sqref="J276">
    <cfRule type="cellIs" dxfId="4112" priority="54" operator="equal">
      <formula>"F"</formula>
    </cfRule>
    <cfRule type="cellIs" dxfId="4111" priority="52" operator="equal">
      <formula>"U/P"</formula>
    </cfRule>
    <cfRule type="cellIs" dxfId="4110" priority="53" operator="equal">
      <formula>"F"</formula>
    </cfRule>
  </conditionalFormatting>
  <conditionalFormatting sqref="J284">
    <cfRule type="cellIs" dxfId="4109" priority="204" operator="equal">
      <formula>"F"</formula>
    </cfRule>
    <cfRule type="cellIs" dxfId="4108" priority="203" operator="equal">
      <formula>"F"</formula>
    </cfRule>
    <cfRule type="cellIs" dxfId="4107" priority="202" operator="equal">
      <formula>"U/P"</formula>
    </cfRule>
  </conditionalFormatting>
  <conditionalFormatting sqref="J292">
    <cfRule type="cellIs" dxfId="4106" priority="437" operator="equal">
      <formula>"F"</formula>
    </cfRule>
    <cfRule type="cellIs" dxfId="4105" priority="438" operator="equal">
      <formula>"F"</formula>
    </cfRule>
    <cfRule type="cellIs" dxfId="4104" priority="436" operator="equal">
      <formula>"U/P"</formula>
    </cfRule>
  </conditionalFormatting>
  <conditionalFormatting sqref="J300">
    <cfRule type="cellIs" dxfId="4103" priority="343" operator="equal">
      <formula>"U/P"</formula>
    </cfRule>
    <cfRule type="cellIs" dxfId="4102" priority="344" operator="equal">
      <formula>"F"</formula>
    </cfRule>
    <cfRule type="cellIs" dxfId="4101" priority="345" operator="equal">
      <formula>"F"</formula>
    </cfRule>
  </conditionalFormatting>
  <conditionalFormatting sqref="J308">
    <cfRule type="cellIs" dxfId="4100" priority="627" operator="equal">
      <formula>"U/P"</formula>
    </cfRule>
    <cfRule type="cellIs" dxfId="4099" priority="628" operator="equal">
      <formula>"F"</formula>
    </cfRule>
    <cfRule type="cellIs" dxfId="4098" priority="629" operator="equal">
      <formula>"F"</formula>
    </cfRule>
  </conditionalFormatting>
  <conditionalFormatting sqref="J315">
    <cfRule type="cellIs" dxfId="4097" priority="601" operator="equal">
      <formula>"F"</formula>
    </cfRule>
    <cfRule type="cellIs" dxfId="4096" priority="602" operator="equal">
      <formula>"F"</formula>
    </cfRule>
    <cfRule type="cellIs" dxfId="4095" priority="600" operator="equal">
      <formula>"U/P"</formula>
    </cfRule>
  </conditionalFormatting>
  <conditionalFormatting sqref="K107">
    <cfRule type="cellIs" dxfId="4094" priority="993" operator="equal">
      <formula>"U/P"</formula>
    </cfRule>
    <cfRule type="cellIs" dxfId="4093" priority="994" operator="equal">
      <formula>"F"</formula>
    </cfRule>
    <cfRule type="cellIs" dxfId="4092" priority="995" operator="equal">
      <formula>"F"</formula>
    </cfRule>
  </conditionalFormatting>
  <conditionalFormatting sqref="L20">
    <cfRule type="cellIs" dxfId="4091" priority="1440" operator="equal">
      <formula>"U/P"</formula>
    </cfRule>
    <cfRule type="cellIs" dxfId="4090" priority="1442" operator="equal">
      <formula>"F"</formula>
    </cfRule>
    <cfRule type="cellIs" dxfId="4089" priority="1441" operator="equal">
      <formula>"F"</formula>
    </cfRule>
  </conditionalFormatting>
  <conditionalFormatting sqref="L27">
    <cfRule type="cellIs" dxfId="4088" priority="1400" operator="equal">
      <formula>"F"</formula>
    </cfRule>
    <cfRule type="cellIs" dxfId="4087" priority="1399" operator="equal">
      <formula>"F"</formula>
    </cfRule>
    <cfRule type="cellIs" dxfId="4086" priority="1398" operator="equal">
      <formula>"U/P"</formula>
    </cfRule>
  </conditionalFormatting>
  <conditionalFormatting sqref="L34">
    <cfRule type="cellIs" dxfId="4085" priority="1359" operator="equal">
      <formula>"U/P"</formula>
    </cfRule>
    <cfRule type="cellIs" dxfId="4084" priority="1360" operator="equal">
      <formula>"F"</formula>
    </cfRule>
    <cfRule type="cellIs" dxfId="4083" priority="1361" operator="equal">
      <formula>"F"</formula>
    </cfRule>
  </conditionalFormatting>
  <conditionalFormatting sqref="L41">
    <cfRule type="cellIs" dxfId="4082" priority="1317" operator="equal">
      <formula>"U/P"</formula>
    </cfRule>
    <cfRule type="cellIs" dxfId="4081" priority="1318" operator="equal">
      <formula>"F"</formula>
    </cfRule>
    <cfRule type="cellIs" dxfId="4080" priority="1319" operator="equal">
      <formula>"F"</formula>
    </cfRule>
  </conditionalFormatting>
  <conditionalFormatting sqref="L48">
    <cfRule type="cellIs" dxfId="4079" priority="1275" operator="equal">
      <formula>"U/P"</formula>
    </cfRule>
    <cfRule type="cellIs" dxfId="4078" priority="1276" operator="equal">
      <formula>"F"</formula>
    </cfRule>
    <cfRule type="cellIs" dxfId="4077" priority="1277" operator="equal">
      <formula>"F"</formula>
    </cfRule>
  </conditionalFormatting>
  <conditionalFormatting sqref="L57">
    <cfRule type="cellIs" dxfId="4076" priority="1235" operator="equal">
      <formula>"F"</formula>
    </cfRule>
    <cfRule type="cellIs" dxfId="4075" priority="1234" operator="equal">
      <formula>"F"</formula>
    </cfRule>
    <cfRule type="cellIs" dxfId="4074" priority="1233" operator="equal">
      <formula>"U/P"</formula>
    </cfRule>
  </conditionalFormatting>
  <conditionalFormatting sqref="L60">
    <cfRule type="cellIs" dxfId="4073" priority="464" operator="equal">
      <formula>0</formula>
    </cfRule>
  </conditionalFormatting>
  <conditionalFormatting sqref="L65">
    <cfRule type="cellIs" dxfId="4072" priority="1191" operator="equal">
      <formula>"U/P"</formula>
    </cfRule>
    <cfRule type="cellIs" dxfId="4071" priority="1192" operator="equal">
      <formula>"F"</formula>
    </cfRule>
    <cfRule type="cellIs" dxfId="4070" priority="1193" operator="equal">
      <formula>"F"</formula>
    </cfRule>
  </conditionalFormatting>
  <conditionalFormatting sqref="L73">
    <cfRule type="cellIs" dxfId="4069" priority="1149" operator="equal">
      <formula>"U/P"</formula>
    </cfRule>
    <cfRule type="cellIs" dxfId="4068" priority="1150" operator="equal">
      <formula>"F"</formula>
    </cfRule>
    <cfRule type="cellIs" dxfId="4067" priority="1151" operator="equal">
      <formula>"F"</formula>
    </cfRule>
  </conditionalFormatting>
  <conditionalFormatting sqref="L82">
    <cfRule type="cellIs" dxfId="4066" priority="1113" operator="equal">
      <formula>"U/P"</formula>
    </cfRule>
    <cfRule type="cellIs" dxfId="4065" priority="1114" operator="equal">
      <formula>"F"</formula>
    </cfRule>
    <cfRule type="cellIs" dxfId="4064" priority="1115" operator="equal">
      <formula>"F"</formula>
    </cfRule>
  </conditionalFormatting>
  <conditionalFormatting sqref="L90">
    <cfRule type="cellIs" dxfId="4063" priority="1074" operator="equal">
      <formula>"U/P"</formula>
    </cfRule>
    <cfRule type="cellIs" dxfId="4062" priority="1075" operator="equal">
      <formula>"F"</formula>
    </cfRule>
    <cfRule type="cellIs" dxfId="4061" priority="1076" operator="equal">
      <formula>"F"</formula>
    </cfRule>
  </conditionalFormatting>
  <conditionalFormatting sqref="L99">
    <cfRule type="cellIs" dxfId="4060" priority="470" operator="equal">
      <formula>"F"</formula>
    </cfRule>
    <cfRule type="cellIs" dxfId="4059" priority="469" operator="equal">
      <formula>"F"</formula>
    </cfRule>
    <cfRule type="cellIs" dxfId="4058" priority="468" operator="equal">
      <formula>"U/P"</formula>
    </cfRule>
  </conditionalFormatting>
  <conditionalFormatting sqref="L115">
    <cfRule type="cellIs" dxfId="4057" priority="963" operator="equal">
      <formula>"U/P"</formula>
    </cfRule>
    <cfRule type="cellIs" dxfId="4056" priority="964" operator="equal">
      <formula>"F"</formula>
    </cfRule>
    <cfRule type="cellIs" dxfId="4055" priority="965" operator="equal">
      <formula>"F"</formula>
    </cfRule>
  </conditionalFormatting>
  <conditionalFormatting sqref="L123">
    <cfRule type="cellIs" dxfId="4054" priority="927" operator="equal">
      <formula>"U/P"</formula>
    </cfRule>
    <cfRule type="cellIs" dxfId="4053" priority="928" operator="equal">
      <formula>"F"</formula>
    </cfRule>
    <cfRule type="cellIs" dxfId="4052" priority="929" operator="equal">
      <formula>"F"</formula>
    </cfRule>
  </conditionalFormatting>
  <conditionalFormatting sqref="L132">
    <cfRule type="cellIs" dxfId="4051" priority="100" operator="equal">
      <formula>"U/P"</formula>
    </cfRule>
    <cfRule type="cellIs" dxfId="4050" priority="101" operator="equal">
      <formula>"F"</formula>
    </cfRule>
    <cfRule type="cellIs" dxfId="4049" priority="102" operator="equal">
      <formula>"F"</formula>
    </cfRule>
  </conditionalFormatting>
  <conditionalFormatting sqref="L141">
    <cfRule type="cellIs" dxfId="4048" priority="900" operator="equal">
      <formula>"U/P"</formula>
    </cfRule>
    <cfRule type="cellIs" dxfId="4047" priority="901" operator="equal">
      <formula>"F"</formula>
    </cfRule>
    <cfRule type="cellIs" dxfId="4046" priority="902" operator="equal">
      <formula>"F"</formula>
    </cfRule>
  </conditionalFormatting>
  <conditionalFormatting sqref="L150">
    <cfRule type="cellIs" dxfId="4045" priority="875" operator="equal">
      <formula>"F"</formula>
    </cfRule>
    <cfRule type="cellIs" dxfId="4044" priority="874" operator="equal">
      <formula>"F"</formula>
    </cfRule>
    <cfRule type="cellIs" dxfId="4043" priority="873" operator="equal">
      <formula>"U/P"</formula>
    </cfRule>
  </conditionalFormatting>
  <conditionalFormatting sqref="L159">
    <cfRule type="cellIs" dxfId="4042" priority="837" operator="equal">
      <formula>"U/P"</formula>
    </cfRule>
    <cfRule type="cellIs" dxfId="4041" priority="838" operator="equal">
      <formula>"F"</formula>
    </cfRule>
    <cfRule type="cellIs" dxfId="4040" priority="839" operator="equal">
      <formula>"F"</formula>
    </cfRule>
  </conditionalFormatting>
  <conditionalFormatting sqref="L168">
    <cfRule type="cellIs" dxfId="4039" priority="812" operator="equal">
      <formula>"F"</formula>
    </cfRule>
    <cfRule type="cellIs" dxfId="4038" priority="810" operator="equal">
      <formula>"U/P"</formula>
    </cfRule>
    <cfRule type="cellIs" dxfId="4037" priority="811" operator="equal">
      <formula>"F"</formula>
    </cfRule>
  </conditionalFormatting>
  <conditionalFormatting sqref="L171 N171 P171 R171 V171 X171 Z171 AB171">
    <cfRule type="cellIs" dxfId="4036" priority="1473" operator="equal">
      <formula>0</formula>
    </cfRule>
  </conditionalFormatting>
  <conditionalFormatting sqref="L176">
    <cfRule type="cellIs" dxfId="4035" priority="780" operator="equal">
      <formula>"U/P"</formula>
    </cfRule>
    <cfRule type="cellIs" dxfId="4034" priority="782" operator="equal">
      <formula>"F"</formula>
    </cfRule>
    <cfRule type="cellIs" dxfId="4033" priority="781" operator="equal">
      <formula>"F"</formula>
    </cfRule>
  </conditionalFormatting>
  <conditionalFormatting sqref="L185">
    <cfRule type="cellIs" dxfId="4032" priority="761" operator="equal">
      <formula>"F"</formula>
    </cfRule>
    <cfRule type="cellIs" dxfId="4031" priority="760" operator="equal">
      <formula>"F"</formula>
    </cfRule>
    <cfRule type="cellIs" dxfId="4030" priority="759" operator="equal">
      <formula>"U/P"</formula>
    </cfRule>
  </conditionalFormatting>
  <conditionalFormatting sqref="L194">
    <cfRule type="cellIs" dxfId="4029" priority="1466" operator="equal">
      <formula>"U/P"</formula>
    </cfRule>
    <cfRule type="cellIs" dxfId="4028" priority="1468" operator="equal">
      <formula>"F"</formula>
    </cfRule>
    <cfRule type="cellIs" dxfId="4027" priority="1467" operator="equal">
      <formula>"F"</formula>
    </cfRule>
  </conditionalFormatting>
  <conditionalFormatting sqref="L202">
    <cfRule type="cellIs" dxfId="4026" priority="746" operator="equal">
      <formula>"F"</formula>
    </cfRule>
    <cfRule type="cellIs" dxfId="4025" priority="744" operator="equal">
      <formula>"U/P"</formula>
    </cfRule>
    <cfRule type="cellIs" dxfId="4024" priority="745" operator="equal">
      <formula>"F"</formula>
    </cfRule>
  </conditionalFormatting>
  <conditionalFormatting sqref="L210">
    <cfRule type="cellIs" dxfId="4023" priority="510" operator="equal">
      <formula>"U/P"</formula>
    </cfRule>
    <cfRule type="cellIs" dxfId="4022" priority="512" operator="equal">
      <formula>"F"</formula>
    </cfRule>
    <cfRule type="cellIs" dxfId="4021" priority="511" operator="equal">
      <formula>"F"</formula>
    </cfRule>
  </conditionalFormatting>
  <conditionalFormatting sqref="L218">
    <cfRule type="cellIs" dxfId="4020" priority="497" operator="equal">
      <formula>"F"</formula>
    </cfRule>
    <cfRule type="cellIs" dxfId="4019" priority="496" operator="equal">
      <formula>"F"</formula>
    </cfRule>
    <cfRule type="cellIs" dxfId="4018" priority="495" operator="equal">
      <formula>"U/P"</formula>
    </cfRule>
  </conditionalFormatting>
  <conditionalFormatting sqref="L226">
    <cfRule type="cellIs" dxfId="4017" priority="508" operator="equal">
      <formula>"F"</formula>
    </cfRule>
    <cfRule type="cellIs" dxfId="4016" priority="507" operator="equal">
      <formula>"U/P"</formula>
    </cfRule>
    <cfRule type="cellIs" dxfId="4015" priority="509" operator="equal">
      <formula>"F"</formula>
    </cfRule>
  </conditionalFormatting>
  <conditionalFormatting sqref="L235">
    <cfRule type="cellIs" dxfId="4014" priority="376" operator="equal">
      <formula>"U/P"</formula>
    </cfRule>
    <cfRule type="cellIs" dxfId="4013" priority="377" operator="equal">
      <formula>"F"</formula>
    </cfRule>
    <cfRule type="cellIs" dxfId="4012" priority="378" operator="equal">
      <formula>"F"</formula>
    </cfRule>
  </conditionalFormatting>
  <conditionalFormatting sqref="L244">
    <cfRule type="cellIs" dxfId="4011" priority="682" operator="equal">
      <formula>"F"</formula>
    </cfRule>
    <cfRule type="cellIs" dxfId="4010" priority="683" operator="equal">
      <formula>"F"</formula>
    </cfRule>
    <cfRule type="cellIs" dxfId="4009" priority="681" operator="equal">
      <formula>"U/P"</formula>
    </cfRule>
  </conditionalFormatting>
  <conditionalFormatting sqref="L252">
    <cfRule type="cellIs" dxfId="4008" priority="669" operator="equal">
      <formula>"U/P"</formula>
    </cfRule>
    <cfRule type="cellIs" dxfId="4007" priority="670" operator="equal">
      <formula>"F"</formula>
    </cfRule>
    <cfRule type="cellIs" dxfId="4006" priority="671" operator="equal">
      <formula>"F"</formula>
    </cfRule>
  </conditionalFormatting>
  <conditionalFormatting sqref="L260">
    <cfRule type="cellIs" dxfId="4005" priority="662" operator="equal">
      <formula>"F"</formula>
    </cfRule>
    <cfRule type="cellIs" dxfId="4004" priority="661" operator="equal">
      <formula>"F"</formula>
    </cfRule>
    <cfRule type="cellIs" dxfId="4003" priority="660" operator="equal">
      <formula>"U/P"</formula>
    </cfRule>
  </conditionalFormatting>
  <conditionalFormatting sqref="L268">
    <cfRule type="cellIs" dxfId="4002" priority="90" operator="equal">
      <formula>"F"</formula>
    </cfRule>
    <cfRule type="cellIs" dxfId="4001" priority="89" operator="equal">
      <formula>"F"</formula>
    </cfRule>
    <cfRule type="cellIs" dxfId="4000" priority="88" operator="equal">
      <formula>"U/P"</formula>
    </cfRule>
  </conditionalFormatting>
  <conditionalFormatting sqref="L276">
    <cfRule type="cellIs" dxfId="3999" priority="650" operator="equal">
      <formula>"F"</formula>
    </cfRule>
    <cfRule type="cellIs" dxfId="3998" priority="649" operator="equal">
      <formula>"F"</formula>
    </cfRule>
    <cfRule type="cellIs" dxfId="3997" priority="648" operator="equal">
      <formula>"U/P"</formula>
    </cfRule>
  </conditionalFormatting>
  <conditionalFormatting sqref="L284">
    <cfRule type="cellIs" dxfId="3996" priority="230" operator="equal">
      <formula>"F"</formula>
    </cfRule>
    <cfRule type="cellIs" dxfId="3995" priority="229" operator="equal">
      <formula>"U/P"</formula>
    </cfRule>
    <cfRule type="cellIs" dxfId="3994" priority="231" operator="equal">
      <formula>"F"</formula>
    </cfRule>
  </conditionalFormatting>
  <conditionalFormatting sqref="L292">
    <cfRule type="cellIs" dxfId="3993" priority="478" operator="equal">
      <formula>"F"</formula>
    </cfRule>
    <cfRule type="cellIs" dxfId="3992" priority="479" operator="equal">
      <formula>"F"</formula>
    </cfRule>
    <cfRule type="cellIs" dxfId="3991" priority="477" operator="equal">
      <formula>"U/P"</formula>
    </cfRule>
  </conditionalFormatting>
  <conditionalFormatting sqref="L300">
    <cfRule type="cellIs" dxfId="3990" priority="302" operator="equal">
      <formula>"F"</formula>
    </cfRule>
    <cfRule type="cellIs" dxfId="3989" priority="303" operator="equal">
      <formula>"F"</formula>
    </cfRule>
    <cfRule type="cellIs" dxfId="3988" priority="301" operator="equal">
      <formula>"U/P"</formula>
    </cfRule>
  </conditionalFormatting>
  <conditionalFormatting sqref="L308">
    <cfRule type="cellIs" dxfId="3987" priority="615" operator="equal">
      <formula>"U/P"</formula>
    </cfRule>
    <cfRule type="cellIs" dxfId="3986" priority="617" operator="equal">
      <formula>"F"</formula>
    </cfRule>
    <cfRule type="cellIs" dxfId="3985" priority="616" operator="equal">
      <formula>"F"</formula>
    </cfRule>
  </conditionalFormatting>
  <conditionalFormatting sqref="L315">
    <cfRule type="cellIs" dxfId="3984" priority="593" operator="equal">
      <formula>"F"</formula>
    </cfRule>
    <cfRule type="cellIs" dxfId="3983" priority="592" operator="equal">
      <formula>"F"</formula>
    </cfRule>
    <cfRule type="cellIs" dxfId="3982" priority="591" operator="equal">
      <formula>"U/P"</formula>
    </cfRule>
  </conditionalFormatting>
  <conditionalFormatting sqref="M107">
    <cfRule type="cellIs" dxfId="3981" priority="990" operator="equal">
      <formula>"U/P"</formula>
    </cfRule>
    <cfRule type="cellIs" dxfId="3980" priority="991" operator="equal">
      <formula>"F"</formula>
    </cfRule>
    <cfRule type="cellIs" dxfId="3979" priority="992" operator="equal">
      <formula>"F"</formula>
    </cfRule>
  </conditionalFormatting>
  <conditionalFormatting sqref="M213">
    <cfRule type="cellIs" dxfId="3978" priority="358" operator="equal">
      <formula>"U/P"</formula>
    </cfRule>
    <cfRule type="cellIs" dxfId="3977" priority="359" operator="equal">
      <formula>"F"</formula>
    </cfRule>
    <cfRule type="cellIs" dxfId="3976" priority="360" operator="equal">
      <formula>"F"</formula>
    </cfRule>
  </conditionalFormatting>
  <conditionalFormatting sqref="N20">
    <cfRule type="cellIs" dxfId="3975" priority="1439" operator="equal">
      <formula>"F"</formula>
    </cfRule>
    <cfRule type="cellIs" dxfId="3974" priority="1438" operator="equal">
      <formula>"F"</formula>
    </cfRule>
    <cfRule type="cellIs" dxfId="3973" priority="1437" operator="equal">
      <formula>"U/P"</formula>
    </cfRule>
  </conditionalFormatting>
  <conditionalFormatting sqref="N27">
    <cfRule type="cellIs" dxfId="3972" priority="1396" operator="equal">
      <formula>"F"</formula>
    </cfRule>
    <cfRule type="cellIs" dxfId="3971" priority="1397" operator="equal">
      <formula>"F"</formula>
    </cfRule>
    <cfRule type="cellIs" dxfId="3970" priority="1395" operator="equal">
      <formula>"U/P"</formula>
    </cfRule>
  </conditionalFormatting>
  <conditionalFormatting sqref="N34">
    <cfRule type="cellIs" dxfId="3969" priority="1356" operator="equal">
      <formula>"U/P"</formula>
    </cfRule>
    <cfRule type="cellIs" dxfId="3968" priority="1357" operator="equal">
      <formula>"F"</formula>
    </cfRule>
    <cfRule type="cellIs" dxfId="3967" priority="1358" operator="equal">
      <formula>"F"</formula>
    </cfRule>
  </conditionalFormatting>
  <conditionalFormatting sqref="N41">
    <cfRule type="cellIs" dxfId="3966" priority="1314" operator="equal">
      <formula>"U/P"</formula>
    </cfRule>
    <cfRule type="cellIs" dxfId="3965" priority="1315" operator="equal">
      <formula>"F"</formula>
    </cfRule>
    <cfRule type="cellIs" dxfId="3964" priority="1316" operator="equal">
      <formula>"F"</formula>
    </cfRule>
  </conditionalFormatting>
  <conditionalFormatting sqref="N48">
    <cfRule type="cellIs" dxfId="3963" priority="1274" operator="equal">
      <formula>"F"</formula>
    </cfRule>
    <cfRule type="cellIs" dxfId="3962" priority="1273" operator="equal">
      <formula>"F"</formula>
    </cfRule>
    <cfRule type="cellIs" dxfId="3961" priority="1272" operator="equal">
      <formula>"U/P"</formula>
    </cfRule>
  </conditionalFormatting>
  <conditionalFormatting sqref="N57">
    <cfRule type="cellIs" dxfId="3960" priority="1230" operator="equal">
      <formula>"U/P"</formula>
    </cfRule>
    <cfRule type="cellIs" dxfId="3959" priority="1232" operator="equal">
      <formula>"F"</formula>
    </cfRule>
    <cfRule type="cellIs" dxfId="3958" priority="1231" operator="equal">
      <formula>"F"</formula>
    </cfRule>
  </conditionalFormatting>
  <conditionalFormatting sqref="N65">
    <cfRule type="cellIs" dxfId="3957" priority="1188" operator="equal">
      <formula>"U/P"</formula>
    </cfRule>
    <cfRule type="cellIs" dxfId="3956" priority="1189" operator="equal">
      <formula>"F"</formula>
    </cfRule>
    <cfRule type="cellIs" dxfId="3955" priority="1190" operator="equal">
      <formula>"F"</formula>
    </cfRule>
  </conditionalFormatting>
  <conditionalFormatting sqref="N73">
    <cfRule type="cellIs" dxfId="3954" priority="1147" operator="equal">
      <formula>"F"</formula>
    </cfRule>
    <cfRule type="cellIs" dxfId="3953" priority="1146" operator="equal">
      <formula>"U/P"</formula>
    </cfRule>
    <cfRule type="cellIs" dxfId="3952" priority="1148" operator="equal">
      <formula>"F"</formula>
    </cfRule>
  </conditionalFormatting>
  <conditionalFormatting sqref="N82">
    <cfRule type="cellIs" dxfId="3951" priority="1111" operator="equal">
      <formula>"F"</formula>
    </cfRule>
    <cfRule type="cellIs" dxfId="3950" priority="1110" operator="equal">
      <formula>"U/P"</formula>
    </cfRule>
    <cfRule type="cellIs" dxfId="3949" priority="1112" operator="equal">
      <formula>"F"</formula>
    </cfRule>
  </conditionalFormatting>
  <conditionalFormatting sqref="N90">
    <cfRule type="cellIs" dxfId="3948" priority="1071" operator="equal">
      <formula>"U/P"</formula>
    </cfRule>
    <cfRule type="cellIs" dxfId="3947" priority="1072" operator="equal">
      <formula>"F"</formula>
    </cfRule>
    <cfRule type="cellIs" dxfId="3946" priority="1073" operator="equal">
      <formula>"F"</formula>
    </cfRule>
  </conditionalFormatting>
  <conditionalFormatting sqref="N99">
    <cfRule type="cellIs" dxfId="3945" priority="1029" operator="equal">
      <formula>"U/P"</formula>
    </cfRule>
    <cfRule type="cellIs" dxfId="3944" priority="1030" operator="equal">
      <formula>"F"</formula>
    </cfRule>
    <cfRule type="cellIs" dxfId="3943" priority="1031" operator="equal">
      <formula>"F"</formula>
    </cfRule>
  </conditionalFormatting>
  <conditionalFormatting sqref="N115">
    <cfRule type="cellIs" dxfId="3942" priority="962" operator="equal">
      <formula>"F"</formula>
    </cfRule>
    <cfRule type="cellIs" dxfId="3941" priority="961" operator="equal">
      <formula>"F"</formula>
    </cfRule>
    <cfRule type="cellIs" dxfId="3940" priority="960" operator="equal">
      <formula>"U/P"</formula>
    </cfRule>
  </conditionalFormatting>
  <conditionalFormatting sqref="N123">
    <cfRule type="cellIs" dxfId="3939" priority="431" operator="equal">
      <formula>"F"</formula>
    </cfRule>
    <cfRule type="cellIs" dxfId="3938" priority="430" operator="equal">
      <formula>"F"</formula>
    </cfRule>
    <cfRule type="cellIs" dxfId="3937" priority="429" operator="equal">
      <formula>"U/P"</formula>
    </cfRule>
  </conditionalFormatting>
  <conditionalFormatting sqref="N132">
    <cfRule type="cellIs" dxfId="3936" priority="1493" operator="equal">
      <formula>"F"</formula>
    </cfRule>
    <cfRule type="cellIs" dxfId="3935" priority="1494" operator="equal">
      <formula>"F"</formula>
    </cfRule>
    <cfRule type="cellIs" dxfId="3934" priority="1492" operator="equal">
      <formula>"U/P"</formula>
    </cfRule>
  </conditionalFormatting>
  <conditionalFormatting sqref="N141">
    <cfRule type="cellIs" dxfId="3933" priority="898" operator="equal">
      <formula>"F"</formula>
    </cfRule>
    <cfRule type="cellIs" dxfId="3932" priority="899" operator="equal">
      <formula>"F"</formula>
    </cfRule>
    <cfRule type="cellIs" dxfId="3931" priority="897" operator="equal">
      <formula>"U/P"</formula>
    </cfRule>
  </conditionalFormatting>
  <conditionalFormatting sqref="N150">
    <cfRule type="cellIs" dxfId="3930" priority="872" operator="equal">
      <formula>"F"</formula>
    </cfRule>
    <cfRule type="cellIs" dxfId="3929" priority="871" operator="equal">
      <formula>"F"</formula>
    </cfRule>
    <cfRule type="cellIs" dxfId="3928" priority="870" operator="equal">
      <formula>"U/P"</formula>
    </cfRule>
  </conditionalFormatting>
  <conditionalFormatting sqref="N159">
    <cfRule type="cellIs" dxfId="3927" priority="834" operator="equal">
      <formula>"U/P"</formula>
    </cfRule>
    <cfRule type="cellIs" dxfId="3926" priority="835" operator="equal">
      <formula>"F"</formula>
    </cfRule>
    <cfRule type="cellIs" dxfId="3925" priority="836" operator="equal">
      <formula>"F"</formula>
    </cfRule>
  </conditionalFormatting>
  <conditionalFormatting sqref="N168">
    <cfRule type="cellIs" dxfId="3924" priority="456" operator="equal">
      <formula>"F"</formula>
    </cfRule>
    <cfRule type="cellIs" dxfId="3923" priority="454" operator="equal">
      <formula>"U/P"</formula>
    </cfRule>
    <cfRule type="cellIs" dxfId="3922" priority="455" operator="equal">
      <formula>"F"</formula>
    </cfRule>
  </conditionalFormatting>
  <conditionalFormatting sqref="N176">
    <cfRule type="cellIs" dxfId="3921" priority="778" operator="equal">
      <formula>"F"</formula>
    </cfRule>
    <cfRule type="cellIs" dxfId="3920" priority="777" operator="equal">
      <formula>"U/P"</formula>
    </cfRule>
    <cfRule type="cellIs" dxfId="3919" priority="779" operator="equal">
      <formula>"F"</formula>
    </cfRule>
  </conditionalFormatting>
  <conditionalFormatting sqref="N185">
    <cfRule type="cellIs" dxfId="3918" priority="489" operator="equal">
      <formula>"U/P"</formula>
    </cfRule>
    <cfRule type="cellIs" dxfId="3917" priority="491" operator="equal">
      <formula>"F"</formula>
    </cfRule>
    <cfRule type="cellIs" dxfId="3916" priority="490" operator="equal">
      <formula>"F"</formula>
    </cfRule>
  </conditionalFormatting>
  <conditionalFormatting sqref="N194">
    <cfRule type="cellIs" dxfId="3915" priority="156" operator="equal">
      <formula>"F"</formula>
    </cfRule>
    <cfRule type="cellIs" dxfId="3914" priority="154" operator="equal">
      <formula>"U/P"</formula>
    </cfRule>
    <cfRule type="cellIs" dxfId="3913" priority="155" operator="equal">
      <formula>"F"</formula>
    </cfRule>
  </conditionalFormatting>
  <conditionalFormatting sqref="N202">
    <cfRule type="cellIs" dxfId="3912" priority="281" operator="equal">
      <formula>"F"</formula>
    </cfRule>
    <cfRule type="cellIs" dxfId="3911" priority="280" operator="equal">
      <formula>"U/P"</formula>
    </cfRule>
    <cfRule type="cellIs" dxfId="3910" priority="282" operator="equal">
      <formula>"F"</formula>
    </cfRule>
  </conditionalFormatting>
  <conditionalFormatting sqref="N210">
    <cfRule type="cellIs" dxfId="3909" priority="738" operator="equal">
      <formula>"U/P"</formula>
    </cfRule>
    <cfRule type="cellIs" dxfId="3908" priority="739" operator="equal">
      <formula>"F"</formula>
    </cfRule>
    <cfRule type="cellIs" dxfId="3907" priority="740" operator="equal">
      <formula>"F"</formula>
    </cfRule>
  </conditionalFormatting>
  <conditionalFormatting sqref="N226">
    <cfRule type="cellIs" dxfId="3906" priority="519" operator="equal">
      <formula>"U/P"</formula>
    </cfRule>
    <cfRule type="cellIs" dxfId="3905" priority="521" operator="equal">
      <formula>"F"</formula>
    </cfRule>
    <cfRule type="cellIs" dxfId="3904" priority="520" operator="equal">
      <formula>"F"</formula>
    </cfRule>
  </conditionalFormatting>
  <conditionalFormatting sqref="N235">
    <cfRule type="cellIs" dxfId="3903" priority="304" operator="equal">
      <formula>"U/P"</formula>
    </cfRule>
    <cfRule type="cellIs" dxfId="3902" priority="305" operator="equal">
      <formula>"F"</formula>
    </cfRule>
    <cfRule type="cellIs" dxfId="3901" priority="306" operator="equal">
      <formula>"F"</formula>
    </cfRule>
  </conditionalFormatting>
  <conditionalFormatting sqref="N244">
    <cfRule type="cellIs" dxfId="3900" priority="679" operator="equal">
      <formula>"F"</formula>
    </cfRule>
    <cfRule type="cellIs" dxfId="3899" priority="678" operator="equal">
      <formula>"U/P"</formula>
    </cfRule>
    <cfRule type="cellIs" dxfId="3898" priority="680" operator="equal">
      <formula>"F"</formula>
    </cfRule>
  </conditionalFormatting>
  <conditionalFormatting sqref="N252">
    <cfRule type="cellIs" dxfId="3897" priority="132" operator="equal">
      <formula>"F"</formula>
    </cfRule>
    <cfRule type="cellIs" dxfId="3896" priority="131" operator="equal">
      <formula>"F"</formula>
    </cfRule>
    <cfRule type="cellIs" dxfId="3895" priority="130" operator="equal">
      <formula>"U/P"</formula>
    </cfRule>
  </conditionalFormatting>
  <conditionalFormatting sqref="N268">
    <cfRule type="cellIs" dxfId="3894" priority="103" operator="equal">
      <formula>"U/P"</formula>
    </cfRule>
    <cfRule type="cellIs" dxfId="3893" priority="105" operator="equal">
      <formula>"F"</formula>
    </cfRule>
    <cfRule type="cellIs" dxfId="3892" priority="104" operator="equal">
      <formula>"F"</formula>
    </cfRule>
  </conditionalFormatting>
  <conditionalFormatting sqref="N276">
    <cfRule type="cellIs" dxfId="3891" priority="120" operator="equal">
      <formula>"F"</formula>
    </cfRule>
    <cfRule type="cellIs" dxfId="3890" priority="119" operator="equal">
      <formula>"F"</formula>
    </cfRule>
    <cfRule type="cellIs" dxfId="3889" priority="118" operator="equal">
      <formula>"U/P"</formula>
    </cfRule>
  </conditionalFormatting>
  <conditionalFormatting sqref="N284">
    <cfRule type="cellIs" dxfId="3888" priority="641" operator="equal">
      <formula>"F"</formula>
    </cfRule>
    <cfRule type="cellIs" dxfId="3887" priority="640" operator="equal">
      <formula>"F"</formula>
    </cfRule>
    <cfRule type="cellIs" dxfId="3886" priority="639" operator="equal">
      <formula>"U/P"</formula>
    </cfRule>
  </conditionalFormatting>
  <conditionalFormatting sqref="N292">
    <cfRule type="cellIs" dxfId="3885" priority="441" operator="equal">
      <formula>"F"</formula>
    </cfRule>
    <cfRule type="cellIs" dxfId="3884" priority="439" operator="equal">
      <formula>"U/P"</formula>
    </cfRule>
    <cfRule type="cellIs" dxfId="3883" priority="440" operator="equal">
      <formula>"F"</formula>
    </cfRule>
  </conditionalFormatting>
  <conditionalFormatting sqref="N300">
    <cfRule type="cellIs" dxfId="3882" priority="288" operator="equal">
      <formula>"F"</formula>
    </cfRule>
    <cfRule type="cellIs" dxfId="3881" priority="287" operator="equal">
      <formula>"F"</formula>
    </cfRule>
    <cfRule type="cellIs" dxfId="3880" priority="286" operator="equal">
      <formula>"U/P"</formula>
    </cfRule>
  </conditionalFormatting>
  <conditionalFormatting sqref="N308">
    <cfRule type="cellIs" dxfId="3879" priority="612" operator="equal">
      <formula>"U/P"</formula>
    </cfRule>
    <cfRule type="cellIs" dxfId="3878" priority="613" operator="equal">
      <formula>"F"</formula>
    </cfRule>
    <cfRule type="cellIs" dxfId="3877" priority="614" operator="equal">
      <formula>"F"</formula>
    </cfRule>
  </conditionalFormatting>
  <conditionalFormatting sqref="N315">
    <cfRule type="cellIs" dxfId="3876" priority="590" operator="equal">
      <formula>"F"</formula>
    </cfRule>
    <cfRule type="cellIs" dxfId="3875" priority="588" operator="equal">
      <formula>"U/P"</formula>
    </cfRule>
    <cfRule type="cellIs" dxfId="3874" priority="589" operator="equal">
      <formula>"F"</formula>
    </cfRule>
  </conditionalFormatting>
  <conditionalFormatting sqref="O107">
    <cfRule type="cellIs" dxfId="3873" priority="987" operator="equal">
      <formula>"U/P"</formula>
    </cfRule>
    <cfRule type="cellIs" dxfId="3872" priority="988" operator="equal">
      <formula>"F"</formula>
    </cfRule>
    <cfRule type="cellIs" dxfId="3871" priority="989" operator="equal">
      <formula>"F"</formula>
    </cfRule>
  </conditionalFormatting>
  <conditionalFormatting sqref="P20">
    <cfRule type="cellIs" dxfId="3870" priority="1434" operator="equal">
      <formula>"U/P"</formula>
    </cfRule>
    <cfRule type="cellIs" dxfId="3869" priority="1435" operator="equal">
      <formula>"F"</formula>
    </cfRule>
    <cfRule type="cellIs" dxfId="3868" priority="1436" operator="equal">
      <formula>"F"</formula>
    </cfRule>
  </conditionalFormatting>
  <conditionalFormatting sqref="P27">
    <cfRule type="cellIs" dxfId="3867" priority="1394" operator="equal">
      <formula>"F"</formula>
    </cfRule>
    <cfRule type="cellIs" dxfId="3866" priority="1393" operator="equal">
      <formula>"F"</formula>
    </cfRule>
    <cfRule type="cellIs" dxfId="3865" priority="1392" operator="equal">
      <formula>"U/P"</formula>
    </cfRule>
  </conditionalFormatting>
  <conditionalFormatting sqref="P34">
    <cfRule type="cellIs" dxfId="3864" priority="1353" operator="equal">
      <formula>"U/P"</formula>
    </cfRule>
    <cfRule type="cellIs" dxfId="3863" priority="1355" operator="equal">
      <formula>"F"</formula>
    </cfRule>
    <cfRule type="cellIs" dxfId="3862" priority="1354" operator="equal">
      <formula>"F"</formula>
    </cfRule>
  </conditionalFormatting>
  <conditionalFormatting sqref="P41">
    <cfRule type="cellIs" dxfId="3861" priority="1311" operator="equal">
      <formula>"U/P"</formula>
    </cfRule>
    <cfRule type="cellIs" dxfId="3860" priority="1312" operator="equal">
      <formula>"F"</formula>
    </cfRule>
    <cfRule type="cellIs" dxfId="3859" priority="1313" operator="equal">
      <formula>"F"</formula>
    </cfRule>
  </conditionalFormatting>
  <conditionalFormatting sqref="P48">
    <cfRule type="cellIs" dxfId="3858" priority="1271" operator="equal">
      <formula>"F"</formula>
    </cfRule>
    <cfRule type="cellIs" dxfId="3857" priority="1270" operator="equal">
      <formula>"F"</formula>
    </cfRule>
    <cfRule type="cellIs" dxfId="3856" priority="1269" operator="equal">
      <formula>"U/P"</formula>
    </cfRule>
  </conditionalFormatting>
  <conditionalFormatting sqref="P57">
    <cfRule type="cellIs" dxfId="3855" priority="1227" operator="equal">
      <formula>"U/P"</formula>
    </cfRule>
    <cfRule type="cellIs" dxfId="3854" priority="1228" operator="equal">
      <formula>"F"</formula>
    </cfRule>
    <cfRule type="cellIs" dxfId="3853" priority="1229" operator="equal">
      <formula>"F"</formula>
    </cfRule>
  </conditionalFormatting>
  <conditionalFormatting sqref="P65">
    <cfRule type="cellIs" dxfId="3852" priority="1187" operator="equal">
      <formula>"F"</formula>
    </cfRule>
    <cfRule type="cellIs" dxfId="3851" priority="1185" operator="equal">
      <formula>"U/P"</formula>
    </cfRule>
    <cfRule type="cellIs" dxfId="3850" priority="1186" operator="equal">
      <formula>"F"</formula>
    </cfRule>
  </conditionalFormatting>
  <conditionalFormatting sqref="P73">
    <cfRule type="cellIs" dxfId="3849" priority="1145" operator="equal">
      <formula>"F"</formula>
    </cfRule>
    <cfRule type="cellIs" dxfId="3848" priority="1143" operator="equal">
      <formula>"U/P"</formula>
    </cfRule>
    <cfRule type="cellIs" dxfId="3847" priority="1144" operator="equal">
      <formula>"F"</formula>
    </cfRule>
  </conditionalFormatting>
  <conditionalFormatting sqref="P82">
    <cfRule type="cellIs" dxfId="3846" priority="1109" operator="equal">
      <formula>"F"</formula>
    </cfRule>
    <cfRule type="cellIs" dxfId="3845" priority="1108" operator="equal">
      <formula>"F"</formula>
    </cfRule>
    <cfRule type="cellIs" dxfId="3844" priority="1107" operator="equal">
      <formula>"U/P"</formula>
    </cfRule>
  </conditionalFormatting>
  <conditionalFormatting sqref="P90">
    <cfRule type="cellIs" dxfId="3843" priority="1070" operator="equal">
      <formula>"F"</formula>
    </cfRule>
    <cfRule type="cellIs" dxfId="3842" priority="1069" operator="equal">
      <formula>"F"</formula>
    </cfRule>
    <cfRule type="cellIs" dxfId="3841" priority="1068" operator="equal">
      <formula>"U/P"</formula>
    </cfRule>
  </conditionalFormatting>
  <conditionalFormatting sqref="P99">
    <cfRule type="cellIs" dxfId="3840" priority="1026" operator="equal">
      <formula>"U/P"</formula>
    </cfRule>
    <cfRule type="cellIs" dxfId="3839" priority="1027" operator="equal">
      <formula>"F"</formula>
    </cfRule>
    <cfRule type="cellIs" dxfId="3838" priority="1028" operator="equal">
      <formula>"F"</formula>
    </cfRule>
  </conditionalFormatting>
  <conditionalFormatting sqref="P115">
    <cfRule type="cellIs" dxfId="3837" priority="957" operator="equal">
      <formula>"U/P"</formula>
    </cfRule>
    <cfRule type="cellIs" dxfId="3836" priority="958" operator="equal">
      <formula>"F"</formula>
    </cfRule>
    <cfRule type="cellIs" dxfId="3835" priority="959" operator="equal">
      <formula>"F"</formula>
    </cfRule>
  </conditionalFormatting>
  <conditionalFormatting sqref="P123">
    <cfRule type="cellIs" dxfId="3834" priority="545" operator="equal">
      <formula>"F"</formula>
    </cfRule>
    <cfRule type="cellIs" dxfId="3833" priority="543" operator="equal">
      <formula>"U/P"</formula>
    </cfRule>
    <cfRule type="cellIs" dxfId="3832" priority="544" operator="equal">
      <formula>"F"</formula>
    </cfRule>
  </conditionalFormatting>
  <conditionalFormatting sqref="P132">
    <cfRule type="cellIs" dxfId="3831" priority="106" operator="equal">
      <formula>"U/P"</formula>
    </cfRule>
    <cfRule type="cellIs" dxfId="3830" priority="107" operator="equal">
      <formula>"F"</formula>
    </cfRule>
    <cfRule type="cellIs" dxfId="3829" priority="108" operator="equal">
      <formula>"F"</formula>
    </cfRule>
  </conditionalFormatting>
  <conditionalFormatting sqref="P141">
    <cfRule type="cellIs" dxfId="3828" priority="895" operator="equal">
      <formula>"F"</formula>
    </cfRule>
    <cfRule type="cellIs" dxfId="3827" priority="894" operator="equal">
      <formula>"U/P"</formula>
    </cfRule>
    <cfRule type="cellIs" dxfId="3826" priority="896" operator="equal">
      <formula>"F"</formula>
    </cfRule>
  </conditionalFormatting>
  <conditionalFormatting sqref="P150">
    <cfRule type="cellIs" dxfId="3825" priority="868" operator="equal">
      <formula>"F"</formula>
    </cfRule>
    <cfRule type="cellIs" dxfId="3824" priority="869" operator="equal">
      <formula>"F"</formula>
    </cfRule>
    <cfRule type="cellIs" dxfId="3823" priority="867" operator="equal">
      <formula>"U/P"</formula>
    </cfRule>
  </conditionalFormatting>
  <conditionalFormatting sqref="P159">
    <cfRule type="cellIs" dxfId="3822" priority="833" operator="equal">
      <formula>"F"</formula>
    </cfRule>
    <cfRule type="cellIs" dxfId="3821" priority="832" operator="equal">
      <formula>"F"</formula>
    </cfRule>
    <cfRule type="cellIs" dxfId="3820" priority="831" operator="equal">
      <formula>"U/P"</formula>
    </cfRule>
  </conditionalFormatting>
  <conditionalFormatting sqref="P168">
    <cfRule type="cellIs" dxfId="3819" priority="809" operator="equal">
      <formula>"F"</formula>
    </cfRule>
    <cfRule type="cellIs" dxfId="3818" priority="807" operator="equal">
      <formula>"U/P"</formula>
    </cfRule>
    <cfRule type="cellIs" dxfId="3817" priority="808" operator="equal">
      <formula>"F"</formula>
    </cfRule>
  </conditionalFormatting>
  <conditionalFormatting sqref="P176">
    <cfRule type="cellIs" dxfId="3816" priority="774" operator="equal">
      <formula>"U/P"</formula>
    </cfRule>
    <cfRule type="cellIs" dxfId="3815" priority="776" operator="equal">
      <formula>"F"</formula>
    </cfRule>
    <cfRule type="cellIs" dxfId="3814" priority="775" operator="equal">
      <formula>"F"</formula>
    </cfRule>
  </conditionalFormatting>
  <conditionalFormatting sqref="P185">
    <cfRule type="cellIs" dxfId="3813" priority="534" operator="equal">
      <formula>"U/P"</formula>
    </cfRule>
    <cfRule type="cellIs" dxfId="3812" priority="535" operator="equal">
      <formula>"F"</formula>
    </cfRule>
    <cfRule type="cellIs" dxfId="3811" priority="536" operator="equal">
      <formula>"F"</formula>
    </cfRule>
  </conditionalFormatting>
  <conditionalFormatting sqref="P194">
    <cfRule type="cellIs" dxfId="3810" priority="754" operator="equal">
      <formula>"F"</formula>
    </cfRule>
    <cfRule type="cellIs" dxfId="3809" priority="753" operator="equal">
      <formula>"U/P"</formula>
    </cfRule>
    <cfRule type="cellIs" dxfId="3808" priority="755" operator="equal">
      <formula>"F"</formula>
    </cfRule>
  </conditionalFormatting>
  <conditionalFormatting sqref="P202">
    <cfRule type="cellIs" dxfId="3807" priority="364" operator="equal">
      <formula>"U/P"</formula>
    </cfRule>
    <cfRule type="cellIs" dxfId="3806" priority="366" operator="equal">
      <formula>"F"</formula>
    </cfRule>
    <cfRule type="cellIs" dxfId="3805" priority="365" operator="equal">
      <formula>"F"</formula>
    </cfRule>
  </conditionalFormatting>
  <conditionalFormatting sqref="P210">
    <cfRule type="cellIs" dxfId="3804" priority="251" operator="equal">
      <formula>"F"</formula>
    </cfRule>
    <cfRule type="cellIs" dxfId="3803" priority="252" operator="equal">
      <formula>"F"</formula>
    </cfRule>
    <cfRule type="cellIs" dxfId="3802" priority="250" operator="equal">
      <formula>"U/P"</formula>
    </cfRule>
  </conditionalFormatting>
  <conditionalFormatting sqref="P218">
    <cfRule type="cellIs" dxfId="3801" priority="525" operator="equal">
      <formula>"U/P"</formula>
    </cfRule>
    <cfRule type="cellIs" dxfId="3800" priority="526" operator="equal">
      <formula>"F"</formula>
    </cfRule>
    <cfRule type="cellIs" dxfId="3799" priority="527" operator="equal">
      <formula>"F"</formula>
    </cfRule>
  </conditionalFormatting>
  <conditionalFormatting sqref="P226">
    <cfRule type="cellIs" dxfId="3798" priority="391" operator="equal">
      <formula>"U/P"</formula>
    </cfRule>
    <cfRule type="cellIs" dxfId="3797" priority="392" operator="equal">
      <formula>"F"</formula>
    </cfRule>
    <cfRule type="cellIs" dxfId="3796" priority="393" operator="equal">
      <formula>"F"</formula>
    </cfRule>
  </conditionalFormatting>
  <conditionalFormatting sqref="P235">
    <cfRule type="cellIs" dxfId="3795" priority="184" operator="equal">
      <formula>"U/P"</formula>
    </cfRule>
    <cfRule type="cellIs" dxfId="3794" priority="186" operator="equal">
      <formula>"F"</formula>
    </cfRule>
    <cfRule type="cellIs" dxfId="3793" priority="185" operator="equal">
      <formula>"F"</formula>
    </cfRule>
  </conditionalFormatting>
  <conditionalFormatting sqref="P244">
    <cfRule type="cellIs" dxfId="3792" priority="141" operator="equal">
      <formula>"F"</formula>
    </cfRule>
    <cfRule type="cellIs" dxfId="3791" priority="140" operator="equal">
      <formula>"F"</formula>
    </cfRule>
    <cfRule type="cellIs" dxfId="3790" priority="139" operator="equal">
      <formula>"U/P"</formula>
    </cfRule>
  </conditionalFormatting>
  <conditionalFormatting sqref="P252 D260 F260 J260 N260">
    <cfRule type="cellIs" dxfId="3789" priority="59" operator="equal">
      <formula>"F"</formula>
    </cfRule>
    <cfRule type="cellIs" dxfId="3788" priority="58" operator="equal">
      <formula>"U/P"</formula>
    </cfRule>
    <cfRule type="cellIs" dxfId="3787" priority="60" operator="equal">
      <formula>"F"</formula>
    </cfRule>
  </conditionalFormatting>
  <conditionalFormatting sqref="P260">
    <cfRule type="cellIs" dxfId="3786" priority="16" operator="equal">
      <formula>"U/P"</formula>
    </cfRule>
    <cfRule type="cellIs" dxfId="3785" priority="17" operator="equal">
      <formula>"F"</formula>
    </cfRule>
    <cfRule type="cellIs" dxfId="3784" priority="18" operator="equal">
      <formula>"F"</formula>
    </cfRule>
  </conditionalFormatting>
  <conditionalFormatting sqref="P268">
    <cfRule type="cellIs" dxfId="3783" priority="658" operator="equal">
      <formula>"F"</formula>
    </cfRule>
    <cfRule type="cellIs" dxfId="3782" priority="659" operator="equal">
      <formula>"F"</formula>
    </cfRule>
    <cfRule type="cellIs" dxfId="3781" priority="657" operator="equal">
      <formula>"U/P"</formula>
    </cfRule>
  </conditionalFormatting>
  <conditionalFormatting sqref="P276">
    <cfRule type="cellIs" dxfId="3780" priority="653" operator="equal">
      <formula>"F"</formula>
    </cfRule>
    <cfRule type="cellIs" dxfId="3779" priority="652" operator="equal">
      <formula>"F"</formula>
    </cfRule>
    <cfRule type="cellIs" dxfId="3778" priority="651" operator="equal">
      <formula>"U/P"</formula>
    </cfRule>
  </conditionalFormatting>
  <conditionalFormatting sqref="P284">
    <cfRule type="cellIs" dxfId="3777" priority="237" operator="equal">
      <formula>"F"</formula>
    </cfRule>
    <cfRule type="cellIs" dxfId="3776" priority="235" operator="equal">
      <formula>"U/P"</formula>
    </cfRule>
    <cfRule type="cellIs" dxfId="3775" priority="236" operator="equal">
      <formula>"F"</formula>
    </cfRule>
  </conditionalFormatting>
  <conditionalFormatting sqref="P292 R292 V292">
    <cfRule type="cellIs" dxfId="3774" priority="443" operator="equal">
      <formula>"F"</formula>
    </cfRule>
    <cfRule type="cellIs" dxfId="3773" priority="442" operator="equal">
      <formula>"U/P"</formula>
    </cfRule>
    <cfRule type="cellIs" dxfId="3772" priority="444" operator="equal">
      <formula>"F"</formula>
    </cfRule>
  </conditionalFormatting>
  <conditionalFormatting sqref="P300">
    <cfRule type="cellIs" dxfId="3771" priority="98" operator="equal">
      <formula>"F"</formula>
    </cfRule>
    <cfRule type="cellIs" dxfId="3770" priority="97" operator="equal">
      <formula>"U/P"</formula>
    </cfRule>
    <cfRule type="cellIs" dxfId="3769" priority="99" operator="equal">
      <formula>"F"</formula>
    </cfRule>
  </conditionalFormatting>
  <conditionalFormatting sqref="P308">
    <cfRule type="cellIs" dxfId="3768" priority="626" operator="equal">
      <formula>"F"</formula>
    </cfRule>
    <cfRule type="cellIs" dxfId="3767" priority="624" operator="equal">
      <formula>"U/P"</formula>
    </cfRule>
    <cfRule type="cellIs" dxfId="3766" priority="625" operator="equal">
      <formula>"F"</formula>
    </cfRule>
  </conditionalFormatting>
  <conditionalFormatting sqref="P315">
    <cfRule type="cellIs" dxfId="3765" priority="597" operator="equal">
      <formula>"U/P"</formula>
    </cfRule>
    <cfRule type="cellIs" dxfId="3764" priority="598" operator="equal">
      <formula>"F"</formula>
    </cfRule>
    <cfRule type="cellIs" dxfId="3763" priority="599" operator="equal">
      <formula>"F"</formula>
    </cfRule>
  </conditionalFormatting>
  <conditionalFormatting sqref="Q107">
    <cfRule type="cellIs" dxfId="3762" priority="1509" operator="equal">
      <formula>"F"</formula>
    </cfRule>
    <cfRule type="cellIs" dxfId="3761" priority="1508" operator="equal">
      <formula>"U/P"</formula>
    </cfRule>
    <cfRule type="cellIs" dxfId="3760" priority="1510" operator="equal">
      <formula>"F"</formula>
    </cfRule>
  </conditionalFormatting>
  <conditionalFormatting sqref="R20">
    <cfRule type="cellIs" dxfId="3759" priority="1432" operator="equal">
      <formula>"F"</formula>
    </cfRule>
    <cfRule type="cellIs" dxfId="3758" priority="1433" operator="equal">
      <formula>"F"</formula>
    </cfRule>
    <cfRule type="cellIs" dxfId="3757" priority="1431" operator="equal">
      <formula>"U/P"</formula>
    </cfRule>
  </conditionalFormatting>
  <conditionalFormatting sqref="R27">
    <cfRule type="cellIs" dxfId="3756" priority="1391" operator="equal">
      <formula>"F"</formula>
    </cfRule>
    <cfRule type="cellIs" dxfId="3755" priority="1389" operator="equal">
      <formula>"U/P"</formula>
    </cfRule>
    <cfRule type="cellIs" dxfId="3754" priority="1390" operator="equal">
      <formula>"F"</formula>
    </cfRule>
  </conditionalFormatting>
  <conditionalFormatting sqref="R34">
    <cfRule type="cellIs" dxfId="3753" priority="1351" operator="equal">
      <formula>"F"</formula>
    </cfRule>
    <cfRule type="cellIs" dxfId="3752" priority="1352" operator="equal">
      <formula>"F"</formula>
    </cfRule>
    <cfRule type="cellIs" dxfId="3751" priority="1350" operator="equal">
      <formula>"U/P"</formula>
    </cfRule>
  </conditionalFormatting>
  <conditionalFormatting sqref="R41">
    <cfRule type="cellIs" dxfId="3750" priority="1309" operator="equal">
      <formula>"F"</formula>
    </cfRule>
    <cfRule type="cellIs" dxfId="3749" priority="1310" operator="equal">
      <formula>"F"</formula>
    </cfRule>
    <cfRule type="cellIs" dxfId="3748" priority="1308" operator="equal">
      <formula>"U/P"</formula>
    </cfRule>
  </conditionalFormatting>
  <conditionalFormatting sqref="R48">
    <cfRule type="cellIs" dxfId="3747" priority="1266" operator="equal">
      <formula>"U/P"</formula>
    </cfRule>
    <cfRule type="cellIs" dxfId="3746" priority="1268" operator="equal">
      <formula>"F"</formula>
    </cfRule>
    <cfRule type="cellIs" dxfId="3745" priority="1267" operator="equal">
      <formula>"F"</formula>
    </cfRule>
  </conditionalFormatting>
  <conditionalFormatting sqref="R57">
    <cfRule type="cellIs" dxfId="3744" priority="1226" operator="equal">
      <formula>"F"</formula>
    </cfRule>
    <cfRule type="cellIs" dxfId="3743" priority="1225" operator="equal">
      <formula>"F"</formula>
    </cfRule>
    <cfRule type="cellIs" dxfId="3742" priority="1224" operator="equal">
      <formula>"U/P"</formula>
    </cfRule>
  </conditionalFormatting>
  <conditionalFormatting sqref="R65">
    <cfRule type="cellIs" dxfId="3741" priority="1182" operator="equal">
      <formula>"U/P"</formula>
    </cfRule>
    <cfRule type="cellIs" dxfId="3740" priority="1184" operator="equal">
      <formula>"F"</formula>
    </cfRule>
    <cfRule type="cellIs" dxfId="3739" priority="1183" operator="equal">
      <formula>"F"</formula>
    </cfRule>
  </conditionalFormatting>
  <conditionalFormatting sqref="R73">
    <cfRule type="cellIs" dxfId="3738" priority="1141" operator="equal">
      <formula>"F"</formula>
    </cfRule>
    <cfRule type="cellIs" dxfId="3737" priority="1142" operator="equal">
      <formula>"F"</formula>
    </cfRule>
    <cfRule type="cellIs" dxfId="3736" priority="1140" operator="equal">
      <formula>"U/P"</formula>
    </cfRule>
  </conditionalFormatting>
  <conditionalFormatting sqref="R82">
    <cfRule type="cellIs" dxfId="3735" priority="1104" operator="equal">
      <formula>"U/P"</formula>
    </cfRule>
    <cfRule type="cellIs" dxfId="3734" priority="1106" operator="equal">
      <formula>"F"</formula>
    </cfRule>
    <cfRule type="cellIs" dxfId="3733" priority="1105" operator="equal">
      <formula>"F"</formula>
    </cfRule>
  </conditionalFormatting>
  <conditionalFormatting sqref="R90">
    <cfRule type="cellIs" dxfId="3732" priority="1067" operator="equal">
      <formula>"F"</formula>
    </cfRule>
    <cfRule type="cellIs" dxfId="3731" priority="1066" operator="equal">
      <formula>"F"</formula>
    </cfRule>
    <cfRule type="cellIs" dxfId="3730" priority="1065" operator="equal">
      <formula>"U/P"</formula>
    </cfRule>
  </conditionalFormatting>
  <conditionalFormatting sqref="R99">
    <cfRule type="cellIs" dxfId="3729" priority="1024" operator="equal">
      <formula>"F"</formula>
    </cfRule>
    <cfRule type="cellIs" dxfId="3728" priority="1025" operator="equal">
      <formula>"F"</formula>
    </cfRule>
    <cfRule type="cellIs" dxfId="3727" priority="1023" operator="equal">
      <formula>"U/P"</formula>
    </cfRule>
  </conditionalFormatting>
  <conditionalFormatting sqref="R110">
    <cfRule type="cellIs" dxfId="3726" priority="460" operator="equal">
      <formula>0</formula>
    </cfRule>
  </conditionalFormatting>
  <conditionalFormatting sqref="R115">
    <cfRule type="cellIs" dxfId="3725" priority="955" operator="equal">
      <formula>"F"</formula>
    </cfRule>
    <cfRule type="cellIs" dxfId="3724" priority="956" operator="equal">
      <formula>"F"</formula>
    </cfRule>
    <cfRule type="cellIs" dxfId="3723" priority="954" operator="equal">
      <formula>"U/P"</formula>
    </cfRule>
  </conditionalFormatting>
  <conditionalFormatting sqref="R123">
    <cfRule type="cellIs" dxfId="3722" priority="541" operator="equal">
      <formula>"F"</formula>
    </cfRule>
    <cfRule type="cellIs" dxfId="3721" priority="542" operator="equal">
      <formula>"F"</formula>
    </cfRule>
    <cfRule type="cellIs" dxfId="3720" priority="540" operator="equal">
      <formula>"U/P"</formula>
    </cfRule>
  </conditionalFormatting>
  <conditionalFormatting sqref="R132">
    <cfRule type="cellIs" dxfId="3719" priority="68" operator="equal">
      <formula>"F"</formula>
    </cfRule>
    <cfRule type="cellIs" dxfId="3718" priority="67" operator="equal">
      <formula>"U/P"</formula>
    </cfRule>
    <cfRule type="cellIs" dxfId="3717" priority="69" operator="equal">
      <formula>"F"</formula>
    </cfRule>
  </conditionalFormatting>
  <conditionalFormatting sqref="R141">
    <cfRule type="cellIs" dxfId="3716" priority="893" operator="equal">
      <formula>"F"</formula>
    </cfRule>
    <cfRule type="cellIs" dxfId="3715" priority="891" operator="equal">
      <formula>"U/P"</formula>
    </cfRule>
    <cfRule type="cellIs" dxfId="3714" priority="892" operator="equal">
      <formula>"F"</formula>
    </cfRule>
  </conditionalFormatting>
  <conditionalFormatting sqref="R150">
    <cfRule type="cellIs" dxfId="3713" priority="865" operator="equal">
      <formula>"F"</formula>
    </cfRule>
    <cfRule type="cellIs" dxfId="3712" priority="864" operator="equal">
      <formula>"U/P"</formula>
    </cfRule>
    <cfRule type="cellIs" dxfId="3711" priority="866" operator="equal">
      <formula>"F"</formula>
    </cfRule>
  </conditionalFormatting>
  <conditionalFormatting sqref="R159">
    <cfRule type="cellIs" dxfId="3710" priority="830" operator="equal">
      <formula>"F"</formula>
    </cfRule>
    <cfRule type="cellIs" dxfId="3709" priority="828" operator="equal">
      <formula>"U/P"</formula>
    </cfRule>
    <cfRule type="cellIs" dxfId="3708" priority="829" operator="equal">
      <formula>"F"</formula>
    </cfRule>
  </conditionalFormatting>
  <conditionalFormatting sqref="R168">
    <cfRule type="cellIs" dxfId="3707" priority="482" operator="equal">
      <formula>"F"</formula>
    </cfRule>
    <cfRule type="cellIs" dxfId="3706" priority="481" operator="equal">
      <formula>"F"</formula>
    </cfRule>
    <cfRule type="cellIs" dxfId="3705" priority="480" operator="equal">
      <formula>"U/P"</formula>
    </cfRule>
  </conditionalFormatting>
  <conditionalFormatting sqref="R176">
    <cfRule type="cellIs" dxfId="3704" priority="771" operator="equal">
      <formula>"U/P"</formula>
    </cfRule>
    <cfRule type="cellIs" dxfId="3703" priority="772" operator="equal">
      <formula>"F"</formula>
    </cfRule>
    <cfRule type="cellIs" dxfId="3702" priority="773" operator="equal">
      <formula>"F"</formula>
    </cfRule>
  </conditionalFormatting>
  <conditionalFormatting sqref="R185">
    <cfRule type="cellIs" dxfId="3701" priority="517" operator="equal">
      <formula>"F"</formula>
    </cfRule>
    <cfRule type="cellIs" dxfId="3700" priority="518" operator="equal">
      <formula>"F"</formula>
    </cfRule>
    <cfRule type="cellIs" dxfId="3699" priority="516" operator="equal">
      <formula>"U/P"</formula>
    </cfRule>
  </conditionalFormatting>
  <conditionalFormatting sqref="R194">
    <cfRule type="cellIs" dxfId="3698" priority="1465" operator="equal">
      <formula>"F"</formula>
    </cfRule>
    <cfRule type="cellIs" dxfId="3697" priority="1464" operator="equal">
      <formula>"F"</formula>
    </cfRule>
    <cfRule type="cellIs" dxfId="3696" priority="1463" operator="equal">
      <formula>"U/P"</formula>
    </cfRule>
  </conditionalFormatting>
  <conditionalFormatting sqref="R202">
    <cfRule type="cellIs" dxfId="3695" priority="396" operator="equal">
      <formula>"F"</formula>
    </cfRule>
    <cfRule type="cellIs" dxfId="3694" priority="395" operator="equal">
      <formula>"F"</formula>
    </cfRule>
    <cfRule type="cellIs" dxfId="3693" priority="394" operator="equal">
      <formula>"U/P"</formula>
    </cfRule>
  </conditionalFormatting>
  <conditionalFormatting sqref="R210 T210 Y213">
    <cfRule type="cellIs" dxfId="3692" priority="357" operator="equal">
      <formula>"F"</formula>
    </cfRule>
    <cfRule type="cellIs" dxfId="3691" priority="356" operator="equal">
      <formula>"F"</formula>
    </cfRule>
    <cfRule type="cellIs" dxfId="3690" priority="355" operator="equal">
      <formula>"U/P"</formula>
    </cfRule>
  </conditionalFormatting>
  <conditionalFormatting sqref="R218 T218 Z218 AB218">
    <cfRule type="cellIs" dxfId="3689" priority="349" operator="equal">
      <formula>"U/P"</formula>
    </cfRule>
    <cfRule type="cellIs" dxfId="3688" priority="351" operator="equal">
      <formula>"F"</formula>
    </cfRule>
    <cfRule type="cellIs" dxfId="3687" priority="350" operator="equal">
      <formula>"F"</formula>
    </cfRule>
  </conditionalFormatting>
  <conditionalFormatting sqref="R226">
    <cfRule type="cellIs" dxfId="3686" priority="711" operator="equal">
      <formula>"U/P"</formula>
    </cfRule>
    <cfRule type="cellIs" dxfId="3685" priority="713" operator="equal">
      <formula>"F"</formula>
    </cfRule>
    <cfRule type="cellIs" dxfId="3684" priority="712" operator="equal">
      <formula>"F"</formula>
    </cfRule>
  </conditionalFormatting>
  <conditionalFormatting sqref="R235">
    <cfRule type="cellIs" dxfId="3683" priority="247" operator="equal">
      <formula>"U/P"</formula>
    </cfRule>
    <cfRule type="cellIs" dxfId="3682" priority="248" operator="equal">
      <formula>"F"</formula>
    </cfRule>
    <cfRule type="cellIs" dxfId="3681" priority="249" operator="equal">
      <formula>"F"</formula>
    </cfRule>
  </conditionalFormatting>
  <conditionalFormatting sqref="R244">
    <cfRule type="cellIs" dxfId="3680" priority="138" operator="equal">
      <formula>"F"</formula>
    </cfRule>
    <cfRule type="cellIs" dxfId="3679" priority="137" operator="equal">
      <formula>"F"</formula>
    </cfRule>
    <cfRule type="cellIs" dxfId="3678" priority="136" operator="equal">
      <formula>"U/P"</formula>
    </cfRule>
  </conditionalFormatting>
  <conditionalFormatting sqref="R252">
    <cfRule type="cellIs" dxfId="3677" priority="129" operator="equal">
      <formula>"F"</formula>
    </cfRule>
    <cfRule type="cellIs" dxfId="3676" priority="128" operator="equal">
      <formula>"F"</formula>
    </cfRule>
    <cfRule type="cellIs" dxfId="3675" priority="127" operator="equal">
      <formula>"U/P"</formula>
    </cfRule>
  </conditionalFormatting>
  <conditionalFormatting sqref="R260">
    <cfRule type="cellIs" dxfId="3674" priority="4" operator="equal">
      <formula>"U/P"</formula>
    </cfRule>
    <cfRule type="cellIs" dxfId="3673" priority="5" operator="equal">
      <formula>"F"</formula>
    </cfRule>
    <cfRule type="cellIs" dxfId="3672" priority="6" operator="equal">
      <formula>"F"</formula>
    </cfRule>
  </conditionalFormatting>
  <conditionalFormatting sqref="R268">
    <cfRule type="cellIs" dxfId="3671" priority="189" operator="equal">
      <formula>"F"</formula>
    </cfRule>
    <cfRule type="cellIs" dxfId="3670" priority="187" operator="equal">
      <formula>"U/P"</formula>
    </cfRule>
    <cfRule type="cellIs" dxfId="3669" priority="188" operator="equal">
      <formula>"F"</formula>
    </cfRule>
  </conditionalFormatting>
  <conditionalFormatting sqref="R276">
    <cfRule type="cellIs" dxfId="3668" priority="168" operator="equal">
      <formula>"F"</formula>
    </cfRule>
    <cfRule type="cellIs" dxfId="3667" priority="167" operator="equal">
      <formula>"F"</formula>
    </cfRule>
    <cfRule type="cellIs" dxfId="3666" priority="166" operator="equal">
      <formula>"U/P"</formula>
    </cfRule>
  </conditionalFormatting>
  <conditionalFormatting sqref="R284">
    <cfRule type="cellIs" dxfId="3665" priority="211" operator="equal">
      <formula>"U/P"</formula>
    </cfRule>
    <cfRule type="cellIs" dxfId="3664" priority="213" operator="equal">
      <formula>"F"</formula>
    </cfRule>
    <cfRule type="cellIs" dxfId="3663" priority="212" operator="equal">
      <formula>"F"</formula>
    </cfRule>
  </conditionalFormatting>
  <conditionalFormatting sqref="R300">
    <cfRule type="cellIs" dxfId="3662" priority="162" operator="equal">
      <formula>"F"</formula>
    </cfRule>
    <cfRule type="cellIs" dxfId="3661" priority="161" operator="equal">
      <formula>"F"</formula>
    </cfRule>
    <cfRule type="cellIs" dxfId="3660" priority="160" operator="equal">
      <formula>"U/P"</formula>
    </cfRule>
  </conditionalFormatting>
  <conditionalFormatting sqref="R308">
    <cfRule type="cellIs" dxfId="3659" priority="611" operator="equal">
      <formula>"F"</formula>
    </cfRule>
    <cfRule type="cellIs" dxfId="3658" priority="609" operator="equal">
      <formula>"U/P"</formula>
    </cfRule>
    <cfRule type="cellIs" dxfId="3657" priority="610" operator="equal">
      <formula>"F"</formula>
    </cfRule>
  </conditionalFormatting>
  <conditionalFormatting sqref="R315">
    <cfRule type="cellIs" dxfId="3656" priority="576" operator="equal">
      <formula>"U/P"</formula>
    </cfRule>
    <cfRule type="cellIs" dxfId="3655" priority="577" operator="equal">
      <formula>"F"</formula>
    </cfRule>
    <cfRule type="cellIs" dxfId="3654" priority="578" operator="equal">
      <formula>"F"</formula>
    </cfRule>
  </conditionalFormatting>
  <conditionalFormatting sqref="S107">
    <cfRule type="cellIs" dxfId="3653" priority="1506" operator="equal">
      <formula>"F"</formula>
    </cfRule>
    <cfRule type="cellIs" dxfId="3652" priority="1507" operator="equal">
      <formula>"F"</formula>
    </cfRule>
    <cfRule type="cellIs" dxfId="3651" priority="1505" operator="equal">
      <formula>"U/P"</formula>
    </cfRule>
  </conditionalFormatting>
  <conditionalFormatting sqref="T20">
    <cfRule type="cellIs" dxfId="3650" priority="1428" operator="equal">
      <formula>"U/P"</formula>
    </cfRule>
    <cfRule type="cellIs" dxfId="3649" priority="1429" operator="equal">
      <formula>"F"</formula>
    </cfRule>
    <cfRule type="cellIs" dxfId="3648" priority="1430" operator="equal">
      <formula>"F"</formula>
    </cfRule>
  </conditionalFormatting>
  <conditionalFormatting sqref="T27">
    <cfRule type="cellIs" dxfId="3647" priority="1388" operator="equal">
      <formula>"F"</formula>
    </cfRule>
    <cfRule type="cellIs" dxfId="3646" priority="1386" operator="equal">
      <formula>"U/P"</formula>
    </cfRule>
    <cfRule type="cellIs" dxfId="3645" priority="1387" operator="equal">
      <formula>"F"</formula>
    </cfRule>
  </conditionalFormatting>
  <conditionalFormatting sqref="T34">
    <cfRule type="cellIs" dxfId="3644" priority="1348" operator="equal">
      <formula>"F"</formula>
    </cfRule>
    <cfRule type="cellIs" dxfId="3643" priority="1347" operator="equal">
      <formula>"U/P"</formula>
    </cfRule>
    <cfRule type="cellIs" dxfId="3642" priority="1349" operator="equal">
      <formula>"F"</formula>
    </cfRule>
  </conditionalFormatting>
  <conditionalFormatting sqref="T41">
    <cfRule type="cellIs" dxfId="3641" priority="1305" operator="equal">
      <formula>"U/P"</formula>
    </cfRule>
    <cfRule type="cellIs" dxfId="3640" priority="1306" operator="equal">
      <formula>"F"</formula>
    </cfRule>
    <cfRule type="cellIs" dxfId="3639" priority="1307" operator="equal">
      <formula>"F"</formula>
    </cfRule>
  </conditionalFormatting>
  <conditionalFormatting sqref="T48">
    <cfRule type="cellIs" dxfId="3638" priority="1265" operator="equal">
      <formula>"F"</formula>
    </cfRule>
    <cfRule type="cellIs" dxfId="3637" priority="1264" operator="equal">
      <formula>"F"</formula>
    </cfRule>
    <cfRule type="cellIs" dxfId="3636" priority="1263" operator="equal">
      <formula>"U/P"</formula>
    </cfRule>
  </conditionalFormatting>
  <conditionalFormatting sqref="T57">
    <cfRule type="cellIs" dxfId="3635" priority="1221" operator="equal">
      <formula>"U/P"</formula>
    </cfRule>
    <cfRule type="cellIs" dxfId="3634" priority="1223" operator="equal">
      <formula>"F"</formula>
    </cfRule>
    <cfRule type="cellIs" dxfId="3633" priority="1222" operator="equal">
      <formula>"F"</formula>
    </cfRule>
  </conditionalFormatting>
  <conditionalFormatting sqref="T65">
    <cfRule type="cellIs" dxfId="3632" priority="1179" operator="equal">
      <formula>"U/P"</formula>
    </cfRule>
    <cfRule type="cellIs" dxfId="3631" priority="1180" operator="equal">
      <formula>"F"</formula>
    </cfRule>
    <cfRule type="cellIs" dxfId="3630" priority="1181" operator="equal">
      <formula>"F"</formula>
    </cfRule>
  </conditionalFormatting>
  <conditionalFormatting sqref="T73">
    <cfRule type="cellIs" dxfId="3629" priority="1138" operator="equal">
      <formula>"F"</formula>
    </cfRule>
    <cfRule type="cellIs" dxfId="3628" priority="1139" operator="equal">
      <formula>"F"</formula>
    </cfRule>
    <cfRule type="cellIs" dxfId="3627" priority="1137" operator="equal">
      <formula>"U/P"</formula>
    </cfRule>
  </conditionalFormatting>
  <conditionalFormatting sqref="T82">
    <cfRule type="cellIs" dxfId="3626" priority="1103" operator="equal">
      <formula>"F"</formula>
    </cfRule>
    <cfRule type="cellIs" dxfId="3625" priority="1102" operator="equal">
      <formula>"F"</formula>
    </cfRule>
    <cfRule type="cellIs" dxfId="3624" priority="1101" operator="equal">
      <formula>"U/P"</formula>
    </cfRule>
  </conditionalFormatting>
  <conditionalFormatting sqref="T90">
    <cfRule type="cellIs" dxfId="3623" priority="1063" operator="equal">
      <formula>"F"</formula>
    </cfRule>
    <cfRule type="cellIs" dxfId="3622" priority="1064" operator="equal">
      <formula>"F"</formula>
    </cfRule>
    <cfRule type="cellIs" dxfId="3621" priority="1062" operator="equal">
      <formula>"U/P"</formula>
    </cfRule>
  </conditionalFormatting>
  <conditionalFormatting sqref="T99">
    <cfRule type="cellIs" dxfId="3620" priority="1022" operator="equal">
      <formula>"F"</formula>
    </cfRule>
    <cfRule type="cellIs" dxfId="3619" priority="1021" operator="equal">
      <formula>"F"</formula>
    </cfRule>
    <cfRule type="cellIs" dxfId="3618" priority="1020" operator="equal">
      <formula>"U/P"</formula>
    </cfRule>
  </conditionalFormatting>
  <conditionalFormatting sqref="T115">
    <cfRule type="cellIs" dxfId="3617" priority="953" operator="equal">
      <formula>"F"</formula>
    </cfRule>
    <cfRule type="cellIs" dxfId="3616" priority="952" operator="equal">
      <formula>"F"</formula>
    </cfRule>
    <cfRule type="cellIs" dxfId="3615" priority="951" operator="equal">
      <formula>"U/P"</formula>
    </cfRule>
  </conditionalFormatting>
  <conditionalFormatting sqref="T123">
    <cfRule type="cellIs" dxfId="3614" priority="925" operator="equal">
      <formula>"F"</formula>
    </cfRule>
    <cfRule type="cellIs" dxfId="3613" priority="926" operator="equal">
      <formula>"F"</formula>
    </cfRule>
    <cfRule type="cellIs" dxfId="3612" priority="924" operator="equal">
      <formula>"U/P"</formula>
    </cfRule>
  </conditionalFormatting>
  <conditionalFormatting sqref="T132">
    <cfRule type="cellIs" dxfId="3611" priority="48" operator="equal">
      <formula>"F"</formula>
    </cfRule>
    <cfRule type="cellIs" dxfId="3610" priority="46" operator="equal">
      <formula>"U/P"</formula>
    </cfRule>
    <cfRule type="cellIs" dxfId="3609" priority="47" operator="equal">
      <formula>"F"</formula>
    </cfRule>
  </conditionalFormatting>
  <conditionalFormatting sqref="T141">
    <cfRule type="cellIs" dxfId="3608" priority="537" operator="equal">
      <formula>"U/P"</formula>
    </cfRule>
    <cfRule type="cellIs" dxfId="3607" priority="538" operator="equal">
      <formula>"F"</formula>
    </cfRule>
    <cfRule type="cellIs" dxfId="3606" priority="539" operator="equal">
      <formula>"F"</formula>
    </cfRule>
  </conditionalFormatting>
  <conditionalFormatting sqref="T150">
    <cfRule type="cellIs" dxfId="3605" priority="861" operator="equal">
      <formula>"U/P"</formula>
    </cfRule>
    <cfRule type="cellIs" dxfId="3604" priority="862" operator="equal">
      <formula>"F"</formula>
    </cfRule>
    <cfRule type="cellIs" dxfId="3603" priority="863" operator="equal">
      <formula>"F"</formula>
    </cfRule>
  </conditionalFormatting>
  <conditionalFormatting sqref="T159">
    <cfRule type="cellIs" dxfId="3602" priority="827" operator="equal">
      <formula>"F"</formula>
    </cfRule>
    <cfRule type="cellIs" dxfId="3601" priority="825" operator="equal">
      <formula>"U/P"</formula>
    </cfRule>
    <cfRule type="cellIs" dxfId="3600" priority="826" operator="equal">
      <formula>"F"</formula>
    </cfRule>
  </conditionalFormatting>
  <conditionalFormatting sqref="T168">
    <cfRule type="cellIs" dxfId="3599" priority="804" operator="equal">
      <formula>"U/P"</formula>
    </cfRule>
    <cfRule type="cellIs" dxfId="3598" priority="806" operator="equal">
      <formula>"F"</formula>
    </cfRule>
    <cfRule type="cellIs" dxfId="3597" priority="805" operator="equal">
      <formula>"F"</formula>
    </cfRule>
  </conditionalFormatting>
  <conditionalFormatting sqref="T171">
    <cfRule type="cellIs" dxfId="3596" priority="432" operator="equal">
      <formula>0</formula>
    </cfRule>
  </conditionalFormatting>
  <conditionalFormatting sqref="T176">
    <cfRule type="cellIs" dxfId="3595" priority="768" operator="equal">
      <formula>"U/P"</formula>
    </cfRule>
    <cfRule type="cellIs" dxfId="3594" priority="770" operator="equal">
      <formula>"F"</formula>
    </cfRule>
    <cfRule type="cellIs" dxfId="3593" priority="769" operator="equal">
      <formula>"F"</formula>
    </cfRule>
  </conditionalFormatting>
  <conditionalFormatting sqref="T185">
    <cfRule type="cellIs" dxfId="3592" priority="74" operator="equal">
      <formula>"F"</formula>
    </cfRule>
    <cfRule type="cellIs" dxfId="3591" priority="73" operator="equal">
      <formula>"U/P"</formula>
    </cfRule>
    <cfRule type="cellIs" dxfId="3590" priority="75" operator="equal">
      <formula>"F"</formula>
    </cfRule>
  </conditionalFormatting>
  <conditionalFormatting sqref="T194 V194 Z194 AB194 B202 H202">
    <cfRule type="cellIs" dxfId="3589" priority="361" operator="equal">
      <formula>"U/P"</formula>
    </cfRule>
    <cfRule type="cellIs" dxfId="3588" priority="363" operator="equal">
      <formula>"F"</formula>
    </cfRule>
    <cfRule type="cellIs" dxfId="3587" priority="362" operator="equal">
      <formula>"F"</formula>
    </cfRule>
  </conditionalFormatting>
  <conditionalFormatting sqref="T202">
    <cfRule type="cellIs" dxfId="3586" priority="552" operator="equal">
      <formula>"U/P"</formula>
    </cfRule>
    <cfRule type="cellIs" dxfId="3585" priority="553" operator="equal">
      <formula>"F"</formula>
    </cfRule>
    <cfRule type="cellIs" dxfId="3584" priority="554" operator="equal">
      <formula>"F"</formula>
    </cfRule>
  </conditionalFormatting>
  <conditionalFormatting sqref="T226">
    <cfRule type="cellIs" dxfId="3583" priority="709" operator="equal">
      <formula>"F"</formula>
    </cfRule>
    <cfRule type="cellIs" dxfId="3582" priority="710" operator="equal">
      <formula>"F"</formula>
    </cfRule>
    <cfRule type="cellIs" dxfId="3581" priority="708" operator="equal">
      <formula>"U/P"</formula>
    </cfRule>
  </conditionalFormatting>
  <conditionalFormatting sqref="T235">
    <cfRule type="cellIs" dxfId="3580" priority="80" operator="equal">
      <formula>"F"</formula>
    </cfRule>
    <cfRule type="cellIs" dxfId="3579" priority="79" operator="equal">
      <formula>"U/P"</formula>
    </cfRule>
    <cfRule type="cellIs" dxfId="3578" priority="81" operator="equal">
      <formula>"F"</formula>
    </cfRule>
  </conditionalFormatting>
  <conditionalFormatting sqref="T244">
    <cfRule type="cellIs" dxfId="3577" priority="3" operator="equal">
      <formula>"F"</formula>
    </cfRule>
    <cfRule type="cellIs" dxfId="3576" priority="1" operator="equal">
      <formula>"U/P"</formula>
    </cfRule>
    <cfRule type="cellIs" dxfId="3575" priority="2" operator="equal">
      <formula>"F"</formula>
    </cfRule>
  </conditionalFormatting>
  <conditionalFormatting sqref="T252">
    <cfRule type="cellIs" dxfId="3574" priority="194" operator="equal">
      <formula>"F"</formula>
    </cfRule>
    <cfRule type="cellIs" dxfId="3573" priority="193" operator="equal">
      <formula>"U/P"</formula>
    </cfRule>
    <cfRule type="cellIs" dxfId="3572" priority="195" operator="equal">
      <formula>"F"</formula>
    </cfRule>
  </conditionalFormatting>
  <conditionalFormatting sqref="T260">
    <cfRule type="cellIs" dxfId="3571" priority="256" operator="equal">
      <formula>"U/P"</formula>
    </cfRule>
    <cfRule type="cellIs" dxfId="3570" priority="258" operator="equal">
      <formula>"F"</formula>
    </cfRule>
    <cfRule type="cellIs" dxfId="3569" priority="257" operator="equal">
      <formula>"F"</formula>
    </cfRule>
  </conditionalFormatting>
  <conditionalFormatting sqref="T268">
    <cfRule type="cellIs" dxfId="3568" priority="174" operator="equal">
      <formula>"F"</formula>
    </cfRule>
    <cfRule type="cellIs" dxfId="3567" priority="173" operator="equal">
      <formula>"F"</formula>
    </cfRule>
    <cfRule type="cellIs" dxfId="3566" priority="172" operator="equal">
      <formula>"U/P"</formula>
    </cfRule>
  </conditionalFormatting>
  <conditionalFormatting sqref="T276">
    <cfRule type="cellIs" dxfId="3565" priority="178" operator="equal">
      <formula>"U/P"</formula>
    </cfRule>
    <cfRule type="cellIs" dxfId="3564" priority="179" operator="equal">
      <formula>"F"</formula>
    </cfRule>
    <cfRule type="cellIs" dxfId="3563" priority="180" operator="equal">
      <formula>"F"</formula>
    </cfRule>
  </conditionalFormatting>
  <conditionalFormatting sqref="T284">
    <cfRule type="cellIs" dxfId="3562" priority="241" operator="equal">
      <formula>"U/P"</formula>
    </cfRule>
    <cfRule type="cellIs" dxfId="3561" priority="242" operator="equal">
      <formula>"F"</formula>
    </cfRule>
    <cfRule type="cellIs" dxfId="3560" priority="243" operator="equal">
      <formula>"F"</formula>
    </cfRule>
  </conditionalFormatting>
  <conditionalFormatting sqref="T292">
    <cfRule type="cellIs" dxfId="3559" priority="57" operator="equal">
      <formula>"F"</formula>
    </cfRule>
    <cfRule type="cellIs" dxfId="3558" priority="56" operator="equal">
      <formula>"F"</formula>
    </cfRule>
    <cfRule type="cellIs" dxfId="3557" priority="55" operator="equal">
      <formula>"U/P"</formula>
    </cfRule>
  </conditionalFormatting>
  <conditionalFormatting sqref="T300">
    <cfRule type="cellIs" dxfId="3556" priority="192" operator="equal">
      <formula>"F"</formula>
    </cfRule>
    <cfRule type="cellIs" dxfId="3555" priority="191" operator="equal">
      <formula>"F"</formula>
    </cfRule>
    <cfRule type="cellIs" dxfId="3554" priority="190" operator="equal">
      <formula>"U/P"</formula>
    </cfRule>
  </conditionalFormatting>
  <conditionalFormatting sqref="T307:T308">
    <cfRule type="cellIs" dxfId="3553" priority="606" operator="equal">
      <formula>"U/P"</formula>
    </cfRule>
    <cfRule type="cellIs" dxfId="3552" priority="608" operator="equal">
      <formula>"F"</formula>
    </cfRule>
    <cfRule type="cellIs" dxfId="3551" priority="607" operator="equal">
      <formula>"F"</formula>
    </cfRule>
  </conditionalFormatting>
  <conditionalFormatting sqref="T315">
    <cfRule type="cellIs" dxfId="3550" priority="575" operator="equal">
      <formula>"F"</formula>
    </cfRule>
    <cfRule type="cellIs" dxfId="3549" priority="574" operator="equal">
      <formula>"F"</formula>
    </cfRule>
    <cfRule type="cellIs" dxfId="3548" priority="573" operator="equal">
      <formula>"U/P"</formula>
    </cfRule>
  </conditionalFormatting>
  <conditionalFormatting sqref="U107">
    <cfRule type="cellIs" dxfId="3547" priority="984" operator="equal">
      <formula>"U/P"</formula>
    </cfRule>
    <cfRule type="cellIs" dxfId="3546" priority="985" operator="equal">
      <formula>"F"</formula>
    </cfRule>
    <cfRule type="cellIs" dxfId="3545" priority="986" operator="equal">
      <formula>"F"</formula>
    </cfRule>
  </conditionalFormatting>
  <conditionalFormatting sqref="V20">
    <cfRule type="cellIs" dxfId="3544" priority="1427" operator="equal">
      <formula>"F"</formula>
    </cfRule>
    <cfRule type="cellIs" dxfId="3543" priority="1425" operator="equal">
      <formula>"U/P"</formula>
    </cfRule>
    <cfRule type="cellIs" dxfId="3542" priority="1426" operator="equal">
      <formula>"F"</formula>
    </cfRule>
  </conditionalFormatting>
  <conditionalFormatting sqref="V27">
    <cfRule type="cellIs" dxfId="3541" priority="1385" operator="equal">
      <formula>"F"</formula>
    </cfRule>
    <cfRule type="cellIs" dxfId="3540" priority="1384" operator="equal">
      <formula>"F"</formula>
    </cfRule>
    <cfRule type="cellIs" dxfId="3539" priority="1383" operator="equal">
      <formula>"U/P"</formula>
    </cfRule>
  </conditionalFormatting>
  <conditionalFormatting sqref="V34">
    <cfRule type="cellIs" dxfId="3538" priority="1345" operator="equal">
      <formula>"F"</formula>
    </cfRule>
    <cfRule type="cellIs" dxfId="3537" priority="1346" operator="equal">
      <formula>"F"</formula>
    </cfRule>
    <cfRule type="cellIs" dxfId="3536" priority="1344" operator="equal">
      <formula>"U/P"</formula>
    </cfRule>
  </conditionalFormatting>
  <conditionalFormatting sqref="V41">
    <cfRule type="cellIs" dxfId="3535" priority="1302" operator="equal">
      <formula>"U/P"</formula>
    </cfRule>
    <cfRule type="cellIs" dxfId="3534" priority="1303" operator="equal">
      <formula>"F"</formula>
    </cfRule>
    <cfRule type="cellIs" dxfId="3533" priority="1304" operator="equal">
      <formula>"F"</formula>
    </cfRule>
  </conditionalFormatting>
  <conditionalFormatting sqref="V48">
    <cfRule type="cellIs" dxfId="3532" priority="1262" operator="equal">
      <formula>"F"</formula>
    </cfRule>
    <cfRule type="cellIs" dxfId="3531" priority="1261" operator="equal">
      <formula>"F"</formula>
    </cfRule>
    <cfRule type="cellIs" dxfId="3530" priority="1260" operator="equal">
      <formula>"U/P"</formula>
    </cfRule>
  </conditionalFormatting>
  <conditionalFormatting sqref="V57">
    <cfRule type="cellIs" dxfId="3529" priority="1218" operator="equal">
      <formula>"U/P"</formula>
    </cfRule>
    <cfRule type="cellIs" dxfId="3528" priority="1219" operator="equal">
      <formula>"F"</formula>
    </cfRule>
    <cfRule type="cellIs" dxfId="3527" priority="1220" operator="equal">
      <formula>"F"</formula>
    </cfRule>
  </conditionalFormatting>
  <conditionalFormatting sqref="V65">
    <cfRule type="cellIs" dxfId="3526" priority="1177" operator="equal">
      <formula>"F"</formula>
    </cfRule>
    <cfRule type="cellIs" dxfId="3525" priority="1178" operator="equal">
      <formula>"F"</formula>
    </cfRule>
    <cfRule type="cellIs" dxfId="3524" priority="1176" operator="equal">
      <formula>"U/P"</formula>
    </cfRule>
  </conditionalFormatting>
  <conditionalFormatting sqref="V73">
    <cfRule type="cellIs" dxfId="3523" priority="1135" operator="equal">
      <formula>"F"</formula>
    </cfRule>
    <cfRule type="cellIs" dxfId="3522" priority="1134" operator="equal">
      <formula>"U/P"</formula>
    </cfRule>
    <cfRule type="cellIs" dxfId="3521" priority="1136" operator="equal">
      <formula>"F"</formula>
    </cfRule>
  </conditionalFormatting>
  <conditionalFormatting sqref="V82">
    <cfRule type="cellIs" dxfId="3520" priority="1100" operator="equal">
      <formula>"F"</formula>
    </cfRule>
    <cfRule type="cellIs" dxfId="3519" priority="1099" operator="equal">
      <formula>"F"</formula>
    </cfRule>
    <cfRule type="cellIs" dxfId="3518" priority="1098" operator="equal">
      <formula>"U/P"</formula>
    </cfRule>
  </conditionalFormatting>
  <conditionalFormatting sqref="V90">
    <cfRule type="cellIs" dxfId="3517" priority="1061" operator="equal">
      <formula>"F"</formula>
    </cfRule>
    <cfRule type="cellIs" dxfId="3516" priority="1059" operator="equal">
      <formula>"U/P"</formula>
    </cfRule>
    <cfRule type="cellIs" dxfId="3515" priority="1060" operator="equal">
      <formula>"F"</formula>
    </cfRule>
  </conditionalFormatting>
  <conditionalFormatting sqref="V99">
    <cfRule type="cellIs" dxfId="3514" priority="1017" operator="equal">
      <formula>"U/P"</formula>
    </cfRule>
    <cfRule type="cellIs" dxfId="3513" priority="1019" operator="equal">
      <formula>"F"</formula>
    </cfRule>
    <cfRule type="cellIs" dxfId="3512" priority="1018" operator="equal">
      <formula>"F"</formula>
    </cfRule>
  </conditionalFormatting>
  <conditionalFormatting sqref="V115">
    <cfRule type="cellIs" dxfId="3511" priority="948" operator="equal">
      <formula>"U/P"</formula>
    </cfRule>
    <cfRule type="cellIs" dxfId="3510" priority="950" operator="equal">
      <formula>"F"</formula>
    </cfRule>
    <cfRule type="cellIs" dxfId="3509" priority="949" operator="equal">
      <formula>"F"</formula>
    </cfRule>
  </conditionalFormatting>
  <conditionalFormatting sqref="V123">
    <cfRule type="cellIs" dxfId="3508" priority="922" operator="equal">
      <formula>"F"</formula>
    </cfRule>
    <cfRule type="cellIs" dxfId="3507" priority="921" operator="equal">
      <formula>"U/P"</formula>
    </cfRule>
    <cfRule type="cellIs" dxfId="3506" priority="923" operator="equal">
      <formula>"F"</formula>
    </cfRule>
  </conditionalFormatting>
  <conditionalFormatting sqref="V132">
    <cfRule type="cellIs" dxfId="3505" priority="34" operator="equal">
      <formula>"U/P"</formula>
    </cfRule>
    <cfRule type="cellIs" dxfId="3504" priority="35" operator="equal">
      <formula>"F"</formula>
    </cfRule>
    <cfRule type="cellIs" dxfId="3503" priority="36" operator="equal">
      <formula>"F"</formula>
    </cfRule>
  </conditionalFormatting>
  <conditionalFormatting sqref="V141">
    <cfRule type="cellIs" dxfId="3502" priority="492" operator="equal">
      <formula>"U/P"</formula>
    </cfRule>
    <cfRule type="cellIs" dxfId="3501" priority="494" operator="equal">
      <formula>"F"</formula>
    </cfRule>
    <cfRule type="cellIs" dxfId="3500" priority="493" operator="equal">
      <formula>"F"</formula>
    </cfRule>
  </conditionalFormatting>
  <conditionalFormatting sqref="V150">
    <cfRule type="cellIs" dxfId="3499" priority="859" operator="equal">
      <formula>"F"</formula>
    </cfRule>
    <cfRule type="cellIs" dxfId="3498" priority="858" operator="equal">
      <formula>"U/P"</formula>
    </cfRule>
    <cfRule type="cellIs" dxfId="3497" priority="860" operator="equal">
      <formula>"F"</formula>
    </cfRule>
  </conditionalFormatting>
  <conditionalFormatting sqref="V159">
    <cfRule type="cellIs" dxfId="3496" priority="563" operator="equal">
      <formula>"F"</formula>
    </cfRule>
    <cfRule type="cellIs" dxfId="3495" priority="562" operator="equal">
      <formula>"F"</formula>
    </cfRule>
    <cfRule type="cellIs" dxfId="3494" priority="561" operator="equal">
      <formula>"U/P"</formula>
    </cfRule>
  </conditionalFormatting>
  <conditionalFormatting sqref="V168">
    <cfRule type="cellIs" dxfId="3493" priority="803" operator="equal">
      <formula>"F"</formula>
    </cfRule>
    <cfRule type="cellIs" dxfId="3492" priority="801" operator="equal">
      <formula>"U/P"</formula>
    </cfRule>
    <cfRule type="cellIs" dxfId="3491" priority="802" operator="equal">
      <formula>"F"</formula>
    </cfRule>
  </conditionalFormatting>
  <conditionalFormatting sqref="V176">
    <cfRule type="cellIs" dxfId="3490" priority="453" operator="equal">
      <formula>"F"</formula>
    </cfRule>
    <cfRule type="cellIs" dxfId="3489" priority="452" operator="equal">
      <formula>"F"</formula>
    </cfRule>
    <cfRule type="cellIs" dxfId="3488" priority="451" operator="equal">
      <formula>"U/P"</formula>
    </cfRule>
  </conditionalFormatting>
  <conditionalFormatting sqref="V185">
    <cfRule type="cellIs" dxfId="3487" priority="447" operator="equal">
      <formula>"F"</formula>
    </cfRule>
    <cfRule type="cellIs" dxfId="3486" priority="446" operator="equal">
      <formula>"F"</formula>
    </cfRule>
    <cfRule type="cellIs" dxfId="3485" priority="445" operator="equal">
      <formula>"U/P"</formula>
    </cfRule>
  </conditionalFormatting>
  <conditionalFormatting sqref="V202">
    <cfRule type="cellIs" dxfId="3484" priority="419" operator="equal">
      <formula>"F"</formula>
    </cfRule>
    <cfRule type="cellIs" dxfId="3483" priority="418" operator="equal">
      <formula>"F"</formula>
    </cfRule>
    <cfRule type="cellIs" dxfId="3482" priority="417" operator="equal">
      <formula>"U/P"</formula>
    </cfRule>
  </conditionalFormatting>
  <conditionalFormatting sqref="V210">
    <cfRule type="cellIs" dxfId="3481" priority="176" operator="equal">
      <formula>"F"</formula>
    </cfRule>
    <cfRule type="cellIs" dxfId="3480" priority="175" operator="equal">
      <formula>"U/P"</formula>
    </cfRule>
    <cfRule type="cellIs" dxfId="3479" priority="177" operator="equal">
      <formula>"F"</formula>
    </cfRule>
  </conditionalFormatting>
  <conditionalFormatting sqref="V218">
    <cfRule type="cellIs" dxfId="3478" priority="183" operator="equal">
      <formula>"F"</formula>
    </cfRule>
    <cfRule type="cellIs" dxfId="3477" priority="182" operator="equal">
      <formula>"F"</formula>
    </cfRule>
    <cfRule type="cellIs" dxfId="3476" priority="181" operator="equal">
      <formula>"U/P"</formula>
    </cfRule>
  </conditionalFormatting>
  <conditionalFormatting sqref="V226">
    <cfRule type="cellIs" dxfId="3475" priority="705" operator="equal">
      <formula>"U/P"</formula>
    </cfRule>
    <cfRule type="cellIs" dxfId="3474" priority="706" operator="equal">
      <formula>"F"</formula>
    </cfRule>
    <cfRule type="cellIs" dxfId="3473" priority="707" operator="equal">
      <formula>"F"</formula>
    </cfRule>
  </conditionalFormatting>
  <conditionalFormatting sqref="V235">
    <cfRule type="cellIs" dxfId="3472" priority="688" operator="equal">
      <formula>"F"</formula>
    </cfRule>
    <cfRule type="cellIs" dxfId="3471" priority="689" operator="equal">
      <formula>"F"</formula>
    </cfRule>
    <cfRule type="cellIs" dxfId="3470" priority="687" operator="equal">
      <formula>"U/P"</formula>
    </cfRule>
  </conditionalFormatting>
  <conditionalFormatting sqref="V244">
    <cfRule type="cellIs" dxfId="3469" priority="134" operator="equal">
      <formula>"F"</formula>
    </cfRule>
    <cfRule type="cellIs" dxfId="3468" priority="133" operator="equal">
      <formula>"U/P"</formula>
    </cfRule>
    <cfRule type="cellIs" dxfId="3467" priority="135" operator="equal">
      <formula>"F"</formula>
    </cfRule>
  </conditionalFormatting>
  <conditionalFormatting sqref="V252">
    <cfRule type="cellIs" dxfId="3466" priority="668" operator="equal">
      <formula>"F"</formula>
    </cfRule>
    <cfRule type="cellIs" dxfId="3465" priority="667" operator="equal">
      <formula>"F"</formula>
    </cfRule>
    <cfRule type="cellIs" dxfId="3464" priority="666" operator="equal">
      <formula>"U/P"</formula>
    </cfRule>
  </conditionalFormatting>
  <conditionalFormatting sqref="V260">
    <cfRule type="cellIs" dxfId="3463" priority="214" operator="equal">
      <formula>"U/P"</formula>
    </cfRule>
    <cfRule type="cellIs" dxfId="3462" priority="215" operator="equal">
      <formula>"F"</formula>
    </cfRule>
    <cfRule type="cellIs" dxfId="3461" priority="216" operator="equal">
      <formula>"F"</formula>
    </cfRule>
  </conditionalFormatting>
  <conditionalFormatting sqref="V268">
    <cfRule type="cellIs" dxfId="3460" priority="147" operator="equal">
      <formula>"F"</formula>
    </cfRule>
    <cfRule type="cellIs" dxfId="3459" priority="146" operator="equal">
      <formula>"F"</formula>
    </cfRule>
    <cfRule type="cellIs" dxfId="3458" priority="145" operator="equal">
      <formula>"U/P"</formula>
    </cfRule>
  </conditionalFormatting>
  <conditionalFormatting sqref="V276">
    <cfRule type="cellIs" dxfId="3457" priority="163" operator="equal">
      <formula>"U/P"</formula>
    </cfRule>
    <cfRule type="cellIs" dxfId="3456" priority="164" operator="equal">
      <formula>"F"</formula>
    </cfRule>
    <cfRule type="cellIs" dxfId="3455" priority="165" operator="equal">
      <formula>"F"</formula>
    </cfRule>
  </conditionalFormatting>
  <conditionalFormatting sqref="V284">
    <cfRule type="cellIs" dxfId="3454" priority="289" operator="equal">
      <formula>"U/P"</formula>
    </cfRule>
    <cfRule type="cellIs" dxfId="3453" priority="291" operator="equal">
      <formula>"F"</formula>
    </cfRule>
    <cfRule type="cellIs" dxfId="3452" priority="290" operator="equal">
      <formula>"F"</formula>
    </cfRule>
  </conditionalFormatting>
  <conditionalFormatting sqref="V300">
    <cfRule type="cellIs" dxfId="3451" priority="269" operator="equal">
      <formula>"F"</formula>
    </cfRule>
    <cfRule type="cellIs" dxfId="3450" priority="268" operator="equal">
      <formula>"U/P"</formula>
    </cfRule>
    <cfRule type="cellIs" dxfId="3449" priority="270" operator="equal">
      <formula>"F"</formula>
    </cfRule>
  </conditionalFormatting>
  <conditionalFormatting sqref="V315">
    <cfRule type="cellIs" dxfId="3448" priority="571" operator="equal">
      <formula>"F"</formula>
    </cfRule>
    <cfRule type="cellIs" dxfId="3447" priority="570" operator="equal">
      <formula>"U/P"</formula>
    </cfRule>
    <cfRule type="cellIs" dxfId="3446" priority="572" operator="equal">
      <formula>"F"</formula>
    </cfRule>
  </conditionalFormatting>
  <conditionalFormatting sqref="V110:W110">
    <cfRule type="cellIs" dxfId="3445" priority="461" operator="equal">
      <formula>0</formula>
    </cfRule>
  </conditionalFormatting>
  <conditionalFormatting sqref="W107">
    <cfRule type="cellIs" dxfId="3444" priority="982" operator="equal">
      <formula>"F"</formula>
    </cfRule>
    <cfRule type="cellIs" dxfId="3443" priority="983" operator="equal">
      <formula>"F"</formula>
    </cfRule>
    <cfRule type="cellIs" dxfId="3442" priority="981" operator="equal">
      <formula>"U/P"</formula>
    </cfRule>
  </conditionalFormatting>
  <conditionalFormatting sqref="X20">
    <cfRule type="cellIs" dxfId="3441" priority="1423" operator="equal">
      <formula>"F"</formula>
    </cfRule>
    <cfRule type="cellIs" dxfId="3440" priority="1424" operator="equal">
      <formula>"F"</formula>
    </cfRule>
    <cfRule type="cellIs" dxfId="3439" priority="1422" operator="equal">
      <formula>"U/P"</formula>
    </cfRule>
  </conditionalFormatting>
  <conditionalFormatting sqref="X27">
    <cfRule type="cellIs" dxfId="3438" priority="1380" operator="equal">
      <formula>"U/P"</formula>
    </cfRule>
    <cfRule type="cellIs" dxfId="3437" priority="1381" operator="equal">
      <formula>"F"</formula>
    </cfRule>
    <cfRule type="cellIs" dxfId="3436" priority="1382" operator="equal">
      <formula>"F"</formula>
    </cfRule>
  </conditionalFormatting>
  <conditionalFormatting sqref="X34">
    <cfRule type="cellIs" dxfId="3435" priority="1341" operator="equal">
      <formula>"U/P"</formula>
    </cfRule>
    <cfRule type="cellIs" dxfId="3434" priority="1343" operator="equal">
      <formula>"F"</formula>
    </cfRule>
    <cfRule type="cellIs" dxfId="3433" priority="1342" operator="equal">
      <formula>"F"</formula>
    </cfRule>
  </conditionalFormatting>
  <conditionalFormatting sqref="X41">
    <cfRule type="cellIs" dxfId="3432" priority="1300" operator="equal">
      <formula>"F"</formula>
    </cfRule>
    <cfRule type="cellIs" dxfId="3431" priority="1301" operator="equal">
      <formula>"F"</formula>
    </cfRule>
    <cfRule type="cellIs" dxfId="3430" priority="1299" operator="equal">
      <formula>"U/P"</formula>
    </cfRule>
  </conditionalFormatting>
  <conditionalFormatting sqref="X48">
    <cfRule type="cellIs" dxfId="3429" priority="1258" operator="equal">
      <formula>"F"</formula>
    </cfRule>
    <cfRule type="cellIs" dxfId="3428" priority="1257" operator="equal">
      <formula>"U/P"</formula>
    </cfRule>
    <cfRule type="cellIs" dxfId="3427" priority="1259" operator="equal">
      <formula>"F"</formula>
    </cfRule>
  </conditionalFormatting>
  <conditionalFormatting sqref="X57">
    <cfRule type="cellIs" dxfId="3426" priority="1217" operator="equal">
      <formula>"F"</formula>
    </cfRule>
    <cfRule type="cellIs" dxfId="3425" priority="1215" operator="equal">
      <formula>"U/P"</formula>
    </cfRule>
    <cfRule type="cellIs" dxfId="3424" priority="1216" operator="equal">
      <formula>"F"</formula>
    </cfRule>
  </conditionalFormatting>
  <conditionalFormatting sqref="X65">
    <cfRule type="cellIs" dxfId="3423" priority="1173" operator="equal">
      <formula>"U/P"</formula>
    </cfRule>
    <cfRule type="cellIs" dxfId="3422" priority="1174" operator="equal">
      <formula>"F"</formula>
    </cfRule>
    <cfRule type="cellIs" dxfId="3421" priority="1175" operator="equal">
      <formula>"F"</formula>
    </cfRule>
  </conditionalFormatting>
  <conditionalFormatting sqref="X73">
    <cfRule type="cellIs" dxfId="3420" priority="1133" operator="equal">
      <formula>"F"</formula>
    </cfRule>
    <cfRule type="cellIs" dxfId="3419" priority="1132" operator="equal">
      <formula>"F"</formula>
    </cfRule>
    <cfRule type="cellIs" dxfId="3418" priority="1131" operator="equal">
      <formula>"U/P"</formula>
    </cfRule>
  </conditionalFormatting>
  <conditionalFormatting sqref="X82">
    <cfRule type="cellIs" dxfId="3417" priority="1097" operator="equal">
      <formula>"F"</formula>
    </cfRule>
    <cfRule type="cellIs" dxfId="3416" priority="1095" operator="equal">
      <formula>"U/P"</formula>
    </cfRule>
    <cfRule type="cellIs" dxfId="3415" priority="1096" operator="equal">
      <formula>"F"</formula>
    </cfRule>
  </conditionalFormatting>
  <conditionalFormatting sqref="X90">
    <cfRule type="cellIs" dxfId="3414" priority="1058" operator="equal">
      <formula>"F"</formula>
    </cfRule>
    <cfRule type="cellIs" dxfId="3413" priority="1057" operator="equal">
      <formula>"F"</formula>
    </cfRule>
    <cfRule type="cellIs" dxfId="3412" priority="1056" operator="equal">
      <formula>"U/P"</formula>
    </cfRule>
  </conditionalFormatting>
  <conditionalFormatting sqref="X99">
    <cfRule type="cellIs" dxfId="3411" priority="311" operator="equal">
      <formula>"F"</formula>
    </cfRule>
    <cfRule type="cellIs" dxfId="3410" priority="312" operator="equal">
      <formula>"F"</formula>
    </cfRule>
    <cfRule type="cellIs" dxfId="3409" priority="310" operator="equal">
      <formula>"U/P"</formula>
    </cfRule>
  </conditionalFormatting>
  <conditionalFormatting sqref="X115">
    <cfRule type="cellIs" dxfId="3408" priority="945" operator="equal">
      <formula>"U/P"</formula>
    </cfRule>
    <cfRule type="cellIs" dxfId="3407" priority="947" operator="equal">
      <formula>"F"</formula>
    </cfRule>
    <cfRule type="cellIs" dxfId="3406" priority="946" operator="equal">
      <formula>"F"</formula>
    </cfRule>
  </conditionalFormatting>
  <conditionalFormatting sqref="X123">
    <cfRule type="cellIs" dxfId="3405" priority="918" operator="equal">
      <formula>"U/P"</formula>
    </cfRule>
    <cfRule type="cellIs" dxfId="3404" priority="919" operator="equal">
      <formula>"F"</formula>
    </cfRule>
    <cfRule type="cellIs" dxfId="3403" priority="920" operator="equal">
      <formula>"F"</formula>
    </cfRule>
  </conditionalFormatting>
  <conditionalFormatting sqref="X132">
    <cfRule type="cellIs" dxfId="3402" priority="44" operator="equal">
      <formula>"F"</formula>
    </cfRule>
    <cfRule type="cellIs" dxfId="3401" priority="43" operator="equal">
      <formula>"U/P"</formula>
    </cfRule>
    <cfRule type="cellIs" dxfId="3400" priority="45" operator="equal">
      <formula>"F"</formula>
    </cfRule>
  </conditionalFormatting>
  <conditionalFormatting sqref="X141">
    <cfRule type="cellIs" dxfId="3399" priority="890" operator="equal">
      <formula>"F"</formula>
    </cfRule>
    <cfRule type="cellIs" dxfId="3398" priority="889" operator="equal">
      <formula>"F"</formula>
    </cfRule>
    <cfRule type="cellIs" dxfId="3397" priority="888" operator="equal">
      <formula>"U/P"</formula>
    </cfRule>
  </conditionalFormatting>
  <conditionalFormatting sqref="X150">
    <cfRule type="cellIs" dxfId="3396" priority="855" operator="equal">
      <formula>"U/P"</formula>
    </cfRule>
    <cfRule type="cellIs" dxfId="3395" priority="856" operator="equal">
      <formula>"F"</formula>
    </cfRule>
    <cfRule type="cellIs" dxfId="3394" priority="857" operator="equal">
      <formula>"F"</formula>
    </cfRule>
  </conditionalFormatting>
  <conditionalFormatting sqref="X159">
    <cfRule type="cellIs" dxfId="3393" priority="822" operator="equal">
      <formula>"U/P"</formula>
    </cfRule>
    <cfRule type="cellIs" dxfId="3392" priority="824" operator="equal">
      <formula>"F"</formula>
    </cfRule>
    <cfRule type="cellIs" dxfId="3391" priority="823" operator="equal">
      <formula>"F"</formula>
    </cfRule>
  </conditionalFormatting>
  <conditionalFormatting sqref="X168">
    <cfRule type="cellIs" dxfId="3390" priority="800" operator="equal">
      <formula>"F"</formula>
    </cfRule>
    <cfRule type="cellIs" dxfId="3389" priority="799" operator="equal">
      <formula>"F"</formula>
    </cfRule>
    <cfRule type="cellIs" dxfId="3388" priority="798" operator="equal">
      <formula>"U/P"</formula>
    </cfRule>
  </conditionalFormatting>
  <conditionalFormatting sqref="X176">
    <cfRule type="cellIs" dxfId="3387" priority="765" operator="equal">
      <formula>"U/P"</formula>
    </cfRule>
    <cfRule type="cellIs" dxfId="3386" priority="767" operator="equal">
      <formula>"F"</formula>
    </cfRule>
    <cfRule type="cellIs" dxfId="3385" priority="766" operator="equal">
      <formula>"F"</formula>
    </cfRule>
  </conditionalFormatting>
  <conditionalFormatting sqref="X185">
    <cfRule type="cellIs" dxfId="3384" priority="474" operator="equal">
      <formula>"U/P"</formula>
    </cfRule>
    <cfRule type="cellIs" dxfId="3383" priority="475" operator="equal">
      <formula>"F"</formula>
    </cfRule>
    <cfRule type="cellIs" dxfId="3382" priority="476" operator="equal">
      <formula>"F"</formula>
    </cfRule>
  </conditionalFormatting>
  <conditionalFormatting sqref="X194">
    <cfRule type="cellIs" dxfId="3381" priority="751" operator="equal">
      <formula>"F"</formula>
    </cfRule>
    <cfRule type="cellIs" dxfId="3380" priority="752" operator="equal">
      <formula>"F"</formula>
    </cfRule>
    <cfRule type="cellIs" dxfId="3379" priority="750" operator="equal">
      <formula>"U/P"</formula>
    </cfRule>
  </conditionalFormatting>
  <conditionalFormatting sqref="X202">
    <cfRule type="cellIs" dxfId="3378" priority="743" operator="equal">
      <formula>"F"</formula>
    </cfRule>
    <cfRule type="cellIs" dxfId="3377" priority="742" operator="equal">
      <formula>"F"</formula>
    </cfRule>
    <cfRule type="cellIs" dxfId="3376" priority="741" operator="equal">
      <formula>"U/P"</formula>
    </cfRule>
  </conditionalFormatting>
  <conditionalFormatting sqref="X210">
    <cfRule type="cellIs" dxfId="3375" priority="501" operator="equal">
      <formula>"U/P"</formula>
    </cfRule>
    <cfRule type="cellIs" dxfId="3374" priority="503" operator="equal">
      <formula>"F"</formula>
    </cfRule>
    <cfRule type="cellIs" dxfId="3373" priority="502" operator="equal">
      <formula>"F"</formula>
    </cfRule>
  </conditionalFormatting>
  <conditionalFormatting sqref="X218">
    <cfRule type="cellIs" dxfId="3372" priority="219" operator="equal">
      <formula>"F"</formula>
    </cfRule>
    <cfRule type="cellIs" dxfId="3371" priority="217" operator="equal">
      <formula>"U/P"</formula>
    </cfRule>
    <cfRule type="cellIs" dxfId="3370" priority="218" operator="equal">
      <formula>"F"</formula>
    </cfRule>
  </conditionalFormatting>
  <conditionalFormatting sqref="X226">
    <cfRule type="cellIs" dxfId="3369" priority="715" operator="equal">
      <formula>"F"</formula>
    </cfRule>
    <cfRule type="cellIs" dxfId="3368" priority="716" operator="equal">
      <formula>"F"</formula>
    </cfRule>
    <cfRule type="cellIs" dxfId="3367" priority="714" operator="equal">
      <formula>"U/P"</formula>
    </cfRule>
  </conditionalFormatting>
  <conditionalFormatting sqref="X235">
    <cfRule type="cellIs" dxfId="3366" priority="698" operator="equal">
      <formula>"F"</formula>
    </cfRule>
    <cfRule type="cellIs" dxfId="3365" priority="697" operator="equal">
      <formula>"F"</formula>
    </cfRule>
    <cfRule type="cellIs" dxfId="3364" priority="696" operator="equal">
      <formula>"U/P"</formula>
    </cfRule>
  </conditionalFormatting>
  <conditionalFormatting sqref="X244">
    <cfRule type="cellIs" dxfId="3363" priority="278" operator="equal">
      <formula>"F"</formula>
    </cfRule>
    <cfRule type="cellIs" dxfId="3362" priority="279" operator="equal">
      <formula>"F"</formula>
    </cfRule>
    <cfRule type="cellIs" dxfId="3361" priority="277" operator="equal">
      <formula>"U/P"</formula>
    </cfRule>
  </conditionalFormatting>
  <conditionalFormatting sqref="X252">
    <cfRule type="cellIs" dxfId="3360" priority="149" operator="equal">
      <formula>"F"</formula>
    </cfRule>
    <cfRule type="cellIs" dxfId="3359" priority="150" operator="equal">
      <formula>"F"</formula>
    </cfRule>
    <cfRule type="cellIs" dxfId="3358" priority="148" operator="equal">
      <formula>"U/P"</formula>
    </cfRule>
  </conditionalFormatting>
  <conditionalFormatting sqref="X260">
    <cfRule type="cellIs" dxfId="3357" priority="283" operator="equal">
      <formula>"U/P"</formula>
    </cfRule>
    <cfRule type="cellIs" dxfId="3356" priority="284" operator="equal">
      <formula>"F"</formula>
    </cfRule>
    <cfRule type="cellIs" dxfId="3355" priority="285" operator="equal">
      <formula>"F"</formula>
    </cfRule>
  </conditionalFormatting>
  <conditionalFormatting sqref="X268">
    <cfRule type="cellIs" dxfId="3354" priority="654" operator="equal">
      <formula>"U/P"</formula>
    </cfRule>
    <cfRule type="cellIs" dxfId="3353" priority="655" operator="equal">
      <formula>"F"</formula>
    </cfRule>
    <cfRule type="cellIs" dxfId="3352" priority="656" operator="equal">
      <formula>"F"</formula>
    </cfRule>
  </conditionalFormatting>
  <conditionalFormatting sqref="X276">
    <cfRule type="cellIs" dxfId="3351" priority="367" operator="equal">
      <formula>"U/P"</formula>
    </cfRule>
    <cfRule type="cellIs" dxfId="3350" priority="368" operator="equal">
      <formula>"F"</formula>
    </cfRule>
    <cfRule type="cellIs" dxfId="3349" priority="369" operator="equal">
      <formula>"F"</formula>
    </cfRule>
  </conditionalFormatting>
  <conditionalFormatting sqref="X284">
    <cfRule type="cellIs" dxfId="3348" priority="327" operator="equal">
      <formula>"F"</formula>
    </cfRule>
    <cfRule type="cellIs" dxfId="3347" priority="326" operator="equal">
      <formula>"F"</formula>
    </cfRule>
    <cfRule type="cellIs" dxfId="3346" priority="325" operator="equal">
      <formula>"U/P"</formula>
    </cfRule>
  </conditionalFormatting>
  <conditionalFormatting sqref="X292">
    <cfRule type="cellIs" dxfId="3345" priority="399" operator="equal">
      <formula>"F"</formula>
    </cfRule>
    <cfRule type="cellIs" dxfId="3344" priority="398" operator="equal">
      <formula>"F"</formula>
    </cfRule>
    <cfRule type="cellIs" dxfId="3343" priority="397" operator="equal">
      <formula>"U/P"</formula>
    </cfRule>
  </conditionalFormatting>
  <conditionalFormatting sqref="X300">
    <cfRule type="cellIs" dxfId="3342" priority="254" operator="equal">
      <formula>"F"</formula>
    </cfRule>
    <cfRule type="cellIs" dxfId="3341" priority="255" operator="equal">
      <formula>"F"</formula>
    </cfRule>
    <cfRule type="cellIs" dxfId="3340" priority="253" operator="equal">
      <formula>"U/P"</formula>
    </cfRule>
  </conditionalFormatting>
  <conditionalFormatting sqref="X315">
    <cfRule type="cellIs" dxfId="3339" priority="587" operator="equal">
      <formula>"F"</formula>
    </cfRule>
    <cfRule type="cellIs" dxfId="3338" priority="585" operator="equal">
      <formula>"U/P"</formula>
    </cfRule>
    <cfRule type="cellIs" dxfId="3337" priority="586" operator="equal">
      <formula>"F"</formula>
    </cfRule>
  </conditionalFormatting>
  <conditionalFormatting sqref="Z20">
    <cfRule type="cellIs" dxfId="3336" priority="1420" operator="equal">
      <formula>"F"</formula>
    </cfRule>
    <cfRule type="cellIs" dxfId="3335" priority="1421" operator="equal">
      <formula>"F"</formula>
    </cfRule>
    <cfRule type="cellIs" dxfId="3334" priority="1419" operator="equal">
      <formula>"U/P"</formula>
    </cfRule>
  </conditionalFormatting>
  <conditionalFormatting sqref="Z27">
    <cfRule type="cellIs" dxfId="3333" priority="1377" operator="equal">
      <formula>"U/P"</formula>
    </cfRule>
    <cfRule type="cellIs" dxfId="3332" priority="1378" operator="equal">
      <formula>"F"</formula>
    </cfRule>
    <cfRule type="cellIs" dxfId="3331" priority="1379" operator="equal">
      <formula>"F"</formula>
    </cfRule>
  </conditionalFormatting>
  <conditionalFormatting sqref="Z34">
    <cfRule type="cellIs" dxfId="3330" priority="1339" operator="equal">
      <formula>"F"</formula>
    </cfRule>
    <cfRule type="cellIs" dxfId="3329" priority="1338" operator="equal">
      <formula>"U/P"</formula>
    </cfRule>
    <cfRule type="cellIs" dxfId="3328" priority="1340" operator="equal">
      <formula>"F"</formula>
    </cfRule>
  </conditionalFormatting>
  <conditionalFormatting sqref="Z41">
    <cfRule type="cellIs" dxfId="3327" priority="1298" operator="equal">
      <formula>"F"</formula>
    </cfRule>
    <cfRule type="cellIs" dxfId="3326" priority="1297" operator="equal">
      <formula>"F"</formula>
    </cfRule>
    <cfRule type="cellIs" dxfId="3325" priority="1296" operator="equal">
      <formula>"U/P"</formula>
    </cfRule>
  </conditionalFormatting>
  <conditionalFormatting sqref="Z48">
    <cfRule type="cellIs" dxfId="3324" priority="1254" operator="equal">
      <formula>"U/P"</formula>
    </cfRule>
    <cfRule type="cellIs" dxfId="3323" priority="1256" operator="equal">
      <formula>"F"</formula>
    </cfRule>
    <cfRule type="cellIs" dxfId="3322" priority="1255" operator="equal">
      <formula>"F"</formula>
    </cfRule>
  </conditionalFormatting>
  <conditionalFormatting sqref="Z57">
    <cfRule type="cellIs" dxfId="3321" priority="1212" operator="equal">
      <formula>"U/P"</formula>
    </cfRule>
    <cfRule type="cellIs" dxfId="3320" priority="1214" operator="equal">
      <formula>"F"</formula>
    </cfRule>
    <cfRule type="cellIs" dxfId="3319" priority="1213" operator="equal">
      <formula>"F"</formula>
    </cfRule>
  </conditionalFormatting>
  <conditionalFormatting sqref="Z65">
    <cfRule type="cellIs" dxfId="3318" priority="1170" operator="equal">
      <formula>"U/P"</formula>
    </cfRule>
    <cfRule type="cellIs" dxfId="3317" priority="1171" operator="equal">
      <formula>"F"</formula>
    </cfRule>
    <cfRule type="cellIs" dxfId="3316" priority="1172" operator="equal">
      <formula>"F"</formula>
    </cfRule>
  </conditionalFormatting>
  <conditionalFormatting sqref="Z73">
    <cfRule type="cellIs" dxfId="3315" priority="1130" operator="equal">
      <formula>"F"</formula>
    </cfRule>
    <cfRule type="cellIs" dxfId="3314" priority="1129" operator="equal">
      <formula>"F"</formula>
    </cfRule>
    <cfRule type="cellIs" dxfId="3313" priority="1128" operator="equal">
      <formula>"U/P"</formula>
    </cfRule>
  </conditionalFormatting>
  <conditionalFormatting sqref="Z82">
    <cfRule type="cellIs" dxfId="3312" priority="1092" operator="equal">
      <formula>"U/P"</formula>
    </cfRule>
    <cfRule type="cellIs" dxfId="3311" priority="1094" operator="equal">
      <formula>"F"</formula>
    </cfRule>
    <cfRule type="cellIs" dxfId="3310" priority="1093" operator="equal">
      <formula>"F"</formula>
    </cfRule>
  </conditionalFormatting>
  <conditionalFormatting sqref="Z90">
    <cfRule type="cellIs" dxfId="3309" priority="1053" operator="equal">
      <formula>"U/P"</formula>
    </cfRule>
    <cfRule type="cellIs" dxfId="3308" priority="1055" operator="equal">
      <formula>"F"</formula>
    </cfRule>
    <cfRule type="cellIs" dxfId="3307" priority="1054" operator="equal">
      <formula>"F"</formula>
    </cfRule>
  </conditionalFormatting>
  <conditionalFormatting sqref="Z99">
    <cfRule type="cellIs" dxfId="3306" priority="308" operator="equal">
      <formula>"F"</formula>
    </cfRule>
    <cfRule type="cellIs" dxfId="3305" priority="309" operator="equal">
      <formula>"F"</formula>
    </cfRule>
    <cfRule type="cellIs" dxfId="3304" priority="307" operator="equal">
      <formula>"U/P"</formula>
    </cfRule>
  </conditionalFormatting>
  <conditionalFormatting sqref="Z110">
    <cfRule type="cellIs" dxfId="3303" priority="462" operator="equal">
      <formula>0</formula>
    </cfRule>
  </conditionalFormatting>
  <conditionalFormatting sqref="Z115">
    <cfRule type="cellIs" dxfId="3302" priority="942" operator="equal">
      <formula>"U/P"</formula>
    </cfRule>
    <cfRule type="cellIs" dxfId="3301" priority="944" operator="equal">
      <formula>"F"</formula>
    </cfRule>
    <cfRule type="cellIs" dxfId="3300" priority="943" operator="equal">
      <formula>"F"</formula>
    </cfRule>
  </conditionalFormatting>
  <conditionalFormatting sqref="Z123">
    <cfRule type="cellIs" dxfId="3299" priority="915" operator="equal">
      <formula>"U/P"</formula>
    </cfRule>
    <cfRule type="cellIs" dxfId="3298" priority="917" operator="equal">
      <formula>"F"</formula>
    </cfRule>
    <cfRule type="cellIs" dxfId="3297" priority="916" operator="equal">
      <formula>"F"</formula>
    </cfRule>
  </conditionalFormatting>
  <conditionalFormatting sqref="Z132">
    <cfRule type="cellIs" dxfId="3296" priority="729" operator="equal">
      <formula>"U/P"</formula>
    </cfRule>
    <cfRule type="cellIs" dxfId="3295" priority="731" operator="equal">
      <formula>"F"</formula>
    </cfRule>
    <cfRule type="cellIs" dxfId="3294" priority="730" operator="equal">
      <formula>"F"</formula>
    </cfRule>
  </conditionalFormatting>
  <conditionalFormatting sqref="Z141">
    <cfRule type="cellIs" dxfId="3293" priority="115" operator="equal">
      <formula>"U/P"</formula>
    </cfRule>
    <cfRule type="cellIs" dxfId="3292" priority="117" operator="equal">
      <formula>"F"</formula>
    </cfRule>
    <cfRule type="cellIs" dxfId="3291" priority="116" operator="equal">
      <formula>"F"</formula>
    </cfRule>
  </conditionalFormatting>
  <conditionalFormatting sqref="Z150">
    <cfRule type="cellIs" dxfId="3290" priority="737" operator="equal">
      <formula>"F"</formula>
    </cfRule>
    <cfRule type="cellIs" dxfId="3289" priority="736" operator="equal">
      <formula>"F"</formula>
    </cfRule>
    <cfRule type="cellIs" dxfId="3288" priority="735" operator="equal">
      <formula>"U/P"</formula>
    </cfRule>
  </conditionalFormatting>
  <conditionalFormatting sqref="Z159">
    <cfRule type="cellIs" dxfId="3287" priority="821" operator="equal">
      <formula>"F"</formula>
    </cfRule>
    <cfRule type="cellIs" dxfId="3286" priority="820" operator="equal">
      <formula>"F"</formula>
    </cfRule>
    <cfRule type="cellIs" dxfId="3285" priority="819" operator="equal">
      <formula>"U/P"</formula>
    </cfRule>
  </conditionalFormatting>
  <conditionalFormatting sqref="Z168">
    <cfRule type="cellIs" dxfId="3284" priority="796" operator="equal">
      <formula>"F"</formula>
    </cfRule>
    <cfRule type="cellIs" dxfId="3283" priority="795" operator="equal">
      <formula>"U/P"</formula>
    </cfRule>
    <cfRule type="cellIs" dxfId="3282" priority="797" operator="equal">
      <formula>"F"</formula>
    </cfRule>
  </conditionalFormatting>
  <conditionalFormatting sqref="Z176">
    <cfRule type="cellIs" dxfId="3281" priority="450" operator="equal">
      <formula>"F"</formula>
    </cfRule>
    <cfRule type="cellIs" dxfId="3280" priority="448" operator="equal">
      <formula>"U/P"</formula>
    </cfRule>
    <cfRule type="cellIs" dxfId="3279" priority="449" operator="equal">
      <formula>"F"</formula>
    </cfRule>
  </conditionalFormatting>
  <conditionalFormatting sqref="Z185">
    <cfRule type="cellIs" dxfId="3278" priority="199" operator="equal">
      <formula>"U/P"</formula>
    </cfRule>
    <cfRule type="cellIs" dxfId="3277" priority="200" operator="equal">
      <formula>"F"</formula>
    </cfRule>
    <cfRule type="cellIs" dxfId="3276" priority="201" operator="equal">
      <formula>"F"</formula>
    </cfRule>
  </conditionalFormatting>
  <conditionalFormatting sqref="Z202">
    <cfRule type="cellIs" dxfId="3275" priority="483" operator="equal">
      <formula>"U/P"</formula>
    </cfRule>
    <cfRule type="cellIs" dxfId="3274" priority="484" operator="equal">
      <formula>"F"</formula>
    </cfRule>
    <cfRule type="cellIs" dxfId="3273" priority="485" operator="equal">
      <formula>"F"</formula>
    </cfRule>
  </conditionalFormatting>
  <conditionalFormatting sqref="Z210">
    <cfRule type="cellIs" dxfId="3272" priority="499" operator="equal">
      <formula>"F"</formula>
    </cfRule>
    <cfRule type="cellIs" dxfId="3271" priority="500" operator="equal">
      <formula>"F"</formula>
    </cfRule>
    <cfRule type="cellIs" dxfId="3270" priority="498" operator="equal">
      <formula>"U/P"</formula>
    </cfRule>
  </conditionalFormatting>
  <conditionalFormatting sqref="Z226">
    <cfRule type="cellIs" dxfId="3269" priority="334" operator="equal">
      <formula>"U/P"</formula>
    </cfRule>
    <cfRule type="cellIs" dxfId="3268" priority="336" operator="equal">
      <formula>"F"</formula>
    </cfRule>
    <cfRule type="cellIs" dxfId="3267" priority="335" operator="equal">
      <formula>"F"</formula>
    </cfRule>
  </conditionalFormatting>
  <conditionalFormatting sqref="Z235">
    <cfRule type="cellIs" dxfId="3266" priority="695" operator="equal">
      <formula>"F"</formula>
    </cfRule>
    <cfRule type="cellIs" dxfId="3265" priority="693" operator="equal">
      <formula>"U/P"</formula>
    </cfRule>
    <cfRule type="cellIs" dxfId="3264" priority="694" operator="equal">
      <formula>"F"</formula>
    </cfRule>
  </conditionalFormatting>
  <conditionalFormatting sqref="Z244">
    <cfRule type="cellIs" dxfId="3263" priority="340" operator="equal">
      <formula>"U/P"</formula>
    </cfRule>
    <cfRule type="cellIs" dxfId="3262" priority="342" operator="equal">
      <formula>"F"</formula>
    </cfRule>
    <cfRule type="cellIs" dxfId="3261" priority="341" operator="equal">
      <formula>"F"</formula>
    </cfRule>
  </conditionalFormatting>
  <conditionalFormatting sqref="Z252">
    <cfRule type="cellIs" dxfId="3260" priority="233" operator="equal">
      <formula>"F"</formula>
    </cfRule>
    <cfRule type="cellIs" dxfId="3259" priority="232" operator="equal">
      <formula>"U/P"</formula>
    </cfRule>
    <cfRule type="cellIs" dxfId="3258" priority="234" operator="equal">
      <formula>"F"</formula>
    </cfRule>
  </conditionalFormatting>
  <conditionalFormatting sqref="Z260">
    <cfRule type="cellIs" dxfId="3257" priority="295" operator="equal">
      <formula>"U/P"</formula>
    </cfRule>
    <cfRule type="cellIs" dxfId="3256" priority="296" operator="equal">
      <formula>"F"</formula>
    </cfRule>
    <cfRule type="cellIs" dxfId="3255" priority="297" operator="equal">
      <formula>"F"</formula>
    </cfRule>
  </conditionalFormatting>
  <conditionalFormatting sqref="Z268">
    <cfRule type="cellIs" dxfId="3254" priority="122" operator="equal">
      <formula>"F"</formula>
    </cfRule>
    <cfRule type="cellIs" dxfId="3253" priority="121" operator="equal">
      <formula>"U/P"</formula>
    </cfRule>
    <cfRule type="cellIs" dxfId="3252" priority="123" operator="equal">
      <formula>"F"</formula>
    </cfRule>
  </conditionalFormatting>
  <conditionalFormatting sqref="Z276">
    <cfRule type="cellIs" dxfId="3251" priority="647" operator="equal">
      <formula>"F"</formula>
    </cfRule>
    <cfRule type="cellIs" dxfId="3250" priority="646" operator="equal">
      <formula>"F"</formula>
    </cfRule>
    <cfRule type="cellIs" dxfId="3249" priority="645" operator="equal">
      <formula>"U/P"</formula>
    </cfRule>
  </conditionalFormatting>
  <conditionalFormatting sqref="Z284">
    <cfRule type="cellIs" dxfId="3248" priority="206" operator="equal">
      <formula>"F"</formula>
    </cfRule>
    <cfRule type="cellIs" dxfId="3247" priority="207" operator="equal">
      <formula>"F"</formula>
    </cfRule>
    <cfRule type="cellIs" dxfId="3246" priority="205" operator="equal">
      <formula>"U/P"</formula>
    </cfRule>
  </conditionalFormatting>
  <conditionalFormatting sqref="Z292">
    <cfRule type="cellIs" dxfId="3245" priority="42" operator="equal">
      <formula>"F"</formula>
    </cfRule>
    <cfRule type="cellIs" dxfId="3244" priority="41" operator="equal">
      <formula>"F"</formula>
    </cfRule>
    <cfRule type="cellIs" dxfId="3243" priority="40" operator="equal">
      <formula>"U/P"</formula>
    </cfRule>
  </conditionalFormatting>
  <conditionalFormatting sqref="Z300">
    <cfRule type="cellIs" dxfId="3242" priority="506" operator="equal">
      <formula>"F"</formula>
    </cfRule>
    <cfRule type="cellIs" dxfId="3241" priority="505" operator="equal">
      <formula>"F"</formula>
    </cfRule>
    <cfRule type="cellIs" dxfId="3240" priority="504" operator="equal">
      <formula>"U/P"</formula>
    </cfRule>
  </conditionalFormatting>
  <conditionalFormatting sqref="Z315">
    <cfRule type="cellIs" dxfId="3239" priority="582" operator="equal">
      <formula>"U/P"</formula>
    </cfRule>
    <cfRule type="cellIs" dxfId="3238" priority="583" operator="equal">
      <formula>"F"</formula>
    </cfRule>
    <cfRule type="cellIs" dxfId="3237" priority="584" operator="equal">
      <formula>"F"</formula>
    </cfRule>
  </conditionalFormatting>
  <conditionalFormatting sqref="AB20">
    <cfRule type="cellIs" dxfId="3236" priority="1418" operator="equal">
      <formula>"F"</formula>
    </cfRule>
    <cfRule type="cellIs" dxfId="3235" priority="1416" operator="equal">
      <formula>"U/P"</formula>
    </cfRule>
    <cfRule type="cellIs" dxfId="3234" priority="1417" operator="equal">
      <formula>"F"</formula>
    </cfRule>
  </conditionalFormatting>
  <conditionalFormatting sqref="AB27">
    <cfRule type="cellIs" dxfId="3233" priority="1374" operator="equal">
      <formula>"U/P"</formula>
    </cfRule>
    <cfRule type="cellIs" dxfId="3232" priority="1376" operator="equal">
      <formula>"F"</formula>
    </cfRule>
    <cfRule type="cellIs" dxfId="3231" priority="1375" operator="equal">
      <formula>"F"</formula>
    </cfRule>
  </conditionalFormatting>
  <conditionalFormatting sqref="AB34">
    <cfRule type="cellIs" dxfId="3230" priority="1335" operator="equal">
      <formula>"U/P"</formula>
    </cfRule>
    <cfRule type="cellIs" dxfId="3229" priority="1336" operator="equal">
      <formula>"F"</formula>
    </cfRule>
    <cfRule type="cellIs" dxfId="3228" priority="1337" operator="equal">
      <formula>"F"</formula>
    </cfRule>
  </conditionalFormatting>
  <conditionalFormatting sqref="AB41">
    <cfRule type="cellIs" dxfId="3227" priority="1294" operator="equal">
      <formula>"F"</formula>
    </cfRule>
    <cfRule type="cellIs" dxfId="3226" priority="1293" operator="equal">
      <formula>"U/P"</formula>
    </cfRule>
    <cfRule type="cellIs" dxfId="3225" priority="1295" operator="equal">
      <formula>"F"</formula>
    </cfRule>
  </conditionalFormatting>
  <conditionalFormatting sqref="AB48">
    <cfRule type="cellIs" dxfId="3224" priority="1253" operator="equal">
      <formula>"F"</formula>
    </cfRule>
    <cfRule type="cellIs" dxfId="3223" priority="1252" operator="equal">
      <formula>"F"</formula>
    </cfRule>
    <cfRule type="cellIs" dxfId="3222" priority="1251" operator="equal">
      <formula>"U/P"</formula>
    </cfRule>
  </conditionalFormatting>
  <conditionalFormatting sqref="AB57">
    <cfRule type="cellIs" dxfId="3221" priority="1211" operator="equal">
      <formula>"F"</formula>
    </cfRule>
    <cfRule type="cellIs" dxfId="3220" priority="1210" operator="equal">
      <formula>"F"</formula>
    </cfRule>
    <cfRule type="cellIs" dxfId="3219" priority="1209" operator="equal">
      <formula>"U/P"</formula>
    </cfRule>
  </conditionalFormatting>
  <conditionalFormatting sqref="AB65">
    <cfRule type="cellIs" dxfId="3218" priority="1169" operator="equal">
      <formula>"F"</formula>
    </cfRule>
    <cfRule type="cellIs" dxfId="3217" priority="1168" operator="equal">
      <formula>"F"</formula>
    </cfRule>
    <cfRule type="cellIs" dxfId="3216" priority="1167" operator="equal">
      <formula>"U/P"</formula>
    </cfRule>
  </conditionalFormatting>
  <conditionalFormatting sqref="AB73">
    <cfRule type="cellIs" dxfId="3215" priority="1127" operator="equal">
      <formula>"F"</formula>
    </cfRule>
    <cfRule type="cellIs" dxfId="3214" priority="1126" operator="equal">
      <formula>"F"</formula>
    </cfRule>
    <cfRule type="cellIs" dxfId="3213" priority="1125" operator="equal">
      <formula>"U/P"</formula>
    </cfRule>
  </conditionalFormatting>
  <conditionalFormatting sqref="AB82">
    <cfRule type="cellIs" dxfId="3212" priority="1090" operator="equal">
      <formula>"F"</formula>
    </cfRule>
    <cfRule type="cellIs" dxfId="3211" priority="1089" operator="equal">
      <formula>"U/P"</formula>
    </cfRule>
    <cfRule type="cellIs" dxfId="3210" priority="1091" operator="equal">
      <formula>"F"</formula>
    </cfRule>
  </conditionalFormatting>
  <conditionalFormatting sqref="AB90">
    <cfRule type="cellIs" dxfId="3209" priority="1052" operator="equal">
      <formula>"F"</formula>
    </cfRule>
    <cfRule type="cellIs" dxfId="3208" priority="1050" operator="equal">
      <formula>"U/P"</formula>
    </cfRule>
    <cfRule type="cellIs" dxfId="3207" priority="1051" operator="equal">
      <formula>"F"</formula>
    </cfRule>
  </conditionalFormatting>
  <conditionalFormatting sqref="AB99">
    <cfRule type="cellIs" dxfId="3206" priority="1016" operator="equal">
      <formula>"F"</formula>
    </cfRule>
    <cfRule type="cellIs" dxfId="3205" priority="1015" operator="equal">
      <formula>"F"</formula>
    </cfRule>
    <cfRule type="cellIs" dxfId="3204" priority="1014" operator="equal">
      <formula>"U/P"</formula>
    </cfRule>
  </conditionalFormatting>
  <conditionalFormatting sqref="AB115">
    <cfRule type="cellIs" dxfId="3203" priority="940" operator="equal">
      <formula>"F"</formula>
    </cfRule>
    <cfRule type="cellIs" dxfId="3202" priority="939" operator="equal">
      <formula>"U/P"</formula>
    </cfRule>
    <cfRule type="cellIs" dxfId="3201" priority="941" operator="equal">
      <formula>"F"</formula>
    </cfRule>
  </conditionalFormatting>
  <conditionalFormatting sqref="AB123">
    <cfRule type="cellIs" dxfId="3200" priority="913" operator="equal">
      <formula>"F"</formula>
    </cfRule>
    <cfRule type="cellIs" dxfId="3199" priority="912" operator="equal">
      <formula>"U/P"</formula>
    </cfRule>
    <cfRule type="cellIs" dxfId="3198" priority="914" operator="equal">
      <formula>"F"</formula>
    </cfRule>
  </conditionalFormatting>
  <conditionalFormatting sqref="AB132">
    <cfRule type="cellIs" dxfId="3197" priority="1490" operator="equal">
      <formula>"F"</formula>
    </cfRule>
    <cfRule type="cellIs" dxfId="3196" priority="1489" operator="equal">
      <formula>"U/P"</formula>
    </cfRule>
    <cfRule type="cellIs" dxfId="3195" priority="1491" operator="equal">
      <formula>"F"</formula>
    </cfRule>
  </conditionalFormatting>
  <conditionalFormatting sqref="AB141">
    <cfRule type="cellIs" dxfId="3194" priority="27" operator="equal">
      <formula>"F"</formula>
    </cfRule>
    <cfRule type="cellIs" dxfId="3193" priority="26" operator="equal">
      <formula>"F"</formula>
    </cfRule>
    <cfRule type="cellIs" dxfId="3192" priority="25" operator="equal">
      <formula>"U/P"</formula>
    </cfRule>
  </conditionalFormatting>
  <conditionalFormatting sqref="AB150">
    <cfRule type="cellIs" dxfId="3191" priority="734" operator="equal">
      <formula>"F"</formula>
    </cfRule>
    <cfRule type="cellIs" dxfId="3190" priority="732" operator="equal">
      <formula>"U/P"</formula>
    </cfRule>
    <cfRule type="cellIs" dxfId="3189" priority="733" operator="equal">
      <formula>"F"</formula>
    </cfRule>
  </conditionalFormatting>
  <conditionalFormatting sqref="AB159">
    <cfRule type="cellIs" dxfId="3188" priority="818" operator="equal">
      <formula>"F"</formula>
    </cfRule>
    <cfRule type="cellIs" dxfId="3187" priority="817" operator="equal">
      <formula>"F"</formula>
    </cfRule>
    <cfRule type="cellIs" dxfId="3186" priority="816" operator="equal">
      <formula>"U/P"</formula>
    </cfRule>
  </conditionalFormatting>
  <conditionalFormatting sqref="AB168">
    <cfRule type="cellIs" dxfId="3185" priority="792" operator="equal">
      <formula>"U/P"</formula>
    </cfRule>
    <cfRule type="cellIs" dxfId="3184" priority="793" operator="equal">
      <formula>"F"</formula>
    </cfRule>
    <cfRule type="cellIs" dxfId="3183" priority="794" operator="equal">
      <formula>"F"</formula>
    </cfRule>
  </conditionalFormatting>
  <conditionalFormatting sqref="AB176">
    <cfRule type="cellIs" dxfId="3182" priority="764" operator="equal">
      <formula>"F"</formula>
    </cfRule>
    <cfRule type="cellIs" dxfId="3181" priority="763" operator="equal">
      <formula>"F"</formula>
    </cfRule>
    <cfRule type="cellIs" dxfId="3180" priority="762" operator="equal">
      <formula>"U/P"</formula>
    </cfRule>
  </conditionalFormatting>
  <conditionalFormatting sqref="AB185">
    <cfRule type="cellIs" dxfId="3179" priority="532" operator="equal">
      <formula>"F"</formula>
    </cfRule>
    <cfRule type="cellIs" dxfId="3178" priority="533" operator="equal">
      <formula>"F"</formula>
    </cfRule>
    <cfRule type="cellIs" dxfId="3177" priority="531" operator="equal">
      <formula>"U/P"</formula>
    </cfRule>
  </conditionalFormatting>
  <conditionalFormatting sqref="AB202">
    <cfRule type="cellIs" dxfId="3176" priority="1460" operator="equal">
      <formula>"U/P"</formula>
    </cfRule>
    <cfRule type="cellIs" dxfId="3175" priority="1461" operator="equal">
      <formula>"F"</formula>
    </cfRule>
    <cfRule type="cellIs" dxfId="3174" priority="1462" operator="equal">
      <formula>"F"</formula>
    </cfRule>
  </conditionalFormatting>
  <conditionalFormatting sqref="AB210">
    <cfRule type="cellIs" dxfId="3173" priority="264" operator="equal">
      <formula>"F"</formula>
    </cfRule>
    <cfRule type="cellIs" dxfId="3172" priority="263" operator="equal">
      <formula>"F"</formula>
    </cfRule>
    <cfRule type="cellIs" dxfId="3171" priority="262" operator="equal">
      <formula>"U/P"</formula>
    </cfRule>
  </conditionalFormatting>
  <conditionalFormatting sqref="AB226">
    <cfRule type="cellIs" dxfId="3170" priority="266" operator="equal">
      <formula>"F"</formula>
    </cfRule>
    <cfRule type="cellIs" dxfId="3169" priority="265" operator="equal">
      <formula>"U/P"</formula>
    </cfRule>
    <cfRule type="cellIs" dxfId="3168" priority="267" operator="equal">
      <formula>"F"</formula>
    </cfRule>
  </conditionalFormatting>
  <conditionalFormatting sqref="AB235">
    <cfRule type="cellIs" dxfId="3167" priority="692" operator="equal">
      <formula>"F"</formula>
    </cfRule>
    <cfRule type="cellIs" dxfId="3166" priority="691" operator="equal">
      <formula>"F"</formula>
    </cfRule>
    <cfRule type="cellIs" dxfId="3165" priority="690" operator="equal">
      <formula>"U/P"</formula>
    </cfRule>
  </conditionalFormatting>
  <conditionalFormatting sqref="AB244">
    <cfRule type="cellIs" dxfId="3164" priority="37" operator="equal">
      <formula>"U/P"</formula>
    </cfRule>
    <cfRule type="cellIs" dxfId="3163" priority="39" operator="equal">
      <formula>"F"</formula>
    </cfRule>
    <cfRule type="cellIs" dxfId="3162" priority="38" operator="equal">
      <formula>"F"</formula>
    </cfRule>
  </conditionalFormatting>
  <conditionalFormatting sqref="AB252">
    <cfRule type="cellIs" dxfId="3161" priority="124" operator="equal">
      <formula>"U/P"</formula>
    </cfRule>
    <cfRule type="cellIs" dxfId="3160" priority="126" operator="equal">
      <formula>"F"</formula>
    </cfRule>
    <cfRule type="cellIs" dxfId="3159" priority="125" operator="equal">
      <formula>"F"</formula>
    </cfRule>
  </conditionalFormatting>
  <conditionalFormatting sqref="AB260">
    <cfRule type="cellIs" dxfId="3158" priority="328" operator="equal">
      <formula>"U/P"</formula>
    </cfRule>
    <cfRule type="cellIs" dxfId="3157" priority="329" operator="equal">
      <formula>"F"</formula>
    </cfRule>
    <cfRule type="cellIs" dxfId="3156" priority="330" operator="equal">
      <formula>"F"</formula>
    </cfRule>
  </conditionalFormatting>
  <conditionalFormatting sqref="AB268">
    <cfRule type="cellIs" dxfId="3155" priority="21" operator="equal">
      <formula>"F"</formula>
    </cfRule>
    <cfRule type="cellIs" dxfId="3154" priority="20" operator="equal">
      <formula>"F"</formula>
    </cfRule>
    <cfRule type="cellIs" dxfId="3153" priority="19" operator="equal">
      <formula>"U/P"</formula>
    </cfRule>
  </conditionalFormatting>
  <conditionalFormatting sqref="AB276">
    <cfRule type="cellIs" dxfId="3152" priority="324" operator="equal">
      <formula>"F"</formula>
    </cfRule>
    <cfRule type="cellIs" dxfId="3151" priority="322" operator="equal">
      <formula>"U/P"</formula>
    </cfRule>
    <cfRule type="cellIs" dxfId="3150" priority="323" operator="equal">
      <formula>"F"</formula>
    </cfRule>
  </conditionalFormatting>
  <conditionalFormatting sqref="AB284">
    <cfRule type="cellIs" dxfId="3149" priority="638" operator="equal">
      <formula>"F"</formula>
    </cfRule>
    <cfRule type="cellIs" dxfId="3148" priority="637" operator="equal">
      <formula>"F"</formula>
    </cfRule>
    <cfRule type="cellIs" dxfId="3147" priority="636" operator="equal">
      <formula>"U/P"</formula>
    </cfRule>
  </conditionalFormatting>
  <conditionalFormatting sqref="AB292">
    <cfRule type="cellIs" dxfId="3146" priority="347" operator="equal">
      <formula>"F"</formula>
    </cfRule>
    <cfRule type="cellIs" dxfId="3145" priority="348" operator="equal">
      <formula>"F"</formula>
    </cfRule>
    <cfRule type="cellIs" dxfId="3144" priority="346" operator="equal">
      <formula>"U/P"</formula>
    </cfRule>
  </conditionalFormatting>
  <conditionalFormatting sqref="AB300">
    <cfRule type="cellIs" dxfId="3143" priority="635" operator="equal">
      <formula>"F"</formula>
    </cfRule>
    <cfRule type="cellIs" dxfId="3142" priority="634" operator="equal">
      <formula>"F"</formula>
    </cfRule>
    <cfRule type="cellIs" dxfId="3141" priority="633" operator="equal">
      <formula>"U/P"</formula>
    </cfRule>
  </conditionalFormatting>
  <conditionalFormatting sqref="AB315">
    <cfRule type="cellIs" dxfId="3140" priority="581" operator="equal">
      <formula>"F"</formula>
    </cfRule>
    <cfRule type="cellIs" dxfId="3139" priority="580" operator="equal">
      <formula>"F"</formula>
    </cfRule>
    <cfRule type="cellIs" dxfId="3138" priority="579" operator="equal">
      <formula>"U/P"</formula>
    </cfRule>
  </conditionalFormatting>
  <conditionalFormatting sqref="AD90">
    <cfRule type="cellIs" dxfId="3137" priority="1047" operator="equal">
      <formula>"U/P"</formula>
    </cfRule>
    <cfRule type="cellIs" dxfId="3136" priority="1048" operator="equal">
      <formula>"F"</formula>
    </cfRule>
    <cfRule type="cellIs" dxfId="3135" priority="1049" operator="equal">
      <formula>"F"</formula>
    </cfRule>
  </conditionalFormatting>
  <conditionalFormatting sqref="AD99">
    <cfRule type="cellIs" dxfId="3134" priority="1011" operator="equal">
      <formula>"U/P"</formula>
    </cfRule>
    <cfRule type="cellIs" dxfId="3133" priority="1013" operator="equal">
      <formula>"F"</formula>
    </cfRule>
    <cfRule type="cellIs" dxfId="3132" priority="1012" operator="equal">
      <formula>"F"</formula>
    </cfRule>
  </conditionalFormatting>
  <conditionalFormatting sqref="AD268">
    <cfRule type="cellIs" dxfId="3131" priority="113" operator="equal">
      <formula>"F"</formula>
    </cfRule>
    <cfRule type="cellIs" dxfId="3130" priority="114" operator="equal">
      <formula>"F"</formula>
    </cfRule>
    <cfRule type="cellIs" dxfId="3129" priority="112" operator="equal">
      <formula>"U/P"</formula>
    </cfRule>
  </conditionalFormatting>
  <conditionalFormatting sqref="AD300">
    <cfRule type="cellIs" dxfId="3128" priority="632" operator="equal">
      <formula>"F"</formula>
    </cfRule>
    <cfRule type="cellIs" dxfId="3127" priority="630" operator="equal">
      <formula>"U/P"</formula>
    </cfRule>
    <cfRule type="cellIs" dxfId="3126" priority="631" operator="equal">
      <formula>"F"</formula>
    </cfRule>
  </conditionalFormatting>
  <conditionalFormatting sqref="AF99">
    <cfRule type="cellIs" dxfId="3125" priority="1009" operator="equal">
      <formula>"F"</formula>
    </cfRule>
    <cfRule type="cellIs" dxfId="3124" priority="1008" operator="equal">
      <formula>"U/P"</formula>
    </cfRule>
    <cfRule type="cellIs" dxfId="3123" priority="1010" operator="equal">
      <formula>"F"</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E063-E352-4F68-9E38-E0632D2B1DBE}">
  <dimension ref="A1:AS319"/>
  <sheetViews>
    <sheetView view="pageBreakPreview" zoomScale="40" zoomScaleNormal="40" zoomScaleSheetLayoutView="40" workbookViewId="0">
      <selection activeCell="D308" sqref="D308"/>
    </sheetView>
  </sheetViews>
  <sheetFormatPr defaultColWidth="8.81640625" defaultRowHeight="12"/>
  <cols>
    <col min="1" max="1" width="11.1796875" style="457" customWidth="1"/>
    <col min="2" max="2" width="17.6328125" style="457" customWidth="1"/>
    <col min="3" max="3" width="11.1796875" style="457" customWidth="1"/>
    <col min="4" max="4" width="17.6328125" style="457" customWidth="1"/>
    <col min="5" max="5" width="13" style="457" customWidth="1"/>
    <col min="6" max="6" width="17.6328125" style="457" customWidth="1"/>
    <col min="7" max="7" width="11.1796875" style="457" customWidth="1"/>
    <col min="8" max="8" width="17.6328125" style="457" customWidth="1"/>
    <col min="9" max="9" width="15.7265625" style="457" customWidth="1"/>
    <col min="10" max="10" width="17.6328125" style="457" customWidth="1"/>
    <col min="11" max="11" width="11.1796875" style="457" customWidth="1"/>
    <col min="12" max="12" width="17.6328125" style="457" customWidth="1"/>
    <col min="13" max="13" width="11.1796875" style="457" customWidth="1"/>
    <col min="14" max="14" width="17.6328125" style="457" customWidth="1"/>
    <col min="15" max="15" width="11.1796875" style="457" customWidth="1"/>
    <col min="16" max="16" width="17.6328125" style="457" customWidth="1"/>
    <col min="17" max="17" width="16.90625" style="457" customWidth="1"/>
    <col min="18" max="18" width="17.6328125" style="457" customWidth="1"/>
    <col min="19" max="19" width="14.26953125" style="457" customWidth="1"/>
    <col min="20" max="20" width="17.6328125" style="457" customWidth="1"/>
    <col min="21" max="21" width="19.36328125" style="457" customWidth="1"/>
    <col min="22" max="22" width="23.08984375" style="457" customWidth="1"/>
    <col min="23" max="23" width="19.08984375" style="457" customWidth="1"/>
    <col min="24" max="24" width="17.6328125" style="457" customWidth="1"/>
    <col min="25" max="25" width="13" style="457" customWidth="1"/>
    <col min="26" max="26" width="17.6328125" style="457" customWidth="1"/>
    <col min="27" max="27" width="11.1796875" style="457" customWidth="1"/>
    <col min="28" max="28" width="17.6328125" style="457" customWidth="1"/>
    <col min="29" max="29" width="13.453125" style="457" customWidth="1"/>
    <col min="30" max="30" width="14.81640625" style="457" customWidth="1"/>
    <col min="31" max="31" width="14.36328125" style="457" customWidth="1"/>
    <col min="32" max="32" width="15.453125" style="457" customWidth="1"/>
    <col min="33" max="33" width="8.453125" style="457" customWidth="1"/>
    <col min="34" max="38" width="11" style="457" hidden="1" customWidth="1"/>
    <col min="39" max="39" width="28.7265625" style="457" customWidth="1"/>
    <col min="40" max="40" width="12.1796875" style="457" bestFit="1" customWidth="1"/>
    <col min="41" max="41" width="32" style="457" bestFit="1" customWidth="1"/>
    <col min="42" max="16384" width="8.81640625" style="457"/>
  </cols>
  <sheetData>
    <row r="1" spans="1:41" ht="46" customHeight="1" thickBot="1">
      <c r="A1" s="1454" t="s">
        <v>1504</v>
      </c>
      <c r="B1" s="1455"/>
      <c r="C1" s="1455"/>
      <c r="D1" s="1455"/>
      <c r="E1" s="1455"/>
      <c r="F1" s="1455"/>
      <c r="G1" s="1455"/>
      <c r="H1" s="1455"/>
      <c r="I1" s="1455"/>
      <c r="J1" s="1455"/>
      <c r="K1" s="1455"/>
      <c r="L1" s="1455"/>
      <c r="M1" s="1455"/>
      <c r="N1" s="1455"/>
      <c r="O1" s="1455"/>
      <c r="P1" s="1455"/>
      <c r="Q1" s="1455"/>
      <c r="R1" s="1455"/>
      <c r="S1" s="1455"/>
      <c r="T1" s="1455"/>
      <c r="U1" s="1455"/>
      <c r="V1" s="1455"/>
      <c r="W1" s="1455"/>
      <c r="X1" s="1455"/>
      <c r="Y1" s="1455"/>
      <c r="Z1" s="1456"/>
      <c r="AA1" s="1456"/>
      <c r="AB1" s="1456"/>
      <c r="AC1" s="1456"/>
      <c r="AD1" s="1456"/>
      <c r="AE1" s="455"/>
      <c r="AF1" s="455"/>
      <c r="AG1" s="455"/>
    </row>
    <row r="2" spans="1:41" ht="48.5" customHeight="1" thickBot="1">
      <c r="A2" s="1457" t="s">
        <v>1163</v>
      </c>
      <c r="B2" s="1458"/>
      <c r="C2" s="1458"/>
      <c r="D2" s="1458"/>
      <c r="E2" s="1458"/>
      <c r="F2" s="1458"/>
      <c r="G2" s="1458"/>
      <c r="H2" s="1458"/>
      <c r="I2" s="1458"/>
      <c r="J2" s="1458"/>
      <c r="K2" s="1458"/>
      <c r="L2" s="1458"/>
      <c r="M2" s="1458"/>
      <c r="N2" s="1458"/>
      <c r="O2" s="1458"/>
      <c r="P2" s="1458"/>
      <c r="Q2" s="1458"/>
      <c r="R2" s="1458"/>
      <c r="S2" s="1458"/>
      <c r="T2" s="1458"/>
      <c r="U2" s="1458"/>
      <c r="V2" s="1458"/>
      <c r="W2" s="1458"/>
      <c r="X2" s="1458"/>
      <c r="Y2" s="1458"/>
      <c r="Z2" s="1459" t="s">
        <v>1505</v>
      </c>
      <c r="AA2" s="1459"/>
      <c r="AB2" s="1459">
        <f ca="1">NOW()-1</f>
        <v>45964.674155439818</v>
      </c>
      <c r="AC2" s="1459"/>
      <c r="AD2" s="1459"/>
    </row>
    <row r="3" spans="1:41" ht="14.5">
      <c r="A3" s="1460" t="s">
        <v>1164</v>
      </c>
      <c r="B3" s="1461"/>
      <c r="C3" s="1461"/>
      <c r="D3" s="1461"/>
      <c r="E3" s="1461"/>
      <c r="F3" s="1461"/>
      <c r="G3" s="1461"/>
      <c r="H3" s="1461"/>
      <c r="I3" s="1461"/>
      <c r="J3" s="1461"/>
      <c r="K3" s="1461"/>
      <c r="L3" s="1461"/>
      <c r="M3" s="1461"/>
      <c r="N3" s="1461"/>
      <c r="O3" s="1461"/>
      <c r="P3" s="1462"/>
      <c r="Q3" s="661"/>
      <c r="R3" s="661"/>
      <c r="S3" s="1466"/>
      <c r="T3" s="1466"/>
      <c r="U3" s="1466"/>
      <c r="V3" s="662"/>
      <c r="W3" s="1467"/>
      <c r="X3" s="1467"/>
      <c r="Y3" s="1467"/>
      <c r="Z3" s="1468"/>
      <c r="AA3" s="662"/>
      <c r="AB3" s="662"/>
      <c r="AC3" s="663"/>
      <c r="AD3" s="663"/>
    </row>
    <row r="4" spans="1:41" ht="24.5">
      <c r="A4" s="1463"/>
      <c r="B4" s="1464"/>
      <c r="C4" s="1464"/>
      <c r="D4" s="1464"/>
      <c r="E4" s="1464"/>
      <c r="F4" s="1464"/>
      <c r="G4" s="1464"/>
      <c r="H4" s="1464"/>
      <c r="I4" s="1464"/>
      <c r="J4" s="1464"/>
      <c r="K4" s="1464"/>
      <c r="L4" s="1464"/>
      <c r="M4" s="1464"/>
      <c r="N4" s="1464"/>
      <c r="O4" s="1464"/>
      <c r="P4" s="1465"/>
      <c r="Q4" s="661"/>
      <c r="R4" s="661"/>
      <c r="S4" s="1469" t="s">
        <v>1165</v>
      </c>
      <c r="T4" s="1469"/>
      <c r="U4" s="1469"/>
      <c r="V4" s="664"/>
      <c r="W4" s="1470" t="s">
        <v>1166</v>
      </c>
      <c r="X4" s="1470"/>
      <c r="Y4" s="1470"/>
      <c r="Z4" s="1470"/>
      <c r="AA4" s="664"/>
      <c r="AB4" s="664"/>
      <c r="AC4" s="664"/>
      <c r="AD4" s="664"/>
    </row>
    <row r="5" spans="1:41" ht="30.5">
      <c r="A5" s="1472" t="s">
        <v>1012</v>
      </c>
      <c r="B5" s="1473"/>
      <c r="C5" s="1473" t="s">
        <v>27</v>
      </c>
      <c r="D5" s="1473"/>
      <c r="E5" s="1473"/>
      <c r="F5" s="1473" t="s">
        <v>1167</v>
      </c>
      <c r="G5" s="1473"/>
      <c r="H5" s="1473" t="s">
        <v>1168</v>
      </c>
      <c r="I5" s="1473"/>
      <c r="J5" s="1473"/>
      <c r="K5" s="1473" t="s">
        <v>1506</v>
      </c>
      <c r="L5" s="1473"/>
      <c r="M5" s="1473"/>
      <c r="N5" s="1473" t="s">
        <v>857</v>
      </c>
      <c r="O5" s="1473"/>
      <c r="P5" s="1479"/>
      <c r="Q5" s="661"/>
      <c r="R5" s="661"/>
      <c r="S5" s="666"/>
      <c r="T5" s="664"/>
      <c r="U5" s="664"/>
      <c r="V5" s="664"/>
      <c r="W5" s="664"/>
      <c r="X5" s="664"/>
      <c r="Y5" s="664"/>
      <c r="Z5" s="664"/>
      <c r="AA5" s="1471" t="s">
        <v>64</v>
      </c>
      <c r="AB5" s="1471"/>
      <c r="AC5" s="1471"/>
      <c r="AD5" s="667"/>
    </row>
    <row r="6" spans="1:41" ht="17">
      <c r="A6" s="1472"/>
      <c r="B6" s="1473"/>
      <c r="C6" s="1473"/>
      <c r="D6" s="1473"/>
      <c r="E6" s="1473"/>
      <c r="F6" s="1473"/>
      <c r="G6" s="1473"/>
      <c r="H6" s="1473"/>
      <c r="I6" s="1473"/>
      <c r="J6" s="1473"/>
      <c r="K6" s="1473"/>
      <c r="L6" s="1473"/>
      <c r="M6" s="1473"/>
      <c r="N6" s="1473"/>
      <c r="O6" s="1473"/>
      <c r="P6" s="1479"/>
      <c r="Q6" s="661"/>
      <c r="R6" s="661"/>
      <c r="S6" s="666"/>
      <c r="T6" s="664"/>
      <c r="U6" s="664"/>
      <c r="V6" s="664"/>
      <c r="W6" s="664"/>
      <c r="X6" s="664"/>
      <c r="Y6" s="664"/>
      <c r="Z6" s="664"/>
      <c r="AA6" s="668"/>
      <c r="AB6" s="668"/>
      <c r="AC6" s="668"/>
      <c r="AD6" s="668"/>
    </row>
    <row r="7" spans="1:41" ht="40" customHeight="1">
      <c r="A7" s="1472">
        <v>1</v>
      </c>
      <c r="B7" s="1473"/>
      <c r="C7" s="1464" t="s">
        <v>1170</v>
      </c>
      <c r="D7" s="1464"/>
      <c r="E7" s="1464"/>
      <c r="F7" s="1473" t="s">
        <v>1065</v>
      </c>
      <c r="G7" s="1473"/>
      <c r="H7" s="1474">
        <v>188.44399999999999</v>
      </c>
      <c r="I7" s="1474"/>
      <c r="J7" s="1474"/>
      <c r="K7" s="1475">
        <v>188.44399999999999</v>
      </c>
      <c r="L7" s="1476"/>
      <c r="M7" s="1477"/>
      <c r="N7" s="1474">
        <f>H7-K7</f>
        <v>0</v>
      </c>
      <c r="O7" s="1474"/>
      <c r="P7" s="1478"/>
      <c r="Q7" s="661"/>
      <c r="R7" s="661"/>
      <c r="S7" s="666"/>
      <c r="T7" s="664"/>
      <c r="U7" s="664"/>
      <c r="V7" s="664"/>
      <c r="W7" s="664"/>
      <c r="X7" s="664"/>
      <c r="Y7" s="664"/>
      <c r="Z7" s="664"/>
      <c r="AA7" s="668"/>
      <c r="AB7" s="668"/>
      <c r="AC7" s="668"/>
      <c r="AD7" s="668"/>
    </row>
    <row r="8" spans="1:41" ht="40" customHeight="1">
      <c r="A8" s="1472">
        <f>A7+1</f>
        <v>2</v>
      </c>
      <c r="B8" s="1473"/>
      <c r="C8" s="1464" t="s">
        <v>1171</v>
      </c>
      <c r="D8" s="1464"/>
      <c r="E8" s="1464"/>
      <c r="F8" s="1473" t="s">
        <v>1065</v>
      </c>
      <c r="G8" s="1473"/>
      <c r="H8" s="1474">
        <v>188.44399999999999</v>
      </c>
      <c r="I8" s="1474"/>
      <c r="J8" s="1474"/>
      <c r="K8" s="1474">
        <v>178.07499999999999</v>
      </c>
      <c r="L8" s="1474"/>
      <c r="M8" s="1474"/>
      <c r="N8" s="1474">
        <f>H8-K8</f>
        <v>10.369</v>
      </c>
      <c r="O8" s="1474"/>
      <c r="P8" s="1478"/>
      <c r="Q8" s="661"/>
      <c r="R8" s="661"/>
      <c r="S8" s="661"/>
      <c r="T8" s="663"/>
      <c r="U8" s="663"/>
      <c r="V8" s="663"/>
      <c r="W8" s="663"/>
      <c r="X8" s="663"/>
      <c r="Y8" s="663"/>
      <c r="Z8" s="663"/>
      <c r="AA8" s="669"/>
      <c r="AB8" s="669"/>
      <c r="AC8" s="669"/>
      <c r="AD8" s="669"/>
    </row>
    <row r="9" spans="1:41" ht="40" customHeight="1">
      <c r="A9" s="1472">
        <f>A8+1</f>
        <v>3</v>
      </c>
      <c r="B9" s="1473"/>
      <c r="C9" s="1464" t="s">
        <v>1507</v>
      </c>
      <c r="D9" s="1464"/>
      <c r="E9" s="1464"/>
      <c r="F9" s="1473" t="s">
        <v>1065</v>
      </c>
      <c r="G9" s="1473"/>
      <c r="H9" s="1474">
        <v>188.44399999999999</v>
      </c>
      <c r="I9" s="1474"/>
      <c r="J9" s="1474"/>
      <c r="K9" s="1475">
        <v>178.07499999999999</v>
      </c>
      <c r="L9" s="1476"/>
      <c r="M9" s="1477"/>
      <c r="N9" s="1474">
        <f>H9-K9</f>
        <v>10.369</v>
      </c>
      <c r="O9" s="1474"/>
      <c r="P9" s="1478"/>
      <c r="Q9" s="661"/>
      <c r="R9" s="661"/>
      <c r="S9" s="661"/>
      <c r="T9" s="663"/>
      <c r="U9" s="663"/>
      <c r="V9" s="663"/>
      <c r="W9" s="663"/>
      <c r="X9" s="663"/>
      <c r="Y9" s="663"/>
      <c r="Z9" s="663"/>
      <c r="AA9" s="669"/>
      <c r="AB9" s="669"/>
      <c r="AC9" s="669"/>
      <c r="AD9" s="669"/>
    </row>
    <row r="10" spans="1:41" ht="40" customHeight="1">
      <c r="A10" s="1472">
        <f>A9+1</f>
        <v>4</v>
      </c>
      <c r="B10" s="1473"/>
      <c r="C10" s="1464" t="s">
        <v>1172</v>
      </c>
      <c r="D10" s="1464"/>
      <c r="E10" s="1464"/>
      <c r="F10" s="1480" t="s">
        <v>1173</v>
      </c>
      <c r="G10" s="1481"/>
      <c r="H10" s="1482">
        <v>73</v>
      </c>
      <c r="I10" s="1483"/>
      <c r="J10" s="1484"/>
      <c r="K10" s="1482">
        <v>73</v>
      </c>
      <c r="L10" s="1483"/>
      <c r="M10" s="1484"/>
      <c r="N10" s="1486">
        <f t="shared" ref="N10:N14" si="0">H10-K10</f>
        <v>0</v>
      </c>
      <c r="O10" s="1486"/>
      <c r="P10" s="1487"/>
      <c r="Q10" s="661"/>
      <c r="R10" s="661"/>
      <c r="S10" s="661"/>
      <c r="T10" s="663"/>
      <c r="U10" s="663"/>
      <c r="V10" s="663"/>
      <c r="W10" s="663"/>
      <c r="X10" s="663"/>
      <c r="Y10" s="663"/>
      <c r="Z10" s="663"/>
      <c r="AA10" s="669"/>
      <c r="AB10" s="669"/>
      <c r="AC10" s="669"/>
      <c r="AD10" s="669"/>
    </row>
    <row r="11" spans="1:41" ht="40" customHeight="1">
      <c r="A11" s="1472">
        <f>A10+1</f>
        <v>5</v>
      </c>
      <c r="B11" s="1473"/>
      <c r="C11" s="1464" t="s">
        <v>304</v>
      </c>
      <c r="D11" s="1464"/>
      <c r="E11" s="1464"/>
      <c r="F11" s="1480" t="s">
        <v>1173</v>
      </c>
      <c r="G11" s="1481"/>
      <c r="H11" s="1482">
        <v>512</v>
      </c>
      <c r="I11" s="1483"/>
      <c r="J11" s="1484"/>
      <c r="K11" s="1485">
        <v>214</v>
      </c>
      <c r="L11" s="1485"/>
      <c r="M11" s="1485"/>
      <c r="N11" s="1486">
        <f t="shared" si="0"/>
        <v>298</v>
      </c>
      <c r="O11" s="1486"/>
      <c r="P11" s="1487"/>
      <c r="Q11" s="661"/>
      <c r="R11" s="661"/>
      <c r="S11" s="663"/>
      <c r="T11" s="663"/>
      <c r="U11" s="663"/>
      <c r="V11" s="663"/>
      <c r="W11" s="663"/>
      <c r="X11" s="663"/>
      <c r="Y11" s="663"/>
      <c r="Z11" s="663"/>
      <c r="AA11" s="670" t="s">
        <v>1174</v>
      </c>
      <c r="AB11" s="671"/>
      <c r="AC11" s="669"/>
      <c r="AD11" s="669"/>
    </row>
    <row r="12" spans="1:41" ht="40" customHeight="1">
      <c r="A12" s="1472">
        <f t="shared" ref="A12:A16" si="1">A11+1</f>
        <v>6</v>
      </c>
      <c r="B12" s="1473"/>
      <c r="C12" s="1464" t="s">
        <v>305</v>
      </c>
      <c r="D12" s="1464"/>
      <c r="E12" s="1464"/>
      <c r="F12" s="1480" t="s">
        <v>1175</v>
      </c>
      <c r="G12" s="1481"/>
      <c r="H12" s="1482">
        <v>514</v>
      </c>
      <c r="I12" s="1483"/>
      <c r="J12" s="1484"/>
      <c r="K12" s="1485">
        <v>190</v>
      </c>
      <c r="L12" s="1485"/>
      <c r="M12" s="1485"/>
      <c r="N12" s="1486">
        <f t="shared" si="0"/>
        <v>324</v>
      </c>
      <c r="O12" s="1486"/>
      <c r="P12" s="1487"/>
      <c r="Q12" s="661"/>
      <c r="R12" s="672"/>
      <c r="S12" s="673" t="s">
        <v>1176</v>
      </c>
      <c r="T12" s="665"/>
      <c r="U12" s="663"/>
      <c r="V12" s="1488" t="s">
        <v>219</v>
      </c>
      <c r="W12" s="1488"/>
      <c r="X12" s="1488"/>
      <c r="Y12" s="663"/>
      <c r="Z12" s="663"/>
      <c r="AA12" s="669"/>
      <c r="AB12" s="674"/>
      <c r="AC12" s="670" t="s">
        <v>1508</v>
      </c>
      <c r="AD12" s="671"/>
    </row>
    <row r="13" spans="1:41" ht="40" customHeight="1">
      <c r="A13" s="1472">
        <f t="shared" si="1"/>
        <v>7</v>
      </c>
      <c r="B13" s="1473"/>
      <c r="C13" s="1464" t="s">
        <v>1178</v>
      </c>
      <c r="D13" s="1464"/>
      <c r="E13" s="1464"/>
      <c r="F13" s="1480" t="s">
        <v>1173</v>
      </c>
      <c r="G13" s="1481"/>
      <c r="H13" s="1482">
        <v>512</v>
      </c>
      <c r="I13" s="1483"/>
      <c r="J13" s="1484"/>
      <c r="K13" s="1485">
        <v>100</v>
      </c>
      <c r="L13" s="1485"/>
      <c r="M13" s="1485"/>
      <c r="N13" s="1486">
        <f t="shared" si="0"/>
        <v>412</v>
      </c>
      <c r="O13" s="1486"/>
      <c r="P13" s="1487"/>
      <c r="Q13" s="661"/>
      <c r="R13" s="672"/>
      <c r="S13" s="665" t="s">
        <v>305</v>
      </c>
      <c r="T13" s="665"/>
      <c r="U13" s="663"/>
      <c r="V13" s="1489"/>
      <c r="W13" s="1489"/>
      <c r="X13" s="1489"/>
      <c r="Y13" s="663"/>
      <c r="Z13" s="663"/>
      <c r="AA13" s="675"/>
      <c r="AB13" s="669"/>
      <c r="AC13" s="669"/>
      <c r="AD13" s="669"/>
    </row>
    <row r="14" spans="1:41" ht="40" customHeight="1">
      <c r="A14" s="1472">
        <f t="shared" si="1"/>
        <v>8</v>
      </c>
      <c r="B14" s="1473"/>
      <c r="C14" s="1464" t="s">
        <v>517</v>
      </c>
      <c r="D14" s="1464"/>
      <c r="E14" s="1464"/>
      <c r="F14" s="1480" t="s">
        <v>1175</v>
      </c>
      <c r="G14" s="1481"/>
      <c r="H14" s="1482">
        <v>512</v>
      </c>
      <c r="I14" s="1483"/>
      <c r="J14" s="1484"/>
      <c r="K14" s="1485"/>
      <c r="L14" s="1485"/>
      <c r="M14" s="1485"/>
      <c r="N14" s="1486">
        <f t="shared" si="0"/>
        <v>512</v>
      </c>
      <c r="O14" s="1486"/>
      <c r="P14" s="1487"/>
      <c r="Q14" s="661"/>
      <c r="R14" s="661"/>
      <c r="S14" s="661"/>
      <c r="T14" s="663"/>
      <c r="U14" s="663"/>
      <c r="V14" s="663"/>
      <c r="W14" s="663"/>
      <c r="X14" s="663"/>
      <c r="Y14" s="663"/>
      <c r="Z14" s="663"/>
      <c r="AA14" s="669"/>
      <c r="AB14" s="669"/>
      <c r="AC14" s="669"/>
      <c r="AD14" s="669"/>
    </row>
    <row r="15" spans="1:41" ht="40" customHeight="1">
      <c r="A15" s="1472">
        <f t="shared" si="1"/>
        <v>9</v>
      </c>
      <c r="B15" s="1473"/>
      <c r="C15" s="1491" t="s">
        <v>1509</v>
      </c>
      <c r="D15" s="1491"/>
      <c r="E15" s="1491"/>
      <c r="F15" s="1473" t="s">
        <v>1065</v>
      </c>
      <c r="G15" s="1473"/>
      <c r="H15" s="1474">
        <v>188.44399999999999</v>
      </c>
      <c r="I15" s="1474"/>
      <c r="J15" s="1474"/>
      <c r="K15" s="1473"/>
      <c r="L15" s="1473"/>
      <c r="M15" s="1473"/>
      <c r="N15" s="1474">
        <v>188.44399999999999</v>
      </c>
      <c r="O15" s="1474"/>
      <c r="P15" s="1478"/>
      <c r="Q15" s="661"/>
      <c r="R15" s="661"/>
      <c r="S15" s="1490" t="s">
        <v>1510</v>
      </c>
      <c r="T15" s="1490"/>
      <c r="U15" s="663"/>
      <c r="V15" s="663"/>
      <c r="W15" s="664"/>
      <c r="X15" s="673" t="s">
        <v>1180</v>
      </c>
      <c r="Y15" s="664"/>
      <c r="Z15" s="664"/>
      <c r="AA15" s="664"/>
      <c r="AB15" s="664"/>
      <c r="AC15" s="664"/>
      <c r="AD15" s="664"/>
      <c r="AO15" s="676"/>
    </row>
    <row r="16" spans="1:41" ht="40" customHeight="1">
      <c r="A16" s="1472">
        <f t="shared" si="1"/>
        <v>10</v>
      </c>
      <c r="B16" s="1473"/>
      <c r="C16" s="1491" t="s">
        <v>1511</v>
      </c>
      <c r="D16" s="1491"/>
      <c r="E16" s="1491"/>
      <c r="F16" s="1473" t="s">
        <v>1065</v>
      </c>
      <c r="G16" s="1473"/>
      <c r="H16" s="1474">
        <v>188.44399999999999</v>
      </c>
      <c r="I16" s="1474"/>
      <c r="J16" s="1474"/>
      <c r="K16" s="1473"/>
      <c r="L16" s="1473"/>
      <c r="M16" s="1473"/>
      <c r="N16" s="1474">
        <v>188.44399999999999</v>
      </c>
      <c r="O16" s="1474"/>
      <c r="P16" s="1478"/>
      <c r="Q16" s="677"/>
      <c r="R16" s="677"/>
      <c r="S16" s="677"/>
      <c r="T16" s="678"/>
      <c r="U16" s="678"/>
      <c r="V16" s="678"/>
      <c r="W16" s="679"/>
      <c r="X16" s="679"/>
      <c r="Y16" s="679"/>
      <c r="Z16" s="680" t="s">
        <v>1512</v>
      </c>
      <c r="AA16" s="681" t="s">
        <v>1513</v>
      </c>
      <c r="AB16" s="1495" t="s">
        <v>1514</v>
      </c>
      <c r="AC16" s="1495"/>
      <c r="AD16" s="1495"/>
    </row>
    <row r="17" spans="1:41" ht="67" customHeight="1">
      <c r="A17" s="1496" t="s">
        <v>1515</v>
      </c>
      <c r="B17" s="1497"/>
      <c r="C17" s="683"/>
      <c r="D17" s="682" t="s">
        <v>520</v>
      </c>
      <c r="E17" s="683"/>
      <c r="F17" s="1498" t="s">
        <v>1516</v>
      </c>
      <c r="G17" s="1498"/>
      <c r="H17" s="684" t="s">
        <v>521</v>
      </c>
      <c r="I17" s="683"/>
      <c r="J17" s="684" t="s">
        <v>522</v>
      </c>
      <c r="K17" s="683"/>
      <c r="L17" s="684" t="s">
        <v>1186</v>
      </c>
      <c r="M17" s="683"/>
      <c r="N17" s="684" t="s">
        <v>524</v>
      </c>
      <c r="O17" s="683"/>
      <c r="P17" s="684" t="s">
        <v>525</v>
      </c>
      <c r="Q17" s="683"/>
      <c r="R17" s="684" t="s">
        <v>532</v>
      </c>
      <c r="S17" s="683"/>
      <c r="T17" s="684" t="s">
        <v>533</v>
      </c>
      <c r="U17" s="683"/>
      <c r="V17" s="684" t="s">
        <v>1187</v>
      </c>
      <c r="W17" s="683"/>
      <c r="X17" s="684" t="s">
        <v>1188</v>
      </c>
      <c r="Y17" s="683"/>
      <c r="Z17" s="684" t="s">
        <v>1189</v>
      </c>
      <c r="AA17" s="683"/>
      <c r="AB17" s="684" t="s">
        <v>1190</v>
      </c>
      <c r="AC17" s="685" t="s">
        <v>1513</v>
      </c>
      <c r="AD17" s="686"/>
      <c r="AE17" s="477"/>
      <c r="AF17" s="477"/>
      <c r="AG17" s="477"/>
    </row>
    <row r="18" spans="1:41" ht="33.5">
      <c r="A18" s="469"/>
      <c r="B18" s="380"/>
      <c r="C18" s="686"/>
      <c r="D18" s="380"/>
      <c r="E18" s="686"/>
      <c r="F18" s="380"/>
      <c r="G18" s="686"/>
      <c r="H18" s="380"/>
      <c r="I18" s="686"/>
      <c r="J18" s="380"/>
      <c r="K18" s="686"/>
      <c r="L18" s="380"/>
      <c r="M18" s="686"/>
      <c r="N18" s="380"/>
      <c r="O18" s="687"/>
      <c r="P18" s="380"/>
      <c r="Q18" s="686"/>
      <c r="R18" s="380"/>
      <c r="S18" s="686"/>
      <c r="T18" s="380"/>
      <c r="U18" s="686"/>
      <c r="V18" s="380"/>
      <c r="W18" s="686"/>
      <c r="X18" s="380"/>
      <c r="Y18" s="686"/>
      <c r="Z18" s="380"/>
      <c r="AA18" s="686"/>
      <c r="AB18" s="380"/>
      <c r="AC18" s="686"/>
      <c r="AD18" s="380"/>
      <c r="AE18" s="477"/>
      <c r="AF18" s="477"/>
      <c r="AG18" s="477"/>
      <c r="AM18" s="684" t="s">
        <v>390</v>
      </c>
      <c r="AN18" s="684" t="s">
        <v>228</v>
      </c>
      <c r="AO18" s="684" t="s">
        <v>375</v>
      </c>
    </row>
    <row r="19" spans="1:41" ht="15" thickBot="1">
      <c r="A19" s="469"/>
      <c r="B19" s="688"/>
      <c r="C19" s="686"/>
      <c r="D19" s="688"/>
      <c r="E19" s="686"/>
      <c r="F19" s="688"/>
      <c r="G19" s="686"/>
      <c r="H19" s="688"/>
      <c r="I19" s="686"/>
      <c r="J19" s="688"/>
      <c r="K19" s="686"/>
      <c r="L19" s="688"/>
      <c r="M19" s="686"/>
      <c r="N19" s="688"/>
      <c r="O19" s="687"/>
      <c r="P19" s="688"/>
      <c r="Q19" s="686"/>
      <c r="R19" s="688"/>
      <c r="S19" s="686"/>
      <c r="T19" s="688"/>
      <c r="U19" s="686"/>
      <c r="V19" s="688"/>
      <c r="W19" s="686"/>
      <c r="X19" s="688"/>
      <c r="Y19" s="686"/>
      <c r="Z19" s="688"/>
      <c r="AA19" s="686"/>
      <c r="AB19" s="688"/>
      <c r="AC19" s="686"/>
      <c r="AD19" s="686"/>
      <c r="AE19" s="477"/>
      <c r="AF19" s="477"/>
      <c r="AG19" s="477"/>
    </row>
    <row r="20" spans="1:41" ht="101.5" customHeight="1" thickBot="1">
      <c r="A20" s="469"/>
      <c r="B20" s="689"/>
      <c r="C20" s="690">
        <v>89</v>
      </c>
      <c r="D20" s="691"/>
      <c r="E20" s="690">
        <v>113</v>
      </c>
      <c r="F20" s="691"/>
      <c r="G20" s="690">
        <v>264</v>
      </c>
      <c r="H20" s="691"/>
      <c r="I20" s="690">
        <v>244</v>
      </c>
      <c r="J20" s="691"/>
      <c r="K20" s="690">
        <v>657</v>
      </c>
      <c r="L20" s="691"/>
      <c r="M20" s="690">
        <v>419.226</v>
      </c>
      <c r="N20" s="691"/>
      <c r="O20" s="690">
        <v>420.01</v>
      </c>
      <c r="P20" s="691"/>
      <c r="Q20" s="690">
        <v>416.53100000000001</v>
      </c>
      <c r="R20" s="691"/>
      <c r="S20" s="690">
        <v>356.262</v>
      </c>
      <c r="T20" s="691"/>
      <c r="U20" s="690">
        <v>343.07400000000001</v>
      </c>
      <c r="V20" s="691"/>
      <c r="W20" s="690">
        <v>381.32900000000001</v>
      </c>
      <c r="X20" s="691"/>
      <c r="Y20" s="690">
        <v>373.32299999999998</v>
      </c>
      <c r="Z20" s="691"/>
      <c r="AA20" s="690">
        <v>246.012</v>
      </c>
      <c r="AB20" s="691"/>
      <c r="AC20" s="692">
        <v>249.42400000000001</v>
      </c>
      <c r="AD20" s="686"/>
      <c r="AE20" s="696"/>
      <c r="AF20" s="696"/>
      <c r="AG20" s="696"/>
      <c r="AM20" s="896">
        <f>COUNTIF(B20:AB20,"U/P")</f>
        <v>0</v>
      </c>
      <c r="AN20" s="896">
        <f>COUNTIF(C20:AC20,"ROW")</f>
        <v>0</v>
      </c>
      <c r="AO20" s="896">
        <f>COUNTIF(D20:AD20,"C")</f>
        <v>0</v>
      </c>
    </row>
    <row r="21" spans="1:41" ht="15" thickBot="1">
      <c r="A21" s="469"/>
      <c r="B21" s="693"/>
      <c r="C21" s="687"/>
      <c r="D21" s="694"/>
      <c r="E21" s="687"/>
      <c r="F21" s="694"/>
      <c r="G21" s="687"/>
      <c r="H21" s="694"/>
      <c r="I21" s="687"/>
      <c r="J21" s="694"/>
      <c r="K21" s="687"/>
      <c r="L21" s="694"/>
      <c r="M21" s="687"/>
      <c r="N21" s="694"/>
      <c r="O21" s="687"/>
      <c r="P21" s="694"/>
      <c r="Q21" s="687"/>
      <c r="R21" s="694"/>
      <c r="S21" s="687"/>
      <c r="T21" s="694"/>
      <c r="U21" s="687"/>
      <c r="V21" s="694"/>
      <c r="W21" s="687"/>
      <c r="X21" s="694"/>
      <c r="Y21" s="687"/>
      <c r="Z21" s="694"/>
      <c r="AA21" s="687"/>
      <c r="AB21" s="694"/>
      <c r="AC21" s="687"/>
      <c r="AD21" s="686"/>
      <c r="AE21" s="695"/>
      <c r="AF21" s="696"/>
      <c r="AG21" s="696"/>
    </row>
    <row r="22" spans="1:41" ht="33.5">
      <c r="A22" s="697"/>
      <c r="B22" s="698"/>
      <c r="C22" s="698"/>
      <c r="D22" s="699" t="s">
        <v>125</v>
      </c>
      <c r="E22" s="700"/>
      <c r="F22" s="699" t="s">
        <v>143</v>
      </c>
      <c r="G22" s="700"/>
      <c r="H22" s="699" t="s">
        <v>113</v>
      </c>
      <c r="I22" s="701"/>
      <c r="J22" s="699" t="s">
        <v>113</v>
      </c>
      <c r="K22" s="701"/>
      <c r="L22" s="699" t="s">
        <v>167</v>
      </c>
      <c r="M22" s="698"/>
      <c r="N22" s="698" t="s">
        <v>182</v>
      </c>
      <c r="O22" s="698"/>
      <c r="P22" s="698" t="s">
        <v>248</v>
      </c>
      <c r="Q22" s="698"/>
      <c r="R22" s="699" t="s">
        <v>115</v>
      </c>
      <c r="S22" s="698"/>
      <c r="T22" s="698" t="s">
        <v>182</v>
      </c>
      <c r="U22" s="698"/>
      <c r="V22" s="698" t="s">
        <v>182</v>
      </c>
      <c r="W22" s="698"/>
      <c r="X22" s="698" t="s">
        <v>242</v>
      </c>
      <c r="Y22" s="698"/>
      <c r="Z22" s="698" t="s">
        <v>185</v>
      </c>
      <c r="AA22" s="698"/>
      <c r="AB22" s="699" t="s">
        <v>119</v>
      </c>
      <c r="AC22" s="702"/>
      <c r="AD22" s="686"/>
      <c r="AE22" s="695"/>
      <c r="AF22" s="696"/>
      <c r="AG22" s="696"/>
      <c r="AM22" s="896"/>
      <c r="AN22" s="896"/>
      <c r="AO22" s="896"/>
    </row>
    <row r="23" spans="1:41" ht="29" customHeight="1">
      <c r="A23" s="1499" t="s">
        <v>1711</v>
      </c>
      <c r="B23" s="1500"/>
      <c r="C23" s="1500"/>
      <c r="D23" s="1500"/>
      <c r="E23" s="1500"/>
      <c r="F23" s="1500"/>
      <c r="G23" s="1500"/>
      <c r="H23" s="1500"/>
      <c r="I23" s="1500"/>
      <c r="J23" s="1500"/>
      <c r="K23" s="1500"/>
      <c r="L23" s="1500"/>
      <c r="M23" s="1500"/>
      <c r="N23" s="1500"/>
      <c r="O23" s="1500"/>
      <c r="P23" s="1500"/>
      <c r="Q23" s="1500"/>
      <c r="R23" s="1500"/>
      <c r="S23" s="1500"/>
      <c r="T23" s="1500"/>
      <c r="U23" s="1500"/>
      <c r="V23" s="1500"/>
      <c r="W23" s="1500"/>
      <c r="X23" s="1500"/>
      <c r="Y23" s="1500"/>
      <c r="Z23" s="1500"/>
      <c r="AA23" s="1500"/>
      <c r="AB23" s="1500"/>
      <c r="AC23" s="1500"/>
      <c r="AD23" s="1500"/>
      <c r="AE23" s="1500"/>
      <c r="AF23" s="1500"/>
      <c r="AG23" s="1500"/>
      <c r="AH23" s="1500"/>
      <c r="AI23" s="910"/>
      <c r="AJ23" s="910"/>
      <c r="AK23" s="910"/>
      <c r="AL23" s="910"/>
      <c r="AM23" s="896"/>
      <c r="AN23" s="896"/>
      <c r="AO23" s="896"/>
    </row>
    <row r="24" spans="1:41" ht="29.5" customHeight="1">
      <c r="A24" s="697"/>
      <c r="B24" s="684" t="s">
        <v>1195</v>
      </c>
      <c r="C24" s="683"/>
      <c r="D24" s="684" t="s">
        <v>1196</v>
      </c>
      <c r="E24" s="683"/>
      <c r="F24" s="684" t="s">
        <v>1197</v>
      </c>
      <c r="G24" s="683"/>
      <c r="H24" s="684" t="s">
        <v>1198</v>
      </c>
      <c r="I24" s="683"/>
      <c r="J24" s="684" t="s">
        <v>534</v>
      </c>
      <c r="K24" s="683"/>
      <c r="L24" s="684" t="s">
        <v>537</v>
      </c>
      <c r="M24" s="683"/>
      <c r="N24" s="684" t="s">
        <v>1199</v>
      </c>
      <c r="O24" s="683"/>
      <c r="P24" s="684" t="s">
        <v>1200</v>
      </c>
      <c r="Q24" s="683"/>
      <c r="R24" s="684" t="s">
        <v>1201</v>
      </c>
      <c r="S24" s="683"/>
      <c r="T24" s="684" t="s">
        <v>1202</v>
      </c>
      <c r="U24" s="683"/>
      <c r="V24" s="684" t="s">
        <v>1203</v>
      </c>
      <c r="W24" s="683"/>
      <c r="X24" s="684" t="s">
        <v>1204</v>
      </c>
      <c r="Y24" s="683"/>
      <c r="Z24" s="684" t="s">
        <v>1205</v>
      </c>
      <c r="AA24" s="683"/>
      <c r="AB24" s="684" t="s">
        <v>538</v>
      </c>
      <c r="AC24" s="702"/>
      <c r="AD24" s="703"/>
      <c r="AE24" s="696"/>
      <c r="AF24" s="696"/>
      <c r="AG24" s="696"/>
      <c r="AM24" s="896"/>
      <c r="AN24" s="896"/>
      <c r="AO24" s="896"/>
    </row>
    <row r="25" spans="1:41" ht="31">
      <c r="A25" s="469"/>
      <c r="B25" s="704"/>
      <c r="C25" s="705"/>
      <c r="D25" s="704"/>
      <c r="E25" s="705"/>
      <c r="F25" s="704"/>
      <c r="G25" s="705"/>
      <c r="H25" s="704"/>
      <c r="I25" s="705"/>
      <c r="J25" s="704"/>
      <c r="K25" s="705"/>
      <c r="L25" s="704"/>
      <c r="M25" s="705"/>
      <c r="N25" s="704"/>
      <c r="O25" s="705"/>
      <c r="P25" s="704"/>
      <c r="Q25" s="705"/>
      <c r="R25" s="704"/>
      <c r="S25" s="705"/>
      <c r="T25" s="704"/>
      <c r="U25" s="705"/>
      <c r="V25" s="704"/>
      <c r="W25" s="705"/>
      <c r="X25" s="704"/>
      <c r="Y25" s="705"/>
      <c r="Z25" s="704"/>
      <c r="AA25" s="705"/>
      <c r="AB25" s="704"/>
      <c r="AC25" s="705"/>
      <c r="AD25" s="703"/>
      <c r="AE25" s="696"/>
      <c r="AF25" s="696"/>
      <c r="AG25" s="696"/>
      <c r="AM25" s="896"/>
      <c r="AN25" s="896"/>
      <c r="AO25" s="896"/>
    </row>
    <row r="26" spans="1:41" ht="16.5" customHeight="1" thickBot="1">
      <c r="A26" s="469"/>
      <c r="B26" s="706"/>
      <c r="C26" s="705"/>
      <c r="D26" s="706"/>
      <c r="E26" s="705"/>
      <c r="F26" s="706"/>
      <c r="G26" s="705"/>
      <c r="H26" s="706"/>
      <c r="I26" s="705"/>
      <c r="J26" s="706"/>
      <c r="K26" s="705"/>
      <c r="L26" s="706"/>
      <c r="M26" s="705"/>
      <c r="N26" s="706"/>
      <c r="O26" s="705"/>
      <c r="P26" s="706"/>
      <c r="Q26" s="705"/>
      <c r="R26" s="706"/>
      <c r="S26" s="705"/>
      <c r="T26" s="706"/>
      <c r="U26" s="705"/>
      <c r="V26" s="706"/>
      <c r="W26" s="705"/>
      <c r="X26" s="706"/>
      <c r="Y26" s="705"/>
      <c r="Z26" s="706"/>
      <c r="AA26" s="705"/>
      <c r="AB26" s="706"/>
      <c r="AC26" s="705"/>
      <c r="AD26" s="703"/>
      <c r="AE26" s="696"/>
      <c r="AF26" s="696"/>
      <c r="AG26" s="696"/>
      <c r="AM26" s="896"/>
      <c r="AN26" s="896"/>
      <c r="AO26" s="896"/>
    </row>
    <row r="27" spans="1:41" ht="100" customHeight="1" thickBot="1">
      <c r="A27" s="469"/>
      <c r="B27" s="568"/>
      <c r="C27" s="707">
        <v>399.70699999999999</v>
      </c>
      <c r="D27" s="691"/>
      <c r="E27" s="707">
        <v>438.61599999999999</v>
      </c>
      <c r="F27" s="691"/>
      <c r="G27" s="707">
        <v>400.60399999999998</v>
      </c>
      <c r="H27" s="691"/>
      <c r="I27" s="707">
        <v>438.76499999999999</v>
      </c>
      <c r="J27" s="691"/>
      <c r="K27" s="707">
        <v>226.315</v>
      </c>
      <c r="L27" s="691"/>
      <c r="M27" s="707">
        <v>442.553</v>
      </c>
      <c r="N27" s="691"/>
      <c r="O27" s="707">
        <v>389.32900000000001</v>
      </c>
      <c r="P27" s="691"/>
      <c r="Q27" s="707">
        <v>359.36099999999999</v>
      </c>
      <c r="R27" s="691"/>
      <c r="S27" s="707">
        <v>405.00599999999997</v>
      </c>
      <c r="T27" s="691"/>
      <c r="U27" s="707">
        <v>426.51799999999997</v>
      </c>
      <c r="V27" s="691"/>
      <c r="W27" s="707">
        <v>356.05500000000001</v>
      </c>
      <c r="X27" s="691"/>
      <c r="Y27" s="707">
        <v>369.29500000000002</v>
      </c>
      <c r="Z27" s="691"/>
      <c r="AA27" s="707">
        <v>374.99299999999999</v>
      </c>
      <c r="AB27" s="691"/>
      <c r="AC27" s="708">
        <v>383.76799999999997</v>
      </c>
      <c r="AD27" s="703"/>
      <c r="AE27" s="696"/>
      <c r="AF27" s="696"/>
      <c r="AG27" s="696"/>
      <c r="AM27" s="896">
        <f>COUNTIF(B27:AB27,"U/P")</f>
        <v>0</v>
      </c>
      <c r="AN27" s="896">
        <f>COUNTIF(C27:AC27,"ROW")</f>
        <v>0</v>
      </c>
      <c r="AO27" s="896">
        <f>COUNTIF(D27:AD27,"C")</f>
        <v>0</v>
      </c>
    </row>
    <row r="28" spans="1:41" ht="34" thickBot="1">
      <c r="A28" s="469"/>
      <c r="B28" s="709"/>
      <c r="C28" s="702"/>
      <c r="D28" s="710"/>
      <c r="E28" s="702"/>
      <c r="F28" s="710"/>
      <c r="G28" s="702"/>
      <c r="H28" s="710"/>
      <c r="I28" s="702"/>
      <c r="J28" s="710"/>
      <c r="K28" s="702"/>
      <c r="L28" s="710"/>
      <c r="M28" s="702"/>
      <c r="N28" s="710"/>
      <c r="O28" s="702"/>
      <c r="P28" s="710"/>
      <c r="Q28" s="702"/>
      <c r="R28" s="710"/>
      <c r="S28" s="702"/>
      <c r="T28" s="710"/>
      <c r="U28" s="702"/>
      <c r="V28" s="710"/>
      <c r="W28" s="702"/>
      <c r="X28" s="710"/>
      <c r="Y28" s="702"/>
      <c r="Z28" s="710"/>
      <c r="AA28" s="702"/>
      <c r="AB28" s="710"/>
      <c r="AC28" s="705"/>
      <c r="AD28" s="703"/>
      <c r="AE28" s="696"/>
      <c r="AF28" s="696"/>
      <c r="AG28" s="696"/>
      <c r="AM28" s="896"/>
      <c r="AN28" s="896"/>
      <c r="AO28" s="896"/>
    </row>
    <row r="29" spans="1:41" ht="33.5">
      <c r="A29" s="469"/>
      <c r="B29" s="698" t="s">
        <v>182</v>
      </c>
      <c r="C29" s="698"/>
      <c r="D29" s="698" t="s">
        <v>242</v>
      </c>
      <c r="E29" s="698"/>
      <c r="F29" s="698" t="s">
        <v>242</v>
      </c>
      <c r="G29" s="698"/>
      <c r="H29" s="698" t="s">
        <v>185</v>
      </c>
      <c r="I29" s="698"/>
      <c r="J29" s="699" t="s">
        <v>117</v>
      </c>
      <c r="K29" s="698"/>
      <c r="L29" s="699" t="s">
        <v>117</v>
      </c>
      <c r="M29" s="698"/>
      <c r="N29" s="698" t="s">
        <v>185</v>
      </c>
      <c r="O29" s="698"/>
      <c r="P29" s="698" t="s">
        <v>182</v>
      </c>
      <c r="Q29" s="698"/>
      <c r="R29" s="698" t="s">
        <v>182</v>
      </c>
      <c r="S29" s="698"/>
      <c r="T29" s="698" t="s">
        <v>182</v>
      </c>
      <c r="U29" s="698"/>
      <c r="V29" s="698" t="s">
        <v>182</v>
      </c>
      <c r="W29" s="698"/>
      <c r="X29" s="698" t="s">
        <v>182</v>
      </c>
      <c r="Y29" s="698"/>
      <c r="Z29" s="698" t="s">
        <v>182</v>
      </c>
      <c r="AA29" s="698"/>
      <c r="AB29" s="699" t="s">
        <v>119</v>
      </c>
      <c r="AC29" s="705"/>
      <c r="AD29" s="703"/>
      <c r="AE29" s="695"/>
      <c r="AF29" s="696"/>
      <c r="AG29" s="696"/>
      <c r="AM29" s="896"/>
      <c r="AN29" s="896"/>
      <c r="AO29" s="896"/>
    </row>
    <row r="30" spans="1:41" ht="28.5" customHeight="1">
      <c r="A30" s="1499" t="s">
        <v>1711</v>
      </c>
      <c r="B30" s="1500"/>
      <c r="C30" s="1500"/>
      <c r="D30" s="1500"/>
      <c r="E30" s="1500"/>
      <c r="F30" s="1500"/>
      <c r="G30" s="1500"/>
      <c r="H30" s="1500"/>
      <c r="I30" s="1500"/>
      <c r="J30" s="1500"/>
      <c r="K30" s="1500"/>
      <c r="L30" s="1500"/>
      <c r="M30" s="1500"/>
      <c r="N30" s="1500"/>
      <c r="O30" s="1500"/>
      <c r="P30" s="1500"/>
      <c r="Q30" s="1500"/>
      <c r="R30" s="1500"/>
      <c r="S30" s="1500"/>
      <c r="T30" s="1500"/>
      <c r="U30" s="1500"/>
      <c r="V30" s="1500"/>
      <c r="W30" s="1500"/>
      <c r="X30" s="1500"/>
      <c r="Y30" s="1500"/>
      <c r="Z30" s="1500"/>
      <c r="AA30" s="1500"/>
      <c r="AB30" s="1500"/>
      <c r="AC30" s="1500"/>
      <c r="AD30" s="1500"/>
      <c r="AE30" s="1500"/>
      <c r="AF30" s="1500"/>
      <c r="AG30" s="1500"/>
      <c r="AH30" s="1500"/>
      <c r="AI30" s="910"/>
      <c r="AJ30" s="910"/>
      <c r="AK30" s="910"/>
      <c r="AL30" s="910"/>
    </row>
    <row r="31" spans="1:41" ht="21" customHeight="1">
      <c r="A31" s="469"/>
      <c r="B31" s="684" t="s">
        <v>539</v>
      </c>
      <c r="C31" s="683"/>
      <c r="D31" s="684"/>
      <c r="E31" s="683"/>
      <c r="F31" s="684" t="s">
        <v>542</v>
      </c>
      <c r="G31" s="683"/>
      <c r="H31" s="684" t="s">
        <v>543</v>
      </c>
      <c r="I31" s="683"/>
      <c r="J31" s="684" t="s">
        <v>544</v>
      </c>
      <c r="K31" s="683"/>
      <c r="L31" s="684" t="s">
        <v>545</v>
      </c>
      <c r="M31" s="683"/>
      <c r="N31" s="684" t="s">
        <v>546</v>
      </c>
      <c r="O31" s="683"/>
      <c r="P31" s="684" t="s">
        <v>1206</v>
      </c>
      <c r="Q31" s="683"/>
      <c r="R31" s="684" t="s">
        <v>1207</v>
      </c>
      <c r="S31" s="683"/>
      <c r="T31" s="684" t="s">
        <v>1208</v>
      </c>
      <c r="U31" s="683"/>
      <c r="V31" s="684" t="s">
        <v>1209</v>
      </c>
      <c r="W31" s="683"/>
      <c r="X31" s="684" t="s">
        <v>548</v>
      </c>
      <c r="Y31" s="683"/>
      <c r="Z31" s="711" t="s">
        <v>1210</v>
      </c>
      <c r="AA31" s="683"/>
      <c r="AB31" s="684" t="s">
        <v>1211</v>
      </c>
      <c r="AC31" s="702"/>
      <c r="AD31" s="703"/>
      <c r="AE31" s="696"/>
      <c r="AF31" s="696"/>
      <c r="AG31" s="696"/>
    </row>
    <row r="32" spans="1:41" ht="33.5">
      <c r="A32" s="469"/>
      <c r="B32" s="712"/>
      <c r="C32" s="702"/>
      <c r="D32" s="712"/>
      <c r="E32" s="698"/>
      <c r="F32" s="712"/>
      <c r="G32" s="713"/>
      <c r="H32" s="712"/>
      <c r="I32" s="702"/>
      <c r="J32" s="712"/>
      <c r="K32" s="702"/>
      <c r="L32" s="712"/>
      <c r="M32" s="702"/>
      <c r="N32" s="712"/>
      <c r="O32" s="702"/>
      <c r="P32" s="712"/>
      <c r="Q32" s="702"/>
      <c r="R32" s="712"/>
      <c r="S32" s="702"/>
      <c r="T32" s="712"/>
      <c r="U32" s="702"/>
      <c r="V32" s="712"/>
      <c r="W32" s="698"/>
      <c r="X32" s="712"/>
      <c r="Y32" s="698"/>
      <c r="Z32" s="712"/>
      <c r="AA32" s="702"/>
      <c r="AB32" s="712"/>
      <c r="AC32" s="702"/>
      <c r="AD32" s="703"/>
      <c r="AE32" s="696"/>
      <c r="AF32" s="696"/>
      <c r="AG32" s="696"/>
    </row>
    <row r="33" spans="1:41" ht="15" customHeight="1" thickBot="1">
      <c r="A33" s="469"/>
      <c r="B33" s="714"/>
      <c r="C33" s="702"/>
      <c r="D33" s="714"/>
      <c r="E33" s="702"/>
      <c r="F33" s="714"/>
      <c r="G33" s="702"/>
      <c r="H33" s="714"/>
      <c r="I33" s="702"/>
      <c r="J33" s="714"/>
      <c r="K33" s="702"/>
      <c r="L33" s="714"/>
      <c r="M33" s="702"/>
      <c r="N33" s="714"/>
      <c r="O33" s="702"/>
      <c r="P33" s="714"/>
      <c r="Q33" s="702"/>
      <c r="R33" s="714"/>
      <c r="S33" s="702"/>
      <c r="T33" s="714"/>
      <c r="U33" s="702"/>
      <c r="V33" s="714"/>
      <c r="W33" s="702"/>
      <c r="X33" s="714"/>
      <c r="Y33" s="702"/>
      <c r="Z33" s="714"/>
      <c r="AA33" s="702"/>
      <c r="AB33" s="714"/>
      <c r="AC33" s="702"/>
      <c r="AD33" s="703"/>
      <c r="AE33" s="696"/>
      <c r="AF33" s="696"/>
      <c r="AG33" s="696"/>
    </row>
    <row r="34" spans="1:41" ht="100" customHeight="1" thickBot="1">
      <c r="A34" s="469"/>
      <c r="B34" s="691"/>
      <c r="C34" s="707"/>
      <c r="D34" s="707">
        <v>396.38</v>
      </c>
      <c r="E34" s="707"/>
      <c r="F34" s="691"/>
      <c r="G34" s="707">
        <v>392.53399999999999</v>
      </c>
      <c r="H34" s="691"/>
      <c r="I34" s="707">
        <v>332.16199999999998</v>
      </c>
      <c r="J34" s="691"/>
      <c r="K34" s="707">
        <v>352.11200000000002</v>
      </c>
      <c r="L34" s="691"/>
      <c r="M34" s="707">
        <v>389.39299999999997</v>
      </c>
      <c r="N34" s="691"/>
      <c r="O34" s="707">
        <v>374.47699999999998</v>
      </c>
      <c r="P34" s="691"/>
      <c r="Q34" s="707">
        <v>419.97699999999998</v>
      </c>
      <c r="R34" s="691"/>
      <c r="S34" s="707">
        <v>387.899</v>
      </c>
      <c r="T34" s="691"/>
      <c r="U34" s="707">
        <v>407.654</v>
      </c>
      <c r="V34" s="691"/>
      <c r="W34" s="707">
        <v>402.35700000000003</v>
      </c>
      <c r="X34" s="691"/>
      <c r="Y34" s="690">
        <v>372.25900000000001</v>
      </c>
      <c r="Z34" s="691"/>
      <c r="AA34" s="707">
        <v>410.94900000000001</v>
      </c>
      <c r="AB34" s="691"/>
      <c r="AC34" s="707">
        <v>379.07499999999999</v>
      </c>
      <c r="AD34" s="703"/>
      <c r="AE34" s="696"/>
      <c r="AF34" s="696"/>
      <c r="AG34" s="696"/>
      <c r="AM34" s="896">
        <f>COUNTIF(B34:AB34,"U/P")</f>
        <v>0</v>
      </c>
      <c r="AN34" s="896">
        <f>COUNTIF(C34:AC34,"ROW")</f>
        <v>0</v>
      </c>
      <c r="AO34" s="896">
        <f>COUNTIF(D34:AD34,"C")</f>
        <v>0</v>
      </c>
    </row>
    <row r="35" spans="1:41" ht="34" thickBot="1">
      <c r="A35" s="469"/>
      <c r="B35" s="710"/>
      <c r="C35" s="702"/>
      <c r="D35" s="712"/>
      <c r="E35" s="702"/>
      <c r="F35" s="710"/>
      <c r="G35" s="702"/>
      <c r="H35" s="710"/>
      <c r="I35" s="702"/>
      <c r="J35" s="710"/>
      <c r="K35" s="702"/>
      <c r="L35" s="710"/>
      <c r="M35" s="702"/>
      <c r="N35" s="710"/>
      <c r="O35" s="702"/>
      <c r="P35" s="710"/>
      <c r="Q35" s="702"/>
      <c r="R35" s="710"/>
      <c r="S35" s="702"/>
      <c r="T35" s="904" t="s">
        <v>454</v>
      </c>
      <c r="U35" s="702"/>
      <c r="V35" s="710"/>
      <c r="W35" s="702"/>
      <c r="X35" s="710"/>
      <c r="Y35" s="702"/>
      <c r="Z35" s="710"/>
      <c r="AA35" s="702"/>
      <c r="AB35" s="710"/>
      <c r="AC35" s="702"/>
      <c r="AD35" s="703"/>
      <c r="AE35" s="696"/>
      <c r="AF35" s="696"/>
      <c r="AG35" s="696"/>
    </row>
    <row r="36" spans="1:41" ht="33.5">
      <c r="A36" s="469"/>
      <c r="B36" s="715" t="s">
        <v>182</v>
      </c>
      <c r="C36" s="698"/>
      <c r="D36" s="715"/>
      <c r="E36" s="698"/>
      <c r="F36" s="715" t="s">
        <v>182</v>
      </c>
      <c r="G36" s="698"/>
      <c r="H36" s="715" t="s">
        <v>182</v>
      </c>
      <c r="I36" s="698"/>
      <c r="J36" s="715" t="s">
        <v>182</v>
      </c>
      <c r="K36" s="698"/>
      <c r="L36" s="715" t="s">
        <v>182</v>
      </c>
      <c r="M36" s="698"/>
      <c r="N36" s="715" t="s">
        <v>182</v>
      </c>
      <c r="O36" s="698"/>
      <c r="P36" s="715" t="s">
        <v>182</v>
      </c>
      <c r="Q36" s="698"/>
      <c r="R36" s="715" t="s">
        <v>185</v>
      </c>
      <c r="S36" s="698"/>
      <c r="T36" s="715" t="s">
        <v>182</v>
      </c>
      <c r="U36" s="698"/>
      <c r="V36" s="715" t="s">
        <v>185</v>
      </c>
      <c r="W36" s="698"/>
      <c r="X36" s="699" t="s">
        <v>119</v>
      </c>
      <c r="Y36" s="698"/>
      <c r="Z36" s="715" t="s">
        <v>182</v>
      </c>
      <c r="AA36" s="698"/>
      <c r="AB36" s="715" t="s">
        <v>182</v>
      </c>
      <c r="AC36" s="705"/>
      <c r="AD36" s="703"/>
      <c r="AE36" s="695"/>
      <c r="AF36" s="696"/>
      <c r="AG36" s="696"/>
    </row>
    <row r="37" spans="1:41" ht="30.5" customHeight="1">
      <c r="A37" s="1501" t="s">
        <v>1712</v>
      </c>
      <c r="B37" s="1502"/>
      <c r="C37" s="1502"/>
      <c r="D37" s="1502"/>
      <c r="E37" s="1502"/>
      <c r="F37" s="1502"/>
      <c r="G37" s="1502"/>
      <c r="H37" s="1502"/>
      <c r="I37" s="1502"/>
      <c r="J37" s="1502"/>
      <c r="K37" s="1502"/>
      <c r="L37" s="1502"/>
      <c r="M37" s="1502"/>
      <c r="N37" s="1502"/>
      <c r="O37" s="1502"/>
      <c r="P37" s="1502"/>
      <c r="Q37" s="1502"/>
      <c r="R37" s="1502"/>
      <c r="S37" s="1502"/>
      <c r="T37" s="1502"/>
      <c r="U37" s="1502"/>
      <c r="V37" s="1502"/>
      <c r="W37" s="1502"/>
      <c r="X37" s="1502"/>
      <c r="Y37" s="1502"/>
      <c r="Z37" s="1502"/>
      <c r="AA37" s="1502"/>
      <c r="AB37" s="1502"/>
      <c r="AC37" s="1502"/>
      <c r="AD37" s="1502"/>
      <c r="AE37" s="1502"/>
      <c r="AF37" s="1502"/>
      <c r="AG37" s="1502"/>
      <c r="AH37" s="1502"/>
      <c r="AI37" s="910"/>
      <c r="AJ37" s="910"/>
      <c r="AK37" s="910"/>
      <c r="AL37" s="910"/>
    </row>
    <row r="38" spans="1:41" ht="25" customHeight="1">
      <c r="A38" s="469"/>
      <c r="B38" s="684" t="s">
        <v>1212</v>
      </c>
      <c r="C38" s="683"/>
      <c r="D38" s="684" t="s">
        <v>1213</v>
      </c>
      <c r="E38" s="683"/>
      <c r="F38" s="684" t="s">
        <v>556</v>
      </c>
      <c r="G38" s="683"/>
      <c r="H38" s="684" t="s">
        <v>1214</v>
      </c>
      <c r="I38" s="683"/>
      <c r="J38" s="684" t="s">
        <v>1215</v>
      </c>
      <c r="K38" s="683"/>
      <c r="L38" s="684" t="s">
        <v>1216</v>
      </c>
      <c r="M38" s="683"/>
      <c r="N38" s="684" t="s">
        <v>1217</v>
      </c>
      <c r="O38" s="683"/>
      <c r="P38" s="684" t="s">
        <v>1218</v>
      </c>
      <c r="Q38" s="683"/>
      <c r="R38" s="684" t="s">
        <v>1517</v>
      </c>
      <c r="S38" s="683"/>
      <c r="T38" s="684" t="s">
        <v>1219</v>
      </c>
      <c r="U38" s="683"/>
      <c r="V38" s="684" t="s">
        <v>1220</v>
      </c>
      <c r="W38" s="683"/>
      <c r="X38" s="684" t="s">
        <v>1221</v>
      </c>
      <c r="Y38" s="683"/>
      <c r="Z38" s="684" t="s">
        <v>1222</v>
      </c>
      <c r="AA38" s="683"/>
      <c r="AB38" s="684" t="s">
        <v>1223</v>
      </c>
      <c r="AC38" s="702"/>
      <c r="AD38" s="703"/>
      <c r="AE38" s="696"/>
      <c r="AF38" s="696"/>
      <c r="AG38" s="696"/>
    </row>
    <row r="39" spans="1:41" ht="33.5">
      <c r="A39" s="469"/>
      <c r="B39" s="712"/>
      <c r="C39" s="702"/>
      <c r="D39" s="712"/>
      <c r="E39" s="702"/>
      <c r="F39" s="712"/>
      <c r="G39" s="702"/>
      <c r="H39" s="712"/>
      <c r="I39" s="702"/>
      <c r="J39" s="712"/>
      <c r="K39" s="702"/>
      <c r="L39" s="712"/>
      <c r="M39" s="702"/>
      <c r="N39" s="712"/>
      <c r="O39" s="702"/>
      <c r="P39" s="712"/>
      <c r="Q39" s="702"/>
      <c r="R39" s="712"/>
      <c r="S39" s="702"/>
      <c r="T39" s="712"/>
      <c r="U39" s="702"/>
      <c r="V39" s="712"/>
      <c r="W39" s="702"/>
      <c r="X39" s="712"/>
      <c r="Y39" s="702"/>
      <c r="Z39" s="712"/>
      <c r="AA39" s="702"/>
      <c r="AB39" s="712"/>
      <c r="AC39" s="702"/>
      <c r="AD39" s="703"/>
      <c r="AE39" s="696"/>
      <c r="AF39" s="696"/>
      <c r="AG39" s="696"/>
    </row>
    <row r="40" spans="1:41" ht="15" customHeight="1" thickBot="1">
      <c r="A40" s="469"/>
      <c r="B40" s="714"/>
      <c r="C40" s="702"/>
      <c r="D40" s="714"/>
      <c r="E40" s="702"/>
      <c r="F40" s="714"/>
      <c r="G40" s="702"/>
      <c r="H40" s="714"/>
      <c r="I40" s="702"/>
      <c r="J40" s="714"/>
      <c r="K40" s="702"/>
      <c r="L40" s="714"/>
      <c r="M40" s="702"/>
      <c r="N40" s="714"/>
      <c r="O40" s="702"/>
      <c r="P40" s="714"/>
      <c r="Q40" s="702"/>
      <c r="R40" s="714"/>
      <c r="S40" s="702"/>
      <c r="T40" s="714"/>
      <c r="U40" s="702"/>
      <c r="V40" s="714"/>
      <c r="W40" s="702"/>
      <c r="X40" s="714"/>
      <c r="Y40" s="702"/>
      <c r="Z40" s="714"/>
      <c r="AA40" s="702"/>
      <c r="AB40" s="714"/>
      <c r="AC40" s="702"/>
      <c r="AD40" s="703"/>
      <c r="AE40" s="696"/>
      <c r="AF40" s="696"/>
      <c r="AG40" s="696"/>
    </row>
    <row r="41" spans="1:41" ht="100" customHeight="1" thickBot="1">
      <c r="A41" s="469"/>
      <c r="B41" s="691"/>
      <c r="C41" s="707">
        <v>412.596</v>
      </c>
      <c r="D41" s="691"/>
      <c r="E41" s="707">
        <v>340.11200000000002</v>
      </c>
      <c r="F41" s="691"/>
      <c r="G41" s="707">
        <v>410.76</v>
      </c>
      <c r="H41" s="691"/>
      <c r="I41" s="707">
        <v>427.9</v>
      </c>
      <c r="J41" s="691"/>
      <c r="K41" s="707">
        <v>404.21</v>
      </c>
      <c r="L41" s="691"/>
      <c r="M41" s="707">
        <v>398.44600000000003</v>
      </c>
      <c r="N41" s="691"/>
      <c r="O41" s="707">
        <v>431.93900000000002</v>
      </c>
      <c r="P41" s="691"/>
      <c r="Q41" s="707">
        <v>486.19600000000003</v>
      </c>
      <c r="R41" s="691"/>
      <c r="S41" s="707">
        <v>369.71699999999998</v>
      </c>
      <c r="T41" s="691"/>
      <c r="U41" s="707">
        <v>389.34399999999999</v>
      </c>
      <c r="V41" s="691"/>
      <c r="W41" s="707">
        <v>395.60199999999998</v>
      </c>
      <c r="X41" s="691"/>
      <c r="Y41" s="707">
        <v>375</v>
      </c>
      <c r="Z41" s="691"/>
      <c r="AA41" s="707">
        <v>462</v>
      </c>
      <c r="AB41" s="691"/>
      <c r="AC41" s="707">
        <v>382</v>
      </c>
      <c r="AD41" s="703"/>
      <c r="AE41" s="696"/>
      <c r="AF41" s="696"/>
      <c r="AG41" s="696"/>
      <c r="AM41" s="896">
        <f>COUNTIF(B41:AB41,"U/P")</f>
        <v>0</v>
      </c>
      <c r="AN41" s="896">
        <f>COUNTIF(C41:AC41,"ROW")</f>
        <v>0</v>
      </c>
      <c r="AO41" s="896">
        <f>COUNTIF(D41:AD41,"C")</f>
        <v>0</v>
      </c>
    </row>
    <row r="42" spans="1:41" ht="34" thickBot="1">
      <c r="A42" s="469"/>
      <c r="B42" s="710"/>
      <c r="C42" s="702"/>
      <c r="D42" s="710"/>
      <c r="E42" s="702"/>
      <c r="F42" s="710"/>
      <c r="G42" s="702"/>
      <c r="H42" s="710"/>
      <c r="I42" s="702"/>
      <c r="J42" s="710"/>
      <c r="K42" s="702"/>
      <c r="L42" s="710"/>
      <c r="M42" s="702"/>
      <c r="N42" s="710"/>
      <c r="O42" s="702"/>
      <c r="P42" s="710"/>
      <c r="Q42" s="702"/>
      <c r="R42" s="710"/>
      <c r="S42" s="702"/>
      <c r="T42" s="710"/>
      <c r="U42" s="702"/>
      <c r="V42" s="710"/>
      <c r="W42" s="702"/>
      <c r="X42" s="710"/>
      <c r="Y42" s="702"/>
      <c r="Z42" s="710"/>
      <c r="AA42" s="702"/>
      <c r="AB42" s="710"/>
      <c r="AC42" s="702"/>
      <c r="AD42" s="703"/>
      <c r="AE42" s="696"/>
      <c r="AF42" s="696"/>
      <c r="AG42" s="696"/>
    </row>
    <row r="43" spans="1:41" ht="33.5">
      <c r="A43" s="469"/>
      <c r="B43" s="698" t="s">
        <v>182</v>
      </c>
      <c r="C43" s="698"/>
      <c r="D43" s="698" t="s">
        <v>185</v>
      </c>
      <c r="E43" s="698"/>
      <c r="F43" s="699" t="s">
        <v>119</v>
      </c>
      <c r="G43" s="698"/>
      <c r="H43" s="698" t="s">
        <v>185</v>
      </c>
      <c r="I43" s="698"/>
      <c r="J43" s="698" t="s">
        <v>242</v>
      </c>
      <c r="K43" s="698"/>
      <c r="L43" s="698" t="s">
        <v>182</v>
      </c>
      <c r="M43" s="698"/>
      <c r="N43" s="698" t="s">
        <v>185</v>
      </c>
      <c r="O43" s="698"/>
      <c r="P43" s="699" t="s">
        <v>132</v>
      </c>
      <c r="Q43" s="698"/>
      <c r="R43" s="699" t="s">
        <v>137</v>
      </c>
      <c r="S43" s="698"/>
      <c r="T43" s="698" t="s">
        <v>185</v>
      </c>
      <c r="U43" s="698"/>
      <c r="V43" s="698" t="s">
        <v>182</v>
      </c>
      <c r="W43" s="698"/>
      <c r="X43" s="698" t="s">
        <v>185</v>
      </c>
      <c r="Y43" s="698"/>
      <c r="Z43" s="698" t="s">
        <v>242</v>
      </c>
      <c r="AA43" s="698"/>
      <c r="AB43" s="698" t="s">
        <v>182</v>
      </c>
      <c r="AC43" s="702"/>
      <c r="AD43" s="703"/>
      <c r="AE43" s="696"/>
      <c r="AF43" s="696"/>
      <c r="AG43" s="696"/>
    </row>
    <row r="44" spans="1:41" ht="30.5" customHeight="1">
      <c r="A44" s="1492" t="s">
        <v>1518</v>
      </c>
      <c r="B44" s="1493"/>
      <c r="C44" s="1493"/>
      <c r="D44" s="1493"/>
      <c r="E44" s="1493"/>
      <c r="F44" s="1493"/>
      <c r="G44" s="1493"/>
      <c r="H44" s="1493"/>
      <c r="I44" s="1493"/>
      <c r="J44" s="1493"/>
      <c r="K44" s="1493"/>
      <c r="L44" s="1493"/>
      <c r="M44" s="1493"/>
      <c r="N44" s="1493"/>
      <c r="O44" s="1493"/>
      <c r="P44" s="1493"/>
      <c r="Q44" s="1493"/>
      <c r="R44" s="1493"/>
      <c r="S44" s="1493"/>
      <c r="T44" s="1493"/>
      <c r="U44" s="1493"/>
      <c r="V44" s="1493"/>
      <c r="W44" s="1493"/>
      <c r="X44" s="1493"/>
      <c r="Y44" s="1493"/>
      <c r="Z44" s="1493"/>
      <c r="AA44" s="1493"/>
      <c r="AB44" s="1493"/>
      <c r="AC44" s="1493"/>
      <c r="AD44" s="1493"/>
      <c r="AE44" s="1493"/>
      <c r="AF44" s="1493"/>
      <c r="AG44" s="1493"/>
      <c r="AH44" s="1493"/>
      <c r="AI44" s="907"/>
      <c r="AJ44" s="907"/>
      <c r="AK44" s="907"/>
      <c r="AL44" s="907"/>
    </row>
    <row r="45" spans="1:41" ht="67" customHeight="1">
      <c r="A45" s="469"/>
      <c r="B45" s="684" t="s">
        <v>1224</v>
      </c>
      <c r="C45" s="683"/>
      <c r="D45" s="684" t="s">
        <v>1225</v>
      </c>
      <c r="E45" s="683"/>
      <c r="F45" s="684" t="s">
        <v>1226</v>
      </c>
      <c r="G45" s="683"/>
      <c r="H45" s="684" t="s">
        <v>1227</v>
      </c>
      <c r="I45" s="683"/>
      <c r="J45" s="684" t="s">
        <v>1228</v>
      </c>
      <c r="K45" s="683"/>
      <c r="L45" s="1494" t="s">
        <v>1229</v>
      </c>
      <c r="M45" s="1494"/>
      <c r="N45" s="1494" t="s">
        <v>1230</v>
      </c>
      <c r="O45" s="1494"/>
      <c r="P45" s="1494" t="s">
        <v>1231</v>
      </c>
      <c r="Q45" s="1494"/>
      <c r="R45" s="1494" t="s">
        <v>1232</v>
      </c>
      <c r="S45" s="1494"/>
      <c r="T45" s="1494" t="s">
        <v>1233</v>
      </c>
      <c r="U45" s="1494"/>
      <c r="V45" s="1494" t="s">
        <v>573</v>
      </c>
      <c r="W45" s="1494"/>
      <c r="X45" s="684" t="s">
        <v>1234</v>
      </c>
      <c r="Y45" s="683"/>
      <c r="Z45" s="684" t="s">
        <v>1235</v>
      </c>
      <c r="AA45" s="683"/>
      <c r="AB45" s="684" t="s">
        <v>1236</v>
      </c>
      <c r="AC45" s="702"/>
      <c r="AD45" s="703"/>
      <c r="AE45" s="696"/>
      <c r="AF45" s="696"/>
      <c r="AG45" s="696"/>
    </row>
    <row r="46" spans="1:41" ht="33.5">
      <c r="A46" s="469"/>
      <c r="B46" s="712"/>
      <c r="C46" s="702"/>
      <c r="D46" s="712"/>
      <c r="E46" s="702"/>
      <c r="F46" s="712"/>
      <c r="G46" s="702"/>
      <c r="H46" s="712"/>
      <c r="I46" s="702"/>
      <c r="J46" s="712"/>
      <c r="K46" s="702"/>
      <c r="L46" s="712"/>
      <c r="M46" s="702"/>
      <c r="N46" s="712"/>
      <c r="O46" s="702"/>
      <c r="P46" s="712"/>
      <c r="Q46" s="702"/>
      <c r="R46" s="712"/>
      <c r="S46" s="702"/>
      <c r="T46" s="712"/>
      <c r="U46" s="702"/>
      <c r="V46" s="712"/>
      <c r="W46" s="702"/>
      <c r="X46" s="712"/>
      <c r="Y46" s="702"/>
      <c r="Z46" s="712"/>
      <c r="AA46" s="702"/>
      <c r="AB46" s="712"/>
      <c r="AC46" s="702"/>
      <c r="AD46" s="703"/>
      <c r="AE46" s="696"/>
      <c r="AF46" s="696"/>
      <c r="AG46" s="696"/>
    </row>
    <row r="47" spans="1:41" ht="16.5" customHeight="1" thickBot="1">
      <c r="A47" s="469"/>
      <c r="B47" s="714"/>
      <c r="C47" s="702"/>
      <c r="D47" s="714"/>
      <c r="E47" s="702"/>
      <c r="F47" s="714"/>
      <c r="G47" s="702"/>
      <c r="H47" s="714"/>
      <c r="I47" s="702"/>
      <c r="J47" s="714"/>
      <c r="K47" s="702"/>
      <c r="L47" s="714"/>
      <c r="M47" s="702"/>
      <c r="N47" s="714"/>
      <c r="O47" s="702"/>
      <c r="P47" s="714"/>
      <c r="Q47" s="702"/>
      <c r="R47" s="714"/>
      <c r="S47" s="702"/>
      <c r="T47" s="714"/>
      <c r="U47" s="702"/>
      <c r="V47" s="714"/>
      <c r="W47" s="702"/>
      <c r="X47" s="714"/>
      <c r="Y47" s="702"/>
      <c r="Z47" s="714"/>
      <c r="AA47" s="702"/>
      <c r="AB47" s="714"/>
      <c r="AC47" s="702"/>
      <c r="AD47" s="703"/>
      <c r="AE47" s="696"/>
      <c r="AF47" s="696"/>
      <c r="AG47" s="696"/>
    </row>
    <row r="48" spans="1:41" ht="100" customHeight="1" thickBot="1">
      <c r="A48" s="469"/>
      <c r="B48" s="691"/>
      <c r="C48" s="707">
        <v>428</v>
      </c>
      <c r="D48" s="691"/>
      <c r="E48" s="707">
        <v>411</v>
      </c>
      <c r="F48" s="691"/>
      <c r="G48" s="707">
        <v>352</v>
      </c>
      <c r="H48" s="691"/>
      <c r="I48" s="707">
        <v>405</v>
      </c>
      <c r="J48" s="691"/>
      <c r="K48" s="707">
        <v>400.12599999999998</v>
      </c>
      <c r="L48" s="691"/>
      <c r="M48" s="707">
        <v>384</v>
      </c>
      <c r="N48" s="691"/>
      <c r="O48" s="707">
        <v>406</v>
      </c>
      <c r="P48" s="691"/>
      <c r="Q48" s="707">
        <v>378</v>
      </c>
      <c r="R48" s="691"/>
      <c r="S48" s="707">
        <v>373</v>
      </c>
      <c r="T48" s="691"/>
      <c r="U48" s="707">
        <v>378.36200000000002</v>
      </c>
      <c r="V48" s="691"/>
      <c r="W48" s="707">
        <v>433.995</v>
      </c>
      <c r="X48" s="691"/>
      <c r="Y48" s="707">
        <v>370.685</v>
      </c>
      <c r="Z48" s="691"/>
      <c r="AA48" s="707">
        <v>323.97199999999998</v>
      </c>
      <c r="AB48" s="691"/>
      <c r="AC48" s="707">
        <v>384.46199999999999</v>
      </c>
      <c r="AD48" s="703"/>
      <c r="AE48" s="696"/>
      <c r="AF48" s="696"/>
      <c r="AG48" s="696"/>
      <c r="AM48" s="896">
        <f>COUNTIF(B48:AB48,"U/P")</f>
        <v>0</v>
      </c>
      <c r="AN48" s="896">
        <f>COUNTIF(C48:AC48,"ROW")</f>
        <v>0</v>
      </c>
      <c r="AO48" s="896">
        <f>COUNTIF(D48:AD48,"C")</f>
        <v>0</v>
      </c>
    </row>
    <row r="49" spans="1:41" ht="34" thickBot="1">
      <c r="A49" s="469"/>
      <c r="B49" s="710"/>
      <c r="C49" s="702"/>
      <c r="D49" s="710"/>
      <c r="E49" s="702"/>
      <c r="F49" s="710"/>
      <c r="G49" s="702"/>
      <c r="H49" s="710"/>
      <c r="I49" s="702"/>
      <c r="J49" s="710"/>
      <c r="K49" s="702"/>
      <c r="L49" s="710"/>
      <c r="M49" s="702"/>
      <c r="N49" s="710"/>
      <c r="O49" s="702"/>
      <c r="P49" s="710"/>
      <c r="Q49" s="702"/>
      <c r="R49" s="710"/>
      <c r="S49" s="702"/>
      <c r="T49" s="710"/>
      <c r="U49" s="702"/>
      <c r="V49" s="710"/>
      <c r="W49" s="702"/>
      <c r="X49" s="710"/>
      <c r="Y49" s="702"/>
      <c r="Z49" s="710"/>
      <c r="AA49" s="702"/>
      <c r="AB49" s="710"/>
      <c r="AC49" s="702"/>
      <c r="AD49" s="703"/>
      <c r="AE49" s="696"/>
      <c r="AF49" s="696"/>
      <c r="AG49" s="696"/>
    </row>
    <row r="50" spans="1:41" ht="33.5">
      <c r="A50" s="469"/>
      <c r="B50" s="698" t="s">
        <v>182</v>
      </c>
      <c r="C50" s="698"/>
      <c r="D50" s="698" t="s">
        <v>182</v>
      </c>
      <c r="E50" s="698"/>
      <c r="F50" s="698" t="s">
        <v>182</v>
      </c>
      <c r="G50" s="698"/>
      <c r="H50" s="699" t="s">
        <v>119</v>
      </c>
      <c r="I50" s="698"/>
      <c r="J50" s="698" t="s">
        <v>182</v>
      </c>
      <c r="K50" s="698"/>
      <c r="L50" s="698" t="s">
        <v>185</v>
      </c>
      <c r="M50" s="698"/>
      <c r="N50" s="698" t="s">
        <v>185</v>
      </c>
      <c r="O50" s="698"/>
      <c r="P50" s="698" t="s">
        <v>185</v>
      </c>
      <c r="Q50" s="698"/>
      <c r="R50" s="698" t="s">
        <v>182</v>
      </c>
      <c r="S50" s="698"/>
      <c r="T50" s="698" t="s">
        <v>242</v>
      </c>
      <c r="U50" s="698"/>
      <c r="V50" s="699" t="s">
        <v>119</v>
      </c>
      <c r="W50" s="698"/>
      <c r="X50" s="698" t="s">
        <v>185</v>
      </c>
      <c r="Y50" s="698"/>
      <c r="Z50" s="698" t="s">
        <v>182</v>
      </c>
      <c r="AA50" s="698"/>
      <c r="AB50" s="698" t="s">
        <v>182</v>
      </c>
      <c r="AC50" s="702"/>
      <c r="AD50" s="703"/>
      <c r="AE50" s="695"/>
      <c r="AF50" s="696"/>
      <c r="AG50" s="696"/>
    </row>
    <row r="51" spans="1:41" ht="29.5" customHeight="1">
      <c r="A51" s="469"/>
      <c r="B51" s="716"/>
      <c r="C51" s="716"/>
      <c r="D51" s="717" t="s">
        <v>1620</v>
      </c>
      <c r="E51" s="716"/>
      <c r="F51" s="716"/>
      <c r="G51" s="716"/>
      <c r="H51" s="716"/>
      <c r="I51" s="716"/>
      <c r="J51" s="717" t="s">
        <v>1620</v>
      </c>
      <c r="K51" s="716"/>
      <c r="L51" s="716"/>
      <c r="M51" s="716"/>
      <c r="N51" s="716"/>
      <c r="O51" s="716"/>
      <c r="P51" s="716"/>
      <c r="Q51" s="716"/>
      <c r="R51" s="716"/>
      <c r="S51" s="716"/>
      <c r="T51" s="716"/>
      <c r="U51" s="716"/>
      <c r="V51" s="716"/>
      <c r="W51" s="716"/>
      <c r="X51" s="716"/>
      <c r="Y51" s="716"/>
      <c r="Z51" s="716"/>
      <c r="AA51" s="716"/>
      <c r="AB51" s="716"/>
      <c r="AC51" s="705"/>
      <c r="AD51" s="703"/>
      <c r="AE51" s="695"/>
      <c r="AF51" s="696"/>
      <c r="AG51" s="696"/>
    </row>
    <row r="52" spans="1:41" ht="41.5" customHeight="1">
      <c r="A52" s="1501" t="s">
        <v>1518</v>
      </c>
      <c r="B52" s="1502"/>
      <c r="C52" s="1502"/>
      <c r="D52" s="1502"/>
      <c r="E52" s="1502"/>
      <c r="F52" s="1502"/>
      <c r="G52" s="1502"/>
      <c r="H52" s="1502"/>
      <c r="I52" s="1502"/>
      <c r="J52" s="1502"/>
      <c r="K52" s="1502"/>
      <c r="L52" s="1502"/>
      <c r="M52" s="1502"/>
      <c r="N52" s="1502"/>
      <c r="O52" s="1502"/>
      <c r="P52" s="1502"/>
      <c r="Q52" s="1502"/>
      <c r="R52" s="1502"/>
      <c r="S52" s="1502"/>
      <c r="T52" s="1502"/>
      <c r="U52" s="1502"/>
      <c r="V52" s="1502"/>
      <c r="W52" s="1502"/>
      <c r="X52" s="1502"/>
      <c r="Y52" s="1502"/>
      <c r="Z52" s="1502"/>
      <c r="AA52" s="1502"/>
      <c r="AB52" s="1502"/>
      <c r="AC52" s="1502"/>
      <c r="AD52" s="1502"/>
      <c r="AE52" s="1502"/>
      <c r="AF52" s="1502"/>
      <c r="AG52" s="1502"/>
      <c r="AH52" s="1502"/>
      <c r="AI52" s="907"/>
      <c r="AJ52" s="907"/>
      <c r="AK52" s="907"/>
      <c r="AL52" s="907"/>
    </row>
    <row r="53" spans="1:41" ht="29.5" customHeight="1">
      <c r="A53" s="718"/>
      <c r="B53" s="719"/>
      <c r="C53" s="719"/>
      <c r="D53" s="719"/>
      <c r="E53" s="719"/>
      <c r="F53" s="719"/>
      <c r="G53" s="719"/>
      <c r="H53" s="719"/>
      <c r="I53" s="719"/>
      <c r="J53" s="719"/>
      <c r="K53" s="719"/>
      <c r="L53" s="719"/>
      <c r="M53" s="719"/>
      <c r="N53" s="719"/>
      <c r="O53" s="719"/>
      <c r="P53" s="719"/>
      <c r="Q53" s="719"/>
      <c r="R53" s="719"/>
      <c r="S53" s="719"/>
      <c r="T53" s="719"/>
      <c r="U53" s="719"/>
      <c r="V53" s="719"/>
      <c r="W53" s="719"/>
      <c r="X53" s="719"/>
      <c r="Y53" s="719"/>
      <c r="Z53" s="719"/>
      <c r="AA53" s="719"/>
      <c r="AB53" s="719"/>
      <c r="AC53" s="719"/>
      <c r="AD53" s="719"/>
      <c r="AE53" s="719"/>
      <c r="AF53" s="719"/>
      <c r="AG53" s="719"/>
      <c r="AH53" s="719"/>
      <c r="AI53" s="719"/>
      <c r="AJ53" s="719"/>
      <c r="AK53" s="719"/>
      <c r="AL53" s="719"/>
    </row>
    <row r="54" spans="1:41" ht="67" customHeight="1">
      <c r="A54" s="469"/>
      <c r="B54" s="684" t="s">
        <v>1237</v>
      </c>
      <c r="C54" s="683"/>
      <c r="D54" s="684" t="s">
        <v>1238</v>
      </c>
      <c r="E54" s="683"/>
      <c r="F54" s="684" t="s">
        <v>1239</v>
      </c>
      <c r="G54" s="683"/>
      <c r="H54" s="684" t="s">
        <v>575</v>
      </c>
      <c r="I54" s="683"/>
      <c r="J54" s="684" t="s">
        <v>1240</v>
      </c>
      <c r="K54" s="683"/>
      <c r="L54" s="684" t="s">
        <v>1241</v>
      </c>
      <c r="M54" s="683"/>
      <c r="N54" s="1505" t="s">
        <v>584</v>
      </c>
      <c r="O54" s="1505"/>
      <c r="P54" s="684" t="s">
        <v>1242</v>
      </c>
      <c r="Q54" s="683"/>
      <c r="R54" s="684" t="s">
        <v>1243</v>
      </c>
      <c r="S54" s="683"/>
      <c r="T54" s="684" t="s">
        <v>1244</v>
      </c>
      <c r="U54" s="683"/>
      <c r="V54" s="1505" t="s">
        <v>589</v>
      </c>
      <c r="W54" s="1505"/>
      <c r="X54" s="684" t="s">
        <v>1245</v>
      </c>
      <c r="Y54" s="683"/>
      <c r="Z54" s="1505" t="s">
        <v>590</v>
      </c>
      <c r="AA54" s="1505"/>
      <c r="AB54" s="684" t="s">
        <v>1246</v>
      </c>
      <c r="AC54" s="702"/>
      <c r="AD54" s="720"/>
      <c r="AE54" s="696"/>
      <c r="AF54" s="696"/>
      <c r="AG54" s="696"/>
    </row>
    <row r="55" spans="1:41" ht="33.5">
      <c r="A55" s="469"/>
      <c r="B55" s="712"/>
      <c r="C55" s="702"/>
      <c r="D55" s="712"/>
      <c r="E55" s="713"/>
      <c r="F55" s="712"/>
      <c r="G55" s="713"/>
      <c r="H55" s="712"/>
      <c r="I55" s="702"/>
      <c r="J55" s="712"/>
      <c r="K55" s="702"/>
      <c r="L55" s="712"/>
      <c r="M55" s="702"/>
      <c r="N55" s="712"/>
      <c r="O55" s="702"/>
      <c r="P55" s="712"/>
      <c r="Q55" s="702"/>
      <c r="R55" s="712"/>
      <c r="S55" s="713"/>
      <c r="T55" s="712"/>
      <c r="U55" s="713"/>
      <c r="V55" s="712"/>
      <c r="W55" s="698"/>
      <c r="X55" s="712"/>
      <c r="Y55" s="702"/>
      <c r="Z55" s="712"/>
      <c r="AA55" s="721"/>
      <c r="AB55" s="712"/>
      <c r="AC55" s="702"/>
      <c r="AD55" s="720"/>
      <c r="AE55" s="696"/>
      <c r="AF55" s="696"/>
      <c r="AG55" s="696"/>
    </row>
    <row r="56" spans="1:41" ht="14" customHeight="1" thickBot="1">
      <c r="A56" s="469"/>
      <c r="B56" s="714"/>
      <c r="C56" s="702"/>
      <c r="D56" s="714"/>
      <c r="E56" s="702"/>
      <c r="F56" s="714"/>
      <c r="G56" s="702"/>
      <c r="H56" s="714"/>
      <c r="I56" s="702"/>
      <c r="J56" s="714"/>
      <c r="K56" s="702"/>
      <c r="L56" s="714"/>
      <c r="M56" s="702"/>
      <c r="N56" s="714"/>
      <c r="O56" s="702"/>
      <c r="P56" s="714"/>
      <c r="Q56" s="702"/>
      <c r="R56" s="714"/>
      <c r="S56" s="702"/>
      <c r="T56" s="714"/>
      <c r="U56" s="702"/>
      <c r="V56" s="714"/>
      <c r="W56" s="702"/>
      <c r="X56" s="714"/>
      <c r="Y56" s="702"/>
      <c r="Z56" s="714"/>
      <c r="AA56" s="702"/>
      <c r="AB56" s="714"/>
      <c r="AC56" s="702"/>
      <c r="AD56" s="720"/>
      <c r="AE56" s="696"/>
      <c r="AF56" s="696"/>
      <c r="AG56" s="696"/>
    </row>
    <row r="57" spans="1:41" ht="100" customHeight="1" thickBot="1">
      <c r="A57" s="469"/>
      <c r="B57" s="691"/>
      <c r="C57" s="707">
        <v>381.18799999999999</v>
      </c>
      <c r="D57" s="691"/>
      <c r="E57" s="707">
        <v>336.40899999999999</v>
      </c>
      <c r="F57" s="691"/>
      <c r="G57" s="707">
        <v>438.97</v>
      </c>
      <c r="H57" s="691"/>
      <c r="I57" s="707">
        <v>395.17899999999997</v>
      </c>
      <c r="J57" s="691"/>
      <c r="K57" s="707">
        <v>388.12</v>
      </c>
      <c r="L57" s="691"/>
      <c r="M57" s="707">
        <v>364.44600000000003</v>
      </c>
      <c r="N57" s="691"/>
      <c r="O57" s="707">
        <v>404.572</v>
      </c>
      <c r="P57" s="691"/>
      <c r="Q57" s="707">
        <v>432.27</v>
      </c>
      <c r="R57" s="691"/>
      <c r="S57" s="707">
        <v>404.23</v>
      </c>
      <c r="T57" s="691"/>
      <c r="U57" s="707">
        <v>416.62099999999998</v>
      </c>
      <c r="V57" s="691"/>
      <c r="W57" s="707">
        <v>468.03899999999999</v>
      </c>
      <c r="X57" s="691"/>
      <c r="Y57" s="707">
        <v>432.31799999999998</v>
      </c>
      <c r="Z57" s="691"/>
      <c r="AA57" s="707">
        <v>464.52100000000002</v>
      </c>
      <c r="AB57" s="691"/>
      <c r="AC57" s="707">
        <v>369.74299999999999</v>
      </c>
      <c r="AD57" s="720"/>
      <c r="AE57" s="696"/>
      <c r="AF57" s="696"/>
      <c r="AG57" s="696"/>
      <c r="AM57" s="896">
        <f>COUNTIF(B57:AB57,"U/P")</f>
        <v>0</v>
      </c>
      <c r="AN57" s="896">
        <f>COUNTIF(C57:AC57,"ROW")</f>
        <v>0</v>
      </c>
      <c r="AO57" s="896">
        <f>COUNTIF(D57:AD57,"C")</f>
        <v>0</v>
      </c>
    </row>
    <row r="58" spans="1:41" ht="34" thickBot="1">
      <c r="A58" s="469"/>
      <c r="B58" s="710"/>
      <c r="C58" s="702"/>
      <c r="D58" s="710"/>
      <c r="E58" s="702"/>
      <c r="F58" s="710"/>
      <c r="G58" s="702"/>
      <c r="H58" s="710"/>
      <c r="I58" s="702"/>
      <c r="J58" s="710"/>
      <c r="K58" s="702"/>
      <c r="L58" s="710"/>
      <c r="M58" s="702"/>
      <c r="N58" s="710"/>
      <c r="O58" s="702"/>
      <c r="P58" s="710"/>
      <c r="Q58" s="702"/>
      <c r="R58" s="710"/>
      <c r="S58" s="702"/>
      <c r="T58" s="710"/>
      <c r="U58" s="702"/>
      <c r="V58" s="710"/>
      <c r="W58" s="702"/>
      <c r="X58" s="710"/>
      <c r="Y58" s="702"/>
      <c r="Z58" s="710"/>
      <c r="AA58" s="702"/>
      <c r="AB58" s="710"/>
      <c r="AC58" s="702"/>
      <c r="AD58" s="720"/>
      <c r="AE58" s="696"/>
      <c r="AF58" s="696"/>
      <c r="AG58" s="696"/>
    </row>
    <row r="59" spans="1:41" ht="33.5">
      <c r="A59" s="469"/>
      <c r="B59" s="698" t="s">
        <v>182</v>
      </c>
      <c r="C59" s="698"/>
      <c r="D59" s="698" t="s">
        <v>182</v>
      </c>
      <c r="E59" s="698"/>
      <c r="F59" s="698" t="s">
        <v>182</v>
      </c>
      <c r="G59" s="698"/>
      <c r="H59" s="699" t="s">
        <v>119</v>
      </c>
      <c r="I59" s="698"/>
      <c r="J59" s="698" t="s">
        <v>182</v>
      </c>
      <c r="K59" s="698"/>
      <c r="L59" s="698" t="s">
        <v>185</v>
      </c>
      <c r="M59" s="698"/>
      <c r="N59" s="699" t="s">
        <v>115</v>
      </c>
      <c r="O59" s="698"/>
      <c r="P59" s="698" t="s">
        <v>248</v>
      </c>
      <c r="Q59" s="698"/>
      <c r="R59" s="698" t="s">
        <v>242</v>
      </c>
      <c r="S59" s="698"/>
      <c r="T59" s="698" t="s">
        <v>185</v>
      </c>
      <c r="U59" s="698"/>
      <c r="V59" s="699" t="s">
        <v>119</v>
      </c>
      <c r="W59" s="698"/>
      <c r="X59" s="699" t="s">
        <v>132</v>
      </c>
      <c r="Y59" s="698"/>
      <c r="Z59" s="699" t="s">
        <v>123</v>
      </c>
      <c r="AA59" s="698"/>
      <c r="AB59" s="698" t="s">
        <v>242</v>
      </c>
      <c r="AC59" s="702"/>
      <c r="AD59" s="720"/>
      <c r="AE59" s="696"/>
      <c r="AF59" s="696"/>
      <c r="AG59" s="696"/>
    </row>
    <row r="60" spans="1:41" ht="51" customHeight="1">
      <c r="A60" s="469"/>
      <c r="B60" s="698"/>
      <c r="C60" s="698"/>
      <c r="D60" s="698"/>
      <c r="E60" s="698"/>
      <c r="F60" s="698"/>
      <c r="G60" s="698"/>
      <c r="H60" s="698"/>
      <c r="I60" s="1503" t="s">
        <v>1519</v>
      </c>
      <c r="J60" s="1503"/>
      <c r="K60" s="707"/>
      <c r="L60" s="1504" t="s">
        <v>1520</v>
      </c>
      <c r="M60" s="1504"/>
      <c r="N60" s="698"/>
      <c r="O60" s="698"/>
      <c r="P60" s="698"/>
      <c r="Q60" s="698"/>
      <c r="R60" s="698"/>
      <c r="S60" s="698"/>
      <c r="T60" s="698"/>
      <c r="U60" s="698"/>
      <c r="V60" s="729" t="s">
        <v>1685</v>
      </c>
      <c r="W60" s="698"/>
      <c r="X60" s="698"/>
      <c r="Y60" s="698"/>
      <c r="Z60" s="698"/>
      <c r="AA60" s="698"/>
      <c r="AB60" s="698"/>
      <c r="AC60" s="702"/>
      <c r="AD60" s="720"/>
      <c r="AE60" s="696"/>
      <c r="AF60" s="696"/>
      <c r="AG60" s="696"/>
    </row>
    <row r="61" spans="1:41" ht="33.5" customHeight="1">
      <c r="A61" s="1501" t="s">
        <v>1518</v>
      </c>
      <c r="B61" s="1502"/>
      <c r="C61" s="1502"/>
      <c r="D61" s="1502"/>
      <c r="E61" s="1502"/>
      <c r="F61" s="1502"/>
      <c r="G61" s="1502"/>
      <c r="H61" s="1502"/>
      <c r="I61" s="1502"/>
      <c r="J61" s="1502"/>
      <c r="K61" s="1502"/>
      <c r="L61" s="1502"/>
      <c r="M61" s="1502"/>
      <c r="N61" s="1502"/>
      <c r="O61" s="1502"/>
      <c r="P61" s="1502"/>
      <c r="Q61" s="1502"/>
      <c r="R61" s="1502"/>
      <c r="S61" s="1502"/>
      <c r="T61" s="1502"/>
      <c r="U61" s="1502"/>
      <c r="V61" s="1502"/>
      <c r="W61" s="1502"/>
      <c r="X61" s="1502"/>
      <c r="Y61" s="1502"/>
      <c r="Z61" s="1502"/>
      <c r="AA61" s="1502"/>
      <c r="AB61" s="1502"/>
      <c r="AC61" s="1502"/>
      <c r="AD61" s="1502"/>
      <c r="AE61" s="1502"/>
      <c r="AF61" s="1502"/>
      <c r="AG61" s="1502"/>
      <c r="AH61" s="1502"/>
      <c r="AI61" s="907"/>
      <c r="AJ61" s="907"/>
      <c r="AK61" s="907"/>
      <c r="AL61" s="907"/>
    </row>
    <row r="62" spans="1:41" ht="23.5" customHeight="1">
      <c r="A62" s="469"/>
      <c r="B62" s="684" t="s">
        <v>595</v>
      </c>
      <c r="C62" s="683"/>
      <c r="D62" s="684" t="s">
        <v>1247</v>
      </c>
      <c r="E62" s="683"/>
      <c r="F62" s="684" t="s">
        <v>604</v>
      </c>
      <c r="G62" s="683"/>
      <c r="H62" s="684" t="s">
        <v>1248</v>
      </c>
      <c r="I62" s="683"/>
      <c r="J62" s="684" t="s">
        <v>608</v>
      </c>
      <c r="K62" s="683"/>
      <c r="L62" s="684" t="s">
        <v>1249</v>
      </c>
      <c r="M62" s="683"/>
      <c r="N62" s="684" t="s">
        <v>609</v>
      </c>
      <c r="O62" s="683"/>
      <c r="P62" s="684" t="s">
        <v>1250</v>
      </c>
      <c r="Q62" s="683"/>
      <c r="R62" s="684" t="s">
        <v>1251</v>
      </c>
      <c r="S62" s="683"/>
      <c r="T62" s="684" t="s">
        <v>1252</v>
      </c>
      <c r="U62" s="683"/>
      <c r="V62" s="684" t="s">
        <v>610</v>
      </c>
      <c r="W62" s="683"/>
      <c r="X62" s="684" t="s">
        <v>1253</v>
      </c>
      <c r="Y62" s="683"/>
      <c r="Z62" s="684" t="s">
        <v>1254</v>
      </c>
      <c r="AA62" s="683"/>
      <c r="AB62" s="684" t="s">
        <v>1255</v>
      </c>
      <c r="AC62" s="702"/>
      <c r="AD62" s="720"/>
      <c r="AE62" s="723"/>
      <c r="AF62" s="723"/>
      <c r="AG62" s="723"/>
      <c r="AH62" s="720"/>
      <c r="AI62" s="720"/>
      <c r="AJ62" s="720"/>
      <c r="AK62" s="720"/>
      <c r="AL62" s="720"/>
    </row>
    <row r="63" spans="1:41" ht="33.5">
      <c r="A63" s="469"/>
      <c r="B63" s="712"/>
      <c r="C63" s="702"/>
      <c r="D63" s="712"/>
      <c r="E63" s="702"/>
      <c r="F63" s="712"/>
      <c r="G63" s="702"/>
      <c r="H63" s="712"/>
      <c r="I63" s="702"/>
      <c r="J63" s="712"/>
      <c r="K63" s="702"/>
      <c r="L63" s="712"/>
      <c r="M63" s="713"/>
      <c r="N63" s="712"/>
      <c r="O63" s="698"/>
      <c r="P63" s="712"/>
      <c r="Q63" s="702"/>
      <c r="R63" s="712"/>
      <c r="S63" s="702"/>
      <c r="T63" s="712"/>
      <c r="U63" s="702"/>
      <c r="V63" s="712"/>
      <c r="W63" s="702"/>
      <c r="X63" s="712"/>
      <c r="Y63" s="702"/>
      <c r="Z63" s="712"/>
      <c r="AA63" s="702"/>
      <c r="AB63" s="712"/>
      <c r="AC63" s="702"/>
      <c r="AD63" s="720"/>
      <c r="AE63" s="723"/>
      <c r="AF63" s="723"/>
      <c r="AG63" s="723"/>
      <c r="AH63" s="720"/>
      <c r="AI63" s="720"/>
      <c r="AJ63" s="720"/>
      <c r="AK63" s="720"/>
      <c r="AL63" s="720"/>
    </row>
    <row r="64" spans="1:41" ht="15" customHeight="1" thickBot="1">
      <c r="A64" s="469"/>
      <c r="B64" s="714"/>
      <c r="C64" s="702"/>
      <c r="D64" s="714"/>
      <c r="E64" s="702"/>
      <c r="F64" s="714"/>
      <c r="G64" s="702"/>
      <c r="H64" s="714"/>
      <c r="I64" s="702"/>
      <c r="J64" s="714"/>
      <c r="K64" s="702"/>
      <c r="L64" s="714"/>
      <c r="M64" s="702"/>
      <c r="N64" s="714"/>
      <c r="O64" s="702"/>
      <c r="P64" s="714"/>
      <c r="Q64" s="702"/>
      <c r="R64" s="714"/>
      <c r="S64" s="702"/>
      <c r="T64" s="714"/>
      <c r="U64" s="702"/>
      <c r="V64" s="714"/>
      <c r="W64" s="702"/>
      <c r="X64" s="714"/>
      <c r="Y64" s="702"/>
      <c r="Z64" s="714"/>
      <c r="AA64" s="702"/>
      <c r="AB64" s="714"/>
      <c r="AC64" s="702"/>
      <c r="AD64" s="720"/>
      <c r="AE64" s="723"/>
      <c r="AF64" s="723"/>
      <c r="AG64" s="723"/>
      <c r="AH64" s="720"/>
      <c r="AI64" s="720"/>
      <c r="AJ64" s="720"/>
      <c r="AK64" s="720"/>
      <c r="AL64" s="720"/>
    </row>
    <row r="65" spans="1:41" ht="100" customHeight="1" thickBot="1">
      <c r="A65" s="469"/>
      <c r="B65" s="691"/>
      <c r="C65" s="707">
        <v>284.16000000000003</v>
      </c>
      <c r="D65" s="691"/>
      <c r="E65" s="707">
        <v>270.74200000000002</v>
      </c>
      <c r="F65" s="691"/>
      <c r="G65" s="707">
        <v>286.64</v>
      </c>
      <c r="H65" s="691"/>
      <c r="I65" s="707">
        <v>291.69900000000001</v>
      </c>
      <c r="J65" s="691"/>
      <c r="K65" s="707">
        <v>398.71899999999999</v>
      </c>
      <c r="L65" s="691"/>
      <c r="M65" s="707">
        <v>425.46499999999997</v>
      </c>
      <c r="N65" s="691"/>
      <c r="O65" s="707">
        <v>383.81299999999999</v>
      </c>
      <c r="P65" s="691"/>
      <c r="Q65" s="707">
        <v>403.279</v>
      </c>
      <c r="R65" s="691"/>
      <c r="S65" s="707">
        <v>355.21499999999997</v>
      </c>
      <c r="T65" s="691"/>
      <c r="U65" s="707">
        <v>399.839</v>
      </c>
      <c r="V65" s="691"/>
      <c r="W65" s="707">
        <v>287.44200000000001</v>
      </c>
      <c r="X65" s="691"/>
      <c r="Y65" s="707">
        <v>390.74799999999999</v>
      </c>
      <c r="Z65" s="691"/>
      <c r="AA65" s="707">
        <v>364.274</v>
      </c>
      <c r="AB65" s="691"/>
      <c r="AC65" s="707">
        <v>337.54599999999999</v>
      </c>
      <c r="AD65" s="720"/>
      <c r="AE65" s="723"/>
      <c r="AF65" s="723"/>
      <c r="AG65" s="723"/>
      <c r="AH65" s="720"/>
      <c r="AI65" s="720"/>
      <c r="AJ65" s="720"/>
      <c r="AK65" s="720"/>
      <c r="AL65" s="720"/>
      <c r="AM65" s="896">
        <f>COUNTIF(B65:AB65,"U/P")</f>
        <v>0</v>
      </c>
      <c r="AN65" s="896">
        <f>COUNTIF(C65:AC65,"ROW")</f>
        <v>0</v>
      </c>
      <c r="AO65" s="896">
        <f>COUNTIF(D65:AD65,"C")</f>
        <v>0</v>
      </c>
    </row>
    <row r="66" spans="1:41" ht="34" thickBot="1">
      <c r="A66" s="469"/>
      <c r="B66" s="710"/>
      <c r="C66" s="702"/>
      <c r="D66" s="710"/>
      <c r="E66" s="702"/>
      <c r="F66" s="710"/>
      <c r="G66" s="702"/>
      <c r="H66" s="710"/>
      <c r="I66" s="702"/>
      <c r="J66" s="710"/>
      <c r="K66" s="702"/>
      <c r="L66" s="710"/>
      <c r="M66" s="702"/>
      <c r="N66" s="710"/>
      <c r="O66" s="702"/>
      <c r="P66" s="710"/>
      <c r="Q66" s="702"/>
      <c r="R66" s="710"/>
      <c r="S66" s="702"/>
      <c r="T66" s="710"/>
      <c r="U66" s="702"/>
      <c r="V66" s="710"/>
      <c r="W66" s="702"/>
      <c r="X66" s="710"/>
      <c r="Y66" s="702"/>
      <c r="Z66" s="710"/>
      <c r="AA66" s="702"/>
      <c r="AB66" s="710"/>
      <c r="AC66" s="702"/>
      <c r="AD66" s="720"/>
      <c r="AE66" s="723"/>
      <c r="AF66" s="723"/>
      <c r="AG66" s="723"/>
      <c r="AH66" s="720"/>
      <c r="AI66" s="720"/>
      <c r="AJ66" s="720"/>
      <c r="AK66" s="720"/>
      <c r="AL66" s="720"/>
    </row>
    <row r="67" spans="1:41" ht="21" customHeight="1">
      <c r="A67" s="469"/>
      <c r="B67" s="699" t="s">
        <v>125</v>
      </c>
      <c r="C67" s="698"/>
      <c r="D67" s="698" t="s">
        <v>182</v>
      </c>
      <c r="E67" s="698"/>
      <c r="F67" s="699" t="s">
        <v>119</v>
      </c>
      <c r="G67" s="698"/>
      <c r="H67" s="698" t="s">
        <v>182</v>
      </c>
      <c r="I67" s="698"/>
      <c r="J67" s="699" t="s">
        <v>115</v>
      </c>
      <c r="K67" s="698"/>
      <c r="L67" s="698" t="s">
        <v>242</v>
      </c>
      <c r="M67" s="698"/>
      <c r="N67" s="699" t="s">
        <v>125</v>
      </c>
      <c r="O67" s="698"/>
      <c r="P67" s="698" t="s">
        <v>185</v>
      </c>
      <c r="Q67" s="698"/>
      <c r="R67" s="698" t="s">
        <v>182</v>
      </c>
      <c r="S67" s="698"/>
      <c r="T67" s="698" t="s">
        <v>185</v>
      </c>
      <c r="U67" s="698"/>
      <c r="V67" s="699" t="s">
        <v>115</v>
      </c>
      <c r="W67" s="698"/>
      <c r="X67" s="698" t="s">
        <v>182</v>
      </c>
      <c r="Y67" s="698"/>
      <c r="Z67" s="698" t="s">
        <v>182</v>
      </c>
      <c r="AA67" s="698"/>
      <c r="AB67" s="698" t="s">
        <v>182</v>
      </c>
      <c r="AC67" s="702"/>
      <c r="AD67" s="720"/>
      <c r="AE67" s="723"/>
      <c r="AF67" s="723"/>
      <c r="AG67" s="723"/>
      <c r="AH67" s="720"/>
      <c r="AI67" s="720"/>
      <c r="AJ67" s="720"/>
      <c r="AK67" s="720"/>
      <c r="AL67" s="720"/>
    </row>
    <row r="68" spans="1:41" ht="37.5" customHeight="1">
      <c r="A68" s="469"/>
      <c r="B68" s="698"/>
      <c r="C68" s="698"/>
      <c r="D68" s="698"/>
      <c r="E68" s="698"/>
      <c r="F68" s="698"/>
      <c r="G68" s="698"/>
      <c r="H68" s="698"/>
      <c r="I68" s="698"/>
      <c r="J68" s="698"/>
      <c r="K68" s="698"/>
      <c r="L68" s="698"/>
      <c r="M68" s="1503" t="s">
        <v>1521</v>
      </c>
      <c r="N68" s="1503"/>
      <c r="O68" s="698"/>
      <c r="P68" s="698"/>
      <c r="Q68" s="698"/>
      <c r="R68" s="698"/>
      <c r="S68" s="698"/>
      <c r="T68" s="698"/>
      <c r="U68" s="698"/>
      <c r="V68" s="698"/>
      <c r="W68" s="698"/>
      <c r="X68" s="1504" t="s">
        <v>1522</v>
      </c>
      <c r="Y68" s="1504"/>
      <c r="Z68" s="698"/>
      <c r="AA68" s="698"/>
      <c r="AB68" s="698"/>
      <c r="AC68" s="702"/>
      <c r="AD68" s="720"/>
      <c r="AE68" s="723"/>
      <c r="AF68" s="723"/>
      <c r="AG68" s="723"/>
      <c r="AH68" s="720"/>
      <c r="AI68" s="720"/>
      <c r="AJ68" s="720"/>
      <c r="AK68" s="720"/>
      <c r="AL68" s="720"/>
    </row>
    <row r="69" spans="1:41" ht="41.5" customHeight="1">
      <c r="A69" s="1501" t="s">
        <v>1518</v>
      </c>
      <c r="B69" s="1502"/>
      <c r="C69" s="1502"/>
      <c r="D69" s="1502"/>
      <c r="E69" s="1502"/>
      <c r="F69" s="1502"/>
      <c r="G69" s="1502"/>
      <c r="H69" s="1502"/>
      <c r="I69" s="1502"/>
      <c r="J69" s="1502"/>
      <c r="K69" s="1502"/>
      <c r="L69" s="1502"/>
      <c r="M69" s="1502"/>
      <c r="N69" s="1502"/>
      <c r="O69" s="1502"/>
      <c r="P69" s="1502"/>
      <c r="Q69" s="1502"/>
      <c r="R69" s="1502"/>
      <c r="S69" s="1502"/>
      <c r="T69" s="1502"/>
      <c r="U69" s="1502"/>
      <c r="V69" s="1502"/>
      <c r="W69" s="1502"/>
      <c r="X69" s="1502"/>
      <c r="Y69" s="1502"/>
      <c r="Z69" s="1502"/>
      <c r="AA69" s="1502"/>
      <c r="AB69" s="1502"/>
      <c r="AC69" s="1502"/>
      <c r="AD69" s="1502"/>
      <c r="AE69" s="1502"/>
      <c r="AF69" s="1502"/>
      <c r="AG69" s="1502"/>
      <c r="AH69" s="1502"/>
      <c r="AI69" s="907"/>
      <c r="AJ69" s="907"/>
      <c r="AK69" s="907"/>
      <c r="AL69" s="907"/>
    </row>
    <row r="70" spans="1:41" ht="35.5" customHeight="1">
      <c r="A70" s="469"/>
      <c r="B70" s="684" t="s">
        <v>1256</v>
      </c>
      <c r="C70" s="683"/>
      <c r="D70" s="684" t="s">
        <v>1257</v>
      </c>
      <c r="E70" s="683"/>
      <c r="F70" s="684" t="s">
        <v>1258</v>
      </c>
      <c r="G70" s="683"/>
      <c r="H70" s="684" t="s">
        <v>616</v>
      </c>
      <c r="I70" s="683"/>
      <c r="J70" s="684" t="s">
        <v>1259</v>
      </c>
      <c r="K70" s="683"/>
      <c r="L70" s="684" t="s">
        <v>1260</v>
      </c>
      <c r="M70" s="683"/>
      <c r="N70" s="1505" t="s">
        <v>620</v>
      </c>
      <c r="O70" s="1505"/>
      <c r="P70" s="1505" t="s">
        <v>623</v>
      </c>
      <c r="Q70" s="1505"/>
      <c r="R70" s="684" t="s">
        <v>1261</v>
      </c>
      <c r="S70" s="683"/>
      <c r="T70" s="684" t="s">
        <v>1262</v>
      </c>
      <c r="U70" s="683"/>
      <c r="V70" s="684" t="s">
        <v>1263</v>
      </c>
      <c r="W70" s="683"/>
      <c r="X70" s="684" t="s">
        <v>624</v>
      </c>
      <c r="Y70" s="683"/>
      <c r="Z70" s="684" t="s">
        <v>1264</v>
      </c>
      <c r="AA70" s="683"/>
      <c r="AB70" s="684" t="s">
        <v>625</v>
      </c>
      <c r="AC70" s="702"/>
      <c r="AD70" s="720"/>
      <c r="AE70" s="723"/>
      <c r="AF70" s="723"/>
      <c r="AG70" s="723"/>
      <c r="AH70" s="720"/>
      <c r="AI70" s="720"/>
      <c r="AJ70" s="720"/>
      <c r="AK70" s="720"/>
      <c r="AL70" s="720"/>
    </row>
    <row r="71" spans="1:41" ht="33.5">
      <c r="A71" s="469"/>
      <c r="B71" s="712"/>
      <c r="C71" s="702"/>
      <c r="D71" s="712"/>
      <c r="E71" s="702"/>
      <c r="F71" s="712"/>
      <c r="G71" s="702"/>
      <c r="H71" s="712"/>
      <c r="I71" s="702"/>
      <c r="J71" s="712"/>
      <c r="K71" s="702"/>
      <c r="L71" s="712"/>
      <c r="M71" s="702"/>
      <c r="N71" s="712"/>
      <c r="O71" s="702"/>
      <c r="P71" s="712"/>
      <c r="Q71" s="702"/>
      <c r="R71" s="712"/>
      <c r="S71" s="713"/>
      <c r="T71" s="712"/>
      <c r="U71" s="713"/>
      <c r="V71" s="712"/>
      <c r="W71" s="702"/>
      <c r="X71" s="712"/>
      <c r="Y71" s="702"/>
      <c r="Z71" s="712"/>
      <c r="AA71" s="702"/>
      <c r="AB71" s="712"/>
      <c r="AC71" s="702"/>
      <c r="AD71" s="720"/>
      <c r="AE71" s="723"/>
      <c r="AF71" s="723"/>
      <c r="AG71" s="723"/>
      <c r="AH71" s="720"/>
      <c r="AI71" s="720"/>
      <c r="AJ71" s="720"/>
      <c r="AK71" s="720"/>
      <c r="AL71" s="720"/>
    </row>
    <row r="72" spans="1:41" ht="15.5" customHeight="1" thickBot="1">
      <c r="A72" s="469"/>
      <c r="B72" s="714"/>
      <c r="C72" s="702"/>
      <c r="D72" s="714"/>
      <c r="E72" s="702"/>
      <c r="F72" s="714"/>
      <c r="G72" s="702"/>
      <c r="H72" s="714"/>
      <c r="I72" s="702"/>
      <c r="J72" s="714"/>
      <c r="K72" s="702"/>
      <c r="L72" s="714"/>
      <c r="M72" s="702"/>
      <c r="N72" s="714"/>
      <c r="O72" s="702"/>
      <c r="P72" s="714"/>
      <c r="Q72" s="702"/>
      <c r="R72" s="714"/>
      <c r="S72" s="702"/>
      <c r="T72" s="714"/>
      <c r="U72" s="702"/>
      <c r="V72" s="714"/>
      <c r="W72" s="702"/>
      <c r="X72" s="714"/>
      <c r="Y72" s="702"/>
      <c r="Z72" s="714"/>
      <c r="AA72" s="702"/>
      <c r="AB72" s="714"/>
      <c r="AC72" s="702"/>
      <c r="AD72" s="720"/>
      <c r="AE72" s="723"/>
      <c r="AF72" s="723"/>
      <c r="AG72" s="723"/>
      <c r="AH72" s="720"/>
      <c r="AI72" s="720"/>
      <c r="AJ72" s="720"/>
      <c r="AK72" s="720"/>
      <c r="AL72" s="720"/>
    </row>
    <row r="73" spans="1:41" ht="100" customHeight="1" thickBot="1">
      <c r="A73" s="469"/>
      <c r="B73" s="691"/>
      <c r="C73" s="707">
        <v>348.29199999999997</v>
      </c>
      <c r="D73" s="691"/>
      <c r="E73" s="707">
        <v>418.83499999999998</v>
      </c>
      <c r="F73" s="691"/>
      <c r="G73" s="707">
        <v>408.96300000000002</v>
      </c>
      <c r="H73" s="691"/>
      <c r="I73" s="707">
        <v>365.46699999999998</v>
      </c>
      <c r="J73" s="691"/>
      <c r="K73" s="707">
        <v>437.07400000000001</v>
      </c>
      <c r="L73" s="691"/>
      <c r="M73" s="707">
        <v>363.142</v>
      </c>
      <c r="N73" s="691"/>
      <c r="O73" s="707">
        <v>159.78899999999999</v>
      </c>
      <c r="P73" s="691"/>
      <c r="Q73" s="707">
        <v>300.15800000000002</v>
      </c>
      <c r="R73" s="691"/>
      <c r="S73" s="707">
        <v>293.13099999999997</v>
      </c>
      <c r="T73" s="691"/>
      <c r="U73" s="707">
        <v>357.37700000000001</v>
      </c>
      <c r="V73" s="691"/>
      <c r="W73" s="707">
        <v>341.40899999999999</v>
      </c>
      <c r="X73" s="691"/>
      <c r="Y73" s="707">
        <v>362.90499999999997</v>
      </c>
      <c r="Z73" s="691"/>
      <c r="AA73" s="707">
        <v>421.05200000000002</v>
      </c>
      <c r="AB73" s="691"/>
      <c r="AC73" s="707">
        <v>216.44800000000001</v>
      </c>
      <c r="AD73" s="720"/>
      <c r="AE73" s="723"/>
      <c r="AF73" s="723"/>
      <c r="AG73" s="723"/>
      <c r="AH73" s="720"/>
      <c r="AI73" s="720"/>
      <c r="AJ73" s="720"/>
      <c r="AK73" s="720"/>
      <c r="AL73" s="720"/>
      <c r="AM73" s="896">
        <f>COUNTIF(B73:AB73,"U/P")</f>
        <v>0</v>
      </c>
      <c r="AN73" s="896">
        <f>COUNTIF(C73:AC73,"ROW")</f>
        <v>0</v>
      </c>
      <c r="AO73" s="896">
        <f>COUNTIF(D73:AD73,"C")</f>
        <v>0</v>
      </c>
    </row>
    <row r="74" spans="1:41" ht="34" thickBot="1">
      <c r="A74" s="469"/>
      <c r="B74" s="710"/>
      <c r="C74" s="702"/>
      <c r="D74" s="710"/>
      <c r="E74" s="702"/>
      <c r="F74" s="710"/>
      <c r="G74" s="702"/>
      <c r="H74" s="710"/>
      <c r="I74" s="702"/>
      <c r="J74" s="710"/>
      <c r="K74" s="702"/>
      <c r="L74" s="710"/>
      <c r="M74" s="702"/>
      <c r="N74" s="710"/>
      <c r="O74" s="702"/>
      <c r="P74" s="710"/>
      <c r="Q74" s="702"/>
      <c r="R74" s="710"/>
      <c r="S74" s="702"/>
      <c r="T74" s="710"/>
      <c r="U74" s="702"/>
      <c r="V74" s="710"/>
      <c r="W74" s="702"/>
      <c r="X74" s="710"/>
      <c r="Y74" s="702"/>
      <c r="Z74" s="710"/>
      <c r="AA74" s="702"/>
      <c r="AB74" s="710"/>
      <c r="AC74" s="702"/>
      <c r="AD74" s="720"/>
      <c r="AE74" s="723"/>
      <c r="AF74" s="723"/>
      <c r="AG74" s="723"/>
      <c r="AH74" s="720"/>
      <c r="AI74" s="720"/>
      <c r="AJ74" s="720"/>
      <c r="AK74" s="720"/>
      <c r="AL74" s="720"/>
    </row>
    <row r="75" spans="1:41" ht="33.5">
      <c r="A75" s="469"/>
      <c r="B75" s="698" t="s">
        <v>182</v>
      </c>
      <c r="C75" s="698"/>
      <c r="D75" s="698" t="s">
        <v>185</v>
      </c>
      <c r="E75" s="698"/>
      <c r="F75" s="698" t="s">
        <v>248</v>
      </c>
      <c r="G75" s="698"/>
      <c r="H75" s="699" t="s">
        <v>143</v>
      </c>
      <c r="I75" s="698"/>
      <c r="J75" s="698" t="s">
        <v>182</v>
      </c>
      <c r="K75" s="698"/>
      <c r="L75" s="698" t="s">
        <v>242</v>
      </c>
      <c r="M75" s="698"/>
      <c r="N75" s="699" t="s">
        <v>188</v>
      </c>
      <c r="O75" s="698"/>
      <c r="P75" s="699" t="s">
        <v>125</v>
      </c>
      <c r="Q75" s="698"/>
      <c r="R75" s="699" t="s">
        <v>188</v>
      </c>
      <c r="S75" s="698"/>
      <c r="T75" s="698" t="s">
        <v>182</v>
      </c>
      <c r="U75" s="698"/>
      <c r="V75" s="698" t="s">
        <v>182</v>
      </c>
      <c r="W75" s="698"/>
      <c r="X75" s="699" t="s">
        <v>123</v>
      </c>
      <c r="Y75" s="698"/>
      <c r="Z75" s="698" t="s">
        <v>248</v>
      </c>
      <c r="AA75" s="698"/>
      <c r="AB75" s="699" t="s">
        <v>192</v>
      </c>
      <c r="AC75" s="702"/>
      <c r="AD75" s="720"/>
      <c r="AE75" s="723"/>
      <c r="AF75" s="723"/>
      <c r="AG75" s="723"/>
      <c r="AH75" s="720"/>
      <c r="AI75" s="720"/>
      <c r="AJ75" s="720"/>
      <c r="AK75" s="720"/>
      <c r="AL75" s="720"/>
    </row>
    <row r="76" spans="1:41" ht="33.5">
      <c r="A76" s="469"/>
      <c r="B76" s="698"/>
      <c r="C76" s="698"/>
      <c r="D76" s="698"/>
      <c r="E76" s="729" t="s">
        <v>1621</v>
      </c>
      <c r="G76" s="698"/>
      <c r="H76" s="699"/>
      <c r="I76" s="698"/>
      <c r="J76" s="698"/>
      <c r="K76" s="698"/>
      <c r="L76" s="698"/>
      <c r="M76" s="698"/>
      <c r="N76" s="699"/>
      <c r="O76" s="698"/>
      <c r="P76" s="699"/>
      <c r="Q76" s="698"/>
      <c r="R76" s="699"/>
      <c r="S76" s="698"/>
      <c r="T76" s="698"/>
      <c r="U76" s="698"/>
      <c r="V76" s="698"/>
      <c r="W76" s="698"/>
      <c r="X76" s="699"/>
      <c r="Y76" s="698"/>
      <c r="Z76" s="698"/>
      <c r="AA76" s="698"/>
      <c r="AB76" s="699"/>
      <c r="AC76" s="702"/>
      <c r="AD76" s="720"/>
      <c r="AE76" s="723"/>
      <c r="AF76" s="723"/>
      <c r="AG76" s="723"/>
      <c r="AH76" s="720"/>
      <c r="AI76" s="720"/>
      <c r="AJ76" s="720"/>
      <c r="AK76" s="720"/>
      <c r="AL76" s="720"/>
    </row>
    <row r="77" spans="1:41" ht="36" customHeight="1">
      <c r="A77" s="1501" t="s">
        <v>1518</v>
      </c>
      <c r="B77" s="1502"/>
      <c r="C77" s="1502"/>
      <c r="D77" s="1502"/>
      <c r="E77" s="1502"/>
      <c r="F77" s="1502"/>
      <c r="G77" s="1502"/>
      <c r="H77" s="1502"/>
      <c r="I77" s="1502"/>
      <c r="J77" s="1502"/>
      <c r="K77" s="1502"/>
      <c r="L77" s="1502"/>
      <c r="M77" s="1502"/>
      <c r="N77" s="1502"/>
      <c r="O77" s="1502"/>
      <c r="P77" s="1502"/>
      <c r="Q77" s="1502"/>
      <c r="R77" s="1502"/>
      <c r="S77" s="1502"/>
      <c r="T77" s="1502"/>
      <c r="U77" s="1502"/>
      <c r="V77" s="1502"/>
      <c r="W77" s="1502"/>
      <c r="X77" s="1500" t="s">
        <v>1579</v>
      </c>
      <c r="Y77" s="1500"/>
      <c r="Z77" s="1500"/>
      <c r="AA77" s="1500"/>
      <c r="AB77" s="1500"/>
      <c r="AC77" s="1500"/>
      <c r="AD77" s="1500"/>
      <c r="AE77" s="1500"/>
      <c r="AF77" s="1500"/>
      <c r="AG77" s="1500"/>
      <c r="AH77" s="1500"/>
      <c r="AI77" s="910"/>
      <c r="AJ77" s="910"/>
      <c r="AK77" s="910"/>
      <c r="AL77" s="910"/>
    </row>
    <row r="78" spans="1:41" ht="22" customHeight="1">
      <c r="A78" s="725"/>
      <c r="B78" s="726"/>
      <c r="C78" s="726"/>
      <c r="D78" s="726"/>
      <c r="E78" s="726"/>
      <c r="F78" s="726"/>
      <c r="G78" s="726"/>
      <c r="H78" s="727"/>
      <c r="I78" s="726"/>
      <c r="J78" s="726"/>
      <c r="K78" s="726"/>
      <c r="L78" s="726"/>
      <c r="M78" s="726"/>
      <c r="N78" s="727"/>
      <c r="O78" s="726"/>
      <c r="P78" s="727"/>
      <c r="Q78" s="726"/>
      <c r="R78" s="727"/>
      <c r="S78" s="726"/>
      <c r="T78" s="726"/>
      <c r="U78" s="726"/>
      <c r="V78" s="726"/>
      <c r="W78" s="726"/>
      <c r="X78" s="727"/>
      <c r="Y78" s="726"/>
      <c r="Z78" s="726"/>
      <c r="AA78" s="726"/>
      <c r="AB78" s="727"/>
      <c r="AC78" s="705"/>
      <c r="AD78" s="703"/>
      <c r="AE78" s="695"/>
      <c r="AF78" s="696"/>
      <c r="AG78" s="696"/>
    </row>
    <row r="79" spans="1:41" ht="44.5" customHeight="1">
      <c r="A79" s="469"/>
      <c r="B79" s="684" t="s">
        <v>1635</v>
      </c>
      <c r="C79" s="683"/>
      <c r="D79" s="1505" t="s">
        <v>1637</v>
      </c>
      <c r="E79" s="1505"/>
      <c r="F79" s="1505" t="s">
        <v>1639</v>
      </c>
      <c r="G79" s="1505"/>
      <c r="H79" s="1505" t="s">
        <v>1640</v>
      </c>
      <c r="I79" s="1505"/>
      <c r="J79" s="1505" t="s">
        <v>1641</v>
      </c>
      <c r="K79" s="1505"/>
      <c r="L79" s="1505" t="s">
        <v>1266</v>
      </c>
      <c r="M79" s="1505"/>
      <c r="N79" s="1505" t="s">
        <v>1267</v>
      </c>
      <c r="O79" s="1505"/>
      <c r="P79" s="1505" t="s">
        <v>1269</v>
      </c>
      <c r="Q79" s="1505"/>
      <c r="R79" s="1505" t="s">
        <v>1270</v>
      </c>
      <c r="S79" s="1505"/>
      <c r="T79" s="1505" t="s">
        <v>1271</v>
      </c>
      <c r="U79" s="1505"/>
      <c r="V79" s="1505" t="s">
        <v>1272</v>
      </c>
      <c r="W79" s="1505"/>
      <c r="X79" s="1505" t="s">
        <v>637</v>
      </c>
      <c r="Y79" s="1505"/>
      <c r="Z79" s="684" t="s">
        <v>638</v>
      </c>
      <c r="AA79" s="683"/>
      <c r="AB79" s="684" t="s">
        <v>642</v>
      </c>
      <c r="AC79" s="684"/>
      <c r="AD79" s="702"/>
      <c r="AE79" s="720"/>
      <c r="AF79" s="695"/>
      <c r="AG79" s="696"/>
      <c r="AH79" s="696"/>
    </row>
    <row r="80" spans="1:41" ht="33.5">
      <c r="A80" s="469"/>
      <c r="B80" s="712"/>
      <c r="C80" s="702"/>
      <c r="D80" s="712"/>
      <c r="E80" s="702"/>
      <c r="F80" s="712"/>
      <c r="G80" s="702"/>
      <c r="H80" s="712"/>
      <c r="I80" s="702"/>
      <c r="J80" s="712"/>
      <c r="K80" s="702"/>
      <c r="L80" s="712"/>
      <c r="M80" s="702"/>
      <c r="N80" s="712"/>
      <c r="O80" s="702"/>
      <c r="P80" s="712"/>
      <c r="Q80" s="702"/>
      <c r="R80" s="712"/>
      <c r="S80" s="702"/>
      <c r="T80" s="712"/>
      <c r="U80" s="702"/>
      <c r="V80" s="712"/>
      <c r="W80" s="702"/>
      <c r="X80" s="712"/>
      <c r="Y80" s="702"/>
      <c r="Z80" s="712"/>
      <c r="AA80" s="702"/>
      <c r="AB80" s="712"/>
      <c r="AC80" s="702"/>
      <c r="AD80" s="720"/>
      <c r="AE80" s="696"/>
      <c r="AF80" s="696"/>
      <c r="AG80" s="696"/>
    </row>
    <row r="81" spans="1:43" ht="16" customHeight="1" thickBot="1">
      <c r="A81" s="469"/>
      <c r="B81" s="714"/>
      <c r="C81" s="702"/>
      <c r="D81" s="714"/>
      <c r="E81" s="702"/>
      <c r="F81" s="714"/>
      <c r="G81" s="702"/>
      <c r="H81" s="714"/>
      <c r="I81" s="702"/>
      <c r="J81" s="714"/>
      <c r="K81" s="702"/>
      <c r="L81" s="714"/>
      <c r="M81" s="702"/>
      <c r="N81" s="714"/>
      <c r="O81" s="702"/>
      <c r="P81" s="714"/>
      <c r="Q81" s="702"/>
      <c r="R81" s="714"/>
      <c r="S81" s="702"/>
      <c r="T81" s="714"/>
      <c r="U81" s="702"/>
      <c r="V81" s="714"/>
      <c r="W81" s="702"/>
      <c r="X81" s="714"/>
      <c r="Y81" s="702"/>
      <c r="Z81" s="714"/>
      <c r="AA81" s="702"/>
      <c r="AB81" s="714"/>
      <c r="AC81" s="702"/>
      <c r="AD81" s="720"/>
      <c r="AE81" s="696"/>
      <c r="AF81" s="696"/>
      <c r="AG81" s="696"/>
      <c r="AM81" s="896"/>
      <c r="AN81" s="896"/>
      <c r="AO81" s="896"/>
    </row>
    <row r="82" spans="1:43" ht="100" customHeight="1" thickBot="1">
      <c r="A82" s="469"/>
      <c r="B82" s="691"/>
      <c r="C82" s="707">
        <v>439.69499999999999</v>
      </c>
      <c r="D82" s="691"/>
      <c r="E82" s="707">
        <v>243.18799999999999</v>
      </c>
      <c r="F82" s="691"/>
      <c r="G82" s="707">
        <v>333.21899999999999</v>
      </c>
      <c r="H82" s="691"/>
      <c r="I82" s="707">
        <v>333.21899999999999</v>
      </c>
      <c r="J82" s="691"/>
      <c r="K82" s="707">
        <v>363.00099999999998</v>
      </c>
      <c r="L82" s="691"/>
      <c r="M82" s="707">
        <v>363.00099999999998</v>
      </c>
      <c r="N82" s="691"/>
      <c r="O82" s="707">
        <v>356.12400000000002</v>
      </c>
      <c r="P82" s="691"/>
      <c r="Q82" s="707">
        <v>376.245</v>
      </c>
      <c r="R82" s="691"/>
      <c r="S82" s="707">
        <v>381.12200000000001</v>
      </c>
      <c r="T82" s="691"/>
      <c r="U82" s="707">
        <v>364.43299999999999</v>
      </c>
      <c r="V82" s="691"/>
      <c r="W82" s="707">
        <v>263.077</v>
      </c>
      <c r="X82" s="691"/>
      <c r="Y82" s="707">
        <v>356.19299999999998</v>
      </c>
      <c r="Z82" s="691"/>
      <c r="AA82" s="707">
        <v>352.42</v>
      </c>
      <c r="AB82" s="691"/>
      <c r="AC82" s="707">
        <v>381.02800000000002</v>
      </c>
      <c r="AD82" s="720"/>
      <c r="AE82" s="696"/>
      <c r="AF82" s="696"/>
      <c r="AG82" s="696"/>
      <c r="AM82" s="896">
        <f>COUNTIF(B82:AB82,"U/P")</f>
        <v>0</v>
      </c>
      <c r="AN82" s="896">
        <f>COUNTIF(C82:AC82,"ROW")</f>
        <v>0</v>
      </c>
      <c r="AO82" s="896">
        <f>COUNTIF(D82:AD82,"C")</f>
        <v>0</v>
      </c>
    </row>
    <row r="83" spans="1:43" ht="34" thickBot="1">
      <c r="A83" s="469"/>
      <c r="B83" s="710"/>
      <c r="C83" s="702"/>
      <c r="D83" s="710"/>
      <c r="E83" s="702"/>
      <c r="F83" s="710"/>
      <c r="G83" s="702"/>
      <c r="H83" s="710"/>
      <c r="I83" s="702"/>
      <c r="J83" s="710"/>
      <c r="K83" s="702"/>
      <c r="L83" s="710"/>
      <c r="M83" s="702"/>
      <c r="N83" s="710"/>
      <c r="O83" s="702"/>
      <c r="P83" s="710"/>
      <c r="Q83" s="702"/>
      <c r="R83" s="710"/>
      <c r="S83" s="702"/>
      <c r="T83" s="710"/>
      <c r="U83" s="702"/>
      <c r="V83" s="710"/>
      <c r="W83" s="702"/>
      <c r="X83" s="710"/>
      <c r="Y83" s="702"/>
      <c r="Z83" s="710"/>
      <c r="AA83" s="702"/>
      <c r="AB83" s="710"/>
      <c r="AC83" s="702"/>
      <c r="AD83" s="720"/>
      <c r="AE83" s="696"/>
      <c r="AF83" s="696"/>
      <c r="AG83" s="696"/>
    </row>
    <row r="84" spans="1:43" ht="33.5">
      <c r="A84" s="469"/>
      <c r="B84" s="699" t="s">
        <v>1636</v>
      </c>
      <c r="C84" s="698"/>
      <c r="D84" s="699" t="s">
        <v>1638</v>
      </c>
      <c r="E84" s="698"/>
      <c r="F84" s="699" t="s">
        <v>119</v>
      </c>
      <c r="G84" s="698"/>
      <c r="H84" s="699" t="s">
        <v>123</v>
      </c>
      <c r="I84" s="698"/>
      <c r="J84" s="699" t="s">
        <v>147</v>
      </c>
      <c r="K84" s="698"/>
      <c r="L84" s="698" t="s">
        <v>182</v>
      </c>
      <c r="M84" s="698"/>
      <c r="N84" s="698" t="s">
        <v>242</v>
      </c>
      <c r="O84" s="698"/>
      <c r="P84" s="699" t="s">
        <v>115</v>
      </c>
      <c r="Q84" s="698"/>
      <c r="R84" s="698" t="s">
        <v>242</v>
      </c>
      <c r="S84" s="698"/>
      <c r="T84" s="698" t="s">
        <v>182</v>
      </c>
      <c r="U84" s="698"/>
      <c r="V84" s="698" t="s">
        <v>248</v>
      </c>
      <c r="W84" s="698"/>
      <c r="X84" s="699" t="s">
        <v>188</v>
      </c>
      <c r="Y84" s="698"/>
      <c r="Z84" s="698" t="s">
        <v>185</v>
      </c>
      <c r="AA84" s="698"/>
      <c r="AB84" s="699" t="s">
        <v>132</v>
      </c>
      <c r="AC84" s="702"/>
      <c r="AD84" s="720"/>
      <c r="AE84" s="696"/>
      <c r="AF84" s="696"/>
      <c r="AG84" s="696"/>
    </row>
    <row r="85" spans="1:43" ht="37" customHeight="1">
      <c r="A85" s="1499" t="s">
        <v>1578</v>
      </c>
      <c r="B85" s="1500"/>
      <c r="C85" s="1500"/>
      <c r="D85" s="1500"/>
      <c r="E85" s="1500"/>
      <c r="F85" s="1500"/>
      <c r="G85" s="1500"/>
      <c r="H85" s="1500"/>
      <c r="I85" s="1502" t="s">
        <v>1712</v>
      </c>
      <c r="J85" s="1502"/>
      <c r="K85" s="1502"/>
      <c r="L85" s="1502"/>
      <c r="M85" s="1502"/>
      <c r="N85" s="1502"/>
      <c r="O85" s="1502"/>
      <c r="P85" s="1502"/>
      <c r="Q85" s="1502"/>
      <c r="R85" s="1502"/>
      <c r="S85" s="1502"/>
      <c r="T85" s="1502"/>
      <c r="U85" s="1502"/>
      <c r="V85" s="1502"/>
      <c r="W85" s="1502"/>
      <c r="X85" s="1502"/>
      <c r="Y85" s="1502"/>
      <c r="Z85" s="1502"/>
      <c r="AA85" s="1502"/>
      <c r="AB85" s="1502"/>
      <c r="AC85" s="1502"/>
      <c r="AD85" s="1502"/>
      <c r="AE85" s="1502"/>
      <c r="AF85" s="1502"/>
      <c r="AG85" s="1067"/>
      <c r="AH85" s="1067"/>
      <c r="AI85" s="910"/>
      <c r="AJ85" s="910"/>
      <c r="AK85" s="910"/>
      <c r="AL85" s="910"/>
    </row>
    <row r="86" spans="1:43" ht="21.5" customHeight="1">
      <c r="A86" s="469"/>
      <c r="B86" s="716"/>
      <c r="C86" s="716"/>
      <c r="D86" s="716"/>
      <c r="E86" s="716"/>
      <c r="F86" s="716"/>
      <c r="G86" s="716"/>
      <c r="H86" s="716"/>
      <c r="I86" s="716"/>
      <c r="J86" s="716"/>
      <c r="K86" s="716"/>
      <c r="L86" s="716"/>
      <c r="M86" s="716"/>
      <c r="N86" s="716"/>
      <c r="O86" s="716"/>
      <c r="P86" s="716"/>
      <c r="Q86" s="716"/>
      <c r="R86" s="716"/>
      <c r="S86" s="716"/>
      <c r="T86" s="716"/>
      <c r="U86" s="716"/>
      <c r="V86" s="716"/>
      <c r="W86" s="716"/>
      <c r="X86" s="716"/>
      <c r="Y86" s="716"/>
      <c r="Z86" s="716"/>
      <c r="AA86" s="716"/>
      <c r="AB86" s="716"/>
      <c r="AC86" s="705"/>
      <c r="AD86" s="703"/>
      <c r="AE86" s="695"/>
      <c r="AF86" s="696"/>
      <c r="AG86" s="696"/>
    </row>
    <row r="87" spans="1:43" ht="32" customHeight="1">
      <c r="A87" s="469"/>
      <c r="B87" s="684" t="s">
        <v>643</v>
      </c>
      <c r="C87" s="683"/>
      <c r="D87" s="684" t="s">
        <v>644</v>
      </c>
      <c r="E87" s="683"/>
      <c r="F87" s="684" t="s">
        <v>1642</v>
      </c>
      <c r="G87" s="683"/>
      <c r="H87" s="684" t="s">
        <v>645</v>
      </c>
      <c r="I87" s="683"/>
      <c r="J87" s="684" t="s">
        <v>646</v>
      </c>
      <c r="K87" s="683"/>
      <c r="L87" s="684" t="s">
        <v>647</v>
      </c>
      <c r="M87" s="683"/>
      <c r="N87" s="684" t="s">
        <v>648</v>
      </c>
      <c r="O87" s="683"/>
      <c r="P87" s="684" t="s">
        <v>649</v>
      </c>
      <c r="Q87" s="683"/>
      <c r="R87" s="684" t="s">
        <v>650</v>
      </c>
      <c r="S87" s="683"/>
      <c r="T87" s="684" t="s">
        <v>651</v>
      </c>
      <c r="U87" s="683"/>
      <c r="V87" s="684" t="s">
        <v>652</v>
      </c>
      <c r="W87" s="683"/>
      <c r="X87" s="684" t="s">
        <v>653</v>
      </c>
      <c r="Y87" s="683"/>
      <c r="Z87" s="684" t="s">
        <v>654</v>
      </c>
      <c r="AA87" s="683"/>
      <c r="AB87" s="684" t="s">
        <v>655</v>
      </c>
      <c r="AC87" s="683"/>
      <c r="AD87" s="684" t="s">
        <v>656</v>
      </c>
      <c r="AE87" s="702"/>
      <c r="AF87" s="720"/>
      <c r="AG87" s="696"/>
      <c r="AH87" s="696"/>
      <c r="AI87" s="696"/>
    </row>
    <row r="88" spans="1:43" ht="33.5">
      <c r="A88" s="469"/>
      <c r="B88" s="712"/>
      <c r="C88" s="702"/>
      <c r="D88" s="712"/>
      <c r="E88" s="702"/>
      <c r="F88" s="712"/>
      <c r="G88" s="702"/>
      <c r="H88" s="712"/>
      <c r="I88" s="702"/>
      <c r="J88" s="712"/>
      <c r="K88" s="713"/>
      <c r="L88" s="712"/>
      <c r="M88" s="702"/>
      <c r="N88" s="712"/>
      <c r="O88" s="702"/>
      <c r="P88" s="712"/>
      <c r="Q88" s="702"/>
      <c r="R88" s="712"/>
      <c r="S88" s="702"/>
      <c r="T88" s="712"/>
      <c r="U88" s="702"/>
      <c r="V88" s="712"/>
      <c r="W88" s="702"/>
      <c r="X88" s="712"/>
      <c r="Y88" s="702"/>
      <c r="Z88" s="712"/>
      <c r="AA88" s="702"/>
      <c r="AB88" s="712"/>
      <c r="AC88" s="713"/>
      <c r="AD88" s="712"/>
      <c r="AE88" s="702"/>
      <c r="AF88" s="720"/>
      <c r="AG88" s="696"/>
      <c r="AH88" s="696"/>
      <c r="AI88" s="696"/>
    </row>
    <row r="89" spans="1:43" ht="15.5" customHeight="1" thickBot="1">
      <c r="A89" s="469"/>
      <c r="B89" s="714"/>
      <c r="C89" s="702"/>
      <c r="D89" s="714"/>
      <c r="E89" s="702"/>
      <c r="F89" s="714"/>
      <c r="G89" s="702"/>
      <c r="H89" s="714"/>
      <c r="I89" s="702"/>
      <c r="J89" s="714"/>
      <c r="K89" s="702"/>
      <c r="L89" s="714"/>
      <c r="M89" s="702"/>
      <c r="N89" s="714"/>
      <c r="O89" s="702"/>
      <c r="P89" s="714"/>
      <c r="Q89" s="702"/>
      <c r="R89" s="714"/>
      <c r="S89" s="702"/>
      <c r="T89" s="714"/>
      <c r="U89" s="702"/>
      <c r="V89" s="714"/>
      <c r="W89" s="702"/>
      <c r="X89" s="714"/>
      <c r="Y89" s="702"/>
      <c r="Z89" s="714"/>
      <c r="AA89" s="702"/>
      <c r="AB89" s="714"/>
      <c r="AC89" s="702"/>
      <c r="AD89" s="714"/>
      <c r="AE89" s="702"/>
      <c r="AF89" s="720"/>
      <c r="AG89" s="696"/>
      <c r="AH89" s="696"/>
      <c r="AI89" s="696"/>
    </row>
    <row r="90" spans="1:43" ht="100" customHeight="1" thickBot="1">
      <c r="A90" s="469"/>
      <c r="B90" s="691"/>
      <c r="C90" s="707">
        <v>419.60300000000001</v>
      </c>
      <c r="D90" s="691"/>
      <c r="E90" s="707">
        <v>425.18</v>
      </c>
      <c r="F90" s="691"/>
      <c r="G90" s="707">
        <v>425.18</v>
      </c>
      <c r="H90" s="691"/>
      <c r="I90" s="707">
        <v>287.53699999999998</v>
      </c>
      <c r="J90" s="691"/>
      <c r="K90" s="707">
        <v>336.512</v>
      </c>
      <c r="L90" s="691"/>
      <c r="M90" s="707">
        <v>325.30399999999997</v>
      </c>
      <c r="N90" s="691"/>
      <c r="O90" s="707">
        <v>214.25299999999999</v>
      </c>
      <c r="P90" s="691"/>
      <c r="Q90" s="707">
        <v>455.94600000000003</v>
      </c>
      <c r="R90" s="691"/>
      <c r="S90" s="707">
        <v>421</v>
      </c>
      <c r="T90" s="691"/>
      <c r="U90" s="707">
        <v>419</v>
      </c>
      <c r="V90" s="691"/>
      <c r="W90" s="707">
        <v>408</v>
      </c>
      <c r="X90" s="691"/>
      <c r="Y90" s="707">
        <v>409.74900000000002</v>
      </c>
      <c r="Z90" s="691"/>
      <c r="AA90" s="707">
        <v>324.02999999999997</v>
      </c>
      <c r="AB90" s="691"/>
      <c r="AC90" s="707">
        <v>366.7</v>
      </c>
      <c r="AD90" s="691"/>
      <c r="AE90" s="690">
        <v>473.30500000000001</v>
      </c>
      <c r="AF90" s="720"/>
      <c r="AG90" s="696"/>
      <c r="AH90" s="696"/>
      <c r="AI90" s="696"/>
      <c r="AM90" s="896">
        <f>COUNTIF(A90:AB90,"U/P")</f>
        <v>0</v>
      </c>
      <c r="AN90" s="896">
        <f>COUNTIF(A90:AC90,"ROW")</f>
        <v>0</v>
      </c>
      <c r="AO90" s="896">
        <f>COUNTIF(B90:AD90,"C")</f>
        <v>0</v>
      </c>
      <c r="AP90" s="896"/>
      <c r="AQ90" s="896"/>
    </row>
    <row r="91" spans="1:43" ht="34" thickBot="1">
      <c r="A91" s="469"/>
      <c r="B91" s="710"/>
      <c r="C91" s="702"/>
      <c r="D91" s="710"/>
      <c r="E91" s="702"/>
      <c r="F91" s="710"/>
      <c r="G91" s="702"/>
      <c r="H91" s="710"/>
      <c r="I91" s="702"/>
      <c r="J91" s="710"/>
      <c r="K91" s="702"/>
      <c r="L91" s="710"/>
      <c r="M91" s="702"/>
      <c r="N91" s="710"/>
      <c r="O91" s="702"/>
      <c r="P91" s="710"/>
      <c r="Q91" s="702"/>
      <c r="R91" s="710"/>
      <c r="S91" s="702"/>
      <c r="T91" s="710"/>
      <c r="U91" s="702"/>
      <c r="V91" s="710"/>
      <c r="W91" s="702"/>
      <c r="X91" s="710"/>
      <c r="Y91" s="702"/>
      <c r="Z91" s="710"/>
      <c r="AA91" s="702"/>
      <c r="AB91" s="710"/>
      <c r="AC91" s="702"/>
      <c r="AD91" s="710"/>
      <c r="AE91" s="702"/>
      <c r="AF91" s="720"/>
      <c r="AG91" s="696"/>
      <c r="AH91" s="696"/>
      <c r="AI91" s="696"/>
    </row>
    <row r="92" spans="1:43" ht="33.5">
      <c r="A92" s="469"/>
      <c r="B92" s="698" t="s">
        <v>242</v>
      </c>
      <c r="C92" s="698"/>
      <c r="D92" s="698" t="s">
        <v>248</v>
      </c>
      <c r="E92" s="698"/>
      <c r="F92" s="698" t="s">
        <v>132</v>
      </c>
      <c r="G92" s="698"/>
      <c r="H92" s="699" t="s">
        <v>115</v>
      </c>
      <c r="I92" s="698"/>
      <c r="J92" s="698" t="s">
        <v>182</v>
      </c>
      <c r="K92" s="698"/>
      <c r="L92" s="698" t="s">
        <v>182</v>
      </c>
      <c r="M92" s="698"/>
      <c r="N92" s="698" t="s">
        <v>182</v>
      </c>
      <c r="O92" s="698"/>
      <c r="P92" s="699" t="s">
        <v>123</v>
      </c>
      <c r="Q92" s="700"/>
      <c r="R92" s="699" t="s">
        <v>123</v>
      </c>
      <c r="S92" s="698"/>
      <c r="T92" s="698" t="s">
        <v>185</v>
      </c>
      <c r="U92" s="698"/>
      <c r="V92" s="698" t="s">
        <v>185</v>
      </c>
      <c r="W92" s="698"/>
      <c r="X92" s="698" t="s">
        <v>248</v>
      </c>
      <c r="Y92" s="698"/>
      <c r="Z92" s="699" t="s">
        <v>119</v>
      </c>
      <c r="AA92" s="700"/>
      <c r="AB92" s="699" t="s">
        <v>128</v>
      </c>
      <c r="AC92" s="698"/>
      <c r="AD92" s="698" t="s">
        <v>248</v>
      </c>
      <c r="AE92" s="702"/>
      <c r="AF92" s="720"/>
      <c r="AG92" s="696"/>
      <c r="AH92" s="696"/>
      <c r="AI92" s="696"/>
    </row>
    <row r="93" spans="1:43" ht="37" customHeight="1">
      <c r="A93" s="1501" t="s">
        <v>1713</v>
      </c>
      <c r="B93" s="1502"/>
      <c r="C93" s="1502"/>
      <c r="D93" s="1502"/>
      <c r="E93" s="1502"/>
      <c r="F93" s="1502"/>
      <c r="G93" s="1502"/>
      <c r="H93" s="1502"/>
      <c r="I93" s="1502"/>
      <c r="J93" s="1502"/>
      <c r="K93" s="1502"/>
      <c r="L93" s="1502"/>
      <c r="M93" s="1502"/>
      <c r="N93" s="1502"/>
      <c r="O93" s="1502"/>
      <c r="P93" s="1502"/>
      <c r="Q93" s="1502"/>
      <c r="R93" s="1502"/>
      <c r="S93" s="1502"/>
      <c r="T93" s="1502"/>
      <c r="U93" s="1502"/>
      <c r="V93" s="1502"/>
      <c r="W93" s="1502"/>
      <c r="X93" s="1502"/>
      <c r="Y93" s="1502"/>
      <c r="Z93" s="1502"/>
      <c r="AA93" s="1502"/>
      <c r="AB93" s="1502"/>
      <c r="AC93" s="1502"/>
      <c r="AD93" s="1502"/>
      <c r="AE93" s="1502"/>
      <c r="AF93" s="1502"/>
      <c r="AG93" s="1502"/>
      <c r="AH93" s="1502"/>
      <c r="AI93" s="910"/>
      <c r="AJ93" s="910"/>
      <c r="AK93" s="910"/>
      <c r="AL93" s="910"/>
    </row>
    <row r="94" spans="1:43" ht="15" customHeight="1">
      <c r="A94" s="469"/>
      <c r="B94" s="716"/>
      <c r="C94" s="716"/>
      <c r="D94" s="716"/>
      <c r="E94" s="716"/>
      <c r="F94" s="716"/>
      <c r="G94" s="716"/>
      <c r="H94" s="716"/>
      <c r="I94" s="716"/>
      <c r="J94" s="716"/>
      <c r="K94" s="716"/>
      <c r="L94" s="716"/>
      <c r="M94" s="705"/>
      <c r="N94" s="716"/>
      <c r="O94" s="716"/>
      <c r="P94" s="716"/>
      <c r="Q94" s="716"/>
      <c r="R94" s="716"/>
      <c r="S94" s="716"/>
      <c r="T94" s="716"/>
      <c r="U94" s="716"/>
      <c r="V94" s="716"/>
      <c r="W94" s="716"/>
      <c r="X94" s="716"/>
      <c r="Y94" s="716"/>
      <c r="Z94" s="716"/>
      <c r="AA94" s="716"/>
      <c r="AB94" s="716"/>
      <c r="AC94" s="705"/>
      <c r="AD94" s="703"/>
      <c r="AE94" s="695"/>
      <c r="AF94" s="696"/>
      <c r="AG94" s="696"/>
    </row>
    <row r="95" spans="1:43" ht="18" customHeight="1">
      <c r="A95" s="469"/>
      <c r="B95" s="703"/>
      <c r="C95" s="705"/>
      <c r="D95" s="703"/>
      <c r="E95" s="705"/>
      <c r="F95" s="703"/>
      <c r="G95" s="705"/>
      <c r="H95" s="703"/>
      <c r="I95" s="705"/>
      <c r="J95" s="703"/>
      <c r="K95" s="705"/>
      <c r="L95" s="703"/>
      <c r="M95" s="705"/>
      <c r="N95" s="703"/>
      <c r="O95" s="705"/>
      <c r="P95" s="703"/>
      <c r="Q95" s="705"/>
      <c r="R95" s="703"/>
      <c r="S95" s="705"/>
      <c r="T95" s="703"/>
      <c r="U95" s="705"/>
      <c r="V95" s="703"/>
      <c r="W95" s="705"/>
      <c r="X95" s="703"/>
      <c r="Y95" s="705"/>
      <c r="Z95" s="703"/>
      <c r="AA95" s="705"/>
      <c r="AB95" s="703"/>
      <c r="AC95" s="705"/>
      <c r="AD95" s="703"/>
      <c r="AE95" s="695"/>
      <c r="AF95" s="696"/>
      <c r="AG95" s="696"/>
    </row>
    <row r="96" spans="1:43" ht="28" customHeight="1">
      <c r="A96" s="469"/>
      <c r="B96" s="684" t="s">
        <v>657</v>
      </c>
      <c r="C96" s="683"/>
      <c r="D96" s="684" t="s">
        <v>658</v>
      </c>
      <c r="E96" s="683"/>
      <c r="F96" s="684" t="s">
        <v>659</v>
      </c>
      <c r="G96" s="683"/>
      <c r="H96" s="684" t="s">
        <v>660</v>
      </c>
      <c r="I96" s="683"/>
      <c r="J96" s="684" t="s">
        <v>661</v>
      </c>
      <c r="K96" s="683"/>
      <c r="L96" s="684" t="s">
        <v>1421</v>
      </c>
      <c r="M96" s="720"/>
      <c r="N96" s="684" t="s">
        <v>662</v>
      </c>
      <c r="O96" s="683"/>
      <c r="P96" s="684" t="s">
        <v>664</v>
      </c>
      <c r="Q96" s="683"/>
      <c r="R96" s="684" t="s">
        <v>665</v>
      </c>
      <c r="S96" s="683"/>
      <c r="T96" s="684" t="s">
        <v>666</v>
      </c>
      <c r="U96" s="683"/>
      <c r="V96" s="684" t="s">
        <v>667</v>
      </c>
      <c r="W96" s="683"/>
      <c r="X96" s="684" t="s">
        <v>1643</v>
      </c>
      <c r="Y96" s="683"/>
      <c r="Z96" s="684" t="s">
        <v>1644</v>
      </c>
      <c r="AA96" s="683"/>
      <c r="AB96" s="684" t="s">
        <v>668</v>
      </c>
      <c r="AC96" s="683"/>
      <c r="AD96" s="684" t="s">
        <v>669</v>
      </c>
      <c r="AE96" s="683"/>
      <c r="AF96" s="684" t="s">
        <v>670</v>
      </c>
      <c r="AG96" s="705"/>
      <c r="AH96" s="696"/>
      <c r="AI96" s="696"/>
    </row>
    <row r="97" spans="1:45" ht="33.5">
      <c r="A97" s="469"/>
      <c r="B97" s="712"/>
      <c r="C97" s="702"/>
      <c r="D97" s="712"/>
      <c r="E97" s="702"/>
      <c r="F97" s="712"/>
      <c r="G97" s="702"/>
      <c r="H97" s="712"/>
      <c r="I97" s="702"/>
      <c r="J97" s="712"/>
      <c r="K97" s="702"/>
      <c r="L97" s="712"/>
      <c r="M97" s="720"/>
      <c r="N97" s="712"/>
      <c r="O97" s="702"/>
      <c r="P97" s="712"/>
      <c r="Q97" s="702"/>
      <c r="R97" s="712"/>
      <c r="S97" s="702"/>
      <c r="T97" s="712"/>
      <c r="U97" s="702"/>
      <c r="V97" s="712"/>
      <c r="W97" s="702"/>
      <c r="X97" s="712"/>
      <c r="Y97" s="702"/>
      <c r="Z97" s="712"/>
      <c r="AA97" s="702"/>
      <c r="AB97" s="712"/>
      <c r="AC97" s="702"/>
      <c r="AD97" s="712"/>
      <c r="AE97" s="702"/>
      <c r="AF97" s="712"/>
      <c r="AG97" s="705"/>
      <c r="AH97" s="696"/>
      <c r="AI97" s="696"/>
    </row>
    <row r="98" spans="1:45" ht="15.5" customHeight="1" thickBot="1">
      <c r="A98" s="469"/>
      <c r="B98" s="714"/>
      <c r="C98" s="702"/>
      <c r="D98" s="714"/>
      <c r="E98" s="702"/>
      <c r="F98" s="714"/>
      <c r="G98" s="702"/>
      <c r="H98" s="714"/>
      <c r="I98" s="702"/>
      <c r="J98" s="714"/>
      <c r="K98" s="702"/>
      <c r="L98" s="714"/>
      <c r="M98" s="720"/>
      <c r="N98" s="714"/>
      <c r="O98" s="702"/>
      <c r="P98" s="714"/>
      <c r="Q98" s="702"/>
      <c r="R98" s="714"/>
      <c r="S98" s="702"/>
      <c r="T98" s="714"/>
      <c r="U98" s="702"/>
      <c r="V98" s="714"/>
      <c r="W98" s="702"/>
      <c r="X98" s="714"/>
      <c r="Y98" s="702"/>
      <c r="Z98" s="714"/>
      <c r="AA98" s="702"/>
      <c r="AB98" s="714"/>
      <c r="AC98" s="702"/>
      <c r="AD98" s="714"/>
      <c r="AE98" s="702"/>
      <c r="AF98" s="714"/>
      <c r="AG98" s="705"/>
      <c r="AH98" s="696"/>
      <c r="AI98" s="696"/>
    </row>
    <row r="99" spans="1:45" ht="100" customHeight="1" thickBot="1">
      <c r="A99" s="469"/>
      <c r="B99" s="691"/>
      <c r="C99" s="707">
        <v>358.32100000000003</v>
      </c>
      <c r="D99" s="691"/>
      <c r="E99" s="707">
        <v>477.815</v>
      </c>
      <c r="F99" s="691"/>
      <c r="G99" s="707">
        <v>415.464</v>
      </c>
      <c r="H99" s="691"/>
      <c r="I99" s="707">
        <v>402.22899999999998</v>
      </c>
      <c r="J99" s="691"/>
      <c r="K99" s="707">
        <v>437.43400000000003</v>
      </c>
      <c r="L99" s="691"/>
      <c r="M99" s="720"/>
      <c r="N99" s="691"/>
      <c r="O99" s="707">
        <v>455.92200000000003</v>
      </c>
      <c r="P99" s="691"/>
      <c r="Q99" s="707">
        <v>419.76499999999999</v>
      </c>
      <c r="R99" s="691"/>
      <c r="S99" s="707">
        <v>418.91699999999997</v>
      </c>
      <c r="T99" s="691"/>
      <c r="U99" s="707">
        <v>386.48599999999999</v>
      </c>
      <c r="V99" s="691"/>
      <c r="W99" s="707">
        <v>376.53</v>
      </c>
      <c r="X99" s="691"/>
      <c r="Y99" s="707"/>
      <c r="Z99" s="691"/>
      <c r="AA99" s="707"/>
      <c r="AB99" s="691"/>
      <c r="AC99" s="707">
        <v>404.73899999999998</v>
      </c>
      <c r="AD99" s="691"/>
      <c r="AE99" s="707">
        <v>366.72899999999998</v>
      </c>
      <c r="AF99" s="691"/>
      <c r="AG99" s="708">
        <v>274.58699999999999</v>
      </c>
      <c r="AH99" s="696"/>
      <c r="AI99" s="696"/>
      <c r="AM99" s="896">
        <f>COUNTIF(A99:AB99,"U/P")</f>
        <v>0</v>
      </c>
      <c r="AN99" s="896">
        <f>COUNTIF(A99:AC99,"ROW")</f>
        <v>0</v>
      </c>
      <c r="AO99" s="896">
        <f>COUNTIF(B99:AC99,"C")</f>
        <v>0</v>
      </c>
      <c r="AP99" s="896"/>
      <c r="AQ99" s="896"/>
      <c r="AR99" s="896"/>
      <c r="AS99" s="896"/>
    </row>
    <row r="100" spans="1:45" ht="34" thickBot="1">
      <c r="A100" s="469"/>
      <c r="B100" s="710"/>
      <c r="C100" s="702"/>
      <c r="D100" s="710"/>
      <c r="E100" s="702"/>
      <c r="F100" s="710"/>
      <c r="G100" s="702"/>
      <c r="H100" s="710"/>
      <c r="I100" s="702"/>
      <c r="J100" s="710"/>
      <c r="K100" s="702"/>
      <c r="L100" s="710"/>
      <c r="M100" s="720"/>
      <c r="N100" s="710"/>
      <c r="O100" s="702"/>
      <c r="P100" s="710"/>
      <c r="Q100" s="702"/>
      <c r="R100" s="710"/>
      <c r="S100" s="702"/>
      <c r="T100" s="710"/>
      <c r="U100" s="702"/>
      <c r="V100" s="710"/>
      <c r="W100" s="702"/>
      <c r="X100" s="710"/>
      <c r="Y100" s="702"/>
      <c r="Z100" s="710"/>
      <c r="AA100" s="702"/>
      <c r="AB100" s="710"/>
      <c r="AC100" s="702"/>
      <c r="AD100" s="710"/>
      <c r="AE100" s="702"/>
      <c r="AF100" s="710"/>
      <c r="AG100" s="705"/>
      <c r="AH100" s="696"/>
      <c r="AI100" s="696"/>
    </row>
    <row r="101" spans="1:45" ht="33.5">
      <c r="A101" s="469"/>
      <c r="B101" s="699" t="s">
        <v>123</v>
      </c>
      <c r="C101" s="698"/>
      <c r="D101" s="698" t="s">
        <v>248</v>
      </c>
      <c r="E101" s="698"/>
      <c r="F101" s="699" t="s">
        <v>128</v>
      </c>
      <c r="G101" s="698"/>
      <c r="H101" s="698" t="s">
        <v>248</v>
      </c>
      <c r="I101" s="698"/>
      <c r="J101" s="698" t="s">
        <v>182</v>
      </c>
      <c r="K101" s="698"/>
      <c r="L101" s="698" t="s">
        <v>125</v>
      </c>
      <c r="M101" s="720"/>
      <c r="N101" s="699" t="s">
        <v>125</v>
      </c>
      <c r="O101" s="698"/>
      <c r="P101" s="699" t="s">
        <v>119</v>
      </c>
      <c r="Q101" s="698"/>
      <c r="R101" s="698" t="s">
        <v>167</v>
      </c>
      <c r="S101" s="698"/>
      <c r="T101" s="698" t="s">
        <v>185</v>
      </c>
      <c r="U101" s="698"/>
      <c r="V101" s="698" t="s">
        <v>248</v>
      </c>
      <c r="W101" s="698"/>
      <c r="X101" s="698" t="s">
        <v>182</v>
      </c>
      <c r="Y101" s="698"/>
      <c r="Z101" s="698" t="s">
        <v>248</v>
      </c>
      <c r="AA101" s="698"/>
      <c r="AB101" s="699" t="s">
        <v>188</v>
      </c>
      <c r="AC101" s="698"/>
      <c r="AD101" s="698" t="s">
        <v>242</v>
      </c>
      <c r="AE101" s="698"/>
      <c r="AF101" s="698" t="s">
        <v>182</v>
      </c>
      <c r="AG101" s="705"/>
      <c r="AH101" s="696"/>
      <c r="AI101" s="696"/>
    </row>
    <row r="102" spans="1:45" ht="35" customHeight="1">
      <c r="A102" s="1501" t="s">
        <v>1713</v>
      </c>
      <c r="B102" s="1502"/>
      <c r="C102" s="1502"/>
      <c r="D102" s="1502"/>
      <c r="E102" s="1502"/>
      <c r="F102" s="1502"/>
      <c r="G102" s="1502"/>
      <c r="H102" s="1502"/>
      <c r="I102" s="1502"/>
      <c r="J102" s="1502"/>
      <c r="K102" s="1502"/>
      <c r="L102" s="1502"/>
      <c r="M102" s="1502"/>
      <c r="N102" s="1502"/>
      <c r="O102" s="1502"/>
      <c r="P102" s="1502"/>
      <c r="Q102" s="1502"/>
      <c r="R102" s="1502"/>
      <c r="S102" s="1502"/>
      <c r="T102" s="1502"/>
      <c r="U102" s="1502"/>
      <c r="V102" s="1502"/>
      <c r="W102" s="1502"/>
      <c r="X102" s="1502"/>
      <c r="Y102" s="1502"/>
      <c r="Z102" s="1502"/>
      <c r="AA102" s="1502"/>
      <c r="AB102" s="1502"/>
      <c r="AC102" s="1502"/>
      <c r="AD102" s="1502"/>
      <c r="AE102" s="1502"/>
      <c r="AF102" s="1502"/>
      <c r="AG102" s="1502"/>
      <c r="AH102" s="1502"/>
      <c r="AI102" s="910"/>
      <c r="AJ102" s="910"/>
      <c r="AK102" s="910"/>
      <c r="AL102" s="910"/>
    </row>
    <row r="103" spans="1:45" ht="14.5" customHeight="1">
      <c r="A103" s="469"/>
      <c r="B103" s="716"/>
      <c r="C103" s="716"/>
      <c r="D103" s="716"/>
      <c r="E103" s="716"/>
      <c r="F103" s="716"/>
      <c r="G103" s="716"/>
      <c r="H103" s="716"/>
      <c r="I103" s="716"/>
      <c r="J103" s="716"/>
      <c r="K103" s="716"/>
      <c r="L103" s="716"/>
      <c r="M103" s="716"/>
      <c r="N103" s="716"/>
      <c r="O103" s="716"/>
      <c r="P103" s="716"/>
      <c r="Q103" s="716"/>
      <c r="R103" s="716"/>
      <c r="S103" s="716"/>
      <c r="T103" s="716"/>
      <c r="U103" s="716"/>
      <c r="V103" s="716"/>
      <c r="W103" s="716"/>
      <c r="X103" s="716"/>
      <c r="Y103" s="716"/>
      <c r="Z103" s="716"/>
      <c r="AA103" s="716"/>
      <c r="AB103" s="716"/>
      <c r="AC103" s="705"/>
      <c r="AD103" s="703"/>
      <c r="AE103" s="695"/>
      <c r="AF103" s="696"/>
      <c r="AG103" s="696"/>
    </row>
    <row r="104" spans="1:45" ht="33.5">
      <c r="A104" s="469"/>
      <c r="B104" s="684" t="s">
        <v>671</v>
      </c>
      <c r="C104" s="683"/>
      <c r="D104" s="684" t="s">
        <v>672</v>
      </c>
      <c r="E104" s="683"/>
      <c r="F104" s="684" t="s">
        <v>674</v>
      </c>
      <c r="G104" s="683"/>
      <c r="H104" s="683"/>
      <c r="I104" s="684" t="s">
        <v>677</v>
      </c>
      <c r="J104" s="683"/>
      <c r="K104" s="684" t="s">
        <v>678</v>
      </c>
      <c r="L104" s="683"/>
      <c r="M104" s="684" t="s">
        <v>679</v>
      </c>
      <c r="N104" s="683"/>
      <c r="O104" s="684" t="s">
        <v>680</v>
      </c>
      <c r="P104" s="683"/>
      <c r="Q104" s="684" t="s">
        <v>681</v>
      </c>
      <c r="R104" s="683"/>
      <c r="S104" s="684" t="s">
        <v>682</v>
      </c>
      <c r="T104" s="683"/>
      <c r="U104" s="684" t="s">
        <v>683</v>
      </c>
      <c r="V104" s="683"/>
      <c r="W104" s="684" t="s">
        <v>684</v>
      </c>
      <c r="X104" s="702"/>
      <c r="Y104" s="703"/>
      <c r="Z104" s="696"/>
      <c r="AA104" s="696"/>
      <c r="AB104" s="696"/>
    </row>
    <row r="105" spans="1:45" ht="33.5">
      <c r="A105" s="469"/>
      <c r="B105" s="712"/>
      <c r="C105" s="698"/>
      <c r="D105" s="712"/>
      <c r="E105" s="702"/>
      <c r="F105" s="712"/>
      <c r="G105" s="702"/>
      <c r="H105" s="702"/>
      <c r="I105" s="712"/>
      <c r="J105" s="702"/>
      <c r="K105" s="712"/>
      <c r="L105" s="713"/>
      <c r="M105" s="712"/>
      <c r="N105" s="713"/>
      <c r="O105" s="712"/>
      <c r="P105" s="702"/>
      <c r="Q105" s="712"/>
      <c r="R105" s="702"/>
      <c r="S105" s="712"/>
      <c r="T105" s="702"/>
      <c r="U105" s="712"/>
      <c r="V105" s="702"/>
      <c r="W105" s="712"/>
      <c r="X105" s="702"/>
      <c r="Y105" s="703"/>
      <c r="Z105" s="696"/>
      <c r="AA105" s="696"/>
      <c r="AB105" s="696"/>
    </row>
    <row r="106" spans="1:45" ht="15.5" customHeight="1" thickBot="1">
      <c r="A106" s="469"/>
      <c r="B106" s="714"/>
      <c r="C106" s="702"/>
      <c r="D106" s="714"/>
      <c r="E106" s="702"/>
      <c r="F106" s="714"/>
      <c r="G106" s="702"/>
      <c r="H106" s="702"/>
      <c r="I106" s="714"/>
      <c r="J106" s="702"/>
      <c r="K106" s="714"/>
      <c r="L106" s="702"/>
      <c r="M106" s="714"/>
      <c r="N106" s="702"/>
      <c r="O106" s="714"/>
      <c r="P106" s="702"/>
      <c r="Q106" s="714"/>
      <c r="R106" s="702"/>
      <c r="S106" s="714"/>
      <c r="T106" s="702"/>
      <c r="U106" s="714"/>
      <c r="V106" s="702"/>
      <c r="W106" s="714"/>
      <c r="X106" s="702"/>
      <c r="Y106" s="703"/>
      <c r="Z106" s="696"/>
      <c r="AA106" s="696"/>
      <c r="AB106" s="696"/>
    </row>
    <row r="107" spans="1:45" ht="100" customHeight="1" thickBot="1">
      <c r="A107" s="469"/>
      <c r="B107" s="691"/>
      <c r="C107" s="707">
        <v>341.66800000000001</v>
      </c>
      <c r="D107" s="691"/>
      <c r="E107" s="707">
        <v>425.863</v>
      </c>
      <c r="F107" s="691"/>
      <c r="G107" s="707">
        <v>370.45</v>
      </c>
      <c r="H107" s="707">
        <v>397.61</v>
      </c>
      <c r="I107" s="691"/>
      <c r="J107" s="707">
        <v>413.4</v>
      </c>
      <c r="K107" s="691"/>
      <c r="L107" s="690">
        <v>423.65</v>
      </c>
      <c r="M107" s="691"/>
      <c r="N107" s="707">
        <v>415.97</v>
      </c>
      <c r="O107" s="691"/>
      <c r="P107" s="707">
        <v>415.35</v>
      </c>
      <c r="Q107" s="691"/>
      <c r="R107" s="690">
        <v>394.875</v>
      </c>
      <c r="S107" s="1133" t="s">
        <v>390</v>
      </c>
      <c r="T107" s="690">
        <v>429.62</v>
      </c>
      <c r="U107" s="691"/>
      <c r="V107" s="690">
        <v>381.90499999999997</v>
      </c>
      <c r="W107" s="691"/>
      <c r="X107" s="690">
        <v>405.26</v>
      </c>
      <c r="Y107" s="703"/>
      <c r="Z107" s="696"/>
      <c r="AA107" s="696"/>
      <c r="AB107" s="696"/>
      <c r="AH107" s="896">
        <f>COUNTIF(B107:W107,"U/P")</f>
        <v>1</v>
      </c>
      <c r="AI107" s="896">
        <f>COUNTIF(C107:X107,"ROW")</f>
        <v>0</v>
      </c>
      <c r="AJ107" s="896">
        <f>COUNTIF(D107:Y107,"C")</f>
        <v>0</v>
      </c>
      <c r="AM107" s="896">
        <f>COUNTIF(B107:AB107,"U/P")</f>
        <v>1</v>
      </c>
      <c r="AN107" s="896">
        <f>COUNTIF(C107:AC107,"ROW")</f>
        <v>0</v>
      </c>
      <c r="AO107" s="896">
        <f>COUNTIF(D107:AD107,"C")</f>
        <v>0</v>
      </c>
    </row>
    <row r="108" spans="1:45" ht="34" thickBot="1">
      <c r="A108" s="469"/>
      <c r="B108" s="710"/>
      <c r="C108" s="702"/>
      <c r="D108" s="710"/>
      <c r="E108" s="702"/>
      <c r="F108" s="710"/>
      <c r="G108" s="702"/>
      <c r="H108" s="702"/>
      <c r="I108" s="710"/>
      <c r="J108" s="702"/>
      <c r="K108" s="710"/>
      <c r="L108" s="702"/>
      <c r="M108" s="710"/>
      <c r="N108" s="702"/>
      <c r="O108" s="710"/>
      <c r="P108" s="702"/>
      <c r="Q108" s="710"/>
      <c r="R108" s="702"/>
      <c r="S108" s="784" t="s">
        <v>228</v>
      </c>
      <c r="T108" s="702"/>
      <c r="U108" s="710"/>
      <c r="V108" s="702"/>
      <c r="W108" s="710"/>
      <c r="X108" s="702"/>
      <c r="Y108" s="703"/>
      <c r="Z108" s="696"/>
      <c r="AA108" s="696"/>
      <c r="AB108" s="696"/>
    </row>
    <row r="109" spans="1:45" ht="33.5">
      <c r="A109" s="469"/>
      <c r="B109" s="698" t="s">
        <v>182</v>
      </c>
      <c r="C109" s="698"/>
      <c r="D109" s="698" t="s">
        <v>242</v>
      </c>
      <c r="E109" s="698"/>
      <c r="F109" s="699" t="s">
        <v>143</v>
      </c>
      <c r="G109" s="698"/>
      <c r="H109" s="698"/>
      <c r="I109" s="699" t="s">
        <v>119</v>
      </c>
      <c r="J109" s="698"/>
      <c r="K109" s="698" t="s">
        <v>248</v>
      </c>
      <c r="L109" s="698"/>
      <c r="M109" s="698" t="s">
        <v>182</v>
      </c>
      <c r="N109" s="698"/>
      <c r="O109" s="698" t="s">
        <v>248</v>
      </c>
      <c r="P109" s="698"/>
      <c r="Q109" s="699" t="s">
        <v>137</v>
      </c>
      <c r="R109" s="698"/>
      <c r="S109" s="698" t="s">
        <v>248</v>
      </c>
      <c r="T109" s="698"/>
      <c r="U109" s="728" t="s">
        <v>1273</v>
      </c>
      <c r="V109" s="698"/>
      <c r="W109" s="698" t="s">
        <v>248</v>
      </c>
      <c r="X109" s="702"/>
      <c r="Y109" s="703"/>
      <c r="Z109" s="696"/>
      <c r="AA109" s="696"/>
      <c r="AB109" s="696"/>
    </row>
    <row r="110" spans="1:45" ht="69" customHeight="1">
      <c r="A110" s="469"/>
      <c r="B110" s="698"/>
      <c r="C110" s="698"/>
      <c r="D110" s="698"/>
      <c r="E110" s="698"/>
      <c r="F110" s="698"/>
      <c r="G110" s="698"/>
      <c r="H110" s="698"/>
      <c r="I110" s="698"/>
      <c r="J110" s="698"/>
      <c r="K110" s="698"/>
      <c r="L110" s="698"/>
      <c r="M110" s="729" t="s">
        <v>1686</v>
      </c>
      <c r="N110" s="698"/>
      <c r="O110" s="698"/>
      <c r="P110" s="698"/>
      <c r="Q110" s="698"/>
      <c r="R110" s="729" t="s">
        <v>1622</v>
      </c>
      <c r="S110" s="698"/>
      <c r="T110" s="698"/>
      <c r="U110" s="698"/>
      <c r="V110" s="698"/>
      <c r="W110" s="1506" t="s">
        <v>1621</v>
      </c>
      <c r="X110" s="1506"/>
      <c r="Y110" s="1506"/>
      <c r="Z110" s="729"/>
      <c r="AA110" s="698"/>
      <c r="AB110" s="730"/>
      <c r="AC110" s="702"/>
      <c r="AD110" s="703"/>
      <c r="AE110" s="696"/>
      <c r="AF110" s="696"/>
      <c r="AG110" s="696"/>
    </row>
    <row r="111" spans="1:45" ht="41" customHeight="1">
      <c r="A111" s="1501" t="s">
        <v>1518</v>
      </c>
      <c r="B111" s="1502"/>
      <c r="C111" s="1502"/>
      <c r="D111" s="1502"/>
      <c r="E111" s="1502"/>
      <c r="F111" s="1502"/>
      <c r="G111" s="1502"/>
      <c r="H111" s="1502"/>
      <c r="I111" s="1502"/>
      <c r="J111" s="1502"/>
      <c r="K111" s="1502"/>
      <c r="L111" s="1502"/>
      <c r="M111" s="1502"/>
      <c r="N111" s="1502"/>
      <c r="O111" s="1502"/>
      <c r="P111" s="1502"/>
      <c r="Q111" s="1502"/>
      <c r="R111" s="1502"/>
      <c r="S111" s="1502"/>
      <c r="T111" s="1502"/>
      <c r="U111" s="1502"/>
      <c r="V111" s="1502"/>
      <c r="W111" s="1502"/>
      <c r="X111" s="1502"/>
      <c r="Y111" s="1502"/>
      <c r="Z111" s="1502"/>
      <c r="AA111" s="1502"/>
      <c r="AB111" s="1502"/>
      <c r="AC111" s="1502"/>
      <c r="AD111" s="1502"/>
      <c r="AE111" s="1502"/>
      <c r="AF111" s="1502"/>
      <c r="AG111" s="1502"/>
      <c r="AH111" s="1502"/>
      <c r="AI111" s="907"/>
      <c r="AJ111" s="907"/>
      <c r="AK111" s="907"/>
      <c r="AL111" s="907"/>
    </row>
    <row r="112" spans="1:45" ht="67" customHeight="1">
      <c r="A112" s="469"/>
      <c r="B112" s="684" t="s">
        <v>685</v>
      </c>
      <c r="C112" s="683"/>
      <c r="D112" s="684" t="s">
        <v>686</v>
      </c>
      <c r="E112" s="683"/>
      <c r="F112" s="684" t="s">
        <v>687</v>
      </c>
      <c r="G112" s="683"/>
      <c r="H112" s="684" t="s">
        <v>688</v>
      </c>
      <c r="I112" s="683"/>
      <c r="J112" s="684" t="s">
        <v>689</v>
      </c>
      <c r="K112" s="731" t="s">
        <v>1512</v>
      </c>
      <c r="L112" s="1505" t="s">
        <v>690</v>
      </c>
      <c r="M112" s="1505"/>
      <c r="N112" s="684" t="s">
        <v>691</v>
      </c>
      <c r="O112" s="683"/>
      <c r="P112" s="1505" t="s">
        <v>692</v>
      </c>
      <c r="Q112" s="1505"/>
      <c r="R112" s="684" t="s">
        <v>693</v>
      </c>
      <c r="S112" s="683"/>
      <c r="T112" s="684" t="s">
        <v>694</v>
      </c>
      <c r="U112" s="683"/>
      <c r="V112" s="684" t="s">
        <v>695</v>
      </c>
      <c r="W112" s="683"/>
      <c r="X112" s="684" t="s">
        <v>696</v>
      </c>
      <c r="Y112" s="683"/>
      <c r="Z112" s="1505" t="s">
        <v>697</v>
      </c>
      <c r="AA112" s="1505"/>
      <c r="AB112" s="684" t="s">
        <v>698</v>
      </c>
      <c r="AC112" s="702"/>
      <c r="AD112" s="703"/>
      <c r="AE112" s="696"/>
      <c r="AF112" s="696"/>
      <c r="AG112" s="696"/>
    </row>
    <row r="113" spans="1:41" ht="33.5">
      <c r="A113" s="469"/>
      <c r="B113" s="712"/>
      <c r="C113" s="702"/>
      <c r="D113" s="712"/>
      <c r="E113" s="702"/>
      <c r="F113" s="712"/>
      <c r="G113" s="702"/>
      <c r="H113" s="712"/>
      <c r="I113" s="702"/>
      <c r="J113" s="712"/>
      <c r="K113" s="702"/>
      <c r="L113" s="712"/>
      <c r="M113" s="702"/>
      <c r="N113" s="712"/>
      <c r="O113" s="702"/>
      <c r="P113" s="712"/>
      <c r="Q113" s="702"/>
      <c r="R113" s="712"/>
      <c r="S113" s="702"/>
      <c r="T113" s="712"/>
      <c r="U113" s="702"/>
      <c r="V113" s="712"/>
      <c r="W113" s="702"/>
      <c r="X113" s="712"/>
      <c r="Y113" s="702"/>
      <c r="Z113" s="712"/>
      <c r="AA113" s="702"/>
      <c r="AB113" s="712"/>
      <c r="AC113" s="702"/>
      <c r="AD113" s="703"/>
      <c r="AE113" s="696"/>
      <c r="AF113" s="696"/>
      <c r="AG113" s="696"/>
    </row>
    <row r="114" spans="1:41" ht="14" customHeight="1" thickBot="1">
      <c r="A114" s="469"/>
      <c r="B114" s="714"/>
      <c r="C114" s="702"/>
      <c r="D114" s="714"/>
      <c r="E114" s="702"/>
      <c r="F114" s="714"/>
      <c r="G114" s="702"/>
      <c r="H114" s="714"/>
      <c r="I114" s="702"/>
      <c r="J114" s="714"/>
      <c r="K114" s="702"/>
      <c r="L114" s="714"/>
      <c r="M114" s="702"/>
      <c r="N114" s="714"/>
      <c r="O114" s="702"/>
      <c r="P114" s="714"/>
      <c r="Q114" s="702"/>
      <c r="R114" s="714"/>
      <c r="S114" s="702"/>
      <c r="T114" s="714"/>
      <c r="U114" s="702"/>
      <c r="V114" s="714"/>
      <c r="W114" s="702"/>
      <c r="X114" s="714"/>
      <c r="Y114" s="702"/>
      <c r="Z114" s="714"/>
      <c r="AA114" s="702"/>
      <c r="AB114" s="714"/>
      <c r="AC114" s="702"/>
      <c r="AD114" s="703"/>
      <c r="AE114" s="696"/>
      <c r="AF114" s="696"/>
      <c r="AG114" s="696"/>
    </row>
    <row r="115" spans="1:41" ht="100" customHeight="1" thickBot="1">
      <c r="A115" s="469"/>
      <c r="B115" s="691"/>
      <c r="C115" s="707">
        <v>338.15600000000001</v>
      </c>
      <c r="D115" s="691"/>
      <c r="E115" s="707">
        <v>288.303</v>
      </c>
      <c r="F115" s="691"/>
      <c r="G115" s="707">
        <v>297.14999999999998</v>
      </c>
      <c r="H115" s="691"/>
      <c r="I115" s="707">
        <v>195.90299999999999</v>
      </c>
      <c r="J115" s="691"/>
      <c r="K115" s="707">
        <v>249.66</v>
      </c>
      <c r="L115" s="691"/>
      <c r="M115" s="707">
        <v>374.48</v>
      </c>
      <c r="N115" s="691"/>
      <c r="O115" s="707">
        <v>430.3</v>
      </c>
      <c r="P115" s="691"/>
      <c r="Q115" s="707">
        <v>404.38600000000002</v>
      </c>
      <c r="R115" s="691"/>
      <c r="S115" s="707">
        <v>341.423</v>
      </c>
      <c r="T115" s="691"/>
      <c r="U115" s="707">
        <v>305.40100000000001</v>
      </c>
      <c r="V115" s="691"/>
      <c r="W115" s="707">
        <v>319.98099999999999</v>
      </c>
      <c r="X115" s="691"/>
      <c r="Y115" s="707">
        <v>345.62099999999998</v>
      </c>
      <c r="Z115" s="691"/>
      <c r="AA115" s="707">
        <v>223.15100000000001</v>
      </c>
      <c r="AB115" s="691"/>
      <c r="AC115" s="707">
        <v>393.81700000000001</v>
      </c>
      <c r="AD115" s="703"/>
      <c r="AE115" s="696"/>
      <c r="AF115" s="696"/>
      <c r="AG115" s="696"/>
      <c r="AM115" s="896">
        <f>COUNTIF(B115:AB115,"U/P")</f>
        <v>0</v>
      </c>
      <c r="AN115" s="896">
        <f>COUNTIF(C115:AC115,"ROW")</f>
        <v>0</v>
      </c>
      <c r="AO115" s="896">
        <f>COUNTIF(D115:AD115,"C")</f>
        <v>0</v>
      </c>
    </row>
    <row r="116" spans="1:41" ht="34" thickBot="1">
      <c r="A116" s="469"/>
      <c r="B116" s="710"/>
      <c r="C116" s="702"/>
      <c r="D116" s="710"/>
      <c r="E116" s="702"/>
      <c r="F116" s="710"/>
      <c r="G116" s="702"/>
      <c r="H116" s="710"/>
      <c r="I116" s="702"/>
      <c r="J116" s="710"/>
      <c r="K116" s="702"/>
      <c r="L116" s="710"/>
      <c r="M116" s="702"/>
      <c r="N116" s="710"/>
      <c r="O116" s="702"/>
      <c r="P116" s="710"/>
      <c r="Q116" s="702"/>
      <c r="R116" s="710"/>
      <c r="S116" s="702"/>
      <c r="T116" s="710"/>
      <c r="U116" s="702"/>
      <c r="V116" s="710"/>
      <c r="W116" s="702"/>
      <c r="X116" s="710"/>
      <c r="Y116" s="702"/>
      <c r="Z116" s="710"/>
      <c r="AA116" s="702"/>
      <c r="AB116" s="710"/>
      <c r="AC116" s="702"/>
      <c r="AD116" s="703"/>
      <c r="AE116" s="696"/>
      <c r="AF116" s="696"/>
      <c r="AG116" s="696"/>
    </row>
    <row r="117" spans="1:41" ht="33.5">
      <c r="A117" s="469"/>
      <c r="B117" s="698" t="s">
        <v>248</v>
      </c>
      <c r="C117" s="698"/>
      <c r="D117" s="698" t="s">
        <v>182</v>
      </c>
      <c r="E117" s="698"/>
      <c r="F117" s="698" t="s">
        <v>185</v>
      </c>
      <c r="G117" s="698"/>
      <c r="H117" s="698" t="s">
        <v>182</v>
      </c>
      <c r="I117" s="698"/>
      <c r="J117" s="699" t="s">
        <v>128</v>
      </c>
      <c r="K117" s="698"/>
      <c r="L117" s="699" t="s">
        <v>132</v>
      </c>
      <c r="M117" s="698"/>
      <c r="N117" s="698" t="s">
        <v>248</v>
      </c>
      <c r="O117" s="698"/>
      <c r="P117" s="699" t="s">
        <v>147</v>
      </c>
      <c r="Q117" s="698"/>
      <c r="R117" s="698" t="s">
        <v>182</v>
      </c>
      <c r="S117" s="698"/>
      <c r="T117" s="698" t="s">
        <v>185</v>
      </c>
      <c r="U117" s="698"/>
      <c r="V117" s="698" t="s">
        <v>182</v>
      </c>
      <c r="W117" s="698"/>
      <c r="X117" s="698" t="s">
        <v>242</v>
      </c>
      <c r="Y117" s="698"/>
      <c r="Z117" s="699" t="s">
        <v>143</v>
      </c>
      <c r="AA117" s="698"/>
      <c r="AB117" s="699" t="s">
        <v>147</v>
      </c>
      <c r="AC117" s="702"/>
      <c r="AD117" s="703"/>
      <c r="AE117" s="696"/>
      <c r="AF117" s="696"/>
      <c r="AG117" s="696"/>
    </row>
    <row r="118" spans="1:41" ht="37.5" customHeight="1">
      <c r="A118" s="729" t="s">
        <v>1621</v>
      </c>
      <c r="C118" s="702"/>
      <c r="D118" s="729" t="s">
        <v>366</v>
      </c>
      <c r="E118" s="702"/>
      <c r="F118" s="729" t="s">
        <v>1623</v>
      </c>
      <c r="G118" s="702"/>
      <c r="H118" s="729" t="s">
        <v>366</v>
      </c>
      <c r="I118" s="702"/>
      <c r="J118" s="720"/>
      <c r="K118" s="702"/>
      <c r="L118" s="729" t="s">
        <v>1524</v>
      </c>
      <c r="M118" s="702"/>
      <c r="N118" s="729" t="s">
        <v>1524</v>
      </c>
      <c r="O118" s="702"/>
      <c r="P118" s="720"/>
      <c r="Q118" s="702"/>
      <c r="R118" s="720"/>
      <c r="S118" s="702"/>
      <c r="T118" s="720"/>
      <c r="U118" s="702"/>
      <c r="V118" s="720"/>
      <c r="W118" s="702"/>
      <c r="X118" s="720"/>
      <c r="Y118" s="702"/>
      <c r="Z118" s="720"/>
      <c r="AA118" s="702"/>
      <c r="AB118" s="720"/>
      <c r="AC118" s="702"/>
      <c r="AD118" s="703"/>
      <c r="AE118" s="696"/>
      <c r="AF118" s="696"/>
      <c r="AG118" s="696"/>
    </row>
    <row r="119" spans="1:41" ht="35" customHeight="1">
      <c r="A119" s="1501" t="s">
        <v>1518</v>
      </c>
      <c r="B119" s="1502"/>
      <c r="C119" s="1502"/>
      <c r="D119" s="1502"/>
      <c r="E119" s="1502"/>
      <c r="F119" s="1502"/>
      <c r="G119" s="1502"/>
      <c r="H119" s="1502"/>
      <c r="I119" s="1502"/>
      <c r="J119" s="1502"/>
      <c r="K119" s="1502"/>
      <c r="L119" s="1502"/>
      <c r="M119" s="1502"/>
      <c r="N119" s="1502"/>
      <c r="O119" s="1502"/>
      <c r="P119" s="1502"/>
      <c r="Q119" s="1500" t="s">
        <v>1714</v>
      </c>
      <c r="R119" s="1500"/>
      <c r="S119" s="1500"/>
      <c r="T119" s="1500"/>
      <c r="U119" s="1500"/>
      <c r="V119" s="1500"/>
      <c r="W119" s="1500"/>
      <c r="X119" s="1500"/>
      <c r="Y119" s="1500"/>
      <c r="Z119" s="1500"/>
      <c r="AA119" s="1500"/>
      <c r="AB119" s="1500"/>
      <c r="AC119" s="1500"/>
      <c r="AD119" s="1500"/>
      <c r="AE119" s="1500"/>
      <c r="AF119" s="1500"/>
      <c r="AG119" s="1067"/>
      <c r="AH119" s="1067"/>
      <c r="AI119" s="910"/>
      <c r="AJ119" s="910"/>
      <c r="AK119" s="910"/>
      <c r="AL119" s="910"/>
    </row>
    <row r="120" spans="1:41" ht="31" customHeight="1">
      <c r="A120" s="469"/>
      <c r="B120" s="684" t="s">
        <v>699</v>
      </c>
      <c r="C120" s="683"/>
      <c r="D120" s="684" t="s">
        <v>700</v>
      </c>
      <c r="E120" s="683"/>
      <c r="F120" s="684" t="s">
        <v>701</v>
      </c>
      <c r="G120" s="683"/>
      <c r="H120" s="684" t="s">
        <v>702</v>
      </c>
      <c r="I120" s="683"/>
      <c r="J120" s="684" t="s">
        <v>1275</v>
      </c>
      <c r="K120" s="683"/>
      <c r="L120" s="684" t="s">
        <v>310</v>
      </c>
      <c r="M120" s="683"/>
      <c r="N120" s="684" t="s">
        <v>272</v>
      </c>
      <c r="O120" s="683"/>
      <c r="P120" s="684" t="s">
        <v>273</v>
      </c>
      <c r="Q120" s="683"/>
      <c r="R120" s="684" t="s">
        <v>311</v>
      </c>
      <c r="S120" s="683"/>
      <c r="T120" s="684" t="s">
        <v>312</v>
      </c>
      <c r="U120" s="683"/>
      <c r="V120" s="684" t="s">
        <v>313</v>
      </c>
      <c r="W120" s="683"/>
      <c r="X120" s="684" t="s">
        <v>314</v>
      </c>
      <c r="Y120" s="685" t="s">
        <v>1513</v>
      </c>
      <c r="Z120" s="684" t="s">
        <v>315</v>
      </c>
      <c r="AA120" s="683"/>
      <c r="AB120" s="684" t="s">
        <v>316</v>
      </c>
      <c r="AC120" s="702"/>
      <c r="AD120" s="720"/>
      <c r="AE120" s="723"/>
      <c r="AF120" s="723"/>
      <c r="AG120" s="723"/>
      <c r="AH120" s="720"/>
      <c r="AI120" s="720"/>
      <c r="AJ120" s="720"/>
      <c r="AK120" s="720"/>
      <c r="AL120" s="720"/>
    </row>
    <row r="121" spans="1:41" ht="33.5">
      <c r="A121" s="469"/>
      <c r="B121" s="712"/>
      <c r="C121" s="702"/>
      <c r="D121" s="712"/>
      <c r="E121" s="702"/>
      <c r="F121" s="712"/>
      <c r="G121" s="702"/>
      <c r="H121" s="712"/>
      <c r="I121" s="702"/>
      <c r="J121" s="712"/>
      <c r="K121" s="702"/>
      <c r="L121" s="712"/>
      <c r="M121" s="702"/>
      <c r="N121" s="712"/>
      <c r="O121" s="702"/>
      <c r="P121" s="712"/>
      <c r="Q121" s="702"/>
      <c r="R121" s="712"/>
      <c r="S121" s="702"/>
      <c r="T121" s="712"/>
      <c r="U121" s="702"/>
      <c r="V121" s="712"/>
      <c r="W121" s="702"/>
      <c r="X121" s="712"/>
      <c r="Y121" s="713"/>
      <c r="Z121" s="712"/>
      <c r="AA121" s="713"/>
      <c r="AB121" s="712"/>
      <c r="AC121" s="702"/>
      <c r="AD121" s="720"/>
      <c r="AE121" s="723"/>
      <c r="AF121" s="723"/>
      <c r="AG121" s="723"/>
      <c r="AH121" s="720"/>
      <c r="AI121" s="720"/>
      <c r="AJ121" s="720"/>
      <c r="AK121" s="720"/>
      <c r="AL121" s="720"/>
    </row>
    <row r="122" spans="1:41" ht="13" customHeight="1" thickBot="1">
      <c r="A122" s="469"/>
      <c r="B122" s="714"/>
      <c r="C122" s="702"/>
      <c r="D122" s="714"/>
      <c r="E122" s="702"/>
      <c r="F122" s="714"/>
      <c r="G122" s="702"/>
      <c r="H122" s="714"/>
      <c r="I122" s="702"/>
      <c r="J122" s="714"/>
      <c r="K122" s="702"/>
      <c r="L122" s="714"/>
      <c r="M122" s="702"/>
      <c r="N122" s="714"/>
      <c r="O122" s="702"/>
      <c r="P122" s="714"/>
      <c r="Q122" s="702"/>
      <c r="R122" s="714"/>
      <c r="S122" s="702"/>
      <c r="T122" s="714"/>
      <c r="U122" s="702"/>
      <c r="V122" s="714"/>
      <c r="W122" s="702"/>
      <c r="X122" s="714"/>
      <c r="Y122" s="702"/>
      <c r="Z122" s="714"/>
      <c r="AA122" s="702"/>
      <c r="AB122" s="714"/>
      <c r="AC122" s="702"/>
      <c r="AD122" s="720"/>
      <c r="AE122" s="723"/>
      <c r="AF122" s="723"/>
      <c r="AG122" s="723"/>
      <c r="AH122" s="720"/>
      <c r="AI122" s="720"/>
      <c r="AJ122" s="720"/>
      <c r="AK122" s="720"/>
      <c r="AL122" s="720"/>
    </row>
    <row r="123" spans="1:41" ht="100" customHeight="1" thickBot="1">
      <c r="A123" s="469"/>
      <c r="B123" s="691"/>
      <c r="C123" s="707">
        <v>435.13600000000002</v>
      </c>
      <c r="D123" s="691" t="s">
        <v>390</v>
      </c>
      <c r="E123" s="707">
        <v>403.209</v>
      </c>
      <c r="F123" s="733"/>
      <c r="G123" s="707">
        <v>422.55399999999997</v>
      </c>
      <c r="H123" s="691"/>
      <c r="I123" s="707">
        <v>353.48399999999998</v>
      </c>
      <c r="J123" s="691"/>
      <c r="K123" s="707">
        <v>274.89999999999998</v>
      </c>
      <c r="L123" s="691"/>
      <c r="M123" s="707">
        <v>465.03300000000002</v>
      </c>
      <c r="N123" s="732"/>
      <c r="O123" s="707">
        <v>373.98</v>
      </c>
      <c r="P123" s="733"/>
      <c r="Q123" s="707">
        <v>416.86399999999998</v>
      </c>
      <c r="R123" s="733"/>
      <c r="S123" s="707">
        <v>381.01900000000001</v>
      </c>
      <c r="T123" s="691"/>
      <c r="U123" s="707">
        <v>391.52</v>
      </c>
      <c r="V123" s="691"/>
      <c r="W123" s="707">
        <v>374.93</v>
      </c>
      <c r="X123" s="691"/>
      <c r="Y123" s="690">
        <v>248.57</v>
      </c>
      <c r="Z123" s="691"/>
      <c r="AA123" s="707">
        <v>384.17</v>
      </c>
      <c r="AB123" s="691"/>
      <c r="AC123" s="690">
        <v>330.76</v>
      </c>
      <c r="AD123" s="720"/>
      <c r="AE123" s="723"/>
      <c r="AF123" s="723"/>
      <c r="AG123" s="723"/>
      <c r="AH123" s="720"/>
      <c r="AI123" s="720"/>
      <c r="AJ123" s="720"/>
      <c r="AK123" s="720"/>
      <c r="AL123" s="720"/>
      <c r="AM123" s="896">
        <f>COUNTIF(B123:AB123,"U/P")</f>
        <v>1</v>
      </c>
      <c r="AN123" s="896">
        <f>COUNTIF(C123:AC123,"ROW")</f>
        <v>0</v>
      </c>
      <c r="AO123" s="896">
        <f>COUNTIF(D123:AD123,"C")</f>
        <v>0</v>
      </c>
    </row>
    <row r="124" spans="1:41" ht="34" thickBot="1">
      <c r="A124" s="469"/>
      <c r="B124" s="710"/>
      <c r="C124" s="702"/>
      <c r="D124" s="784" t="s">
        <v>228</v>
      </c>
      <c r="E124" s="702"/>
      <c r="F124" s="710"/>
      <c r="G124" s="702"/>
      <c r="H124" s="710"/>
      <c r="I124" s="702"/>
      <c r="J124" s="710"/>
      <c r="K124" s="702"/>
      <c r="L124" s="710"/>
      <c r="M124" s="702"/>
      <c r="N124" s="710"/>
      <c r="O124" s="702"/>
      <c r="P124" s="710"/>
      <c r="Q124" s="702"/>
      <c r="R124" s="710"/>
      <c r="S124" s="702"/>
      <c r="T124" s="710"/>
      <c r="U124" s="702"/>
      <c r="V124" s="710"/>
      <c r="W124" s="702"/>
      <c r="X124" s="710"/>
      <c r="Y124" s="702"/>
      <c r="Z124" s="710"/>
      <c r="AA124" s="702"/>
      <c r="AB124" s="710"/>
      <c r="AC124" s="702"/>
      <c r="AD124" s="720"/>
      <c r="AE124" s="723"/>
      <c r="AF124" s="723"/>
      <c r="AG124" s="723"/>
      <c r="AH124" s="720"/>
      <c r="AI124" s="720"/>
      <c r="AJ124" s="720"/>
      <c r="AK124" s="720"/>
      <c r="AL124" s="720"/>
    </row>
    <row r="125" spans="1:41" ht="33.5">
      <c r="A125" s="469"/>
      <c r="B125" s="715" t="s">
        <v>248</v>
      </c>
      <c r="C125" s="698"/>
      <c r="D125" s="715" t="s">
        <v>248</v>
      </c>
      <c r="E125" s="698"/>
      <c r="F125" s="699" t="s">
        <v>143</v>
      </c>
      <c r="G125" s="698"/>
      <c r="H125" s="699" t="s">
        <v>143</v>
      </c>
      <c r="I125" s="698"/>
      <c r="J125" s="699" t="s">
        <v>147</v>
      </c>
      <c r="K125" s="698"/>
      <c r="L125" s="699" t="s">
        <v>117</v>
      </c>
      <c r="M125" s="698"/>
      <c r="N125" s="715" t="s">
        <v>185</v>
      </c>
      <c r="O125" s="698"/>
      <c r="P125" s="715" t="s">
        <v>182</v>
      </c>
      <c r="Q125" s="698"/>
      <c r="R125" s="715" t="s">
        <v>185</v>
      </c>
      <c r="S125" s="698"/>
      <c r="T125" s="699" t="s">
        <v>119</v>
      </c>
      <c r="U125" s="698"/>
      <c r="V125" s="715" t="s">
        <v>242</v>
      </c>
      <c r="W125" s="698"/>
      <c r="X125" s="699" t="s">
        <v>125</v>
      </c>
      <c r="Y125" s="698"/>
      <c r="Z125" s="699" t="s">
        <v>115</v>
      </c>
      <c r="AA125" s="698"/>
      <c r="AB125" s="715" t="s">
        <v>185</v>
      </c>
      <c r="AC125" s="702"/>
      <c r="AD125" s="720"/>
      <c r="AE125" s="723"/>
      <c r="AF125" s="723"/>
      <c r="AG125" s="723"/>
      <c r="AH125" s="720"/>
      <c r="AI125" s="720"/>
      <c r="AJ125" s="720"/>
      <c r="AK125" s="720"/>
      <c r="AL125" s="720"/>
    </row>
    <row r="126" spans="1:41" ht="33.5">
      <c r="A126" s="469"/>
      <c r="B126" s="715"/>
      <c r="C126" s="698"/>
      <c r="D126" s="715"/>
      <c r="E126" s="698"/>
      <c r="F126" s="715"/>
      <c r="G126" s="698"/>
      <c r="H126" s="715"/>
      <c r="I126" s="698"/>
      <c r="J126" s="729" t="s">
        <v>1524</v>
      </c>
      <c r="K126" s="698"/>
      <c r="L126" s="715"/>
      <c r="M126" s="698"/>
      <c r="N126" s="715"/>
      <c r="O126" s="698"/>
      <c r="P126" s="715"/>
      <c r="Q126" s="698"/>
      <c r="R126" s="715"/>
      <c r="S126" s="698"/>
      <c r="T126" s="734" t="s">
        <v>1687</v>
      </c>
      <c r="U126" s="698"/>
      <c r="V126" s="734" t="s">
        <v>1624</v>
      </c>
      <c r="W126" s="698"/>
      <c r="X126" s="715"/>
      <c r="Y126" s="698"/>
      <c r="Z126" s="715"/>
      <c r="AA126" s="698"/>
      <c r="AB126" s="715"/>
      <c r="AC126" s="702"/>
      <c r="AD126" s="720"/>
      <c r="AE126" s="723"/>
      <c r="AF126" s="723"/>
      <c r="AG126" s="723"/>
      <c r="AH126" s="720"/>
      <c r="AI126" s="720"/>
      <c r="AJ126" s="720"/>
      <c r="AK126" s="720"/>
      <c r="AL126" s="720"/>
    </row>
    <row r="127" spans="1:41" ht="38.5" customHeight="1">
      <c r="A127" s="1510" t="s">
        <v>1715</v>
      </c>
      <c r="B127" s="1511"/>
      <c r="C127" s="1511"/>
      <c r="D127" s="1511"/>
      <c r="E127" s="1511"/>
      <c r="F127" s="1512"/>
      <c r="G127" s="1492" t="s">
        <v>1525</v>
      </c>
      <c r="H127" s="1493"/>
      <c r="I127" s="1493"/>
      <c r="J127" s="1493"/>
      <c r="K127" s="1493"/>
      <c r="L127" s="1493"/>
      <c r="M127" s="1493"/>
      <c r="N127" s="1493"/>
      <c r="O127" s="1513"/>
      <c r="P127" s="735"/>
      <c r="Q127" s="735"/>
      <c r="R127" s="735"/>
      <c r="S127" s="1502" t="s">
        <v>1518</v>
      </c>
      <c r="T127" s="1502"/>
      <c r="U127" s="1502"/>
      <c r="V127" s="1502"/>
      <c r="W127" s="1502"/>
      <c r="X127" s="1502"/>
      <c r="Y127" s="1502"/>
      <c r="Z127" s="1502"/>
      <c r="AA127" s="1502"/>
      <c r="AB127" s="1502"/>
      <c r="AC127" s="1502"/>
      <c r="AD127" s="1502"/>
      <c r="AE127" s="1502"/>
      <c r="AF127" s="1502"/>
      <c r="AG127" s="1502"/>
      <c r="AH127" s="1502"/>
      <c r="AI127" s="907"/>
      <c r="AJ127" s="907"/>
      <c r="AK127" s="907"/>
      <c r="AL127" s="907"/>
    </row>
    <row r="128" spans="1:41" ht="14" customHeight="1">
      <c r="B128" s="736"/>
      <c r="C128" s="705"/>
      <c r="D128" s="736"/>
      <c r="E128" s="705"/>
      <c r="F128" s="736"/>
      <c r="G128" s="705"/>
      <c r="H128" s="736"/>
      <c r="I128" s="705"/>
      <c r="J128" s="736"/>
      <c r="K128" s="705"/>
      <c r="L128" s="736"/>
      <c r="M128" s="705"/>
      <c r="N128" s="736"/>
      <c r="O128" s="705"/>
      <c r="P128" s="736"/>
      <c r="Q128" s="705"/>
      <c r="R128" s="736"/>
      <c r="S128" s="705"/>
      <c r="T128" s="736"/>
      <c r="U128" s="705"/>
      <c r="V128" s="736"/>
      <c r="W128" s="705"/>
      <c r="X128" s="736"/>
      <c r="Y128" s="705"/>
      <c r="Z128" s="736"/>
      <c r="AA128" s="705"/>
      <c r="AB128" s="736"/>
      <c r="AC128" s="705"/>
      <c r="AD128" s="703"/>
      <c r="AE128" s="696"/>
      <c r="AF128" s="696"/>
      <c r="AG128" s="696"/>
    </row>
    <row r="129" spans="1:41" ht="67" customHeight="1">
      <c r="A129" s="469"/>
      <c r="B129" s="684" t="s">
        <v>320</v>
      </c>
      <c r="C129" s="683"/>
      <c r="D129" s="684" t="s">
        <v>321</v>
      </c>
      <c r="E129" s="683"/>
      <c r="F129" s="1505" t="s">
        <v>322</v>
      </c>
      <c r="G129" s="1505"/>
      <c r="H129" s="684" t="s">
        <v>323</v>
      </c>
      <c r="I129" s="684"/>
      <c r="J129" s="684" t="s">
        <v>324</v>
      </c>
      <c r="K129" s="683"/>
      <c r="L129" s="684" t="s">
        <v>325</v>
      </c>
      <c r="M129" s="683"/>
      <c r="N129" s="684" t="s">
        <v>326</v>
      </c>
      <c r="O129" s="683"/>
      <c r="P129" s="684" t="s">
        <v>327</v>
      </c>
      <c r="Q129" s="683"/>
      <c r="R129" s="684" t="s">
        <v>328</v>
      </c>
      <c r="S129" s="683"/>
      <c r="T129" s="1505" t="s">
        <v>329</v>
      </c>
      <c r="U129" s="1505"/>
      <c r="V129" s="1505" t="s">
        <v>333</v>
      </c>
      <c r="W129" s="1505"/>
      <c r="X129" s="684" t="s">
        <v>334</v>
      </c>
      <c r="Y129" s="683"/>
      <c r="Z129" s="684" t="s">
        <v>335</v>
      </c>
      <c r="AA129" s="683"/>
      <c r="AB129" s="684" t="s">
        <v>336</v>
      </c>
      <c r="AC129" s="702"/>
      <c r="AD129" s="703"/>
      <c r="AE129" s="696"/>
      <c r="AF129" s="696"/>
      <c r="AG129" s="696"/>
    </row>
    <row r="130" spans="1:41" ht="33.5">
      <c r="A130" s="469"/>
      <c r="B130" s="712"/>
      <c r="C130" s="713"/>
      <c r="D130" s="712"/>
      <c r="E130" s="713"/>
      <c r="F130" s="712"/>
      <c r="G130" s="713"/>
      <c r="H130" s="712"/>
      <c r="I130" s="737"/>
      <c r="J130" s="712"/>
      <c r="K130" s="738"/>
      <c r="L130" s="712"/>
      <c r="M130" s="698"/>
      <c r="N130" s="712"/>
      <c r="O130" s="702"/>
      <c r="P130" s="712"/>
      <c r="Q130" s="698"/>
      <c r="R130" s="712"/>
      <c r="S130" s="702"/>
      <c r="T130" s="712"/>
      <c r="U130" s="702"/>
      <c r="V130" s="712"/>
      <c r="W130" s="702"/>
      <c r="X130" s="712"/>
      <c r="Y130" s="698"/>
      <c r="Z130" s="712"/>
      <c r="AA130" s="698"/>
      <c r="AB130" s="712"/>
      <c r="AC130" s="702"/>
      <c r="AD130" s="703"/>
      <c r="AE130" s="696"/>
      <c r="AF130" s="696"/>
      <c r="AG130" s="696"/>
    </row>
    <row r="131" spans="1:41" ht="16.5" customHeight="1" thickBot="1">
      <c r="A131" s="469"/>
      <c r="B131" s="714"/>
      <c r="C131" s="702"/>
      <c r="D131" s="714"/>
      <c r="E131" s="702"/>
      <c r="F131" s="714"/>
      <c r="G131" s="702"/>
      <c r="H131" s="714"/>
      <c r="I131" s="702"/>
      <c r="J131" s="714"/>
      <c r="K131" s="702"/>
      <c r="L131" s="714" t="s">
        <v>71</v>
      </c>
      <c r="M131" s="702"/>
      <c r="N131" s="714"/>
      <c r="O131" s="702"/>
      <c r="P131" s="714"/>
      <c r="Q131" s="702"/>
      <c r="R131" s="714"/>
      <c r="S131" s="702"/>
      <c r="T131" s="714"/>
      <c r="U131" s="702"/>
      <c r="V131" s="714"/>
      <c r="W131" s="702"/>
      <c r="X131" s="714"/>
      <c r="Y131" s="702"/>
      <c r="Z131" s="714"/>
      <c r="AA131" s="702"/>
      <c r="AB131" s="714"/>
      <c r="AC131" s="702"/>
      <c r="AD131" s="703"/>
      <c r="AE131" s="696"/>
      <c r="AF131" s="696"/>
      <c r="AG131" s="696"/>
    </row>
    <row r="132" spans="1:41" ht="100" customHeight="1" thickBot="1">
      <c r="A132" s="469"/>
      <c r="B132" s="691" t="s">
        <v>71</v>
      </c>
      <c r="C132" s="707">
        <v>285.32</v>
      </c>
      <c r="D132" s="691"/>
      <c r="E132" s="707">
        <v>354.7</v>
      </c>
      <c r="F132" s="691"/>
      <c r="G132" s="707">
        <v>420.54</v>
      </c>
      <c r="H132" s="691"/>
      <c r="I132" s="707">
        <v>340.56</v>
      </c>
      <c r="J132" s="733"/>
      <c r="K132" s="707">
        <v>336.52</v>
      </c>
      <c r="L132" s="733"/>
      <c r="M132" s="707">
        <v>375.99</v>
      </c>
      <c r="N132" s="691"/>
      <c r="O132" s="690">
        <v>308.41000000000003</v>
      </c>
      <c r="P132" s="733"/>
      <c r="Q132" s="739">
        <v>444.84</v>
      </c>
      <c r="R132" s="733"/>
      <c r="S132" s="707">
        <v>392.02</v>
      </c>
      <c r="T132" s="733"/>
      <c r="U132" s="707">
        <v>407.803</v>
      </c>
      <c r="V132" s="733"/>
      <c r="W132" s="707">
        <v>206.06200000000001</v>
      </c>
      <c r="X132" s="733"/>
      <c r="Y132" s="690">
        <v>417.38400000000001</v>
      </c>
      <c r="Z132" s="691"/>
      <c r="AA132" s="707">
        <v>304.56400000000002</v>
      </c>
      <c r="AB132" s="691"/>
      <c r="AC132" s="690">
        <v>395.51</v>
      </c>
      <c r="AD132" s="703"/>
      <c r="AE132" s="696"/>
      <c r="AF132" s="696"/>
      <c r="AG132" s="696"/>
      <c r="AM132" s="896">
        <f>COUNTIF(B132:AB132,"U/P")</f>
        <v>0</v>
      </c>
      <c r="AN132" s="896">
        <f>COUNTIF(C132:AC132,"ROW")</f>
        <v>0</v>
      </c>
      <c r="AO132" s="896">
        <f>COUNTIF(B132:AD132,"C")</f>
        <v>1</v>
      </c>
    </row>
    <row r="133" spans="1:41" ht="34" thickBot="1">
      <c r="A133" s="469"/>
      <c r="B133" s="710"/>
      <c r="C133" s="702"/>
      <c r="D133" s="710"/>
      <c r="E133" s="702"/>
      <c r="F133" s="710"/>
      <c r="G133" s="702"/>
      <c r="H133" s="710"/>
      <c r="I133" s="702"/>
      <c r="J133" s="710"/>
      <c r="K133" s="702"/>
      <c r="L133" s="710"/>
      <c r="M133" s="702"/>
      <c r="N133" s="710"/>
      <c r="O133" s="702"/>
      <c r="P133" s="710"/>
      <c r="Q133" s="702"/>
      <c r="R133" s="710"/>
      <c r="S133" s="702"/>
      <c r="T133" s="710"/>
      <c r="U133" s="702"/>
      <c r="V133" s="710"/>
      <c r="W133" s="702"/>
      <c r="X133" s="710"/>
      <c r="Y133" s="702"/>
      <c r="Z133" s="710"/>
      <c r="AA133" s="702"/>
      <c r="AB133" s="710"/>
      <c r="AC133" s="702"/>
      <c r="AD133" s="703"/>
      <c r="AE133" s="696"/>
      <c r="AF133" s="696"/>
      <c r="AG133" s="696"/>
    </row>
    <row r="134" spans="1:41" ht="33.5">
      <c r="A134" s="469"/>
      <c r="B134" s="698" t="s">
        <v>242</v>
      </c>
      <c r="C134" s="698"/>
      <c r="D134" s="698" t="s">
        <v>185</v>
      </c>
      <c r="E134" s="698"/>
      <c r="F134" s="699" t="s">
        <v>117</v>
      </c>
      <c r="G134" s="698"/>
      <c r="H134" s="699" t="s">
        <v>132</v>
      </c>
      <c r="I134" s="698"/>
      <c r="J134" s="699" t="s">
        <v>132</v>
      </c>
      <c r="K134" s="698"/>
      <c r="L134" s="698" t="s">
        <v>182</v>
      </c>
      <c r="M134" s="698"/>
      <c r="N134" s="699" t="s">
        <v>132</v>
      </c>
      <c r="O134" s="698"/>
      <c r="P134" s="698" t="s">
        <v>242</v>
      </c>
      <c r="Q134" s="698"/>
      <c r="R134" s="698" t="s">
        <v>242</v>
      </c>
      <c r="S134" s="698"/>
      <c r="T134" s="699" t="s">
        <v>132</v>
      </c>
      <c r="U134" s="698"/>
      <c r="V134" s="699" t="s">
        <v>132</v>
      </c>
      <c r="W134" s="698"/>
      <c r="X134" s="699" t="s">
        <v>123</v>
      </c>
      <c r="Y134" s="698"/>
      <c r="Z134" s="714" t="s">
        <v>182</v>
      </c>
      <c r="AA134" s="698"/>
      <c r="AB134" s="699" t="s">
        <v>125</v>
      </c>
      <c r="AC134" s="702"/>
      <c r="AD134" s="703"/>
      <c r="AE134" s="696"/>
      <c r="AF134" s="696"/>
      <c r="AG134" s="696"/>
    </row>
    <row r="135" spans="1:41" ht="33.5">
      <c r="A135" s="469"/>
      <c r="B135" s="1046"/>
      <c r="C135" s="698"/>
      <c r="D135" s="734" t="s">
        <v>1625</v>
      </c>
      <c r="E135" s="698"/>
      <c r="F135" s="734" t="s">
        <v>1626</v>
      </c>
      <c r="G135" s="698"/>
      <c r="H135" s="734" t="s">
        <v>1688</v>
      </c>
      <c r="I135" s="698"/>
      <c r="J135" s="698"/>
      <c r="K135" s="698"/>
      <c r="L135" s="729" t="s">
        <v>1523</v>
      </c>
      <c r="M135" s="698"/>
      <c r="N135" s="698"/>
      <c r="O135" s="698"/>
      <c r="P135" s="698"/>
      <c r="Q135" s="698"/>
      <c r="R135" s="729" t="s">
        <v>1689</v>
      </c>
      <c r="S135" s="698"/>
      <c r="T135" s="729" t="s">
        <v>1689</v>
      </c>
      <c r="U135" s="729"/>
      <c r="V135" s="729"/>
      <c r="W135" s="698"/>
      <c r="X135" s="698"/>
      <c r="Y135" s="698"/>
      <c r="Z135" s="729" t="s">
        <v>366</v>
      </c>
      <c r="AA135" s="698"/>
      <c r="AB135" s="698"/>
      <c r="AC135" s="702"/>
      <c r="AD135" s="703"/>
      <c r="AE135" s="696"/>
      <c r="AF135" s="696"/>
      <c r="AG135" s="696"/>
    </row>
    <row r="136" spans="1:41" ht="36">
      <c r="A136" s="1501" t="s">
        <v>1518</v>
      </c>
      <c r="B136" s="1502"/>
      <c r="C136" s="1502"/>
      <c r="D136" s="1502"/>
      <c r="E136" s="1502"/>
      <c r="F136" s="1502"/>
      <c r="G136" s="1502"/>
      <c r="H136" s="1502"/>
      <c r="I136" s="1502"/>
      <c r="J136" s="1502"/>
      <c r="K136" s="841"/>
      <c r="L136" s="841"/>
      <c r="M136" s="841"/>
      <c r="N136" s="761" t="s">
        <v>228</v>
      </c>
      <c r="O136" s="841"/>
      <c r="P136" s="841"/>
      <c r="Q136" s="841"/>
      <c r="R136" s="841"/>
      <c r="S136" s="841"/>
      <c r="T136" s="841"/>
      <c r="U136" s="1502" t="s">
        <v>1518</v>
      </c>
      <c r="V136" s="1502"/>
      <c r="W136" s="1502"/>
      <c r="X136" s="1502"/>
      <c r="Y136" s="1502"/>
      <c r="Z136" s="1502"/>
      <c r="AA136" s="1502"/>
      <c r="AB136" s="1502"/>
      <c r="AC136" s="1502"/>
      <c r="AD136" s="1502"/>
      <c r="AE136" s="1502"/>
      <c r="AF136" s="1502"/>
      <c r="AG136" s="761"/>
      <c r="AH136" s="761"/>
      <c r="AI136" s="907"/>
      <c r="AJ136" s="907"/>
      <c r="AK136" s="907"/>
      <c r="AL136" s="907"/>
    </row>
    <row r="137" spans="1:41" ht="25" customHeight="1">
      <c r="A137" s="469"/>
      <c r="B137" s="720"/>
      <c r="C137" s="702"/>
      <c r="D137" s="720"/>
      <c r="E137" s="702"/>
      <c r="F137" s="720"/>
      <c r="G137" s="702"/>
      <c r="H137" s="720"/>
      <c r="I137" s="702"/>
      <c r="J137" s="720"/>
      <c r="K137" s="702"/>
      <c r="L137" s="720"/>
      <c r="M137" s="702"/>
      <c r="N137" s="720"/>
      <c r="O137" s="702"/>
      <c r="P137" s="720"/>
      <c r="Q137" s="702"/>
      <c r="R137" s="720"/>
      <c r="S137" s="702"/>
      <c r="T137" s="720"/>
      <c r="U137" s="702"/>
      <c r="V137" s="720"/>
      <c r="W137" s="702"/>
      <c r="X137" s="720"/>
      <c r="Y137" s="702"/>
      <c r="Z137" s="720"/>
      <c r="AA137" s="702"/>
      <c r="AB137" s="720"/>
      <c r="AC137" s="702"/>
      <c r="AD137" s="720"/>
      <c r="AE137" s="696"/>
      <c r="AF137" s="696"/>
      <c r="AG137" s="696"/>
    </row>
    <row r="138" spans="1:41" ht="33.5" customHeight="1">
      <c r="A138" s="469"/>
      <c r="B138" s="684" t="s">
        <v>337</v>
      </c>
      <c r="C138" s="683"/>
      <c r="D138" s="684" t="s">
        <v>338</v>
      </c>
      <c r="E138" s="683"/>
      <c r="F138" s="684" t="s">
        <v>339</v>
      </c>
      <c r="G138" s="740"/>
      <c r="H138" s="684" t="s">
        <v>340</v>
      </c>
      <c r="I138" s="683"/>
      <c r="J138" s="684" t="s">
        <v>281</v>
      </c>
      <c r="K138" s="683"/>
      <c r="L138" s="684" t="s">
        <v>341</v>
      </c>
      <c r="M138" s="683"/>
      <c r="N138" s="684" t="s">
        <v>346</v>
      </c>
      <c r="O138" s="683"/>
      <c r="P138" s="684" t="s">
        <v>347</v>
      </c>
      <c r="Q138" s="683"/>
      <c r="R138" s="684" t="s">
        <v>348</v>
      </c>
      <c r="S138" s="683"/>
      <c r="T138" s="684" t="s">
        <v>282</v>
      </c>
      <c r="U138" s="683"/>
      <c r="V138" s="684" t="s">
        <v>283</v>
      </c>
      <c r="W138" s="683"/>
      <c r="X138" s="684" t="s">
        <v>349</v>
      </c>
      <c r="Y138" s="683"/>
      <c r="Z138" s="684" t="s">
        <v>350</v>
      </c>
      <c r="AA138" s="683"/>
      <c r="AB138" s="684" t="s">
        <v>351</v>
      </c>
      <c r="AC138" s="702"/>
      <c r="AD138" s="720"/>
      <c r="AE138" s="696"/>
      <c r="AF138" s="696"/>
      <c r="AG138" s="696"/>
    </row>
    <row r="139" spans="1:41" ht="33.5">
      <c r="A139" s="469"/>
      <c r="B139" s="712"/>
      <c r="C139" s="702"/>
      <c r="D139" s="712"/>
      <c r="E139" s="698"/>
      <c r="F139" s="712"/>
      <c r="G139" s="741"/>
      <c r="H139" s="712"/>
      <c r="I139" s="702"/>
      <c r="J139" s="712"/>
      <c r="K139" s="702"/>
      <c r="L139" s="712"/>
      <c r="M139" s="702"/>
      <c r="N139" s="712"/>
      <c r="O139" s="702"/>
      <c r="P139" s="712"/>
      <c r="Q139" s="742"/>
      <c r="R139" s="712"/>
      <c r="S139" s="702"/>
      <c r="T139" s="712"/>
      <c r="U139" s="702"/>
      <c r="V139" s="712"/>
      <c r="W139" s="702"/>
      <c r="X139" s="712"/>
      <c r="Y139" s="702"/>
      <c r="Z139" s="712"/>
      <c r="AA139" s="702"/>
      <c r="AB139" s="712"/>
      <c r="AC139" s="702"/>
      <c r="AD139" s="720"/>
      <c r="AE139" s="696"/>
      <c r="AF139" s="696"/>
      <c r="AG139" s="696"/>
    </row>
    <row r="140" spans="1:41" ht="15.5" customHeight="1" thickBot="1">
      <c r="A140" s="469"/>
      <c r="B140" s="714"/>
      <c r="C140" s="702"/>
      <c r="D140" s="714"/>
      <c r="E140" s="702"/>
      <c r="F140" s="714"/>
      <c r="G140" s="702"/>
      <c r="H140" s="714"/>
      <c r="I140" s="702"/>
      <c r="J140" s="714"/>
      <c r="K140" s="702"/>
      <c r="L140" s="714"/>
      <c r="M140" s="702"/>
      <c r="N140" s="714"/>
      <c r="O140" s="702"/>
      <c r="P140" s="714"/>
      <c r="Q140" s="702"/>
      <c r="R140" s="714"/>
      <c r="S140" s="702"/>
      <c r="T140" s="714"/>
      <c r="U140" s="702"/>
      <c r="V140" s="714" t="s">
        <v>228</v>
      </c>
      <c r="W140" s="702"/>
      <c r="X140" s="714"/>
      <c r="Y140" s="702"/>
      <c r="Z140" s="714"/>
      <c r="AA140" s="702"/>
      <c r="AB140" s="714"/>
      <c r="AC140" s="702"/>
      <c r="AD140" s="720"/>
      <c r="AE140" s="696"/>
      <c r="AF140" s="696"/>
      <c r="AG140" s="696"/>
    </row>
    <row r="141" spans="1:41" ht="100" customHeight="1" thickBot="1">
      <c r="A141" s="469"/>
      <c r="B141" s="691"/>
      <c r="C141" s="707">
        <v>431.02</v>
      </c>
      <c r="D141" s="691"/>
      <c r="E141" s="707">
        <v>403.43</v>
      </c>
      <c r="F141" s="691"/>
      <c r="G141" s="707">
        <v>420.36</v>
      </c>
      <c r="H141" s="691"/>
      <c r="I141" s="707">
        <v>446.37</v>
      </c>
      <c r="J141" s="732"/>
      <c r="K141" s="707">
        <v>297.58</v>
      </c>
      <c r="L141" s="691"/>
      <c r="M141" s="707">
        <v>280.47000000000003</v>
      </c>
      <c r="N141" s="691"/>
      <c r="O141" s="707">
        <v>272.69</v>
      </c>
      <c r="P141" s="691"/>
      <c r="Q141" s="707">
        <v>347.88</v>
      </c>
      <c r="R141" s="691"/>
      <c r="S141" s="707">
        <v>379.25</v>
      </c>
      <c r="T141" s="733"/>
      <c r="U141" s="707">
        <v>398.7</v>
      </c>
      <c r="V141" s="733"/>
      <c r="W141" s="707">
        <v>439.06</v>
      </c>
      <c r="X141" s="691" t="s">
        <v>228</v>
      </c>
      <c r="Y141" s="690">
        <v>360.21</v>
      </c>
      <c r="Z141" s="733"/>
      <c r="AA141" s="707">
        <v>379.58</v>
      </c>
      <c r="AB141" s="733"/>
      <c r="AC141" s="707">
        <v>384</v>
      </c>
      <c r="AD141" s="720"/>
      <c r="AE141" s="696"/>
      <c r="AF141" s="696"/>
      <c r="AG141" s="696"/>
      <c r="AM141" s="896">
        <f>COUNTIF(B141:AB141,"U/P")</f>
        <v>0</v>
      </c>
      <c r="AN141" s="896">
        <f>COUNTIF(C141:AC141,"ROW")</f>
        <v>1</v>
      </c>
      <c r="AO141" s="896">
        <f>COUNTIF(B141:AD141,"C")</f>
        <v>0</v>
      </c>
    </row>
    <row r="142" spans="1:41" ht="14.25" customHeight="1" thickBot="1">
      <c r="A142" s="469"/>
      <c r="B142" s="710"/>
      <c r="C142" s="702"/>
      <c r="D142" s="710"/>
      <c r="E142" s="702"/>
      <c r="F142" s="710"/>
      <c r="G142" s="702"/>
      <c r="H142" s="710"/>
      <c r="I142" s="702"/>
      <c r="J142" s="710"/>
      <c r="K142" s="702"/>
      <c r="L142" s="710"/>
      <c r="M142" s="702"/>
      <c r="N142" s="710"/>
      <c r="O142" s="702"/>
      <c r="P142" s="710"/>
      <c r="Q142" s="702"/>
      <c r="R142" s="710"/>
      <c r="S142" s="702"/>
      <c r="T142" s="710"/>
      <c r="U142" s="702"/>
      <c r="V142" s="743"/>
      <c r="W142" s="702"/>
      <c r="X142" s="710"/>
      <c r="Y142" s="702"/>
      <c r="Z142" s="710"/>
      <c r="AA142" s="702"/>
      <c r="AB142" s="710"/>
      <c r="AC142" s="702"/>
      <c r="AD142" s="720"/>
      <c r="AE142" s="696"/>
      <c r="AF142" s="696"/>
      <c r="AG142" s="696"/>
    </row>
    <row r="143" spans="1:41" ht="33.5">
      <c r="A143" s="469"/>
      <c r="B143" s="744" t="s">
        <v>248</v>
      </c>
      <c r="C143" s="698"/>
      <c r="D143" s="715" t="s">
        <v>185</v>
      </c>
      <c r="E143" s="698"/>
      <c r="F143" s="744" t="s">
        <v>248</v>
      </c>
      <c r="G143" s="698"/>
      <c r="H143" s="699" t="s">
        <v>115</v>
      </c>
      <c r="I143" s="698"/>
      <c r="J143" s="744" t="s">
        <v>248</v>
      </c>
      <c r="K143" s="698"/>
      <c r="L143" s="699" t="s">
        <v>119</v>
      </c>
      <c r="M143" s="698"/>
      <c r="N143" s="744" t="s">
        <v>182</v>
      </c>
      <c r="O143" s="698"/>
      <c r="P143" s="744" t="s">
        <v>182</v>
      </c>
      <c r="Q143" s="698"/>
      <c r="R143" s="744" t="s">
        <v>248</v>
      </c>
      <c r="S143" s="698"/>
      <c r="T143" s="744" t="s">
        <v>242</v>
      </c>
      <c r="U143" s="698"/>
      <c r="V143" s="744" t="s">
        <v>242</v>
      </c>
      <c r="W143" s="698"/>
      <c r="X143" s="699" t="s">
        <v>115</v>
      </c>
      <c r="Y143" s="698"/>
      <c r="Z143" s="744" t="s">
        <v>182</v>
      </c>
      <c r="AA143" s="698"/>
      <c r="AB143" s="699" t="s">
        <v>123</v>
      </c>
      <c r="AC143" s="702"/>
      <c r="AD143" s="720"/>
      <c r="AE143" s="696"/>
      <c r="AF143" s="696"/>
      <c r="AG143" s="696"/>
    </row>
    <row r="144" spans="1:41" ht="28" customHeight="1">
      <c r="A144" s="469"/>
      <c r="B144" s="744"/>
      <c r="C144" s="698"/>
      <c r="D144" s="720"/>
      <c r="E144" s="698"/>
      <c r="F144" s="745" t="s">
        <v>1627</v>
      </c>
      <c r="G144" s="698"/>
      <c r="H144" s="744"/>
      <c r="I144" s="698"/>
      <c r="J144" s="744"/>
      <c r="K144" s="698"/>
      <c r="L144" s="744"/>
      <c r="M144" s="698"/>
      <c r="N144" s="745" t="s">
        <v>1628</v>
      </c>
      <c r="O144" s="698"/>
      <c r="P144" s="744"/>
      <c r="Q144" s="698"/>
      <c r="R144" s="745" t="s">
        <v>1626</v>
      </c>
      <c r="S144" s="698"/>
      <c r="T144" s="744"/>
      <c r="U144" s="698"/>
      <c r="V144" s="744"/>
      <c r="W144" s="698"/>
      <c r="X144" s="744"/>
      <c r="Y144" s="698"/>
      <c r="Z144" s="744"/>
      <c r="AA144" s="698"/>
      <c r="AC144" s="702"/>
      <c r="AD144" s="745" t="s">
        <v>1630</v>
      </c>
      <c r="AE144" s="695"/>
      <c r="AF144" s="696"/>
      <c r="AG144" s="696"/>
    </row>
    <row r="145" spans="1:41" ht="27" customHeight="1">
      <c r="A145" s="1507" t="s">
        <v>1518</v>
      </c>
      <c r="B145" s="1507"/>
      <c r="C145" s="1507"/>
      <c r="D145" s="1507"/>
      <c r="E145" s="1507"/>
      <c r="F145" s="1507"/>
      <c r="G145" s="1507"/>
      <c r="H145" s="1507"/>
      <c r="I145" s="1507"/>
      <c r="J145" s="1507"/>
      <c r="K145" s="1507"/>
      <c r="L145" s="1507"/>
      <c r="M145" s="1507"/>
      <c r="N145" s="1507"/>
      <c r="O145" s="1507"/>
      <c r="P145" s="1507"/>
      <c r="Q145" s="1507"/>
      <c r="R145" s="1507"/>
      <c r="S145" s="1507"/>
      <c r="T145" s="735"/>
      <c r="U145" s="735"/>
      <c r="V145" s="735"/>
      <c r="W145" s="841"/>
      <c r="X145" s="748" t="s">
        <v>228</v>
      </c>
      <c r="Y145" s="841"/>
      <c r="Z145" s="841"/>
      <c r="AA145" s="841"/>
      <c r="AB145" s="1068"/>
      <c r="AC145" s="841"/>
      <c r="AD145" s="841"/>
      <c r="AE145" s="841"/>
      <c r="AF145" s="841"/>
      <c r="AG145" s="761"/>
      <c r="AH145" s="1069"/>
      <c r="AI145" s="761"/>
      <c r="AJ145" s="761"/>
      <c r="AK145" s="761"/>
      <c r="AL145" s="761"/>
    </row>
    <row r="146" spans="1:41" ht="12" customHeight="1">
      <c r="A146" s="469"/>
      <c r="B146" s="746"/>
      <c r="C146" s="705"/>
      <c r="D146" s="746"/>
      <c r="E146" s="705"/>
      <c r="F146" s="746"/>
      <c r="G146" s="705"/>
      <c r="H146" s="746"/>
      <c r="I146" s="705"/>
      <c r="J146" s="746"/>
      <c r="K146" s="705"/>
      <c r="L146" s="746"/>
      <c r="M146" s="705"/>
      <c r="N146" s="746"/>
      <c r="O146" s="705"/>
      <c r="P146" s="746"/>
      <c r="Q146" s="705"/>
      <c r="R146" s="746"/>
      <c r="S146" s="705"/>
      <c r="T146" s="746"/>
      <c r="U146" s="705"/>
      <c r="V146" s="746"/>
      <c r="W146" s="705"/>
      <c r="X146" s="746"/>
      <c r="Y146" s="705"/>
      <c r="Z146" s="746"/>
      <c r="AA146" s="705"/>
      <c r="AB146" s="746"/>
      <c r="AC146" s="705"/>
      <c r="AD146" s="703"/>
      <c r="AE146" s="695"/>
      <c r="AF146" s="696"/>
      <c r="AG146" s="696"/>
    </row>
    <row r="147" spans="1:41" ht="22" customHeight="1">
      <c r="A147" s="469"/>
      <c r="B147" s="684" t="s">
        <v>352</v>
      </c>
      <c r="C147" s="683"/>
      <c r="D147" s="684" t="s">
        <v>353</v>
      </c>
      <c r="E147" s="683"/>
      <c r="F147" s="684" t="s">
        <v>274</v>
      </c>
      <c r="G147" s="683"/>
      <c r="H147" s="684" t="s">
        <v>275</v>
      </c>
      <c r="I147" s="683"/>
      <c r="J147" s="684" t="s">
        <v>355</v>
      </c>
      <c r="K147" s="683"/>
      <c r="L147" s="684" t="s">
        <v>284</v>
      </c>
      <c r="M147" s="683"/>
      <c r="N147" s="684" t="s">
        <v>285</v>
      </c>
      <c r="O147" s="683"/>
      <c r="P147" s="684" t="s">
        <v>705</v>
      </c>
      <c r="Q147" s="683"/>
      <c r="R147" s="684" t="s">
        <v>357</v>
      </c>
      <c r="S147" s="683"/>
      <c r="T147" s="684" t="s">
        <v>706</v>
      </c>
      <c r="U147" s="683"/>
      <c r="V147" s="684" t="s">
        <v>247</v>
      </c>
      <c r="W147" s="683"/>
      <c r="X147" s="684" t="s">
        <v>260</v>
      </c>
      <c r="Y147" s="683"/>
      <c r="Z147" s="684" t="s">
        <v>261</v>
      </c>
      <c r="AA147" s="683"/>
      <c r="AB147" s="684" t="s">
        <v>286</v>
      </c>
      <c r="AC147" s="702"/>
      <c r="AD147" s="703"/>
      <c r="AE147" s="696"/>
      <c r="AF147" s="696"/>
      <c r="AG147" s="696"/>
    </row>
    <row r="148" spans="1:41" ht="33.5">
      <c r="A148" s="469"/>
      <c r="B148" s="712"/>
      <c r="C148" s="702"/>
      <c r="D148" s="712"/>
      <c r="E148" s="702"/>
      <c r="F148" s="712"/>
      <c r="G148" s="702"/>
      <c r="H148" s="712"/>
      <c r="I148" s="713"/>
      <c r="J148" s="712"/>
      <c r="K148" s="698"/>
      <c r="L148" s="712"/>
      <c r="M148" s="702"/>
      <c r="N148" s="712"/>
      <c r="O148" s="702"/>
      <c r="P148" s="712"/>
      <c r="Q148" s="698"/>
      <c r="R148" s="712"/>
      <c r="S148" s="713"/>
      <c r="T148" s="712"/>
      <c r="U148" s="702"/>
      <c r="V148" s="712"/>
      <c r="W148" s="702"/>
      <c r="X148" s="712"/>
      <c r="Y148" s="707"/>
      <c r="Z148" s="712"/>
      <c r="AA148" s="698"/>
      <c r="AB148" s="712"/>
      <c r="AC148" s="702"/>
      <c r="AD148" s="703"/>
      <c r="AE148" s="696"/>
      <c r="AF148" s="696"/>
      <c r="AG148" s="696"/>
    </row>
    <row r="149" spans="1:41" ht="13" customHeight="1" thickBot="1">
      <c r="A149" s="469"/>
      <c r="B149" s="714"/>
      <c r="C149" s="702"/>
      <c r="D149" s="714"/>
      <c r="E149" s="702"/>
      <c r="F149" s="714"/>
      <c r="G149" s="702"/>
      <c r="H149" s="714"/>
      <c r="I149" s="702"/>
      <c r="J149" s="714"/>
      <c r="K149" s="702"/>
      <c r="L149" s="714"/>
      <c r="M149" s="702"/>
      <c r="N149" s="714"/>
      <c r="O149" s="702"/>
      <c r="P149" s="714"/>
      <c r="Q149" s="702"/>
      <c r="R149" s="714"/>
      <c r="S149" s="702"/>
      <c r="T149" s="714"/>
      <c r="U149" s="702"/>
      <c r="V149" s="714"/>
      <c r="W149" s="702"/>
      <c r="X149" s="714"/>
      <c r="Y149" s="702"/>
      <c r="Z149" s="714"/>
      <c r="AA149" s="702"/>
      <c r="AB149" s="714"/>
      <c r="AC149" s="702"/>
      <c r="AD149" s="703"/>
      <c r="AE149" s="696"/>
      <c r="AF149" s="696"/>
      <c r="AG149" s="696"/>
    </row>
    <row r="150" spans="1:41" ht="100" customHeight="1" thickBot="1">
      <c r="A150" s="469"/>
      <c r="B150" s="691" t="s">
        <v>228</v>
      </c>
      <c r="C150" s="707">
        <v>442</v>
      </c>
      <c r="D150" s="691" t="s">
        <v>228</v>
      </c>
      <c r="E150" s="707">
        <v>397</v>
      </c>
      <c r="F150" s="733"/>
      <c r="G150" s="707">
        <v>395</v>
      </c>
      <c r="H150" s="733"/>
      <c r="I150" s="707">
        <v>432</v>
      </c>
      <c r="J150" s="733"/>
      <c r="K150" s="707">
        <v>408</v>
      </c>
      <c r="L150" s="733"/>
      <c r="M150" s="707">
        <v>426</v>
      </c>
      <c r="N150" s="733"/>
      <c r="O150" s="707">
        <v>392.95</v>
      </c>
      <c r="P150" s="691"/>
      <c r="Q150" s="707">
        <v>431.96</v>
      </c>
      <c r="R150" s="691"/>
      <c r="S150" s="707">
        <v>426.02</v>
      </c>
      <c r="T150" s="691"/>
      <c r="U150" s="707">
        <v>401</v>
      </c>
      <c r="V150" s="733"/>
      <c r="W150" s="707">
        <v>437</v>
      </c>
      <c r="X150" s="733"/>
      <c r="Y150" s="690">
        <v>402</v>
      </c>
      <c r="Z150" s="733"/>
      <c r="AA150" s="707">
        <v>436</v>
      </c>
      <c r="AB150" s="691"/>
      <c r="AC150" s="690">
        <v>392.28</v>
      </c>
      <c r="AD150" s="703"/>
      <c r="AE150" s="696"/>
      <c r="AF150" s="696"/>
      <c r="AG150" s="696"/>
      <c r="AM150" s="896">
        <f>COUNTIF(B150:AB150,"U/P")</f>
        <v>0</v>
      </c>
      <c r="AN150" s="896">
        <f>COUNTIF(C150:AC150,"ROW")</f>
        <v>1</v>
      </c>
      <c r="AO150" s="896">
        <f>COUNTIF(D150:AD150,"C")</f>
        <v>0</v>
      </c>
    </row>
    <row r="151" spans="1:41" ht="34" thickBot="1">
      <c r="A151" s="469"/>
      <c r="B151" s="710"/>
      <c r="C151" s="702"/>
      <c r="D151" s="710"/>
      <c r="E151" s="702"/>
      <c r="F151" s="710"/>
      <c r="G151" s="702"/>
      <c r="H151" s="710"/>
      <c r="I151" s="702"/>
      <c r="J151" s="710"/>
      <c r="K151" s="702"/>
      <c r="L151" s="710"/>
      <c r="M151" s="702"/>
      <c r="N151" s="710"/>
      <c r="O151" s="702"/>
      <c r="P151" s="710"/>
      <c r="Q151" s="702"/>
      <c r="R151" s="710"/>
      <c r="S151" s="702"/>
      <c r="T151" s="710"/>
      <c r="U151" s="702"/>
      <c r="V151" s="710"/>
      <c r="W151" s="702"/>
      <c r="X151" s="710"/>
      <c r="Y151" s="702"/>
      <c r="Z151" s="710"/>
      <c r="AA151" s="702"/>
      <c r="AB151" s="710"/>
      <c r="AC151" s="702"/>
      <c r="AD151" s="703"/>
      <c r="AE151" s="696"/>
      <c r="AF151" s="696"/>
      <c r="AG151" s="696"/>
    </row>
    <row r="152" spans="1:41" ht="33.5">
      <c r="A152" s="469"/>
      <c r="B152" s="698" t="s">
        <v>248</v>
      </c>
      <c r="C152" s="698"/>
      <c r="D152" s="698" t="s">
        <v>248</v>
      </c>
      <c r="E152" s="698"/>
      <c r="F152" s="698" t="s">
        <v>248</v>
      </c>
      <c r="G152" s="698"/>
      <c r="H152" s="698" t="s">
        <v>248</v>
      </c>
      <c r="I152" s="698"/>
      <c r="J152" s="698" t="s">
        <v>248</v>
      </c>
      <c r="K152" s="698"/>
      <c r="L152" s="698" t="s">
        <v>185</v>
      </c>
      <c r="M152" s="698"/>
      <c r="N152" s="698" t="s">
        <v>185</v>
      </c>
      <c r="O152" s="698"/>
      <c r="P152" s="699" t="s">
        <v>125</v>
      </c>
      <c r="Q152" s="698"/>
      <c r="R152" s="699" t="s">
        <v>132</v>
      </c>
      <c r="S152" s="698"/>
      <c r="T152" s="699" t="s">
        <v>125</v>
      </c>
      <c r="U152" s="698"/>
      <c r="V152" s="698" t="s">
        <v>248</v>
      </c>
      <c r="W152" s="698"/>
      <c r="X152" s="698" t="s">
        <v>182</v>
      </c>
      <c r="Y152" s="698"/>
      <c r="Z152" s="698" t="s">
        <v>185</v>
      </c>
      <c r="AA152" s="698"/>
      <c r="AB152" s="698" t="s">
        <v>248</v>
      </c>
      <c r="AC152" s="702"/>
      <c r="AD152" s="703"/>
      <c r="AE152" s="696"/>
      <c r="AF152" s="696"/>
      <c r="AG152" s="696"/>
    </row>
    <row r="153" spans="1:41" ht="33.5">
      <c r="A153" s="469"/>
      <c r="B153" s="729" t="s">
        <v>1626</v>
      </c>
      <c r="C153" s="698"/>
      <c r="D153" s="729" t="s">
        <v>1629</v>
      </c>
      <c r="E153" s="698"/>
      <c r="F153" s="698"/>
      <c r="G153" s="698"/>
      <c r="H153" s="698"/>
      <c r="I153" s="698"/>
      <c r="J153" s="698"/>
      <c r="K153" s="698"/>
      <c r="L153" s="698"/>
      <c r="M153" s="698"/>
      <c r="N153" s="698"/>
      <c r="O153" s="698"/>
      <c r="P153" s="698"/>
      <c r="Q153" s="698"/>
      <c r="R153" s="698"/>
      <c r="S153" s="698"/>
      <c r="T153" s="729" t="s">
        <v>1629</v>
      </c>
      <c r="U153" s="698"/>
      <c r="V153" s="698"/>
      <c r="W153" s="698"/>
      <c r="X153" s="698"/>
      <c r="Y153" s="698"/>
      <c r="Z153" s="698"/>
      <c r="AA153" s="698"/>
      <c r="AB153" s="698"/>
      <c r="AC153" s="702"/>
      <c r="AD153" s="703"/>
      <c r="AE153" s="696"/>
      <c r="AF153" s="696"/>
      <c r="AG153" s="696"/>
    </row>
    <row r="154" spans="1:41" ht="46">
      <c r="A154" s="747"/>
      <c r="B154" s="1502" t="s">
        <v>228</v>
      </c>
      <c r="C154" s="1502"/>
      <c r="D154" s="1502"/>
      <c r="E154" s="735"/>
      <c r="F154" s="735"/>
      <c r="G154" s="735"/>
      <c r="H154" s="735"/>
      <c r="I154" s="735"/>
      <c r="J154" s="735"/>
      <c r="K154" s="735"/>
      <c r="L154" s="735"/>
      <c r="M154" s="735"/>
      <c r="N154" s="735"/>
      <c r="O154" s="735"/>
      <c r="P154" s="1508" t="s">
        <v>228</v>
      </c>
      <c r="Q154" s="1508"/>
      <c r="R154" s="1508"/>
      <c r="S154" s="1508"/>
      <c r="T154" s="1508"/>
      <c r="U154" s="735"/>
      <c r="V154" s="735"/>
      <c r="W154" s="735"/>
      <c r="X154" s="735"/>
      <c r="Y154" s="735"/>
      <c r="Z154" s="735"/>
      <c r="AA154" s="735"/>
      <c r="AB154" s="748" t="s">
        <v>228</v>
      </c>
      <c r="AC154" s="735"/>
      <c r="AD154" s="735"/>
      <c r="AE154" s="735"/>
      <c r="AF154" s="735"/>
      <c r="AG154" s="735"/>
      <c r="AH154" s="735"/>
      <c r="AI154" s="735"/>
      <c r="AJ154" s="735"/>
      <c r="AK154" s="735"/>
      <c r="AL154" s="735"/>
    </row>
    <row r="155" spans="1:41" ht="15" customHeight="1">
      <c r="A155" s="469"/>
      <c r="B155" s="720"/>
      <c r="C155" s="702"/>
      <c r="D155" s="720"/>
      <c r="E155" s="702"/>
      <c r="F155" s="720"/>
      <c r="G155" s="702"/>
      <c r="H155" s="720"/>
      <c r="I155" s="702"/>
      <c r="J155" s="720"/>
      <c r="K155" s="702"/>
      <c r="L155" s="720"/>
      <c r="M155" s="702"/>
      <c r="N155" s="684"/>
      <c r="O155" s="702"/>
      <c r="P155" s="720"/>
      <c r="Q155" s="702"/>
      <c r="R155" s="720"/>
      <c r="S155" s="702"/>
      <c r="T155" s="720"/>
      <c r="U155" s="702"/>
      <c r="V155" s="720"/>
      <c r="W155" s="702"/>
      <c r="X155" s="720"/>
      <c r="Y155" s="702"/>
      <c r="Z155" s="720"/>
      <c r="AA155" s="702"/>
      <c r="AB155" s="720"/>
      <c r="AC155" s="705"/>
      <c r="AD155" s="703"/>
      <c r="AE155" s="696"/>
      <c r="AF155" s="696"/>
      <c r="AG155" s="696"/>
    </row>
    <row r="156" spans="1:41" ht="29.5" customHeight="1">
      <c r="A156" s="469"/>
      <c r="B156" s="684" t="s">
        <v>707</v>
      </c>
      <c r="C156" s="683"/>
      <c r="D156" s="684" t="s">
        <v>359</v>
      </c>
      <c r="E156" s="683"/>
      <c r="F156" s="684" t="s">
        <v>360</v>
      </c>
      <c r="G156" s="683"/>
      <c r="H156" s="684" t="s">
        <v>361</v>
      </c>
      <c r="I156" s="683"/>
      <c r="J156" s="684" t="s">
        <v>362</v>
      </c>
      <c r="K156" s="683"/>
      <c r="L156" s="684" t="s">
        <v>363</v>
      </c>
      <c r="M156" s="683"/>
      <c r="N156" s="684" t="s">
        <v>364</v>
      </c>
      <c r="O156" s="683"/>
      <c r="P156" s="684" t="s">
        <v>365</v>
      </c>
      <c r="Q156" s="1509" t="s">
        <v>711</v>
      </c>
      <c r="R156" s="1509"/>
      <c r="S156" s="1509" t="s">
        <v>367</v>
      </c>
      <c r="T156" s="1509"/>
      <c r="U156" s="685" t="s">
        <v>1513</v>
      </c>
      <c r="V156" s="684" t="s">
        <v>287</v>
      </c>
      <c r="W156" s="683"/>
      <c r="X156" s="684" t="s">
        <v>368</v>
      </c>
      <c r="Y156" s="683"/>
      <c r="Z156" s="684" t="s">
        <v>369</v>
      </c>
      <c r="AA156" s="684"/>
      <c r="AB156" s="749" t="s">
        <v>370</v>
      </c>
      <c r="AC156" s="705"/>
      <c r="AD156" s="703"/>
      <c r="AE156" s="696"/>
      <c r="AF156" s="696"/>
      <c r="AG156" s="696"/>
    </row>
    <row r="157" spans="1:41" ht="33.5">
      <c r="A157" s="469"/>
      <c r="B157" s="712"/>
      <c r="C157" s="702"/>
      <c r="D157" s="712"/>
      <c r="E157" s="702"/>
      <c r="F157" s="712"/>
      <c r="G157" s="750"/>
      <c r="H157" s="712"/>
      <c r="I157" s="702"/>
      <c r="J157" s="712"/>
      <c r="K157" s="702"/>
      <c r="L157" s="712"/>
      <c r="M157" s="702"/>
      <c r="N157" s="712"/>
      <c r="O157" s="702"/>
      <c r="P157" s="712"/>
      <c r="Q157" s="702"/>
      <c r="R157" s="712"/>
      <c r="S157" s="702"/>
      <c r="T157" s="712"/>
      <c r="U157" s="685"/>
      <c r="V157" s="712"/>
      <c r="W157" s="702"/>
      <c r="X157" s="712"/>
      <c r="Y157" s="702"/>
      <c r="Z157" s="712"/>
      <c r="AA157" s="702"/>
      <c r="AB157" s="712"/>
      <c r="AC157" s="705"/>
      <c r="AD157" s="703"/>
      <c r="AE157" s="696"/>
      <c r="AF157" s="696"/>
      <c r="AG157" s="696"/>
    </row>
    <row r="158" spans="1:41" ht="16.5" customHeight="1" thickBot="1">
      <c r="A158" s="469"/>
      <c r="B158" s="714"/>
      <c r="C158" s="702"/>
      <c r="D158" s="714"/>
      <c r="E158" s="702"/>
      <c r="F158" s="714"/>
      <c r="G158" s="702"/>
      <c r="H158" s="714"/>
      <c r="I158" s="702"/>
      <c r="J158" s="714"/>
      <c r="K158" s="702"/>
      <c r="L158" s="714"/>
      <c r="M158" s="702"/>
      <c r="N158" s="714"/>
      <c r="O158" s="702"/>
      <c r="P158" s="714"/>
      <c r="Q158" s="702"/>
      <c r="R158" s="714"/>
      <c r="S158" s="702"/>
      <c r="T158" s="714"/>
      <c r="U158" s="702"/>
      <c r="V158" s="714"/>
      <c r="W158" s="702"/>
      <c r="X158" s="714"/>
      <c r="Y158" s="702"/>
      <c r="Z158" s="714"/>
      <c r="AA158" s="702"/>
      <c r="AB158" s="714"/>
      <c r="AC158" s="705"/>
      <c r="AD158" s="703"/>
      <c r="AE158" s="696"/>
      <c r="AF158" s="696"/>
      <c r="AG158" s="696"/>
    </row>
    <row r="159" spans="1:41" ht="100" customHeight="1" thickBot="1">
      <c r="A159" s="469"/>
      <c r="B159" s="691"/>
      <c r="C159" s="707">
        <v>402.5</v>
      </c>
      <c r="D159" s="691"/>
      <c r="E159" s="707">
        <v>411.56</v>
      </c>
      <c r="F159" s="691"/>
      <c r="G159" s="707">
        <v>438.46</v>
      </c>
      <c r="H159" s="691"/>
      <c r="I159" s="707">
        <v>410.36</v>
      </c>
      <c r="J159" s="691"/>
      <c r="K159" s="707">
        <v>379.76</v>
      </c>
      <c r="L159" s="691"/>
      <c r="M159" s="707">
        <v>396.95</v>
      </c>
      <c r="N159" s="691"/>
      <c r="O159" s="707">
        <v>414.59</v>
      </c>
      <c r="P159" s="691"/>
      <c r="Q159" s="707">
        <v>352.99</v>
      </c>
      <c r="R159" s="691"/>
      <c r="S159" s="707">
        <v>389.3</v>
      </c>
      <c r="T159" s="691"/>
      <c r="U159" s="707">
        <v>237.59</v>
      </c>
      <c r="V159" s="733"/>
      <c r="W159" s="707">
        <v>290.88</v>
      </c>
      <c r="X159" s="691" t="s">
        <v>390</v>
      </c>
      <c r="Y159" s="690">
        <v>345.61</v>
      </c>
      <c r="Z159" s="691"/>
      <c r="AA159" s="707">
        <v>318.63</v>
      </c>
      <c r="AB159" s="691" t="s">
        <v>390</v>
      </c>
      <c r="AC159" s="708">
        <v>307.02</v>
      </c>
      <c r="AD159" s="703"/>
      <c r="AE159" s="696"/>
      <c r="AF159" s="696"/>
      <c r="AG159" s="696"/>
      <c r="AM159" s="896">
        <f>COUNTIF(B159:AB159,"U/P")</f>
        <v>2</v>
      </c>
      <c r="AN159" s="896">
        <f>COUNTIF(C159:AC159,"ROW")</f>
        <v>0</v>
      </c>
      <c r="AO159" s="896">
        <f>COUNTIF(B159:AD159,"C")</f>
        <v>0</v>
      </c>
    </row>
    <row r="160" spans="1:41" ht="34" thickBot="1">
      <c r="A160" s="469"/>
      <c r="B160" s="710"/>
      <c r="C160" s="751"/>
      <c r="D160" s="710"/>
      <c r="E160" s="751"/>
      <c r="F160" s="710"/>
      <c r="G160" s="702"/>
      <c r="H160" s="710"/>
      <c r="I160" s="702"/>
      <c r="J160" s="710"/>
      <c r="K160" s="702"/>
      <c r="L160" s="710"/>
      <c r="M160" s="751"/>
      <c r="N160" s="710"/>
      <c r="O160" s="751"/>
      <c r="P160" s="710"/>
      <c r="Q160" s="751"/>
      <c r="R160" s="710"/>
      <c r="S160" s="751"/>
      <c r="T160" s="710"/>
      <c r="U160" s="751"/>
      <c r="V160" s="710"/>
      <c r="W160" s="751"/>
      <c r="X160" s="710"/>
      <c r="Y160" s="702"/>
      <c r="Z160" s="710"/>
      <c r="AA160" s="702"/>
      <c r="AB160" s="710"/>
      <c r="AC160" s="705"/>
      <c r="AD160" s="703"/>
      <c r="AE160" s="696"/>
      <c r="AF160" s="696"/>
      <c r="AG160" s="696"/>
    </row>
    <row r="161" spans="1:41" ht="33.5">
      <c r="A161" s="469"/>
      <c r="B161" s="699" t="s">
        <v>128</v>
      </c>
      <c r="C161" s="698"/>
      <c r="D161" s="698" t="s">
        <v>242</v>
      </c>
      <c r="E161" s="698"/>
      <c r="F161" s="699" t="s">
        <v>119</v>
      </c>
      <c r="G161" s="698"/>
      <c r="H161" s="699" t="s">
        <v>132</v>
      </c>
      <c r="I161" s="698"/>
      <c r="J161" s="699" t="s">
        <v>143</v>
      </c>
      <c r="K161" s="698"/>
      <c r="L161" s="698" t="s">
        <v>242</v>
      </c>
      <c r="M161" s="698"/>
      <c r="N161" s="698" t="s">
        <v>182</v>
      </c>
      <c r="O161" s="698"/>
      <c r="P161" s="698" t="s">
        <v>182</v>
      </c>
      <c r="Q161" s="698"/>
      <c r="R161" s="699" t="s">
        <v>125</v>
      </c>
      <c r="S161" s="698"/>
      <c r="T161" s="699" t="s">
        <v>119</v>
      </c>
      <c r="U161" s="698"/>
      <c r="V161" s="698" t="s">
        <v>248</v>
      </c>
      <c r="W161" s="698"/>
      <c r="X161" s="698" t="s">
        <v>182</v>
      </c>
      <c r="Y161" s="698"/>
      <c r="Z161" s="698" t="s">
        <v>182</v>
      </c>
      <c r="AA161" s="698"/>
      <c r="AB161" s="699" t="s">
        <v>125</v>
      </c>
      <c r="AC161" s="705"/>
      <c r="AD161" s="703"/>
      <c r="AE161" s="695"/>
      <c r="AF161" s="696"/>
      <c r="AG161" s="696"/>
    </row>
    <row r="162" spans="1:41" ht="82.25" customHeight="1">
      <c r="A162" s="469"/>
      <c r="B162" s="752" t="s">
        <v>1629</v>
      </c>
      <c r="C162" s="713"/>
      <c r="D162" s="713"/>
      <c r="E162" s="713"/>
      <c r="F162" s="713"/>
      <c r="G162" s="713"/>
      <c r="H162" s="713"/>
      <c r="I162" s="713"/>
      <c r="J162" s="713"/>
      <c r="K162" s="713"/>
      <c r="L162" s="713"/>
      <c r="M162" s="713"/>
      <c r="N162" s="752" t="s">
        <v>1526</v>
      </c>
      <c r="O162" s="713"/>
      <c r="P162" s="752" t="s">
        <v>1629</v>
      </c>
      <c r="Q162" s="713"/>
      <c r="R162" s="713"/>
      <c r="S162" s="713"/>
      <c r="T162" s="713"/>
      <c r="U162" s="713"/>
      <c r="V162" s="713"/>
      <c r="W162" s="713"/>
      <c r="X162" s="713"/>
      <c r="Y162" s="713"/>
      <c r="Z162" s="752" t="s">
        <v>1691</v>
      </c>
      <c r="AA162" s="753"/>
      <c r="AB162" s="1514" t="s">
        <v>1631</v>
      </c>
      <c r="AC162" s="1514"/>
      <c r="AD162" s="1514"/>
      <c r="AE162" s="1514"/>
      <c r="AF162" s="1514"/>
      <c r="AG162" s="1514"/>
      <c r="AH162" s="1514"/>
      <c r="AI162" s="909"/>
      <c r="AJ162" s="909"/>
      <c r="AK162" s="909"/>
      <c r="AL162" s="909"/>
    </row>
    <row r="163" spans="1:41" ht="37.5" customHeight="1">
      <c r="A163" s="1507" t="s">
        <v>1518</v>
      </c>
      <c r="B163" s="1507"/>
      <c r="C163" s="1507"/>
      <c r="D163" s="1507"/>
      <c r="E163" s="1507"/>
      <c r="F163" s="1507"/>
      <c r="G163" s="1507"/>
      <c r="H163" s="1507"/>
      <c r="I163" s="1507"/>
      <c r="J163" s="1507"/>
      <c r="K163" s="1507"/>
      <c r="L163" s="1507"/>
      <c r="M163" s="1507"/>
      <c r="N163" s="1507"/>
      <c r="O163" s="1507"/>
      <c r="P163" s="1507"/>
      <c r="Q163" s="1507"/>
      <c r="R163" s="1507"/>
      <c r="S163" s="1507"/>
      <c r="T163" s="1507"/>
      <c r="U163" s="735"/>
      <c r="V163" s="735"/>
      <c r="W163" s="1507" t="s">
        <v>1518</v>
      </c>
      <c r="X163" s="1507"/>
      <c r="Y163" s="1507"/>
      <c r="Z163" s="1507"/>
      <c r="AA163" s="1507"/>
      <c r="AB163" s="1507"/>
      <c r="AC163" s="1507"/>
      <c r="AD163" s="1507"/>
      <c r="AE163" s="1507"/>
      <c r="AF163" s="1507"/>
      <c r="AG163" s="1507"/>
      <c r="AH163" s="1492"/>
      <c r="AI163" s="907"/>
      <c r="AJ163" s="907"/>
      <c r="AK163" s="907"/>
      <c r="AL163" s="907"/>
    </row>
    <row r="164" spans="1:41" ht="9.5" hidden="1" customHeight="1">
      <c r="A164" s="469"/>
      <c r="B164" s="754"/>
      <c r="C164" s="754"/>
      <c r="D164" s="754"/>
      <c r="E164" s="754"/>
      <c r="F164" s="754"/>
      <c r="G164" s="754"/>
      <c r="H164" s="754"/>
      <c r="I164" s="754"/>
      <c r="J164" s="754"/>
      <c r="K164" s="754"/>
      <c r="L164" s="754"/>
      <c r="M164" s="754"/>
      <c r="N164" s="754"/>
      <c r="O164" s="754"/>
      <c r="P164" s="754"/>
      <c r="Q164" s="754"/>
      <c r="R164" s="754"/>
      <c r="S164" s="754"/>
      <c r="T164" s="754"/>
      <c r="U164" s="754"/>
      <c r="V164" s="754"/>
      <c r="W164" s="754"/>
      <c r="X164" s="754"/>
      <c r="Y164" s="754"/>
      <c r="Z164" s="754"/>
      <c r="AA164" s="754"/>
      <c r="AB164" s="754"/>
      <c r="AC164" s="755"/>
      <c r="AD164" s="756"/>
      <c r="AE164" s="695"/>
      <c r="AF164" s="696"/>
      <c r="AG164" s="696"/>
      <c r="AH164" s="757"/>
      <c r="AI164" s="757"/>
      <c r="AJ164" s="757"/>
      <c r="AK164" s="757"/>
      <c r="AL164" s="757"/>
    </row>
    <row r="165" spans="1:41" ht="24.5" customHeight="1">
      <c r="A165" s="469"/>
      <c r="B165" s="684" t="s">
        <v>371</v>
      </c>
      <c r="C165" s="683"/>
      <c r="D165" s="684" t="s">
        <v>372</v>
      </c>
      <c r="E165" s="683"/>
      <c r="F165" s="684" t="s">
        <v>373</v>
      </c>
      <c r="G165" s="683"/>
      <c r="H165" s="684" t="s">
        <v>288</v>
      </c>
      <c r="I165" s="683"/>
      <c r="J165" s="684" t="s">
        <v>259</v>
      </c>
      <c r="K165" s="683"/>
      <c r="L165" s="684" t="s">
        <v>251</v>
      </c>
      <c r="M165" s="683"/>
      <c r="N165" s="684" t="s">
        <v>377</v>
      </c>
      <c r="O165" s="683"/>
      <c r="P165" s="684" t="s">
        <v>297</v>
      </c>
      <c r="Q165" s="683"/>
      <c r="R165" s="684" t="s">
        <v>378</v>
      </c>
      <c r="S165" s="683"/>
      <c r="T165" s="684" t="s">
        <v>236</v>
      </c>
      <c r="U165" s="683"/>
      <c r="V165" s="684" t="s">
        <v>237</v>
      </c>
      <c r="W165" s="683"/>
      <c r="X165" s="684" t="s">
        <v>214</v>
      </c>
      <c r="Y165" s="683"/>
      <c r="Z165" s="684" t="s">
        <v>213</v>
      </c>
      <c r="AA165" s="683"/>
      <c r="AB165" s="684" t="s">
        <v>212</v>
      </c>
      <c r="AC165" s="702"/>
      <c r="AD165" s="720"/>
      <c r="AE165" s="696"/>
      <c r="AF165" s="696"/>
      <c r="AG165" s="696"/>
    </row>
    <row r="166" spans="1:41" ht="33.5">
      <c r="A166" s="469"/>
      <c r="B166" s="712"/>
      <c r="C166" s="702"/>
      <c r="D166" s="712"/>
      <c r="E166" s="702"/>
      <c r="F166" s="712"/>
      <c r="G166" s="702"/>
      <c r="H166" s="712"/>
      <c r="I166" s="702"/>
      <c r="J166" s="712"/>
      <c r="K166" s="702"/>
      <c r="L166" s="712"/>
      <c r="M166" s="702"/>
      <c r="N166" s="712"/>
      <c r="O166" s="702"/>
      <c r="P166" s="712"/>
      <c r="Q166" s="702"/>
      <c r="R166" s="712"/>
      <c r="S166" s="702"/>
      <c r="T166" s="712"/>
      <c r="U166" s="702"/>
      <c r="V166" s="712"/>
      <c r="W166" s="702"/>
      <c r="X166" s="712"/>
      <c r="Y166" s="702"/>
      <c r="Z166" s="712"/>
      <c r="AA166" s="737"/>
      <c r="AB166" s="712"/>
      <c r="AC166" s="702"/>
      <c r="AD166" s="720"/>
      <c r="AE166" s="696"/>
      <c r="AF166" s="696"/>
      <c r="AG166" s="696"/>
    </row>
    <row r="167" spans="1:41" ht="15.5" customHeight="1" thickBot="1">
      <c r="A167" s="469"/>
      <c r="B167" s="714"/>
      <c r="C167" s="702"/>
      <c r="D167" s="714"/>
      <c r="E167" s="702"/>
      <c r="F167" s="714"/>
      <c r="G167" s="702"/>
      <c r="H167" s="714"/>
      <c r="I167" s="702"/>
      <c r="J167" s="714"/>
      <c r="K167" s="702"/>
      <c r="L167" s="714"/>
      <c r="M167" s="702"/>
      <c r="N167" s="714"/>
      <c r="O167" s="702"/>
      <c r="P167" s="714"/>
      <c r="Q167" s="702"/>
      <c r="R167" s="714"/>
      <c r="S167" s="702"/>
      <c r="T167" s="714"/>
      <c r="U167" s="702"/>
      <c r="V167" s="714"/>
      <c r="W167" s="702"/>
      <c r="X167" s="714"/>
      <c r="Y167" s="702"/>
      <c r="Z167" s="714"/>
      <c r="AA167" s="702"/>
      <c r="AB167" s="714"/>
      <c r="AC167" s="702"/>
      <c r="AD167" s="720"/>
      <c r="AE167" s="696"/>
      <c r="AF167" s="696"/>
      <c r="AG167" s="696"/>
    </row>
    <row r="168" spans="1:41" ht="100" customHeight="1" thickBot="1">
      <c r="A168" s="469"/>
      <c r="B168" s="733"/>
      <c r="C168" s="707">
        <v>346.85</v>
      </c>
      <c r="D168" s="733"/>
      <c r="E168" s="707">
        <v>300.19</v>
      </c>
      <c r="F168" s="733"/>
      <c r="G168" s="707">
        <v>317</v>
      </c>
      <c r="H168" s="733"/>
      <c r="I168" s="707">
        <v>454</v>
      </c>
      <c r="J168" s="733"/>
      <c r="K168" s="707">
        <v>385</v>
      </c>
      <c r="L168" s="733"/>
      <c r="M168" s="707">
        <v>417.69</v>
      </c>
      <c r="N168" s="733"/>
      <c r="O168" s="707">
        <v>409.51</v>
      </c>
      <c r="P168" s="733"/>
      <c r="Q168" s="707">
        <v>385.17</v>
      </c>
      <c r="R168" s="733"/>
      <c r="S168" s="707">
        <v>345.19</v>
      </c>
      <c r="T168" s="733"/>
      <c r="U168" s="707">
        <v>332.38</v>
      </c>
      <c r="V168" s="733"/>
      <c r="W168" s="707">
        <v>393.62</v>
      </c>
      <c r="X168" s="733"/>
      <c r="Y168" s="707">
        <v>387.95</v>
      </c>
      <c r="Z168" s="733"/>
      <c r="AA168" s="707">
        <v>340.35</v>
      </c>
      <c r="AB168" s="733"/>
      <c r="AC168" s="707">
        <v>393.12</v>
      </c>
      <c r="AD168" s="720"/>
      <c r="AE168" s="696"/>
      <c r="AF168" s="696"/>
      <c r="AG168" s="696"/>
      <c r="AM168" s="896">
        <f>COUNTIF(B168:AB168,"U/P")</f>
        <v>0</v>
      </c>
      <c r="AN168" s="896">
        <f>COUNTIF(C168:AC168,"ROW")</f>
        <v>0</v>
      </c>
      <c r="AO168" s="896">
        <f>COUNTIF(D168:AD168,"C")</f>
        <v>0</v>
      </c>
    </row>
    <row r="169" spans="1:41" ht="34" thickBot="1">
      <c r="A169" s="469"/>
      <c r="B169" s="710"/>
      <c r="C169" s="702"/>
      <c r="D169" s="710"/>
      <c r="E169" s="702"/>
      <c r="F169" s="710"/>
      <c r="G169" s="702"/>
      <c r="H169" s="710"/>
      <c r="I169" s="702"/>
      <c r="J169" s="710"/>
      <c r="K169" s="702"/>
      <c r="L169" s="710"/>
      <c r="M169" s="702"/>
      <c r="N169" s="710"/>
      <c r="O169" s="702"/>
      <c r="P169" s="710"/>
      <c r="Q169" s="702"/>
      <c r="R169" s="710"/>
      <c r="S169" s="702"/>
      <c r="T169" s="710"/>
      <c r="U169" s="702"/>
      <c r="V169" s="710"/>
      <c r="W169" s="702"/>
      <c r="X169" s="710"/>
      <c r="Y169" s="702"/>
      <c r="Z169" s="710"/>
      <c r="AA169" s="702"/>
      <c r="AB169" s="710"/>
      <c r="AC169" s="702"/>
      <c r="AD169" s="720"/>
      <c r="AE169" s="696"/>
      <c r="AF169" s="696"/>
      <c r="AG169" s="696"/>
    </row>
    <row r="170" spans="1:41" ht="33.5">
      <c r="A170" s="469"/>
      <c r="B170" s="698" t="s">
        <v>185</v>
      </c>
      <c r="C170" s="698"/>
      <c r="D170" s="698" t="s">
        <v>185</v>
      </c>
      <c r="E170" s="698"/>
      <c r="F170" s="699" t="s">
        <v>119</v>
      </c>
      <c r="G170" s="698"/>
      <c r="H170" s="698" t="s">
        <v>182</v>
      </c>
      <c r="I170" s="698"/>
      <c r="J170" s="698" t="s">
        <v>248</v>
      </c>
      <c r="K170" s="698"/>
      <c r="L170" s="698" t="s">
        <v>248</v>
      </c>
      <c r="M170" s="698"/>
      <c r="N170" s="699" t="s">
        <v>132</v>
      </c>
      <c r="O170" s="698"/>
      <c r="P170" s="698" t="s">
        <v>182</v>
      </c>
      <c r="Q170" s="698"/>
      <c r="R170" s="699" t="s">
        <v>115</v>
      </c>
      <c r="S170" s="698"/>
      <c r="T170" s="698" t="s">
        <v>182</v>
      </c>
      <c r="U170" s="698"/>
      <c r="V170" s="698" t="s">
        <v>182</v>
      </c>
      <c r="W170" s="698"/>
      <c r="X170" s="698" t="s">
        <v>185</v>
      </c>
      <c r="Y170" s="698"/>
      <c r="Z170" s="698" t="s">
        <v>182</v>
      </c>
      <c r="AA170" s="698"/>
      <c r="AB170" s="698" t="s">
        <v>182</v>
      </c>
      <c r="AC170" s="702"/>
      <c r="AD170" s="720"/>
      <c r="AE170" s="696"/>
      <c r="AF170" s="696"/>
      <c r="AG170" s="696"/>
    </row>
    <row r="171" spans="1:41" ht="85" customHeight="1">
      <c r="A171" s="1515" t="s">
        <v>1690</v>
      </c>
      <c r="B171" s="1515"/>
      <c r="C171" s="1515"/>
      <c r="D171" s="758"/>
      <c r="E171" s="758"/>
      <c r="F171" s="758"/>
      <c r="G171" s="758"/>
      <c r="H171" s="842" t="s">
        <v>1569</v>
      </c>
      <c r="I171" s="758"/>
      <c r="J171" s="758"/>
      <c r="K171" s="758"/>
      <c r="L171" s="716"/>
      <c r="M171" s="716"/>
      <c r="N171" s="716"/>
      <c r="O171" s="716"/>
      <c r="P171" s="716"/>
      <c r="Q171" s="716"/>
      <c r="R171" s="716"/>
      <c r="S171" s="716"/>
      <c r="T171" s="759" t="s">
        <v>1526</v>
      </c>
      <c r="U171" s="716"/>
      <c r="V171" s="716"/>
      <c r="W171" s="716"/>
      <c r="X171" s="716"/>
      <c r="Y171" s="716"/>
      <c r="Z171" s="716"/>
      <c r="AA171" s="716"/>
      <c r="AB171" s="716"/>
      <c r="AC171" s="705"/>
      <c r="AD171" s="703"/>
      <c r="AE171" s="696"/>
      <c r="AF171" s="696"/>
      <c r="AG171" s="696"/>
    </row>
    <row r="172" spans="1:41" ht="15" customHeight="1">
      <c r="A172" s="469"/>
      <c r="B172" s="703"/>
      <c r="C172" s="705"/>
      <c r="D172" s="703"/>
      <c r="E172" s="705"/>
      <c r="F172" s="703"/>
      <c r="G172" s="705"/>
      <c r="H172" s="703"/>
      <c r="I172" s="705"/>
      <c r="J172" s="703"/>
      <c r="K172" s="705"/>
      <c r="L172" s="703"/>
      <c r="M172" s="705"/>
      <c r="N172" s="703"/>
      <c r="O172" s="705"/>
      <c r="P172" s="703"/>
      <c r="Q172" s="705"/>
      <c r="R172" s="703"/>
      <c r="S172" s="705"/>
      <c r="T172" s="703"/>
      <c r="U172" s="705"/>
      <c r="V172" s="703"/>
      <c r="W172" s="705"/>
      <c r="X172" s="703"/>
      <c r="Y172" s="705"/>
      <c r="Z172" s="703"/>
      <c r="AA172" s="705"/>
      <c r="AB172" s="703"/>
      <c r="AC172" s="705"/>
      <c r="AD172" s="703"/>
      <c r="AE172" s="696"/>
      <c r="AF172" s="696"/>
      <c r="AG172" s="696"/>
    </row>
    <row r="173" spans="1:41" ht="33.5" customHeight="1">
      <c r="A173" s="469"/>
      <c r="B173" s="684" t="s">
        <v>209</v>
      </c>
      <c r="C173" s="683"/>
      <c r="D173" s="684" t="s">
        <v>231</v>
      </c>
      <c r="E173" s="683"/>
      <c r="F173" s="684" t="s">
        <v>379</v>
      </c>
      <c r="G173" s="683"/>
      <c r="H173" s="684" t="s">
        <v>263</v>
      </c>
      <c r="I173" s="683"/>
      <c r="J173" s="684" t="s">
        <v>1279</v>
      </c>
      <c r="K173" s="683"/>
      <c r="L173" s="684" t="s">
        <v>215</v>
      </c>
      <c r="M173" s="683"/>
      <c r="N173" s="684" t="s">
        <v>216</v>
      </c>
      <c r="O173" s="683"/>
      <c r="P173" s="684" t="s">
        <v>239</v>
      </c>
      <c r="Q173" s="683"/>
      <c r="R173" s="684" t="s">
        <v>240</v>
      </c>
      <c r="S173" s="683"/>
      <c r="T173" s="684" t="s">
        <v>241</v>
      </c>
      <c r="U173" s="683"/>
      <c r="V173" s="684" t="s">
        <v>381</v>
      </c>
      <c r="W173" s="684"/>
      <c r="X173" s="684" t="s">
        <v>383</v>
      </c>
      <c r="Y173" s="683"/>
      <c r="Z173" s="684" t="s">
        <v>384</v>
      </c>
      <c r="AA173" s="683"/>
      <c r="AB173" s="684" t="s">
        <v>253</v>
      </c>
      <c r="AC173" s="702"/>
      <c r="AD173" s="720"/>
      <c r="AE173" s="696"/>
      <c r="AF173" s="696"/>
      <c r="AG173" s="696"/>
    </row>
    <row r="174" spans="1:41" ht="33.5">
      <c r="A174" s="469"/>
      <c r="B174" s="712"/>
      <c r="C174" s="698"/>
      <c r="D174" s="712"/>
      <c r="E174" s="702"/>
      <c r="F174" s="712"/>
      <c r="G174" s="707"/>
      <c r="H174" s="712"/>
      <c r="I174" s="707"/>
      <c r="J174" s="712"/>
      <c r="K174" s="707"/>
      <c r="L174" s="712"/>
      <c r="M174" s="702"/>
      <c r="N174" s="712"/>
      <c r="O174" s="702"/>
      <c r="P174" s="712"/>
      <c r="Q174" s="702"/>
      <c r="R174" s="712"/>
      <c r="S174" s="702"/>
      <c r="T174" s="712"/>
      <c r="U174" s="702"/>
      <c r="V174" s="712"/>
      <c r="W174" s="713"/>
      <c r="X174" s="712"/>
      <c r="Y174" s="713"/>
      <c r="Z174" s="712"/>
      <c r="AA174" s="702"/>
      <c r="AB174" s="712"/>
      <c r="AC174" s="702"/>
      <c r="AD174" s="720"/>
      <c r="AE174" s="696"/>
      <c r="AF174" s="696"/>
      <c r="AG174" s="696"/>
    </row>
    <row r="175" spans="1:41" ht="13" customHeight="1" thickBot="1">
      <c r="A175" s="469"/>
      <c r="B175" s="714"/>
      <c r="C175" s="702"/>
      <c r="D175" s="714"/>
      <c r="E175" s="702"/>
      <c r="F175" s="714"/>
      <c r="G175" s="702"/>
      <c r="H175" s="714"/>
      <c r="I175" s="702"/>
      <c r="J175" s="714"/>
      <c r="K175" s="702"/>
      <c r="L175" s="714"/>
      <c r="M175" s="702"/>
      <c r="N175" s="714"/>
      <c r="O175" s="702"/>
      <c r="P175" s="714"/>
      <c r="Q175" s="702"/>
      <c r="R175" s="714"/>
      <c r="S175" s="702"/>
      <c r="T175" s="714"/>
      <c r="U175" s="702"/>
      <c r="V175" s="714"/>
      <c r="W175" s="702"/>
      <c r="X175" s="714"/>
      <c r="Y175" s="702"/>
      <c r="Z175" s="714"/>
      <c r="AA175" s="702"/>
      <c r="AB175" s="714"/>
      <c r="AC175" s="702"/>
      <c r="AD175" s="720"/>
      <c r="AE175" s="696"/>
      <c r="AF175" s="696"/>
      <c r="AG175" s="696"/>
    </row>
    <row r="176" spans="1:41" ht="100" customHeight="1" thickBot="1">
      <c r="A176" s="469"/>
      <c r="B176" s="733"/>
      <c r="C176" s="707">
        <v>328.54</v>
      </c>
      <c r="D176" s="733"/>
      <c r="E176" s="707">
        <v>398.52</v>
      </c>
      <c r="F176" s="733"/>
      <c r="G176" s="707">
        <v>425.85</v>
      </c>
      <c r="H176" s="733"/>
      <c r="I176" s="707">
        <v>409.37</v>
      </c>
      <c r="J176" s="733"/>
      <c r="K176" s="707">
        <v>388.46</v>
      </c>
      <c r="L176" s="733"/>
      <c r="M176" s="707">
        <v>380.96</v>
      </c>
      <c r="N176" s="733"/>
      <c r="O176" s="707">
        <v>381.39</v>
      </c>
      <c r="P176" s="733"/>
      <c r="Q176" s="707">
        <v>344.6</v>
      </c>
      <c r="R176" s="733"/>
      <c r="S176" s="707">
        <v>395.64</v>
      </c>
      <c r="T176" s="733"/>
      <c r="U176" s="707">
        <v>414.76</v>
      </c>
      <c r="V176" s="733"/>
      <c r="W176" s="707">
        <v>401.93</v>
      </c>
      <c r="X176" s="691" t="s">
        <v>390</v>
      </c>
      <c r="Y176" s="707">
        <v>354.95</v>
      </c>
      <c r="Z176" s="763"/>
      <c r="AA176" s="707">
        <v>425</v>
      </c>
      <c r="AB176" s="763"/>
      <c r="AC176" s="690">
        <v>414</v>
      </c>
      <c r="AD176" s="720"/>
      <c r="AE176" s="696"/>
      <c r="AF176" s="696"/>
      <c r="AG176" s="696"/>
      <c r="AM176" s="896">
        <f>COUNTIF(B176:AB176,"U/P")</f>
        <v>1</v>
      </c>
      <c r="AN176" s="896">
        <f>COUNTIF(C176:AC176,"ROW")</f>
        <v>0</v>
      </c>
      <c r="AO176" s="896">
        <f>COUNTIF(D176:AD176,"C")</f>
        <v>0</v>
      </c>
    </row>
    <row r="177" spans="1:41" ht="34" thickBot="1">
      <c r="A177" s="469"/>
      <c r="B177" s="710"/>
      <c r="C177" s="702"/>
      <c r="D177" s="710"/>
      <c r="E177" s="702"/>
      <c r="F177" s="710"/>
      <c r="G177" s="702"/>
      <c r="H177" s="710"/>
      <c r="I177" s="702"/>
      <c r="J177" s="710"/>
      <c r="K177" s="702"/>
      <c r="L177" s="710"/>
      <c r="M177" s="702"/>
      <c r="N177" s="710"/>
      <c r="O177" s="702"/>
      <c r="P177" s="710"/>
      <c r="Q177" s="702"/>
      <c r="R177" s="710"/>
      <c r="S177" s="702"/>
      <c r="T177" s="710"/>
      <c r="U177" s="702"/>
      <c r="V177" s="710"/>
      <c r="W177" s="702"/>
      <c r="X177" s="710"/>
      <c r="Y177" s="702"/>
      <c r="Z177" s="710"/>
      <c r="AA177" s="702"/>
      <c r="AB177" s="710"/>
      <c r="AC177" s="702"/>
      <c r="AD177" s="720"/>
      <c r="AE177" s="696"/>
      <c r="AF177" s="696"/>
      <c r="AG177" s="696"/>
    </row>
    <row r="178" spans="1:41" ht="33.5">
      <c r="A178" s="469"/>
      <c r="B178" s="698" t="s">
        <v>182</v>
      </c>
      <c r="C178" s="698"/>
      <c r="D178" s="698" t="s">
        <v>182</v>
      </c>
      <c r="E178" s="698"/>
      <c r="F178" s="699" t="s">
        <v>115</v>
      </c>
      <c r="G178" s="698"/>
      <c r="H178" s="698" t="s">
        <v>242</v>
      </c>
      <c r="I178" s="698"/>
      <c r="J178" s="699" t="s">
        <v>119</v>
      </c>
      <c r="K178" s="698"/>
      <c r="L178" s="698" t="s">
        <v>182</v>
      </c>
      <c r="M178" s="698"/>
      <c r="N178" s="698" t="s">
        <v>185</v>
      </c>
      <c r="O178" s="698"/>
      <c r="P178" s="698" t="s">
        <v>182</v>
      </c>
      <c r="Q178" s="698"/>
      <c r="R178" s="698" t="s">
        <v>185</v>
      </c>
      <c r="S178" s="698"/>
      <c r="T178" s="698" t="s">
        <v>242</v>
      </c>
      <c r="U178" s="698"/>
      <c r="V178" s="699" t="s">
        <v>115</v>
      </c>
      <c r="W178" s="698"/>
      <c r="X178" s="698" t="s">
        <v>185</v>
      </c>
      <c r="Y178" s="698"/>
      <c r="Z178" s="699" t="s">
        <v>125</v>
      </c>
      <c r="AA178" s="698"/>
      <c r="AB178" s="698" t="s">
        <v>248</v>
      </c>
      <c r="AC178" s="702"/>
      <c r="AD178" s="720"/>
      <c r="AE178" s="696"/>
      <c r="AF178" s="696"/>
      <c r="AG178" s="696"/>
    </row>
    <row r="179" spans="1:41" ht="26">
      <c r="A179" s="469"/>
      <c r="B179" s="716"/>
      <c r="C179" s="716"/>
      <c r="D179" s="716"/>
      <c r="E179" s="716"/>
      <c r="F179" s="764"/>
      <c r="G179" s="716"/>
      <c r="H179" s="716"/>
      <c r="I179" s="716"/>
      <c r="J179" s="764"/>
      <c r="K179" s="716"/>
      <c r="L179" s="716"/>
      <c r="M179" s="716"/>
      <c r="N179" s="716"/>
      <c r="O179" s="716"/>
      <c r="P179" s="716"/>
      <c r="Q179" s="716"/>
      <c r="R179" s="716"/>
      <c r="S179" s="716"/>
      <c r="T179" s="716"/>
      <c r="U179" s="716"/>
      <c r="V179" s="764"/>
      <c r="W179" s="716"/>
      <c r="X179" s="716"/>
      <c r="Y179" s="716"/>
      <c r="Z179" s="764"/>
      <c r="AA179" s="716"/>
      <c r="AB179" s="716"/>
      <c r="AC179" s="705"/>
      <c r="AD179" s="703"/>
      <c r="AE179" s="696"/>
      <c r="AF179" s="696"/>
      <c r="AG179" s="696"/>
    </row>
    <row r="180" spans="1:41" ht="33.5">
      <c r="A180" s="469"/>
      <c r="B180" s="716"/>
      <c r="C180" s="716"/>
      <c r="D180" s="716"/>
      <c r="E180" s="716"/>
      <c r="F180" s="716"/>
      <c r="G180" s="716"/>
      <c r="H180" s="716"/>
      <c r="I180" s="716"/>
      <c r="J180" s="716"/>
      <c r="K180" s="716"/>
      <c r="L180" s="716"/>
      <c r="M180" s="716"/>
      <c r="N180" s="765" t="s">
        <v>1526</v>
      </c>
      <c r="O180" s="716"/>
      <c r="P180" s="716"/>
      <c r="Q180" s="716"/>
      <c r="R180" s="716"/>
      <c r="S180" s="716"/>
      <c r="T180" s="716"/>
      <c r="U180" s="716"/>
      <c r="V180" s="716"/>
      <c r="W180" s="716"/>
      <c r="X180" s="782" t="s">
        <v>454</v>
      </c>
      <c r="Y180" s="716"/>
      <c r="Z180" s="716"/>
      <c r="AA180" s="716"/>
      <c r="AB180" s="716"/>
      <c r="AC180" s="705"/>
      <c r="AD180" s="703"/>
      <c r="AE180" s="696"/>
      <c r="AF180" s="696"/>
      <c r="AG180" s="696"/>
    </row>
    <row r="181" spans="1:41" ht="36" customHeight="1">
      <c r="A181" s="747"/>
      <c r="B181" s="735"/>
      <c r="C181" s="735"/>
      <c r="D181" s="735"/>
      <c r="E181" s="735"/>
      <c r="F181" s="761"/>
      <c r="G181" s="735"/>
      <c r="H181" s="735"/>
      <c r="I181" s="735"/>
      <c r="J181" s="735"/>
      <c r="K181" s="735"/>
      <c r="L181" s="735"/>
      <c r="M181" s="735"/>
      <c r="N181" s="735"/>
      <c r="O181" s="735"/>
      <c r="P181" s="735"/>
      <c r="Q181" s="735"/>
      <c r="R181" s="735"/>
      <c r="S181" s="735"/>
      <c r="T181" s="735"/>
      <c r="U181" s="735"/>
      <c r="V181" s="735"/>
      <c r="W181" s="735"/>
      <c r="X181" s="907" t="s">
        <v>228</v>
      </c>
      <c r="Y181" s="735"/>
      <c r="Z181" s="735"/>
      <c r="AA181" s="735"/>
      <c r="AB181" s="735"/>
      <c r="AC181" s="735"/>
      <c r="AD181" s="735"/>
      <c r="AE181" s="735"/>
      <c r="AF181" s="735"/>
      <c r="AG181" s="735"/>
      <c r="AH181" s="735"/>
      <c r="AI181" s="735"/>
      <c r="AJ181" s="735"/>
      <c r="AK181" s="735"/>
      <c r="AL181" s="735"/>
    </row>
    <row r="182" spans="1:41" ht="21.75" customHeight="1">
      <c r="A182" s="697"/>
      <c r="B182" s="684" t="s">
        <v>385</v>
      </c>
      <c r="C182" s="683"/>
      <c r="D182" s="684" t="s">
        <v>386</v>
      </c>
      <c r="E182" s="683"/>
      <c r="F182" s="684" t="s">
        <v>257</v>
      </c>
      <c r="G182" s="683"/>
      <c r="H182" s="684" t="s">
        <v>387</v>
      </c>
      <c r="I182" s="683"/>
      <c r="J182" s="684" t="s">
        <v>267</v>
      </c>
      <c r="K182" s="683"/>
      <c r="L182" s="684" t="s">
        <v>268</v>
      </c>
      <c r="M182" s="683"/>
      <c r="N182" s="684" t="s">
        <v>269</v>
      </c>
      <c r="O182" s="683"/>
      <c r="P182" s="684" t="s">
        <v>227</v>
      </c>
      <c r="Q182" s="683"/>
      <c r="R182" s="684" t="s">
        <v>271</v>
      </c>
      <c r="S182" s="683"/>
      <c r="T182" s="684" t="s">
        <v>391</v>
      </c>
      <c r="U182" s="683"/>
      <c r="V182" s="684" t="s">
        <v>392</v>
      </c>
      <c r="W182" s="683"/>
      <c r="X182" s="684" t="s">
        <v>393</v>
      </c>
      <c r="Y182" s="683"/>
      <c r="Z182" s="684" t="s">
        <v>394</v>
      </c>
      <c r="AA182" s="683"/>
      <c r="AB182" s="684" t="s">
        <v>225</v>
      </c>
      <c r="AC182" s="702"/>
      <c r="AD182" s="720"/>
      <c r="AE182" s="696"/>
      <c r="AF182" s="696"/>
      <c r="AG182" s="696"/>
    </row>
    <row r="183" spans="1:41" ht="33.5">
      <c r="A183" s="697"/>
      <c r="B183" s="712"/>
      <c r="C183" s="698"/>
      <c r="D183" s="712"/>
      <c r="E183" s="702"/>
      <c r="F183" s="712"/>
      <c r="G183" s="702"/>
      <c r="H183" s="712"/>
      <c r="I183" s="702"/>
      <c r="J183" s="712"/>
      <c r="K183" s="702"/>
      <c r="L183" s="712"/>
      <c r="M183" s="702"/>
      <c r="N183" s="712"/>
      <c r="O183" s="702"/>
      <c r="P183" s="712"/>
      <c r="Q183" s="702"/>
      <c r="R183" s="712"/>
      <c r="S183" s="702"/>
      <c r="T183" s="712"/>
      <c r="U183" s="702"/>
      <c r="V183" s="712"/>
      <c r="W183" s="702"/>
      <c r="X183" s="712"/>
      <c r="Y183" s="702"/>
      <c r="Z183" s="712"/>
      <c r="AA183" s="702"/>
      <c r="AB183" s="712"/>
      <c r="AC183" s="702"/>
      <c r="AD183" s="720"/>
      <c r="AE183" s="696"/>
      <c r="AF183" s="696"/>
      <c r="AG183" s="696"/>
    </row>
    <row r="184" spans="1:41" ht="16" customHeight="1" thickBot="1">
      <c r="A184" s="697"/>
      <c r="B184" s="714"/>
      <c r="C184" s="702"/>
      <c r="D184" s="714"/>
      <c r="E184" s="702"/>
      <c r="F184" s="714"/>
      <c r="G184" s="702"/>
      <c r="H184" s="714"/>
      <c r="I184" s="702"/>
      <c r="J184" s="714"/>
      <c r="K184" s="702"/>
      <c r="L184" s="714"/>
      <c r="M184" s="702"/>
      <c r="N184" s="714"/>
      <c r="O184" s="702"/>
      <c r="P184" s="714"/>
      <c r="Q184" s="702"/>
      <c r="R184" s="714"/>
      <c r="S184" s="702"/>
      <c r="T184" s="714"/>
      <c r="U184" s="702"/>
      <c r="V184" s="714"/>
      <c r="W184" s="702"/>
      <c r="X184" s="714"/>
      <c r="Y184" s="702"/>
      <c r="Z184" s="714"/>
      <c r="AA184" s="702"/>
      <c r="AB184" s="714"/>
      <c r="AC184" s="702"/>
      <c r="AD184" s="720"/>
      <c r="AE184" s="696"/>
      <c r="AF184" s="696"/>
      <c r="AG184" s="696"/>
    </row>
    <row r="185" spans="1:41" ht="100" customHeight="1" thickBot="1">
      <c r="A185" s="697"/>
      <c r="B185" s="733"/>
      <c r="C185" s="707">
        <v>353.05</v>
      </c>
      <c r="D185" s="733"/>
      <c r="E185" s="707">
        <v>441.06</v>
      </c>
      <c r="F185" s="733"/>
      <c r="G185" s="707">
        <v>387.5</v>
      </c>
      <c r="H185" s="733"/>
      <c r="I185" s="707">
        <v>372.63</v>
      </c>
      <c r="J185" s="732" t="s">
        <v>390</v>
      </c>
      <c r="K185" s="707">
        <v>415.3</v>
      </c>
      <c r="L185" s="733"/>
      <c r="M185" s="707">
        <v>424.58</v>
      </c>
      <c r="N185" s="733"/>
      <c r="O185" s="707">
        <v>391.7</v>
      </c>
      <c r="P185" s="733"/>
      <c r="Q185" s="707">
        <v>410.47</v>
      </c>
      <c r="R185" s="733"/>
      <c r="S185" s="707">
        <v>385.54</v>
      </c>
      <c r="T185" s="733"/>
      <c r="U185" s="707">
        <v>418.31</v>
      </c>
      <c r="V185" s="733"/>
      <c r="W185" s="707">
        <v>421.47</v>
      </c>
      <c r="X185" s="733"/>
      <c r="Y185" s="707">
        <v>401.98</v>
      </c>
      <c r="Z185" s="733"/>
      <c r="AA185" s="707">
        <v>429.38</v>
      </c>
      <c r="AB185" s="733"/>
      <c r="AC185" s="707">
        <v>403.83</v>
      </c>
      <c r="AD185" s="720"/>
      <c r="AE185" s="696"/>
      <c r="AF185" s="696"/>
      <c r="AG185" s="696"/>
      <c r="AM185" s="896">
        <f>COUNTIF(B185:AB185,"U/P")</f>
        <v>1</v>
      </c>
      <c r="AN185" s="896">
        <f>COUNTIF(C185:AC185,"ROW")</f>
        <v>0</v>
      </c>
      <c r="AO185" s="896">
        <f>COUNTIF(D185:AD185,"C")</f>
        <v>0</v>
      </c>
    </row>
    <row r="186" spans="1:41" ht="34" thickBot="1">
      <c r="A186" s="697"/>
      <c r="B186" s="710"/>
      <c r="C186" s="702"/>
      <c r="D186" s="710"/>
      <c r="E186" s="702"/>
      <c r="F186" s="710"/>
      <c r="G186" s="702"/>
      <c r="H186" s="743"/>
      <c r="I186" s="702"/>
      <c r="J186" s="710"/>
      <c r="K186" s="702"/>
      <c r="L186" s="710"/>
      <c r="M186" s="702"/>
      <c r="N186" s="710"/>
      <c r="O186" s="702"/>
      <c r="P186" s="710"/>
      <c r="Q186" s="702"/>
      <c r="R186" s="710"/>
      <c r="S186" s="702"/>
      <c r="T186" s="710"/>
      <c r="U186" s="702"/>
      <c r="V186" s="710"/>
      <c r="W186" s="702"/>
      <c r="X186" s="710"/>
      <c r="Y186" s="702"/>
      <c r="Z186" s="710"/>
      <c r="AA186" s="702"/>
      <c r="AB186" s="710"/>
      <c r="AC186" s="702"/>
      <c r="AD186" s="720"/>
      <c r="AE186" s="696"/>
      <c r="AF186" s="696"/>
      <c r="AG186" s="696"/>
    </row>
    <row r="187" spans="1:41" ht="33.5">
      <c r="A187" s="697"/>
      <c r="B187" s="698" t="s">
        <v>182</v>
      </c>
      <c r="C187" s="698"/>
      <c r="D187" s="699" t="s">
        <v>188</v>
      </c>
      <c r="E187" s="698"/>
      <c r="F187" s="698" t="s">
        <v>248</v>
      </c>
      <c r="G187" s="698"/>
      <c r="H187" s="699" t="s">
        <v>132</v>
      </c>
      <c r="I187" s="698"/>
      <c r="J187" s="698" t="s">
        <v>182</v>
      </c>
      <c r="K187" s="698"/>
      <c r="L187" s="698" t="s">
        <v>185</v>
      </c>
      <c r="M187" s="698"/>
      <c r="N187" s="698" t="s">
        <v>182</v>
      </c>
      <c r="O187" s="698"/>
      <c r="P187" s="698" t="s">
        <v>182</v>
      </c>
      <c r="Q187" s="698"/>
      <c r="R187" s="698" t="s">
        <v>242</v>
      </c>
      <c r="S187" s="698"/>
      <c r="T187" s="699" t="s">
        <v>188</v>
      </c>
      <c r="U187" s="698"/>
      <c r="V187" s="698" t="s">
        <v>242</v>
      </c>
      <c r="W187" s="698"/>
      <c r="X187" s="698" t="s">
        <v>182</v>
      </c>
      <c r="Y187" s="698"/>
      <c r="Z187" s="699" t="s">
        <v>115</v>
      </c>
      <c r="AA187" s="698"/>
      <c r="AB187" s="698" t="s">
        <v>185</v>
      </c>
      <c r="AC187" s="702"/>
      <c r="AD187" s="720"/>
      <c r="AE187" s="696"/>
      <c r="AF187" s="696"/>
      <c r="AG187" s="696"/>
    </row>
    <row r="188" spans="1:41" ht="58.5" customHeight="1">
      <c r="A188" s="1516" t="s">
        <v>1527</v>
      </c>
      <c r="B188" s="1517"/>
      <c r="C188" s="698"/>
      <c r="D188" s="768" t="s">
        <v>454</v>
      </c>
      <c r="E188" s="713"/>
      <c r="F188" s="768" t="s">
        <v>1526</v>
      </c>
      <c r="G188" s="713"/>
      <c r="H188" s="768" t="s">
        <v>1526</v>
      </c>
      <c r="I188" s="713"/>
      <c r="J188" s="768" t="s">
        <v>1526</v>
      </c>
      <c r="K188" s="698"/>
      <c r="L188" s="698"/>
      <c r="M188" s="698"/>
      <c r="N188" s="698"/>
      <c r="O188" s="698"/>
      <c r="P188" s="698"/>
      <c r="Q188" s="698"/>
      <c r="R188" s="698"/>
      <c r="S188" s="698"/>
      <c r="T188" s="698"/>
      <c r="U188" s="698"/>
      <c r="V188" s="752"/>
      <c r="W188" s="698"/>
      <c r="X188" s="698"/>
      <c r="Y188" s="698"/>
      <c r="Z188" s="698"/>
      <c r="AA188" s="698"/>
      <c r="AB188" s="698"/>
      <c r="AC188" s="702"/>
      <c r="AD188" s="720"/>
      <c r="AE188" s="696"/>
      <c r="AF188" s="696"/>
      <c r="AG188" s="696"/>
    </row>
    <row r="189" spans="1:41" ht="36">
      <c r="A189" s="762"/>
      <c r="B189" s="762"/>
      <c r="C189" s="762"/>
      <c r="D189" s="762"/>
      <c r="E189" s="762"/>
      <c r="F189" s="762"/>
      <c r="G189" s="762"/>
      <c r="H189" s="761" t="s">
        <v>228</v>
      </c>
      <c r="I189" s="762"/>
      <c r="J189" s="762"/>
      <c r="K189" s="762"/>
      <c r="L189" s="762"/>
      <c r="M189" s="762"/>
      <c r="N189" s="762"/>
      <c r="O189" s="762"/>
      <c r="P189" s="762"/>
      <c r="Q189" s="762"/>
      <c r="R189" s="762"/>
      <c r="S189" s="762"/>
      <c r="T189" s="841"/>
      <c r="U189" s="762"/>
      <c r="V189" s="762"/>
      <c r="W189" s="762"/>
      <c r="X189" s="762"/>
      <c r="Y189" s="762"/>
      <c r="Z189" s="761" t="s">
        <v>228</v>
      </c>
      <c r="AA189" s="762"/>
      <c r="AB189" s="762"/>
      <c r="AC189" s="762"/>
      <c r="AD189" s="762"/>
      <c r="AE189" s="762"/>
      <c r="AF189" s="762"/>
      <c r="AG189" s="762"/>
      <c r="AH189" s="762"/>
      <c r="AI189" s="762"/>
      <c r="AJ189" s="762"/>
      <c r="AK189" s="762"/>
      <c r="AL189" s="762"/>
    </row>
    <row r="190" spans="1:41" ht="15" customHeight="1">
      <c r="B190" s="703"/>
      <c r="C190" s="705"/>
      <c r="D190" s="703"/>
      <c r="E190" s="705"/>
      <c r="F190" s="703"/>
      <c r="G190" s="705"/>
      <c r="H190" s="703"/>
      <c r="I190" s="705"/>
      <c r="J190" s="703"/>
      <c r="K190" s="705"/>
      <c r="L190" s="703"/>
      <c r="M190" s="705"/>
      <c r="N190" s="703"/>
      <c r="O190" s="705"/>
      <c r="P190" s="703"/>
      <c r="Q190" s="705"/>
      <c r="R190" s="703"/>
      <c r="S190" s="705"/>
      <c r="T190" s="703"/>
      <c r="U190" s="705"/>
      <c r="V190" s="703"/>
      <c r="W190" s="705"/>
      <c r="X190" s="703"/>
      <c r="Y190" s="705"/>
      <c r="Z190" s="703"/>
      <c r="AA190" s="705"/>
      <c r="AB190" s="703"/>
      <c r="AC190" s="705"/>
      <c r="AD190" s="703"/>
      <c r="AE190" s="696"/>
      <c r="AF190" s="696"/>
      <c r="AG190" s="696"/>
    </row>
    <row r="191" spans="1:41" ht="31" customHeight="1">
      <c r="B191" s="684" t="s">
        <v>395</v>
      </c>
      <c r="C191" s="683"/>
      <c r="D191" s="684" t="s">
        <v>396</v>
      </c>
      <c r="E191" s="683"/>
      <c r="F191" s="684" t="s">
        <v>258</v>
      </c>
      <c r="G191" s="683"/>
      <c r="H191" s="684" t="s">
        <v>398</v>
      </c>
      <c r="I191" s="683"/>
      <c r="J191" s="684" t="s">
        <v>262</v>
      </c>
      <c r="K191" s="683"/>
      <c r="L191" s="684" t="s">
        <v>244</v>
      </c>
      <c r="M191" s="683"/>
      <c r="N191" s="684" t="s">
        <v>399</v>
      </c>
      <c r="O191" s="683"/>
      <c r="P191" s="684" t="s">
        <v>277</v>
      </c>
      <c r="Q191" s="683"/>
      <c r="R191" s="684" t="s">
        <v>280</v>
      </c>
      <c r="S191" s="683"/>
      <c r="T191" s="684" t="s">
        <v>400</v>
      </c>
      <c r="U191" s="683"/>
      <c r="V191" s="684" t="s">
        <v>401</v>
      </c>
      <c r="W191" s="683"/>
      <c r="X191" s="684" t="s">
        <v>402</v>
      </c>
      <c r="Y191" s="683"/>
      <c r="Z191" s="684" t="s">
        <v>403</v>
      </c>
      <c r="AA191" s="683"/>
      <c r="AB191" s="684" t="s">
        <v>404</v>
      </c>
      <c r="AC191" s="702"/>
      <c r="AD191" s="703"/>
      <c r="AE191" s="696"/>
      <c r="AF191" s="696"/>
      <c r="AG191" s="696"/>
    </row>
    <row r="192" spans="1:41" ht="33.5">
      <c r="B192" s="712"/>
      <c r="C192" s="702"/>
      <c r="D192" s="712"/>
      <c r="E192" s="702"/>
      <c r="F192" s="712"/>
      <c r="G192" s="702"/>
      <c r="H192" s="712"/>
      <c r="I192" s="702"/>
      <c r="J192" s="712"/>
      <c r="K192" s="698"/>
      <c r="L192" s="712"/>
      <c r="M192" s="702"/>
      <c r="N192" s="712"/>
      <c r="O192" s="702"/>
      <c r="P192" s="712"/>
      <c r="Q192" s="698"/>
      <c r="R192" s="712"/>
      <c r="S192" s="698"/>
      <c r="T192" s="712"/>
      <c r="U192" s="702"/>
      <c r="V192" s="712"/>
      <c r="W192" s="702"/>
      <c r="X192" s="712"/>
      <c r="Y192" s="702"/>
      <c r="Z192" s="712"/>
      <c r="AA192" s="702"/>
      <c r="AB192" s="712"/>
      <c r="AC192" s="702"/>
      <c r="AD192" s="703"/>
      <c r="AE192" s="696"/>
      <c r="AF192" s="696"/>
      <c r="AG192" s="696"/>
    </row>
    <row r="193" spans="1:41" ht="15.5" customHeight="1" thickBot="1">
      <c r="B193" s="714"/>
      <c r="C193" s="702"/>
      <c r="D193" s="714"/>
      <c r="E193" s="702"/>
      <c r="F193" s="714"/>
      <c r="G193" s="702"/>
      <c r="H193" s="714"/>
      <c r="I193" s="702"/>
      <c r="J193" s="714"/>
      <c r="K193" s="702"/>
      <c r="L193" s="714"/>
      <c r="M193" s="702"/>
      <c r="N193" s="714"/>
      <c r="O193" s="702"/>
      <c r="P193" s="714"/>
      <c r="Q193" s="702"/>
      <c r="R193" s="714"/>
      <c r="S193" s="702"/>
      <c r="T193" s="714"/>
      <c r="U193" s="702"/>
      <c r="V193" s="714"/>
      <c r="W193" s="702"/>
      <c r="X193" s="714"/>
      <c r="Y193" s="702"/>
      <c r="Z193" s="714"/>
      <c r="AA193" s="702"/>
      <c r="AB193" s="714"/>
      <c r="AC193" s="702"/>
      <c r="AD193" s="703"/>
      <c r="AE193" s="696"/>
      <c r="AF193" s="696"/>
      <c r="AG193" s="696"/>
    </row>
    <row r="194" spans="1:41" ht="100" customHeight="1" thickBot="1">
      <c r="B194" s="733"/>
      <c r="C194" s="707">
        <v>384.63</v>
      </c>
      <c r="D194" s="733"/>
      <c r="E194" s="707">
        <v>380.68200000000002</v>
      </c>
      <c r="F194" s="733"/>
      <c r="G194" s="707">
        <v>354.52600000000001</v>
      </c>
      <c r="H194" s="733"/>
      <c r="I194" s="707">
        <v>405.57400000000001</v>
      </c>
      <c r="J194" s="733"/>
      <c r="K194" s="707">
        <v>416.87400000000002</v>
      </c>
      <c r="L194" s="733"/>
      <c r="M194" s="707">
        <v>380.76600000000002</v>
      </c>
      <c r="N194" s="733"/>
      <c r="O194" s="707">
        <v>411.81</v>
      </c>
      <c r="P194" s="733"/>
      <c r="Q194" s="769">
        <v>392.08</v>
      </c>
      <c r="R194" s="733"/>
      <c r="S194" s="770">
        <v>296.87</v>
      </c>
      <c r="T194" s="691" t="s">
        <v>228</v>
      </c>
      <c r="U194" s="707">
        <v>412.4</v>
      </c>
      <c r="V194" s="691" t="s">
        <v>228</v>
      </c>
      <c r="W194" s="707">
        <v>382.17</v>
      </c>
      <c r="X194" s="691" t="s">
        <v>228</v>
      </c>
      <c r="Y194" s="707">
        <v>452.74</v>
      </c>
      <c r="Z194" s="691" t="s">
        <v>228</v>
      </c>
      <c r="AA194" s="707">
        <v>420.21</v>
      </c>
      <c r="AB194" s="691" t="s">
        <v>228</v>
      </c>
      <c r="AC194" s="707">
        <v>395.01</v>
      </c>
      <c r="AD194" s="703"/>
      <c r="AE194" s="696"/>
      <c r="AF194" s="696"/>
      <c r="AG194" s="696"/>
      <c r="AM194" s="896">
        <f>COUNTIF(B194:AB194,"U/P")</f>
        <v>0</v>
      </c>
      <c r="AN194" s="896">
        <f>COUNTIF(C194:AC194,"ROW")</f>
        <v>5</v>
      </c>
      <c r="AO194" s="896">
        <f>COUNTIF(B194:AD194,"C")</f>
        <v>0</v>
      </c>
    </row>
    <row r="195" spans="1:41" ht="34" thickBot="1">
      <c r="B195" s="1066"/>
      <c r="C195" s="702"/>
      <c r="D195" s="710"/>
      <c r="E195" s="702"/>
      <c r="F195" s="710"/>
      <c r="G195" s="702"/>
      <c r="H195" s="710"/>
      <c r="I195" s="702"/>
      <c r="J195" s="710"/>
      <c r="K195" s="702"/>
      <c r="L195" s="710"/>
      <c r="M195" s="702"/>
      <c r="N195" s="710"/>
      <c r="O195" s="702"/>
      <c r="P195" s="710"/>
      <c r="Q195" s="702"/>
      <c r="R195" s="710"/>
      <c r="S195" s="702"/>
      <c r="T195" s="710"/>
      <c r="U195" s="702"/>
      <c r="V195" s="710"/>
      <c r="W195" s="702"/>
      <c r="X195" s="710"/>
      <c r="Y195" s="702"/>
      <c r="Z195" s="710"/>
      <c r="AA195" s="702"/>
      <c r="AB195" s="710"/>
      <c r="AC195" s="720"/>
      <c r="AD195" s="703"/>
      <c r="AE195" s="696"/>
      <c r="AF195" s="696"/>
      <c r="AG195" s="696"/>
    </row>
    <row r="196" spans="1:41" ht="33.5">
      <c r="B196" s="699" t="s">
        <v>128</v>
      </c>
      <c r="C196" s="698"/>
      <c r="D196" s="699" t="s">
        <v>115</v>
      </c>
      <c r="E196" s="698"/>
      <c r="F196" s="698" t="s">
        <v>182</v>
      </c>
      <c r="G196" s="698"/>
      <c r="H196" s="699" t="s">
        <v>125</v>
      </c>
      <c r="I196" s="698"/>
      <c r="J196" s="698" t="s">
        <v>242</v>
      </c>
      <c r="K196" s="698"/>
      <c r="L196" s="698" t="s">
        <v>182</v>
      </c>
      <c r="M196" s="698"/>
      <c r="N196" s="699" t="s">
        <v>115</v>
      </c>
      <c r="O196" s="698"/>
      <c r="P196" s="698" t="s">
        <v>185</v>
      </c>
      <c r="Q196" s="698"/>
      <c r="R196" s="698" t="s">
        <v>248</v>
      </c>
      <c r="S196" s="698"/>
      <c r="T196" s="699" t="s">
        <v>128</v>
      </c>
      <c r="U196" s="698"/>
      <c r="V196" s="699" t="s">
        <v>115</v>
      </c>
      <c r="W196" s="698"/>
      <c r="X196" s="698" t="s">
        <v>248</v>
      </c>
      <c r="Y196" s="698"/>
      <c r="Z196" s="699" t="s">
        <v>115</v>
      </c>
      <c r="AA196" s="698"/>
      <c r="AB196" s="698" t="s">
        <v>248</v>
      </c>
      <c r="AC196" s="720"/>
      <c r="AD196" s="703"/>
      <c r="AE196" s="696"/>
      <c r="AF196" s="696"/>
      <c r="AG196" s="696"/>
    </row>
    <row r="197" spans="1:41" ht="27" customHeight="1">
      <c r="A197" s="735"/>
      <c r="B197" s="1064"/>
      <c r="C197" s="841"/>
      <c r="D197" s="841"/>
      <c r="E197" s="735"/>
      <c r="F197" s="735"/>
      <c r="G197" s="735"/>
      <c r="H197" s="735"/>
      <c r="I197" s="735"/>
      <c r="J197" s="735"/>
      <c r="K197" s="735"/>
      <c r="L197" s="735"/>
      <c r="M197" s="735"/>
      <c r="N197" s="841"/>
      <c r="O197" s="735"/>
      <c r="P197" s="735"/>
      <c r="Q197" s="735"/>
      <c r="R197" s="735"/>
      <c r="S197" s="735"/>
      <c r="T197" s="1507" t="s">
        <v>1518</v>
      </c>
      <c r="U197" s="1507"/>
      <c r="V197" s="1507"/>
      <c r="W197" s="1507"/>
      <c r="X197" s="1507"/>
      <c r="Y197" s="1507"/>
      <c r="Z197" s="1507"/>
      <c r="AA197" s="1507"/>
      <c r="AB197" s="1507"/>
      <c r="AC197" s="735"/>
      <c r="AD197" s="735"/>
      <c r="AE197" s="735"/>
      <c r="AF197" s="735"/>
      <c r="AG197" s="735"/>
      <c r="AH197" s="735"/>
      <c r="AI197" s="735"/>
      <c r="AJ197" s="735"/>
      <c r="AK197" s="735"/>
      <c r="AL197" s="735"/>
    </row>
    <row r="198" spans="1:41" ht="26">
      <c r="B198" s="705"/>
      <c r="C198" s="705"/>
      <c r="D198" s="703"/>
      <c r="E198" s="705"/>
      <c r="F198" s="703"/>
      <c r="G198" s="705"/>
      <c r="H198" s="703"/>
      <c r="I198" s="705"/>
      <c r="J198" s="703"/>
      <c r="K198" s="705"/>
      <c r="L198" s="703"/>
      <c r="M198" s="705"/>
      <c r="N198" s="703"/>
      <c r="O198" s="705"/>
      <c r="P198" s="703"/>
      <c r="Q198" s="705"/>
      <c r="R198" s="703"/>
      <c r="S198" s="705"/>
      <c r="T198" s="703"/>
      <c r="U198" s="705"/>
      <c r="V198" s="703"/>
      <c r="W198" s="705"/>
      <c r="X198" s="703"/>
      <c r="Y198" s="705"/>
      <c r="Z198" s="703"/>
      <c r="AA198" s="705"/>
      <c r="AB198" s="703"/>
      <c r="AC198" s="703"/>
      <c r="AD198" s="703"/>
      <c r="AE198" s="696"/>
      <c r="AF198" s="696"/>
      <c r="AG198" s="696"/>
    </row>
    <row r="199" spans="1:41" ht="28" customHeight="1">
      <c r="B199" s="684" t="s">
        <v>405</v>
      </c>
      <c r="C199" s="683"/>
      <c r="D199" s="684" t="s">
        <v>406</v>
      </c>
      <c r="E199" s="683"/>
      <c r="F199" s="684" t="s">
        <v>290</v>
      </c>
      <c r="G199" s="683"/>
      <c r="H199" s="684" t="s">
        <v>407</v>
      </c>
      <c r="I199" s="683"/>
      <c r="J199" s="684" t="s">
        <v>408</v>
      </c>
      <c r="K199" s="685" t="s">
        <v>1513</v>
      </c>
      <c r="L199" s="1505" t="s">
        <v>409</v>
      </c>
      <c r="M199" s="1505"/>
      <c r="N199" s="1505" t="s">
        <v>410</v>
      </c>
      <c r="O199" s="1505"/>
      <c r="P199" s="1505" t="s">
        <v>411</v>
      </c>
      <c r="Q199" s="1505"/>
      <c r="R199" s="684" t="s">
        <v>412</v>
      </c>
      <c r="S199" s="683"/>
      <c r="T199" s="684" t="s">
        <v>414</v>
      </c>
      <c r="U199" s="683"/>
      <c r="V199" s="741" t="s">
        <v>1280</v>
      </c>
      <c r="W199" s="683"/>
      <c r="X199" s="1505" t="s">
        <v>217</v>
      </c>
      <c r="Y199" s="1505"/>
      <c r="Z199" s="1505" t="s">
        <v>416</v>
      </c>
      <c r="AA199" s="1505"/>
      <c r="AB199" s="684" t="s">
        <v>294</v>
      </c>
      <c r="AC199" s="720"/>
      <c r="AD199" s="703"/>
      <c r="AE199" s="696"/>
      <c r="AF199" s="696"/>
      <c r="AG199" s="696"/>
    </row>
    <row r="200" spans="1:41" ht="33.5">
      <c r="A200" s="469"/>
      <c r="B200" s="712"/>
      <c r="C200" s="702"/>
      <c r="D200" s="712"/>
      <c r="E200" s="702"/>
      <c r="F200" s="712"/>
      <c r="G200" s="702"/>
      <c r="H200" s="712"/>
      <c r="I200" s="702"/>
      <c r="J200" s="712"/>
      <c r="K200" s="702"/>
      <c r="L200" s="712"/>
      <c r="M200" s="702"/>
      <c r="N200" s="712"/>
      <c r="O200" s="702"/>
      <c r="P200" s="712"/>
      <c r="Q200" s="702"/>
      <c r="R200" s="712"/>
      <c r="S200" s="702"/>
      <c r="T200" s="712"/>
      <c r="U200" s="702"/>
      <c r="V200" s="712"/>
      <c r="W200" s="702"/>
      <c r="X200" s="712"/>
      <c r="Y200" s="702"/>
      <c r="Z200" s="712"/>
      <c r="AA200" s="702"/>
      <c r="AB200" s="712"/>
      <c r="AC200" s="720"/>
      <c r="AD200" s="703"/>
      <c r="AE200" s="696"/>
      <c r="AF200" s="696"/>
      <c r="AG200" s="696"/>
    </row>
    <row r="201" spans="1:41" ht="15" customHeight="1" thickBot="1">
      <c r="A201" s="469"/>
      <c r="B201" s="714"/>
      <c r="C201" s="702"/>
      <c r="D201" s="714"/>
      <c r="E201" s="702"/>
      <c r="F201" s="714"/>
      <c r="G201" s="702"/>
      <c r="H201" s="714"/>
      <c r="I201" s="702"/>
      <c r="J201" s="714"/>
      <c r="K201" s="702"/>
      <c r="L201" s="714"/>
      <c r="M201" s="702"/>
      <c r="N201" s="714"/>
      <c r="O201" s="702"/>
      <c r="P201" s="714"/>
      <c r="Q201" s="702"/>
      <c r="R201" s="714"/>
      <c r="S201" s="702"/>
      <c r="T201" s="714"/>
      <c r="U201" s="702"/>
      <c r="V201" s="714"/>
      <c r="W201" s="702"/>
      <c r="X201" s="714"/>
      <c r="Y201" s="702"/>
      <c r="Z201" s="714"/>
      <c r="AA201" s="702"/>
      <c r="AB201" s="714"/>
      <c r="AC201" s="720"/>
      <c r="AD201" s="703"/>
      <c r="AE201" s="696"/>
      <c r="AF201" s="696"/>
      <c r="AG201" s="696"/>
      <c r="AH201" s="771"/>
      <c r="AI201" s="771"/>
      <c r="AJ201" s="771"/>
      <c r="AK201" s="771"/>
      <c r="AL201" s="771"/>
      <c r="AM201" s="771"/>
      <c r="AN201" s="771"/>
    </row>
    <row r="202" spans="1:41" ht="100" customHeight="1" thickBot="1">
      <c r="A202" s="469"/>
      <c r="B202" s="691" t="s">
        <v>228</v>
      </c>
      <c r="C202" s="707">
        <v>386.74</v>
      </c>
      <c r="D202" s="733"/>
      <c r="E202" s="770">
        <v>378.62</v>
      </c>
      <c r="F202" s="733"/>
      <c r="G202" s="707">
        <v>350.21499999999997</v>
      </c>
      <c r="H202" s="691" t="s">
        <v>228</v>
      </c>
      <c r="I202" s="707">
        <v>357.91</v>
      </c>
      <c r="J202" s="691" t="s">
        <v>228</v>
      </c>
      <c r="K202" s="707">
        <v>237.48</v>
      </c>
      <c r="L202" s="691" t="s">
        <v>228</v>
      </c>
      <c r="M202" s="707">
        <v>440.03</v>
      </c>
      <c r="N202" s="733"/>
      <c r="O202" s="707">
        <v>503.74</v>
      </c>
      <c r="P202" s="733"/>
      <c r="Q202" s="707">
        <v>437</v>
      </c>
      <c r="R202" s="733"/>
      <c r="S202" s="707">
        <v>430</v>
      </c>
      <c r="T202" s="733"/>
      <c r="U202" s="770">
        <v>409.27</v>
      </c>
      <c r="V202" s="733"/>
      <c r="W202" s="707">
        <v>312.45</v>
      </c>
      <c r="X202" s="733"/>
      <c r="Y202" s="707">
        <v>314.25</v>
      </c>
      <c r="Z202" s="733"/>
      <c r="AA202" s="707">
        <v>361.96</v>
      </c>
      <c r="AB202" s="733"/>
      <c r="AC202" s="715">
        <v>329.49</v>
      </c>
      <c r="AD202" s="703"/>
      <c r="AE202" s="696"/>
      <c r="AF202" s="696"/>
      <c r="AG202" s="696"/>
      <c r="AM202" s="896">
        <f>COUNTIF(B202:AB202,"U/P")</f>
        <v>0</v>
      </c>
      <c r="AN202" s="896">
        <f>COUNTIF(C202:AC202,"ROW")</f>
        <v>3</v>
      </c>
      <c r="AO202" s="896">
        <f>COUNTIF(D202:AD202,"C")</f>
        <v>0</v>
      </c>
    </row>
    <row r="203" spans="1:41" ht="34" thickBot="1">
      <c r="A203" s="469"/>
      <c r="B203" s="710"/>
      <c r="C203" s="702"/>
      <c r="D203" s="710"/>
      <c r="E203" s="702"/>
      <c r="F203" s="710"/>
      <c r="G203" s="702"/>
      <c r="H203" s="710"/>
      <c r="I203" s="702"/>
      <c r="J203" s="710"/>
      <c r="K203" s="702"/>
      <c r="L203" s="710" t="s">
        <v>228</v>
      </c>
      <c r="M203" s="702"/>
      <c r="N203" s="710"/>
      <c r="O203" s="702"/>
      <c r="P203" s="710"/>
      <c r="Q203" s="702"/>
      <c r="R203" s="710"/>
      <c r="S203" s="702"/>
      <c r="T203" s="710"/>
      <c r="U203" s="702"/>
      <c r="V203" s="710"/>
      <c r="W203" s="702"/>
      <c r="X203" s="710"/>
      <c r="Y203" s="702"/>
      <c r="Z203" s="710"/>
      <c r="AA203" s="702"/>
      <c r="AB203" s="710"/>
      <c r="AC203" s="720"/>
      <c r="AD203" s="703"/>
      <c r="AE203" s="696"/>
      <c r="AF203" s="696"/>
      <c r="AG203" s="696"/>
    </row>
    <row r="204" spans="1:41" ht="33.5">
      <c r="A204" s="772"/>
      <c r="B204" s="773" t="s">
        <v>125</v>
      </c>
      <c r="C204" s="698"/>
      <c r="D204" s="698" t="s">
        <v>182</v>
      </c>
      <c r="E204" s="698"/>
      <c r="F204" s="698" t="s">
        <v>182</v>
      </c>
      <c r="G204" s="698"/>
      <c r="H204" s="698" t="s">
        <v>182</v>
      </c>
      <c r="I204" s="698"/>
      <c r="J204" s="699" t="s">
        <v>115</v>
      </c>
      <c r="K204" s="698"/>
      <c r="L204" s="699" t="s">
        <v>115</v>
      </c>
      <c r="M204" s="698"/>
      <c r="N204" s="699" t="s">
        <v>167</v>
      </c>
      <c r="O204" s="698"/>
      <c r="P204" s="699" t="s">
        <v>132</v>
      </c>
      <c r="Q204" s="698"/>
      <c r="R204" s="699" t="s">
        <v>119</v>
      </c>
      <c r="S204" s="698"/>
      <c r="T204" s="698" t="s">
        <v>248</v>
      </c>
      <c r="U204" s="698"/>
      <c r="V204" s="699" t="s">
        <v>119</v>
      </c>
      <c r="W204" s="698"/>
      <c r="X204" s="698" t="s">
        <v>182</v>
      </c>
      <c r="Y204" s="698"/>
      <c r="Z204" s="699" t="s">
        <v>115</v>
      </c>
      <c r="AA204" s="698"/>
      <c r="AB204" s="698" t="s">
        <v>182</v>
      </c>
      <c r="AC204" s="720"/>
      <c r="AD204" s="703"/>
      <c r="AE204" s="696"/>
      <c r="AF204" s="696"/>
      <c r="AG204" s="696"/>
    </row>
    <row r="205" spans="1:41" ht="33.5" customHeight="1">
      <c r="A205" s="747"/>
      <c r="B205" s="761" t="s">
        <v>228</v>
      </c>
      <c r="C205" s="762"/>
      <c r="D205" s="762"/>
      <c r="E205" s="762"/>
      <c r="F205" s="762"/>
      <c r="G205" s="762"/>
      <c r="H205" s="1502" t="s">
        <v>228</v>
      </c>
      <c r="I205" s="1502"/>
      <c r="J205" s="1502"/>
      <c r="K205" s="1502"/>
      <c r="L205" s="1502"/>
      <c r="M205" s="762"/>
      <c r="N205" s="841"/>
      <c r="O205" s="735"/>
      <c r="P205" s="735"/>
      <c r="Q205" s="735"/>
      <c r="R205" s="735"/>
      <c r="S205" s="735"/>
      <c r="T205" s="735"/>
      <c r="U205" s="735"/>
      <c r="V205" s="735"/>
      <c r="W205" s="735"/>
      <c r="X205" s="735"/>
      <c r="Y205" s="735"/>
      <c r="Z205" s="735"/>
      <c r="AA205" s="735"/>
      <c r="AB205" s="735"/>
      <c r="AC205" s="735"/>
      <c r="AD205" s="735"/>
      <c r="AE205" s="735"/>
      <c r="AF205" s="735"/>
      <c r="AG205" s="735"/>
      <c r="AH205" s="735"/>
      <c r="AI205" s="735"/>
      <c r="AJ205" s="735"/>
      <c r="AK205" s="735"/>
      <c r="AL205" s="735"/>
    </row>
    <row r="206" spans="1:41" ht="23" customHeight="1">
      <c r="A206" s="469"/>
      <c r="B206" s="716"/>
      <c r="C206" s="716"/>
      <c r="D206" s="716"/>
      <c r="E206" s="716"/>
      <c r="F206" s="716"/>
      <c r="G206" s="716"/>
      <c r="H206" s="716"/>
      <c r="I206" s="716"/>
      <c r="J206" s="716"/>
      <c r="K206" s="716"/>
      <c r="L206" s="716"/>
      <c r="M206" s="716"/>
      <c r="N206" s="716"/>
      <c r="O206" s="716"/>
      <c r="P206" s="716"/>
      <c r="Q206" s="716"/>
      <c r="R206" s="716"/>
      <c r="S206" s="716"/>
      <c r="T206" s="716"/>
      <c r="U206" s="716"/>
      <c r="V206" s="716"/>
      <c r="W206" s="716"/>
      <c r="X206" s="716"/>
      <c r="Y206" s="716"/>
      <c r="Z206" s="716"/>
      <c r="AA206" s="716"/>
      <c r="AB206" s="716"/>
      <c r="AC206" s="703"/>
      <c r="AD206" s="703"/>
      <c r="AE206" s="696"/>
      <c r="AF206" s="696"/>
      <c r="AG206" s="696"/>
    </row>
    <row r="207" spans="1:41" ht="27" customHeight="1">
      <c r="A207" s="469"/>
      <c r="B207" s="684" t="s">
        <v>276</v>
      </c>
      <c r="C207" s="683"/>
      <c r="D207" s="684" t="s">
        <v>417</v>
      </c>
      <c r="E207" s="683"/>
      <c r="F207" s="684" t="s">
        <v>418</v>
      </c>
      <c r="G207" s="683"/>
      <c r="H207" s="684" t="s">
        <v>419</v>
      </c>
      <c r="I207" s="683"/>
      <c r="J207" s="684" t="s">
        <v>169</v>
      </c>
      <c r="K207" s="683"/>
      <c r="L207" s="774" t="s">
        <v>1281</v>
      </c>
      <c r="M207" s="683"/>
      <c r="N207" s="684" t="s">
        <v>289</v>
      </c>
      <c r="O207" s="683"/>
      <c r="P207" s="1505" t="s">
        <v>1282</v>
      </c>
      <c r="Q207" s="1505"/>
      <c r="R207" s="684" t="s">
        <v>423</v>
      </c>
      <c r="S207" s="683"/>
      <c r="T207" s="1505" t="s">
        <v>424</v>
      </c>
      <c r="U207" s="1505"/>
      <c r="V207" s="1505" t="s">
        <v>718</v>
      </c>
      <c r="W207" s="1505"/>
      <c r="X207" s="684" t="s">
        <v>279</v>
      </c>
      <c r="Y207" s="683"/>
      <c r="Z207" s="684" t="s">
        <v>426</v>
      </c>
      <c r="AA207" s="683"/>
      <c r="AB207" s="684" t="s">
        <v>427</v>
      </c>
      <c r="AC207" s="720"/>
      <c r="AD207" s="703"/>
      <c r="AE207" s="696"/>
      <c r="AF207" s="696"/>
      <c r="AG207" s="696"/>
    </row>
    <row r="208" spans="1:41" ht="33.5">
      <c r="A208" s="469"/>
      <c r="B208" s="712"/>
      <c r="C208" s="702"/>
      <c r="D208" s="712"/>
      <c r="E208" s="702"/>
      <c r="F208" s="712"/>
      <c r="G208" s="702"/>
      <c r="H208" s="712"/>
      <c r="I208" s="702"/>
      <c r="J208" s="712"/>
      <c r="K208" s="702"/>
      <c r="L208" s="712"/>
      <c r="M208" s="702"/>
      <c r="N208" s="712"/>
      <c r="O208" s="702"/>
      <c r="P208" s="712"/>
      <c r="Q208" s="702"/>
      <c r="R208" s="712"/>
      <c r="S208" s="702"/>
      <c r="T208" s="712"/>
      <c r="U208" s="702"/>
      <c r="V208" s="712"/>
      <c r="W208" s="702"/>
      <c r="X208" s="712"/>
      <c r="Y208" s="702"/>
      <c r="Z208" s="712"/>
      <c r="AA208" s="702"/>
      <c r="AB208" s="712"/>
      <c r="AC208" s="720"/>
      <c r="AD208" s="703"/>
      <c r="AE208" s="696"/>
      <c r="AF208" s="696"/>
      <c r="AG208" s="696"/>
    </row>
    <row r="209" spans="1:41" ht="15" customHeight="1" thickBot="1">
      <c r="A209" s="469"/>
      <c r="B209" s="714"/>
      <c r="C209" s="702"/>
      <c r="D209" s="714"/>
      <c r="E209" s="702"/>
      <c r="F209" s="714"/>
      <c r="G209" s="702"/>
      <c r="H209" s="714"/>
      <c r="I209" s="702"/>
      <c r="J209" s="714"/>
      <c r="K209" s="702"/>
      <c r="L209" s="714"/>
      <c r="M209" s="702"/>
      <c r="N209" s="714"/>
      <c r="O209" s="702"/>
      <c r="P209" s="714"/>
      <c r="Q209" s="702"/>
      <c r="R209" s="714"/>
      <c r="S209" s="702"/>
      <c r="T209" s="714"/>
      <c r="U209" s="702"/>
      <c r="V209" s="714"/>
      <c r="W209" s="702"/>
      <c r="X209" s="714"/>
      <c r="Y209" s="702"/>
      <c r="Z209" s="714"/>
      <c r="AA209" s="702"/>
      <c r="AB209" s="714"/>
      <c r="AC209" s="720"/>
      <c r="AD209" s="703"/>
      <c r="AE209" s="696"/>
      <c r="AF209" s="696"/>
      <c r="AG209" s="696"/>
    </row>
    <row r="210" spans="1:41" ht="100" customHeight="1" thickBot="1">
      <c r="A210" s="469"/>
      <c r="B210" s="733"/>
      <c r="C210" s="707">
        <v>371.33</v>
      </c>
      <c r="D210" s="733"/>
      <c r="E210" s="707">
        <v>417.92</v>
      </c>
      <c r="F210" s="733"/>
      <c r="G210" s="707">
        <v>376.99</v>
      </c>
      <c r="H210" s="733"/>
      <c r="I210" s="707">
        <v>343.8</v>
      </c>
      <c r="J210" s="733"/>
      <c r="K210" s="707">
        <v>318.7</v>
      </c>
      <c r="L210" s="733"/>
      <c r="M210" s="707">
        <v>308</v>
      </c>
      <c r="N210" s="733"/>
      <c r="O210" s="770">
        <v>324.87</v>
      </c>
      <c r="P210" s="733"/>
      <c r="Q210" s="707">
        <v>365.39</v>
      </c>
      <c r="R210" s="691" t="s">
        <v>228</v>
      </c>
      <c r="S210" s="707">
        <v>269.52999999999997</v>
      </c>
      <c r="T210" s="691" t="s">
        <v>228</v>
      </c>
      <c r="U210" s="707">
        <v>360.33</v>
      </c>
      <c r="V210" s="733"/>
      <c r="W210" s="707">
        <v>414</v>
      </c>
      <c r="X210" s="733"/>
      <c r="Y210" s="707">
        <v>424</v>
      </c>
      <c r="Z210" s="733"/>
      <c r="AA210" s="707">
        <v>405</v>
      </c>
      <c r="AB210" s="733"/>
      <c r="AC210" s="707">
        <v>426</v>
      </c>
      <c r="AD210" s="703"/>
      <c r="AE210" s="696"/>
      <c r="AF210" s="696"/>
      <c r="AG210" s="696"/>
      <c r="AM210" s="896">
        <f>COUNTIF(B210:AB210,"U/P")</f>
        <v>0</v>
      </c>
      <c r="AN210" s="896">
        <f>COUNTIF(C210:AC210,"ROW")</f>
        <v>2</v>
      </c>
      <c r="AO210" s="896">
        <f>COUNTIF(D210:AD210,"C")</f>
        <v>0</v>
      </c>
    </row>
    <row r="211" spans="1:41" ht="21.5" customHeight="1" thickBot="1">
      <c r="A211" s="469"/>
      <c r="B211" s="710"/>
      <c r="C211" s="702"/>
      <c r="D211" s="710"/>
      <c r="E211" s="702"/>
      <c r="F211" s="710"/>
      <c r="G211" s="702"/>
      <c r="H211" s="775"/>
      <c r="I211" s="702"/>
      <c r="J211" s="710"/>
      <c r="K211" s="702"/>
      <c r="L211" s="710"/>
      <c r="M211" s="702"/>
      <c r="N211" s="710"/>
      <c r="O211" s="702"/>
      <c r="P211" s="775"/>
      <c r="Q211" s="720"/>
      <c r="R211" s="710"/>
      <c r="S211" s="720"/>
      <c r="T211" s="710"/>
      <c r="U211" s="720"/>
      <c r="V211" s="710"/>
      <c r="W211" s="720"/>
      <c r="X211" s="710"/>
      <c r="Y211" s="720"/>
      <c r="Z211" s="710"/>
      <c r="AA211" s="720"/>
      <c r="AB211" s="904"/>
      <c r="AC211" s="720"/>
      <c r="AD211" s="703"/>
      <c r="AE211" s="696"/>
      <c r="AF211" s="696"/>
      <c r="AG211" s="696"/>
    </row>
    <row r="212" spans="1:41" ht="24.5" customHeight="1" thickBot="1">
      <c r="A212" s="469"/>
      <c r="B212" s="698" t="s">
        <v>182</v>
      </c>
      <c r="C212" s="698"/>
      <c r="D212" s="699" t="s">
        <v>115</v>
      </c>
      <c r="E212" s="698"/>
      <c r="F212" s="698" t="s">
        <v>185</v>
      </c>
      <c r="G212" s="698"/>
      <c r="H212" s="699" t="s">
        <v>115</v>
      </c>
      <c r="I212" s="698"/>
      <c r="J212" s="698" t="s">
        <v>182</v>
      </c>
      <c r="K212" s="698"/>
      <c r="L212" s="699" t="s">
        <v>115</v>
      </c>
      <c r="M212" s="698"/>
      <c r="N212" s="698" t="s">
        <v>182</v>
      </c>
      <c r="O212" s="698"/>
      <c r="P212" s="699" t="s">
        <v>125</v>
      </c>
      <c r="Q212" s="698"/>
      <c r="R212" s="738" t="s">
        <v>182</v>
      </c>
      <c r="S212" s="698"/>
      <c r="T212" s="728" t="s">
        <v>170</v>
      </c>
      <c r="U212" s="698"/>
      <c r="V212" s="699" t="s">
        <v>115</v>
      </c>
      <c r="W212" s="698"/>
      <c r="X212" s="698" t="s">
        <v>242</v>
      </c>
      <c r="Y212" s="698"/>
      <c r="Z212" s="698" t="s">
        <v>182</v>
      </c>
      <c r="AA212" s="698"/>
      <c r="AB212" s="698" t="s">
        <v>185</v>
      </c>
      <c r="AC212" s="720"/>
      <c r="AD212" s="703"/>
      <c r="AE212" s="696"/>
      <c r="AF212" s="696"/>
      <c r="AG212" s="696"/>
    </row>
    <row r="213" spans="1:41" ht="30.5" customHeight="1" thickBot="1">
      <c r="A213" s="469"/>
      <c r="B213" s="716"/>
      <c r="C213" s="716"/>
      <c r="D213" s="716"/>
      <c r="E213" s="716"/>
      <c r="F213" s="766" t="s">
        <v>1629</v>
      </c>
      <c r="G213" s="705"/>
      <c r="H213" s="762"/>
      <c r="I213" s="705"/>
      <c r="J213" s="705"/>
      <c r="K213" s="705"/>
      <c r="L213" s="705"/>
      <c r="M213" s="691" t="s">
        <v>228</v>
      </c>
      <c r="N213" s="705"/>
      <c r="O213" s="705"/>
      <c r="P213" s="841"/>
      <c r="Q213" s="705"/>
      <c r="R213" s="776" t="s">
        <v>1625</v>
      </c>
      <c r="S213" s="705"/>
      <c r="T213" s="705"/>
      <c r="U213" s="705"/>
      <c r="V213" s="705"/>
      <c r="W213" s="705"/>
      <c r="X213" s="705"/>
      <c r="Y213" s="691"/>
      <c r="Z213" s="705"/>
      <c r="AA213" s="705"/>
      <c r="AB213" s="841"/>
      <c r="AC213" s="703"/>
      <c r="AD213" s="703"/>
      <c r="AE213" s="696"/>
      <c r="AF213" s="696"/>
      <c r="AG213" s="696"/>
    </row>
    <row r="214" spans="1:41" ht="35.5" customHeight="1">
      <c r="A214" s="747"/>
      <c r="B214" s="735"/>
      <c r="C214" s="735"/>
      <c r="D214" s="735"/>
      <c r="E214" s="735"/>
      <c r="F214" s="1518"/>
      <c r="G214" s="1518"/>
      <c r="H214" s="1518"/>
      <c r="I214" s="735"/>
      <c r="J214" s="735"/>
      <c r="K214" s="735"/>
      <c r="L214" s="735"/>
      <c r="M214" s="735"/>
      <c r="N214" s="735"/>
      <c r="O214" s="735"/>
      <c r="P214" s="841"/>
      <c r="Q214" s="841"/>
      <c r="R214" s="1502" t="s">
        <v>228</v>
      </c>
      <c r="S214" s="1502"/>
      <c r="T214" s="1502"/>
      <c r="U214" s="841"/>
      <c r="V214" s="841"/>
      <c r="W214" s="735"/>
      <c r="X214" s="735"/>
      <c r="Y214" s="735"/>
      <c r="Z214" s="735"/>
      <c r="AA214" s="735"/>
      <c r="AB214" s="735"/>
      <c r="AC214" s="735"/>
      <c r="AD214" s="735"/>
      <c r="AE214" s="735"/>
      <c r="AF214" s="735"/>
      <c r="AG214" s="735"/>
      <c r="AH214" s="735"/>
      <c r="AI214" s="735"/>
      <c r="AJ214" s="735"/>
      <c r="AK214" s="735"/>
      <c r="AL214" s="735"/>
    </row>
    <row r="215" spans="1:41" ht="67" customHeight="1">
      <c r="A215" s="469"/>
      <c r="B215" s="684" t="s">
        <v>428</v>
      </c>
      <c r="C215" s="683"/>
      <c r="D215" s="1519" t="s">
        <v>171</v>
      </c>
      <c r="E215" s="1519"/>
      <c r="F215" s="1505" t="s">
        <v>1328</v>
      </c>
      <c r="G215" s="1505"/>
      <c r="H215" s="1505" t="s">
        <v>1528</v>
      </c>
      <c r="I215" s="1505"/>
      <c r="J215" s="684" t="s">
        <v>1330</v>
      </c>
      <c r="K215" s="683"/>
      <c r="L215" s="1505" t="s">
        <v>1331</v>
      </c>
      <c r="M215" s="1505"/>
      <c r="N215" s="1505" t="s">
        <v>434</v>
      </c>
      <c r="O215" s="1505"/>
      <c r="P215" s="1505" t="s">
        <v>435</v>
      </c>
      <c r="Q215" s="1505"/>
      <c r="R215" s="1505" t="s">
        <v>436</v>
      </c>
      <c r="S215" s="1505"/>
      <c r="T215" s="1505" t="s">
        <v>437</v>
      </c>
      <c r="U215" s="1505"/>
      <c r="V215" s="1505" t="s">
        <v>438</v>
      </c>
      <c r="W215" s="1505"/>
      <c r="X215" s="1505" t="s">
        <v>439</v>
      </c>
      <c r="Y215" s="1505"/>
      <c r="Z215" s="1505" t="s">
        <v>440</v>
      </c>
      <c r="AA215" s="1505"/>
      <c r="AB215" s="1505" t="s">
        <v>441</v>
      </c>
      <c r="AC215" s="1505"/>
      <c r="AD215" s="703"/>
      <c r="AE215" s="696"/>
      <c r="AF215" s="696"/>
      <c r="AG215" s="696"/>
    </row>
    <row r="216" spans="1:41" ht="33.5">
      <c r="A216" s="469"/>
      <c r="B216" s="712"/>
      <c r="C216" s="702"/>
      <c r="D216" s="712"/>
      <c r="E216" s="702"/>
      <c r="F216" s="712"/>
      <c r="G216" s="702"/>
      <c r="H216" s="712"/>
      <c r="I216" s="702"/>
      <c r="J216" s="712"/>
      <c r="K216" s="702"/>
      <c r="L216" s="712"/>
      <c r="M216" s="702"/>
      <c r="N216" s="712"/>
      <c r="O216" s="702"/>
      <c r="P216" s="712"/>
      <c r="Q216" s="720"/>
      <c r="R216" s="712"/>
      <c r="S216" s="702"/>
      <c r="T216" s="712"/>
      <c r="U216" s="702"/>
      <c r="V216" s="712"/>
      <c r="W216" s="702"/>
      <c r="X216" s="712"/>
      <c r="Y216" s="702"/>
      <c r="Z216" s="712"/>
      <c r="AA216" s="702"/>
      <c r="AB216" s="712"/>
      <c r="AC216" s="720"/>
      <c r="AD216" s="703"/>
      <c r="AE216" s="696"/>
      <c r="AF216" s="696"/>
      <c r="AG216" s="696"/>
    </row>
    <row r="217" spans="1:41" ht="16.5" customHeight="1" thickBot="1">
      <c r="A217" s="469"/>
      <c r="B217" s="714"/>
      <c r="C217" s="702"/>
      <c r="D217" s="714"/>
      <c r="E217" s="702"/>
      <c r="F217" s="714"/>
      <c r="G217" s="702"/>
      <c r="H217" s="714"/>
      <c r="I217" s="702"/>
      <c r="J217" s="714"/>
      <c r="K217" s="702"/>
      <c r="L217" s="714"/>
      <c r="M217" s="702"/>
      <c r="N217" s="714"/>
      <c r="O217" s="702"/>
      <c r="P217" s="714"/>
      <c r="Q217" s="720"/>
      <c r="R217" s="714"/>
      <c r="S217" s="702"/>
      <c r="T217" s="714"/>
      <c r="U217" s="702"/>
      <c r="V217" s="714"/>
      <c r="W217" s="702"/>
      <c r="X217" s="714"/>
      <c r="Y217" s="702"/>
      <c r="Z217" s="714"/>
      <c r="AA217" s="702"/>
      <c r="AB217" s="714"/>
      <c r="AC217" s="720"/>
      <c r="AD217" s="703"/>
      <c r="AE217" s="696"/>
      <c r="AF217" s="696"/>
      <c r="AG217" s="696"/>
    </row>
    <row r="218" spans="1:41" ht="100" customHeight="1" thickBot="1">
      <c r="A218" s="469"/>
      <c r="B218" s="733"/>
      <c r="C218" s="737">
        <v>410</v>
      </c>
      <c r="D218" s="733"/>
      <c r="E218" s="737">
        <v>421</v>
      </c>
      <c r="F218" s="767" t="s">
        <v>228</v>
      </c>
      <c r="G218" s="737">
        <v>407.61</v>
      </c>
      <c r="H218" s="691" t="s">
        <v>228</v>
      </c>
      <c r="I218" s="737">
        <v>364.36</v>
      </c>
      <c r="J218" s="691" t="s">
        <v>228</v>
      </c>
      <c r="K218" s="737">
        <v>332.44799999999998</v>
      </c>
      <c r="L218" s="733"/>
      <c r="M218" s="737">
        <v>348.85</v>
      </c>
      <c r="N218" s="691" t="s">
        <v>228</v>
      </c>
      <c r="O218" s="737">
        <v>387.35</v>
      </c>
      <c r="P218" s="733"/>
      <c r="Q218" s="707">
        <v>452.64</v>
      </c>
      <c r="R218" s="691" t="s">
        <v>228</v>
      </c>
      <c r="S218" s="723">
        <v>386.96</v>
      </c>
      <c r="T218" s="691" t="s">
        <v>228</v>
      </c>
      <c r="U218" s="723">
        <v>382.14</v>
      </c>
      <c r="V218" s="733"/>
      <c r="W218" s="723">
        <v>336.47</v>
      </c>
      <c r="X218" s="733"/>
      <c r="Y218" s="723">
        <v>389.14</v>
      </c>
      <c r="Z218" s="1047" t="s">
        <v>1692</v>
      </c>
      <c r="AA218" s="723">
        <v>334.55</v>
      </c>
      <c r="AB218" s="1047" t="s">
        <v>1692</v>
      </c>
      <c r="AC218" s="707">
        <v>396.2</v>
      </c>
      <c r="AD218" s="703"/>
      <c r="AE218" s="696"/>
      <c r="AF218" s="696"/>
      <c r="AG218" s="696"/>
      <c r="AM218" s="896">
        <f>COUNTIF(B218:AB218,"U/P")</f>
        <v>0</v>
      </c>
      <c r="AN218" s="896">
        <f>COUNTIF(C218:AC218,"ROW")</f>
        <v>6</v>
      </c>
      <c r="AO218" s="896">
        <f>COUNTIF(D218:AD218,"C")</f>
        <v>0</v>
      </c>
    </row>
    <row r="219" spans="1:41" ht="16.5" customHeight="1" thickBot="1">
      <c r="A219" s="469"/>
      <c r="B219" s="710"/>
      <c r="C219" s="778"/>
      <c r="D219" s="710"/>
      <c r="E219" s="778"/>
      <c r="F219" s="710"/>
      <c r="G219" s="778"/>
      <c r="H219" s="710"/>
      <c r="I219" s="778"/>
      <c r="J219" s="710"/>
      <c r="K219" s="778"/>
      <c r="L219" s="710"/>
      <c r="M219" s="778"/>
      <c r="N219" s="710"/>
      <c r="O219" s="778"/>
      <c r="P219" s="710"/>
      <c r="Q219" s="720"/>
      <c r="R219" s="710"/>
      <c r="S219" s="720"/>
      <c r="T219" s="710"/>
      <c r="U219" s="720"/>
      <c r="V219" s="710"/>
      <c r="W219" s="720"/>
      <c r="X219" s="710"/>
      <c r="Y219" s="720"/>
      <c r="Z219" s="710"/>
      <c r="AA219" s="720"/>
      <c r="AB219" s="710"/>
      <c r="AC219" s="720"/>
      <c r="AD219" s="703"/>
      <c r="AE219" s="696"/>
      <c r="AF219" s="696"/>
      <c r="AG219" s="696"/>
    </row>
    <row r="220" spans="1:41" ht="33.5">
      <c r="A220" s="469"/>
      <c r="B220" s="698" t="s">
        <v>185</v>
      </c>
      <c r="C220" s="698"/>
      <c r="D220" s="698" t="s">
        <v>167</v>
      </c>
      <c r="E220" s="698"/>
      <c r="F220" s="698" t="s">
        <v>125</v>
      </c>
      <c r="G220" s="698"/>
      <c r="H220" s="699" t="s">
        <v>125</v>
      </c>
      <c r="I220" s="698"/>
      <c r="J220" s="698" t="s">
        <v>242</v>
      </c>
      <c r="K220" s="698"/>
      <c r="L220" s="698" t="s">
        <v>185</v>
      </c>
      <c r="M220" s="698"/>
      <c r="N220" s="699" t="s">
        <v>115</v>
      </c>
      <c r="O220" s="702"/>
      <c r="P220" s="698" t="s">
        <v>242</v>
      </c>
      <c r="Q220" s="720"/>
      <c r="R220" s="699" t="s">
        <v>125</v>
      </c>
      <c r="S220" s="720"/>
      <c r="T220" s="699" t="s">
        <v>143</v>
      </c>
      <c r="U220" s="720"/>
      <c r="V220" s="698" t="s">
        <v>182</v>
      </c>
      <c r="W220" s="720"/>
      <c r="X220" s="698" t="s">
        <v>182</v>
      </c>
      <c r="Y220" s="720"/>
      <c r="Z220" s="699" t="s">
        <v>115</v>
      </c>
      <c r="AA220" s="720"/>
      <c r="AB220" s="698" t="s">
        <v>242</v>
      </c>
      <c r="AC220" s="720"/>
      <c r="AD220" s="703"/>
      <c r="AE220" s="696"/>
      <c r="AF220" s="696"/>
      <c r="AG220" s="696"/>
    </row>
    <row r="221" spans="1:41" ht="27" customHeight="1">
      <c r="A221" s="469"/>
      <c r="B221" s="703"/>
      <c r="C221" s="703"/>
      <c r="D221" s="703"/>
      <c r="E221" s="703"/>
      <c r="F221" s="703"/>
      <c r="G221" s="703"/>
      <c r="H221" s="703"/>
      <c r="I221" s="703"/>
      <c r="J221" s="703"/>
      <c r="K221" s="703"/>
      <c r="L221" s="703"/>
      <c r="M221" s="703"/>
      <c r="N221" s="703"/>
      <c r="O221" s="703"/>
      <c r="P221" s="703"/>
      <c r="Q221" s="703"/>
      <c r="R221" s="1520" t="s">
        <v>1529</v>
      </c>
      <c r="S221" s="1520"/>
      <c r="T221" s="703"/>
      <c r="U221" s="703"/>
      <c r="V221" s="703"/>
      <c r="W221" s="703"/>
      <c r="X221" s="703"/>
      <c r="Y221" s="703"/>
      <c r="Z221" s="703"/>
      <c r="AA221" s="703"/>
      <c r="AB221" s="703"/>
      <c r="AC221" s="703"/>
      <c r="AD221" s="703"/>
      <c r="AE221" s="696"/>
      <c r="AF221" s="696"/>
      <c r="AG221" s="696"/>
    </row>
    <row r="222" spans="1:41" ht="27" customHeight="1">
      <c r="A222" s="1070"/>
      <c r="B222" s="841"/>
      <c r="C222" s="841"/>
      <c r="D222" s="841"/>
      <c r="E222" s="841"/>
      <c r="F222" s="1502" t="s">
        <v>228</v>
      </c>
      <c r="G222" s="1502"/>
      <c r="H222" s="1502"/>
      <c r="I222" s="1502"/>
      <c r="J222" s="1502"/>
      <c r="K222" s="841"/>
      <c r="L222" s="735"/>
      <c r="M222" s="735"/>
      <c r="N222" s="761" t="s">
        <v>228</v>
      </c>
      <c r="O222" s="735"/>
      <c r="P222" s="735"/>
      <c r="Q222" s="735"/>
      <c r="R222" s="1502" t="s">
        <v>228</v>
      </c>
      <c r="S222" s="1502"/>
      <c r="T222" s="1502"/>
      <c r="U222" s="762"/>
      <c r="V222" s="762"/>
      <c r="W222" s="762"/>
      <c r="X222" s="762"/>
      <c r="Y222" s="762"/>
      <c r="Z222" s="1502" t="s">
        <v>228</v>
      </c>
      <c r="AA222" s="1502"/>
      <c r="AB222" s="1502"/>
      <c r="AC222" s="1502"/>
      <c r="AD222" s="762"/>
      <c r="AE222" s="762"/>
      <c r="AF222" s="762"/>
      <c r="AG222" s="761"/>
      <c r="AH222" s="761"/>
      <c r="AI222" s="907"/>
      <c r="AJ222" s="907"/>
      <c r="AK222" s="907"/>
      <c r="AL222" s="907"/>
    </row>
    <row r="223" spans="1:41" ht="54.5" customHeight="1">
      <c r="A223" s="1521" t="s">
        <v>443</v>
      </c>
      <c r="B223" s="1509"/>
      <c r="C223" s="1509" t="s">
        <v>1530</v>
      </c>
      <c r="D223" s="1509"/>
      <c r="E223" s="683"/>
      <c r="F223" s="1505" t="s">
        <v>1531</v>
      </c>
      <c r="G223" s="1505"/>
      <c r="H223" s="1522" t="s">
        <v>446</v>
      </c>
      <c r="I223" s="1522"/>
      <c r="J223" s="1505" t="s">
        <v>447</v>
      </c>
      <c r="K223" s="1505"/>
      <c r="L223" s="1505" t="s">
        <v>448</v>
      </c>
      <c r="M223" s="1505"/>
      <c r="N223" s="1505" t="s">
        <v>449</v>
      </c>
      <c r="O223" s="1505"/>
      <c r="P223" s="1505" t="s">
        <v>450</v>
      </c>
      <c r="Q223" s="1505"/>
      <c r="R223" s="1505" t="s">
        <v>451</v>
      </c>
      <c r="S223" s="1505"/>
      <c r="T223" s="1505" t="s">
        <v>452</v>
      </c>
      <c r="U223" s="1505"/>
      <c r="V223" s="1505" t="s">
        <v>728</v>
      </c>
      <c r="W223" s="1505"/>
      <c r="X223" s="779" t="s">
        <v>1532</v>
      </c>
      <c r="Y223" s="1509" t="s">
        <v>1533</v>
      </c>
      <c r="Z223" s="1509"/>
      <c r="AA223" s="720"/>
      <c r="AB223" s="1505" t="s">
        <v>457</v>
      </c>
      <c r="AC223" s="1505"/>
      <c r="AD223" s="720"/>
      <c r="AE223" s="723"/>
      <c r="AF223" s="723"/>
      <c r="AG223" s="723"/>
      <c r="AH223" s="720"/>
      <c r="AI223" s="720"/>
      <c r="AJ223" s="720"/>
      <c r="AK223" s="720"/>
      <c r="AL223" s="720"/>
    </row>
    <row r="224" spans="1:41" ht="33.5">
      <c r="A224" s="469"/>
      <c r="B224" s="712"/>
      <c r="C224" s="702"/>
      <c r="D224" s="712"/>
      <c r="E224" s="702"/>
      <c r="F224" s="712"/>
      <c r="G224" s="702"/>
      <c r="H224" s="712"/>
      <c r="I224" s="702"/>
      <c r="J224" s="685"/>
      <c r="K224" s="702"/>
      <c r="L224" s="712"/>
      <c r="M224" s="702"/>
      <c r="N224" s="712"/>
      <c r="O224" s="702"/>
      <c r="P224" s="712"/>
      <c r="Q224" s="720"/>
      <c r="R224" s="712"/>
      <c r="S224" s="702"/>
      <c r="T224" s="712"/>
      <c r="U224" s="702"/>
      <c r="V224" s="712"/>
      <c r="W224" s="702"/>
      <c r="X224" s="712"/>
      <c r="Y224" s="702"/>
      <c r="Z224" s="712"/>
      <c r="AA224" s="702"/>
      <c r="AB224" s="712"/>
      <c r="AC224" s="720"/>
      <c r="AD224" s="720"/>
      <c r="AE224" s="723"/>
      <c r="AF224" s="723"/>
      <c r="AG224" s="723"/>
      <c r="AH224" s="720"/>
      <c r="AI224" s="720"/>
      <c r="AJ224" s="720"/>
      <c r="AK224" s="720"/>
      <c r="AL224" s="720"/>
    </row>
    <row r="225" spans="1:41" ht="16.5" customHeight="1" thickBot="1">
      <c r="A225" s="469"/>
      <c r="B225" s="714"/>
      <c r="C225" s="702"/>
      <c r="D225" s="714"/>
      <c r="E225" s="702"/>
      <c r="F225" s="714"/>
      <c r="G225" s="702"/>
      <c r="H225" s="714"/>
      <c r="I225" s="702"/>
      <c r="J225" s="714"/>
      <c r="K225" s="702"/>
      <c r="L225" s="714"/>
      <c r="M225" s="702"/>
      <c r="N225" s="714"/>
      <c r="O225" s="702"/>
      <c r="P225" s="714"/>
      <c r="Q225" s="720"/>
      <c r="R225" s="714"/>
      <c r="S225" s="702"/>
      <c r="T225" s="714"/>
      <c r="U225" s="702"/>
      <c r="V225" s="714"/>
      <c r="W225" s="702"/>
      <c r="X225" s="714"/>
      <c r="Y225" s="702"/>
      <c r="Z225" s="714"/>
      <c r="AA225" s="702"/>
      <c r="AB225" s="714"/>
      <c r="AC225" s="720"/>
      <c r="AD225" s="720"/>
      <c r="AE225" s="723"/>
      <c r="AF225" s="723"/>
      <c r="AG225" s="723"/>
      <c r="AH225" s="720"/>
      <c r="AI225" s="720"/>
      <c r="AJ225" s="720"/>
      <c r="AK225" s="720"/>
      <c r="AL225" s="720"/>
    </row>
    <row r="226" spans="1:41" ht="100" customHeight="1" thickBot="1">
      <c r="A226" s="469"/>
      <c r="B226" s="691"/>
      <c r="C226" s="707">
        <v>233.29</v>
      </c>
      <c r="D226" s="691"/>
      <c r="E226" s="707">
        <v>467.19</v>
      </c>
      <c r="F226" s="1047" t="s">
        <v>1692</v>
      </c>
      <c r="G226" s="707">
        <v>423.02</v>
      </c>
      <c r="H226" s="733"/>
      <c r="I226" s="707">
        <v>248.69</v>
      </c>
      <c r="J226" s="733"/>
      <c r="K226" s="707">
        <v>282.02999999999997</v>
      </c>
      <c r="L226" s="733"/>
      <c r="M226" s="707">
        <v>398</v>
      </c>
      <c r="N226" s="733"/>
      <c r="O226" s="707">
        <v>370.48</v>
      </c>
      <c r="P226" s="733"/>
      <c r="Q226" s="707">
        <v>437.33</v>
      </c>
      <c r="R226" s="767"/>
      <c r="S226" s="744">
        <v>435</v>
      </c>
      <c r="T226" s="1048" t="s">
        <v>1692</v>
      </c>
      <c r="U226" s="744">
        <v>406.62</v>
      </c>
      <c r="V226" s="777"/>
      <c r="W226" s="744"/>
      <c r="X226" s="1048" t="s">
        <v>1693</v>
      </c>
      <c r="Y226" s="744">
        <v>440.63</v>
      </c>
      <c r="Z226" s="733"/>
      <c r="AA226" s="707">
        <v>410.34</v>
      </c>
      <c r="AB226" s="733"/>
      <c r="AC226" s="707">
        <v>444.33</v>
      </c>
      <c r="AD226" s="720"/>
      <c r="AE226" s="723"/>
      <c r="AF226" s="723"/>
      <c r="AG226" s="723"/>
      <c r="AH226" s="720"/>
      <c r="AI226" s="720"/>
      <c r="AJ226" s="720"/>
      <c r="AK226" s="720"/>
      <c r="AL226" s="720"/>
      <c r="AM226" s="896">
        <f>COUNTIF(B226:AB226,"U/P")</f>
        <v>0</v>
      </c>
      <c r="AN226" s="896">
        <f>COUNTIF(C226:AC226,"ROW")</f>
        <v>0</v>
      </c>
      <c r="AO226" s="896">
        <f>COUNTIF(D226:AD226,"C")</f>
        <v>0</v>
      </c>
    </row>
    <row r="227" spans="1:41" ht="16.5" customHeight="1" thickBot="1">
      <c r="A227" s="469"/>
      <c r="B227" s="710"/>
      <c r="C227" s="720"/>
      <c r="D227" s="710"/>
      <c r="E227" s="720"/>
      <c r="F227" s="710"/>
      <c r="G227" s="720"/>
      <c r="H227" s="710"/>
      <c r="I227" s="720"/>
      <c r="J227" s="710"/>
      <c r="K227" s="720"/>
      <c r="L227" s="710"/>
      <c r="M227" s="720"/>
      <c r="N227" s="710"/>
      <c r="O227" s="720"/>
      <c r="P227" s="710"/>
      <c r="Q227" s="720"/>
      <c r="R227" s="710"/>
      <c r="S227" s="720"/>
      <c r="T227" s="710"/>
      <c r="U227" s="720"/>
      <c r="V227" s="710"/>
      <c r="W227" s="720"/>
      <c r="X227" s="710"/>
      <c r="Y227" s="720"/>
      <c r="Z227" s="710"/>
      <c r="AA227" s="720"/>
      <c r="AB227" s="710"/>
      <c r="AC227" s="720"/>
      <c r="AD227" s="720"/>
      <c r="AE227" s="723"/>
      <c r="AF227" s="723"/>
      <c r="AG227" s="723"/>
      <c r="AH227" s="720"/>
      <c r="AI227" s="720"/>
      <c r="AJ227" s="720"/>
      <c r="AK227" s="720"/>
      <c r="AL227" s="720"/>
    </row>
    <row r="228" spans="1:41" ht="33.5">
      <c r="A228" s="469"/>
      <c r="B228" s="699" t="s">
        <v>125</v>
      </c>
      <c r="C228" s="698"/>
      <c r="D228" s="699" t="s">
        <v>123</v>
      </c>
      <c r="E228" s="698"/>
      <c r="F228" s="699" t="s">
        <v>132</v>
      </c>
      <c r="G228" s="698"/>
      <c r="H228" s="698" t="s">
        <v>182</v>
      </c>
      <c r="I228" s="698"/>
      <c r="J228" s="698" t="s">
        <v>182</v>
      </c>
      <c r="K228" s="698"/>
      <c r="L228" s="699" t="s">
        <v>125</v>
      </c>
      <c r="M228" s="698"/>
      <c r="N228" s="698" t="s">
        <v>185</v>
      </c>
      <c r="O228" s="702"/>
      <c r="P228" s="699" t="s">
        <v>128</v>
      </c>
      <c r="Q228" s="720"/>
      <c r="R228" s="699" t="s">
        <v>143</v>
      </c>
      <c r="S228" s="720"/>
      <c r="T228" s="698" t="s">
        <v>248</v>
      </c>
      <c r="U228" s="720"/>
      <c r="V228" s="699" t="s">
        <v>115</v>
      </c>
      <c r="W228" s="720"/>
      <c r="X228" s="699" t="s">
        <v>137</v>
      </c>
      <c r="Y228" s="720"/>
      <c r="Z228" s="699" t="s">
        <v>167</v>
      </c>
      <c r="AA228" s="720"/>
      <c r="AB228" s="699" t="s">
        <v>115</v>
      </c>
      <c r="AC228" s="720"/>
      <c r="AD228" s="720"/>
      <c r="AE228" s="723"/>
      <c r="AF228" s="723"/>
      <c r="AG228" s="723"/>
      <c r="AH228" s="720"/>
      <c r="AI228" s="720"/>
      <c r="AJ228" s="720"/>
      <c r="AK228" s="720"/>
      <c r="AL228" s="720"/>
    </row>
    <row r="229" spans="1:41" ht="33.5">
      <c r="B229" s="698"/>
      <c r="C229" s="698"/>
      <c r="D229" s="780" t="s">
        <v>1632</v>
      </c>
      <c r="E229" s="698"/>
      <c r="F229" s="780" t="s">
        <v>1632</v>
      </c>
      <c r="G229" s="698"/>
      <c r="H229" s="698"/>
      <c r="I229" s="698"/>
      <c r="J229" s="698"/>
      <c r="K229" s="698"/>
      <c r="L229" s="698"/>
      <c r="M229" s="698"/>
      <c r="N229" s="698"/>
      <c r="O229" s="702"/>
      <c r="P229" s="698"/>
      <c r="Q229" s="720"/>
      <c r="R229" s="698"/>
      <c r="S229" s="720"/>
      <c r="T229" s="698"/>
      <c r="U229" s="720"/>
      <c r="V229" s="780" t="s">
        <v>1625</v>
      </c>
      <c r="W229" s="720"/>
      <c r="X229" s="698"/>
      <c r="Y229" s="720"/>
      <c r="Z229" s="698"/>
      <c r="AA229" s="720"/>
      <c r="AB229" s="698"/>
      <c r="AC229" s="720"/>
      <c r="AD229" s="720"/>
      <c r="AE229" s="723"/>
      <c r="AF229" s="723"/>
      <c r="AG229" s="723"/>
      <c r="AH229" s="720"/>
      <c r="AI229" s="720"/>
      <c r="AJ229" s="720"/>
      <c r="AK229" s="720"/>
      <c r="AL229" s="720"/>
    </row>
    <row r="230" spans="1:41" ht="31" customHeight="1">
      <c r="A230" s="1501" t="s">
        <v>1518</v>
      </c>
      <c r="B230" s="1502"/>
      <c r="C230" s="1502"/>
      <c r="D230" s="1502"/>
      <c r="E230" s="1502"/>
      <c r="F230" s="1502"/>
      <c r="G230" s="1502"/>
      <c r="H230" s="1523"/>
      <c r="I230" s="1523"/>
      <c r="J230" s="1523"/>
      <c r="K230" s="1523"/>
      <c r="L230" s="1523"/>
      <c r="M230" s="1523"/>
      <c r="N230" s="1523"/>
      <c r="O230" s="1523"/>
      <c r="P230" s="1524"/>
      <c r="Q230" s="1492" t="s">
        <v>1518</v>
      </c>
      <c r="R230" s="1493"/>
      <c r="S230" s="1493"/>
      <c r="T230" s="1493"/>
      <c r="U230" s="1493"/>
      <c r="V230" s="1493"/>
      <c r="W230" s="1493"/>
      <c r="X230" s="1493"/>
      <c r="Y230" s="1525"/>
      <c r="Z230" s="1525"/>
      <c r="AA230" s="1525"/>
      <c r="AB230" s="1525"/>
      <c r="AC230" s="1525"/>
      <c r="AD230" s="1525"/>
      <c r="AE230" s="1073"/>
      <c r="AF230" s="1072"/>
      <c r="AG230" s="1071"/>
      <c r="AH230" s="895"/>
      <c r="AI230" s="907"/>
      <c r="AJ230" s="907"/>
      <c r="AK230" s="907"/>
      <c r="AL230" s="907"/>
    </row>
    <row r="231" spans="1:41" ht="22.5" customHeight="1">
      <c r="B231" s="703"/>
      <c r="C231" s="703"/>
      <c r="D231" s="703"/>
      <c r="E231" s="703"/>
      <c r="F231" s="703"/>
      <c r="G231" s="703"/>
      <c r="H231" s="703"/>
      <c r="I231" s="703"/>
      <c r="J231" s="703"/>
      <c r="K231" s="703"/>
      <c r="L231" s="703"/>
      <c r="M231" s="703"/>
      <c r="N231" s="703"/>
      <c r="O231" s="703"/>
      <c r="P231" s="703"/>
      <c r="Q231" s="703"/>
      <c r="R231" s="703"/>
      <c r="S231" s="703"/>
      <c r="T231" s="703"/>
      <c r="U231" s="703"/>
      <c r="V231" s="703"/>
      <c r="W231" s="703"/>
      <c r="X231" s="703"/>
      <c r="Y231" s="703"/>
      <c r="Z231" s="703"/>
      <c r="AA231" s="703"/>
      <c r="AB231" s="703"/>
      <c r="AC231" s="703"/>
      <c r="AD231" s="703"/>
      <c r="AE231" s="686"/>
      <c r="AF231" s="686"/>
      <c r="AG231" s="686"/>
    </row>
    <row r="232" spans="1:41" ht="36.5" customHeight="1">
      <c r="A232" s="1509" t="s">
        <v>458</v>
      </c>
      <c r="B232" s="1509"/>
      <c r="C232" s="720"/>
      <c r="D232" s="1505" t="s">
        <v>459</v>
      </c>
      <c r="E232" s="1505"/>
      <c r="F232" s="1505" t="s">
        <v>460</v>
      </c>
      <c r="G232" s="1505"/>
      <c r="H232" s="1505" t="s">
        <v>1534</v>
      </c>
      <c r="I232" s="1505"/>
      <c r="J232" s="1505" t="s">
        <v>462</v>
      </c>
      <c r="K232" s="1505"/>
      <c r="L232" s="1505" t="s">
        <v>463</v>
      </c>
      <c r="M232" s="1505"/>
      <c r="N232" s="1505" t="s">
        <v>464</v>
      </c>
      <c r="O232" s="1505"/>
      <c r="P232" s="1505" t="s">
        <v>465</v>
      </c>
      <c r="Q232" s="1505"/>
      <c r="R232" s="1505" t="s">
        <v>467</v>
      </c>
      <c r="S232" s="1505"/>
      <c r="T232" s="1505" t="s">
        <v>468</v>
      </c>
      <c r="U232" s="1505"/>
      <c r="V232" s="1505" t="s">
        <v>469</v>
      </c>
      <c r="W232" s="1505"/>
      <c r="X232" s="1505" t="s">
        <v>470</v>
      </c>
      <c r="Y232" s="1505"/>
      <c r="Z232" s="1505" t="s">
        <v>471</v>
      </c>
      <c r="AA232" s="1505"/>
      <c r="AB232" s="1505" t="s">
        <v>472</v>
      </c>
      <c r="AC232" s="1505"/>
      <c r="AD232" s="720"/>
      <c r="AE232" s="686"/>
      <c r="AF232" s="686"/>
      <c r="AG232" s="686"/>
    </row>
    <row r="233" spans="1:41" ht="33.5">
      <c r="A233" s="469"/>
      <c r="B233" s="712"/>
      <c r="C233" s="702"/>
      <c r="D233" s="712"/>
      <c r="E233" s="702"/>
      <c r="F233" s="712"/>
      <c r="G233" s="702"/>
      <c r="H233" s="712"/>
      <c r="I233" s="702"/>
      <c r="J233" s="712"/>
      <c r="K233" s="702"/>
      <c r="L233" s="712"/>
      <c r="M233" s="702"/>
      <c r="N233" s="712"/>
      <c r="O233" s="702"/>
      <c r="P233" s="712"/>
      <c r="Q233" s="720"/>
      <c r="R233" s="712"/>
      <c r="S233" s="702"/>
      <c r="T233" s="712"/>
      <c r="U233" s="702"/>
      <c r="V233" s="712"/>
      <c r="W233" s="702"/>
      <c r="X233" s="712"/>
      <c r="Y233" s="702"/>
      <c r="Z233" s="712"/>
      <c r="AA233" s="702"/>
      <c r="AB233" s="712"/>
      <c r="AC233" s="720"/>
      <c r="AD233" s="720"/>
      <c r="AE233" s="696"/>
      <c r="AF233" s="696"/>
      <c r="AG233" s="696"/>
    </row>
    <row r="234" spans="1:41" ht="16.5" customHeight="1" thickBot="1">
      <c r="A234" s="469"/>
      <c r="B234" s="714"/>
      <c r="C234" s="702"/>
      <c r="D234" s="714"/>
      <c r="E234" s="702"/>
      <c r="F234" s="714"/>
      <c r="G234" s="702"/>
      <c r="H234" s="714"/>
      <c r="I234" s="702"/>
      <c r="J234" s="714"/>
      <c r="K234" s="702"/>
      <c r="L234" s="714"/>
      <c r="M234" s="702"/>
      <c r="N234" s="714"/>
      <c r="O234" s="702"/>
      <c r="P234" s="714"/>
      <c r="Q234" s="720"/>
      <c r="R234" s="714"/>
      <c r="S234" s="702"/>
      <c r="T234" s="714"/>
      <c r="U234" s="702"/>
      <c r="V234" s="714"/>
      <c r="W234" s="702"/>
      <c r="X234" s="714"/>
      <c r="Y234" s="702"/>
      <c r="Z234" s="714"/>
      <c r="AA234" s="702"/>
      <c r="AB234" s="714"/>
      <c r="AC234" s="720"/>
      <c r="AD234" s="720"/>
      <c r="AE234" s="696"/>
      <c r="AF234" s="696"/>
      <c r="AG234" s="696"/>
    </row>
    <row r="235" spans="1:41" ht="100" customHeight="1" thickBot="1">
      <c r="A235" s="469"/>
      <c r="B235" s="763"/>
      <c r="C235" s="707">
        <v>189.81</v>
      </c>
      <c r="D235" s="733"/>
      <c r="E235" s="707">
        <v>157.88</v>
      </c>
      <c r="F235" s="777" t="s">
        <v>390</v>
      </c>
      <c r="G235" s="707">
        <v>200.69</v>
      </c>
      <c r="H235" s="733"/>
      <c r="I235" s="707">
        <v>165.49</v>
      </c>
      <c r="J235" s="733"/>
      <c r="K235" s="707">
        <v>403.86</v>
      </c>
      <c r="L235" s="733"/>
      <c r="M235" s="707">
        <v>434.79</v>
      </c>
      <c r="N235" s="733"/>
      <c r="O235" s="744">
        <v>425.38</v>
      </c>
      <c r="P235" s="733"/>
      <c r="Q235" s="744">
        <v>441.35</v>
      </c>
      <c r="R235" s="733"/>
      <c r="S235" s="744">
        <v>357.54</v>
      </c>
      <c r="T235" s="733"/>
      <c r="U235" s="744">
        <v>438.29</v>
      </c>
      <c r="V235" s="1048" t="s">
        <v>1693</v>
      </c>
      <c r="W235" s="744">
        <v>430</v>
      </c>
      <c r="X235" s="777"/>
      <c r="Y235" s="744">
        <v>410</v>
      </c>
      <c r="Z235" s="777"/>
      <c r="AA235" s="744">
        <v>439.98</v>
      </c>
      <c r="AB235" s="1048" t="s">
        <v>1693</v>
      </c>
      <c r="AC235" s="707">
        <v>424.44</v>
      </c>
      <c r="AD235" s="720"/>
      <c r="AE235" s="696"/>
      <c r="AF235" s="696"/>
      <c r="AG235" s="696"/>
      <c r="AM235" s="896">
        <f>COUNTIF(B235:AB235,"U/P")</f>
        <v>1</v>
      </c>
      <c r="AN235" s="896">
        <f>COUNTIF(C235:AC235,"ROW")</f>
        <v>0</v>
      </c>
      <c r="AO235" s="896">
        <f>COUNTIF(D235:AD235,"C")</f>
        <v>0</v>
      </c>
    </row>
    <row r="236" spans="1:41" ht="16.5" customHeight="1" thickBot="1">
      <c r="A236" s="469"/>
      <c r="B236" s="710"/>
      <c r="C236" s="720"/>
      <c r="D236" s="710"/>
      <c r="E236" s="720"/>
      <c r="F236" s="710"/>
      <c r="G236" s="720"/>
      <c r="H236" s="710"/>
      <c r="I236" s="720"/>
      <c r="J236" s="710"/>
      <c r="K236" s="720"/>
      <c r="L236" s="710"/>
      <c r="M236" s="720"/>
      <c r="N236" s="710"/>
      <c r="O236" s="720"/>
      <c r="P236" s="710"/>
      <c r="Q236" s="720"/>
      <c r="R236" s="710"/>
      <c r="S236" s="720"/>
      <c r="T236" s="710"/>
      <c r="U236" s="720"/>
      <c r="V236" s="710"/>
      <c r="W236" s="720"/>
      <c r="X236" s="710"/>
      <c r="Y236" s="720"/>
      <c r="Z236" s="710"/>
      <c r="AA236" s="720"/>
      <c r="AB236" s="710"/>
      <c r="AC236" s="720"/>
      <c r="AD236" s="720"/>
      <c r="AE236" s="696"/>
      <c r="AF236" s="696"/>
      <c r="AG236" s="696"/>
    </row>
    <row r="237" spans="1:41" ht="33.5">
      <c r="A237" s="469"/>
      <c r="B237" s="699" t="s">
        <v>132</v>
      </c>
      <c r="C237" s="698"/>
      <c r="D237" s="699" t="s">
        <v>123</v>
      </c>
      <c r="E237" s="698"/>
      <c r="F237" s="699" t="s">
        <v>125</v>
      </c>
      <c r="G237" s="698"/>
      <c r="H237" s="699" t="s">
        <v>115</v>
      </c>
      <c r="I237" s="698"/>
      <c r="J237" s="699" t="s">
        <v>115</v>
      </c>
      <c r="K237" s="698"/>
      <c r="L237" s="698" t="s">
        <v>248</v>
      </c>
      <c r="M237" s="698"/>
      <c r="N237" s="699" t="s">
        <v>115</v>
      </c>
      <c r="O237" s="702"/>
      <c r="P237" s="699" t="s">
        <v>132</v>
      </c>
      <c r="Q237" s="720"/>
      <c r="R237" s="699" t="s">
        <v>125</v>
      </c>
      <c r="S237" s="720"/>
      <c r="T237" s="698" t="s">
        <v>182</v>
      </c>
      <c r="U237" s="720"/>
      <c r="V237" s="699" t="s">
        <v>125</v>
      </c>
      <c r="W237" s="720"/>
      <c r="X237" s="698" t="s">
        <v>185</v>
      </c>
      <c r="Y237" s="720"/>
      <c r="Z237" s="699" t="s">
        <v>132</v>
      </c>
      <c r="AA237" s="720"/>
      <c r="AB237" s="699" t="s">
        <v>137</v>
      </c>
      <c r="AC237" s="720"/>
      <c r="AD237" s="720"/>
      <c r="AE237" s="696"/>
      <c r="AF237" s="696"/>
      <c r="AG237" s="696"/>
    </row>
    <row r="238" spans="1:41" ht="33.5">
      <c r="B238" s="782" t="s">
        <v>1524</v>
      </c>
      <c r="C238" s="737"/>
      <c r="D238" s="685"/>
      <c r="E238" s="737"/>
      <c r="F238" s="737"/>
      <c r="G238" s="737"/>
      <c r="H238" s="737"/>
      <c r="I238" s="737"/>
      <c r="J238" s="737"/>
      <c r="K238" s="737"/>
      <c r="L238" s="737"/>
      <c r="M238" s="737"/>
      <c r="N238" s="782" t="s">
        <v>1629</v>
      </c>
      <c r="O238" s="702"/>
      <c r="P238" s="698"/>
      <c r="Q238" s="720"/>
      <c r="R238" s="698"/>
      <c r="S238" s="780" t="s">
        <v>1619</v>
      </c>
      <c r="T238" s="780"/>
      <c r="U238" s="720"/>
      <c r="V238" s="698"/>
      <c r="W238" s="720"/>
      <c r="X238" s="698"/>
      <c r="Y238" s="720"/>
      <c r="Z238" s="698"/>
      <c r="AA238" s="720"/>
      <c r="AB238" s="698"/>
      <c r="AC238" s="720"/>
      <c r="AD238" s="720"/>
      <c r="AE238" s="696"/>
      <c r="AF238" s="696"/>
      <c r="AG238" s="696"/>
    </row>
    <row r="239" spans="1:41" ht="41" customHeight="1">
      <c r="A239" s="762"/>
      <c r="B239" s="762"/>
      <c r="C239" s="762"/>
      <c r="D239" s="762"/>
      <c r="E239" s="762"/>
      <c r="F239" s="761" t="s">
        <v>228</v>
      </c>
      <c r="G239" s="762"/>
      <c r="H239" s="735"/>
      <c r="I239" s="735"/>
      <c r="J239" s="735"/>
      <c r="K239" s="735"/>
      <c r="L239" s="735"/>
      <c r="M239" s="735"/>
      <c r="N239" s="762"/>
      <c r="O239" s="762"/>
      <c r="P239" s="762"/>
      <c r="Q239" s="762"/>
      <c r="R239" s="762"/>
      <c r="S239" s="762"/>
      <c r="T239" s="762"/>
      <c r="U239" s="762"/>
      <c r="V239" s="1493" t="s">
        <v>228</v>
      </c>
      <c r="W239" s="1493"/>
      <c r="X239" s="1493"/>
      <c r="Y239" s="1493"/>
      <c r="Z239" s="1493"/>
      <c r="AA239" s="1493"/>
      <c r="AB239" s="1493"/>
      <c r="AC239" s="1525"/>
      <c r="AD239" s="1525"/>
      <c r="AE239" s="1525"/>
      <c r="AF239" s="1525"/>
      <c r="AG239" s="1074"/>
      <c r="AH239" s="895"/>
      <c r="AI239" s="907"/>
      <c r="AJ239" s="907"/>
      <c r="AK239" s="907"/>
      <c r="AL239" s="907"/>
    </row>
    <row r="240" spans="1:41" ht="23" customHeight="1">
      <c r="B240" s="703"/>
      <c r="C240" s="703"/>
      <c r="D240" s="703"/>
      <c r="E240" s="703"/>
      <c r="F240" s="703"/>
      <c r="G240" s="703"/>
      <c r="H240" s="703"/>
      <c r="I240" s="703"/>
      <c r="J240" s="703"/>
      <c r="K240" s="703"/>
      <c r="L240" s="703"/>
      <c r="M240" s="703"/>
      <c r="N240" s="703"/>
      <c r="O240" s="703"/>
      <c r="P240" s="703"/>
      <c r="Q240" s="703"/>
      <c r="R240" s="703"/>
      <c r="S240" s="703"/>
      <c r="T240" s="703"/>
      <c r="U240" s="703"/>
      <c r="V240" s="703"/>
      <c r="W240" s="703"/>
      <c r="X240" s="703"/>
      <c r="Y240" s="703"/>
      <c r="Z240" s="703"/>
      <c r="AA240" s="703"/>
      <c r="AB240" s="703"/>
      <c r="AC240" s="703"/>
      <c r="AD240" s="703"/>
      <c r="AE240" s="686"/>
      <c r="AF240" s="686"/>
      <c r="AG240" s="686"/>
    </row>
    <row r="241" spans="1:41" ht="30.5" customHeight="1">
      <c r="A241" s="1509" t="s">
        <v>473</v>
      </c>
      <c r="B241" s="1509"/>
      <c r="C241" s="783"/>
      <c r="D241" s="1505" t="s">
        <v>474</v>
      </c>
      <c r="E241" s="1505"/>
      <c r="F241" s="1505" t="s">
        <v>475</v>
      </c>
      <c r="G241" s="1505"/>
      <c r="H241" s="1505" t="s">
        <v>476</v>
      </c>
      <c r="I241" s="1505"/>
      <c r="J241" s="684" t="s">
        <v>477</v>
      </c>
      <c r="K241" s="1509" t="s">
        <v>478</v>
      </c>
      <c r="L241" s="1509"/>
      <c r="M241" s="685" t="s">
        <v>1512</v>
      </c>
      <c r="N241" s="1505" t="s">
        <v>733</v>
      </c>
      <c r="O241" s="1505"/>
      <c r="P241" s="1505" t="s">
        <v>734</v>
      </c>
      <c r="Q241" s="1505"/>
      <c r="R241" s="1505" t="s">
        <v>735</v>
      </c>
      <c r="S241" s="1505"/>
      <c r="T241" s="1505" t="s">
        <v>736</v>
      </c>
      <c r="U241" s="1505"/>
      <c r="V241" s="1505" t="s">
        <v>737</v>
      </c>
      <c r="W241" s="1505"/>
      <c r="X241" s="1505" t="s">
        <v>738</v>
      </c>
      <c r="Y241" s="1505"/>
      <c r="Z241" s="1505" t="s">
        <v>739</v>
      </c>
      <c r="AA241" s="1505"/>
      <c r="AB241" s="1505" t="s">
        <v>740</v>
      </c>
      <c r="AC241" s="1505"/>
      <c r="AD241" s="703"/>
      <c r="AE241" s="686"/>
      <c r="AF241" s="686"/>
      <c r="AG241" s="686"/>
    </row>
    <row r="242" spans="1:41" ht="33.5">
      <c r="A242" s="469"/>
      <c r="B242" s="712"/>
      <c r="C242" s="702"/>
      <c r="D242" s="712"/>
      <c r="E242" s="702"/>
      <c r="F242" s="712"/>
      <c r="G242" s="702"/>
      <c r="H242" s="712"/>
      <c r="I242" s="702"/>
      <c r="J242" s="712"/>
      <c r="K242" s="702"/>
      <c r="L242" s="712"/>
      <c r="M242" s="702"/>
      <c r="N242" s="712"/>
      <c r="O242" s="702"/>
      <c r="P242" s="712"/>
      <c r="Q242" s="720"/>
      <c r="R242" s="712"/>
      <c r="S242" s="702"/>
      <c r="T242" s="712"/>
      <c r="U242" s="702"/>
      <c r="V242" s="712"/>
      <c r="W242" s="702"/>
      <c r="X242" s="712"/>
      <c r="Y242" s="702"/>
      <c r="Z242" s="712"/>
      <c r="AA242" s="702"/>
      <c r="AB242" s="712"/>
      <c r="AC242" s="703"/>
      <c r="AD242" s="703"/>
      <c r="AE242" s="696"/>
      <c r="AF242" s="696"/>
      <c r="AG242" s="696"/>
    </row>
    <row r="243" spans="1:41" ht="16.5" customHeight="1" thickBot="1">
      <c r="A243" s="469"/>
      <c r="B243" s="714"/>
      <c r="C243" s="702"/>
      <c r="D243" s="714"/>
      <c r="E243" s="702"/>
      <c r="F243" s="714"/>
      <c r="G243" s="702"/>
      <c r="H243" s="714"/>
      <c r="I243" s="702"/>
      <c r="J243" s="714"/>
      <c r="K243" s="702"/>
      <c r="L243" s="714"/>
      <c r="M243" s="702"/>
      <c r="N243" s="714"/>
      <c r="O243" s="702"/>
      <c r="P243" s="714"/>
      <c r="Q243" s="720"/>
      <c r="R243" s="714"/>
      <c r="S243" s="702"/>
      <c r="T243" s="714"/>
      <c r="U243" s="702"/>
      <c r="V243" s="714"/>
      <c r="W243" s="702"/>
      <c r="X243" s="714"/>
      <c r="Y243" s="702"/>
      <c r="Z243" s="714"/>
      <c r="AA243" s="702"/>
      <c r="AB243" s="714"/>
      <c r="AC243" s="703"/>
      <c r="AD243" s="703"/>
      <c r="AE243" s="696"/>
      <c r="AF243" s="696"/>
      <c r="AG243" s="696"/>
    </row>
    <row r="244" spans="1:41" ht="100" customHeight="1" thickBot="1">
      <c r="A244" s="469"/>
      <c r="B244" s="733"/>
      <c r="C244" s="707">
        <v>439</v>
      </c>
      <c r="D244" s="733"/>
      <c r="E244" s="770">
        <v>395</v>
      </c>
      <c r="F244" s="733"/>
      <c r="G244" s="770">
        <v>401.11</v>
      </c>
      <c r="H244" s="691" t="s">
        <v>228</v>
      </c>
      <c r="I244" s="707">
        <v>413</v>
      </c>
      <c r="J244" s="733"/>
      <c r="K244" s="707">
        <v>402.25</v>
      </c>
      <c r="L244" s="691"/>
      <c r="M244" s="707">
        <v>250.69</v>
      </c>
      <c r="N244" s="767"/>
      <c r="O244" s="744">
        <v>425.61</v>
      </c>
      <c r="P244" s="1048" t="s">
        <v>1693</v>
      </c>
      <c r="Q244" s="744">
        <v>381.68</v>
      </c>
      <c r="R244" s="1048" t="s">
        <v>1693</v>
      </c>
      <c r="S244" s="744">
        <v>351.87</v>
      </c>
      <c r="T244" s="733"/>
      <c r="U244" s="744">
        <v>419.36</v>
      </c>
      <c r="V244" s="1048" t="s">
        <v>1693</v>
      </c>
      <c r="W244" s="707">
        <v>421.74</v>
      </c>
      <c r="X244" s="733"/>
      <c r="Y244" s="707">
        <v>403</v>
      </c>
      <c r="Z244" s="733"/>
      <c r="AA244" s="707">
        <v>355</v>
      </c>
      <c r="AB244" s="733"/>
      <c r="AC244" s="708">
        <v>355</v>
      </c>
      <c r="AD244" s="703"/>
      <c r="AE244" s="696"/>
      <c r="AF244" s="696"/>
      <c r="AG244" s="696"/>
      <c r="AM244" s="896">
        <f>COUNTIF(B244:AB244,"U/P")</f>
        <v>0</v>
      </c>
      <c r="AN244" s="896">
        <f>COUNTIF(C244:AC244,"ROW")</f>
        <v>1</v>
      </c>
      <c r="AO244" s="896">
        <f>COUNTIF(D244:AD244,"C")</f>
        <v>0</v>
      </c>
    </row>
    <row r="245" spans="1:41" ht="16.5" customHeight="1" thickBot="1">
      <c r="A245" s="469"/>
      <c r="B245" s="784"/>
      <c r="C245" s="720"/>
      <c r="D245" s="710"/>
      <c r="E245" s="720"/>
      <c r="F245" s="710"/>
      <c r="G245" s="720"/>
      <c r="H245" s="710"/>
      <c r="I245" s="720"/>
      <c r="J245" s="710"/>
      <c r="K245" s="720"/>
      <c r="L245" s="710"/>
      <c r="M245" s="720"/>
      <c r="N245" s="710"/>
      <c r="O245" s="720"/>
      <c r="P245" s="785"/>
      <c r="Q245" s="720"/>
      <c r="R245" s="785"/>
      <c r="S245" s="720"/>
      <c r="T245" s="785"/>
      <c r="U245" s="720"/>
      <c r="V245" s="710"/>
      <c r="W245" s="720"/>
      <c r="X245" s="710"/>
      <c r="Y245" s="720"/>
      <c r="Z245" s="710"/>
      <c r="AA245" s="720"/>
      <c r="AB245" s="710"/>
      <c r="AC245" s="703"/>
      <c r="AD245" s="703"/>
      <c r="AE245" s="696"/>
      <c r="AF245" s="696"/>
      <c r="AG245" s="696"/>
    </row>
    <row r="246" spans="1:41" ht="32" customHeight="1">
      <c r="A246" s="469"/>
      <c r="B246" s="699" t="s">
        <v>143</v>
      </c>
      <c r="C246" s="698"/>
      <c r="D246" s="698" t="s">
        <v>185</v>
      </c>
      <c r="E246" s="698"/>
      <c r="F246" s="698" t="s">
        <v>185</v>
      </c>
      <c r="G246" s="698"/>
      <c r="H246" s="699" t="s">
        <v>115</v>
      </c>
      <c r="I246" s="698"/>
      <c r="J246" s="698" t="s">
        <v>242</v>
      </c>
      <c r="K246" s="698"/>
      <c r="L246" s="699" t="s">
        <v>125</v>
      </c>
      <c r="M246" s="698"/>
      <c r="N246" s="699" t="s">
        <v>128</v>
      </c>
      <c r="O246" s="702"/>
      <c r="P246" s="698" t="s">
        <v>185</v>
      </c>
      <c r="Q246" s="720"/>
      <c r="R246" s="698" t="s">
        <v>185</v>
      </c>
      <c r="S246" s="720"/>
      <c r="T246" s="699" t="s">
        <v>115</v>
      </c>
      <c r="U246" s="720"/>
      <c r="V246" s="699" t="s">
        <v>137</v>
      </c>
      <c r="W246" s="720"/>
      <c r="X246" s="699" t="s">
        <v>137</v>
      </c>
      <c r="Y246" s="720"/>
      <c r="Z246" s="698" t="s">
        <v>182</v>
      </c>
      <c r="AA246" s="720"/>
      <c r="AB246" s="698" t="s">
        <v>182</v>
      </c>
      <c r="AC246" s="703"/>
      <c r="AD246" s="703"/>
      <c r="AE246" s="696"/>
      <c r="AF246" s="696"/>
      <c r="AG246" s="696"/>
    </row>
    <row r="247" spans="1:41" ht="62.5" customHeight="1">
      <c r="A247" s="735"/>
      <c r="B247" s="735"/>
      <c r="C247" s="735"/>
      <c r="D247" s="735"/>
      <c r="E247" s="735"/>
      <c r="F247" s="735"/>
      <c r="G247" s="735"/>
      <c r="H247" s="907" t="s">
        <v>228</v>
      </c>
      <c r="I247" s="735"/>
      <c r="J247" s="735"/>
      <c r="K247" s="735"/>
      <c r="M247" s="841"/>
      <c r="N247" s="841"/>
      <c r="O247" s="1493" t="s">
        <v>1518</v>
      </c>
      <c r="P247" s="1493"/>
      <c r="Q247" s="1493"/>
      <c r="R247" s="1493"/>
      <c r="S247" s="1513"/>
      <c r="T247" s="1135"/>
      <c r="U247" s="1527" t="s">
        <v>1518</v>
      </c>
      <c r="V247" s="1528"/>
      <c r="W247" s="1529"/>
      <c r="X247" s="1530"/>
      <c r="Y247" s="1525"/>
      <c r="Z247" s="1525"/>
      <c r="AA247" s="1525"/>
      <c r="AB247" s="1525"/>
      <c r="AC247" s="1525"/>
      <c r="AD247" s="1525"/>
      <c r="AE247" s="1525"/>
      <c r="AF247" s="1525"/>
      <c r="AG247" s="1525"/>
      <c r="AH247" s="1525"/>
      <c r="AI247" s="908"/>
      <c r="AJ247" s="908"/>
      <c r="AK247" s="908"/>
      <c r="AL247" s="908"/>
    </row>
    <row r="248" spans="1:41" ht="28.5" customHeight="1">
      <c r="B248" s="716"/>
      <c r="C248" s="716"/>
      <c r="D248" s="716"/>
      <c r="E248" s="716"/>
      <c r="F248" s="716"/>
      <c r="G248" s="716"/>
      <c r="H248" s="716"/>
      <c r="I248" s="716"/>
      <c r="J248" s="716"/>
      <c r="K248" s="716"/>
      <c r="L248" s="716"/>
      <c r="M248" s="716"/>
      <c r="N248" s="716"/>
      <c r="O248" s="705"/>
      <c r="P248" s="716"/>
      <c r="Q248" s="703"/>
      <c r="R248" s="716"/>
      <c r="S248" s="703"/>
      <c r="T248" s="716"/>
      <c r="U248" s="703"/>
      <c r="V248" s="716"/>
      <c r="W248" s="703"/>
      <c r="X248" s="716"/>
      <c r="Y248" s="703"/>
      <c r="Z248" s="716"/>
      <c r="AA248" s="703"/>
      <c r="AB248" s="716"/>
      <c r="AC248" s="703"/>
      <c r="AD248" s="703"/>
      <c r="AE248" s="696"/>
      <c r="AF248" s="696"/>
      <c r="AG248" s="696"/>
    </row>
    <row r="249" spans="1:41" ht="67" customHeight="1">
      <c r="A249" s="720"/>
      <c r="B249" s="684" t="s">
        <v>741</v>
      </c>
      <c r="C249" s="684"/>
      <c r="D249" s="1505" t="s">
        <v>742</v>
      </c>
      <c r="E249" s="1505"/>
      <c r="F249" s="1505" t="s">
        <v>743</v>
      </c>
      <c r="G249" s="1505"/>
      <c r="H249" s="1505" t="s">
        <v>744</v>
      </c>
      <c r="I249" s="1505"/>
      <c r="J249" s="684" t="s">
        <v>745</v>
      </c>
      <c r="K249" s="684"/>
      <c r="L249" s="1505" t="s">
        <v>746</v>
      </c>
      <c r="M249" s="1505"/>
      <c r="N249" s="1505" t="s">
        <v>747</v>
      </c>
      <c r="O249" s="1505"/>
      <c r="P249" s="1505" t="s">
        <v>748</v>
      </c>
      <c r="Q249" s="1505"/>
      <c r="R249" s="1505" t="s">
        <v>749</v>
      </c>
      <c r="S249" s="1505"/>
      <c r="T249" s="1505" t="s">
        <v>750</v>
      </c>
      <c r="U249" s="1505"/>
      <c r="V249" s="1505" t="s">
        <v>751</v>
      </c>
      <c r="W249" s="1505"/>
      <c r="X249" s="786" t="s">
        <v>752</v>
      </c>
      <c r="Y249" s="720"/>
      <c r="Z249" s="786" t="s">
        <v>753</v>
      </c>
      <c r="AA249" s="778"/>
      <c r="AB249" s="786" t="s">
        <v>754</v>
      </c>
      <c r="AC249" s="685" t="s">
        <v>1513</v>
      </c>
      <c r="AD249" s="720"/>
      <c r="AE249" s="720"/>
      <c r="AF249" s="720"/>
      <c r="AG249" s="720"/>
      <c r="AH249" s="720"/>
      <c r="AI249" s="720"/>
      <c r="AJ249" s="720"/>
      <c r="AK249" s="720"/>
      <c r="AL249" s="720"/>
    </row>
    <row r="250" spans="1:41" ht="33.5">
      <c r="A250" s="720"/>
      <c r="B250" s="712"/>
      <c r="C250" s="702"/>
      <c r="D250" s="712"/>
      <c r="E250" s="702"/>
      <c r="F250" s="712"/>
      <c r="G250" s="702"/>
      <c r="H250" s="712"/>
      <c r="I250" s="702"/>
      <c r="J250" s="712"/>
      <c r="K250" s="702"/>
      <c r="L250" s="712"/>
      <c r="M250" s="702"/>
      <c r="N250" s="712"/>
      <c r="O250" s="702"/>
      <c r="P250" s="712"/>
      <c r="Q250" s="720"/>
      <c r="R250" s="712"/>
      <c r="S250" s="702"/>
      <c r="T250" s="712"/>
      <c r="U250" s="702"/>
      <c r="V250" s="712"/>
      <c r="W250" s="702"/>
      <c r="X250" s="712"/>
      <c r="Y250" s="702"/>
      <c r="Z250" s="712"/>
      <c r="AA250" s="702"/>
      <c r="AB250" s="712"/>
      <c r="AC250" s="720"/>
      <c r="AD250" s="720"/>
      <c r="AE250" s="723"/>
      <c r="AF250" s="723"/>
      <c r="AG250" s="723"/>
      <c r="AH250" s="720"/>
      <c r="AI250" s="720"/>
      <c r="AJ250" s="720"/>
      <c r="AK250" s="720"/>
      <c r="AL250" s="720"/>
    </row>
    <row r="251" spans="1:41" ht="16.5" customHeight="1" thickBot="1">
      <c r="A251" s="720"/>
      <c r="B251" s="714"/>
      <c r="C251" s="702"/>
      <c r="D251" s="714"/>
      <c r="E251" s="702"/>
      <c r="F251" s="714"/>
      <c r="G251" s="702"/>
      <c r="H251" s="714"/>
      <c r="I251" s="702"/>
      <c r="J251" s="714"/>
      <c r="K251" s="702"/>
      <c r="L251" s="714"/>
      <c r="M251" s="702"/>
      <c r="N251" s="714"/>
      <c r="O251" s="702"/>
      <c r="P251" s="714"/>
      <c r="Q251" s="720"/>
      <c r="R251" s="714"/>
      <c r="S251" s="702"/>
      <c r="T251" s="714"/>
      <c r="U251" s="702"/>
      <c r="V251" s="714"/>
      <c r="W251" s="702"/>
      <c r="X251" s="714"/>
      <c r="Y251" s="702"/>
      <c r="Z251" s="714"/>
      <c r="AA251" s="702"/>
      <c r="AB251" s="714"/>
      <c r="AC251" s="720"/>
      <c r="AD251" s="720"/>
      <c r="AE251" s="723"/>
      <c r="AF251" s="723"/>
      <c r="AG251" s="723"/>
      <c r="AH251" s="720"/>
      <c r="AI251" s="720"/>
      <c r="AJ251" s="720"/>
      <c r="AK251" s="720"/>
      <c r="AL251" s="720"/>
    </row>
    <row r="252" spans="1:41" ht="100" customHeight="1" thickBot="1">
      <c r="A252" s="720"/>
      <c r="B252" s="733"/>
      <c r="C252" s="707">
        <v>373.77100000000002</v>
      </c>
      <c r="D252" s="733"/>
      <c r="E252" s="707">
        <v>364</v>
      </c>
      <c r="F252" s="763"/>
      <c r="G252" s="707">
        <v>421</v>
      </c>
      <c r="H252" s="763"/>
      <c r="I252" s="707">
        <v>334</v>
      </c>
      <c r="J252" s="691" t="s">
        <v>1703</v>
      </c>
      <c r="K252" s="707">
        <v>388.22</v>
      </c>
      <c r="L252" s="691" t="s">
        <v>1703</v>
      </c>
      <c r="M252" s="707">
        <v>398</v>
      </c>
      <c r="N252" s="1048" t="s">
        <v>1694</v>
      </c>
      <c r="O252" s="707">
        <v>442.51499999999999</v>
      </c>
      <c r="P252" s="733"/>
      <c r="Q252" s="707">
        <v>415</v>
      </c>
      <c r="R252" s="1048" t="s">
        <v>1693</v>
      </c>
      <c r="S252" s="707">
        <v>417.97</v>
      </c>
      <c r="T252" s="763"/>
      <c r="U252" s="707">
        <v>424</v>
      </c>
      <c r="V252" s="763"/>
      <c r="W252" s="707">
        <v>415</v>
      </c>
      <c r="X252" s="763"/>
      <c r="Y252" s="707">
        <v>412.21</v>
      </c>
      <c r="Z252" s="763"/>
      <c r="AA252" s="707">
        <v>268</v>
      </c>
      <c r="AB252" s="1048" t="s">
        <v>1693</v>
      </c>
      <c r="AC252" s="744">
        <v>259.27</v>
      </c>
      <c r="AD252" s="720"/>
      <c r="AE252" s="723"/>
      <c r="AF252" s="723"/>
      <c r="AG252" s="723"/>
      <c r="AH252" s="720"/>
      <c r="AI252" s="720"/>
      <c r="AJ252" s="720"/>
      <c r="AK252" s="720"/>
      <c r="AL252" s="720"/>
      <c r="AM252" s="896">
        <f>COUNTIF(B252:AB252,"U/P")</f>
        <v>0</v>
      </c>
      <c r="AN252" s="896">
        <f>COUNTIF(C252:AC252,"ROW")</f>
        <v>0</v>
      </c>
      <c r="AO252" s="896">
        <f>COUNTIF(B252:AD252,"C")</f>
        <v>0</v>
      </c>
    </row>
    <row r="253" spans="1:41" ht="16.5" customHeight="1" thickBot="1">
      <c r="A253" s="720"/>
      <c r="B253" s="710"/>
      <c r="C253" s="720"/>
      <c r="D253" s="710"/>
      <c r="E253" s="720"/>
      <c r="F253" s="710"/>
      <c r="G253" s="720"/>
      <c r="H253" s="710"/>
      <c r="I253" s="720"/>
      <c r="J253" s="710"/>
      <c r="K253" s="720"/>
      <c r="L253" s="710"/>
      <c r="M253" s="720"/>
      <c r="N253" s="710"/>
      <c r="O253" s="720"/>
      <c r="P253" s="710"/>
      <c r="Q253" s="720"/>
      <c r="R253" s="710"/>
      <c r="S253" s="720"/>
      <c r="T253" s="710"/>
      <c r="U253" s="720"/>
      <c r="V253" s="710"/>
      <c r="W253" s="720"/>
      <c r="X253" s="710"/>
      <c r="Y253" s="720"/>
      <c r="Z253" s="710"/>
      <c r="AA253" s="720"/>
      <c r="AB253" s="710"/>
      <c r="AC253" s="720"/>
      <c r="AD253" s="720"/>
      <c r="AE253" s="723"/>
      <c r="AF253" s="723"/>
      <c r="AG253" s="723"/>
      <c r="AH253" s="720"/>
      <c r="AI253" s="720"/>
      <c r="AJ253" s="720"/>
      <c r="AK253" s="720"/>
      <c r="AL253" s="720"/>
    </row>
    <row r="254" spans="1:41" ht="33.5">
      <c r="A254" s="720"/>
      <c r="B254" s="698" t="s">
        <v>182</v>
      </c>
      <c r="C254" s="698"/>
      <c r="D254" s="699" t="s">
        <v>128</v>
      </c>
      <c r="E254" s="698"/>
      <c r="F254" s="698" t="s">
        <v>242</v>
      </c>
      <c r="G254" s="698"/>
      <c r="H254" s="698" t="s">
        <v>185</v>
      </c>
      <c r="I254" s="698"/>
      <c r="J254" s="698" t="s">
        <v>242</v>
      </c>
      <c r="K254" s="698"/>
      <c r="L254" s="699" t="s">
        <v>192</v>
      </c>
      <c r="M254" s="698"/>
      <c r="N254" s="698" t="s">
        <v>248</v>
      </c>
      <c r="O254" s="702"/>
      <c r="P254" s="699" t="s">
        <v>137</v>
      </c>
      <c r="Q254" s="698"/>
      <c r="R254" s="698" t="s">
        <v>242</v>
      </c>
      <c r="S254" s="720"/>
      <c r="T254" s="699" t="s">
        <v>115</v>
      </c>
      <c r="U254" s="720"/>
      <c r="V254" s="698" t="s">
        <v>185</v>
      </c>
      <c r="W254" s="720"/>
      <c r="X254" s="715" t="s">
        <v>248</v>
      </c>
      <c r="Y254" s="720"/>
      <c r="Z254" s="699" t="s">
        <v>128</v>
      </c>
      <c r="AA254" s="720"/>
      <c r="AB254" s="715" t="s">
        <v>182</v>
      </c>
      <c r="AC254" s="720"/>
      <c r="AD254" s="720"/>
      <c r="AE254" s="723"/>
      <c r="AF254" s="723"/>
      <c r="AG254" s="723"/>
      <c r="AH254" s="720"/>
      <c r="AI254" s="720"/>
      <c r="AJ254" s="720"/>
      <c r="AK254" s="720"/>
      <c r="AL254" s="720"/>
    </row>
    <row r="255" spans="1:41" ht="31.5" customHeight="1">
      <c r="A255" s="1075"/>
      <c r="B255" s="761"/>
      <c r="C255" s="762"/>
      <c r="D255" s="762"/>
      <c r="E255" s="762"/>
      <c r="F255" s="762"/>
      <c r="G255" s="762"/>
      <c r="H255" s="762"/>
      <c r="I255" s="762"/>
      <c r="J255" s="1502" t="s">
        <v>228</v>
      </c>
      <c r="K255" s="1502"/>
      <c r="L255" s="1502"/>
      <c r="M255" s="1502"/>
      <c r="N255" s="1502"/>
      <c r="O255" s="762"/>
      <c r="P255" s="762"/>
      <c r="Q255" s="762"/>
      <c r="R255" s="761" t="s">
        <v>228</v>
      </c>
      <c r="S255" s="762"/>
      <c r="T255" s="762"/>
      <c r="U255" s="762"/>
      <c r="V255" s="762"/>
      <c r="W255" s="762" t="s">
        <v>1626</v>
      </c>
      <c r="X255" s="762"/>
      <c r="Y255" s="762"/>
      <c r="Z255" s="762"/>
      <c r="AA255" s="762"/>
      <c r="AB255" s="762"/>
      <c r="AC255" s="762"/>
      <c r="AD255" s="762"/>
      <c r="AE255" s="762"/>
      <c r="AF255" s="762"/>
      <c r="AG255" s="761"/>
      <c r="AH255" s="761"/>
      <c r="AI255" s="907"/>
      <c r="AJ255" s="907"/>
      <c r="AK255" s="907"/>
      <c r="AL255" s="907"/>
    </row>
    <row r="256" spans="1:41" ht="13.5" customHeight="1">
      <c r="B256" s="703"/>
      <c r="C256" s="703"/>
      <c r="D256" s="703"/>
      <c r="E256" s="703"/>
      <c r="F256" s="703"/>
      <c r="G256" s="703"/>
      <c r="H256" s="703"/>
      <c r="I256" s="703"/>
      <c r="J256" s="703"/>
      <c r="K256" s="703"/>
      <c r="L256" s="703"/>
      <c r="M256" s="703"/>
      <c r="N256" s="703"/>
      <c r="O256" s="703"/>
      <c r="P256" s="703"/>
      <c r="Q256" s="703"/>
      <c r="R256" s="703"/>
      <c r="S256" s="703"/>
      <c r="T256" s="703"/>
      <c r="U256" s="703"/>
      <c r="V256" s="703"/>
      <c r="W256" s="703"/>
      <c r="X256" s="703"/>
      <c r="Y256" s="703"/>
      <c r="Z256" s="703"/>
      <c r="AA256" s="703"/>
      <c r="AB256" s="703"/>
      <c r="AC256" s="703"/>
      <c r="AD256" s="703"/>
      <c r="AE256" s="781"/>
      <c r="AF256" s="686"/>
      <c r="AG256" s="686"/>
    </row>
    <row r="257" spans="1:41" ht="33.5">
      <c r="B257" s="715" t="s">
        <v>1283</v>
      </c>
      <c r="C257" s="715"/>
      <c r="D257" s="715" t="s">
        <v>755</v>
      </c>
      <c r="E257" s="720"/>
      <c r="F257" s="715" t="s">
        <v>756</v>
      </c>
      <c r="G257" s="720"/>
      <c r="H257" s="715" t="s">
        <v>1284</v>
      </c>
      <c r="I257" s="720"/>
      <c r="J257" s="715" t="s">
        <v>758</v>
      </c>
      <c r="K257" s="720"/>
      <c r="L257" s="715" t="s">
        <v>759</v>
      </c>
      <c r="M257" s="720"/>
      <c r="N257" s="715" t="s">
        <v>760</v>
      </c>
      <c r="O257" s="720"/>
      <c r="P257" s="715" t="s">
        <v>761</v>
      </c>
      <c r="Q257" s="720"/>
      <c r="R257" s="715" t="s">
        <v>762</v>
      </c>
      <c r="S257" s="720"/>
      <c r="T257" s="715" t="s">
        <v>180</v>
      </c>
      <c r="U257" s="715"/>
      <c r="V257" s="715" t="s">
        <v>181</v>
      </c>
      <c r="W257" s="715"/>
      <c r="X257" s="715" t="s">
        <v>183</v>
      </c>
      <c r="Y257" s="715"/>
      <c r="Z257" s="715" t="s">
        <v>763</v>
      </c>
      <c r="AA257" s="715"/>
      <c r="AB257" s="715" t="s">
        <v>764</v>
      </c>
      <c r="AC257" s="720"/>
      <c r="AD257" s="720"/>
      <c r="AE257" s="686"/>
      <c r="AF257" s="686"/>
      <c r="AG257" s="686"/>
    </row>
    <row r="258" spans="1:41" ht="33.5">
      <c r="B258" s="712"/>
      <c r="C258" s="702"/>
      <c r="D258" s="712"/>
      <c r="E258" s="702"/>
      <c r="F258" s="712"/>
      <c r="G258" s="702"/>
      <c r="H258" s="712"/>
      <c r="I258" s="702"/>
      <c r="J258" s="712"/>
      <c r="K258" s="702"/>
      <c r="L258" s="712"/>
      <c r="M258" s="702"/>
      <c r="N258" s="712"/>
      <c r="O258" s="702"/>
      <c r="P258" s="712"/>
      <c r="Q258" s="720"/>
      <c r="R258" s="712"/>
      <c r="S258" s="702"/>
      <c r="T258" s="712"/>
      <c r="U258" s="702"/>
      <c r="V258" s="712"/>
      <c r="W258" s="702"/>
      <c r="X258" s="712"/>
      <c r="Y258" s="702"/>
      <c r="Z258" s="712"/>
      <c r="AA258" s="702"/>
      <c r="AB258" s="712"/>
      <c r="AC258" s="720"/>
      <c r="AD258" s="720"/>
      <c r="AE258" s="696"/>
      <c r="AF258" s="696"/>
      <c r="AG258" s="696"/>
    </row>
    <row r="259" spans="1:41" ht="16.5" customHeight="1" thickBot="1">
      <c r="A259" s="469"/>
      <c r="B259" s="714"/>
      <c r="C259" s="702"/>
      <c r="D259" s="714"/>
      <c r="E259" s="702"/>
      <c r="F259" s="714"/>
      <c r="G259" s="702"/>
      <c r="H259" s="714"/>
      <c r="I259" s="702"/>
      <c r="J259" s="714"/>
      <c r="K259" s="702"/>
      <c r="L259" s="714"/>
      <c r="M259" s="702"/>
      <c r="N259" s="714"/>
      <c r="O259" s="702"/>
      <c r="P259" s="714"/>
      <c r="Q259" s="720"/>
      <c r="R259" s="714"/>
      <c r="S259" s="702"/>
      <c r="T259" s="714"/>
      <c r="U259" s="702"/>
      <c r="V259" s="714"/>
      <c r="W259" s="702"/>
      <c r="X259" s="714"/>
      <c r="Y259" s="702"/>
      <c r="Z259" s="714"/>
      <c r="AA259" s="702"/>
      <c r="AB259" s="714"/>
      <c r="AC259" s="720"/>
      <c r="AD259" s="720"/>
      <c r="AE259" s="696"/>
      <c r="AF259" s="696"/>
      <c r="AG259" s="696"/>
    </row>
    <row r="260" spans="1:41" ht="100" customHeight="1" thickBot="1">
      <c r="A260" s="469"/>
      <c r="B260" s="733"/>
      <c r="C260" s="707">
        <v>395</v>
      </c>
      <c r="D260" s="733"/>
      <c r="E260" s="707">
        <v>408</v>
      </c>
      <c r="F260" s="733"/>
      <c r="G260" s="707">
        <v>356</v>
      </c>
      <c r="H260" s="691"/>
      <c r="I260" s="707">
        <v>379</v>
      </c>
      <c r="J260" s="733"/>
      <c r="K260" s="707">
        <v>367</v>
      </c>
      <c r="L260" s="691"/>
      <c r="M260" s="707">
        <v>384</v>
      </c>
      <c r="N260" s="733"/>
      <c r="O260" s="707">
        <v>385</v>
      </c>
      <c r="P260" s="733"/>
      <c r="Q260" s="744">
        <v>419.37</v>
      </c>
      <c r="R260" s="733"/>
      <c r="S260" s="707">
        <v>343.49</v>
      </c>
      <c r="T260" s="733"/>
      <c r="U260" s="707">
        <v>392.09</v>
      </c>
      <c r="V260" s="733"/>
      <c r="W260" s="707">
        <v>390.92</v>
      </c>
      <c r="X260" s="733"/>
      <c r="Y260" s="707">
        <v>372.24</v>
      </c>
      <c r="Z260" s="733"/>
      <c r="AA260" s="707">
        <v>388.01</v>
      </c>
      <c r="AB260" s="733"/>
      <c r="AC260" s="744">
        <v>414.07</v>
      </c>
      <c r="AD260" s="720"/>
      <c r="AE260" s="696"/>
      <c r="AF260" s="696"/>
      <c r="AG260" s="696"/>
      <c r="AM260" s="896">
        <f>COUNTIF(B260:AB260,"U/P")</f>
        <v>0</v>
      </c>
      <c r="AN260" s="896">
        <f>COUNTIF(C260:AC260,"ROW")</f>
        <v>0</v>
      </c>
      <c r="AO260" s="896">
        <f>COUNTIF(D260:AD260,"C")</f>
        <v>0</v>
      </c>
    </row>
    <row r="261" spans="1:41" ht="16.5" customHeight="1" thickBot="1">
      <c r="A261" s="469"/>
      <c r="B261" s="710"/>
      <c r="C261" s="720"/>
      <c r="D261" s="710"/>
      <c r="E261" s="720"/>
      <c r="F261" s="710"/>
      <c r="G261" s="720"/>
      <c r="H261" s="710"/>
      <c r="I261" s="720"/>
      <c r="J261" s="710"/>
      <c r="K261" s="720"/>
      <c r="L261" s="710"/>
      <c r="M261" s="720"/>
      <c r="N261" s="710"/>
      <c r="O261" s="720"/>
      <c r="P261" s="710"/>
      <c r="Q261" s="720"/>
      <c r="R261" s="710"/>
      <c r="S261" s="720"/>
      <c r="T261" s="710"/>
      <c r="U261" s="720"/>
      <c r="V261" s="710"/>
      <c r="W261" s="720"/>
      <c r="X261" s="710"/>
      <c r="Y261" s="720"/>
      <c r="Z261" s="710"/>
      <c r="AA261" s="720"/>
      <c r="AB261" s="710"/>
      <c r="AC261" s="720"/>
      <c r="AD261" s="720"/>
      <c r="AE261" s="696"/>
      <c r="AF261" s="696"/>
      <c r="AG261" s="696"/>
    </row>
    <row r="262" spans="1:41" ht="33.5">
      <c r="A262" s="469"/>
      <c r="B262" s="699" t="s">
        <v>125</v>
      </c>
      <c r="C262" s="698"/>
      <c r="D262" s="698" t="s">
        <v>185</v>
      </c>
      <c r="E262" s="698"/>
      <c r="F262" s="698" t="s">
        <v>185</v>
      </c>
      <c r="G262" s="698"/>
      <c r="H262" s="699" t="s">
        <v>125</v>
      </c>
      <c r="I262" s="698"/>
      <c r="J262" s="698" t="s">
        <v>182</v>
      </c>
      <c r="K262" s="698"/>
      <c r="L262" s="698" t="s">
        <v>182</v>
      </c>
      <c r="M262" s="698"/>
      <c r="N262" s="698" t="s">
        <v>182</v>
      </c>
      <c r="O262" s="702"/>
      <c r="P262" s="698" t="s">
        <v>182</v>
      </c>
      <c r="Q262" s="720"/>
      <c r="R262" s="699" t="s">
        <v>115</v>
      </c>
      <c r="S262" s="720"/>
      <c r="T262" s="715" t="s">
        <v>182</v>
      </c>
      <c r="U262" s="720"/>
      <c r="V262" s="715" t="s">
        <v>182</v>
      </c>
      <c r="W262" s="720"/>
      <c r="X262" s="715" t="s">
        <v>182</v>
      </c>
      <c r="Y262" s="720"/>
      <c r="Z262" s="715" t="s">
        <v>182</v>
      </c>
      <c r="AA262" s="720"/>
      <c r="AB262" s="715" t="s">
        <v>182</v>
      </c>
      <c r="AC262" s="720"/>
      <c r="AD262" s="720"/>
      <c r="AE262" s="696"/>
      <c r="AF262" s="696"/>
      <c r="AG262" s="696"/>
    </row>
    <row r="263" spans="1:41" ht="33.5">
      <c r="A263" s="469"/>
      <c r="B263" s="699"/>
      <c r="C263" s="698"/>
      <c r="D263" s="698"/>
      <c r="E263" s="698"/>
      <c r="F263" s="698"/>
      <c r="G263" s="698"/>
      <c r="H263" s="699"/>
      <c r="I263" s="698"/>
      <c r="J263" s="698"/>
      <c r="K263" s="698"/>
      <c r="L263" s="698"/>
      <c r="M263" s="698"/>
      <c r="N263" s="698"/>
      <c r="O263" s="702"/>
      <c r="P263" s="698"/>
      <c r="Q263" s="720"/>
      <c r="R263" s="699" t="s">
        <v>1681</v>
      </c>
      <c r="S263" s="720"/>
      <c r="T263" s="715"/>
      <c r="U263" s="720"/>
      <c r="V263" s="782" t="s">
        <v>1629</v>
      </c>
      <c r="W263" s="720"/>
      <c r="X263" s="715"/>
      <c r="Y263" s="720"/>
      <c r="Z263" s="715"/>
      <c r="AA263" s="720"/>
      <c r="AB263" s="715"/>
      <c r="AC263" s="720"/>
      <c r="AD263" s="720"/>
      <c r="AE263" s="696"/>
      <c r="AF263" s="696"/>
      <c r="AG263" s="696"/>
    </row>
    <row r="264" spans="1:41" ht="32" customHeight="1">
      <c r="A264" s="760"/>
      <c r="B264" s="762"/>
      <c r="C264" s="762"/>
      <c r="D264" s="762"/>
      <c r="E264" s="762"/>
      <c r="F264" s="762"/>
      <c r="G264" s="762"/>
      <c r="H264" s="761" t="s">
        <v>228</v>
      </c>
      <c r="I264" s="762"/>
      <c r="J264" s="762"/>
      <c r="K264" s="762"/>
      <c r="L264" s="761" t="s">
        <v>228</v>
      </c>
      <c r="M264" s="762"/>
      <c r="N264" s="762"/>
      <c r="O264" s="762"/>
      <c r="P264" s="761"/>
      <c r="Q264" s="762"/>
      <c r="R264" s="762"/>
      <c r="S264" s="762"/>
      <c r="T264" s="762"/>
      <c r="U264" s="762"/>
      <c r="V264" s="762"/>
      <c r="W264" s="762"/>
      <c r="X264" s="762"/>
      <c r="Y264" s="762"/>
      <c r="Z264" s="762"/>
      <c r="AA264" s="762"/>
      <c r="AB264" s="762"/>
      <c r="AC264" s="762"/>
      <c r="AD264" s="762"/>
      <c r="AE264" s="762"/>
      <c r="AF264" s="762"/>
      <c r="AG264" s="762"/>
      <c r="AH264" s="762"/>
      <c r="AI264" s="907"/>
      <c r="AJ264" s="907"/>
      <c r="AK264" s="907"/>
      <c r="AL264" s="907"/>
    </row>
    <row r="265" spans="1:41" ht="33.5">
      <c r="B265" s="715" t="s">
        <v>765</v>
      </c>
      <c r="C265" s="720"/>
      <c r="D265" s="715" t="s">
        <v>766</v>
      </c>
      <c r="E265" s="720"/>
      <c r="F265" s="715" t="s">
        <v>767</v>
      </c>
      <c r="G265" s="720"/>
      <c r="H265" s="715" t="s">
        <v>769</v>
      </c>
      <c r="I265" s="720"/>
      <c r="J265" s="715" t="s">
        <v>1361</v>
      </c>
      <c r="K265" s="720"/>
      <c r="L265" s="715" t="s">
        <v>1357</v>
      </c>
      <c r="M265" s="720"/>
      <c r="N265" s="715" t="s">
        <v>1358</v>
      </c>
      <c r="O265" s="720"/>
      <c r="P265" s="715" t="s">
        <v>1359</v>
      </c>
      <c r="Q265" s="720"/>
      <c r="R265" s="715" t="s">
        <v>1362</v>
      </c>
      <c r="S265" s="720"/>
      <c r="T265" s="715" t="s">
        <v>773</v>
      </c>
      <c r="U265" s="720"/>
      <c r="V265" s="715" t="s">
        <v>774</v>
      </c>
      <c r="W265" s="720"/>
      <c r="X265" s="715" t="s">
        <v>775</v>
      </c>
      <c r="Y265" s="720"/>
      <c r="Z265" s="715" t="s">
        <v>776</v>
      </c>
      <c r="AA265" s="720"/>
      <c r="AB265" s="744" t="s">
        <v>777</v>
      </c>
      <c r="AC265" s="720"/>
      <c r="AD265" s="715" t="s">
        <v>778</v>
      </c>
      <c r="AE265" s="720"/>
      <c r="AF265" s="720"/>
      <c r="AG265" s="720"/>
      <c r="AH265" s="720"/>
      <c r="AI265" s="720"/>
      <c r="AJ265" s="720"/>
      <c r="AK265" s="720"/>
      <c r="AL265" s="720"/>
    </row>
    <row r="266" spans="1:41" ht="33.5">
      <c r="A266" s="469"/>
      <c r="B266" s="712"/>
      <c r="C266" s="702"/>
      <c r="D266" s="712"/>
      <c r="E266" s="702"/>
      <c r="F266" s="712"/>
      <c r="G266" s="702"/>
      <c r="H266" s="712"/>
      <c r="I266" s="702"/>
      <c r="J266" s="712"/>
      <c r="K266" s="702"/>
      <c r="L266" s="712"/>
      <c r="M266" s="702"/>
      <c r="N266" s="712"/>
      <c r="O266" s="702"/>
      <c r="P266" s="712"/>
      <c r="Q266" s="720"/>
      <c r="R266" s="712"/>
      <c r="S266" s="720"/>
      <c r="T266" s="712"/>
      <c r="U266" s="702"/>
      <c r="V266" s="712"/>
      <c r="W266" s="702"/>
      <c r="X266" s="712"/>
      <c r="Y266" s="702"/>
      <c r="Z266" s="712"/>
      <c r="AA266" s="702"/>
      <c r="AB266" s="712"/>
      <c r="AC266" s="702"/>
      <c r="AD266" s="712"/>
      <c r="AE266" s="720"/>
      <c r="AF266" s="723"/>
      <c r="AG266" s="723"/>
      <c r="AH266" s="720"/>
      <c r="AI266" s="720"/>
      <c r="AJ266" s="720"/>
      <c r="AK266" s="720"/>
      <c r="AL266" s="720"/>
    </row>
    <row r="267" spans="1:41" ht="16.5" customHeight="1" thickBot="1">
      <c r="A267" s="469"/>
      <c r="B267" s="714"/>
      <c r="C267" s="702"/>
      <c r="D267" s="714"/>
      <c r="E267" s="702"/>
      <c r="F267" s="714"/>
      <c r="G267" s="702"/>
      <c r="H267" s="714"/>
      <c r="I267" s="702"/>
      <c r="J267" s="714"/>
      <c r="K267" s="702"/>
      <c r="L267" s="714"/>
      <c r="M267" s="702"/>
      <c r="N267" s="714"/>
      <c r="O267" s="702"/>
      <c r="P267" s="714"/>
      <c r="Q267" s="720"/>
      <c r="R267" s="714"/>
      <c r="S267" s="720"/>
      <c r="T267" s="714"/>
      <c r="U267" s="702"/>
      <c r="V267" s="714"/>
      <c r="W267" s="702"/>
      <c r="X267" s="714"/>
      <c r="Y267" s="702"/>
      <c r="Z267" s="714"/>
      <c r="AA267" s="702"/>
      <c r="AB267" s="714"/>
      <c r="AC267" s="702"/>
      <c r="AD267" s="714"/>
      <c r="AE267" s="720"/>
      <c r="AF267" s="723"/>
      <c r="AG267" s="723"/>
      <c r="AH267" s="720"/>
      <c r="AI267" s="720"/>
      <c r="AJ267" s="720"/>
      <c r="AK267" s="720"/>
      <c r="AL267" s="720"/>
    </row>
    <row r="268" spans="1:41" ht="100" customHeight="1" thickBot="1">
      <c r="A268" s="469"/>
      <c r="B268" s="733"/>
      <c r="C268" s="707">
        <v>410.11</v>
      </c>
      <c r="D268" s="733"/>
      <c r="E268" s="707">
        <v>414.83</v>
      </c>
      <c r="F268" s="733"/>
      <c r="G268" s="707">
        <v>360.43</v>
      </c>
      <c r="H268" s="733"/>
      <c r="I268" s="707">
        <v>226.21</v>
      </c>
      <c r="J268" s="733"/>
      <c r="K268" s="707">
        <v>438.04</v>
      </c>
      <c r="L268" s="733"/>
      <c r="M268" s="707">
        <v>402.74</v>
      </c>
      <c r="N268" s="733"/>
      <c r="O268" s="707">
        <v>433.49</v>
      </c>
      <c r="P268" s="691" t="s">
        <v>390</v>
      </c>
      <c r="Q268" s="744">
        <v>409.21</v>
      </c>
      <c r="R268" s="733"/>
      <c r="S268" s="744">
        <v>436.61</v>
      </c>
      <c r="T268" s="733"/>
      <c r="U268" s="707">
        <v>394.61</v>
      </c>
      <c r="V268" s="733"/>
      <c r="W268" s="707">
        <v>383.9</v>
      </c>
      <c r="X268" s="763"/>
      <c r="Y268" s="707">
        <v>356.32</v>
      </c>
      <c r="Z268" s="763"/>
      <c r="AA268" s="707">
        <v>378.3</v>
      </c>
      <c r="AB268" s="763"/>
      <c r="AC268" s="707">
        <v>356.03</v>
      </c>
      <c r="AD268" s="763"/>
      <c r="AE268" s="744">
        <v>426.81700000000001</v>
      </c>
      <c r="AF268" s="723"/>
      <c r="AG268" s="723"/>
      <c r="AH268" s="707"/>
      <c r="AI268" s="707"/>
      <c r="AJ268" s="707"/>
      <c r="AK268" s="707"/>
      <c r="AL268" s="707"/>
      <c r="AM268" s="896">
        <f>COUNTIF(B268:AE268,"U/P")</f>
        <v>1</v>
      </c>
      <c r="AN268" s="896">
        <f>COUNTIF(C268:AC268,"ROW")</f>
        <v>0</v>
      </c>
      <c r="AO268" s="896">
        <f>COUNTIF(D268:AD268,"C")</f>
        <v>0</v>
      </c>
    </row>
    <row r="269" spans="1:41" ht="16.5" customHeight="1" thickBot="1">
      <c r="A269" s="469"/>
      <c r="B269" s="710"/>
      <c r="C269" s="720"/>
      <c r="D269" s="710"/>
      <c r="E269" s="720"/>
      <c r="F269" s="710"/>
      <c r="G269" s="720"/>
      <c r="H269" s="710"/>
      <c r="I269" s="720"/>
      <c r="J269" s="710"/>
      <c r="K269" s="720"/>
      <c r="L269" s="710"/>
      <c r="M269" s="720"/>
      <c r="N269" s="710"/>
      <c r="O269" s="720"/>
      <c r="P269" s="710"/>
      <c r="Q269" s="720"/>
      <c r="R269" s="710"/>
      <c r="S269" s="720"/>
      <c r="T269" s="710"/>
      <c r="U269" s="720"/>
      <c r="V269" s="710"/>
      <c r="W269" s="720"/>
      <c r="X269" s="710"/>
      <c r="Y269" s="720"/>
      <c r="Z269" s="710"/>
      <c r="AA269" s="720"/>
      <c r="AB269" s="710"/>
      <c r="AC269" s="720"/>
      <c r="AD269" s="710"/>
      <c r="AE269" s="720"/>
      <c r="AF269" s="723"/>
      <c r="AG269" s="723"/>
      <c r="AH269" s="720"/>
      <c r="AI269" s="720"/>
      <c r="AJ269" s="720"/>
      <c r="AK269" s="720"/>
      <c r="AL269" s="720"/>
    </row>
    <row r="270" spans="1:41" ht="33.5">
      <c r="A270" s="469"/>
      <c r="B270" s="698" t="s">
        <v>185</v>
      </c>
      <c r="C270" s="698"/>
      <c r="D270" s="698" t="s">
        <v>182</v>
      </c>
      <c r="E270" s="698"/>
      <c r="F270" s="698" t="s">
        <v>242</v>
      </c>
      <c r="G270" s="698"/>
      <c r="H270" s="699" t="s">
        <v>125</v>
      </c>
      <c r="I270" s="698"/>
      <c r="J270" s="699" t="s">
        <v>125</v>
      </c>
      <c r="K270" s="698"/>
      <c r="L270" s="698" t="s">
        <v>248</v>
      </c>
      <c r="M270" s="698"/>
      <c r="N270" s="698" t="s">
        <v>185</v>
      </c>
      <c r="O270" s="702"/>
      <c r="P270" s="698" t="s">
        <v>242</v>
      </c>
      <c r="Q270" s="720"/>
      <c r="R270" s="698" t="s">
        <v>248</v>
      </c>
      <c r="S270" s="720"/>
      <c r="T270" s="699" t="s">
        <v>115</v>
      </c>
      <c r="U270" s="720"/>
      <c r="V270" s="715" t="s">
        <v>182</v>
      </c>
      <c r="W270" s="720"/>
      <c r="X270" s="715" t="s">
        <v>182</v>
      </c>
      <c r="Y270" s="720"/>
      <c r="Z270" s="715" t="s">
        <v>185</v>
      </c>
      <c r="AA270" s="720"/>
      <c r="AB270" s="699" t="s">
        <v>125</v>
      </c>
      <c r="AC270" s="720"/>
      <c r="AD270" s="699" t="s">
        <v>188</v>
      </c>
      <c r="AE270" s="720"/>
      <c r="AF270" s="723"/>
      <c r="AG270" s="723"/>
      <c r="AH270" s="720"/>
      <c r="AI270" s="720"/>
      <c r="AJ270" s="720"/>
      <c r="AK270" s="720"/>
      <c r="AL270" s="720"/>
    </row>
    <row r="271" spans="1:41" ht="32" customHeight="1">
      <c r="A271" s="760"/>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907" t="s">
        <v>228</v>
      </c>
      <c r="AA271" s="762"/>
      <c r="AB271" s="762"/>
      <c r="AC271" s="762"/>
      <c r="AD271" s="762"/>
      <c r="AE271" s="762"/>
      <c r="AF271" s="762"/>
      <c r="AG271" s="762"/>
      <c r="AH271" s="762"/>
      <c r="AI271" s="907"/>
      <c r="AJ271" s="907"/>
      <c r="AK271" s="907"/>
      <c r="AL271" s="907"/>
    </row>
    <row r="272" spans="1:41" ht="15" customHeight="1">
      <c r="B272" s="716"/>
      <c r="C272" s="716"/>
      <c r="D272" s="716"/>
      <c r="E272" s="716"/>
      <c r="F272" s="716"/>
      <c r="G272" s="716"/>
      <c r="H272" s="716"/>
      <c r="I272" s="716"/>
      <c r="J272" s="716"/>
      <c r="K272" s="716"/>
      <c r="L272" s="716"/>
      <c r="M272" s="716"/>
      <c r="N272" s="716"/>
      <c r="O272" s="705"/>
      <c r="P272" s="716"/>
      <c r="Q272" s="703"/>
      <c r="R272" s="736"/>
      <c r="S272" s="703"/>
      <c r="T272" s="736"/>
      <c r="U272" s="703"/>
      <c r="V272" s="736"/>
      <c r="W272" s="703"/>
      <c r="X272" s="736"/>
      <c r="Y272" s="703"/>
      <c r="Z272" s="736"/>
      <c r="AA272" s="703"/>
      <c r="AB272" s="736"/>
      <c r="AC272" s="703"/>
      <c r="AD272" s="703"/>
      <c r="AE272" s="695"/>
      <c r="AF272" s="696"/>
      <c r="AG272" s="696"/>
    </row>
    <row r="273" spans="1:41" ht="33.5">
      <c r="B273" s="715" t="s">
        <v>779</v>
      </c>
      <c r="C273" s="720"/>
      <c r="D273" s="744" t="s">
        <v>780</v>
      </c>
      <c r="E273" s="720"/>
      <c r="F273" s="744" t="s">
        <v>781</v>
      </c>
      <c r="G273" s="720"/>
      <c r="H273" s="744" t="s">
        <v>782</v>
      </c>
      <c r="I273" s="720"/>
      <c r="J273" s="715" t="s">
        <v>783</v>
      </c>
      <c r="K273" s="720"/>
      <c r="L273" s="715" t="s">
        <v>784</v>
      </c>
      <c r="M273" s="720"/>
      <c r="N273" s="715" t="s">
        <v>785</v>
      </c>
      <c r="O273" s="720"/>
      <c r="P273" s="715" t="s">
        <v>786</v>
      </c>
      <c r="Q273" s="720"/>
      <c r="R273" s="715" t="s">
        <v>787</v>
      </c>
      <c r="S273" s="720"/>
      <c r="T273" s="715" t="s">
        <v>788</v>
      </c>
      <c r="U273" s="720"/>
      <c r="V273" s="715" t="s">
        <v>789</v>
      </c>
      <c r="W273" s="720"/>
      <c r="X273" s="715" t="s">
        <v>790</v>
      </c>
      <c r="Y273" s="720"/>
      <c r="Z273" s="744" t="s">
        <v>791</v>
      </c>
      <c r="AA273" s="720"/>
      <c r="AB273" s="715" t="s">
        <v>792</v>
      </c>
      <c r="AC273" s="720"/>
      <c r="AD273" s="720"/>
      <c r="AE273" s="720"/>
      <c r="AF273" s="720"/>
      <c r="AG273" s="720"/>
      <c r="AH273" s="720"/>
      <c r="AI273" s="720"/>
      <c r="AJ273" s="720"/>
      <c r="AK273" s="720"/>
      <c r="AL273" s="720"/>
    </row>
    <row r="274" spans="1:41" ht="33.5">
      <c r="A274" s="469"/>
      <c r="B274" s="712"/>
      <c r="C274" s="702"/>
      <c r="D274" s="712"/>
      <c r="E274" s="702"/>
      <c r="F274" s="712"/>
      <c r="G274" s="702"/>
      <c r="H274" s="712"/>
      <c r="I274" s="702"/>
      <c r="J274" s="712"/>
      <c r="K274" s="702"/>
      <c r="L274" s="712"/>
      <c r="M274" s="702"/>
      <c r="N274" s="712"/>
      <c r="O274" s="702"/>
      <c r="P274" s="712"/>
      <c r="Q274" s="720"/>
      <c r="R274" s="712"/>
      <c r="S274" s="702"/>
      <c r="T274" s="712"/>
      <c r="U274" s="702"/>
      <c r="V274" s="712"/>
      <c r="W274" s="702"/>
      <c r="X274" s="712"/>
      <c r="Y274" s="702"/>
      <c r="Z274" s="712"/>
      <c r="AA274" s="702"/>
      <c r="AB274" s="712"/>
      <c r="AC274" s="720"/>
      <c r="AD274" s="720"/>
      <c r="AE274" s="723"/>
      <c r="AF274" s="723"/>
      <c r="AG274" s="723"/>
      <c r="AH274" s="720"/>
      <c r="AI274" s="720"/>
      <c r="AJ274" s="720"/>
      <c r="AK274" s="720"/>
      <c r="AL274" s="720"/>
    </row>
    <row r="275" spans="1:41" ht="16.5" customHeight="1" thickBot="1">
      <c r="A275" s="469"/>
      <c r="B275" s="714"/>
      <c r="C275" s="702"/>
      <c r="D275" s="714"/>
      <c r="E275" s="702"/>
      <c r="F275" s="714"/>
      <c r="G275" s="702"/>
      <c r="H275" s="714"/>
      <c r="I275" s="702"/>
      <c r="J275" s="714"/>
      <c r="K275" s="702"/>
      <c r="L275" s="714"/>
      <c r="M275" s="702"/>
      <c r="N275" s="714"/>
      <c r="O275" s="702"/>
      <c r="P275" s="714"/>
      <c r="Q275" s="720"/>
      <c r="R275" s="714"/>
      <c r="S275" s="702"/>
      <c r="T275" s="714"/>
      <c r="U275" s="702"/>
      <c r="V275" s="714"/>
      <c r="W275" s="702"/>
      <c r="X275" s="714"/>
      <c r="Y275" s="702"/>
      <c r="Z275" s="714"/>
      <c r="AA275" s="702"/>
      <c r="AB275" s="714"/>
      <c r="AC275" s="720"/>
      <c r="AD275" s="720"/>
      <c r="AE275" s="723"/>
      <c r="AF275" s="723"/>
      <c r="AG275" s="723"/>
      <c r="AH275" s="720"/>
      <c r="AI275" s="720"/>
      <c r="AJ275" s="720"/>
      <c r="AK275" s="720"/>
      <c r="AL275" s="720"/>
    </row>
    <row r="276" spans="1:41" ht="100" customHeight="1" thickBot="1">
      <c r="A276" s="469"/>
      <c r="B276" s="733"/>
      <c r="C276" s="707">
        <v>381</v>
      </c>
      <c r="D276" s="733"/>
      <c r="E276" s="707">
        <v>334</v>
      </c>
      <c r="F276" s="763"/>
      <c r="G276" s="707">
        <v>347</v>
      </c>
      <c r="H276" s="763"/>
      <c r="I276" s="707">
        <v>375.55</v>
      </c>
      <c r="J276" s="763"/>
      <c r="K276" s="707">
        <v>392</v>
      </c>
      <c r="L276" s="691" t="s">
        <v>1703</v>
      </c>
      <c r="M276" s="707">
        <v>407.97</v>
      </c>
      <c r="N276" s="1048" t="s">
        <v>1693</v>
      </c>
      <c r="O276" s="707">
        <v>392</v>
      </c>
      <c r="P276" s="691" t="s">
        <v>1703</v>
      </c>
      <c r="Q276" s="744">
        <v>405</v>
      </c>
      <c r="R276" s="733"/>
      <c r="S276" s="707">
        <v>435</v>
      </c>
      <c r="T276" s="733"/>
      <c r="U276" s="707">
        <v>378.33</v>
      </c>
      <c r="V276" s="733"/>
      <c r="W276" s="707">
        <v>386</v>
      </c>
      <c r="X276" s="733"/>
      <c r="Y276" s="707">
        <v>391</v>
      </c>
      <c r="Z276" s="763"/>
      <c r="AA276" s="707">
        <v>399.83</v>
      </c>
      <c r="AB276" s="763"/>
      <c r="AC276" s="787">
        <v>437.01</v>
      </c>
      <c r="AD276" s="720"/>
      <c r="AE276" s="723"/>
      <c r="AF276" s="723"/>
      <c r="AG276" s="723"/>
      <c r="AH276" s="720"/>
      <c r="AI276" s="720"/>
      <c r="AJ276" s="720"/>
      <c r="AK276" s="720"/>
      <c r="AL276" s="720"/>
      <c r="AM276" s="896">
        <f>COUNTIF(B276:AB276,"U/P")</f>
        <v>0</v>
      </c>
      <c r="AN276" s="896">
        <f>COUNTIF(C276:AC276,"ROW")</f>
        <v>0</v>
      </c>
      <c r="AO276" s="896">
        <f>COUNTIF(D276:AD276,"C")</f>
        <v>0</v>
      </c>
    </row>
    <row r="277" spans="1:41" ht="16.5" customHeight="1" thickBot="1">
      <c r="A277" s="469"/>
      <c r="B277" s="710"/>
      <c r="C277" s="720"/>
      <c r="D277" s="710"/>
      <c r="E277" s="720"/>
      <c r="F277" s="710"/>
      <c r="G277" s="720"/>
      <c r="H277" s="710"/>
      <c r="I277" s="720"/>
      <c r="J277" s="710"/>
      <c r="K277" s="720"/>
      <c r="L277" s="710"/>
      <c r="M277" s="720"/>
      <c r="N277" s="710"/>
      <c r="O277" s="720"/>
      <c r="P277" s="710"/>
      <c r="Q277" s="720"/>
      <c r="R277" s="710"/>
      <c r="S277" s="720"/>
      <c r="T277" s="710"/>
      <c r="U277" s="720"/>
      <c r="V277" s="710"/>
      <c r="W277" s="720"/>
      <c r="X277" s="710"/>
      <c r="Y277" s="720"/>
      <c r="Z277" s="710"/>
      <c r="AA277" s="720"/>
      <c r="AB277" s="710"/>
      <c r="AC277" s="720"/>
      <c r="AD277" s="720"/>
      <c r="AE277" s="723"/>
      <c r="AF277" s="723"/>
      <c r="AG277" s="723"/>
      <c r="AH277" s="720"/>
      <c r="AI277" s="720"/>
      <c r="AJ277" s="720"/>
      <c r="AK277" s="720"/>
      <c r="AL277" s="720"/>
    </row>
    <row r="278" spans="1:41" ht="33.5">
      <c r="A278" s="469"/>
      <c r="B278" s="699" t="s">
        <v>188</v>
      </c>
      <c r="C278" s="698"/>
      <c r="D278" s="698" t="s">
        <v>182</v>
      </c>
      <c r="E278" s="698"/>
      <c r="F278" s="698" t="s">
        <v>182</v>
      </c>
      <c r="G278" s="698"/>
      <c r="H278" s="698" t="s">
        <v>182</v>
      </c>
      <c r="I278" s="698"/>
      <c r="J278" s="699" t="s">
        <v>137</v>
      </c>
      <c r="K278" s="698"/>
      <c r="L278" s="698" t="s">
        <v>248</v>
      </c>
      <c r="M278" s="698"/>
      <c r="N278" s="699" t="s">
        <v>119</v>
      </c>
      <c r="O278" s="702"/>
      <c r="P278" s="698" t="s">
        <v>185</v>
      </c>
      <c r="Q278" s="720"/>
      <c r="R278" s="715" t="s">
        <v>185</v>
      </c>
      <c r="S278" s="720"/>
      <c r="T278" s="715" t="s">
        <v>185</v>
      </c>
      <c r="U278" s="720"/>
      <c r="V278" s="699" t="s">
        <v>115</v>
      </c>
      <c r="W278" s="720"/>
      <c r="X278" s="715" t="s">
        <v>182</v>
      </c>
      <c r="Y278" s="720"/>
      <c r="Z278" s="787" t="s">
        <v>242</v>
      </c>
      <c r="AA278" s="720"/>
      <c r="AB278" s="699" t="s">
        <v>137</v>
      </c>
      <c r="AC278" s="720"/>
      <c r="AD278" s="720"/>
      <c r="AE278" s="723"/>
      <c r="AF278" s="723"/>
      <c r="AG278" s="723"/>
      <c r="AH278" s="720"/>
      <c r="AI278" s="720"/>
      <c r="AJ278" s="720"/>
      <c r="AK278" s="720"/>
      <c r="AL278" s="720"/>
    </row>
    <row r="279" spans="1:41" ht="31" customHeight="1">
      <c r="B279" s="698"/>
      <c r="C279" s="698"/>
      <c r="D279" s="698"/>
      <c r="E279" s="698"/>
      <c r="F279" s="698"/>
      <c r="G279" s="698"/>
      <c r="H279" s="698"/>
      <c r="I279" s="698"/>
      <c r="J279" s="780" t="s">
        <v>1629</v>
      </c>
      <c r="K279" s="698"/>
      <c r="L279" s="1526" t="s">
        <v>228</v>
      </c>
      <c r="M279" s="1526"/>
      <c r="N279" s="1526"/>
      <c r="O279" s="1526"/>
      <c r="P279" s="1526"/>
      <c r="Q279" s="720"/>
      <c r="R279" s="715"/>
      <c r="S279" s="720"/>
      <c r="T279" s="715"/>
      <c r="U279" s="720"/>
      <c r="V279" s="715"/>
      <c r="W279" s="720"/>
      <c r="X279" s="715"/>
      <c r="Y279" s="720"/>
      <c r="Z279" s="787"/>
      <c r="AA279" s="720"/>
      <c r="AB279" s="729" t="s">
        <v>228</v>
      </c>
      <c r="AC279" s="720"/>
      <c r="AD279" s="720"/>
      <c r="AE279" s="722"/>
      <c r="AF279" s="723"/>
      <c r="AG279" s="723"/>
      <c r="AH279" s="720"/>
      <c r="AI279" s="720"/>
      <c r="AJ279" s="720"/>
      <c r="AK279" s="720"/>
      <c r="AL279" s="720"/>
    </row>
    <row r="280" spans="1:41" ht="39" customHeight="1">
      <c r="A280" s="760"/>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c r="AA280" s="762"/>
      <c r="AB280" s="762"/>
      <c r="AC280" s="762"/>
      <c r="AD280" s="762"/>
      <c r="AE280" s="762"/>
      <c r="AF280" s="762"/>
      <c r="AG280" s="762"/>
      <c r="AH280" s="762"/>
      <c r="AI280" s="907"/>
      <c r="AJ280" s="907"/>
      <c r="AK280" s="907"/>
      <c r="AL280" s="907"/>
    </row>
    <row r="281" spans="1:41" ht="33.5">
      <c r="B281" s="715" t="s">
        <v>793</v>
      </c>
      <c r="C281" s="720"/>
      <c r="D281" s="744" t="s">
        <v>794</v>
      </c>
      <c r="E281" s="720"/>
      <c r="F281" s="744" t="s">
        <v>795</v>
      </c>
      <c r="G281" s="744"/>
      <c r="H281" s="744" t="s">
        <v>796</v>
      </c>
      <c r="I281" s="744"/>
      <c r="J281" s="744" t="s">
        <v>797</v>
      </c>
      <c r="K281" s="744"/>
      <c r="L281" s="744" t="s">
        <v>798</v>
      </c>
      <c r="M281" s="744"/>
      <c r="N281" s="744" t="s">
        <v>799</v>
      </c>
      <c r="O281" s="744"/>
      <c r="P281" s="744" t="s">
        <v>800</v>
      </c>
      <c r="Q281" s="744"/>
      <c r="R281" s="744" t="s">
        <v>801</v>
      </c>
      <c r="S281" s="744"/>
      <c r="T281" s="744" t="s">
        <v>802</v>
      </c>
      <c r="U281" s="744"/>
      <c r="V281" s="744" t="s">
        <v>803</v>
      </c>
      <c r="W281" s="744"/>
      <c r="X281" s="744" t="s">
        <v>804</v>
      </c>
      <c r="Y281" s="744"/>
      <c r="Z281" s="744" t="s">
        <v>805</v>
      </c>
      <c r="AA281" s="744"/>
      <c r="AB281" s="744" t="s">
        <v>806</v>
      </c>
      <c r="AC281" s="720"/>
      <c r="AD281" s="720"/>
      <c r="AE281" s="720"/>
      <c r="AF281" s="720"/>
      <c r="AG281" s="720"/>
      <c r="AH281" s="720"/>
      <c r="AI281" s="720"/>
      <c r="AJ281" s="720"/>
      <c r="AK281" s="720"/>
      <c r="AL281" s="720"/>
    </row>
    <row r="282" spans="1:41" ht="33.5">
      <c r="A282" s="469"/>
      <c r="B282" s="712"/>
      <c r="C282" s="702"/>
      <c r="D282" s="712"/>
      <c r="E282" s="702"/>
      <c r="F282" s="712"/>
      <c r="G282" s="702"/>
      <c r="H282" s="712"/>
      <c r="I282" s="702"/>
      <c r="J282" s="712"/>
      <c r="K282" s="702"/>
      <c r="L282" s="712"/>
      <c r="M282" s="702"/>
      <c r="N282" s="712"/>
      <c r="O282" s="702"/>
      <c r="P282" s="712"/>
      <c r="Q282" s="720"/>
      <c r="R282" s="712"/>
      <c r="S282" s="702"/>
      <c r="T282" s="712"/>
      <c r="U282" s="702"/>
      <c r="V282" s="712"/>
      <c r="W282" s="702"/>
      <c r="X282" s="712"/>
      <c r="Y282" s="702"/>
      <c r="Z282" s="712"/>
      <c r="AA282" s="702"/>
      <c r="AB282" s="712"/>
      <c r="AC282" s="720"/>
      <c r="AD282" s="720"/>
      <c r="AE282" s="723"/>
      <c r="AF282" s="723"/>
      <c r="AG282" s="723"/>
      <c r="AH282" s="720"/>
      <c r="AI282" s="720"/>
      <c r="AJ282" s="720"/>
      <c r="AK282" s="720"/>
      <c r="AL282" s="720"/>
    </row>
    <row r="283" spans="1:41" ht="16.5" customHeight="1" thickBot="1">
      <c r="A283" s="469"/>
      <c r="B283" s="714"/>
      <c r="C283" s="702"/>
      <c r="D283" s="714"/>
      <c r="E283" s="702"/>
      <c r="F283" s="714"/>
      <c r="G283" s="702"/>
      <c r="H283" s="714"/>
      <c r="I283" s="702"/>
      <c r="J283" s="714"/>
      <c r="K283" s="702"/>
      <c r="L283" s="714"/>
      <c r="M283" s="702"/>
      <c r="N283" s="714"/>
      <c r="O283" s="702"/>
      <c r="P283" s="714"/>
      <c r="Q283" s="720"/>
      <c r="R283" s="714"/>
      <c r="S283" s="702"/>
      <c r="T283" s="714"/>
      <c r="U283" s="702"/>
      <c r="V283" s="714"/>
      <c r="W283" s="702"/>
      <c r="X283" s="714"/>
      <c r="Y283" s="702"/>
      <c r="Z283" s="714"/>
      <c r="AA283" s="702"/>
      <c r="AB283" s="714"/>
      <c r="AC283" s="720"/>
      <c r="AD283" s="720"/>
      <c r="AE283" s="723"/>
      <c r="AF283" s="723"/>
      <c r="AG283" s="723"/>
      <c r="AH283" s="720"/>
      <c r="AI283" s="720"/>
      <c r="AJ283" s="720"/>
      <c r="AK283" s="720"/>
      <c r="AL283" s="720"/>
    </row>
    <row r="284" spans="1:41" ht="100" customHeight="1" thickBot="1">
      <c r="A284" s="469"/>
      <c r="B284" s="733"/>
      <c r="C284" s="707">
        <v>401.76</v>
      </c>
      <c r="D284" s="763"/>
      <c r="E284" s="707">
        <v>416.24</v>
      </c>
      <c r="F284" s="763"/>
      <c r="G284" s="707">
        <v>417</v>
      </c>
      <c r="H284" s="763"/>
      <c r="I284" s="707">
        <v>399</v>
      </c>
      <c r="J284" s="763"/>
      <c r="K284" s="707">
        <v>420</v>
      </c>
      <c r="L284" s="763"/>
      <c r="M284" s="707">
        <v>409</v>
      </c>
      <c r="N284" s="763"/>
      <c r="O284" s="707">
        <v>412</v>
      </c>
      <c r="P284" s="763"/>
      <c r="Q284" s="744">
        <v>400.41</v>
      </c>
      <c r="R284" s="763"/>
      <c r="S284" s="707">
        <v>232.12</v>
      </c>
      <c r="T284" s="733"/>
      <c r="U284" s="707">
        <v>442</v>
      </c>
      <c r="V284" s="733"/>
      <c r="W284" s="707">
        <v>385</v>
      </c>
      <c r="X284" s="902"/>
      <c r="Y284" s="707">
        <v>362</v>
      </c>
      <c r="Z284" s="902"/>
      <c r="AA284" s="707">
        <v>399</v>
      </c>
      <c r="AB284" s="902"/>
      <c r="AC284" s="744">
        <v>382.07</v>
      </c>
      <c r="AD284" s="720"/>
      <c r="AE284" s="723"/>
      <c r="AF284" s="723"/>
      <c r="AG284" s="723"/>
      <c r="AH284" s="720"/>
      <c r="AI284" s="720"/>
      <c r="AJ284" s="720"/>
      <c r="AK284" s="720"/>
      <c r="AL284" s="720"/>
      <c r="AM284" s="896">
        <f>COUNTIF(B284:AB284,"U/P")</f>
        <v>0</v>
      </c>
      <c r="AN284" s="896">
        <f>COUNTIF(C284:AC284,"ROW")</f>
        <v>0</v>
      </c>
      <c r="AO284" s="896">
        <f>COUNTIF(D284:AD284,"C")</f>
        <v>0</v>
      </c>
    </row>
    <row r="285" spans="1:41" ht="16.5" customHeight="1" thickBot="1">
      <c r="A285" s="469"/>
      <c r="B285" s="710"/>
      <c r="C285" s="720"/>
      <c r="D285" s="710"/>
      <c r="E285" s="720"/>
      <c r="F285" s="710"/>
      <c r="G285" s="720"/>
      <c r="H285" s="710"/>
      <c r="I285" s="720"/>
      <c r="J285" s="710"/>
      <c r="K285" s="720"/>
      <c r="L285" s="710"/>
      <c r="M285" s="720"/>
      <c r="N285" s="710"/>
      <c r="O285" s="720"/>
      <c r="P285" s="710"/>
      <c r="Q285" s="720"/>
      <c r="R285" s="710"/>
      <c r="S285" s="720"/>
      <c r="T285" s="710"/>
      <c r="U285" s="720"/>
      <c r="V285" s="710"/>
      <c r="W285" s="720"/>
      <c r="X285" s="710"/>
      <c r="Y285" s="720"/>
      <c r="Z285" s="710"/>
      <c r="AA285" s="720"/>
      <c r="AB285" s="710"/>
      <c r="AC285" s="720"/>
      <c r="AD285" s="720"/>
      <c r="AE285" s="723"/>
      <c r="AF285" s="723"/>
      <c r="AG285" s="723"/>
      <c r="AH285" s="720"/>
      <c r="AI285" s="720"/>
      <c r="AJ285" s="720"/>
      <c r="AK285" s="720"/>
      <c r="AL285" s="720"/>
    </row>
    <row r="286" spans="1:41" ht="33.5">
      <c r="A286" s="469"/>
      <c r="B286" s="699" t="s">
        <v>137</v>
      </c>
      <c r="C286" s="698"/>
      <c r="D286" s="698" t="s">
        <v>242</v>
      </c>
      <c r="E286" s="698"/>
      <c r="F286" s="698" t="s">
        <v>182</v>
      </c>
      <c r="G286" s="698"/>
      <c r="H286" s="698" t="s">
        <v>185</v>
      </c>
      <c r="I286" s="698"/>
      <c r="J286" s="698" t="s">
        <v>185</v>
      </c>
      <c r="K286" s="698"/>
      <c r="L286" s="698" t="s">
        <v>185</v>
      </c>
      <c r="M286" s="698"/>
      <c r="N286" s="698" t="s">
        <v>182</v>
      </c>
      <c r="O286" s="702"/>
      <c r="P286" s="698" t="s">
        <v>185</v>
      </c>
      <c r="Q286" s="720"/>
      <c r="R286" s="699" t="s">
        <v>192</v>
      </c>
      <c r="S286" s="720"/>
      <c r="T286" s="699" t="s">
        <v>192</v>
      </c>
      <c r="U286" s="715"/>
      <c r="V286" s="715" t="s">
        <v>185</v>
      </c>
      <c r="W286" s="720"/>
      <c r="X286" s="715" t="s">
        <v>182</v>
      </c>
      <c r="Y286" s="720"/>
      <c r="Z286" s="715" t="s">
        <v>182</v>
      </c>
      <c r="AA286" s="720"/>
      <c r="AB286" s="715" t="s">
        <v>185</v>
      </c>
      <c r="AC286" s="720"/>
      <c r="AD286" s="720"/>
      <c r="AE286" s="723"/>
      <c r="AF286" s="723"/>
      <c r="AG286" s="723"/>
      <c r="AH286" s="720"/>
      <c r="AI286" s="720"/>
      <c r="AJ286" s="720"/>
      <c r="AK286" s="720"/>
      <c r="AL286" s="720"/>
    </row>
    <row r="287" spans="1:41" ht="36">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c r="AA287" s="762"/>
      <c r="AB287" s="762"/>
      <c r="AC287" s="762"/>
      <c r="AD287" s="762"/>
      <c r="AE287" s="762"/>
      <c r="AF287" s="762"/>
      <c r="AG287" s="762"/>
      <c r="AH287" s="762"/>
      <c r="AI287" s="907"/>
      <c r="AJ287" s="907"/>
      <c r="AK287" s="907"/>
      <c r="AL287" s="907"/>
    </row>
    <row r="288" spans="1:41" ht="17.5" customHeight="1">
      <c r="B288" s="716"/>
      <c r="C288" s="716"/>
      <c r="D288" s="716"/>
      <c r="E288" s="716"/>
      <c r="F288" s="716"/>
      <c r="G288" s="716"/>
      <c r="H288" s="716"/>
      <c r="I288" s="716"/>
      <c r="J288" s="716"/>
      <c r="K288" s="716"/>
      <c r="L288" s="716"/>
      <c r="M288" s="716"/>
      <c r="N288" s="716"/>
      <c r="O288" s="705"/>
      <c r="P288" s="716"/>
      <c r="Q288" s="703"/>
      <c r="R288" s="736"/>
      <c r="S288" s="703"/>
      <c r="T288" s="736"/>
      <c r="U288" s="736"/>
      <c r="V288" s="736"/>
      <c r="W288" s="703"/>
      <c r="X288" s="736"/>
      <c r="Y288" s="703"/>
      <c r="Z288" s="736"/>
      <c r="AA288" s="703"/>
      <c r="AB288" s="736"/>
      <c r="AC288" s="703"/>
      <c r="AD288" s="703"/>
      <c r="AE288" s="695"/>
      <c r="AF288" s="696"/>
      <c r="AG288" s="696"/>
    </row>
    <row r="289" spans="1:41" ht="33.5">
      <c r="B289" s="715" t="s">
        <v>807</v>
      </c>
      <c r="C289" s="720"/>
      <c r="D289" s="715" t="s">
        <v>808</v>
      </c>
      <c r="E289" s="720"/>
      <c r="F289" s="744" t="s">
        <v>809</v>
      </c>
      <c r="G289" s="720"/>
      <c r="H289" s="744" t="s">
        <v>1285</v>
      </c>
      <c r="I289" s="720"/>
      <c r="J289" s="744" t="s">
        <v>810</v>
      </c>
      <c r="K289" s="720"/>
      <c r="L289" s="744" t="s">
        <v>811</v>
      </c>
      <c r="M289" s="720"/>
      <c r="N289" s="744" t="s">
        <v>812</v>
      </c>
      <c r="O289" s="720"/>
      <c r="P289" s="744" t="s">
        <v>813</v>
      </c>
      <c r="Q289" s="720"/>
      <c r="R289" s="744" t="s">
        <v>814</v>
      </c>
      <c r="S289" s="720"/>
      <c r="T289" s="744" t="s">
        <v>815</v>
      </c>
      <c r="U289" s="744"/>
      <c r="V289" s="744" t="s">
        <v>816</v>
      </c>
      <c r="W289" s="744"/>
      <c r="X289" s="744" t="s">
        <v>817</v>
      </c>
      <c r="Y289" s="744"/>
      <c r="Z289" s="744" t="s">
        <v>1286</v>
      </c>
      <c r="AA289" s="685" t="s">
        <v>1513</v>
      </c>
      <c r="AB289" s="744" t="s">
        <v>1287</v>
      </c>
      <c r="AC289" s="720"/>
      <c r="AD289" s="720"/>
      <c r="AE289" s="720"/>
      <c r="AF289" s="720"/>
      <c r="AG289" s="720"/>
      <c r="AH289" s="720"/>
      <c r="AI289" s="720"/>
      <c r="AJ289" s="720"/>
      <c r="AK289" s="720"/>
      <c r="AL289" s="720"/>
    </row>
    <row r="290" spans="1:41" ht="33.5">
      <c r="B290" s="712"/>
      <c r="C290" s="702"/>
      <c r="D290" s="712"/>
      <c r="E290" s="702"/>
      <c r="F290" s="712"/>
      <c r="G290" s="702"/>
      <c r="H290" s="712"/>
      <c r="I290" s="702"/>
      <c r="J290" s="712"/>
      <c r="K290" s="702"/>
      <c r="L290" s="712"/>
      <c r="M290" s="702"/>
      <c r="N290" s="712"/>
      <c r="O290" s="702"/>
      <c r="P290" s="712"/>
      <c r="Q290" s="720"/>
      <c r="R290" s="712"/>
      <c r="S290" s="702"/>
      <c r="T290" s="712"/>
      <c r="U290" s="702"/>
      <c r="V290" s="712"/>
      <c r="W290" s="702"/>
      <c r="X290" s="712"/>
      <c r="Y290" s="702"/>
      <c r="Z290" s="712"/>
      <c r="AA290" s="702"/>
      <c r="AB290" s="712"/>
      <c r="AC290" s="720"/>
      <c r="AD290" s="720"/>
      <c r="AE290" s="723"/>
      <c r="AF290" s="723"/>
      <c r="AG290" s="723"/>
      <c r="AH290" s="720"/>
      <c r="AI290" s="720"/>
      <c r="AJ290" s="720"/>
      <c r="AK290" s="720"/>
      <c r="AL290" s="720"/>
    </row>
    <row r="291" spans="1:41" ht="16.5" customHeight="1" thickBot="1">
      <c r="B291" s="714"/>
      <c r="C291" s="702"/>
      <c r="D291" s="714"/>
      <c r="E291" s="702"/>
      <c r="F291" s="714"/>
      <c r="G291" s="702"/>
      <c r="H291" s="714"/>
      <c r="I291" s="702"/>
      <c r="J291" s="714"/>
      <c r="K291" s="702"/>
      <c r="L291" s="714"/>
      <c r="M291" s="702"/>
      <c r="N291" s="714"/>
      <c r="O291" s="702"/>
      <c r="P291" s="714"/>
      <c r="Q291" s="720"/>
      <c r="R291" s="714"/>
      <c r="S291" s="702"/>
      <c r="T291" s="714"/>
      <c r="U291" s="702"/>
      <c r="V291" s="714"/>
      <c r="W291" s="702"/>
      <c r="X291" s="714"/>
      <c r="Y291" s="702"/>
      <c r="Z291" s="714"/>
      <c r="AA291" s="702"/>
      <c r="AB291" s="714"/>
      <c r="AC291" s="720"/>
      <c r="AD291" s="720"/>
      <c r="AE291" s="723"/>
      <c r="AF291" s="723"/>
      <c r="AG291" s="723"/>
      <c r="AH291" s="720"/>
      <c r="AI291" s="720"/>
      <c r="AJ291" s="720"/>
      <c r="AK291" s="720"/>
      <c r="AL291" s="720"/>
    </row>
    <row r="292" spans="1:41" ht="100" customHeight="1" thickBot="1">
      <c r="B292" s="733"/>
      <c r="C292" s="707">
        <v>392</v>
      </c>
      <c r="D292" s="733"/>
      <c r="E292" s="707">
        <v>422</v>
      </c>
      <c r="F292" s="733"/>
      <c r="G292" s="707">
        <v>409.46</v>
      </c>
      <c r="H292" s="733"/>
      <c r="I292" s="707">
        <v>373.69</v>
      </c>
      <c r="J292" s="733"/>
      <c r="K292" s="707">
        <v>381.62</v>
      </c>
      <c r="L292" s="733"/>
      <c r="M292" s="707">
        <v>381.82</v>
      </c>
      <c r="N292" s="733"/>
      <c r="O292" s="707">
        <v>391.44</v>
      </c>
      <c r="P292" s="733"/>
      <c r="Q292" s="744">
        <v>385.78</v>
      </c>
      <c r="R292" s="733"/>
      <c r="S292" s="707">
        <v>367.45</v>
      </c>
      <c r="T292" s="733"/>
      <c r="U292" s="707">
        <v>379.63</v>
      </c>
      <c r="V292" s="733"/>
      <c r="W292" s="707">
        <v>380.46</v>
      </c>
      <c r="X292" s="733"/>
      <c r="Y292" s="707">
        <v>382.98</v>
      </c>
      <c r="Z292" s="733"/>
      <c r="AA292" s="707">
        <v>241.5</v>
      </c>
      <c r="AB292" s="691" t="s">
        <v>390</v>
      </c>
      <c r="AC292" s="787">
        <v>363.92</v>
      </c>
      <c r="AD292" s="720"/>
      <c r="AE292" s="723"/>
      <c r="AF292" s="723"/>
      <c r="AG292" s="723"/>
      <c r="AH292" s="720"/>
      <c r="AI292" s="720"/>
      <c r="AJ292" s="720"/>
      <c r="AK292" s="720"/>
      <c r="AL292" s="720"/>
      <c r="AM292" s="896">
        <f>COUNTIF(B292:AB292,"U/P")</f>
        <v>1</v>
      </c>
      <c r="AN292" s="896">
        <f>COUNTIF(C292:AC292,"ROW")</f>
        <v>0</v>
      </c>
      <c r="AO292" s="896">
        <f>COUNTIF(D292:AD292,"C")</f>
        <v>0</v>
      </c>
    </row>
    <row r="293" spans="1:41" ht="16.5" customHeight="1" thickBot="1">
      <c r="B293" s="710"/>
      <c r="C293" s="720"/>
      <c r="D293" s="710"/>
      <c r="E293" s="720"/>
      <c r="F293" s="710"/>
      <c r="G293" s="720"/>
      <c r="H293" s="710"/>
      <c r="I293" s="720"/>
      <c r="J293" s="710"/>
      <c r="K293" s="720"/>
      <c r="L293" s="710"/>
      <c r="M293" s="720"/>
      <c r="N293" s="710"/>
      <c r="O293" s="720"/>
      <c r="P293" s="710"/>
      <c r="Q293" s="720"/>
      <c r="R293" s="710"/>
      <c r="S293" s="720"/>
      <c r="T293" s="710"/>
      <c r="U293" s="720"/>
      <c r="V293" s="710"/>
      <c r="W293" s="720"/>
      <c r="X293" s="710"/>
      <c r="Y293" s="720"/>
      <c r="Z293" s="710"/>
      <c r="AA293" s="720"/>
      <c r="AB293" s="710"/>
      <c r="AC293" s="720"/>
      <c r="AD293" s="720"/>
      <c r="AE293" s="723"/>
      <c r="AF293" s="723"/>
      <c r="AG293" s="723"/>
      <c r="AH293" s="720"/>
      <c r="AI293" s="720"/>
      <c r="AJ293" s="720"/>
      <c r="AK293" s="720"/>
      <c r="AL293" s="720"/>
    </row>
    <row r="294" spans="1:41" ht="33.5">
      <c r="B294" s="699" t="s">
        <v>115</v>
      </c>
      <c r="C294" s="698"/>
      <c r="D294" s="698" t="s">
        <v>185</v>
      </c>
      <c r="E294" s="698"/>
      <c r="F294" s="698" t="s">
        <v>182</v>
      </c>
      <c r="G294" s="698"/>
      <c r="H294" s="699" t="s">
        <v>115</v>
      </c>
      <c r="I294" s="698"/>
      <c r="J294" s="698" t="s">
        <v>182</v>
      </c>
      <c r="K294" s="698"/>
      <c r="L294" s="698" t="s">
        <v>182</v>
      </c>
      <c r="M294" s="698"/>
      <c r="N294" s="698" t="s">
        <v>182</v>
      </c>
      <c r="O294" s="702"/>
      <c r="P294" s="698" t="s">
        <v>182</v>
      </c>
      <c r="Q294" s="720"/>
      <c r="R294" s="715" t="s">
        <v>182</v>
      </c>
      <c r="S294" s="720"/>
      <c r="T294" s="715" t="s">
        <v>182</v>
      </c>
      <c r="U294" s="715"/>
      <c r="V294" s="715" t="s">
        <v>182</v>
      </c>
      <c r="W294" s="715"/>
      <c r="X294" s="715" t="s">
        <v>182</v>
      </c>
      <c r="Y294" s="715"/>
      <c r="Z294" s="715" t="s">
        <v>182</v>
      </c>
      <c r="AA294" s="715"/>
      <c r="AB294" s="699" t="s">
        <v>119</v>
      </c>
      <c r="AC294" s="720"/>
      <c r="AD294" s="720"/>
      <c r="AE294" s="723"/>
      <c r="AF294" s="723"/>
      <c r="AG294" s="723"/>
      <c r="AH294" s="720"/>
      <c r="AI294" s="720"/>
      <c r="AJ294" s="720"/>
      <c r="AK294" s="720"/>
      <c r="AL294" s="720"/>
      <c r="AM294" s="898"/>
    </row>
    <row r="295" spans="1:41" ht="46">
      <c r="A295" s="735"/>
      <c r="B295" s="762"/>
      <c r="C295" s="735"/>
      <c r="D295" s="735"/>
      <c r="E295" s="735"/>
      <c r="F295" s="735"/>
      <c r="G295" s="735"/>
      <c r="H295" s="735"/>
      <c r="I295" s="735"/>
      <c r="J295" s="735"/>
      <c r="K295" s="735"/>
      <c r="L295" s="735"/>
      <c r="M295" s="735"/>
      <c r="N295" s="735"/>
      <c r="O295" s="735"/>
      <c r="P295" s="735"/>
      <c r="Q295" s="735"/>
      <c r="R295" s="735"/>
      <c r="S295" s="735"/>
      <c r="T295" s="762"/>
      <c r="U295" s="735"/>
      <c r="V295" s="735"/>
      <c r="W295" s="735"/>
      <c r="X295" s="735"/>
      <c r="Y295" s="735"/>
      <c r="Z295" s="762"/>
      <c r="AA295" s="762"/>
      <c r="AB295" s="907" t="s">
        <v>228</v>
      </c>
      <c r="AC295" s="735"/>
      <c r="AD295" s="735"/>
      <c r="AE295" s="735"/>
      <c r="AF295" s="735"/>
      <c r="AG295" s="735"/>
      <c r="AH295" s="735"/>
      <c r="AI295" s="735"/>
      <c r="AJ295" s="735"/>
      <c r="AK295" s="735"/>
      <c r="AL295" s="735"/>
    </row>
    <row r="296" spans="1:41" ht="15" customHeight="1">
      <c r="B296" s="716"/>
      <c r="C296" s="716"/>
      <c r="D296" s="716"/>
      <c r="E296" s="716"/>
      <c r="F296" s="716"/>
      <c r="G296" s="716"/>
      <c r="H296" s="716"/>
      <c r="I296" s="716"/>
      <c r="J296" s="716"/>
      <c r="K296" s="716"/>
      <c r="L296" s="716"/>
      <c r="M296" s="716"/>
      <c r="N296" s="716"/>
      <c r="O296" s="705"/>
      <c r="P296" s="716"/>
      <c r="Q296" s="703"/>
      <c r="R296" s="736"/>
      <c r="S296" s="703"/>
      <c r="T296" s="736"/>
      <c r="U296" s="736"/>
      <c r="V296" s="736"/>
      <c r="W296" s="736"/>
      <c r="X296" s="736"/>
      <c r="Y296" s="736"/>
      <c r="Z296" s="736"/>
      <c r="AA296" s="736"/>
      <c r="AB296" s="736"/>
      <c r="AC296" s="703"/>
      <c r="AD296" s="703"/>
      <c r="AE296" s="695"/>
      <c r="AF296" s="696"/>
      <c r="AG296" s="696"/>
    </row>
    <row r="297" spans="1:41" ht="33.5">
      <c r="A297" s="505"/>
      <c r="B297" s="744" t="s">
        <v>818</v>
      </c>
      <c r="C297" s="744"/>
      <c r="D297" s="744" t="s">
        <v>819</v>
      </c>
      <c r="E297" s="744"/>
      <c r="F297" s="744" t="s">
        <v>820</v>
      </c>
      <c r="G297" s="744"/>
      <c r="H297" s="744" t="s">
        <v>821</v>
      </c>
      <c r="I297" s="744"/>
      <c r="J297" s="744" t="s">
        <v>822</v>
      </c>
      <c r="K297" s="744"/>
      <c r="L297" s="744" t="s">
        <v>823</v>
      </c>
      <c r="M297" s="744"/>
      <c r="N297" s="744" t="s">
        <v>824</v>
      </c>
      <c r="O297" s="744"/>
      <c r="P297" s="744" t="s">
        <v>827</v>
      </c>
      <c r="Q297" s="744"/>
      <c r="R297" s="744" t="s">
        <v>1363</v>
      </c>
      <c r="S297" s="744"/>
      <c r="T297" s="744" t="s">
        <v>1364</v>
      </c>
      <c r="U297" s="744"/>
      <c r="V297" s="744" t="s">
        <v>1365</v>
      </c>
      <c r="W297" s="744"/>
      <c r="X297" s="744" t="s">
        <v>1366</v>
      </c>
      <c r="Y297" s="744"/>
      <c r="Z297" s="744" t="s">
        <v>1367</v>
      </c>
      <c r="AA297" s="720"/>
      <c r="AB297" s="744" t="s">
        <v>830</v>
      </c>
      <c r="AC297" s="744"/>
      <c r="AD297" s="744" t="s">
        <v>831</v>
      </c>
      <c r="AE297" s="720"/>
      <c r="AF297" s="720"/>
      <c r="AG297" s="720"/>
      <c r="AH297" s="720"/>
      <c r="AI297" s="720"/>
      <c r="AJ297" s="720"/>
      <c r="AK297" s="720"/>
      <c r="AL297" s="720"/>
    </row>
    <row r="298" spans="1:41" ht="33.5">
      <c r="B298" s="712"/>
      <c r="C298" s="702"/>
      <c r="D298" s="712"/>
      <c r="E298" s="702"/>
      <c r="F298" s="712"/>
      <c r="G298" s="702"/>
      <c r="H298" s="712"/>
      <c r="I298" s="702"/>
      <c r="J298" s="712"/>
      <c r="K298" s="702"/>
      <c r="L298" s="712"/>
      <c r="M298" s="702"/>
      <c r="N298" s="712"/>
      <c r="O298" s="702"/>
      <c r="P298" s="712"/>
      <c r="Q298" s="720"/>
      <c r="R298" s="712"/>
      <c r="S298" s="702"/>
      <c r="T298" s="712"/>
      <c r="U298" s="702"/>
      <c r="V298" s="712"/>
      <c r="W298" s="702"/>
      <c r="X298" s="712"/>
      <c r="Y298" s="702"/>
      <c r="Z298" s="712"/>
      <c r="AA298" s="720"/>
      <c r="AB298" s="712"/>
      <c r="AC298" s="702"/>
      <c r="AD298" s="712"/>
      <c r="AE298" s="720"/>
      <c r="AF298" s="723"/>
      <c r="AG298" s="723"/>
      <c r="AH298" s="720"/>
      <c r="AI298" s="720"/>
      <c r="AJ298" s="720"/>
      <c r="AK298" s="720"/>
      <c r="AL298" s="720"/>
    </row>
    <row r="299" spans="1:41" ht="16.5" customHeight="1" thickBot="1">
      <c r="B299" s="714"/>
      <c r="C299" s="702"/>
      <c r="D299" s="714"/>
      <c r="E299" s="702"/>
      <c r="F299" s="714"/>
      <c r="G299" s="702"/>
      <c r="H299" s="714"/>
      <c r="I299" s="702"/>
      <c r="J299" s="714"/>
      <c r="K299" s="702"/>
      <c r="L299" s="714"/>
      <c r="M299" s="702"/>
      <c r="N299" s="714"/>
      <c r="O299" s="702"/>
      <c r="P299" s="714"/>
      <c r="Q299" s="720"/>
      <c r="R299" s="714"/>
      <c r="S299" s="702"/>
      <c r="T299" s="714"/>
      <c r="U299" s="702"/>
      <c r="V299" s="714"/>
      <c r="W299" s="702"/>
      <c r="X299" s="714"/>
      <c r="Y299" s="702"/>
      <c r="Z299" s="714"/>
      <c r="AA299" s="720"/>
      <c r="AB299" s="714"/>
      <c r="AC299" s="702"/>
      <c r="AD299" s="714"/>
      <c r="AE299" s="720"/>
      <c r="AF299" s="723"/>
      <c r="AG299" s="723"/>
      <c r="AH299" s="720"/>
      <c r="AI299" s="720"/>
      <c r="AJ299" s="720"/>
      <c r="AK299" s="720"/>
      <c r="AL299" s="720"/>
    </row>
    <row r="300" spans="1:41" ht="100" customHeight="1" thickBot="1">
      <c r="B300" s="733"/>
      <c r="C300" s="707">
        <v>359.14</v>
      </c>
      <c r="D300" s="733"/>
      <c r="E300" s="707">
        <v>384.88</v>
      </c>
      <c r="F300" s="733"/>
      <c r="G300" s="707">
        <v>381.91</v>
      </c>
      <c r="H300" s="733"/>
      <c r="I300" s="707">
        <v>397.15</v>
      </c>
      <c r="J300" s="733"/>
      <c r="K300" s="707">
        <v>387.13</v>
      </c>
      <c r="L300" s="733"/>
      <c r="M300" s="707">
        <v>392.12</v>
      </c>
      <c r="N300" s="733"/>
      <c r="O300" s="707">
        <v>364.62</v>
      </c>
      <c r="P300" s="733"/>
      <c r="Q300" s="744">
        <v>188.37</v>
      </c>
      <c r="R300" s="763"/>
      <c r="S300" s="707">
        <v>395.54</v>
      </c>
      <c r="T300" s="733"/>
      <c r="U300" s="707">
        <v>425</v>
      </c>
      <c r="V300" s="733"/>
      <c r="W300" s="707">
        <v>407</v>
      </c>
      <c r="X300" s="733"/>
      <c r="Y300" s="707">
        <v>433</v>
      </c>
      <c r="Z300" s="733"/>
      <c r="AA300" s="707">
        <v>489.23</v>
      </c>
      <c r="AB300" s="733"/>
      <c r="AC300" s="707">
        <v>290</v>
      </c>
      <c r="AD300" s="691"/>
      <c r="AE300" s="787">
        <v>419.40300000000002</v>
      </c>
      <c r="AF300" s="723"/>
      <c r="AG300" s="723"/>
      <c r="AH300" s="720"/>
      <c r="AI300" s="720"/>
      <c r="AJ300" s="720"/>
      <c r="AK300" s="720"/>
      <c r="AL300" s="720"/>
      <c r="AM300" s="896">
        <f>COUNTIF(B300:AB300,"U/P")</f>
        <v>0</v>
      </c>
      <c r="AN300" s="896">
        <f>COUNTIF(C300:AC300,"ROW")</f>
        <v>0</v>
      </c>
      <c r="AO300" s="896">
        <f>COUNTIF(B300:AD300,"C")</f>
        <v>0</v>
      </c>
    </row>
    <row r="301" spans="1:41" ht="16.5" customHeight="1" thickBot="1">
      <c r="B301" s="710"/>
      <c r="C301" s="720"/>
      <c r="D301" s="710"/>
      <c r="E301" s="720"/>
      <c r="F301" s="710"/>
      <c r="G301" s="720"/>
      <c r="H301" s="710"/>
      <c r="I301" s="720"/>
      <c r="J301" s="710"/>
      <c r="K301" s="720"/>
      <c r="L301" s="710"/>
      <c r="M301" s="720"/>
      <c r="N301" s="710"/>
      <c r="O301" s="720"/>
      <c r="P301" s="710"/>
      <c r="Q301" s="720"/>
      <c r="R301" s="710"/>
      <c r="S301" s="720"/>
      <c r="T301" s="710"/>
      <c r="U301" s="720"/>
      <c r="V301" s="710"/>
      <c r="W301" s="720"/>
      <c r="X301" s="710"/>
      <c r="Y301" s="720"/>
      <c r="Z301" s="710"/>
      <c r="AA301" s="720"/>
      <c r="AB301" s="710"/>
      <c r="AC301" s="720"/>
      <c r="AD301" s="788"/>
      <c r="AE301" s="720"/>
      <c r="AF301" s="723"/>
      <c r="AG301" s="723"/>
      <c r="AH301" s="720"/>
      <c r="AI301" s="720"/>
      <c r="AJ301" s="720"/>
      <c r="AK301" s="720"/>
      <c r="AL301" s="720"/>
    </row>
    <row r="302" spans="1:41" ht="33.5">
      <c r="B302" s="698" t="s">
        <v>182</v>
      </c>
      <c r="C302" s="698"/>
      <c r="D302" s="698" t="s">
        <v>182</v>
      </c>
      <c r="E302" s="698"/>
      <c r="F302" s="698" t="s">
        <v>182</v>
      </c>
      <c r="G302" s="698"/>
      <c r="H302" s="698" t="s">
        <v>182</v>
      </c>
      <c r="I302" s="698"/>
      <c r="J302" s="698" t="s">
        <v>182</v>
      </c>
      <c r="K302" s="698"/>
      <c r="L302" s="698" t="s">
        <v>182</v>
      </c>
      <c r="M302" s="698"/>
      <c r="N302" s="698" t="s">
        <v>182</v>
      </c>
      <c r="O302" s="702"/>
      <c r="P302" s="698" t="s">
        <v>125</v>
      </c>
      <c r="Q302" s="720"/>
      <c r="R302" s="789" t="s">
        <v>125</v>
      </c>
      <c r="S302" s="720"/>
      <c r="T302" s="699" t="s">
        <v>188</v>
      </c>
      <c r="U302" s="720"/>
      <c r="V302" s="720" t="s">
        <v>185</v>
      </c>
      <c r="W302" s="720"/>
      <c r="X302" s="790" t="s">
        <v>182</v>
      </c>
      <c r="Y302" s="720"/>
      <c r="Z302" s="699" t="s">
        <v>132</v>
      </c>
      <c r="AA302" s="720"/>
      <c r="AB302" s="699" t="s">
        <v>147</v>
      </c>
      <c r="AC302" s="720"/>
      <c r="AD302" s="699" t="s">
        <v>147</v>
      </c>
      <c r="AE302" s="720"/>
      <c r="AF302" s="723"/>
      <c r="AG302" s="723"/>
      <c r="AH302" s="720"/>
      <c r="AI302" s="720"/>
      <c r="AJ302" s="720"/>
      <c r="AK302" s="720"/>
      <c r="AL302" s="720"/>
    </row>
    <row r="303" spans="1:41" ht="4.5" customHeight="1">
      <c r="B303" s="703"/>
      <c r="C303" s="703"/>
      <c r="D303" s="703"/>
      <c r="E303" s="703"/>
      <c r="F303" s="703"/>
      <c r="G303" s="703"/>
      <c r="H303" s="703"/>
      <c r="I303" s="703"/>
      <c r="J303" s="703"/>
      <c r="K303" s="703"/>
      <c r="L303" s="703"/>
      <c r="M303" s="703"/>
      <c r="N303" s="703"/>
      <c r="O303" s="703"/>
      <c r="P303" s="703"/>
      <c r="Q303" s="703"/>
      <c r="R303" s="703"/>
      <c r="S303" s="703"/>
      <c r="T303" s="703"/>
      <c r="U303" s="703"/>
      <c r="V303" s="703"/>
      <c r="W303" s="703"/>
      <c r="X303" s="703"/>
      <c r="Y303" s="703"/>
      <c r="Z303" s="703"/>
      <c r="AA303" s="703"/>
      <c r="AB303" s="703"/>
      <c r="AC303" s="703"/>
      <c r="AD303" s="703"/>
      <c r="AE303" s="781"/>
      <c r="AF303" s="686"/>
      <c r="AG303" s="686"/>
    </row>
    <row r="304" spans="1:41" ht="30" customHeight="1">
      <c r="A304" s="735"/>
      <c r="B304" s="735"/>
      <c r="C304" s="735"/>
      <c r="D304" s="762"/>
      <c r="E304" s="735"/>
      <c r="F304" s="735"/>
      <c r="G304" s="735"/>
      <c r="H304" s="735"/>
      <c r="I304" s="735"/>
      <c r="J304" s="1525"/>
      <c r="K304" s="1525"/>
      <c r="L304" s="1525"/>
      <c r="M304" s="1525"/>
      <c r="N304" s="1525"/>
      <c r="O304" s="1525"/>
      <c r="P304" s="1525"/>
      <c r="Q304" s="1525"/>
      <c r="R304" s="1525"/>
      <c r="S304" s="1525"/>
      <c r="T304" s="1525"/>
      <c r="U304" s="1525"/>
      <c r="V304" s="1525"/>
      <c r="W304" s="1525"/>
      <c r="X304" s="1525"/>
      <c r="Y304" s="1525"/>
      <c r="Z304" s="1493" t="s">
        <v>1541</v>
      </c>
      <c r="AA304" s="1493"/>
      <c r="AB304" s="1493"/>
      <c r="AC304" s="1493"/>
      <c r="AD304" s="1493"/>
      <c r="AE304" s="1493"/>
      <c r="AF304" s="1513"/>
      <c r="AG304" s="840"/>
      <c r="AH304" s="895"/>
      <c r="AI304" s="907"/>
      <c r="AJ304" s="907"/>
      <c r="AK304" s="907"/>
      <c r="AL304" s="907"/>
    </row>
    <row r="305" spans="1:41" ht="33.5">
      <c r="A305" s="505"/>
      <c r="B305" s="744" t="s">
        <v>832</v>
      </c>
      <c r="C305" s="744"/>
      <c r="D305" s="744" t="s">
        <v>833</v>
      </c>
      <c r="E305" s="744"/>
      <c r="F305" s="744" t="s">
        <v>1288</v>
      </c>
      <c r="G305" s="744"/>
      <c r="H305" s="744" t="s">
        <v>835</v>
      </c>
      <c r="I305" s="744"/>
      <c r="J305" s="744" t="s">
        <v>836</v>
      </c>
      <c r="K305" s="744"/>
      <c r="L305" s="744" t="s">
        <v>837</v>
      </c>
      <c r="M305" s="744"/>
      <c r="N305" s="744" t="s">
        <v>838</v>
      </c>
      <c r="O305" s="744"/>
      <c r="P305" s="1537" t="s">
        <v>1515</v>
      </c>
      <c r="Q305" s="1537"/>
      <c r="R305" s="720"/>
      <c r="S305" s="703"/>
      <c r="T305" s="1076">
        <v>1</v>
      </c>
      <c r="U305" s="1538" t="s">
        <v>1535</v>
      </c>
      <c r="V305" s="1538"/>
      <c r="W305" s="1538"/>
      <c r="X305" s="1538"/>
      <c r="Y305" s="1538"/>
      <c r="Z305" s="1531"/>
      <c r="AA305" s="1531"/>
      <c r="AB305" s="1534"/>
      <c r="AC305" s="1534"/>
      <c r="AD305" s="1539"/>
      <c r="AE305" s="1540"/>
      <c r="AF305" s="1540"/>
      <c r="AG305" s="1540"/>
      <c r="AH305" s="1540"/>
      <c r="AI305" s="916"/>
      <c r="AJ305" s="916"/>
      <c r="AK305" s="916"/>
      <c r="AL305" s="916"/>
    </row>
    <row r="306" spans="1:41" ht="33.5" customHeight="1">
      <c r="B306" s="712"/>
      <c r="C306" s="702"/>
      <c r="D306" s="712"/>
      <c r="E306" s="702"/>
      <c r="F306" s="712"/>
      <c r="G306" s="702"/>
      <c r="H306" s="712"/>
      <c r="I306" s="702"/>
      <c r="J306" s="712"/>
      <c r="K306" s="702"/>
      <c r="L306" s="712"/>
      <c r="M306" s="702"/>
      <c r="N306" s="712"/>
      <c r="O306" s="702"/>
      <c r="P306" s="720"/>
      <c r="Q306" s="720"/>
      <c r="R306" s="712"/>
      <c r="S306" s="705"/>
      <c r="T306" s="792">
        <v>2</v>
      </c>
      <c r="U306" s="1531" t="s">
        <v>1536</v>
      </c>
      <c r="V306" s="1531"/>
      <c r="W306" s="1531"/>
      <c r="X306" s="1531"/>
      <c r="Y306" s="1531"/>
      <c r="Z306" s="1531"/>
      <c r="AA306" s="1531"/>
      <c r="AB306" s="1532"/>
      <c r="AC306" s="1532"/>
      <c r="AD306" s="1541">
        <f>AB306+AB307+AB308</f>
        <v>0</v>
      </c>
      <c r="AE306" s="1541"/>
      <c r="AF306" s="1541"/>
      <c r="AG306" s="1541"/>
      <c r="AH306" s="1541"/>
      <c r="AI306" s="906"/>
      <c r="AJ306" s="906"/>
      <c r="AK306" s="906"/>
      <c r="AL306" s="906"/>
    </row>
    <row r="307" spans="1:41" ht="32.5" customHeight="1" thickBot="1">
      <c r="A307" s="469"/>
      <c r="B307" s="714"/>
      <c r="C307" s="702"/>
      <c r="D307" s="714"/>
      <c r="E307" s="702"/>
      <c r="F307" s="714"/>
      <c r="G307" s="702"/>
      <c r="H307" s="714"/>
      <c r="I307" s="702"/>
      <c r="J307" s="714"/>
      <c r="K307" s="702"/>
      <c r="L307" s="714"/>
      <c r="M307" s="702"/>
      <c r="N307" s="714"/>
      <c r="O307" s="702"/>
      <c r="P307" s="714"/>
      <c r="Q307" s="720"/>
      <c r="R307" s="714"/>
      <c r="S307" s="705"/>
      <c r="T307" s="793">
        <v>3</v>
      </c>
      <c r="U307" s="1542" t="s">
        <v>1537</v>
      </c>
      <c r="V307" s="1543"/>
      <c r="W307" s="1543"/>
      <c r="X307" s="1543"/>
      <c r="Y307" s="1543"/>
      <c r="Z307" s="1543"/>
      <c r="AA307" s="1544"/>
      <c r="AB307" s="1532"/>
      <c r="AC307" s="1532"/>
      <c r="AD307" s="1541"/>
      <c r="AE307" s="1541"/>
      <c r="AF307" s="1541"/>
      <c r="AG307" s="1541"/>
      <c r="AH307" s="1541"/>
      <c r="AI307" s="906"/>
      <c r="AJ307" s="906"/>
      <c r="AK307" s="906"/>
      <c r="AL307" s="906"/>
    </row>
    <row r="308" spans="1:41" ht="100" customHeight="1" thickBot="1">
      <c r="A308" s="469"/>
      <c r="B308" s="763"/>
      <c r="C308" s="707">
        <v>242.63</v>
      </c>
      <c r="D308" s="691" t="s">
        <v>390</v>
      </c>
      <c r="E308" s="707">
        <v>342.72699999999998</v>
      </c>
      <c r="F308" s="733"/>
      <c r="G308" s="707">
        <v>389.221</v>
      </c>
      <c r="H308" s="691"/>
      <c r="I308" s="707">
        <v>220.25299999999999</v>
      </c>
      <c r="J308" s="691"/>
      <c r="K308" s="707">
        <v>241.31200000000001</v>
      </c>
      <c r="L308" s="691"/>
      <c r="M308" s="707">
        <v>214.90199999999999</v>
      </c>
      <c r="N308" s="691"/>
      <c r="O308" s="698">
        <v>113.742</v>
      </c>
      <c r="P308" s="794"/>
      <c r="Q308" s="720"/>
      <c r="R308" s="795"/>
      <c r="S308" s="708"/>
      <c r="T308" s="792">
        <v>4</v>
      </c>
      <c r="U308" s="1531" t="s">
        <v>1538</v>
      </c>
      <c r="V308" s="1531"/>
      <c r="W308" s="1531"/>
      <c r="X308" s="1531"/>
      <c r="Y308" s="1531"/>
      <c r="Z308" s="1531"/>
      <c r="AA308" s="1531"/>
      <c r="AB308" s="1545"/>
      <c r="AC308" s="1546"/>
      <c r="AD308" s="1541"/>
      <c r="AE308" s="1541"/>
      <c r="AF308" s="1541"/>
      <c r="AG308" s="1541"/>
      <c r="AH308" s="1541"/>
      <c r="AI308" s="906"/>
      <c r="AJ308" s="906"/>
      <c r="AK308" s="906"/>
      <c r="AL308" s="906"/>
      <c r="AM308" s="896">
        <f>COUNTIF(B308:AB308,"U/P")</f>
        <v>1</v>
      </c>
      <c r="AN308" s="896">
        <f>COUNTIF(C308:AC308,"ROW")</f>
        <v>0</v>
      </c>
      <c r="AO308" s="896">
        <f>COUNTIF(D308:AD308,"C")</f>
        <v>0</v>
      </c>
    </row>
    <row r="309" spans="1:41" ht="26.5" customHeight="1" thickBot="1">
      <c r="A309" s="469"/>
      <c r="B309" s="710"/>
      <c r="C309" s="720"/>
      <c r="D309" s="710"/>
      <c r="E309" s="720"/>
      <c r="F309" s="710"/>
      <c r="G309" s="720"/>
      <c r="H309" s="710"/>
      <c r="I309" s="720"/>
      <c r="J309" s="710"/>
      <c r="K309" s="720"/>
      <c r="L309" s="710"/>
      <c r="M309" s="720"/>
      <c r="N309" s="710"/>
      <c r="O309" s="720"/>
      <c r="P309" s="796"/>
      <c r="Q309" s="720"/>
      <c r="R309" s="712"/>
      <c r="S309" s="703"/>
      <c r="T309" s="724">
        <v>5</v>
      </c>
      <c r="U309" s="1531" t="s">
        <v>1539</v>
      </c>
      <c r="V309" s="1531"/>
      <c r="W309" s="1531"/>
      <c r="X309" s="1531"/>
      <c r="Y309" s="1531"/>
      <c r="Z309" s="1531"/>
      <c r="AA309" s="1531"/>
      <c r="AB309" s="1532"/>
      <c r="AC309" s="1532"/>
      <c r="AD309" s="1533">
        <f>AB309+AB310</f>
        <v>0</v>
      </c>
      <c r="AE309" s="1533"/>
      <c r="AF309" s="1533"/>
      <c r="AG309" s="1533"/>
      <c r="AH309" s="1533"/>
      <c r="AI309" s="905"/>
      <c r="AJ309" s="905"/>
      <c r="AK309" s="905"/>
      <c r="AL309" s="905"/>
      <c r="AM309" s="698">
        <f>SUM(AM19:AM308)</f>
        <v>10</v>
      </c>
      <c r="AN309" s="698">
        <f>SUM(AN20:AN308)</f>
        <v>19</v>
      </c>
      <c r="AO309" s="698">
        <f>SUM(AO20:AO308)</f>
        <v>1</v>
      </c>
    </row>
    <row r="310" spans="1:41" ht="35" customHeight="1">
      <c r="A310" s="469"/>
      <c r="B310" s="699" t="s">
        <v>117</v>
      </c>
      <c r="C310" s="698"/>
      <c r="D310" s="699" t="s">
        <v>117</v>
      </c>
      <c r="E310" s="698"/>
      <c r="F310" s="699" t="s">
        <v>119</v>
      </c>
      <c r="G310" s="698"/>
      <c r="H310" s="699" t="s">
        <v>125</v>
      </c>
      <c r="I310" s="698"/>
      <c r="J310" s="699" t="s">
        <v>125</v>
      </c>
      <c r="K310" s="698"/>
      <c r="L310" s="699" t="s">
        <v>147</v>
      </c>
      <c r="M310" s="698"/>
      <c r="N310" s="699" t="s">
        <v>125</v>
      </c>
      <c r="O310" s="702"/>
      <c r="P310" s="702"/>
      <c r="Q310" s="720"/>
      <c r="R310" s="720"/>
      <c r="S310" s="703"/>
      <c r="T310" s="797">
        <v>6</v>
      </c>
      <c r="U310" s="1531" t="s">
        <v>1540</v>
      </c>
      <c r="V310" s="1531"/>
      <c r="W310" s="1531"/>
      <c r="X310" s="1531"/>
      <c r="Y310" s="1531"/>
      <c r="Z310" s="1531"/>
      <c r="AA310" s="1531"/>
      <c r="AB310" s="1534"/>
      <c r="AC310" s="1534"/>
      <c r="AD310" s="1533"/>
      <c r="AE310" s="1533"/>
      <c r="AF310" s="1533"/>
      <c r="AG310" s="1533"/>
      <c r="AH310" s="1533"/>
      <c r="AI310" s="905"/>
      <c r="AJ310" s="905"/>
      <c r="AK310" s="905"/>
      <c r="AL310" s="905"/>
      <c r="AM310" s="738" t="s">
        <v>390</v>
      </c>
      <c r="AN310" s="738" t="s">
        <v>228</v>
      </c>
      <c r="AO310" s="738" t="s">
        <v>375</v>
      </c>
    </row>
    <row r="311" spans="1:41" ht="39.5" customHeight="1">
      <c r="A311" s="1135"/>
      <c r="B311" s="1135"/>
      <c r="C311" s="1135"/>
      <c r="D311" s="1135" t="s">
        <v>228</v>
      </c>
      <c r="E311" s="1135"/>
      <c r="F311" s="1135"/>
      <c r="G311" s="1135"/>
      <c r="J311" s="895" t="s">
        <v>1541</v>
      </c>
      <c r="K311" s="1069"/>
      <c r="L311" s="1069"/>
      <c r="M311" s="1069"/>
      <c r="N311" s="1069"/>
      <c r="O311" s="1069"/>
      <c r="P311" s="1069"/>
      <c r="Q311" s="1069"/>
      <c r="R311" s="1195"/>
      <c r="S311" s="735"/>
      <c r="T311" s="881">
        <v>7</v>
      </c>
      <c r="U311" s="1535" t="s">
        <v>1542</v>
      </c>
      <c r="V311" s="1535"/>
      <c r="W311" s="1535"/>
      <c r="X311" s="1535"/>
      <c r="Y311" s="1535"/>
      <c r="Z311" s="1535"/>
      <c r="AA311" s="1535"/>
      <c r="AB311" s="1536"/>
      <c r="AC311" s="1536"/>
      <c r="AD311" s="1533"/>
      <c r="AE311" s="1533"/>
      <c r="AF311" s="1533"/>
      <c r="AG311" s="1533"/>
      <c r="AH311" s="1533"/>
      <c r="AI311" s="905"/>
      <c r="AJ311" s="905"/>
      <c r="AK311" s="905"/>
      <c r="AL311" s="905"/>
    </row>
    <row r="312" spans="1:41" ht="14.5">
      <c r="AE312" s="686"/>
      <c r="AF312" s="686"/>
      <c r="AG312" s="686"/>
    </row>
    <row r="313" spans="1:41" ht="14.5">
      <c r="A313" s="469"/>
      <c r="B313" s="474"/>
      <c r="C313" s="475"/>
      <c r="D313" s="474"/>
      <c r="E313" s="475"/>
      <c r="F313" s="474"/>
      <c r="G313" s="475"/>
      <c r="H313" s="474"/>
      <c r="I313" s="475"/>
      <c r="J313" s="474"/>
      <c r="K313" s="475"/>
      <c r="L313" s="474"/>
      <c r="M313" s="475"/>
      <c r="N313" s="474"/>
      <c r="O313" s="475"/>
      <c r="P313" s="474"/>
      <c r="R313" s="474"/>
      <c r="S313" s="475"/>
      <c r="T313" s="474"/>
      <c r="U313" s="475"/>
      <c r="V313" s="474"/>
      <c r="W313" s="475"/>
      <c r="X313" s="474"/>
      <c r="Y313" s="475"/>
      <c r="Z313" s="474"/>
      <c r="AA313" s="475"/>
      <c r="AB313" s="474"/>
      <c r="AE313" s="696"/>
      <c r="AF313" s="696"/>
      <c r="AG313" s="696"/>
    </row>
    <row r="314" spans="1:41" ht="16.5" customHeight="1">
      <c r="A314" s="469"/>
      <c r="B314" s="446"/>
      <c r="C314" s="475"/>
      <c r="D314" s="446"/>
      <c r="E314" s="475"/>
      <c r="F314" s="446"/>
      <c r="G314" s="475"/>
      <c r="H314" s="446"/>
      <c r="I314" s="475"/>
      <c r="J314" s="446"/>
      <c r="K314" s="475"/>
      <c r="L314" s="446"/>
      <c r="M314" s="475"/>
      <c r="N314" s="446"/>
      <c r="O314" s="475"/>
      <c r="P314" s="446"/>
      <c r="R314" s="446"/>
      <c r="S314" s="475"/>
      <c r="T314" s="446"/>
      <c r="U314" s="475"/>
      <c r="V314" s="446"/>
      <c r="W314" s="475"/>
      <c r="X314" s="446"/>
      <c r="Y314" s="475"/>
      <c r="Z314" s="446"/>
      <c r="AA314" s="475"/>
      <c r="AB314" s="446"/>
      <c r="AE314" s="477"/>
      <c r="AF314" s="477"/>
      <c r="AG314" s="477"/>
    </row>
    <row r="315" spans="1:41" ht="42.75" customHeight="1">
      <c r="A315" s="469"/>
      <c r="B315" s="454"/>
      <c r="C315" s="479"/>
      <c r="D315" s="454"/>
      <c r="E315" s="479"/>
      <c r="F315" s="454"/>
      <c r="G315" s="479"/>
      <c r="H315" s="454"/>
      <c r="I315" s="479"/>
      <c r="J315" s="454"/>
      <c r="K315" s="479"/>
      <c r="L315" s="454"/>
      <c r="M315" s="479"/>
      <c r="N315" s="454"/>
      <c r="O315" s="475"/>
      <c r="P315" s="454"/>
      <c r="R315" s="454"/>
      <c r="S315" s="479"/>
      <c r="T315" s="454"/>
      <c r="U315" s="479"/>
      <c r="V315" s="454"/>
      <c r="W315" s="479"/>
      <c r="X315" s="454"/>
      <c r="Y315" s="479"/>
      <c r="Z315" s="454"/>
      <c r="AA315" s="479"/>
      <c r="AB315" s="454"/>
      <c r="AE315" s="477"/>
      <c r="AF315" s="477"/>
      <c r="AG315" s="477"/>
    </row>
    <row r="316" spans="1:41" ht="16.5" customHeight="1">
      <c r="A316" s="469"/>
      <c r="B316" s="474"/>
      <c r="D316" s="474"/>
      <c r="F316" s="474"/>
      <c r="H316" s="474"/>
      <c r="J316" s="474"/>
      <c r="L316" s="474"/>
      <c r="N316" s="474"/>
      <c r="P316" s="474"/>
      <c r="R316" s="474"/>
      <c r="T316" s="474"/>
      <c r="V316" s="474"/>
      <c r="X316" s="474"/>
      <c r="Z316" s="474"/>
      <c r="AB316" s="474"/>
      <c r="AE316" s="477"/>
      <c r="AF316" s="477"/>
      <c r="AG316" s="477"/>
    </row>
    <row r="317" spans="1:41">
      <c r="A317" s="469"/>
      <c r="B317" s="452"/>
      <c r="C317" s="452"/>
      <c r="D317" s="452"/>
      <c r="E317" s="452"/>
      <c r="F317" s="452"/>
      <c r="G317" s="452"/>
      <c r="H317" s="452"/>
      <c r="I317" s="452"/>
      <c r="J317" s="452"/>
      <c r="K317" s="452"/>
      <c r="L317" s="452"/>
      <c r="M317" s="452"/>
      <c r="N317" s="452"/>
      <c r="O317" s="475"/>
      <c r="P317" s="475"/>
      <c r="AE317" s="477"/>
      <c r="AF317" s="477"/>
      <c r="AG317" s="477"/>
    </row>
    <row r="319" spans="1:41">
      <c r="AE319" s="477"/>
      <c r="AF319" s="477"/>
      <c r="AG319" s="477"/>
    </row>
  </sheetData>
  <mergeCells count="254">
    <mergeCell ref="B154:D154"/>
    <mergeCell ref="P154:T154"/>
    <mergeCell ref="Q156:R156"/>
    <mergeCell ref="S156:T156"/>
    <mergeCell ref="AB162:AH162"/>
    <mergeCell ref="A163:T163"/>
    <mergeCell ref="Z222:AC222"/>
    <mergeCell ref="A171:C171"/>
    <mergeCell ref="A188:B188"/>
    <mergeCell ref="T197:AB197"/>
    <mergeCell ref="L199:M199"/>
    <mergeCell ref="N199:O199"/>
    <mergeCell ref="P199:Q199"/>
    <mergeCell ref="X199:Y199"/>
    <mergeCell ref="Z199:AA199"/>
    <mergeCell ref="P215:Q215"/>
    <mergeCell ref="R215:S215"/>
    <mergeCell ref="W163:AH163"/>
    <mergeCell ref="P207:Q207"/>
    <mergeCell ref="T207:U207"/>
    <mergeCell ref="V207:W207"/>
    <mergeCell ref="F214:H214"/>
    <mergeCell ref="D215:E215"/>
    <mergeCell ref="F215:G215"/>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L45:M45"/>
    <mergeCell ref="N45:O45"/>
    <mergeCell ref="P45:Q45"/>
    <mergeCell ref="R45:S45"/>
    <mergeCell ref="T45:U45"/>
    <mergeCell ref="V45:W45"/>
    <mergeCell ref="AB16:AD16"/>
    <mergeCell ref="A17:B17"/>
    <mergeCell ref="F17:G17"/>
    <mergeCell ref="A23:AH23"/>
    <mergeCell ref="A30:AH30"/>
    <mergeCell ref="A37:AH37"/>
    <mergeCell ref="A44:AH44"/>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H79:I79"/>
    <mergeCell ref="L79:M79"/>
    <mergeCell ref="N79:O79"/>
    <mergeCell ref="P79:Q79"/>
    <mergeCell ref="R79:S79"/>
    <mergeCell ref="T79:U79"/>
    <mergeCell ref="W110:Y110"/>
    <mergeCell ref="F79:G79"/>
    <mergeCell ref="J79:K79"/>
    <mergeCell ref="A85:H85"/>
    <mergeCell ref="I85:AF85"/>
    <mergeCell ref="F129:G129"/>
    <mergeCell ref="T129:U129"/>
    <mergeCell ref="V129:W129"/>
    <mergeCell ref="A145:S145"/>
    <mergeCell ref="L112:M112"/>
    <mergeCell ref="P112:Q112"/>
    <mergeCell ref="Z112:AA112"/>
    <mergeCell ref="A127:F127"/>
    <mergeCell ref="G127:O127"/>
    <mergeCell ref="S127:AH127"/>
    <mergeCell ref="V79:W79"/>
    <mergeCell ref="X79:Y79"/>
    <mergeCell ref="A93:AH93"/>
    <mergeCell ref="A102:AH102"/>
    <mergeCell ref="A111:AH111"/>
    <mergeCell ref="A119:P119"/>
    <mergeCell ref="Q119:AF119"/>
    <mergeCell ref="A136:J136"/>
    <mergeCell ref="U136:AF136"/>
    <mergeCell ref="H215:I215"/>
    <mergeCell ref="L215:M215"/>
    <mergeCell ref="N215:O215"/>
    <mergeCell ref="AB215:AC215"/>
    <mergeCell ref="T215:U215"/>
    <mergeCell ref="V215:W215"/>
    <mergeCell ref="X215:Y215"/>
    <mergeCell ref="Z215:AA215"/>
    <mergeCell ref="H205:L205"/>
    <mergeCell ref="R214:T214"/>
    <mergeCell ref="A230:G230"/>
    <mergeCell ref="H230:P230"/>
    <mergeCell ref="R221:S221"/>
    <mergeCell ref="A223:B223"/>
    <mergeCell ref="C223:D223"/>
    <mergeCell ref="F223:G223"/>
    <mergeCell ref="H223:I223"/>
    <mergeCell ref="J223:K223"/>
    <mergeCell ref="L223:M223"/>
    <mergeCell ref="F222:J222"/>
    <mergeCell ref="R222:T222"/>
    <mergeCell ref="Z232:AA232"/>
    <mergeCell ref="AB232:AC232"/>
    <mergeCell ref="Q230:X230"/>
    <mergeCell ref="Y230:AD230"/>
    <mergeCell ref="T232:U232"/>
    <mergeCell ref="V232:W232"/>
    <mergeCell ref="X232:Y232"/>
    <mergeCell ref="AB223:AC223"/>
    <mergeCell ref="N223:O223"/>
    <mergeCell ref="P223:Q223"/>
    <mergeCell ref="R223:S223"/>
    <mergeCell ref="T223:U223"/>
    <mergeCell ref="V223:W223"/>
    <mergeCell ref="Y223:Z223"/>
    <mergeCell ref="A241:B241"/>
    <mergeCell ref="D241:E241"/>
    <mergeCell ref="F241:G241"/>
    <mergeCell ref="H241:I241"/>
    <mergeCell ref="K241:L241"/>
    <mergeCell ref="N241:O241"/>
    <mergeCell ref="N232:O232"/>
    <mergeCell ref="P232:Q232"/>
    <mergeCell ref="R232:S232"/>
    <mergeCell ref="A232:B232"/>
    <mergeCell ref="D232:E232"/>
    <mergeCell ref="F232:G232"/>
    <mergeCell ref="H232:I232"/>
    <mergeCell ref="J232:K232"/>
    <mergeCell ref="L232:M232"/>
    <mergeCell ref="AB241:AC241"/>
    <mergeCell ref="P241:Q241"/>
    <mergeCell ref="R241:S241"/>
    <mergeCell ref="T241:U241"/>
    <mergeCell ref="V241:W241"/>
    <mergeCell ref="X241:Y241"/>
    <mergeCell ref="Z241:AA241"/>
    <mergeCell ref="V239:AB239"/>
    <mergeCell ref="AC239:AF239"/>
    <mergeCell ref="X247:AH247"/>
    <mergeCell ref="D249:E249"/>
    <mergeCell ref="F249:G249"/>
    <mergeCell ref="H249:I249"/>
    <mergeCell ref="L249:M249"/>
    <mergeCell ref="N249:O249"/>
    <mergeCell ref="P249:Q249"/>
    <mergeCell ref="R249:S249"/>
    <mergeCell ref="O247:S247"/>
    <mergeCell ref="U247:W247"/>
    <mergeCell ref="P305:Q305"/>
    <mergeCell ref="U305:AA305"/>
    <mergeCell ref="AB305:AC305"/>
    <mergeCell ref="T249:U249"/>
    <mergeCell ref="V249:W249"/>
    <mergeCell ref="AD305:AH305"/>
    <mergeCell ref="J255:N255"/>
    <mergeCell ref="L279:P279"/>
    <mergeCell ref="J304:Y304"/>
    <mergeCell ref="Z304:AF304"/>
    <mergeCell ref="AD309:AH311"/>
    <mergeCell ref="AD306:AH308"/>
    <mergeCell ref="AB311:AC311"/>
    <mergeCell ref="AB307:AC307"/>
    <mergeCell ref="U309:AA309"/>
    <mergeCell ref="AB309:AC309"/>
    <mergeCell ref="U310:AA310"/>
    <mergeCell ref="AB310:AC310"/>
    <mergeCell ref="U311:AA311"/>
    <mergeCell ref="U306:AA306"/>
    <mergeCell ref="AB306:AC306"/>
    <mergeCell ref="U307:AA307"/>
    <mergeCell ref="U308:AA308"/>
    <mergeCell ref="AB308:AC308"/>
  </mergeCells>
  <conditionalFormatting sqref="A118">
    <cfRule type="cellIs" dxfId="3122" priority="610" operator="equal">
      <formula>0</formula>
    </cfRule>
  </conditionalFormatting>
  <conditionalFormatting sqref="A171">
    <cfRule type="cellIs" dxfId="3121" priority="505" operator="equal">
      <formula>0</formula>
    </cfRule>
  </conditionalFormatting>
  <conditionalFormatting sqref="A188 D188 F188 H188 J188 L188 N188 P188 R188 T188 V188 X188 Z188 AB188">
    <cfRule type="cellIs" dxfId="3120" priority="1985" operator="equal">
      <formula>0</formula>
    </cfRule>
  </conditionalFormatting>
  <conditionalFormatting sqref="B20">
    <cfRule type="cellIs" dxfId="3119" priority="2079" operator="equal">
      <formula>"U/P"</formula>
    </cfRule>
    <cfRule type="cellIs" dxfId="3118" priority="2080" operator="equal">
      <formula>"F"</formula>
    </cfRule>
    <cfRule type="cellIs" dxfId="3117" priority="2081" operator="equal">
      <formula>"F"</formula>
    </cfRule>
  </conditionalFormatting>
  <conditionalFormatting sqref="B27">
    <cfRule type="cellIs" dxfId="3116" priority="1945" operator="equal">
      <formula>"U/P"</formula>
    </cfRule>
    <cfRule type="cellIs" dxfId="3115" priority="1947" operator="equal">
      <formula>"F"</formula>
    </cfRule>
    <cfRule type="cellIs" dxfId="3114" priority="1946" operator="equal">
      <formula>"F"</formula>
    </cfRule>
  </conditionalFormatting>
  <conditionalFormatting sqref="B34">
    <cfRule type="cellIs" dxfId="3113" priority="1903" operator="equal">
      <formula>"U/P"</formula>
    </cfRule>
    <cfRule type="cellIs" dxfId="3112" priority="1904" operator="equal">
      <formula>"F"</formula>
    </cfRule>
    <cfRule type="cellIs" dxfId="3111" priority="1905" operator="equal">
      <formula>"F"</formula>
    </cfRule>
  </conditionalFormatting>
  <conditionalFormatting sqref="B41">
    <cfRule type="cellIs" dxfId="3110" priority="1862" operator="equal">
      <formula>"F"</formula>
    </cfRule>
    <cfRule type="cellIs" dxfId="3109" priority="1861" operator="equal">
      <formula>"U/P"</formula>
    </cfRule>
    <cfRule type="cellIs" dxfId="3108" priority="1863" operator="equal">
      <formula>"F"</formula>
    </cfRule>
  </conditionalFormatting>
  <conditionalFormatting sqref="B48">
    <cfRule type="cellIs" dxfId="3107" priority="1821" operator="equal">
      <formula>"F"</formula>
    </cfRule>
    <cfRule type="cellIs" dxfId="3106" priority="1820" operator="equal">
      <formula>"F"</formula>
    </cfRule>
    <cfRule type="cellIs" dxfId="3105" priority="1819" operator="equal">
      <formula>"U/P"</formula>
    </cfRule>
  </conditionalFormatting>
  <conditionalFormatting sqref="B51 D51 F51 H51 J51 L51 N51 P51 R51 T51 V51 X51 Z51 AB51">
    <cfRule type="cellIs" dxfId="3104" priority="2075" operator="equal">
      <formula>0</formula>
    </cfRule>
  </conditionalFormatting>
  <conditionalFormatting sqref="B57">
    <cfRule type="cellIs" dxfId="3103" priority="1777" operator="equal">
      <formula>"U/P"</formula>
    </cfRule>
    <cfRule type="cellIs" dxfId="3102" priority="1778" operator="equal">
      <formula>"F"</formula>
    </cfRule>
    <cfRule type="cellIs" dxfId="3101" priority="1779" operator="equal">
      <formula>"F"</formula>
    </cfRule>
  </conditionalFormatting>
  <conditionalFormatting sqref="B60 D60 F60 N60 P60 R60 T60 V60 X60 Z60 AB60">
    <cfRule type="cellIs" dxfId="3100" priority="2074" operator="equal">
      <formula>0</formula>
    </cfRule>
  </conditionalFormatting>
  <conditionalFormatting sqref="B65">
    <cfRule type="cellIs" dxfId="3099" priority="1735" operator="equal">
      <formula>"U/P"</formula>
    </cfRule>
    <cfRule type="cellIs" dxfId="3098" priority="1737" operator="equal">
      <formula>"F"</formula>
    </cfRule>
    <cfRule type="cellIs" dxfId="3097" priority="1736" operator="equal">
      <formula>"F"</formula>
    </cfRule>
  </conditionalFormatting>
  <conditionalFormatting sqref="B68 D68 F68 H68 J68 L68:M68 P68 R68 T68 V68 X68 Z68 AB68">
    <cfRule type="cellIs" dxfId="3096" priority="2073" operator="equal">
      <formula>0</formula>
    </cfRule>
  </conditionalFormatting>
  <conditionalFormatting sqref="B73">
    <cfRule type="cellIs" dxfId="3095" priority="1695" operator="equal">
      <formula>"F"</formula>
    </cfRule>
    <cfRule type="cellIs" dxfId="3094" priority="1694" operator="equal">
      <formula>"F"</formula>
    </cfRule>
    <cfRule type="cellIs" dxfId="3093" priority="1693" operator="equal">
      <formula>"U/P"</formula>
    </cfRule>
  </conditionalFormatting>
  <conditionalFormatting sqref="B82">
    <cfRule type="cellIs" dxfId="3092" priority="1651" operator="equal">
      <formula>"U/P"</formula>
    </cfRule>
    <cfRule type="cellIs" dxfId="3091" priority="1653" operator="equal">
      <formula>"F"</formula>
    </cfRule>
    <cfRule type="cellIs" dxfId="3090" priority="1652" operator="equal">
      <formula>"F"</formula>
    </cfRule>
  </conditionalFormatting>
  <conditionalFormatting sqref="B86 D86 F86 H86 J86 L86 N86 P86 R86 T86 V86 X86 Z86 AB86">
    <cfRule type="cellIs" dxfId="3089" priority="2060" operator="equal">
      <formula>0</formula>
    </cfRule>
  </conditionalFormatting>
  <conditionalFormatting sqref="B90">
    <cfRule type="cellIs" dxfId="3088" priority="1610" operator="equal">
      <formula>"F"</formula>
    </cfRule>
    <cfRule type="cellIs" dxfId="3087" priority="1611" operator="equal">
      <formula>"F"</formula>
    </cfRule>
    <cfRule type="cellIs" dxfId="3086" priority="1609" operator="equal">
      <formula>"U/P"</formula>
    </cfRule>
  </conditionalFormatting>
  <conditionalFormatting sqref="B94 D94 F94 H94 J94 L94 N94 P94 R94 T94 V94 X94 Z94 AB94">
    <cfRule type="cellIs" dxfId="3085" priority="2059" operator="equal">
      <formula>0</formula>
    </cfRule>
  </conditionalFormatting>
  <conditionalFormatting sqref="B99">
    <cfRule type="cellIs" dxfId="3084" priority="1569" operator="equal">
      <formula>"F"</formula>
    </cfRule>
    <cfRule type="cellIs" dxfId="3083" priority="1568" operator="equal">
      <formula>"F"</formula>
    </cfRule>
    <cfRule type="cellIs" dxfId="3082" priority="1567" operator="equal">
      <formula>"U/P"</formula>
    </cfRule>
  </conditionalFormatting>
  <conditionalFormatting sqref="B103 D103 F103 H103 J103 L103 N103 P103 R103 T103 V103 X103 Z103 AB103">
    <cfRule type="cellIs" dxfId="3081" priority="2058" operator="equal">
      <formula>0</formula>
    </cfRule>
  </conditionalFormatting>
  <conditionalFormatting sqref="B107">
    <cfRule type="cellIs" dxfId="3080" priority="1525" operator="equal">
      <formula>"U/P"</formula>
    </cfRule>
    <cfRule type="cellIs" dxfId="3079" priority="1526" operator="equal">
      <formula>"F"</formula>
    </cfRule>
    <cfRule type="cellIs" dxfId="3078" priority="1527" operator="equal">
      <formula>"F"</formula>
    </cfRule>
  </conditionalFormatting>
  <conditionalFormatting sqref="B110 D110 F110 H110 J110 L110 N110 P110 T110 AB110">
    <cfRule type="cellIs" dxfId="3077" priority="2057" operator="equal">
      <formula>0</formula>
    </cfRule>
  </conditionalFormatting>
  <conditionalFormatting sqref="B115">
    <cfRule type="cellIs" dxfId="3076" priority="1491" operator="equal">
      <formula>"F"</formula>
    </cfRule>
    <cfRule type="cellIs" dxfId="3075" priority="1489" operator="equal">
      <formula>"U/P"</formula>
    </cfRule>
    <cfRule type="cellIs" dxfId="3074" priority="1490" operator="equal">
      <formula>"F"</formula>
    </cfRule>
  </conditionalFormatting>
  <conditionalFormatting sqref="B123">
    <cfRule type="cellIs" dxfId="3073" priority="1448" operator="equal">
      <formula>"F"</formula>
    </cfRule>
    <cfRule type="cellIs" dxfId="3072" priority="1449" operator="equal">
      <formula>"F"</formula>
    </cfRule>
    <cfRule type="cellIs" dxfId="3071" priority="1447" operator="equal">
      <formula>"U/P"</formula>
    </cfRule>
  </conditionalFormatting>
  <conditionalFormatting sqref="B132">
    <cfRule type="cellIs" dxfId="3070" priority="1420" operator="equal">
      <formula>"U/P"</formula>
    </cfRule>
    <cfRule type="cellIs" dxfId="3069" priority="1421" operator="equal">
      <formula>"F"</formula>
    </cfRule>
    <cfRule type="cellIs" dxfId="3068" priority="1422" operator="equal">
      <formula>"F"</formula>
    </cfRule>
  </conditionalFormatting>
  <conditionalFormatting sqref="B135 D135 F135 H135 J135 L135 N135 P135 R135 T135 V135 X135 Z135 AB135">
    <cfRule type="cellIs" dxfId="3067" priority="2026" operator="equal">
      <formula>0</formula>
    </cfRule>
  </conditionalFormatting>
  <conditionalFormatting sqref="B141">
    <cfRule type="cellIs" dxfId="3066" priority="2044" operator="equal">
      <formula>"F"</formula>
    </cfRule>
    <cfRule type="cellIs" dxfId="3065" priority="2043" operator="equal">
      <formula>"F"</formula>
    </cfRule>
    <cfRule type="cellIs" dxfId="3064" priority="2042" operator="equal">
      <formula>"U/P"</formula>
    </cfRule>
  </conditionalFormatting>
  <conditionalFormatting sqref="B150">
    <cfRule type="cellIs" dxfId="3063" priority="1386" operator="equal">
      <formula>"F"</formula>
    </cfRule>
    <cfRule type="cellIs" dxfId="3062" priority="1385" operator="equal">
      <formula>"F"</formula>
    </cfRule>
    <cfRule type="cellIs" dxfId="3061" priority="1384" operator="equal">
      <formula>"U/P"</formula>
    </cfRule>
  </conditionalFormatting>
  <conditionalFormatting sqref="B153 D153 F153 H153 J153 L153 N153 P153 R153 T153 V153 X153 Z153 AB153">
    <cfRule type="cellIs" dxfId="3060" priority="2025" operator="equal">
      <formula>0</formula>
    </cfRule>
  </conditionalFormatting>
  <conditionalFormatting sqref="B159">
    <cfRule type="cellIs" dxfId="3059" priority="1350" operator="equal">
      <formula>"F"</formula>
    </cfRule>
    <cfRule type="cellIs" dxfId="3058" priority="1349" operator="equal">
      <formula>"F"</formula>
    </cfRule>
    <cfRule type="cellIs" dxfId="3057" priority="1348" operator="equal">
      <formula>"U/P"</formula>
    </cfRule>
  </conditionalFormatting>
  <conditionalFormatting sqref="B162 D162 F162 H162 J162 L162 N162 P162 R162 T162 V162 X162 Z162 AB162 B164 D164 F164 H164 J164 L164 N164 P164 R164 T164 V164 X164 Z164 AB164">
    <cfRule type="cellIs" dxfId="3056" priority="2024" operator="equal">
      <formula>0</formula>
    </cfRule>
  </conditionalFormatting>
  <conditionalFormatting sqref="B168">
    <cfRule type="cellIs" dxfId="3055" priority="48" operator="equal">
      <formula>"F"</formula>
    </cfRule>
    <cfRule type="cellIs" dxfId="3054" priority="47" operator="equal">
      <formula>"F"</formula>
    </cfRule>
    <cfRule type="cellIs" dxfId="3053" priority="46" operator="equal">
      <formula>"U/P"</formula>
    </cfRule>
  </conditionalFormatting>
  <conditionalFormatting sqref="B176">
    <cfRule type="cellIs" dxfId="3052" priority="1276" operator="equal">
      <formula>"U/P"</formula>
    </cfRule>
    <cfRule type="cellIs" dxfId="3051" priority="1277" operator="equal">
      <formula>"F"</formula>
    </cfRule>
    <cfRule type="cellIs" dxfId="3050" priority="1278" operator="equal">
      <formula>"F"</formula>
    </cfRule>
  </conditionalFormatting>
  <conditionalFormatting sqref="B180 D180 F180 H180 J180 L180 N180 P180 R180 T180 V180 X180 Z180 AB180">
    <cfRule type="cellIs" dxfId="3049" priority="2022" operator="equal">
      <formula>0</formula>
    </cfRule>
  </conditionalFormatting>
  <conditionalFormatting sqref="B185">
    <cfRule type="cellIs" dxfId="3048" priority="354" operator="equal">
      <formula>"F"</formula>
    </cfRule>
    <cfRule type="cellIs" dxfId="3047" priority="353" operator="equal">
      <formula>"F"</formula>
    </cfRule>
    <cfRule type="cellIs" dxfId="3046" priority="352" operator="equal">
      <formula>"U/P"</formula>
    </cfRule>
  </conditionalFormatting>
  <conditionalFormatting sqref="B194">
    <cfRule type="cellIs" dxfId="3045" priority="4" operator="equal">
      <formula>"U/P"</formula>
    </cfRule>
    <cfRule type="cellIs" dxfId="3044" priority="5" operator="equal">
      <formula>"F"</formula>
    </cfRule>
    <cfRule type="cellIs" dxfId="3043" priority="6" operator="equal">
      <formula>"F"</formula>
    </cfRule>
  </conditionalFormatting>
  <conditionalFormatting sqref="B206 D206 F206 H206 J206 L206 N206 P206 R206 T206 V206 X206 Z206 AB206">
    <cfRule type="cellIs" dxfId="3042" priority="1984" operator="equal">
      <formula>0</formula>
    </cfRule>
  </conditionalFormatting>
  <conditionalFormatting sqref="B210">
    <cfRule type="cellIs" dxfId="3041" priority="1998" operator="equal">
      <formula>"U/P"</formula>
    </cfRule>
    <cfRule type="cellIs" dxfId="3040" priority="1999" operator="equal">
      <formula>"F"</formula>
    </cfRule>
    <cfRule type="cellIs" dxfId="3039" priority="2000" operator="equal">
      <formula>"F"</formula>
    </cfRule>
  </conditionalFormatting>
  <conditionalFormatting sqref="B218">
    <cfRule type="cellIs" dxfId="3038" priority="200" operator="equal">
      <formula>"F"</formula>
    </cfRule>
    <cfRule type="cellIs" dxfId="3037" priority="201" operator="equal">
      <formula>"F"</formula>
    </cfRule>
    <cfRule type="cellIs" dxfId="3036" priority="199" operator="equal">
      <formula>"U/P"</formula>
    </cfRule>
  </conditionalFormatting>
  <conditionalFormatting sqref="B226">
    <cfRule type="cellIs" dxfId="3035" priority="1165" operator="equal">
      <formula>"U/P"</formula>
    </cfRule>
    <cfRule type="cellIs" dxfId="3034" priority="1166" operator="equal">
      <formula>"F"</formula>
    </cfRule>
    <cfRule type="cellIs" dxfId="3033" priority="1167" operator="equal">
      <formula>"F"</formula>
    </cfRule>
  </conditionalFormatting>
  <conditionalFormatting sqref="B235">
    <cfRule type="cellIs" dxfId="3032" priority="1123" operator="equal">
      <formula>"U/P"</formula>
    </cfRule>
    <cfRule type="cellIs" dxfId="3031" priority="1124" operator="equal">
      <formula>"F"</formula>
    </cfRule>
    <cfRule type="cellIs" dxfId="3030" priority="1125" operator="equal">
      <formula>"F"</formula>
    </cfRule>
  </conditionalFormatting>
  <conditionalFormatting sqref="B244">
    <cfRule type="cellIs" dxfId="3029" priority="618" operator="equal">
      <formula>"F"</formula>
    </cfRule>
    <cfRule type="cellIs" dxfId="3028" priority="617" operator="equal">
      <formula>"F"</formula>
    </cfRule>
    <cfRule type="cellIs" dxfId="3027" priority="616" operator="equal">
      <formula>"U/P"</formula>
    </cfRule>
  </conditionalFormatting>
  <conditionalFormatting sqref="B252">
    <cfRule type="cellIs" dxfId="3026" priority="67" operator="equal">
      <formula>"U/P"</formula>
    </cfRule>
    <cfRule type="cellIs" dxfId="3025" priority="68" operator="equal">
      <formula>"F"</formula>
    </cfRule>
    <cfRule type="cellIs" dxfId="3024" priority="69" operator="equal">
      <formula>"F"</formula>
    </cfRule>
  </conditionalFormatting>
  <conditionalFormatting sqref="B260">
    <cfRule type="cellIs" dxfId="3023" priority="79" operator="equal">
      <formula>"U/P"</formula>
    </cfRule>
    <cfRule type="cellIs" dxfId="3022" priority="80" operator="equal">
      <formula>"F"</formula>
    </cfRule>
    <cfRule type="cellIs" dxfId="3021" priority="81" operator="equal">
      <formula>"F"</formula>
    </cfRule>
  </conditionalFormatting>
  <conditionalFormatting sqref="B268">
    <cfRule type="cellIs" dxfId="3020" priority="415" operator="equal">
      <formula>"U/P"</formula>
    </cfRule>
    <cfRule type="cellIs" dxfId="3019" priority="416" operator="equal">
      <formula>"F"</formula>
    </cfRule>
    <cfRule type="cellIs" dxfId="3018" priority="417" operator="equal">
      <formula>"F"</formula>
    </cfRule>
  </conditionalFormatting>
  <conditionalFormatting sqref="B276">
    <cfRule type="cellIs" dxfId="3017" priority="136" operator="equal">
      <formula>"U/P"</formula>
    </cfRule>
    <cfRule type="cellIs" dxfId="3016" priority="137" operator="equal">
      <formula>"F"</formula>
    </cfRule>
    <cfRule type="cellIs" dxfId="3015" priority="138" operator="equal">
      <formula>"F"</formula>
    </cfRule>
  </conditionalFormatting>
  <conditionalFormatting sqref="B284">
    <cfRule type="cellIs" dxfId="3014" priority="370" operator="equal">
      <formula>"U/P"</formula>
    </cfRule>
    <cfRule type="cellIs" dxfId="3013" priority="371" operator="equal">
      <formula>"F"</formula>
    </cfRule>
    <cfRule type="cellIs" dxfId="3012" priority="372" operator="equal">
      <formula>"F"</formula>
    </cfRule>
  </conditionalFormatting>
  <conditionalFormatting sqref="B292">
    <cfRule type="cellIs" dxfId="3011" priority="480" operator="equal">
      <formula>"F"</formula>
    </cfRule>
    <cfRule type="cellIs" dxfId="3010" priority="479" operator="equal">
      <formula>"F"</formula>
    </cfRule>
    <cfRule type="cellIs" dxfId="3009" priority="478" operator="equal">
      <formula>"U/P"</formula>
    </cfRule>
  </conditionalFormatting>
  <conditionalFormatting sqref="B300">
    <cfRule type="cellIs" dxfId="3008" priority="481" operator="equal">
      <formula>"U/P"</formula>
    </cfRule>
    <cfRule type="cellIs" dxfId="3007" priority="482" operator="equal">
      <formula>"F"</formula>
    </cfRule>
    <cfRule type="cellIs" dxfId="3006" priority="483" operator="equal">
      <formula>"F"</formula>
    </cfRule>
  </conditionalFormatting>
  <conditionalFormatting sqref="B308">
    <cfRule type="cellIs" dxfId="3005" priority="25" operator="equal">
      <formula>"U/P"</formula>
    </cfRule>
    <cfRule type="cellIs" dxfId="3004" priority="26" operator="equal">
      <formula>"F"</formula>
    </cfRule>
    <cfRule type="cellIs" dxfId="3003" priority="27" operator="equal">
      <formula>"F"</formula>
    </cfRule>
  </conditionalFormatting>
  <conditionalFormatting sqref="B315">
    <cfRule type="cellIs" dxfId="3002" priority="774" operator="equal">
      <formula>"F"</formula>
    </cfRule>
    <cfRule type="cellIs" dxfId="3001" priority="772" operator="equal">
      <formula>"U/P"</formula>
    </cfRule>
    <cfRule type="cellIs" dxfId="3000" priority="773" operator="equal">
      <formula>"F"</formula>
    </cfRule>
  </conditionalFormatting>
  <conditionalFormatting sqref="D20">
    <cfRule type="cellIs" dxfId="2999" priority="2078" operator="equal">
      <formula>"F"</formula>
    </cfRule>
    <cfRule type="cellIs" dxfId="2998" priority="2077" operator="equal">
      <formula>"F"</formula>
    </cfRule>
    <cfRule type="cellIs" dxfId="2997" priority="2076" operator="equal">
      <formula>"U/P"</formula>
    </cfRule>
  </conditionalFormatting>
  <conditionalFormatting sqref="D27">
    <cfRule type="cellIs" dxfId="2996" priority="1944" operator="equal">
      <formula>"F"</formula>
    </cfRule>
    <cfRule type="cellIs" dxfId="2995" priority="1943" operator="equal">
      <formula>"F"</formula>
    </cfRule>
    <cfRule type="cellIs" dxfId="2994" priority="1942" operator="equal">
      <formula>"U/P"</formula>
    </cfRule>
  </conditionalFormatting>
  <conditionalFormatting sqref="D41">
    <cfRule type="cellIs" dxfId="2993" priority="1860" operator="equal">
      <formula>"F"</formula>
    </cfRule>
    <cfRule type="cellIs" dxfId="2992" priority="1858" operator="equal">
      <formula>"U/P"</formula>
    </cfRule>
    <cfRule type="cellIs" dxfId="2991" priority="1859" operator="equal">
      <formula>"F"</formula>
    </cfRule>
  </conditionalFormatting>
  <conditionalFormatting sqref="D48">
    <cfRule type="cellIs" dxfId="2990" priority="1816" operator="equal">
      <formula>"U/P"</formula>
    </cfRule>
    <cfRule type="cellIs" dxfId="2989" priority="1818" operator="equal">
      <formula>"F"</formula>
    </cfRule>
    <cfRule type="cellIs" dxfId="2988" priority="1817" operator="equal">
      <formula>"F"</formula>
    </cfRule>
  </conditionalFormatting>
  <conditionalFormatting sqref="D57">
    <cfRule type="cellIs" dxfId="2987" priority="1774" operator="equal">
      <formula>"U/P"</formula>
    </cfRule>
    <cfRule type="cellIs" dxfId="2986" priority="1775" operator="equal">
      <formula>"F"</formula>
    </cfRule>
    <cfRule type="cellIs" dxfId="2985" priority="1776" operator="equal">
      <formula>"F"</formula>
    </cfRule>
  </conditionalFormatting>
  <conditionalFormatting sqref="D65">
    <cfRule type="cellIs" dxfId="2984" priority="1732" operator="equal">
      <formula>"U/P"</formula>
    </cfRule>
    <cfRule type="cellIs" dxfId="2983" priority="1733" operator="equal">
      <formula>"F"</formula>
    </cfRule>
    <cfRule type="cellIs" dxfId="2982" priority="1734" operator="equal">
      <formula>"F"</formula>
    </cfRule>
  </conditionalFormatting>
  <conditionalFormatting sqref="D73">
    <cfRule type="cellIs" dxfId="2981" priority="1690" operator="equal">
      <formula>"U/P"</formula>
    </cfRule>
    <cfRule type="cellIs" dxfId="2980" priority="1692" operator="equal">
      <formula>"F"</formula>
    </cfRule>
    <cfRule type="cellIs" dxfId="2979" priority="1691" operator="equal">
      <formula>"F"</formula>
    </cfRule>
  </conditionalFormatting>
  <conditionalFormatting sqref="D82">
    <cfRule type="cellIs" dxfId="2978" priority="1648" operator="equal">
      <formula>"U/P"</formula>
    </cfRule>
    <cfRule type="cellIs" dxfId="2977" priority="1649" operator="equal">
      <formula>"F"</formula>
    </cfRule>
    <cfRule type="cellIs" dxfId="2976" priority="1650" operator="equal">
      <formula>"F"</formula>
    </cfRule>
  </conditionalFormatting>
  <conditionalFormatting sqref="D90">
    <cfRule type="cellIs" dxfId="2975" priority="1607" operator="equal">
      <formula>"F"</formula>
    </cfRule>
    <cfRule type="cellIs" dxfId="2974" priority="1608" operator="equal">
      <formula>"F"</formula>
    </cfRule>
    <cfRule type="cellIs" dxfId="2973" priority="1606" operator="equal">
      <formula>"U/P"</formula>
    </cfRule>
  </conditionalFormatting>
  <conditionalFormatting sqref="D99">
    <cfRule type="cellIs" dxfId="2972" priority="1566" operator="equal">
      <formula>"F"</formula>
    </cfRule>
    <cfRule type="cellIs" dxfId="2971" priority="1565" operator="equal">
      <formula>"F"</formula>
    </cfRule>
    <cfRule type="cellIs" dxfId="2970" priority="1564" operator="equal">
      <formula>"U/P"</formula>
    </cfRule>
  </conditionalFormatting>
  <conditionalFormatting sqref="D107">
    <cfRule type="cellIs" dxfId="2969" priority="1524" operator="equal">
      <formula>"F"</formula>
    </cfRule>
    <cfRule type="cellIs" dxfId="2968" priority="1523" operator="equal">
      <formula>"F"</formula>
    </cfRule>
    <cfRule type="cellIs" dxfId="2967" priority="1522" operator="equal">
      <formula>"U/P"</formula>
    </cfRule>
  </conditionalFormatting>
  <conditionalFormatting sqref="D115">
    <cfRule type="cellIs" dxfId="2966" priority="1486" operator="equal">
      <formula>"U/P"</formula>
    </cfRule>
    <cfRule type="cellIs" dxfId="2965" priority="1487" operator="equal">
      <formula>"F"</formula>
    </cfRule>
    <cfRule type="cellIs" dxfId="2964" priority="1488" operator="equal">
      <formula>"F"</formula>
    </cfRule>
  </conditionalFormatting>
  <conditionalFormatting sqref="D118">
    <cfRule type="cellIs" dxfId="2963" priority="609" operator="equal">
      <formula>0</formula>
    </cfRule>
  </conditionalFormatting>
  <conditionalFormatting sqref="D123">
    <cfRule type="cellIs" dxfId="2962" priority="2066" operator="equal">
      <formula>"F"</formula>
    </cfRule>
    <cfRule type="cellIs" dxfId="2961" priority="2065" operator="equal">
      <formula>"F"</formula>
    </cfRule>
    <cfRule type="cellIs" dxfId="2960" priority="2064" operator="equal">
      <formula>"U/P"</formula>
    </cfRule>
  </conditionalFormatting>
  <conditionalFormatting sqref="D132">
    <cfRule type="cellIs" dxfId="2959" priority="1417" operator="equal">
      <formula>"U/P"</formula>
    </cfRule>
    <cfRule type="cellIs" dxfId="2958" priority="1419" operator="equal">
      <formula>"F"</formula>
    </cfRule>
    <cfRule type="cellIs" dxfId="2957" priority="1418" operator="equal">
      <formula>"F"</formula>
    </cfRule>
  </conditionalFormatting>
  <conditionalFormatting sqref="D141">
    <cfRule type="cellIs" dxfId="2956" priority="1168" operator="equal">
      <formula>"U/P"</formula>
    </cfRule>
    <cfRule type="cellIs" dxfId="2955" priority="1169" operator="equal">
      <formula>"F"</formula>
    </cfRule>
    <cfRule type="cellIs" dxfId="2954" priority="1170" operator="equal">
      <formula>"F"</formula>
    </cfRule>
  </conditionalFormatting>
  <conditionalFormatting sqref="D150">
    <cfRule type="cellIs" dxfId="2953" priority="133" operator="equal">
      <formula>"U/P"</formula>
    </cfRule>
    <cfRule type="cellIs" dxfId="2952" priority="134" operator="equal">
      <formula>"F"</formula>
    </cfRule>
    <cfRule type="cellIs" dxfId="2951" priority="135" operator="equal">
      <formula>"F"</formula>
    </cfRule>
  </conditionalFormatting>
  <conditionalFormatting sqref="D159">
    <cfRule type="cellIs" dxfId="2950" priority="1346" operator="equal">
      <formula>"F"</formula>
    </cfRule>
    <cfRule type="cellIs" dxfId="2949" priority="1345" operator="equal">
      <formula>"U/P"</formula>
    </cfRule>
    <cfRule type="cellIs" dxfId="2948" priority="1347" operator="equal">
      <formula>"F"</formula>
    </cfRule>
  </conditionalFormatting>
  <conditionalFormatting sqref="D168">
    <cfRule type="cellIs" dxfId="2947" priority="502" operator="equal">
      <formula>"U/P"</formula>
    </cfRule>
    <cfRule type="cellIs" dxfId="2946" priority="503" operator="equal">
      <formula>"F"</formula>
    </cfRule>
    <cfRule type="cellIs" dxfId="2945" priority="504" operator="equal">
      <formula>"F"</formula>
    </cfRule>
  </conditionalFormatting>
  <conditionalFormatting sqref="D176">
    <cfRule type="cellIs" dxfId="2944" priority="1273" operator="equal">
      <formula>"U/P"</formula>
    </cfRule>
    <cfRule type="cellIs" dxfId="2943" priority="1275" operator="equal">
      <formula>"F"</formula>
    </cfRule>
    <cfRule type="cellIs" dxfId="2942" priority="1274" operator="equal">
      <formula>"F"</formula>
    </cfRule>
  </conditionalFormatting>
  <conditionalFormatting sqref="D185">
    <cfRule type="cellIs" dxfId="2941" priority="474" operator="equal">
      <formula>"F"</formula>
    </cfRule>
    <cfRule type="cellIs" dxfId="2940" priority="473" operator="equal">
      <formula>"F"</formula>
    </cfRule>
    <cfRule type="cellIs" dxfId="2939" priority="472" operator="equal">
      <formula>"U/P"</formula>
    </cfRule>
  </conditionalFormatting>
  <conditionalFormatting sqref="D194">
    <cfRule type="cellIs" dxfId="2938" priority="107" operator="equal">
      <formula>"F"</formula>
    </cfRule>
    <cfRule type="cellIs" dxfId="2937" priority="106" operator="equal">
      <formula>"U/P"</formula>
    </cfRule>
    <cfRule type="cellIs" dxfId="2936" priority="108" operator="equal">
      <formula>"F"</formula>
    </cfRule>
  </conditionalFormatting>
  <conditionalFormatting sqref="D202">
    <cfRule type="cellIs" dxfId="2935" priority="727" operator="equal">
      <formula>"U/P"</formula>
    </cfRule>
    <cfRule type="cellIs" dxfId="2934" priority="729" operator="equal">
      <formula>"F"</formula>
    </cfRule>
    <cfRule type="cellIs" dxfId="2933" priority="728" operator="equal">
      <formula>"F"</formula>
    </cfRule>
  </conditionalFormatting>
  <conditionalFormatting sqref="D210">
    <cfRule type="cellIs" dxfId="2932" priority="682" operator="equal">
      <formula>"U/P"</formula>
    </cfRule>
    <cfRule type="cellIs" dxfId="2931" priority="683" operator="equal">
      <formula>"F"</formula>
    </cfRule>
    <cfRule type="cellIs" dxfId="2930" priority="684" operator="equal">
      <formula>"F"</formula>
    </cfRule>
  </conditionalFormatting>
  <conditionalFormatting sqref="D218">
    <cfRule type="cellIs" dxfId="2929" priority="114" operator="equal">
      <formula>"F"</formula>
    </cfRule>
    <cfRule type="cellIs" dxfId="2928" priority="112" operator="equal">
      <formula>"U/P"</formula>
    </cfRule>
    <cfRule type="cellIs" dxfId="2927" priority="113" operator="equal">
      <formula>"F"</formula>
    </cfRule>
  </conditionalFormatting>
  <conditionalFormatting sqref="D226">
    <cfRule type="cellIs" dxfId="2926" priority="1164" operator="equal">
      <formula>"F"</formula>
    </cfRule>
    <cfRule type="cellIs" dxfId="2925" priority="1163" operator="equal">
      <formula>"F"</formula>
    </cfRule>
    <cfRule type="cellIs" dxfId="2924" priority="1162" operator="equal">
      <formula>"U/P"</formula>
    </cfRule>
  </conditionalFormatting>
  <conditionalFormatting sqref="D235">
    <cfRule type="cellIs" dxfId="2923" priority="274" operator="equal">
      <formula>"U/P"</formula>
    </cfRule>
    <cfRule type="cellIs" dxfId="2922" priority="275" operator="equal">
      <formula>"F"</formula>
    </cfRule>
    <cfRule type="cellIs" dxfId="2921" priority="276" operator="equal">
      <formula>"F"</formula>
    </cfRule>
  </conditionalFormatting>
  <conditionalFormatting sqref="D244">
    <cfRule type="cellIs" dxfId="2920" priority="719" operator="equal">
      <formula>"F"</formula>
    </cfRule>
    <cfRule type="cellIs" dxfId="2919" priority="718" operator="equal">
      <formula>"U/P"</formula>
    </cfRule>
    <cfRule type="cellIs" dxfId="2918" priority="720" operator="equal">
      <formula>"F"</formula>
    </cfRule>
  </conditionalFormatting>
  <conditionalFormatting sqref="D252">
    <cfRule type="cellIs" dxfId="2917" priority="241" operator="equal">
      <formula>"U/P"</formula>
    </cfRule>
    <cfRule type="cellIs" dxfId="2916" priority="242" operator="equal">
      <formula>"F"</formula>
    </cfRule>
    <cfRule type="cellIs" dxfId="2915" priority="243" operator="equal">
      <formula>"F"</formula>
    </cfRule>
  </conditionalFormatting>
  <conditionalFormatting sqref="D268">
    <cfRule type="cellIs" dxfId="2914" priority="324" operator="equal">
      <formula>"F"</formula>
    </cfRule>
    <cfRule type="cellIs" dxfId="2913" priority="322" operator="equal">
      <formula>"U/P"</formula>
    </cfRule>
    <cfRule type="cellIs" dxfId="2912" priority="323" operator="equal">
      <formula>"F"</formula>
    </cfRule>
  </conditionalFormatting>
  <conditionalFormatting sqref="D276">
    <cfRule type="cellIs" dxfId="2911" priority="192" operator="equal">
      <formula>"F"</formula>
    </cfRule>
    <cfRule type="cellIs" dxfId="2910" priority="191" operator="equal">
      <formula>"F"</formula>
    </cfRule>
    <cfRule type="cellIs" dxfId="2909" priority="190" operator="equal">
      <formula>"U/P"</formula>
    </cfRule>
  </conditionalFormatting>
  <conditionalFormatting sqref="D284">
    <cfRule type="cellIs" dxfId="2908" priority="339" operator="equal">
      <formula>"F"</formula>
    </cfRule>
    <cfRule type="cellIs" dxfId="2907" priority="338" operator="equal">
      <formula>"F"</formula>
    </cfRule>
    <cfRule type="cellIs" dxfId="2906" priority="337" operator="equal">
      <formula>"U/P"</formula>
    </cfRule>
  </conditionalFormatting>
  <conditionalFormatting sqref="D292">
    <cfRule type="cellIs" dxfId="2905" priority="498" operator="equal">
      <formula>"F"</formula>
    </cfRule>
    <cfRule type="cellIs" dxfId="2904" priority="496" operator="equal">
      <formula>"U/P"</formula>
    </cfRule>
    <cfRule type="cellIs" dxfId="2903" priority="497" operator="equal">
      <formula>"F"</formula>
    </cfRule>
  </conditionalFormatting>
  <conditionalFormatting sqref="D300">
    <cfRule type="cellIs" dxfId="2902" priority="467" operator="equal">
      <formula>"F"</formula>
    </cfRule>
    <cfRule type="cellIs" dxfId="2901" priority="468" operator="equal">
      <formula>"F"</formula>
    </cfRule>
    <cfRule type="cellIs" dxfId="2900" priority="466" operator="equal">
      <formula>"U/P"</formula>
    </cfRule>
  </conditionalFormatting>
  <conditionalFormatting sqref="D308">
    <cfRule type="cellIs" dxfId="2899" priority="795" operator="equal">
      <formula>"F"</formula>
    </cfRule>
    <cfRule type="cellIs" dxfId="2898" priority="793" operator="equal">
      <formula>"U/P"</formula>
    </cfRule>
    <cfRule type="cellIs" dxfId="2897" priority="794" operator="equal">
      <formula>"F"</formula>
    </cfRule>
  </conditionalFormatting>
  <conditionalFormatting sqref="D315">
    <cfRule type="cellIs" dxfId="2896" priority="764" operator="equal">
      <formula>"F"</formula>
    </cfRule>
    <cfRule type="cellIs" dxfId="2895" priority="763" operator="equal">
      <formula>"U/P"</formula>
    </cfRule>
    <cfRule type="cellIs" dxfId="2894" priority="765" operator="equal">
      <formula>"F"</formula>
    </cfRule>
  </conditionalFormatting>
  <conditionalFormatting sqref="F20">
    <cfRule type="cellIs" dxfId="2893" priority="1983" operator="equal">
      <formula>"F"</formula>
    </cfRule>
    <cfRule type="cellIs" dxfId="2892" priority="1981" operator="equal">
      <formula>"U/P"</formula>
    </cfRule>
    <cfRule type="cellIs" dxfId="2891" priority="1982" operator="equal">
      <formula>"F"</formula>
    </cfRule>
  </conditionalFormatting>
  <conditionalFormatting sqref="F27">
    <cfRule type="cellIs" dxfId="2890" priority="1939" operator="equal">
      <formula>"U/P"</formula>
    </cfRule>
    <cfRule type="cellIs" dxfId="2889" priority="1940" operator="equal">
      <formula>"F"</formula>
    </cfRule>
    <cfRule type="cellIs" dxfId="2888" priority="1941" operator="equal">
      <formula>"F"</formula>
    </cfRule>
  </conditionalFormatting>
  <conditionalFormatting sqref="F34">
    <cfRule type="cellIs" dxfId="2887" priority="1898" operator="equal">
      <formula>"F"</formula>
    </cfRule>
    <cfRule type="cellIs" dxfId="2886" priority="1899" operator="equal">
      <formula>"F"</formula>
    </cfRule>
    <cfRule type="cellIs" dxfId="2885" priority="1897" operator="equal">
      <formula>"U/P"</formula>
    </cfRule>
  </conditionalFormatting>
  <conditionalFormatting sqref="F41">
    <cfRule type="cellIs" dxfId="2884" priority="1856" operator="equal">
      <formula>"F"</formula>
    </cfRule>
    <cfRule type="cellIs" dxfId="2883" priority="1855" operator="equal">
      <formula>"U/P"</formula>
    </cfRule>
    <cfRule type="cellIs" dxfId="2882" priority="1857" operator="equal">
      <formula>"F"</formula>
    </cfRule>
  </conditionalFormatting>
  <conditionalFormatting sqref="F48">
    <cfRule type="cellIs" dxfId="2881" priority="1815" operator="equal">
      <formula>"F"</formula>
    </cfRule>
    <cfRule type="cellIs" dxfId="2880" priority="1813" operator="equal">
      <formula>"U/P"</formula>
    </cfRule>
    <cfRule type="cellIs" dxfId="2879" priority="1814" operator="equal">
      <formula>"F"</formula>
    </cfRule>
  </conditionalFormatting>
  <conditionalFormatting sqref="F57">
    <cfRule type="cellIs" dxfId="2878" priority="1772" operator="equal">
      <formula>"F"</formula>
    </cfRule>
    <cfRule type="cellIs" dxfId="2877" priority="1771" operator="equal">
      <formula>"U/P"</formula>
    </cfRule>
    <cfRule type="cellIs" dxfId="2876" priority="1773" operator="equal">
      <formula>"F"</formula>
    </cfRule>
  </conditionalFormatting>
  <conditionalFormatting sqref="F65">
    <cfRule type="cellIs" dxfId="2875" priority="1731" operator="equal">
      <formula>"F"</formula>
    </cfRule>
    <cfRule type="cellIs" dxfId="2874" priority="1730" operator="equal">
      <formula>"F"</formula>
    </cfRule>
    <cfRule type="cellIs" dxfId="2873" priority="1729" operator="equal">
      <formula>"U/P"</formula>
    </cfRule>
  </conditionalFormatting>
  <conditionalFormatting sqref="F73">
    <cfRule type="cellIs" dxfId="2872" priority="1687" operator="equal">
      <formula>"U/P"</formula>
    </cfRule>
    <cfRule type="cellIs" dxfId="2871" priority="1689" operator="equal">
      <formula>"F"</formula>
    </cfRule>
    <cfRule type="cellIs" dxfId="2870" priority="1688" operator="equal">
      <formula>"F"</formula>
    </cfRule>
  </conditionalFormatting>
  <conditionalFormatting sqref="F82">
    <cfRule type="cellIs" dxfId="2869" priority="399" operator="equal">
      <formula>"F"</formula>
    </cfRule>
    <cfRule type="cellIs" dxfId="2868" priority="398" operator="equal">
      <formula>"F"</formula>
    </cfRule>
    <cfRule type="cellIs" dxfId="2867" priority="397" operator="equal">
      <formula>"U/P"</formula>
    </cfRule>
  </conditionalFormatting>
  <conditionalFormatting sqref="F90">
    <cfRule type="cellIs" dxfId="2866" priority="391" operator="equal">
      <formula>"U/P"</formula>
    </cfRule>
    <cfRule type="cellIs" dxfId="2865" priority="393" operator="equal">
      <formula>"F"</formula>
    </cfRule>
    <cfRule type="cellIs" dxfId="2864" priority="392" operator="equal">
      <formula>"F"</formula>
    </cfRule>
  </conditionalFormatting>
  <conditionalFormatting sqref="F99">
    <cfRule type="cellIs" dxfId="2863" priority="1563" operator="equal">
      <formula>"F"</formula>
    </cfRule>
    <cfRule type="cellIs" dxfId="2862" priority="1562" operator="equal">
      <formula>"F"</formula>
    </cfRule>
    <cfRule type="cellIs" dxfId="2861" priority="1561" operator="equal">
      <formula>"U/P"</formula>
    </cfRule>
  </conditionalFormatting>
  <conditionalFormatting sqref="F107">
    <cfRule type="cellIs" dxfId="2860" priority="1517" operator="equal">
      <formula>"F"</formula>
    </cfRule>
    <cfRule type="cellIs" dxfId="2859" priority="1516" operator="equal">
      <formula>"U/P"</formula>
    </cfRule>
    <cfRule type="cellIs" dxfId="2858" priority="1518" operator="equal">
      <formula>"F"</formula>
    </cfRule>
  </conditionalFormatting>
  <conditionalFormatting sqref="F115">
    <cfRule type="cellIs" dxfId="2857" priority="1485" operator="equal">
      <formula>"F"</formula>
    </cfRule>
    <cfRule type="cellIs" dxfId="2856" priority="1484" operator="equal">
      <formula>"F"</formula>
    </cfRule>
    <cfRule type="cellIs" dxfId="2855" priority="1483" operator="equal">
      <formula>"U/P"</formula>
    </cfRule>
  </conditionalFormatting>
  <conditionalFormatting sqref="F123">
    <cfRule type="cellIs" dxfId="2854" priority="33" operator="equal">
      <formula>"F"</formula>
    </cfRule>
    <cfRule type="cellIs" dxfId="2853" priority="32" operator="equal">
      <formula>"F"</formula>
    </cfRule>
    <cfRule type="cellIs" dxfId="2852" priority="31" operator="equal">
      <formula>"U/P"</formula>
    </cfRule>
  </conditionalFormatting>
  <conditionalFormatting sqref="F132">
    <cfRule type="cellIs" dxfId="2851" priority="1416" operator="equal">
      <formula>"F"</formula>
    </cfRule>
    <cfRule type="cellIs" dxfId="2850" priority="1414" operator="equal">
      <formula>"U/P"</formula>
    </cfRule>
    <cfRule type="cellIs" dxfId="2849" priority="1415" operator="equal">
      <formula>"F"</formula>
    </cfRule>
  </conditionalFormatting>
  <conditionalFormatting sqref="F141">
    <cfRule type="cellIs" dxfId="2848" priority="2039" operator="equal">
      <formula>"U/P"</formula>
    </cfRule>
    <cfRule type="cellIs" dxfId="2847" priority="2040" operator="equal">
      <formula>"F"</formula>
    </cfRule>
    <cfRule type="cellIs" dxfId="2846" priority="2041" operator="equal">
      <formula>"F"</formula>
    </cfRule>
  </conditionalFormatting>
  <conditionalFormatting sqref="F150">
    <cfRule type="cellIs" dxfId="2845" priority="1379" operator="equal">
      <formula>"F"</formula>
    </cfRule>
    <cfRule type="cellIs" dxfId="2844" priority="1380" operator="equal">
      <formula>"F"</formula>
    </cfRule>
    <cfRule type="cellIs" dxfId="2843" priority="1378" operator="equal">
      <formula>"U/P"</formula>
    </cfRule>
  </conditionalFormatting>
  <conditionalFormatting sqref="F159">
    <cfRule type="cellIs" dxfId="2842" priority="1343" operator="equal">
      <formula>"F"</formula>
    </cfRule>
    <cfRule type="cellIs" dxfId="2841" priority="1344" operator="equal">
      <formula>"F"</formula>
    </cfRule>
    <cfRule type="cellIs" dxfId="2840" priority="1342" operator="equal">
      <formula>"U/P"</formula>
    </cfRule>
  </conditionalFormatting>
  <conditionalFormatting sqref="F168">
    <cfRule type="cellIs" dxfId="2839" priority="510" operator="equal">
      <formula>"U/P"</formula>
    </cfRule>
    <cfRule type="cellIs" dxfId="2838" priority="511" operator="equal">
      <formula>"F"</formula>
    </cfRule>
    <cfRule type="cellIs" dxfId="2837" priority="512" operator="equal">
      <formula>"F"</formula>
    </cfRule>
  </conditionalFormatting>
  <conditionalFormatting sqref="F176">
    <cfRule type="cellIs" dxfId="2836" priority="306" operator="equal">
      <formula>"F"</formula>
    </cfRule>
    <cfRule type="cellIs" dxfId="2835" priority="304" operator="equal">
      <formula>"U/P"</formula>
    </cfRule>
    <cfRule type="cellIs" dxfId="2834" priority="305" operator="equal">
      <formula>"F"</formula>
    </cfRule>
  </conditionalFormatting>
  <conditionalFormatting sqref="F185">
    <cfRule type="cellIs" dxfId="2833" priority="2029" operator="equal">
      <formula>"F"</formula>
    </cfRule>
    <cfRule type="cellIs" dxfId="2832" priority="2028" operator="equal">
      <formula>"F"</formula>
    </cfRule>
    <cfRule type="cellIs" dxfId="2831" priority="2027" operator="equal">
      <formula>"U/P"</formula>
    </cfRule>
  </conditionalFormatting>
  <conditionalFormatting sqref="F194">
    <cfRule type="cellIs" dxfId="2830" priority="1230" operator="equal">
      <formula>"F"</formula>
    </cfRule>
    <cfRule type="cellIs" dxfId="2829" priority="1229" operator="equal">
      <formula>"F"</formula>
    </cfRule>
    <cfRule type="cellIs" dxfId="2828" priority="1228" operator="equal">
      <formula>"U/P"</formula>
    </cfRule>
  </conditionalFormatting>
  <conditionalFormatting sqref="F202">
    <cfRule type="cellIs" dxfId="2827" priority="724" operator="equal">
      <formula>"U/P"</formula>
    </cfRule>
    <cfRule type="cellIs" dxfId="2826" priority="726" operator="equal">
      <formula>"F"</formula>
    </cfRule>
    <cfRule type="cellIs" dxfId="2825" priority="725" operator="equal">
      <formula>"F"</formula>
    </cfRule>
  </conditionalFormatting>
  <conditionalFormatting sqref="F210">
    <cfRule type="cellIs" dxfId="2824" priority="301" operator="equal">
      <formula>"U/P"</formula>
    </cfRule>
    <cfRule type="cellIs" dxfId="2823" priority="302" operator="equal">
      <formula>"F"</formula>
    </cfRule>
    <cfRule type="cellIs" dxfId="2822" priority="303" operator="equal">
      <formula>"F"</formula>
    </cfRule>
  </conditionalFormatting>
  <conditionalFormatting sqref="F218 H218 J218 N218">
    <cfRule type="cellIs" dxfId="2821" priority="433" operator="equal">
      <formula>"U/P"</formula>
    </cfRule>
    <cfRule type="cellIs" dxfId="2820" priority="434" operator="equal">
      <formula>"F"</formula>
    </cfRule>
    <cfRule type="cellIs" dxfId="2819" priority="435" operator="equal">
      <formula>"F"</formula>
    </cfRule>
  </conditionalFormatting>
  <conditionalFormatting sqref="F226">
    <cfRule type="cellIs" dxfId="2818" priority="1160" operator="equal">
      <formula>"F"</formula>
    </cfRule>
    <cfRule type="cellIs" dxfId="2817" priority="1159" operator="equal">
      <formula>"U/P"</formula>
    </cfRule>
    <cfRule type="cellIs" dxfId="2816" priority="1161" operator="equal">
      <formula>"F"</formula>
    </cfRule>
  </conditionalFormatting>
  <conditionalFormatting sqref="F235">
    <cfRule type="cellIs" dxfId="2815" priority="1113" operator="equal">
      <formula>"F"</formula>
    </cfRule>
    <cfRule type="cellIs" dxfId="2814" priority="1111" operator="equal">
      <formula>"U/P"</formula>
    </cfRule>
    <cfRule type="cellIs" dxfId="2813" priority="1112" operator="equal">
      <formula>"F"</formula>
    </cfRule>
  </conditionalFormatting>
  <conditionalFormatting sqref="F244">
    <cfRule type="cellIs" dxfId="2812" priority="717" operator="equal">
      <formula>"F"</formula>
    </cfRule>
    <cfRule type="cellIs" dxfId="2811" priority="715" operator="equal">
      <formula>"U/P"</formula>
    </cfRule>
    <cfRule type="cellIs" dxfId="2810" priority="716" operator="equal">
      <formula>"F"</formula>
    </cfRule>
  </conditionalFormatting>
  <conditionalFormatting sqref="F252">
    <cfRule type="cellIs" dxfId="2809" priority="318" operator="equal">
      <formula>"F"</formula>
    </cfRule>
    <cfRule type="cellIs" dxfId="2808" priority="317" operator="equal">
      <formula>"F"</formula>
    </cfRule>
    <cfRule type="cellIs" dxfId="2807" priority="316" operator="equal">
      <formula>"U/P"</formula>
    </cfRule>
  </conditionalFormatting>
  <conditionalFormatting sqref="F268">
    <cfRule type="cellIs" dxfId="2806" priority="349" operator="equal">
      <formula>"U/P"</formula>
    </cfRule>
    <cfRule type="cellIs" dxfId="2805" priority="350" operator="equal">
      <formula>"F"</formula>
    </cfRule>
    <cfRule type="cellIs" dxfId="2804" priority="351" operator="equal">
      <formula>"F"</formula>
    </cfRule>
  </conditionalFormatting>
  <conditionalFormatting sqref="F276">
    <cfRule type="cellIs" dxfId="2803" priority="152" operator="equal">
      <formula>"F"</formula>
    </cfRule>
    <cfRule type="cellIs" dxfId="2802" priority="151" operator="equal">
      <formula>"U/P"</formula>
    </cfRule>
    <cfRule type="cellIs" dxfId="2801" priority="153" operator="equal">
      <formula>"F"</formula>
    </cfRule>
  </conditionalFormatting>
  <conditionalFormatting sqref="F284">
    <cfRule type="cellIs" dxfId="2800" priority="286" operator="equal">
      <formula>"U/P"</formula>
    </cfRule>
    <cfRule type="cellIs" dxfId="2799" priority="287" operator="equal">
      <formula>"F"</formula>
    </cfRule>
    <cfRule type="cellIs" dxfId="2798" priority="288" operator="equal">
      <formula>"F"</formula>
    </cfRule>
  </conditionalFormatting>
  <conditionalFormatting sqref="F292">
    <cfRule type="cellIs" dxfId="2797" priority="585" operator="equal">
      <formula>"F"</formula>
    </cfRule>
    <cfRule type="cellIs" dxfId="2796" priority="583" operator="equal">
      <formula>"U/P"</formula>
    </cfRule>
    <cfRule type="cellIs" dxfId="2795" priority="584" operator="equal">
      <formula>"F"</formula>
    </cfRule>
  </conditionalFormatting>
  <conditionalFormatting sqref="F300">
    <cfRule type="cellIs" dxfId="2794" priority="485" operator="equal">
      <formula>"F"</formula>
    </cfRule>
    <cfRule type="cellIs" dxfId="2793" priority="486" operator="equal">
      <formula>"F"</formula>
    </cfRule>
    <cfRule type="cellIs" dxfId="2792" priority="484" operator="equal">
      <formula>"U/P"</formula>
    </cfRule>
  </conditionalFormatting>
  <conditionalFormatting sqref="F308">
    <cfRule type="cellIs" dxfId="2791" priority="24" operator="equal">
      <formula>"F"</formula>
    </cfRule>
    <cfRule type="cellIs" dxfId="2790" priority="23" operator="equal">
      <formula>"F"</formula>
    </cfRule>
    <cfRule type="cellIs" dxfId="2789" priority="22" operator="equal">
      <formula>"U/P"</formula>
    </cfRule>
  </conditionalFormatting>
  <conditionalFormatting sqref="F315">
    <cfRule type="cellIs" dxfId="2788" priority="736" operator="equal">
      <formula>"U/P"</formula>
    </cfRule>
    <cfRule type="cellIs" dxfId="2787" priority="738" operator="equal">
      <formula>"F"</formula>
    </cfRule>
    <cfRule type="cellIs" dxfId="2786" priority="737" operator="equal">
      <formula>"F"</formula>
    </cfRule>
  </conditionalFormatting>
  <conditionalFormatting sqref="H20">
    <cfRule type="cellIs" dxfId="2785" priority="1978" operator="equal">
      <formula>"U/P"</formula>
    </cfRule>
    <cfRule type="cellIs" dxfId="2784" priority="1980" operator="equal">
      <formula>"F"</formula>
    </cfRule>
    <cfRule type="cellIs" dxfId="2783" priority="1979" operator="equal">
      <formula>"F"</formula>
    </cfRule>
  </conditionalFormatting>
  <conditionalFormatting sqref="H27">
    <cfRule type="cellIs" dxfId="2782" priority="1938" operator="equal">
      <formula>"F"</formula>
    </cfRule>
    <cfRule type="cellIs" dxfId="2781" priority="1937" operator="equal">
      <formula>"F"</formula>
    </cfRule>
    <cfRule type="cellIs" dxfId="2780" priority="1936" operator="equal">
      <formula>"U/P"</formula>
    </cfRule>
  </conditionalFormatting>
  <conditionalFormatting sqref="H34">
    <cfRule type="cellIs" dxfId="2779" priority="1896" operator="equal">
      <formula>"F"</formula>
    </cfRule>
    <cfRule type="cellIs" dxfId="2778" priority="1895" operator="equal">
      <formula>"F"</formula>
    </cfRule>
    <cfRule type="cellIs" dxfId="2777" priority="1894" operator="equal">
      <formula>"U/P"</formula>
    </cfRule>
  </conditionalFormatting>
  <conditionalFormatting sqref="H41">
    <cfRule type="cellIs" dxfId="2776" priority="1854" operator="equal">
      <formula>"F"</formula>
    </cfRule>
    <cfRule type="cellIs" dxfId="2775" priority="1853" operator="equal">
      <formula>"F"</formula>
    </cfRule>
    <cfRule type="cellIs" dxfId="2774" priority="1852" operator="equal">
      <formula>"U/P"</formula>
    </cfRule>
  </conditionalFormatting>
  <conditionalFormatting sqref="H48">
    <cfRule type="cellIs" dxfId="2773" priority="1811" operator="equal">
      <formula>"F"</formula>
    </cfRule>
    <cfRule type="cellIs" dxfId="2772" priority="1810" operator="equal">
      <formula>"U/P"</formula>
    </cfRule>
    <cfRule type="cellIs" dxfId="2771" priority="1812" operator="equal">
      <formula>"F"</formula>
    </cfRule>
  </conditionalFormatting>
  <conditionalFormatting sqref="H57">
    <cfRule type="cellIs" dxfId="2770" priority="1768" operator="equal">
      <formula>"U/P"</formula>
    </cfRule>
    <cfRule type="cellIs" dxfId="2769" priority="1769" operator="equal">
      <formula>"F"</formula>
    </cfRule>
    <cfRule type="cellIs" dxfId="2768" priority="1770" operator="equal">
      <formula>"F"</formula>
    </cfRule>
  </conditionalFormatting>
  <conditionalFormatting sqref="H65">
    <cfRule type="cellIs" dxfId="2767" priority="1728" operator="equal">
      <formula>"F"</formula>
    </cfRule>
    <cfRule type="cellIs" dxfId="2766" priority="1727" operator="equal">
      <formula>"F"</formula>
    </cfRule>
    <cfRule type="cellIs" dxfId="2765" priority="1726" operator="equal">
      <formula>"U/P"</formula>
    </cfRule>
  </conditionalFormatting>
  <conditionalFormatting sqref="H73">
    <cfRule type="cellIs" dxfId="2764" priority="1684" operator="equal">
      <formula>"U/P"</formula>
    </cfRule>
    <cfRule type="cellIs" dxfId="2763" priority="1685" operator="equal">
      <formula>"F"</formula>
    </cfRule>
    <cfRule type="cellIs" dxfId="2762" priority="1686" operator="equal">
      <formula>"F"</formula>
    </cfRule>
  </conditionalFormatting>
  <conditionalFormatting sqref="H82">
    <cfRule type="cellIs" dxfId="2761" priority="1647" operator="equal">
      <formula>"F"</formula>
    </cfRule>
    <cfRule type="cellIs" dxfId="2760" priority="1645" operator="equal">
      <formula>"U/P"</formula>
    </cfRule>
    <cfRule type="cellIs" dxfId="2759" priority="1646" operator="equal">
      <formula>"F"</formula>
    </cfRule>
  </conditionalFormatting>
  <conditionalFormatting sqref="H90">
    <cfRule type="cellIs" dxfId="2758" priority="1604" operator="equal">
      <formula>"F"</formula>
    </cfRule>
    <cfRule type="cellIs" dxfId="2757" priority="1605" operator="equal">
      <formula>"F"</formula>
    </cfRule>
    <cfRule type="cellIs" dxfId="2756" priority="1603" operator="equal">
      <formula>"U/P"</formula>
    </cfRule>
  </conditionalFormatting>
  <conditionalFormatting sqref="H99">
    <cfRule type="cellIs" dxfId="2755" priority="1558" operator="equal">
      <formula>"U/P"</formula>
    </cfRule>
    <cfRule type="cellIs" dxfId="2754" priority="1559" operator="equal">
      <formula>"F"</formula>
    </cfRule>
    <cfRule type="cellIs" dxfId="2753" priority="1560" operator="equal">
      <formula>"F"</formula>
    </cfRule>
  </conditionalFormatting>
  <conditionalFormatting sqref="H115">
    <cfRule type="cellIs" dxfId="2752" priority="1482" operator="equal">
      <formula>"F"</formula>
    </cfRule>
    <cfRule type="cellIs" dxfId="2751" priority="1481" operator="equal">
      <formula>"F"</formula>
    </cfRule>
    <cfRule type="cellIs" dxfId="2750" priority="1480" operator="equal">
      <formula>"U/P"</formula>
    </cfRule>
  </conditionalFormatting>
  <conditionalFormatting sqref="H118">
    <cfRule type="cellIs" dxfId="2749" priority="608" operator="equal">
      <formula>0</formula>
    </cfRule>
  </conditionalFormatting>
  <conditionalFormatting sqref="H123">
    <cfRule type="cellIs" dxfId="2748" priority="1446" operator="equal">
      <formula>"F"</formula>
    </cfRule>
    <cfRule type="cellIs" dxfId="2747" priority="1445" operator="equal">
      <formula>"F"</formula>
    </cfRule>
    <cfRule type="cellIs" dxfId="2746" priority="1444" operator="equal">
      <formula>"U/P"</formula>
    </cfRule>
  </conditionalFormatting>
  <conditionalFormatting sqref="H132">
    <cfRule type="cellIs" dxfId="2745" priority="2056" operator="equal">
      <formula>"F"</formula>
    </cfRule>
    <cfRule type="cellIs" dxfId="2744" priority="2055" operator="equal">
      <formula>"F"</formula>
    </cfRule>
    <cfRule type="cellIs" dxfId="2743" priority="2054" operator="equal">
      <formula>"U/P"</formula>
    </cfRule>
  </conditionalFormatting>
  <conditionalFormatting sqref="H141">
    <cfRule type="cellIs" dxfId="2742" priority="2037" operator="equal">
      <formula>"F"</formula>
    </cfRule>
    <cfRule type="cellIs" dxfId="2741" priority="2036" operator="equal">
      <formula>"U/P"</formula>
    </cfRule>
    <cfRule type="cellIs" dxfId="2740" priority="2038" operator="equal">
      <formula>"F"</formula>
    </cfRule>
  </conditionalFormatting>
  <conditionalFormatting sqref="H150">
    <cfRule type="cellIs" dxfId="2739" priority="1377" operator="equal">
      <formula>"F"</formula>
    </cfRule>
    <cfRule type="cellIs" dxfId="2738" priority="1375" operator="equal">
      <formula>"U/P"</formula>
    </cfRule>
    <cfRule type="cellIs" dxfId="2737" priority="1376" operator="equal">
      <formula>"F"</formula>
    </cfRule>
  </conditionalFormatting>
  <conditionalFormatting sqref="H159">
    <cfRule type="cellIs" dxfId="2736" priority="1341" operator="equal">
      <formula>"F"</formula>
    </cfRule>
    <cfRule type="cellIs" dxfId="2735" priority="1340" operator="equal">
      <formula>"F"</formula>
    </cfRule>
    <cfRule type="cellIs" dxfId="2734" priority="1339" operator="equal">
      <formula>"U/P"</formula>
    </cfRule>
  </conditionalFormatting>
  <conditionalFormatting sqref="H168">
    <cfRule type="cellIs" dxfId="2733" priority="9" operator="equal">
      <formula>"F"</formula>
    </cfRule>
    <cfRule type="cellIs" dxfId="2732" priority="8" operator="equal">
      <formula>"F"</formula>
    </cfRule>
    <cfRule type="cellIs" dxfId="2731" priority="7" operator="equal">
      <formula>"U/P"</formula>
    </cfRule>
  </conditionalFormatting>
  <conditionalFormatting sqref="H171">
    <cfRule type="cellIs" dxfId="2730" priority="506" operator="equal">
      <formula>0</formula>
    </cfRule>
  </conditionalFormatting>
  <conditionalFormatting sqref="H176">
    <cfRule type="cellIs" dxfId="2729" priority="1270" operator="equal">
      <formula>"U/P"</formula>
    </cfRule>
    <cfRule type="cellIs" dxfId="2728" priority="1271" operator="equal">
      <formula>"F"</formula>
    </cfRule>
    <cfRule type="cellIs" dxfId="2727" priority="1272" operator="equal">
      <formula>"F"</formula>
    </cfRule>
  </conditionalFormatting>
  <conditionalFormatting sqref="H185">
    <cfRule type="cellIs" dxfId="2726" priority="40" operator="equal">
      <formula>"U/P"</formula>
    </cfRule>
    <cfRule type="cellIs" dxfId="2725" priority="41" operator="equal">
      <formula>"F"</formula>
    </cfRule>
    <cfRule type="cellIs" dxfId="2724" priority="42" operator="equal">
      <formula>"F"</formula>
    </cfRule>
  </conditionalFormatting>
  <conditionalFormatting sqref="H194">
    <cfRule type="cellIs" dxfId="2723" priority="513" operator="equal">
      <formula>"U/P"</formula>
    </cfRule>
    <cfRule type="cellIs" dxfId="2722" priority="514" operator="equal">
      <formula>"F"</formula>
    </cfRule>
    <cfRule type="cellIs" dxfId="2721" priority="515" operator="equal">
      <formula>"F"</formula>
    </cfRule>
  </conditionalFormatting>
  <conditionalFormatting sqref="H210">
    <cfRule type="cellIs" dxfId="2720" priority="298" operator="equal">
      <formula>"U/P"</formula>
    </cfRule>
    <cfRule type="cellIs" dxfId="2719" priority="300" operator="equal">
      <formula>"F"</formula>
    </cfRule>
    <cfRule type="cellIs" dxfId="2718" priority="299" operator="equal">
      <formula>"F"</formula>
    </cfRule>
  </conditionalFormatting>
  <conditionalFormatting sqref="H226">
    <cfRule type="cellIs" dxfId="2717" priority="699" operator="equal">
      <formula>"F"</formula>
    </cfRule>
    <cfRule type="cellIs" dxfId="2716" priority="698" operator="equal">
      <formula>"F"</formula>
    </cfRule>
    <cfRule type="cellIs" dxfId="2715" priority="697" operator="equal">
      <formula>"U/P"</formula>
    </cfRule>
  </conditionalFormatting>
  <conditionalFormatting sqref="H235">
    <cfRule type="cellIs" dxfId="2714" priority="410" operator="equal">
      <formula>"F"</formula>
    </cfRule>
    <cfRule type="cellIs" dxfId="2713" priority="409" operator="equal">
      <formula>"U/P"</formula>
    </cfRule>
    <cfRule type="cellIs" dxfId="2712" priority="411" operator="equal">
      <formula>"F"</formula>
    </cfRule>
  </conditionalFormatting>
  <conditionalFormatting sqref="H244">
    <cfRule type="cellIs" dxfId="2711" priority="1080" operator="equal">
      <formula>"F"</formula>
    </cfRule>
    <cfRule type="cellIs" dxfId="2710" priority="1078" operator="equal">
      <formula>"U/P"</formula>
    </cfRule>
    <cfRule type="cellIs" dxfId="2709" priority="1079" operator="equal">
      <formula>"F"</formula>
    </cfRule>
  </conditionalFormatting>
  <conditionalFormatting sqref="H252">
    <cfRule type="cellIs" dxfId="2708" priority="1047" operator="equal">
      <formula>"F"</formula>
    </cfRule>
    <cfRule type="cellIs" dxfId="2707" priority="1046" operator="equal">
      <formula>"F"</formula>
    </cfRule>
    <cfRule type="cellIs" dxfId="2706" priority="1045" operator="equal">
      <formula>"U/P"</formula>
    </cfRule>
  </conditionalFormatting>
  <conditionalFormatting sqref="H260">
    <cfRule type="cellIs" dxfId="2705" priority="1004" operator="equal">
      <formula>"F"</formula>
    </cfRule>
    <cfRule type="cellIs" dxfId="2704" priority="1005" operator="equal">
      <formula>"F"</formula>
    </cfRule>
    <cfRule type="cellIs" dxfId="2703" priority="1003" operator="equal">
      <formula>"U/P"</formula>
    </cfRule>
  </conditionalFormatting>
  <conditionalFormatting sqref="H268">
    <cfRule type="cellIs" dxfId="2702" priority="121" operator="equal">
      <formula>"U/P"</formula>
    </cfRule>
    <cfRule type="cellIs" dxfId="2701" priority="122" operator="equal">
      <formula>"F"</formula>
    </cfRule>
    <cfRule type="cellIs" dxfId="2700" priority="123" operator="equal">
      <formula>"F"</formula>
    </cfRule>
  </conditionalFormatting>
  <conditionalFormatting sqref="H276">
    <cfRule type="cellIs" dxfId="2699" priority="119" operator="equal">
      <formula>"F"</formula>
    </cfRule>
    <cfRule type="cellIs" dxfId="2698" priority="118" operator="equal">
      <formula>"U/P"</formula>
    </cfRule>
    <cfRule type="cellIs" dxfId="2697" priority="120" operator="equal">
      <formula>"F"</formula>
    </cfRule>
  </conditionalFormatting>
  <conditionalFormatting sqref="H284">
    <cfRule type="cellIs" dxfId="2696" priority="878" operator="equal">
      <formula>"F"</formula>
    </cfRule>
    <cfRule type="cellIs" dxfId="2695" priority="877" operator="equal">
      <formula>"U/P"</formula>
    </cfRule>
    <cfRule type="cellIs" dxfId="2694" priority="879" operator="equal">
      <formula>"F"</formula>
    </cfRule>
  </conditionalFormatting>
  <conditionalFormatting sqref="H292">
    <cfRule type="cellIs" dxfId="2693" priority="622" operator="equal">
      <formula>"U/P"</formula>
    </cfRule>
    <cfRule type="cellIs" dxfId="2692" priority="623" operator="equal">
      <formula>"F"</formula>
    </cfRule>
    <cfRule type="cellIs" dxfId="2691" priority="624" operator="equal">
      <formula>"F"</formula>
    </cfRule>
  </conditionalFormatting>
  <conditionalFormatting sqref="H300">
    <cfRule type="cellIs" dxfId="2690" priority="464" operator="equal">
      <formula>"F"</formula>
    </cfRule>
    <cfRule type="cellIs" dxfId="2689" priority="465" operator="equal">
      <formula>"F"</formula>
    </cfRule>
    <cfRule type="cellIs" dxfId="2688" priority="463" operator="equal">
      <formula>"U/P"</formula>
    </cfRule>
  </conditionalFormatting>
  <conditionalFormatting sqref="H308">
    <cfRule type="cellIs" dxfId="2687" priority="788" operator="equal">
      <formula>"F"</formula>
    </cfRule>
    <cfRule type="cellIs" dxfId="2686" priority="789" operator="equal">
      <formula>"F"</formula>
    </cfRule>
    <cfRule type="cellIs" dxfId="2685" priority="787" operator="equal">
      <formula>"U/P"</formula>
    </cfRule>
  </conditionalFormatting>
  <conditionalFormatting sqref="H315">
    <cfRule type="cellIs" dxfId="2684" priority="733" operator="equal">
      <formula>"U/P"</formula>
    </cfRule>
    <cfRule type="cellIs" dxfId="2683" priority="735" operator="equal">
      <formula>"F"</formula>
    </cfRule>
    <cfRule type="cellIs" dxfId="2682" priority="734" operator="equal">
      <formula>"F"</formula>
    </cfRule>
  </conditionalFormatting>
  <conditionalFormatting sqref="H60:I60">
    <cfRule type="cellIs" dxfId="2681" priority="614" operator="equal">
      <formula>0</formula>
    </cfRule>
  </conditionalFormatting>
  <conditionalFormatting sqref="I107">
    <cfRule type="cellIs" dxfId="2680" priority="1508" operator="equal">
      <formula>"F"</formula>
    </cfRule>
    <cfRule type="cellIs" dxfId="2679" priority="1507" operator="equal">
      <formula>"U/P"</formula>
    </cfRule>
    <cfRule type="cellIs" dxfId="2678" priority="1509" operator="equal">
      <formula>"F"</formula>
    </cfRule>
  </conditionalFormatting>
  <conditionalFormatting sqref="J20">
    <cfRule type="cellIs" dxfId="2677" priority="1976" operator="equal">
      <formula>"F"</formula>
    </cfRule>
    <cfRule type="cellIs" dxfId="2676" priority="1975" operator="equal">
      <formula>"U/P"</formula>
    </cfRule>
    <cfRule type="cellIs" dxfId="2675" priority="1977" operator="equal">
      <formula>"F"</formula>
    </cfRule>
  </conditionalFormatting>
  <conditionalFormatting sqref="J27">
    <cfRule type="cellIs" dxfId="2674" priority="1933" operator="equal">
      <formula>"U/P"</formula>
    </cfRule>
    <cfRule type="cellIs" dxfId="2673" priority="1935" operator="equal">
      <formula>"F"</formula>
    </cfRule>
    <cfRule type="cellIs" dxfId="2672" priority="1934" operator="equal">
      <formula>"F"</formula>
    </cfRule>
  </conditionalFormatting>
  <conditionalFormatting sqref="J34">
    <cfRule type="cellIs" dxfId="2671" priority="1893" operator="equal">
      <formula>"F"</formula>
    </cfRule>
    <cfRule type="cellIs" dxfId="2670" priority="1892" operator="equal">
      <formula>"F"</formula>
    </cfRule>
    <cfRule type="cellIs" dxfId="2669" priority="1891" operator="equal">
      <formula>"U/P"</formula>
    </cfRule>
  </conditionalFormatting>
  <conditionalFormatting sqref="J41">
    <cfRule type="cellIs" dxfId="2668" priority="1850" operator="equal">
      <formula>"F"</formula>
    </cfRule>
    <cfRule type="cellIs" dxfId="2667" priority="1851" operator="equal">
      <formula>"F"</formula>
    </cfRule>
    <cfRule type="cellIs" dxfId="2666" priority="1849" operator="equal">
      <formula>"U/P"</formula>
    </cfRule>
  </conditionalFormatting>
  <conditionalFormatting sqref="J48">
    <cfRule type="cellIs" dxfId="2665" priority="1808" operator="equal">
      <formula>"F"</formula>
    </cfRule>
    <cfRule type="cellIs" dxfId="2664" priority="1807" operator="equal">
      <formula>"U/P"</formula>
    </cfRule>
    <cfRule type="cellIs" dxfId="2663" priority="1809" operator="equal">
      <formula>"F"</formula>
    </cfRule>
  </conditionalFormatting>
  <conditionalFormatting sqref="J57">
    <cfRule type="cellIs" dxfId="2662" priority="1767" operator="equal">
      <formula>"F"</formula>
    </cfRule>
    <cfRule type="cellIs" dxfId="2661" priority="1765" operator="equal">
      <formula>"U/P"</formula>
    </cfRule>
    <cfRule type="cellIs" dxfId="2660" priority="1766" operator="equal">
      <formula>"F"</formula>
    </cfRule>
  </conditionalFormatting>
  <conditionalFormatting sqref="J65">
    <cfRule type="cellIs" dxfId="2659" priority="1725" operator="equal">
      <formula>"F"</formula>
    </cfRule>
    <cfRule type="cellIs" dxfId="2658" priority="1724" operator="equal">
      <formula>"F"</formula>
    </cfRule>
    <cfRule type="cellIs" dxfId="2657" priority="1723" operator="equal">
      <formula>"U/P"</formula>
    </cfRule>
  </conditionalFormatting>
  <conditionalFormatting sqref="J73">
    <cfRule type="cellIs" dxfId="2656" priority="1683" operator="equal">
      <formula>"F"</formula>
    </cfRule>
    <cfRule type="cellIs" dxfId="2655" priority="1682" operator="equal">
      <formula>"F"</formula>
    </cfRule>
    <cfRule type="cellIs" dxfId="2654" priority="1681" operator="equal">
      <formula>"U/P"</formula>
    </cfRule>
  </conditionalFormatting>
  <conditionalFormatting sqref="J82">
    <cfRule type="cellIs" dxfId="2653" priority="394" operator="equal">
      <formula>"U/P"</formula>
    </cfRule>
    <cfRule type="cellIs" dxfId="2652" priority="395" operator="equal">
      <formula>"F"</formula>
    </cfRule>
    <cfRule type="cellIs" dxfId="2651" priority="396" operator="equal">
      <formula>"F"</formula>
    </cfRule>
  </conditionalFormatting>
  <conditionalFormatting sqref="J90">
    <cfRule type="cellIs" dxfId="2650" priority="1602" operator="equal">
      <formula>"F"</formula>
    </cfRule>
    <cfRule type="cellIs" dxfId="2649" priority="1601" operator="equal">
      <formula>"F"</formula>
    </cfRule>
    <cfRule type="cellIs" dxfId="2648" priority="1600" operator="equal">
      <formula>"U/P"</formula>
    </cfRule>
  </conditionalFormatting>
  <conditionalFormatting sqref="J99">
    <cfRule type="cellIs" dxfId="2647" priority="1556" operator="equal">
      <formula>"F"</formula>
    </cfRule>
    <cfRule type="cellIs" dxfId="2646" priority="1557" operator="equal">
      <formula>"F"</formula>
    </cfRule>
    <cfRule type="cellIs" dxfId="2645" priority="1555" operator="equal">
      <formula>"U/P"</formula>
    </cfRule>
  </conditionalFormatting>
  <conditionalFormatting sqref="J115">
    <cfRule type="cellIs" dxfId="2644" priority="1479" operator="equal">
      <formula>"F"</formula>
    </cfRule>
    <cfRule type="cellIs" dxfId="2643" priority="1477" operator="equal">
      <formula>"U/P"</formula>
    </cfRule>
    <cfRule type="cellIs" dxfId="2642" priority="1478" operator="equal">
      <formula>"F"</formula>
    </cfRule>
  </conditionalFormatting>
  <conditionalFormatting sqref="J123">
    <cfRule type="cellIs" dxfId="2641" priority="1443" operator="equal">
      <formula>"F"</formula>
    </cfRule>
    <cfRule type="cellIs" dxfId="2640" priority="1442" operator="equal">
      <formula>"F"</formula>
    </cfRule>
    <cfRule type="cellIs" dxfId="2639" priority="1441" operator="equal">
      <formula>"U/P"</formula>
    </cfRule>
  </conditionalFormatting>
  <conditionalFormatting sqref="J132">
    <cfRule type="cellIs" dxfId="2638" priority="50" operator="equal">
      <formula>"F"</formula>
    </cfRule>
    <cfRule type="cellIs" dxfId="2637" priority="51" operator="equal">
      <formula>"F"</formula>
    </cfRule>
    <cfRule type="cellIs" dxfId="2636" priority="49" operator="equal">
      <formula>"U/P"</formula>
    </cfRule>
  </conditionalFormatting>
  <conditionalFormatting sqref="J141">
    <cfRule type="cellIs" dxfId="2635" priority="555" operator="equal">
      <formula>"U/P"</formula>
    </cfRule>
    <cfRule type="cellIs" dxfId="2634" priority="557" operator="equal">
      <formula>"F"</formula>
    </cfRule>
    <cfRule type="cellIs" dxfId="2633" priority="556" operator="equal">
      <formula>"F"</formula>
    </cfRule>
  </conditionalFormatting>
  <conditionalFormatting sqref="J150">
    <cfRule type="cellIs" dxfId="2632" priority="1374" operator="equal">
      <formula>"F"</formula>
    </cfRule>
    <cfRule type="cellIs" dxfId="2631" priority="1372" operator="equal">
      <formula>"U/P"</formula>
    </cfRule>
    <cfRule type="cellIs" dxfId="2630" priority="1373" operator="equal">
      <formula>"F"</formula>
    </cfRule>
  </conditionalFormatting>
  <conditionalFormatting sqref="J159">
    <cfRule type="cellIs" dxfId="2629" priority="1337" operator="equal">
      <formula>"F"</formula>
    </cfRule>
    <cfRule type="cellIs" dxfId="2628" priority="1336" operator="equal">
      <formula>"U/P"</formula>
    </cfRule>
    <cfRule type="cellIs" dxfId="2627" priority="1338" operator="equal">
      <formula>"F"</formula>
    </cfRule>
  </conditionalFormatting>
  <conditionalFormatting sqref="J168">
    <cfRule type="cellIs" dxfId="2626" priority="1300" operator="equal">
      <formula>"U/P"</formula>
    </cfRule>
    <cfRule type="cellIs" dxfId="2625" priority="1301" operator="equal">
      <formula>"F"</formula>
    </cfRule>
    <cfRule type="cellIs" dxfId="2624" priority="1302" operator="equal">
      <formula>"F"</formula>
    </cfRule>
  </conditionalFormatting>
  <conditionalFormatting sqref="J176">
    <cfRule type="cellIs" dxfId="2623" priority="376" operator="equal">
      <formula>"U/P"</formula>
    </cfRule>
    <cfRule type="cellIs" dxfId="2622" priority="377" operator="equal">
      <formula>"F"</formula>
    </cfRule>
    <cfRule type="cellIs" dxfId="2621" priority="378" operator="equal">
      <formula>"F"</formula>
    </cfRule>
  </conditionalFormatting>
  <conditionalFormatting sqref="J185">
    <cfRule type="cellIs" dxfId="2620" priority="539" operator="equal">
      <formula>"F"</formula>
    </cfRule>
    <cfRule type="cellIs" dxfId="2619" priority="538" operator="equal">
      <formula>"F"</formula>
    </cfRule>
    <cfRule type="cellIs" dxfId="2618" priority="537" operator="equal">
      <formula>"U/P"</formula>
    </cfRule>
  </conditionalFormatting>
  <conditionalFormatting sqref="J194">
    <cfRule type="cellIs" dxfId="2617" priority="2019" operator="equal">
      <formula>"U/P"</formula>
    </cfRule>
    <cfRule type="cellIs" dxfId="2616" priority="2020" operator="equal">
      <formula>"F"</formula>
    </cfRule>
    <cfRule type="cellIs" dxfId="2615" priority="2021" operator="equal">
      <formula>"F"</formula>
    </cfRule>
  </conditionalFormatting>
  <conditionalFormatting sqref="J202">
    <cfRule type="cellIs" dxfId="2614" priority="1207" operator="equal">
      <formula>"U/P"</formula>
    </cfRule>
    <cfRule type="cellIs" dxfId="2613" priority="1208" operator="equal">
      <formula>"F"</formula>
    </cfRule>
    <cfRule type="cellIs" dxfId="2612" priority="1209" operator="equal">
      <formula>"F"</formula>
    </cfRule>
  </conditionalFormatting>
  <conditionalFormatting sqref="J210">
    <cfRule type="cellIs" dxfId="2611" priority="1989" operator="equal">
      <formula>"U/P"</formula>
    </cfRule>
    <cfRule type="cellIs" dxfId="2610" priority="1990" operator="equal">
      <formula>"F"</formula>
    </cfRule>
    <cfRule type="cellIs" dxfId="2609" priority="1991" operator="equal">
      <formula>"F"</formula>
    </cfRule>
  </conditionalFormatting>
  <conditionalFormatting sqref="J226">
    <cfRule type="cellIs" dxfId="2608" priority="693" operator="equal">
      <formula>"F"</formula>
    </cfRule>
    <cfRule type="cellIs" dxfId="2607" priority="692" operator="equal">
      <formula>"F"</formula>
    </cfRule>
    <cfRule type="cellIs" dxfId="2606" priority="691" operator="equal">
      <formula>"U/P"</formula>
    </cfRule>
  </conditionalFormatting>
  <conditionalFormatting sqref="J235">
    <cfRule type="cellIs" dxfId="2605" priority="499" operator="equal">
      <formula>"U/P"</formula>
    </cfRule>
    <cfRule type="cellIs" dxfId="2604" priority="500" operator="equal">
      <formula>"F"</formula>
    </cfRule>
    <cfRule type="cellIs" dxfId="2603" priority="501" operator="equal">
      <formula>"F"</formula>
    </cfRule>
  </conditionalFormatting>
  <conditionalFormatting sqref="J244">
    <cfRule type="cellIs" dxfId="2602" priority="639" operator="equal">
      <formula>"F"</formula>
    </cfRule>
    <cfRule type="cellIs" dxfId="2601" priority="638" operator="equal">
      <formula>"F"</formula>
    </cfRule>
    <cfRule type="cellIs" dxfId="2600" priority="637" operator="equal">
      <formula>"U/P"</formula>
    </cfRule>
  </conditionalFormatting>
  <conditionalFormatting sqref="J252">
    <cfRule type="cellIs" dxfId="2599" priority="1059" operator="equal">
      <formula>"F"</formula>
    </cfRule>
    <cfRule type="cellIs" dxfId="2598" priority="1058" operator="equal">
      <formula>"F"</formula>
    </cfRule>
    <cfRule type="cellIs" dxfId="2597" priority="1057" operator="equal">
      <formula>"U/P"</formula>
    </cfRule>
  </conditionalFormatting>
  <conditionalFormatting sqref="J268">
    <cfRule type="cellIs" dxfId="2596" priority="101" operator="equal">
      <formula>"F"</formula>
    </cfRule>
    <cfRule type="cellIs" dxfId="2595" priority="100" operator="equal">
      <formula>"U/P"</formula>
    </cfRule>
    <cfRule type="cellIs" dxfId="2594" priority="102" operator="equal">
      <formula>"F"</formula>
    </cfRule>
  </conditionalFormatting>
  <conditionalFormatting sqref="J276">
    <cfRule type="cellIs" dxfId="2593" priority="72" operator="equal">
      <formula>"F"</formula>
    </cfRule>
    <cfRule type="cellIs" dxfId="2592" priority="71" operator="equal">
      <formula>"F"</formula>
    </cfRule>
    <cfRule type="cellIs" dxfId="2591" priority="70" operator="equal">
      <formula>"U/P"</formula>
    </cfRule>
  </conditionalFormatting>
  <conditionalFormatting sqref="J284">
    <cfRule type="cellIs" dxfId="2590" priority="282" operator="equal">
      <formula>"F"</formula>
    </cfRule>
    <cfRule type="cellIs" dxfId="2589" priority="281" operator="equal">
      <formula>"F"</formula>
    </cfRule>
    <cfRule type="cellIs" dxfId="2588" priority="280" operator="equal">
      <formula>"U/P"</formula>
    </cfRule>
  </conditionalFormatting>
  <conditionalFormatting sqref="J292">
    <cfRule type="cellIs" dxfId="2587" priority="588" operator="equal">
      <formula>"F"</formula>
    </cfRule>
    <cfRule type="cellIs" dxfId="2586" priority="587" operator="equal">
      <formula>"F"</formula>
    </cfRule>
    <cfRule type="cellIs" dxfId="2585" priority="586" operator="equal">
      <formula>"U/P"</formula>
    </cfRule>
  </conditionalFormatting>
  <conditionalFormatting sqref="J300">
    <cfRule type="cellIs" dxfId="2584" priority="422" operator="equal">
      <formula>"F"</formula>
    </cfRule>
    <cfRule type="cellIs" dxfId="2583" priority="423" operator="equal">
      <formula>"F"</formula>
    </cfRule>
    <cfRule type="cellIs" dxfId="2582" priority="421" operator="equal">
      <formula>"U/P"</formula>
    </cfRule>
  </conditionalFormatting>
  <conditionalFormatting sqref="J308">
    <cfRule type="cellIs" dxfId="2581" priority="800" operator="equal">
      <formula>"F"</formula>
    </cfRule>
    <cfRule type="cellIs" dxfId="2580" priority="799" operator="equal">
      <formula>"U/P"</formula>
    </cfRule>
    <cfRule type="cellIs" dxfId="2579" priority="801" operator="equal">
      <formula>"F"</formula>
    </cfRule>
  </conditionalFormatting>
  <conditionalFormatting sqref="J315">
    <cfRule type="cellIs" dxfId="2578" priority="769" operator="equal">
      <formula>"U/P"</formula>
    </cfRule>
    <cfRule type="cellIs" dxfId="2577" priority="770" operator="equal">
      <formula>"F"</formula>
    </cfRule>
    <cfRule type="cellIs" dxfId="2576" priority="771" operator="equal">
      <formula>"F"</formula>
    </cfRule>
  </conditionalFormatting>
  <conditionalFormatting sqref="K107">
    <cfRule type="cellIs" dxfId="2575" priority="1506" operator="equal">
      <formula>"F"</formula>
    </cfRule>
    <cfRule type="cellIs" dxfId="2574" priority="1505" operator="equal">
      <formula>"F"</formula>
    </cfRule>
    <cfRule type="cellIs" dxfId="2573" priority="1504" operator="equal">
      <formula>"U/P"</formula>
    </cfRule>
  </conditionalFormatting>
  <conditionalFormatting sqref="L20">
    <cfRule type="cellIs" dxfId="2572" priority="1973" operator="equal">
      <formula>"F"</formula>
    </cfRule>
    <cfRule type="cellIs" dxfId="2571" priority="1972" operator="equal">
      <formula>"U/P"</formula>
    </cfRule>
    <cfRule type="cellIs" dxfId="2570" priority="1974" operator="equal">
      <formula>"F"</formula>
    </cfRule>
  </conditionalFormatting>
  <conditionalFormatting sqref="L27">
    <cfRule type="cellIs" dxfId="2569" priority="1932" operator="equal">
      <formula>"F"</formula>
    </cfRule>
    <cfRule type="cellIs" dxfId="2568" priority="1931" operator="equal">
      <formula>"F"</formula>
    </cfRule>
    <cfRule type="cellIs" dxfId="2567" priority="1930" operator="equal">
      <formula>"U/P"</formula>
    </cfRule>
  </conditionalFormatting>
  <conditionalFormatting sqref="L34">
    <cfRule type="cellIs" dxfId="2566" priority="1889" operator="equal">
      <formula>"F"</formula>
    </cfRule>
    <cfRule type="cellIs" dxfId="2565" priority="1888" operator="equal">
      <formula>"U/P"</formula>
    </cfRule>
    <cfRule type="cellIs" dxfId="2564" priority="1890" operator="equal">
      <formula>"F"</formula>
    </cfRule>
  </conditionalFormatting>
  <conditionalFormatting sqref="L41">
    <cfRule type="cellIs" dxfId="2563" priority="1848" operator="equal">
      <formula>"F"</formula>
    </cfRule>
    <cfRule type="cellIs" dxfId="2562" priority="1847" operator="equal">
      <formula>"F"</formula>
    </cfRule>
    <cfRule type="cellIs" dxfId="2561" priority="1846" operator="equal">
      <formula>"U/P"</formula>
    </cfRule>
  </conditionalFormatting>
  <conditionalFormatting sqref="L48">
    <cfRule type="cellIs" dxfId="2560" priority="1806" operator="equal">
      <formula>"F"</formula>
    </cfRule>
    <cfRule type="cellIs" dxfId="2559" priority="1805" operator="equal">
      <formula>"F"</formula>
    </cfRule>
    <cfRule type="cellIs" dxfId="2558" priority="1804" operator="equal">
      <formula>"U/P"</formula>
    </cfRule>
  </conditionalFormatting>
  <conditionalFormatting sqref="L57">
    <cfRule type="cellIs" dxfId="2557" priority="1764" operator="equal">
      <formula>"F"</formula>
    </cfRule>
    <cfRule type="cellIs" dxfId="2556" priority="1763" operator="equal">
      <formula>"F"</formula>
    </cfRule>
    <cfRule type="cellIs" dxfId="2555" priority="1762" operator="equal">
      <formula>"U/P"</formula>
    </cfRule>
  </conditionalFormatting>
  <conditionalFormatting sqref="L60">
    <cfRule type="cellIs" dxfId="2554" priority="615" operator="equal">
      <formula>0</formula>
    </cfRule>
  </conditionalFormatting>
  <conditionalFormatting sqref="L65">
    <cfRule type="cellIs" dxfId="2553" priority="1722" operator="equal">
      <formula>"F"</formula>
    </cfRule>
    <cfRule type="cellIs" dxfId="2552" priority="1721" operator="equal">
      <formula>"F"</formula>
    </cfRule>
    <cfRule type="cellIs" dxfId="2551" priority="1720" operator="equal">
      <formula>"U/P"</formula>
    </cfRule>
  </conditionalFormatting>
  <conditionalFormatting sqref="L73">
    <cfRule type="cellIs" dxfId="2550" priority="1678" operator="equal">
      <formula>"U/P"</formula>
    </cfRule>
    <cfRule type="cellIs" dxfId="2549" priority="1679" operator="equal">
      <formula>"F"</formula>
    </cfRule>
    <cfRule type="cellIs" dxfId="2548" priority="1680" operator="equal">
      <formula>"F"</formula>
    </cfRule>
  </conditionalFormatting>
  <conditionalFormatting sqref="L82">
    <cfRule type="cellIs" dxfId="2547" priority="1642" operator="equal">
      <formula>"U/P"</formula>
    </cfRule>
    <cfRule type="cellIs" dxfId="2546" priority="1643" operator="equal">
      <formula>"F"</formula>
    </cfRule>
    <cfRule type="cellIs" dxfId="2545" priority="1644" operator="equal">
      <formula>"F"</formula>
    </cfRule>
  </conditionalFormatting>
  <conditionalFormatting sqref="L90">
    <cfRule type="cellIs" dxfId="2544" priority="1599" operator="equal">
      <formula>"F"</formula>
    </cfRule>
    <cfRule type="cellIs" dxfId="2543" priority="1597" operator="equal">
      <formula>"U/P"</formula>
    </cfRule>
    <cfRule type="cellIs" dxfId="2542" priority="1598" operator="equal">
      <formula>"F"</formula>
    </cfRule>
  </conditionalFormatting>
  <conditionalFormatting sqref="L99">
    <cfRule type="cellIs" dxfId="2541" priority="619" operator="equal">
      <formula>"U/P"</formula>
    </cfRule>
    <cfRule type="cellIs" dxfId="2540" priority="620" operator="equal">
      <formula>"F"</formula>
    </cfRule>
    <cfRule type="cellIs" dxfId="2539" priority="621" operator="equal">
      <formula>"F"</formula>
    </cfRule>
  </conditionalFormatting>
  <conditionalFormatting sqref="L115">
    <cfRule type="cellIs" dxfId="2538" priority="1476" operator="equal">
      <formula>"F"</formula>
    </cfRule>
    <cfRule type="cellIs" dxfId="2537" priority="1475" operator="equal">
      <formula>"F"</formula>
    </cfRule>
    <cfRule type="cellIs" dxfId="2536" priority="1474" operator="equal">
      <formula>"U/P"</formula>
    </cfRule>
  </conditionalFormatting>
  <conditionalFormatting sqref="L123">
    <cfRule type="cellIs" dxfId="2535" priority="1438" operator="equal">
      <formula>"U/P"</formula>
    </cfRule>
    <cfRule type="cellIs" dxfId="2534" priority="1439" operator="equal">
      <formula>"F"</formula>
    </cfRule>
    <cfRule type="cellIs" dxfId="2533" priority="1440" operator="equal">
      <formula>"F"</formula>
    </cfRule>
  </conditionalFormatting>
  <conditionalFormatting sqref="L132">
    <cfRule type="cellIs" dxfId="2532" priority="142" operator="equal">
      <formula>"U/P"</formula>
    </cfRule>
    <cfRule type="cellIs" dxfId="2531" priority="143" operator="equal">
      <formula>"F"</formula>
    </cfRule>
    <cfRule type="cellIs" dxfId="2530" priority="144" operator="equal">
      <formula>"F"</formula>
    </cfRule>
  </conditionalFormatting>
  <conditionalFormatting sqref="L141">
    <cfRule type="cellIs" dxfId="2529" priority="1401" operator="equal">
      <formula>"F"</formula>
    </cfRule>
    <cfRule type="cellIs" dxfId="2528" priority="1399" operator="equal">
      <formula>"U/P"</formula>
    </cfRule>
    <cfRule type="cellIs" dxfId="2527" priority="1400" operator="equal">
      <formula>"F"</formula>
    </cfRule>
  </conditionalFormatting>
  <conditionalFormatting sqref="L150">
    <cfRule type="cellIs" dxfId="2526" priority="1369" operator="equal">
      <formula>"U/P"</formula>
    </cfRule>
    <cfRule type="cellIs" dxfId="2525" priority="1371" operator="equal">
      <formula>"F"</formula>
    </cfRule>
    <cfRule type="cellIs" dxfId="2524" priority="1370" operator="equal">
      <formula>"F"</formula>
    </cfRule>
  </conditionalFormatting>
  <conditionalFormatting sqref="L159">
    <cfRule type="cellIs" dxfId="2523" priority="1335" operator="equal">
      <formula>"F"</formula>
    </cfRule>
    <cfRule type="cellIs" dxfId="2522" priority="1333" operator="equal">
      <formula>"U/P"</formula>
    </cfRule>
    <cfRule type="cellIs" dxfId="2521" priority="1334" operator="equal">
      <formula>"F"</formula>
    </cfRule>
  </conditionalFormatting>
  <conditionalFormatting sqref="L168">
    <cfRule type="cellIs" dxfId="2520" priority="1297" operator="equal">
      <formula>"U/P"</formula>
    </cfRule>
    <cfRule type="cellIs" dxfId="2519" priority="1298" operator="equal">
      <formula>"F"</formula>
    </cfRule>
    <cfRule type="cellIs" dxfId="2518" priority="1299" operator="equal">
      <formula>"F"</formula>
    </cfRule>
  </conditionalFormatting>
  <conditionalFormatting sqref="L171 N171 P171 R171 V171 X171 Z171 AB171">
    <cfRule type="cellIs" dxfId="2517" priority="2023" operator="equal">
      <formula>0</formula>
    </cfRule>
  </conditionalFormatting>
  <conditionalFormatting sqref="L176">
    <cfRule type="cellIs" dxfId="2516" priority="1269" operator="equal">
      <formula>"F"</formula>
    </cfRule>
    <cfRule type="cellIs" dxfId="2515" priority="1268" operator="equal">
      <formula>"F"</formula>
    </cfRule>
    <cfRule type="cellIs" dxfId="2514" priority="1267" operator="equal">
      <formula>"U/P"</formula>
    </cfRule>
  </conditionalFormatting>
  <conditionalFormatting sqref="L185">
    <cfRule type="cellIs" dxfId="2513" priority="1244" operator="equal">
      <formula>"F"</formula>
    </cfRule>
    <cfRule type="cellIs" dxfId="2512" priority="1245" operator="equal">
      <formula>"F"</formula>
    </cfRule>
    <cfRule type="cellIs" dxfId="2511" priority="1243" operator="equal">
      <formula>"U/P"</formula>
    </cfRule>
  </conditionalFormatting>
  <conditionalFormatting sqref="L194">
    <cfRule type="cellIs" dxfId="2510" priority="2018" operator="equal">
      <formula>"F"</formula>
    </cfRule>
    <cfRule type="cellIs" dxfId="2509" priority="2017" operator="equal">
      <formula>"F"</formula>
    </cfRule>
    <cfRule type="cellIs" dxfId="2508" priority="2016" operator="equal">
      <formula>"U/P"</formula>
    </cfRule>
  </conditionalFormatting>
  <conditionalFormatting sqref="L202">
    <cfRule type="cellIs" dxfId="2507" priority="1204" operator="equal">
      <formula>"U/P"</formula>
    </cfRule>
    <cfRule type="cellIs" dxfId="2506" priority="1205" operator="equal">
      <formula>"F"</formula>
    </cfRule>
    <cfRule type="cellIs" dxfId="2505" priority="1206" operator="equal">
      <formula>"F"</formula>
    </cfRule>
  </conditionalFormatting>
  <conditionalFormatting sqref="L210">
    <cfRule type="cellIs" dxfId="2504" priority="679" operator="equal">
      <formula>"U/P"</formula>
    </cfRule>
    <cfRule type="cellIs" dxfId="2503" priority="680" operator="equal">
      <formula>"F"</formula>
    </cfRule>
    <cfRule type="cellIs" dxfId="2502" priority="681" operator="equal">
      <formula>"F"</formula>
    </cfRule>
  </conditionalFormatting>
  <conditionalFormatting sqref="L218">
    <cfRule type="cellIs" dxfId="2501" priority="646" operator="equal">
      <formula>"U/P"</formula>
    </cfRule>
    <cfRule type="cellIs" dxfId="2500" priority="647" operator="equal">
      <formula>"F"</formula>
    </cfRule>
    <cfRule type="cellIs" dxfId="2499" priority="648" operator="equal">
      <formula>"F"</formula>
    </cfRule>
  </conditionalFormatting>
  <conditionalFormatting sqref="L226">
    <cfRule type="cellIs" dxfId="2498" priority="677" operator="equal">
      <formula>"F"</formula>
    </cfRule>
    <cfRule type="cellIs" dxfId="2497" priority="676" operator="equal">
      <formula>"U/P"</formula>
    </cfRule>
    <cfRule type="cellIs" dxfId="2496" priority="678" operator="equal">
      <formula>"F"</formula>
    </cfRule>
  </conditionalFormatting>
  <conditionalFormatting sqref="L235">
    <cfRule type="cellIs" dxfId="2495" priority="469" operator="equal">
      <formula>"U/P"</formula>
    </cfRule>
    <cfRule type="cellIs" dxfId="2494" priority="470" operator="equal">
      <formula>"F"</formula>
    </cfRule>
    <cfRule type="cellIs" dxfId="2493" priority="471" operator="equal">
      <formula>"F"</formula>
    </cfRule>
  </conditionalFormatting>
  <conditionalFormatting sqref="L244">
    <cfRule type="cellIs" dxfId="2492" priority="1077" operator="equal">
      <formula>"F"</formula>
    </cfRule>
    <cfRule type="cellIs" dxfId="2491" priority="1075" operator="equal">
      <formula>"U/P"</formula>
    </cfRule>
    <cfRule type="cellIs" dxfId="2490" priority="1076" operator="equal">
      <formula>"F"</formula>
    </cfRule>
  </conditionalFormatting>
  <conditionalFormatting sqref="L252">
    <cfRule type="cellIs" dxfId="2489" priority="1044" operator="equal">
      <formula>"F"</formula>
    </cfRule>
    <cfRule type="cellIs" dxfId="2488" priority="1042" operator="equal">
      <formula>"U/P"</formula>
    </cfRule>
    <cfRule type="cellIs" dxfId="2487" priority="1043" operator="equal">
      <formula>"F"</formula>
    </cfRule>
  </conditionalFormatting>
  <conditionalFormatting sqref="L260">
    <cfRule type="cellIs" dxfId="2486" priority="1000" operator="equal">
      <formula>"U/P"</formula>
    </cfRule>
    <cfRule type="cellIs" dxfId="2485" priority="1002" operator="equal">
      <formula>"F"</formula>
    </cfRule>
    <cfRule type="cellIs" dxfId="2484" priority="1001" operator="equal">
      <formula>"F"</formula>
    </cfRule>
  </conditionalFormatting>
  <conditionalFormatting sqref="L268">
    <cfRule type="cellIs" dxfId="2483" priority="132" operator="equal">
      <formula>"F"</formula>
    </cfRule>
    <cfRule type="cellIs" dxfId="2482" priority="131" operator="equal">
      <formula>"F"</formula>
    </cfRule>
    <cfRule type="cellIs" dxfId="2481" priority="130" operator="equal">
      <formula>"U/P"</formula>
    </cfRule>
  </conditionalFormatting>
  <conditionalFormatting sqref="L276">
    <cfRule type="cellIs" dxfId="2480" priority="917" operator="equal">
      <formula>"F"</formula>
    </cfRule>
    <cfRule type="cellIs" dxfId="2479" priority="916" operator="equal">
      <formula>"U/P"</formula>
    </cfRule>
    <cfRule type="cellIs" dxfId="2478" priority="918" operator="equal">
      <formula>"F"</formula>
    </cfRule>
  </conditionalFormatting>
  <conditionalFormatting sqref="L284">
    <cfRule type="cellIs" dxfId="2477" priority="308" operator="equal">
      <formula>"F"</formula>
    </cfRule>
    <cfRule type="cellIs" dxfId="2476" priority="309" operator="equal">
      <formula>"F"</formula>
    </cfRule>
    <cfRule type="cellIs" dxfId="2475" priority="307" operator="equal">
      <formula>"U/P"</formula>
    </cfRule>
  </conditionalFormatting>
  <conditionalFormatting sqref="L292">
    <cfRule type="cellIs" dxfId="2474" priority="628" operator="equal">
      <formula>"U/P"</formula>
    </cfRule>
    <cfRule type="cellIs" dxfId="2473" priority="629" operator="equal">
      <formula>"F"</formula>
    </cfRule>
    <cfRule type="cellIs" dxfId="2472" priority="630" operator="equal">
      <formula>"F"</formula>
    </cfRule>
  </conditionalFormatting>
  <conditionalFormatting sqref="L300">
    <cfRule type="cellIs" dxfId="2471" priority="380" operator="equal">
      <formula>"F"</formula>
    </cfRule>
    <cfRule type="cellIs" dxfId="2470" priority="381" operator="equal">
      <formula>"F"</formula>
    </cfRule>
    <cfRule type="cellIs" dxfId="2469" priority="379" operator="equal">
      <formula>"U/P"</formula>
    </cfRule>
  </conditionalFormatting>
  <conditionalFormatting sqref="L308">
    <cfRule type="cellIs" dxfId="2468" priority="786" operator="equal">
      <formula>"F"</formula>
    </cfRule>
    <cfRule type="cellIs" dxfId="2467" priority="784" operator="equal">
      <formula>"U/P"</formula>
    </cfRule>
    <cfRule type="cellIs" dxfId="2466" priority="785" operator="equal">
      <formula>"F"</formula>
    </cfRule>
  </conditionalFormatting>
  <conditionalFormatting sqref="L315">
    <cfRule type="cellIs" dxfId="2465" priority="761" operator="equal">
      <formula>"F"</formula>
    </cfRule>
    <cfRule type="cellIs" dxfId="2464" priority="762" operator="equal">
      <formula>"F"</formula>
    </cfRule>
    <cfRule type="cellIs" dxfId="2463" priority="760" operator="equal">
      <formula>"U/P"</formula>
    </cfRule>
  </conditionalFormatting>
  <conditionalFormatting sqref="M107">
    <cfRule type="cellIs" dxfId="2462" priority="1503" operator="equal">
      <formula>"F"</formula>
    </cfRule>
    <cfRule type="cellIs" dxfId="2461" priority="1502" operator="equal">
      <formula>"F"</formula>
    </cfRule>
    <cfRule type="cellIs" dxfId="2460" priority="1501" operator="equal">
      <formula>"U/P"</formula>
    </cfRule>
  </conditionalFormatting>
  <conditionalFormatting sqref="M213">
    <cfRule type="cellIs" dxfId="2459" priority="441" operator="equal">
      <formula>"F"</formula>
    </cfRule>
    <cfRule type="cellIs" dxfId="2458" priority="440" operator="equal">
      <formula>"F"</formula>
    </cfRule>
    <cfRule type="cellIs" dxfId="2457" priority="439" operator="equal">
      <formula>"U/P"</formula>
    </cfRule>
  </conditionalFormatting>
  <conditionalFormatting sqref="N20">
    <cfRule type="cellIs" dxfId="2456" priority="1970" operator="equal">
      <formula>"F"</formula>
    </cfRule>
    <cfRule type="cellIs" dxfId="2455" priority="1971" operator="equal">
      <formula>"F"</formula>
    </cfRule>
    <cfRule type="cellIs" dxfId="2454" priority="1969" operator="equal">
      <formula>"U/P"</formula>
    </cfRule>
  </conditionalFormatting>
  <conditionalFormatting sqref="N27">
    <cfRule type="cellIs" dxfId="2453" priority="1928" operator="equal">
      <formula>"F"</formula>
    </cfRule>
    <cfRule type="cellIs" dxfId="2452" priority="1927" operator="equal">
      <formula>"U/P"</formula>
    </cfRule>
    <cfRule type="cellIs" dxfId="2451" priority="1929" operator="equal">
      <formula>"F"</formula>
    </cfRule>
  </conditionalFormatting>
  <conditionalFormatting sqref="N34">
    <cfRule type="cellIs" dxfId="2450" priority="1885" operator="equal">
      <formula>"U/P"</formula>
    </cfRule>
    <cfRule type="cellIs" dxfId="2449" priority="1887" operator="equal">
      <formula>"F"</formula>
    </cfRule>
    <cfRule type="cellIs" dxfId="2448" priority="1886" operator="equal">
      <formula>"F"</formula>
    </cfRule>
  </conditionalFormatting>
  <conditionalFormatting sqref="N41">
    <cfRule type="cellIs" dxfId="2447" priority="1844" operator="equal">
      <formula>"F"</formula>
    </cfRule>
    <cfRule type="cellIs" dxfId="2446" priority="1843" operator="equal">
      <formula>"U/P"</formula>
    </cfRule>
    <cfRule type="cellIs" dxfId="2445" priority="1845" operator="equal">
      <formula>"F"</formula>
    </cfRule>
  </conditionalFormatting>
  <conditionalFormatting sqref="N48">
    <cfRule type="cellIs" dxfId="2444" priority="1801" operator="equal">
      <formula>"U/P"</formula>
    </cfRule>
    <cfRule type="cellIs" dxfId="2443" priority="1803" operator="equal">
      <formula>"F"</formula>
    </cfRule>
    <cfRule type="cellIs" dxfId="2442" priority="1802" operator="equal">
      <formula>"F"</formula>
    </cfRule>
  </conditionalFormatting>
  <conditionalFormatting sqref="N57">
    <cfRule type="cellIs" dxfId="2441" priority="1761" operator="equal">
      <formula>"F"</formula>
    </cfRule>
    <cfRule type="cellIs" dxfId="2440" priority="1759" operator="equal">
      <formula>"U/P"</formula>
    </cfRule>
    <cfRule type="cellIs" dxfId="2439" priority="1760" operator="equal">
      <formula>"F"</formula>
    </cfRule>
  </conditionalFormatting>
  <conditionalFormatting sqref="N65">
    <cfRule type="cellIs" dxfId="2438" priority="1717" operator="equal">
      <formula>"U/P"</formula>
    </cfRule>
    <cfRule type="cellIs" dxfId="2437" priority="1718" operator="equal">
      <formula>"F"</formula>
    </cfRule>
    <cfRule type="cellIs" dxfId="2436" priority="1719" operator="equal">
      <formula>"F"</formula>
    </cfRule>
  </conditionalFormatting>
  <conditionalFormatting sqref="N73">
    <cfRule type="cellIs" dxfId="2435" priority="1676" operator="equal">
      <formula>"F"</formula>
    </cfRule>
    <cfRule type="cellIs" dxfId="2434" priority="1675" operator="equal">
      <formula>"U/P"</formula>
    </cfRule>
    <cfRule type="cellIs" dxfId="2433" priority="1677" operator="equal">
      <formula>"F"</formula>
    </cfRule>
  </conditionalFormatting>
  <conditionalFormatting sqref="N82">
    <cfRule type="cellIs" dxfId="2432" priority="1639" operator="equal">
      <formula>"U/P"</formula>
    </cfRule>
    <cfRule type="cellIs" dxfId="2431" priority="1640" operator="equal">
      <formula>"F"</formula>
    </cfRule>
    <cfRule type="cellIs" dxfId="2430" priority="1641" operator="equal">
      <formula>"F"</formula>
    </cfRule>
  </conditionalFormatting>
  <conditionalFormatting sqref="N90">
    <cfRule type="cellIs" dxfId="2429" priority="1596" operator="equal">
      <formula>"F"</formula>
    </cfRule>
    <cfRule type="cellIs" dxfId="2428" priority="1595" operator="equal">
      <formula>"F"</formula>
    </cfRule>
    <cfRule type="cellIs" dxfId="2427" priority="1594" operator="equal">
      <formula>"U/P"</formula>
    </cfRule>
  </conditionalFormatting>
  <conditionalFormatting sqref="N99">
    <cfRule type="cellIs" dxfId="2426" priority="1552" operator="equal">
      <formula>"U/P"</formula>
    </cfRule>
    <cfRule type="cellIs" dxfId="2425" priority="1553" operator="equal">
      <formula>"F"</formula>
    </cfRule>
    <cfRule type="cellIs" dxfId="2424" priority="1554" operator="equal">
      <formula>"F"</formula>
    </cfRule>
  </conditionalFormatting>
  <conditionalFormatting sqref="N115">
    <cfRule type="cellIs" dxfId="2423" priority="1472" operator="equal">
      <formula>"F"</formula>
    </cfRule>
    <cfRule type="cellIs" dxfId="2422" priority="1473" operator="equal">
      <formula>"F"</formula>
    </cfRule>
    <cfRule type="cellIs" dxfId="2421" priority="1471" operator="equal">
      <formula>"U/P"</formula>
    </cfRule>
  </conditionalFormatting>
  <conditionalFormatting sqref="N123">
    <cfRule type="cellIs" dxfId="2420" priority="564" operator="equal">
      <formula>"U/P"</formula>
    </cfRule>
    <cfRule type="cellIs" dxfId="2419" priority="565" operator="equal">
      <formula>"F"</formula>
    </cfRule>
    <cfRule type="cellIs" dxfId="2418" priority="566" operator="equal">
      <formula>"F"</formula>
    </cfRule>
  </conditionalFormatting>
  <conditionalFormatting sqref="N132">
    <cfRule type="cellIs" dxfId="2417" priority="2052" operator="equal">
      <formula>"F"</formula>
    </cfRule>
    <cfRule type="cellIs" dxfId="2416" priority="2051" operator="equal">
      <formula>"U/P"</formula>
    </cfRule>
    <cfRule type="cellIs" dxfId="2415" priority="2053" operator="equal">
      <formula>"F"</formula>
    </cfRule>
  </conditionalFormatting>
  <conditionalFormatting sqref="N141">
    <cfRule type="cellIs" dxfId="2414" priority="1397" operator="equal">
      <formula>"F"</formula>
    </cfRule>
    <cfRule type="cellIs" dxfId="2413" priority="1398" operator="equal">
      <formula>"F"</formula>
    </cfRule>
    <cfRule type="cellIs" dxfId="2412" priority="1396" operator="equal">
      <formula>"U/P"</formula>
    </cfRule>
  </conditionalFormatting>
  <conditionalFormatting sqref="N150">
    <cfRule type="cellIs" dxfId="2411" priority="1367" operator="equal">
      <formula>"F"</formula>
    </cfRule>
    <cfRule type="cellIs" dxfId="2410" priority="1368" operator="equal">
      <formula>"F"</formula>
    </cfRule>
    <cfRule type="cellIs" dxfId="2409" priority="1366" operator="equal">
      <formula>"U/P"</formula>
    </cfRule>
  </conditionalFormatting>
  <conditionalFormatting sqref="N159">
    <cfRule type="cellIs" dxfId="2408" priority="1330" operator="equal">
      <formula>"U/P"</formula>
    </cfRule>
    <cfRule type="cellIs" dxfId="2407" priority="1332" operator="equal">
      <formula>"F"</formula>
    </cfRule>
    <cfRule type="cellIs" dxfId="2406" priority="1331" operator="equal">
      <formula>"F"</formula>
    </cfRule>
  </conditionalFormatting>
  <conditionalFormatting sqref="N168">
    <cfRule type="cellIs" dxfId="2405" priority="604" operator="equal">
      <formula>"U/P"</formula>
    </cfRule>
    <cfRule type="cellIs" dxfId="2404" priority="605" operator="equal">
      <formula>"F"</formula>
    </cfRule>
    <cfRule type="cellIs" dxfId="2403" priority="606" operator="equal">
      <formula>"F"</formula>
    </cfRule>
  </conditionalFormatting>
  <conditionalFormatting sqref="N176">
    <cfRule type="cellIs" dxfId="2402" priority="1264" operator="equal">
      <formula>"U/P"</formula>
    </cfRule>
    <cfRule type="cellIs" dxfId="2401" priority="1265" operator="equal">
      <formula>"F"</formula>
    </cfRule>
    <cfRule type="cellIs" dxfId="2400" priority="1266" operator="equal">
      <formula>"F"</formula>
    </cfRule>
  </conditionalFormatting>
  <conditionalFormatting sqref="N185">
    <cfRule type="cellIs" dxfId="2399" priority="640" operator="equal">
      <formula>"U/P"</formula>
    </cfRule>
    <cfRule type="cellIs" dxfId="2398" priority="641" operator="equal">
      <formula>"F"</formula>
    </cfRule>
    <cfRule type="cellIs" dxfId="2397" priority="642" operator="equal">
      <formula>"F"</formula>
    </cfRule>
  </conditionalFormatting>
  <conditionalFormatting sqref="N194">
    <cfRule type="cellIs" dxfId="2396" priority="204" operator="equal">
      <formula>"F"</formula>
    </cfRule>
    <cfRule type="cellIs" dxfId="2395" priority="203" operator="equal">
      <formula>"F"</formula>
    </cfRule>
    <cfRule type="cellIs" dxfId="2394" priority="202" operator="equal">
      <formula>"U/P"</formula>
    </cfRule>
  </conditionalFormatting>
  <conditionalFormatting sqref="N202">
    <cfRule type="cellIs" dxfId="2393" priority="359" operator="equal">
      <formula>"F"</formula>
    </cfRule>
    <cfRule type="cellIs" dxfId="2392" priority="358" operator="equal">
      <formula>"U/P"</formula>
    </cfRule>
    <cfRule type="cellIs" dxfId="2391" priority="360" operator="equal">
      <formula>"F"</formula>
    </cfRule>
  </conditionalFormatting>
  <conditionalFormatting sqref="N210">
    <cfRule type="cellIs" dxfId="2390" priority="1197" operator="equal">
      <formula>"F"</formula>
    </cfRule>
    <cfRule type="cellIs" dxfId="2389" priority="1196" operator="equal">
      <formula>"F"</formula>
    </cfRule>
    <cfRule type="cellIs" dxfId="2388" priority="1195" operator="equal">
      <formula>"U/P"</formula>
    </cfRule>
  </conditionalFormatting>
  <conditionalFormatting sqref="N226">
    <cfRule type="cellIs" dxfId="2387" priority="688" operator="equal">
      <formula>"U/P"</formula>
    </cfRule>
    <cfRule type="cellIs" dxfId="2386" priority="689" operator="equal">
      <formula>"F"</formula>
    </cfRule>
    <cfRule type="cellIs" dxfId="2385" priority="690" operator="equal">
      <formula>"F"</formula>
    </cfRule>
  </conditionalFormatting>
  <conditionalFormatting sqref="N235">
    <cfRule type="cellIs" dxfId="2384" priority="384" operator="equal">
      <formula>"F"</formula>
    </cfRule>
    <cfRule type="cellIs" dxfId="2383" priority="382" operator="equal">
      <formula>"U/P"</formula>
    </cfRule>
    <cfRule type="cellIs" dxfId="2382" priority="383" operator="equal">
      <formula>"F"</formula>
    </cfRule>
  </conditionalFormatting>
  <conditionalFormatting sqref="N244">
    <cfRule type="cellIs" dxfId="2381" priority="1074" operator="equal">
      <formula>"F"</formula>
    </cfRule>
    <cfRule type="cellIs" dxfId="2380" priority="1073" operator="equal">
      <formula>"F"</formula>
    </cfRule>
    <cfRule type="cellIs" dxfId="2379" priority="1072" operator="equal">
      <formula>"U/P"</formula>
    </cfRule>
  </conditionalFormatting>
  <conditionalFormatting sqref="N252">
    <cfRule type="cellIs" dxfId="2378" priority="177" operator="equal">
      <formula>"F"</formula>
    </cfRule>
    <cfRule type="cellIs" dxfId="2377" priority="176" operator="equal">
      <formula>"F"</formula>
    </cfRule>
    <cfRule type="cellIs" dxfId="2376" priority="175" operator="equal">
      <formula>"U/P"</formula>
    </cfRule>
  </conditionalFormatting>
  <conditionalFormatting sqref="N268">
    <cfRule type="cellIs" dxfId="2375" priority="147" operator="equal">
      <formula>"F"</formula>
    </cfRule>
    <cfRule type="cellIs" dxfId="2374" priority="146" operator="equal">
      <formula>"F"</formula>
    </cfRule>
    <cfRule type="cellIs" dxfId="2373" priority="145" operator="equal">
      <formula>"U/P"</formula>
    </cfRule>
  </conditionalFormatting>
  <conditionalFormatting sqref="N276">
    <cfRule type="cellIs" dxfId="2372" priority="163" operator="equal">
      <formula>"U/P"</formula>
    </cfRule>
    <cfRule type="cellIs" dxfId="2371" priority="164" operator="equal">
      <formula>"F"</formula>
    </cfRule>
    <cfRule type="cellIs" dxfId="2370" priority="165" operator="equal">
      <formula>"F"</formula>
    </cfRule>
  </conditionalFormatting>
  <conditionalFormatting sqref="N284">
    <cfRule type="cellIs" dxfId="2369" priority="873" operator="equal">
      <formula>"F"</formula>
    </cfRule>
    <cfRule type="cellIs" dxfId="2368" priority="872" operator="equal">
      <formula>"F"</formula>
    </cfRule>
    <cfRule type="cellIs" dxfId="2367" priority="871" operator="equal">
      <formula>"U/P"</formula>
    </cfRule>
  </conditionalFormatting>
  <conditionalFormatting sqref="N292">
    <cfRule type="cellIs" dxfId="2366" priority="591" operator="equal">
      <formula>"F"</formula>
    </cfRule>
    <cfRule type="cellIs" dxfId="2365" priority="590" operator="equal">
      <formula>"F"</formula>
    </cfRule>
    <cfRule type="cellIs" dxfId="2364" priority="589" operator="equal">
      <formula>"U/P"</formula>
    </cfRule>
  </conditionalFormatting>
  <conditionalFormatting sqref="N300">
    <cfRule type="cellIs" dxfId="2363" priority="364" operator="equal">
      <formula>"U/P"</formula>
    </cfRule>
    <cfRule type="cellIs" dxfId="2362" priority="365" operator="equal">
      <formula>"F"</formula>
    </cfRule>
    <cfRule type="cellIs" dxfId="2361" priority="366" operator="equal">
      <formula>"F"</formula>
    </cfRule>
  </conditionalFormatting>
  <conditionalFormatting sqref="N308">
    <cfRule type="cellIs" dxfId="2360" priority="782" operator="equal">
      <formula>"F"</formula>
    </cfRule>
    <cfRule type="cellIs" dxfId="2359" priority="783" operator="equal">
      <formula>"F"</formula>
    </cfRule>
    <cfRule type="cellIs" dxfId="2358" priority="781" operator="equal">
      <formula>"U/P"</formula>
    </cfRule>
  </conditionalFormatting>
  <conditionalFormatting sqref="N315">
    <cfRule type="cellIs" dxfId="2357" priority="757" operator="equal">
      <formula>"U/P"</formula>
    </cfRule>
    <cfRule type="cellIs" dxfId="2356" priority="758" operator="equal">
      <formula>"F"</formula>
    </cfRule>
    <cfRule type="cellIs" dxfId="2355" priority="759" operator="equal">
      <formula>"F"</formula>
    </cfRule>
  </conditionalFormatting>
  <conditionalFormatting sqref="O107">
    <cfRule type="cellIs" dxfId="2354" priority="1500" operator="equal">
      <formula>"F"</formula>
    </cfRule>
    <cfRule type="cellIs" dxfId="2353" priority="1499" operator="equal">
      <formula>"F"</formula>
    </cfRule>
    <cfRule type="cellIs" dxfId="2352" priority="1498" operator="equal">
      <formula>"U/P"</formula>
    </cfRule>
  </conditionalFormatting>
  <conditionalFormatting sqref="P20">
    <cfRule type="cellIs" dxfId="2351" priority="1967" operator="equal">
      <formula>"F"</formula>
    </cfRule>
    <cfRule type="cellIs" dxfId="2350" priority="1966" operator="equal">
      <formula>"U/P"</formula>
    </cfRule>
    <cfRule type="cellIs" dxfId="2349" priority="1968" operator="equal">
      <formula>"F"</formula>
    </cfRule>
  </conditionalFormatting>
  <conditionalFormatting sqref="P27">
    <cfRule type="cellIs" dxfId="2348" priority="1924" operator="equal">
      <formula>"U/P"</formula>
    </cfRule>
    <cfRule type="cellIs" dxfId="2347" priority="1925" operator="equal">
      <formula>"F"</formula>
    </cfRule>
    <cfRule type="cellIs" dxfId="2346" priority="1926" operator="equal">
      <formula>"F"</formula>
    </cfRule>
  </conditionalFormatting>
  <conditionalFormatting sqref="P34">
    <cfRule type="cellIs" dxfId="2345" priority="1884" operator="equal">
      <formula>"F"</formula>
    </cfRule>
    <cfRule type="cellIs" dxfId="2344" priority="1882" operator="equal">
      <formula>"U/P"</formula>
    </cfRule>
    <cfRule type="cellIs" dxfId="2343" priority="1883" operator="equal">
      <formula>"F"</formula>
    </cfRule>
  </conditionalFormatting>
  <conditionalFormatting sqref="P41">
    <cfRule type="cellIs" dxfId="2342" priority="1842" operator="equal">
      <formula>"F"</formula>
    </cfRule>
    <cfRule type="cellIs" dxfId="2341" priority="1841" operator="equal">
      <formula>"F"</formula>
    </cfRule>
    <cfRule type="cellIs" dxfId="2340" priority="1840" operator="equal">
      <formula>"U/P"</formula>
    </cfRule>
  </conditionalFormatting>
  <conditionalFormatting sqref="P48">
    <cfRule type="cellIs" dxfId="2339" priority="1798" operator="equal">
      <formula>"U/P"</formula>
    </cfRule>
    <cfRule type="cellIs" dxfId="2338" priority="1800" operator="equal">
      <formula>"F"</formula>
    </cfRule>
    <cfRule type="cellIs" dxfId="2337" priority="1799" operator="equal">
      <formula>"F"</formula>
    </cfRule>
  </conditionalFormatting>
  <conditionalFormatting sqref="P57">
    <cfRule type="cellIs" dxfId="2336" priority="1758" operator="equal">
      <formula>"F"</formula>
    </cfRule>
    <cfRule type="cellIs" dxfId="2335" priority="1757" operator="equal">
      <formula>"F"</formula>
    </cfRule>
    <cfRule type="cellIs" dxfId="2334" priority="1756" operator="equal">
      <formula>"U/P"</formula>
    </cfRule>
  </conditionalFormatting>
  <conditionalFormatting sqref="P65">
    <cfRule type="cellIs" dxfId="2333" priority="1714" operator="equal">
      <formula>"U/P"</formula>
    </cfRule>
    <cfRule type="cellIs" dxfId="2332" priority="1715" operator="equal">
      <formula>"F"</formula>
    </cfRule>
    <cfRule type="cellIs" dxfId="2331" priority="1716" operator="equal">
      <formula>"F"</formula>
    </cfRule>
  </conditionalFormatting>
  <conditionalFormatting sqref="P73">
    <cfRule type="cellIs" dxfId="2330" priority="1674" operator="equal">
      <formula>"F"</formula>
    </cfRule>
    <cfRule type="cellIs" dxfId="2329" priority="1673" operator="equal">
      <formula>"F"</formula>
    </cfRule>
    <cfRule type="cellIs" dxfId="2328" priority="1672" operator="equal">
      <formula>"U/P"</formula>
    </cfRule>
  </conditionalFormatting>
  <conditionalFormatting sqref="P82">
    <cfRule type="cellIs" dxfId="2327" priority="1634" operator="equal">
      <formula>"F"</formula>
    </cfRule>
    <cfRule type="cellIs" dxfId="2326" priority="1635" operator="equal">
      <formula>"F"</formula>
    </cfRule>
    <cfRule type="cellIs" dxfId="2325" priority="1633" operator="equal">
      <formula>"U/P"</formula>
    </cfRule>
  </conditionalFormatting>
  <conditionalFormatting sqref="P90">
    <cfRule type="cellIs" dxfId="2324" priority="1593" operator="equal">
      <formula>"F"</formula>
    </cfRule>
    <cfRule type="cellIs" dxfId="2323" priority="1592" operator="equal">
      <formula>"F"</formula>
    </cfRule>
    <cfRule type="cellIs" dxfId="2322" priority="1591" operator="equal">
      <formula>"U/P"</formula>
    </cfRule>
  </conditionalFormatting>
  <conditionalFormatting sqref="P99">
    <cfRule type="cellIs" dxfId="2321" priority="1547" operator="equal">
      <formula>"F"</formula>
    </cfRule>
    <cfRule type="cellIs" dxfId="2320" priority="1548" operator="equal">
      <formula>"F"</formula>
    </cfRule>
    <cfRule type="cellIs" dxfId="2319" priority="1546" operator="equal">
      <formula>"U/P"</formula>
    </cfRule>
  </conditionalFormatting>
  <conditionalFormatting sqref="P115">
    <cfRule type="cellIs" dxfId="2318" priority="1470" operator="equal">
      <formula>"F"</formula>
    </cfRule>
    <cfRule type="cellIs" dxfId="2317" priority="1469" operator="equal">
      <formula>"F"</formula>
    </cfRule>
    <cfRule type="cellIs" dxfId="2316" priority="1468" operator="equal">
      <formula>"U/P"</formula>
    </cfRule>
  </conditionalFormatting>
  <conditionalFormatting sqref="P123">
    <cfRule type="cellIs" dxfId="2315" priority="712" operator="equal">
      <formula>"U/P"</formula>
    </cfRule>
    <cfRule type="cellIs" dxfId="2314" priority="713" operator="equal">
      <formula>"F"</formula>
    </cfRule>
    <cfRule type="cellIs" dxfId="2313" priority="714" operator="equal">
      <formula>"F"</formula>
    </cfRule>
  </conditionalFormatting>
  <conditionalFormatting sqref="P132">
    <cfRule type="cellIs" dxfId="2312" priority="148" operator="equal">
      <formula>"U/P"</formula>
    </cfRule>
    <cfRule type="cellIs" dxfId="2311" priority="150" operator="equal">
      <formula>"F"</formula>
    </cfRule>
    <cfRule type="cellIs" dxfId="2310" priority="149" operator="equal">
      <formula>"F"</formula>
    </cfRule>
  </conditionalFormatting>
  <conditionalFormatting sqref="P141">
    <cfRule type="cellIs" dxfId="2309" priority="1393" operator="equal">
      <formula>"U/P"</formula>
    </cfRule>
    <cfRule type="cellIs" dxfId="2308" priority="1394" operator="equal">
      <formula>"F"</formula>
    </cfRule>
    <cfRule type="cellIs" dxfId="2307" priority="1395" operator="equal">
      <formula>"F"</formula>
    </cfRule>
  </conditionalFormatting>
  <conditionalFormatting sqref="P150">
    <cfRule type="cellIs" dxfId="2306" priority="1365" operator="equal">
      <formula>"F"</formula>
    </cfRule>
    <cfRule type="cellIs" dxfId="2305" priority="1364" operator="equal">
      <formula>"F"</formula>
    </cfRule>
    <cfRule type="cellIs" dxfId="2304" priority="1363" operator="equal">
      <formula>"U/P"</formula>
    </cfRule>
  </conditionalFormatting>
  <conditionalFormatting sqref="P159">
    <cfRule type="cellIs" dxfId="2303" priority="1328" operator="equal">
      <formula>"F"</formula>
    </cfRule>
    <cfRule type="cellIs" dxfId="2302" priority="1329" operator="equal">
      <formula>"F"</formula>
    </cfRule>
    <cfRule type="cellIs" dxfId="2301" priority="1327" operator="equal">
      <formula>"U/P"</formula>
    </cfRule>
  </conditionalFormatting>
  <conditionalFormatting sqref="P168">
    <cfRule type="cellIs" dxfId="2300" priority="1295" operator="equal">
      <formula>"F"</formula>
    </cfRule>
    <cfRule type="cellIs" dxfId="2299" priority="1296" operator="equal">
      <formula>"F"</formula>
    </cfRule>
    <cfRule type="cellIs" dxfId="2298" priority="1294" operator="equal">
      <formula>"U/P"</formula>
    </cfRule>
  </conditionalFormatting>
  <conditionalFormatting sqref="P176">
    <cfRule type="cellIs" dxfId="2297" priority="1261" operator="equal">
      <formula>"U/P"</formula>
    </cfRule>
    <cfRule type="cellIs" dxfId="2296" priority="1262" operator="equal">
      <formula>"F"</formula>
    </cfRule>
    <cfRule type="cellIs" dxfId="2295" priority="1263" operator="equal">
      <formula>"F"</formula>
    </cfRule>
  </conditionalFormatting>
  <conditionalFormatting sqref="P185">
    <cfRule type="cellIs" dxfId="2294" priority="703" operator="equal">
      <formula>"U/P"</formula>
    </cfRule>
    <cfRule type="cellIs" dxfId="2293" priority="705" operator="equal">
      <formula>"F"</formula>
    </cfRule>
    <cfRule type="cellIs" dxfId="2292" priority="704" operator="equal">
      <formula>"F"</formula>
    </cfRule>
  </conditionalFormatting>
  <conditionalFormatting sqref="P194">
    <cfRule type="cellIs" dxfId="2291" priority="1222" operator="equal">
      <formula>"U/P"</formula>
    </cfRule>
    <cfRule type="cellIs" dxfId="2290" priority="1223" operator="equal">
      <formula>"F"</formula>
    </cfRule>
    <cfRule type="cellIs" dxfId="2289" priority="1224" operator="equal">
      <formula>"F"</formula>
    </cfRule>
  </conditionalFormatting>
  <conditionalFormatting sqref="P202">
    <cfRule type="cellIs" dxfId="2288" priority="457" operator="equal">
      <formula>"U/P"</formula>
    </cfRule>
    <cfRule type="cellIs" dxfId="2287" priority="458" operator="equal">
      <formula>"F"</formula>
    </cfRule>
    <cfRule type="cellIs" dxfId="2286" priority="459" operator="equal">
      <formula>"F"</formula>
    </cfRule>
  </conditionalFormatting>
  <conditionalFormatting sqref="P210">
    <cfRule type="cellIs" dxfId="2285" priority="330" operator="equal">
      <formula>"F"</formula>
    </cfRule>
    <cfRule type="cellIs" dxfId="2284" priority="329" operator="equal">
      <formula>"F"</formula>
    </cfRule>
    <cfRule type="cellIs" dxfId="2283" priority="328" operator="equal">
      <formula>"U/P"</formula>
    </cfRule>
  </conditionalFormatting>
  <conditionalFormatting sqref="P218">
    <cfRule type="cellIs" dxfId="2282" priority="695" operator="equal">
      <formula>"F"</formula>
    </cfRule>
    <cfRule type="cellIs" dxfId="2281" priority="696" operator="equal">
      <formula>"F"</formula>
    </cfRule>
    <cfRule type="cellIs" dxfId="2280" priority="694" operator="equal">
      <formula>"U/P"</formula>
    </cfRule>
  </conditionalFormatting>
  <conditionalFormatting sqref="P226">
    <cfRule type="cellIs" dxfId="2279" priority="488" operator="equal">
      <formula>"F"</formula>
    </cfRule>
    <cfRule type="cellIs" dxfId="2278" priority="487" operator="equal">
      <formula>"U/P"</formula>
    </cfRule>
    <cfRule type="cellIs" dxfId="2277" priority="489" operator="equal">
      <formula>"F"</formula>
    </cfRule>
  </conditionalFormatting>
  <conditionalFormatting sqref="P235">
    <cfRule type="cellIs" dxfId="2276" priority="259" operator="equal">
      <formula>"U/P"</formula>
    </cfRule>
    <cfRule type="cellIs" dxfId="2275" priority="260" operator="equal">
      <formula>"F"</formula>
    </cfRule>
    <cfRule type="cellIs" dxfId="2274" priority="261" operator="equal">
      <formula>"F"</formula>
    </cfRule>
  </conditionalFormatting>
  <conditionalFormatting sqref="P244">
    <cfRule type="cellIs" dxfId="2273" priority="189" operator="equal">
      <formula>"F"</formula>
    </cfRule>
    <cfRule type="cellIs" dxfId="2272" priority="188" operator="equal">
      <formula>"F"</formula>
    </cfRule>
    <cfRule type="cellIs" dxfId="2271" priority="187" operator="equal">
      <formula>"U/P"</formula>
    </cfRule>
  </conditionalFormatting>
  <conditionalFormatting sqref="P252 D260 F260 J260 N260">
    <cfRule type="cellIs" dxfId="2270" priority="78" operator="equal">
      <formula>"F"</formula>
    </cfRule>
    <cfRule type="cellIs" dxfId="2269" priority="77" operator="equal">
      <formula>"F"</formula>
    </cfRule>
    <cfRule type="cellIs" dxfId="2268" priority="76" operator="equal">
      <formula>"U/P"</formula>
    </cfRule>
  </conditionalFormatting>
  <conditionalFormatting sqref="P260">
    <cfRule type="cellIs" dxfId="2267" priority="34" operator="equal">
      <formula>"U/P"</formula>
    </cfRule>
    <cfRule type="cellIs" dxfId="2266" priority="35" operator="equal">
      <formula>"F"</formula>
    </cfRule>
    <cfRule type="cellIs" dxfId="2265" priority="36" operator="equal">
      <formula>"F"</formula>
    </cfRule>
  </conditionalFormatting>
  <conditionalFormatting sqref="P268">
    <cfRule type="cellIs" dxfId="2264" priority="970" operator="equal">
      <formula>"U/P"</formula>
    </cfRule>
    <cfRule type="cellIs" dxfId="2263" priority="971" operator="equal">
      <formula>"F"</formula>
    </cfRule>
    <cfRule type="cellIs" dxfId="2262" priority="972" operator="equal">
      <formula>"F"</formula>
    </cfRule>
  </conditionalFormatting>
  <conditionalFormatting sqref="P276">
    <cfRule type="cellIs" dxfId="2261" priority="930" operator="equal">
      <formula>"F"</formula>
    </cfRule>
    <cfRule type="cellIs" dxfId="2260" priority="928" operator="equal">
      <formula>"U/P"</formula>
    </cfRule>
    <cfRule type="cellIs" dxfId="2259" priority="929" operator="equal">
      <formula>"F"</formula>
    </cfRule>
  </conditionalFormatting>
  <conditionalFormatting sqref="P284">
    <cfRule type="cellIs" dxfId="2258" priority="315" operator="equal">
      <formula>"F"</formula>
    </cfRule>
    <cfRule type="cellIs" dxfId="2257" priority="313" operator="equal">
      <formula>"U/P"</formula>
    </cfRule>
    <cfRule type="cellIs" dxfId="2256" priority="314" operator="equal">
      <formula>"F"</formula>
    </cfRule>
  </conditionalFormatting>
  <conditionalFormatting sqref="P292 R292 V292">
    <cfRule type="cellIs" dxfId="2255" priority="594" operator="equal">
      <formula>"F"</formula>
    </cfRule>
    <cfRule type="cellIs" dxfId="2254" priority="593" operator="equal">
      <formula>"F"</formula>
    </cfRule>
    <cfRule type="cellIs" dxfId="2253" priority="592" operator="equal">
      <formula>"U/P"</formula>
    </cfRule>
  </conditionalFormatting>
  <conditionalFormatting sqref="P300">
    <cfRule type="cellIs" dxfId="2252" priority="140" operator="equal">
      <formula>"F"</formula>
    </cfRule>
    <cfRule type="cellIs" dxfId="2251" priority="139" operator="equal">
      <formula>"U/P"</formula>
    </cfRule>
    <cfRule type="cellIs" dxfId="2250" priority="141" operator="equal">
      <formula>"F"</formula>
    </cfRule>
  </conditionalFormatting>
  <conditionalFormatting sqref="P308">
    <cfRule type="cellIs" dxfId="2249" priority="796" operator="equal">
      <formula>"U/P"</formula>
    </cfRule>
    <cfRule type="cellIs" dxfId="2248" priority="798" operator="equal">
      <formula>"F"</formula>
    </cfRule>
    <cfRule type="cellIs" dxfId="2247" priority="797" operator="equal">
      <formula>"F"</formula>
    </cfRule>
  </conditionalFormatting>
  <conditionalFormatting sqref="P315">
    <cfRule type="cellIs" dxfId="2246" priority="767" operator="equal">
      <formula>"F"</formula>
    </cfRule>
    <cfRule type="cellIs" dxfId="2245" priority="766" operator="equal">
      <formula>"U/P"</formula>
    </cfRule>
    <cfRule type="cellIs" dxfId="2244" priority="768" operator="equal">
      <formula>"F"</formula>
    </cfRule>
  </conditionalFormatting>
  <conditionalFormatting sqref="Q107">
    <cfRule type="cellIs" dxfId="2243" priority="2070" operator="equal">
      <formula>"U/P"</formula>
    </cfRule>
    <cfRule type="cellIs" dxfId="2242" priority="2072" operator="equal">
      <formula>"F"</formula>
    </cfRule>
    <cfRule type="cellIs" dxfId="2241" priority="2071" operator="equal">
      <formula>"F"</formula>
    </cfRule>
  </conditionalFormatting>
  <conditionalFormatting sqref="R20">
    <cfRule type="cellIs" dxfId="2240" priority="1964" operator="equal">
      <formula>"F"</formula>
    </cfRule>
    <cfRule type="cellIs" dxfId="2239" priority="1965" operator="equal">
      <formula>"F"</formula>
    </cfRule>
    <cfRule type="cellIs" dxfId="2238" priority="1963" operator="equal">
      <formula>"U/P"</formula>
    </cfRule>
  </conditionalFormatting>
  <conditionalFormatting sqref="R27">
    <cfRule type="cellIs" dxfId="2237" priority="1922" operator="equal">
      <formula>"F"</formula>
    </cfRule>
    <cfRule type="cellIs" dxfId="2236" priority="1921" operator="equal">
      <formula>"U/P"</formula>
    </cfRule>
    <cfRule type="cellIs" dxfId="2235" priority="1923" operator="equal">
      <formula>"F"</formula>
    </cfRule>
  </conditionalFormatting>
  <conditionalFormatting sqref="R34">
    <cfRule type="cellIs" dxfId="2234" priority="1881" operator="equal">
      <formula>"F"</formula>
    </cfRule>
    <cfRule type="cellIs" dxfId="2233" priority="1880" operator="equal">
      <formula>"F"</formula>
    </cfRule>
    <cfRule type="cellIs" dxfId="2232" priority="1879" operator="equal">
      <formula>"U/P"</formula>
    </cfRule>
  </conditionalFormatting>
  <conditionalFormatting sqref="R41">
    <cfRule type="cellIs" dxfId="2231" priority="1839" operator="equal">
      <formula>"F"</formula>
    </cfRule>
    <cfRule type="cellIs" dxfId="2230" priority="1838" operator="equal">
      <formula>"F"</formula>
    </cfRule>
    <cfRule type="cellIs" dxfId="2229" priority="1837" operator="equal">
      <formula>"U/P"</formula>
    </cfRule>
  </conditionalFormatting>
  <conditionalFormatting sqref="R48">
    <cfRule type="cellIs" dxfId="2228" priority="1796" operator="equal">
      <formula>"F"</formula>
    </cfRule>
    <cfRule type="cellIs" dxfId="2227" priority="1795" operator="equal">
      <formula>"U/P"</formula>
    </cfRule>
    <cfRule type="cellIs" dxfId="2226" priority="1797" operator="equal">
      <formula>"F"</formula>
    </cfRule>
  </conditionalFormatting>
  <conditionalFormatting sqref="R57">
    <cfRule type="cellIs" dxfId="2225" priority="1755" operator="equal">
      <formula>"F"</formula>
    </cfRule>
    <cfRule type="cellIs" dxfId="2224" priority="1754" operator="equal">
      <formula>"F"</formula>
    </cfRule>
    <cfRule type="cellIs" dxfId="2223" priority="1753" operator="equal">
      <formula>"U/P"</formula>
    </cfRule>
  </conditionalFormatting>
  <conditionalFormatting sqref="R65">
    <cfRule type="cellIs" dxfId="2222" priority="1711" operator="equal">
      <formula>"U/P"</formula>
    </cfRule>
    <cfRule type="cellIs" dxfId="2221" priority="1713" operator="equal">
      <formula>"F"</formula>
    </cfRule>
    <cfRule type="cellIs" dxfId="2220" priority="1712" operator="equal">
      <formula>"F"</formula>
    </cfRule>
  </conditionalFormatting>
  <conditionalFormatting sqref="R73">
    <cfRule type="cellIs" dxfId="2219" priority="1670" operator="equal">
      <formula>"F"</formula>
    </cfRule>
    <cfRule type="cellIs" dxfId="2218" priority="1671" operator="equal">
      <formula>"F"</formula>
    </cfRule>
    <cfRule type="cellIs" dxfId="2217" priority="1669" operator="equal">
      <formula>"U/P"</formula>
    </cfRule>
  </conditionalFormatting>
  <conditionalFormatting sqref="R82">
    <cfRule type="cellIs" dxfId="2216" priority="1632" operator="equal">
      <formula>"F"</formula>
    </cfRule>
    <cfRule type="cellIs" dxfId="2215" priority="1631" operator="equal">
      <formula>"F"</formula>
    </cfRule>
    <cfRule type="cellIs" dxfId="2214" priority="1630" operator="equal">
      <formula>"U/P"</formula>
    </cfRule>
  </conditionalFormatting>
  <conditionalFormatting sqref="R90">
    <cfRule type="cellIs" dxfId="2213" priority="1588" operator="equal">
      <formula>"U/P"</formula>
    </cfRule>
    <cfRule type="cellIs" dxfId="2212" priority="1589" operator="equal">
      <formula>"F"</formula>
    </cfRule>
    <cfRule type="cellIs" dxfId="2211" priority="1590" operator="equal">
      <formula>"F"</formula>
    </cfRule>
  </conditionalFormatting>
  <conditionalFormatting sqref="R99">
    <cfRule type="cellIs" dxfId="2210" priority="1543" operator="equal">
      <formula>"U/P"</formula>
    </cfRule>
    <cfRule type="cellIs" dxfId="2209" priority="1544" operator="equal">
      <formula>"F"</formula>
    </cfRule>
    <cfRule type="cellIs" dxfId="2208" priority="1545" operator="equal">
      <formula>"F"</formula>
    </cfRule>
  </conditionalFormatting>
  <conditionalFormatting sqref="R110">
    <cfRule type="cellIs" dxfId="2207" priority="611" operator="equal">
      <formula>0</formula>
    </cfRule>
  </conditionalFormatting>
  <conditionalFormatting sqref="R115">
    <cfRule type="cellIs" dxfId="2206" priority="1465" operator="equal">
      <formula>"U/P"</formula>
    </cfRule>
    <cfRule type="cellIs" dxfId="2205" priority="1467" operator="equal">
      <formula>"F"</formula>
    </cfRule>
    <cfRule type="cellIs" dxfId="2204" priority="1466" operator="equal">
      <formula>"F"</formula>
    </cfRule>
  </conditionalFormatting>
  <conditionalFormatting sqref="R123">
    <cfRule type="cellIs" dxfId="2203" priority="709" operator="equal">
      <formula>"U/P"</formula>
    </cfRule>
    <cfRule type="cellIs" dxfId="2202" priority="710" operator="equal">
      <formula>"F"</formula>
    </cfRule>
    <cfRule type="cellIs" dxfId="2201" priority="711" operator="equal">
      <formula>"F"</formula>
    </cfRule>
  </conditionalFormatting>
  <conditionalFormatting sqref="R132">
    <cfRule type="cellIs" dxfId="2200" priority="104" operator="equal">
      <formula>"F"</formula>
    </cfRule>
    <cfRule type="cellIs" dxfId="2199" priority="103" operator="equal">
      <formula>"U/P"</formula>
    </cfRule>
    <cfRule type="cellIs" dxfId="2198" priority="105" operator="equal">
      <formula>"F"</formula>
    </cfRule>
  </conditionalFormatting>
  <conditionalFormatting sqref="R141">
    <cfRule type="cellIs" dxfId="2197" priority="1390" operator="equal">
      <formula>"U/P"</formula>
    </cfRule>
    <cfRule type="cellIs" dxfId="2196" priority="1392" operator="equal">
      <formula>"F"</formula>
    </cfRule>
    <cfRule type="cellIs" dxfId="2195" priority="1391" operator="equal">
      <formula>"F"</formula>
    </cfRule>
  </conditionalFormatting>
  <conditionalFormatting sqref="R150">
    <cfRule type="cellIs" dxfId="2194" priority="1361" operator="equal">
      <formula>"F"</formula>
    </cfRule>
    <cfRule type="cellIs" dxfId="2193" priority="1360" operator="equal">
      <formula>"U/P"</formula>
    </cfRule>
    <cfRule type="cellIs" dxfId="2192" priority="1362" operator="equal">
      <formula>"F"</formula>
    </cfRule>
  </conditionalFormatting>
  <conditionalFormatting sqref="R159">
    <cfRule type="cellIs" dxfId="2191" priority="1324" operator="equal">
      <formula>"U/P"</formula>
    </cfRule>
    <cfRule type="cellIs" dxfId="2190" priority="1326" operator="equal">
      <formula>"F"</formula>
    </cfRule>
    <cfRule type="cellIs" dxfId="2189" priority="1325" operator="equal">
      <formula>"F"</formula>
    </cfRule>
  </conditionalFormatting>
  <conditionalFormatting sqref="R168">
    <cfRule type="cellIs" dxfId="2188" priority="633" operator="equal">
      <formula>"F"</formula>
    </cfRule>
    <cfRule type="cellIs" dxfId="2187" priority="632" operator="equal">
      <formula>"F"</formula>
    </cfRule>
    <cfRule type="cellIs" dxfId="2186" priority="631" operator="equal">
      <formula>"U/P"</formula>
    </cfRule>
  </conditionalFormatting>
  <conditionalFormatting sqref="R176">
    <cfRule type="cellIs" dxfId="2185" priority="1259" operator="equal">
      <formula>"F"</formula>
    </cfRule>
    <cfRule type="cellIs" dxfId="2184" priority="1260" operator="equal">
      <formula>"F"</formula>
    </cfRule>
    <cfRule type="cellIs" dxfId="2183" priority="1258" operator="equal">
      <formula>"U/P"</formula>
    </cfRule>
  </conditionalFormatting>
  <conditionalFormatting sqref="R185">
    <cfRule type="cellIs" dxfId="2182" priority="685" operator="equal">
      <formula>"U/P"</formula>
    </cfRule>
    <cfRule type="cellIs" dxfId="2181" priority="686" operator="equal">
      <formula>"F"</formula>
    </cfRule>
    <cfRule type="cellIs" dxfId="2180" priority="687" operator="equal">
      <formula>"F"</formula>
    </cfRule>
  </conditionalFormatting>
  <conditionalFormatting sqref="R194">
    <cfRule type="cellIs" dxfId="2179" priority="2013" operator="equal">
      <formula>"U/P"</formula>
    </cfRule>
    <cfRule type="cellIs" dxfId="2178" priority="2014" operator="equal">
      <formula>"F"</formula>
    </cfRule>
    <cfRule type="cellIs" dxfId="2177" priority="2015" operator="equal">
      <formula>"F"</formula>
    </cfRule>
  </conditionalFormatting>
  <conditionalFormatting sqref="R202">
    <cfRule type="cellIs" dxfId="2176" priority="490" operator="equal">
      <formula>"U/P"</formula>
    </cfRule>
    <cfRule type="cellIs" dxfId="2175" priority="491" operator="equal">
      <formula>"F"</formula>
    </cfRule>
    <cfRule type="cellIs" dxfId="2174" priority="492" operator="equal">
      <formula>"F"</formula>
    </cfRule>
  </conditionalFormatting>
  <conditionalFormatting sqref="R210 T210 Y213">
    <cfRule type="cellIs" dxfId="2173" priority="436" operator="equal">
      <formula>"U/P"</formula>
    </cfRule>
    <cfRule type="cellIs" dxfId="2172" priority="438" operator="equal">
      <formula>"F"</formula>
    </cfRule>
    <cfRule type="cellIs" dxfId="2171" priority="437" operator="equal">
      <formula>"F"</formula>
    </cfRule>
  </conditionalFormatting>
  <conditionalFormatting sqref="R218 T218 Z218 AB218">
    <cfRule type="cellIs" dxfId="2170" priority="432" operator="equal">
      <formula>"F"</formula>
    </cfRule>
    <cfRule type="cellIs" dxfId="2169" priority="430" operator="equal">
      <formula>"U/P"</formula>
    </cfRule>
    <cfRule type="cellIs" dxfId="2168" priority="431" operator="equal">
      <formula>"F"</formula>
    </cfRule>
  </conditionalFormatting>
  <conditionalFormatting sqref="R226">
    <cfRule type="cellIs" dxfId="2167" priority="1134" operator="equal">
      <formula>"F"</formula>
    </cfRule>
    <cfRule type="cellIs" dxfId="2166" priority="1132" operator="equal">
      <formula>"U/P"</formula>
    </cfRule>
    <cfRule type="cellIs" dxfId="2165" priority="1133" operator="equal">
      <formula>"F"</formula>
    </cfRule>
  </conditionalFormatting>
  <conditionalFormatting sqref="R235">
    <cfRule type="cellIs" dxfId="2164" priority="327" operator="equal">
      <formula>"F"</formula>
    </cfRule>
    <cfRule type="cellIs" dxfId="2163" priority="326" operator="equal">
      <formula>"F"</formula>
    </cfRule>
    <cfRule type="cellIs" dxfId="2162" priority="325" operator="equal">
      <formula>"U/P"</formula>
    </cfRule>
  </conditionalFormatting>
  <conditionalFormatting sqref="R244">
    <cfRule type="cellIs" dxfId="2161" priority="184" operator="equal">
      <formula>"U/P"</formula>
    </cfRule>
    <cfRule type="cellIs" dxfId="2160" priority="185" operator="equal">
      <formula>"F"</formula>
    </cfRule>
    <cfRule type="cellIs" dxfId="2159" priority="186" operator="equal">
      <formula>"F"</formula>
    </cfRule>
  </conditionalFormatting>
  <conditionalFormatting sqref="R252">
    <cfRule type="cellIs" dxfId="2158" priority="174" operator="equal">
      <formula>"F"</formula>
    </cfRule>
    <cfRule type="cellIs" dxfId="2157" priority="173" operator="equal">
      <formula>"F"</formula>
    </cfRule>
    <cfRule type="cellIs" dxfId="2156" priority="172" operator="equal">
      <formula>"U/P"</formula>
    </cfRule>
  </conditionalFormatting>
  <conditionalFormatting sqref="R260">
    <cfRule type="cellIs" dxfId="2155" priority="21" operator="equal">
      <formula>"F"</formula>
    </cfRule>
    <cfRule type="cellIs" dxfId="2154" priority="19" operator="equal">
      <formula>"U/P"</formula>
    </cfRule>
    <cfRule type="cellIs" dxfId="2153" priority="20" operator="equal">
      <formula>"F"</formula>
    </cfRule>
  </conditionalFormatting>
  <conditionalFormatting sqref="R268">
    <cfRule type="cellIs" dxfId="2152" priority="262" operator="equal">
      <formula>"U/P"</formula>
    </cfRule>
    <cfRule type="cellIs" dxfId="2151" priority="263" operator="equal">
      <formula>"F"</formula>
    </cfRule>
    <cfRule type="cellIs" dxfId="2150" priority="264" operator="equal">
      <formula>"F"</formula>
    </cfRule>
  </conditionalFormatting>
  <conditionalFormatting sqref="R276">
    <cfRule type="cellIs" dxfId="2149" priority="238" operator="equal">
      <formula>"U/P"</formula>
    </cfRule>
    <cfRule type="cellIs" dxfId="2148" priority="239" operator="equal">
      <formula>"F"</formula>
    </cfRule>
    <cfRule type="cellIs" dxfId="2147" priority="240" operator="equal">
      <formula>"F"</formula>
    </cfRule>
  </conditionalFormatting>
  <conditionalFormatting sqref="R284">
    <cfRule type="cellIs" dxfId="2146" priority="291" operator="equal">
      <formula>"F"</formula>
    </cfRule>
    <cfRule type="cellIs" dxfId="2145" priority="289" operator="equal">
      <formula>"U/P"</formula>
    </cfRule>
    <cfRule type="cellIs" dxfId="2144" priority="290" operator="equal">
      <formula>"F"</formula>
    </cfRule>
  </conditionalFormatting>
  <conditionalFormatting sqref="R300">
    <cfRule type="cellIs" dxfId="2143" priority="227" operator="equal">
      <formula>"F"</formula>
    </cfRule>
    <cfRule type="cellIs" dxfId="2142" priority="228" operator="equal">
      <formula>"F"</formula>
    </cfRule>
    <cfRule type="cellIs" dxfId="2141" priority="226" operator="equal">
      <formula>"U/P"</formula>
    </cfRule>
  </conditionalFormatting>
  <conditionalFormatting sqref="R308">
    <cfRule type="cellIs" dxfId="2140" priority="780" operator="equal">
      <formula>"F"</formula>
    </cfRule>
    <cfRule type="cellIs" dxfId="2139" priority="779" operator="equal">
      <formula>"F"</formula>
    </cfRule>
    <cfRule type="cellIs" dxfId="2138" priority="778" operator="equal">
      <formula>"U/P"</formula>
    </cfRule>
  </conditionalFormatting>
  <conditionalFormatting sqref="R315">
    <cfRule type="cellIs" dxfId="2137" priority="747" operator="equal">
      <formula>"F"</formula>
    </cfRule>
    <cfRule type="cellIs" dxfId="2136" priority="746" operator="equal">
      <formula>"F"</formula>
    </cfRule>
    <cfRule type="cellIs" dxfId="2135" priority="745" operator="equal">
      <formula>"U/P"</formula>
    </cfRule>
  </conditionalFormatting>
  <conditionalFormatting sqref="S107">
    <cfRule type="cellIs" dxfId="2134" priority="2067" operator="equal">
      <formula>"U/P"</formula>
    </cfRule>
    <cfRule type="cellIs" dxfId="2133" priority="2068" operator="equal">
      <formula>"F"</formula>
    </cfRule>
    <cfRule type="cellIs" dxfId="2132" priority="2069" operator="equal">
      <formula>"F"</formula>
    </cfRule>
  </conditionalFormatting>
  <conditionalFormatting sqref="T20">
    <cfRule type="cellIs" dxfId="2131" priority="1962" operator="equal">
      <formula>"F"</formula>
    </cfRule>
    <cfRule type="cellIs" dxfId="2130" priority="1961" operator="equal">
      <formula>"F"</formula>
    </cfRule>
    <cfRule type="cellIs" dxfId="2129" priority="1960" operator="equal">
      <formula>"U/P"</formula>
    </cfRule>
  </conditionalFormatting>
  <conditionalFormatting sqref="T27">
    <cfRule type="cellIs" dxfId="2128" priority="1919" operator="equal">
      <formula>"F"</formula>
    </cfRule>
    <cfRule type="cellIs" dxfId="2127" priority="1920" operator="equal">
      <formula>"F"</formula>
    </cfRule>
    <cfRule type="cellIs" dxfId="2126" priority="1918" operator="equal">
      <formula>"U/P"</formula>
    </cfRule>
  </conditionalFormatting>
  <conditionalFormatting sqref="T34">
    <cfRule type="cellIs" dxfId="2125" priority="1878" operator="equal">
      <formula>"F"</formula>
    </cfRule>
    <cfRule type="cellIs" dxfId="2124" priority="1877" operator="equal">
      <formula>"F"</formula>
    </cfRule>
    <cfRule type="cellIs" dxfId="2123" priority="1876" operator="equal">
      <formula>"U/P"</formula>
    </cfRule>
  </conditionalFormatting>
  <conditionalFormatting sqref="T41">
    <cfRule type="cellIs" dxfId="2122" priority="1835" operator="equal">
      <formula>"F"</formula>
    </cfRule>
    <cfRule type="cellIs" dxfId="2121" priority="1836" operator="equal">
      <formula>"F"</formula>
    </cfRule>
    <cfRule type="cellIs" dxfId="2120" priority="1834" operator="equal">
      <formula>"U/P"</formula>
    </cfRule>
  </conditionalFormatting>
  <conditionalFormatting sqref="T48">
    <cfRule type="cellIs" dxfId="2119" priority="1794" operator="equal">
      <formula>"F"</formula>
    </cfRule>
    <cfRule type="cellIs" dxfId="2118" priority="1792" operator="equal">
      <formula>"U/P"</formula>
    </cfRule>
    <cfRule type="cellIs" dxfId="2117" priority="1793" operator="equal">
      <formula>"F"</formula>
    </cfRule>
  </conditionalFormatting>
  <conditionalFormatting sqref="T57">
    <cfRule type="cellIs" dxfId="2116" priority="1751" operator="equal">
      <formula>"F"</formula>
    </cfRule>
    <cfRule type="cellIs" dxfId="2115" priority="1752" operator="equal">
      <formula>"F"</formula>
    </cfRule>
    <cfRule type="cellIs" dxfId="2114" priority="1750" operator="equal">
      <formula>"U/P"</formula>
    </cfRule>
  </conditionalFormatting>
  <conditionalFormatting sqref="T65">
    <cfRule type="cellIs" dxfId="2113" priority="1708" operator="equal">
      <formula>"U/P"</formula>
    </cfRule>
    <cfRule type="cellIs" dxfId="2112" priority="1709" operator="equal">
      <formula>"F"</formula>
    </cfRule>
    <cfRule type="cellIs" dxfId="2111" priority="1710" operator="equal">
      <formula>"F"</formula>
    </cfRule>
  </conditionalFormatting>
  <conditionalFormatting sqref="T73">
    <cfRule type="cellIs" dxfId="2110" priority="1666" operator="equal">
      <formula>"U/P"</formula>
    </cfRule>
    <cfRule type="cellIs" dxfId="2109" priority="1667" operator="equal">
      <formula>"F"</formula>
    </cfRule>
    <cfRule type="cellIs" dxfId="2108" priority="1668" operator="equal">
      <formula>"F"</formula>
    </cfRule>
  </conditionalFormatting>
  <conditionalFormatting sqref="T82">
    <cfRule type="cellIs" dxfId="2107" priority="1629" operator="equal">
      <formula>"F"</formula>
    </cfRule>
    <cfRule type="cellIs" dxfId="2106" priority="1627" operator="equal">
      <formula>"U/P"</formula>
    </cfRule>
    <cfRule type="cellIs" dxfId="2105" priority="1628" operator="equal">
      <formula>"F"</formula>
    </cfRule>
  </conditionalFormatting>
  <conditionalFormatting sqref="T90">
    <cfRule type="cellIs" dxfId="2104" priority="1585" operator="equal">
      <formula>"U/P"</formula>
    </cfRule>
    <cfRule type="cellIs" dxfId="2103" priority="1587" operator="equal">
      <formula>"F"</formula>
    </cfRule>
    <cfRule type="cellIs" dxfId="2102" priority="1586" operator="equal">
      <formula>"F"</formula>
    </cfRule>
  </conditionalFormatting>
  <conditionalFormatting sqref="T99">
    <cfRule type="cellIs" dxfId="2101" priority="1540" operator="equal">
      <formula>"U/P"</formula>
    </cfRule>
    <cfRule type="cellIs" dxfId="2100" priority="1542" operator="equal">
      <formula>"F"</formula>
    </cfRule>
    <cfRule type="cellIs" dxfId="2099" priority="1541" operator="equal">
      <formula>"F"</formula>
    </cfRule>
  </conditionalFormatting>
  <conditionalFormatting sqref="T115">
    <cfRule type="cellIs" dxfId="2098" priority="1464" operator="equal">
      <formula>"F"</formula>
    </cfRule>
    <cfRule type="cellIs" dxfId="2097" priority="1462" operator="equal">
      <formula>"U/P"</formula>
    </cfRule>
    <cfRule type="cellIs" dxfId="2096" priority="1463" operator="equal">
      <formula>"F"</formula>
    </cfRule>
  </conditionalFormatting>
  <conditionalFormatting sqref="T123">
    <cfRule type="cellIs" dxfId="2095" priority="1437" operator="equal">
      <formula>"F"</formula>
    </cfRule>
    <cfRule type="cellIs" dxfId="2094" priority="1435" operator="equal">
      <formula>"U/P"</formula>
    </cfRule>
    <cfRule type="cellIs" dxfId="2093" priority="1436" operator="equal">
      <formula>"F"</formula>
    </cfRule>
  </conditionalFormatting>
  <conditionalFormatting sqref="T132">
    <cfRule type="cellIs" dxfId="2092" priority="66" operator="equal">
      <formula>"F"</formula>
    </cfRule>
    <cfRule type="cellIs" dxfId="2091" priority="65" operator="equal">
      <formula>"F"</formula>
    </cfRule>
    <cfRule type="cellIs" dxfId="2090" priority="64" operator="equal">
      <formula>"U/P"</formula>
    </cfRule>
  </conditionalFormatting>
  <conditionalFormatting sqref="T141">
    <cfRule type="cellIs" dxfId="2089" priority="707" operator="equal">
      <formula>"F"</formula>
    </cfRule>
    <cfRule type="cellIs" dxfId="2088" priority="708" operator="equal">
      <formula>"F"</formula>
    </cfRule>
    <cfRule type="cellIs" dxfId="2087" priority="706" operator="equal">
      <formula>"U/P"</formula>
    </cfRule>
  </conditionalFormatting>
  <conditionalFormatting sqref="T150">
    <cfRule type="cellIs" dxfId="2086" priority="1359" operator="equal">
      <formula>"F"</formula>
    </cfRule>
    <cfRule type="cellIs" dxfId="2085" priority="1357" operator="equal">
      <formula>"U/P"</formula>
    </cfRule>
    <cfRule type="cellIs" dxfId="2084" priority="1358" operator="equal">
      <formula>"F"</formula>
    </cfRule>
  </conditionalFormatting>
  <conditionalFormatting sqref="T159">
    <cfRule type="cellIs" dxfId="2083" priority="1321" operator="equal">
      <formula>"U/P"</formula>
    </cfRule>
    <cfRule type="cellIs" dxfId="2082" priority="1322" operator="equal">
      <formula>"F"</formula>
    </cfRule>
    <cfRule type="cellIs" dxfId="2081" priority="1323" operator="equal">
      <formula>"F"</formula>
    </cfRule>
  </conditionalFormatting>
  <conditionalFormatting sqref="T168">
    <cfRule type="cellIs" dxfId="2080" priority="1291" operator="equal">
      <formula>"U/P"</formula>
    </cfRule>
    <cfRule type="cellIs" dxfId="2079" priority="1293" operator="equal">
      <formula>"F"</formula>
    </cfRule>
    <cfRule type="cellIs" dxfId="2078" priority="1292" operator="equal">
      <formula>"F"</formula>
    </cfRule>
  </conditionalFormatting>
  <conditionalFormatting sqref="T171">
    <cfRule type="cellIs" dxfId="2077" priority="573" operator="equal">
      <formula>0</formula>
    </cfRule>
  </conditionalFormatting>
  <conditionalFormatting sqref="T176">
    <cfRule type="cellIs" dxfId="2076" priority="1257" operator="equal">
      <formula>"F"</formula>
    </cfRule>
    <cfRule type="cellIs" dxfId="2075" priority="1256" operator="equal">
      <formula>"F"</formula>
    </cfRule>
    <cfRule type="cellIs" dxfId="2074" priority="1255" operator="equal">
      <formula>"U/P"</formula>
    </cfRule>
  </conditionalFormatting>
  <conditionalFormatting sqref="T185">
    <cfRule type="cellIs" dxfId="2073" priority="109" operator="equal">
      <formula>"U/P"</formula>
    </cfRule>
    <cfRule type="cellIs" dxfId="2072" priority="110" operator="equal">
      <formula>"F"</formula>
    </cfRule>
    <cfRule type="cellIs" dxfId="2071" priority="111" operator="equal">
      <formula>"F"</formula>
    </cfRule>
  </conditionalFormatting>
  <conditionalFormatting sqref="T194 V194 Z194 AB194 B202 H202">
    <cfRule type="cellIs" dxfId="2070" priority="445" operator="equal">
      <formula>"U/P"</formula>
    </cfRule>
    <cfRule type="cellIs" dxfId="2069" priority="447" operator="equal">
      <formula>"F"</formula>
    </cfRule>
    <cfRule type="cellIs" dxfId="2068" priority="446" operator="equal">
      <formula>"F"</formula>
    </cfRule>
  </conditionalFormatting>
  <conditionalFormatting sqref="T202">
    <cfRule type="cellIs" dxfId="2067" priority="721" operator="equal">
      <formula>"U/P"</formula>
    </cfRule>
    <cfRule type="cellIs" dxfId="2066" priority="722" operator="equal">
      <formula>"F"</formula>
    </cfRule>
    <cfRule type="cellIs" dxfId="2065" priority="723" operator="equal">
      <formula>"F"</formula>
    </cfRule>
  </conditionalFormatting>
  <conditionalFormatting sqref="T226">
    <cfRule type="cellIs" dxfId="2064" priority="1130" operator="equal">
      <formula>"F"</formula>
    </cfRule>
    <cfRule type="cellIs" dxfId="2063" priority="1131" operator="equal">
      <formula>"F"</formula>
    </cfRule>
    <cfRule type="cellIs" dxfId="2062" priority="1129" operator="equal">
      <formula>"U/P"</formula>
    </cfRule>
  </conditionalFormatting>
  <conditionalFormatting sqref="T235">
    <cfRule type="cellIs" dxfId="2061" priority="117" operator="equal">
      <formula>"F"</formula>
    </cfRule>
    <cfRule type="cellIs" dxfId="2060" priority="116" operator="equal">
      <formula>"F"</formula>
    </cfRule>
    <cfRule type="cellIs" dxfId="2059" priority="115" operator="equal">
      <formula>"U/P"</formula>
    </cfRule>
  </conditionalFormatting>
  <conditionalFormatting sqref="T244">
    <cfRule type="cellIs" dxfId="2058" priority="16" operator="equal">
      <formula>"U/P"</formula>
    </cfRule>
    <cfRule type="cellIs" dxfId="2057" priority="17" operator="equal">
      <formula>"F"</formula>
    </cfRule>
    <cfRule type="cellIs" dxfId="2056" priority="18" operator="equal">
      <formula>"F"</formula>
    </cfRule>
  </conditionalFormatting>
  <conditionalFormatting sqref="T252">
    <cfRule type="cellIs" dxfId="2055" priority="273" operator="equal">
      <formula>"F"</formula>
    </cfRule>
    <cfRule type="cellIs" dxfId="2054" priority="272" operator="equal">
      <formula>"F"</formula>
    </cfRule>
    <cfRule type="cellIs" dxfId="2053" priority="271" operator="equal">
      <formula>"U/P"</formula>
    </cfRule>
  </conditionalFormatting>
  <conditionalFormatting sqref="T260">
    <cfRule type="cellIs" dxfId="2052" priority="335" operator="equal">
      <formula>"F"</formula>
    </cfRule>
    <cfRule type="cellIs" dxfId="2051" priority="334" operator="equal">
      <formula>"U/P"</formula>
    </cfRule>
    <cfRule type="cellIs" dxfId="2050" priority="336" operator="equal">
      <formula>"F"</formula>
    </cfRule>
  </conditionalFormatting>
  <conditionalFormatting sqref="T268">
    <cfRule type="cellIs" dxfId="2049" priority="244" operator="equal">
      <formula>"U/P"</formula>
    </cfRule>
    <cfRule type="cellIs" dxfId="2048" priority="245" operator="equal">
      <formula>"F"</formula>
    </cfRule>
    <cfRule type="cellIs" dxfId="2047" priority="246" operator="equal">
      <formula>"F"</formula>
    </cfRule>
  </conditionalFormatting>
  <conditionalFormatting sqref="T276">
    <cfRule type="cellIs" dxfId="2046" priority="255" operator="equal">
      <formula>"F"</formula>
    </cfRule>
    <cfRule type="cellIs" dxfId="2045" priority="253" operator="equal">
      <formula>"U/P"</formula>
    </cfRule>
    <cfRule type="cellIs" dxfId="2044" priority="254" operator="equal">
      <formula>"F"</formula>
    </cfRule>
  </conditionalFormatting>
  <conditionalFormatting sqref="T284">
    <cfRule type="cellIs" dxfId="2043" priority="319" operator="equal">
      <formula>"U/P"</formula>
    </cfRule>
    <cfRule type="cellIs" dxfId="2042" priority="320" operator="equal">
      <formula>"F"</formula>
    </cfRule>
    <cfRule type="cellIs" dxfId="2041" priority="321" operator="equal">
      <formula>"F"</formula>
    </cfRule>
  </conditionalFormatting>
  <conditionalFormatting sqref="T292">
    <cfRule type="cellIs" dxfId="2040" priority="75" operator="equal">
      <formula>"F"</formula>
    </cfRule>
    <cfRule type="cellIs" dxfId="2039" priority="74" operator="equal">
      <formula>"F"</formula>
    </cfRule>
    <cfRule type="cellIs" dxfId="2038" priority="73" operator="equal">
      <formula>"U/P"</formula>
    </cfRule>
  </conditionalFormatting>
  <conditionalFormatting sqref="T300">
    <cfRule type="cellIs" dxfId="2037" priority="269" operator="equal">
      <formula>"F"</formula>
    </cfRule>
    <cfRule type="cellIs" dxfId="2036" priority="268" operator="equal">
      <formula>"U/P"</formula>
    </cfRule>
    <cfRule type="cellIs" dxfId="2035" priority="270" operator="equal">
      <formula>"F"</formula>
    </cfRule>
  </conditionalFormatting>
  <conditionalFormatting sqref="T307:T308">
    <cfRule type="cellIs" dxfId="2034" priority="777" operator="equal">
      <formula>"F"</formula>
    </cfRule>
    <cfRule type="cellIs" dxfId="2033" priority="775" operator="equal">
      <formula>"U/P"</formula>
    </cfRule>
    <cfRule type="cellIs" dxfId="2032" priority="776" operator="equal">
      <formula>"F"</formula>
    </cfRule>
  </conditionalFormatting>
  <conditionalFormatting sqref="T315">
    <cfRule type="cellIs" dxfId="2031" priority="742" operator="equal">
      <formula>"U/P"</formula>
    </cfRule>
    <cfRule type="cellIs" dxfId="2030" priority="743" operator="equal">
      <formula>"F"</formula>
    </cfRule>
    <cfRule type="cellIs" dxfId="2029" priority="744" operator="equal">
      <formula>"F"</formula>
    </cfRule>
  </conditionalFormatting>
  <conditionalFormatting sqref="U107">
    <cfRule type="cellIs" dxfId="2028" priority="1497" operator="equal">
      <formula>"F"</formula>
    </cfRule>
    <cfRule type="cellIs" dxfId="2027" priority="1496" operator="equal">
      <formula>"F"</formula>
    </cfRule>
    <cfRule type="cellIs" dxfId="2026" priority="1495" operator="equal">
      <formula>"U/P"</formula>
    </cfRule>
  </conditionalFormatting>
  <conditionalFormatting sqref="V20">
    <cfRule type="cellIs" dxfId="2025" priority="1959" operator="equal">
      <formula>"F"</formula>
    </cfRule>
    <cfRule type="cellIs" dxfId="2024" priority="1958" operator="equal">
      <formula>"F"</formula>
    </cfRule>
    <cfRule type="cellIs" dxfId="2023" priority="1957" operator="equal">
      <formula>"U/P"</formula>
    </cfRule>
  </conditionalFormatting>
  <conditionalFormatting sqref="V27">
    <cfRule type="cellIs" dxfId="2022" priority="1916" operator="equal">
      <formula>"F"</formula>
    </cfRule>
    <cfRule type="cellIs" dxfId="2021" priority="1917" operator="equal">
      <formula>"F"</formula>
    </cfRule>
    <cfRule type="cellIs" dxfId="2020" priority="1915" operator="equal">
      <formula>"U/P"</formula>
    </cfRule>
  </conditionalFormatting>
  <conditionalFormatting sqref="V34">
    <cfRule type="cellIs" dxfId="2019" priority="1873" operator="equal">
      <formula>"U/P"</formula>
    </cfRule>
    <cfRule type="cellIs" dxfId="2018" priority="1874" operator="equal">
      <formula>"F"</formula>
    </cfRule>
    <cfRule type="cellIs" dxfId="2017" priority="1875" operator="equal">
      <formula>"F"</formula>
    </cfRule>
  </conditionalFormatting>
  <conditionalFormatting sqref="V41">
    <cfRule type="cellIs" dxfId="2016" priority="1832" operator="equal">
      <formula>"F"</formula>
    </cfRule>
    <cfRule type="cellIs" dxfId="2015" priority="1831" operator="equal">
      <formula>"U/P"</formula>
    </cfRule>
    <cfRule type="cellIs" dxfId="2014" priority="1833" operator="equal">
      <formula>"F"</formula>
    </cfRule>
  </conditionalFormatting>
  <conditionalFormatting sqref="V48">
    <cfRule type="cellIs" dxfId="2013" priority="1791" operator="equal">
      <formula>"F"</formula>
    </cfRule>
    <cfRule type="cellIs" dxfId="2012" priority="1790" operator="equal">
      <formula>"F"</formula>
    </cfRule>
    <cfRule type="cellIs" dxfId="2011" priority="1789" operator="equal">
      <formula>"U/P"</formula>
    </cfRule>
  </conditionalFormatting>
  <conditionalFormatting sqref="V57">
    <cfRule type="cellIs" dxfId="2010" priority="1749" operator="equal">
      <formula>"F"</formula>
    </cfRule>
    <cfRule type="cellIs" dxfId="2009" priority="1748" operator="equal">
      <formula>"F"</formula>
    </cfRule>
    <cfRule type="cellIs" dxfId="2008" priority="1747" operator="equal">
      <formula>"U/P"</formula>
    </cfRule>
  </conditionalFormatting>
  <conditionalFormatting sqref="V65">
    <cfRule type="cellIs" dxfId="2007" priority="1707" operator="equal">
      <formula>"F"</formula>
    </cfRule>
    <cfRule type="cellIs" dxfId="2006" priority="1706" operator="equal">
      <formula>"F"</formula>
    </cfRule>
    <cfRule type="cellIs" dxfId="2005" priority="1705" operator="equal">
      <formula>"U/P"</formula>
    </cfRule>
  </conditionalFormatting>
  <conditionalFormatting sqref="V73">
    <cfRule type="cellIs" dxfId="2004" priority="1664" operator="equal">
      <formula>"F"</formula>
    </cfRule>
    <cfRule type="cellIs" dxfId="2003" priority="1663" operator="equal">
      <formula>"U/P"</formula>
    </cfRule>
    <cfRule type="cellIs" dxfId="2002" priority="1665" operator="equal">
      <formula>"F"</formula>
    </cfRule>
  </conditionalFormatting>
  <conditionalFormatting sqref="V82">
    <cfRule type="cellIs" dxfId="2001" priority="1625" operator="equal">
      <formula>"F"</formula>
    </cfRule>
    <cfRule type="cellIs" dxfId="2000" priority="1624" operator="equal">
      <formula>"U/P"</formula>
    </cfRule>
    <cfRule type="cellIs" dxfId="1999" priority="1626" operator="equal">
      <formula>"F"</formula>
    </cfRule>
  </conditionalFormatting>
  <conditionalFormatting sqref="V90">
    <cfRule type="cellIs" dxfId="1998" priority="1584" operator="equal">
      <formula>"F"</formula>
    </cfRule>
    <cfRule type="cellIs" dxfId="1997" priority="1582" operator="equal">
      <formula>"U/P"</formula>
    </cfRule>
    <cfRule type="cellIs" dxfId="1996" priority="1583" operator="equal">
      <formula>"F"</formula>
    </cfRule>
  </conditionalFormatting>
  <conditionalFormatting sqref="V99">
    <cfRule type="cellIs" dxfId="1995" priority="1537" operator="equal">
      <formula>"U/P"</formula>
    </cfRule>
    <cfRule type="cellIs" dxfId="1994" priority="1539" operator="equal">
      <formula>"F"</formula>
    </cfRule>
    <cfRule type="cellIs" dxfId="1993" priority="1538" operator="equal">
      <formula>"F"</formula>
    </cfRule>
  </conditionalFormatting>
  <conditionalFormatting sqref="V115">
    <cfRule type="cellIs" dxfId="1992" priority="1460" operator="equal">
      <formula>"F"</formula>
    </cfRule>
    <cfRule type="cellIs" dxfId="1991" priority="1459" operator="equal">
      <formula>"U/P"</formula>
    </cfRule>
    <cfRule type="cellIs" dxfId="1990" priority="1461" operator="equal">
      <formula>"F"</formula>
    </cfRule>
  </conditionalFormatting>
  <conditionalFormatting sqref="V123">
    <cfRule type="cellIs" dxfId="1989" priority="1434" operator="equal">
      <formula>"F"</formula>
    </cfRule>
    <cfRule type="cellIs" dxfId="1988" priority="1433" operator="equal">
      <formula>"F"</formula>
    </cfRule>
    <cfRule type="cellIs" dxfId="1987" priority="1432" operator="equal">
      <formula>"U/P"</formula>
    </cfRule>
  </conditionalFormatting>
  <conditionalFormatting sqref="V132">
    <cfRule type="cellIs" dxfId="1986" priority="53" operator="equal">
      <formula>"F"</formula>
    </cfRule>
    <cfRule type="cellIs" dxfId="1985" priority="52" operator="equal">
      <formula>"U/P"</formula>
    </cfRule>
    <cfRule type="cellIs" dxfId="1984" priority="54" operator="equal">
      <formula>"F"</formula>
    </cfRule>
  </conditionalFormatting>
  <conditionalFormatting sqref="V141">
    <cfRule type="cellIs" dxfId="1983" priority="643" operator="equal">
      <formula>"U/P"</formula>
    </cfRule>
    <cfRule type="cellIs" dxfId="1982" priority="644" operator="equal">
      <formula>"F"</formula>
    </cfRule>
    <cfRule type="cellIs" dxfId="1981" priority="645" operator="equal">
      <formula>"F"</formula>
    </cfRule>
  </conditionalFormatting>
  <conditionalFormatting sqref="V150">
    <cfRule type="cellIs" dxfId="1980" priority="1355" operator="equal">
      <formula>"F"</formula>
    </cfRule>
    <cfRule type="cellIs" dxfId="1979" priority="1354" operator="equal">
      <formula>"U/P"</formula>
    </cfRule>
    <cfRule type="cellIs" dxfId="1978" priority="1356" operator="equal">
      <formula>"F"</formula>
    </cfRule>
  </conditionalFormatting>
  <conditionalFormatting sqref="V159">
    <cfRule type="cellIs" dxfId="1977" priority="731" operator="equal">
      <formula>"F"</formula>
    </cfRule>
    <cfRule type="cellIs" dxfId="1976" priority="730" operator="equal">
      <formula>"U/P"</formula>
    </cfRule>
    <cfRule type="cellIs" dxfId="1975" priority="732" operator="equal">
      <formula>"F"</formula>
    </cfRule>
  </conditionalFormatting>
  <conditionalFormatting sqref="V168">
    <cfRule type="cellIs" dxfId="1974" priority="1288" operator="equal">
      <formula>"U/P"</formula>
    </cfRule>
    <cfRule type="cellIs" dxfId="1973" priority="1290" operator="equal">
      <formula>"F"</formula>
    </cfRule>
    <cfRule type="cellIs" dxfId="1972" priority="1289" operator="equal">
      <formula>"F"</formula>
    </cfRule>
  </conditionalFormatting>
  <conditionalFormatting sqref="V176">
    <cfRule type="cellIs" dxfId="1971" priority="602" operator="equal">
      <formula>"F"</formula>
    </cfRule>
    <cfRule type="cellIs" dxfId="1970" priority="601" operator="equal">
      <formula>"U/P"</formula>
    </cfRule>
    <cfRule type="cellIs" dxfId="1969" priority="603" operator="equal">
      <formula>"F"</formula>
    </cfRule>
  </conditionalFormatting>
  <conditionalFormatting sqref="V185">
    <cfRule type="cellIs" dxfId="1968" priority="597" operator="equal">
      <formula>"F"</formula>
    </cfRule>
    <cfRule type="cellIs" dxfId="1967" priority="595" operator="equal">
      <formula>"U/P"</formula>
    </cfRule>
    <cfRule type="cellIs" dxfId="1966" priority="596" operator="equal">
      <formula>"F"</formula>
    </cfRule>
  </conditionalFormatting>
  <conditionalFormatting sqref="V202">
    <cfRule type="cellIs" dxfId="1965" priority="531" operator="equal">
      <formula>"U/P"</formula>
    </cfRule>
    <cfRule type="cellIs" dxfId="1964" priority="532" operator="equal">
      <formula>"F"</formula>
    </cfRule>
    <cfRule type="cellIs" dxfId="1963" priority="533" operator="equal">
      <formula>"F"</formula>
    </cfRule>
  </conditionalFormatting>
  <conditionalFormatting sqref="V210">
    <cfRule type="cellIs" dxfId="1962" priority="251" operator="equal">
      <formula>"F"</formula>
    </cfRule>
    <cfRule type="cellIs" dxfId="1961" priority="252" operator="equal">
      <formula>"F"</formula>
    </cfRule>
    <cfRule type="cellIs" dxfId="1960" priority="250" operator="equal">
      <formula>"U/P"</formula>
    </cfRule>
  </conditionalFormatting>
  <conditionalFormatting sqref="V218">
    <cfRule type="cellIs" dxfId="1959" priority="258" operator="equal">
      <formula>"F"</formula>
    </cfRule>
    <cfRule type="cellIs" dxfId="1958" priority="257" operator="equal">
      <formula>"F"</formula>
    </cfRule>
    <cfRule type="cellIs" dxfId="1957" priority="256" operator="equal">
      <formula>"U/P"</formula>
    </cfRule>
  </conditionalFormatting>
  <conditionalFormatting sqref="V226">
    <cfRule type="cellIs" dxfId="1956" priority="1127" operator="equal">
      <formula>"F"</formula>
    </cfRule>
    <cfRule type="cellIs" dxfId="1955" priority="1128" operator="equal">
      <formula>"F"</formula>
    </cfRule>
    <cfRule type="cellIs" dxfId="1954" priority="1126" operator="equal">
      <formula>"U/P"</formula>
    </cfRule>
  </conditionalFormatting>
  <conditionalFormatting sqref="V235">
    <cfRule type="cellIs" dxfId="1953" priority="1084" operator="equal">
      <formula>"U/P"</formula>
    </cfRule>
    <cfRule type="cellIs" dxfId="1952" priority="1086" operator="equal">
      <formula>"F"</formula>
    </cfRule>
    <cfRule type="cellIs" dxfId="1951" priority="1085" operator="equal">
      <formula>"F"</formula>
    </cfRule>
  </conditionalFormatting>
  <conditionalFormatting sqref="V244">
    <cfRule type="cellIs" dxfId="1950" priority="178" operator="equal">
      <formula>"U/P"</formula>
    </cfRule>
    <cfRule type="cellIs" dxfId="1949" priority="180" operator="equal">
      <formula>"F"</formula>
    </cfRule>
    <cfRule type="cellIs" dxfId="1948" priority="179" operator="equal">
      <formula>"F"</formula>
    </cfRule>
  </conditionalFormatting>
  <conditionalFormatting sqref="V252">
    <cfRule type="cellIs" dxfId="1947" priority="1021" operator="equal">
      <formula>"U/P"</formula>
    </cfRule>
    <cfRule type="cellIs" dxfId="1946" priority="1023" operator="equal">
      <formula>"F"</formula>
    </cfRule>
    <cfRule type="cellIs" dxfId="1945" priority="1022" operator="equal">
      <formula>"F"</formula>
    </cfRule>
  </conditionalFormatting>
  <conditionalFormatting sqref="V260">
    <cfRule type="cellIs" dxfId="1944" priority="294" operator="equal">
      <formula>"F"</formula>
    </cfRule>
    <cfRule type="cellIs" dxfId="1943" priority="292" operator="equal">
      <formula>"U/P"</formula>
    </cfRule>
    <cfRule type="cellIs" dxfId="1942" priority="293" operator="equal">
      <formula>"F"</formula>
    </cfRule>
  </conditionalFormatting>
  <conditionalFormatting sqref="V268">
    <cfRule type="cellIs" dxfId="1941" priority="193" operator="equal">
      <formula>"U/P"</formula>
    </cfRule>
    <cfRule type="cellIs" dxfId="1940" priority="194" operator="equal">
      <formula>"F"</formula>
    </cfRule>
    <cfRule type="cellIs" dxfId="1939" priority="195" operator="equal">
      <formula>"F"</formula>
    </cfRule>
  </conditionalFormatting>
  <conditionalFormatting sqref="V276">
    <cfRule type="cellIs" dxfId="1938" priority="232" operator="equal">
      <formula>"U/P"</formula>
    </cfRule>
    <cfRule type="cellIs" dxfId="1937" priority="233" operator="equal">
      <formula>"F"</formula>
    </cfRule>
    <cfRule type="cellIs" dxfId="1936" priority="234" operator="equal">
      <formula>"F"</formula>
    </cfRule>
  </conditionalFormatting>
  <conditionalFormatting sqref="V284">
    <cfRule type="cellIs" dxfId="1935" priority="369" operator="equal">
      <formula>"F"</formula>
    </cfRule>
    <cfRule type="cellIs" dxfId="1934" priority="368" operator="equal">
      <formula>"F"</formula>
    </cfRule>
    <cfRule type="cellIs" dxfId="1933" priority="367" operator="equal">
      <formula>"U/P"</formula>
    </cfRule>
  </conditionalFormatting>
  <conditionalFormatting sqref="V300">
    <cfRule type="cellIs" dxfId="1932" priority="346" operator="equal">
      <formula>"U/P"</formula>
    </cfRule>
    <cfRule type="cellIs" dxfId="1931" priority="347" operator="equal">
      <formula>"F"</formula>
    </cfRule>
    <cfRule type="cellIs" dxfId="1930" priority="348" operator="equal">
      <formula>"F"</formula>
    </cfRule>
  </conditionalFormatting>
  <conditionalFormatting sqref="V315">
    <cfRule type="cellIs" dxfId="1929" priority="739" operator="equal">
      <formula>"U/P"</formula>
    </cfRule>
    <cfRule type="cellIs" dxfId="1928" priority="741" operator="equal">
      <formula>"F"</formula>
    </cfRule>
    <cfRule type="cellIs" dxfId="1927" priority="740" operator="equal">
      <formula>"F"</formula>
    </cfRule>
  </conditionalFormatting>
  <conditionalFormatting sqref="V110:W110">
    <cfRule type="cellIs" dxfId="1926" priority="612" operator="equal">
      <formula>0</formula>
    </cfRule>
  </conditionalFormatting>
  <conditionalFormatting sqref="W107">
    <cfRule type="cellIs" dxfId="1925" priority="1494" operator="equal">
      <formula>"F"</formula>
    </cfRule>
    <cfRule type="cellIs" dxfId="1924" priority="1493" operator="equal">
      <formula>"F"</formula>
    </cfRule>
    <cfRule type="cellIs" dxfId="1923" priority="1492" operator="equal">
      <formula>"U/P"</formula>
    </cfRule>
  </conditionalFormatting>
  <conditionalFormatting sqref="X20">
    <cfRule type="cellIs" dxfId="1922" priority="1956" operator="equal">
      <formula>"F"</formula>
    </cfRule>
    <cfRule type="cellIs" dxfId="1921" priority="1954" operator="equal">
      <formula>"U/P"</formula>
    </cfRule>
    <cfRule type="cellIs" dxfId="1920" priority="1955" operator="equal">
      <formula>"F"</formula>
    </cfRule>
  </conditionalFormatting>
  <conditionalFormatting sqref="X27">
    <cfRule type="cellIs" dxfId="1919" priority="1913" operator="equal">
      <formula>"F"</formula>
    </cfRule>
    <cfRule type="cellIs" dxfId="1918" priority="1914" operator="equal">
      <formula>"F"</formula>
    </cfRule>
    <cfRule type="cellIs" dxfId="1917" priority="1912" operator="equal">
      <formula>"U/P"</formula>
    </cfRule>
  </conditionalFormatting>
  <conditionalFormatting sqref="X34">
    <cfRule type="cellIs" dxfId="1916" priority="1870" operator="equal">
      <formula>"U/P"</formula>
    </cfRule>
    <cfRule type="cellIs" dxfId="1915" priority="1872" operator="equal">
      <formula>"F"</formula>
    </cfRule>
    <cfRule type="cellIs" dxfId="1914" priority="1871" operator="equal">
      <formula>"F"</formula>
    </cfRule>
  </conditionalFormatting>
  <conditionalFormatting sqref="X41">
    <cfRule type="cellIs" dxfId="1913" priority="1828" operator="equal">
      <formula>"U/P"</formula>
    </cfRule>
    <cfRule type="cellIs" dxfId="1912" priority="1829" operator="equal">
      <formula>"F"</formula>
    </cfRule>
    <cfRule type="cellIs" dxfId="1911" priority="1830" operator="equal">
      <formula>"F"</formula>
    </cfRule>
  </conditionalFormatting>
  <conditionalFormatting sqref="X48">
    <cfRule type="cellIs" dxfId="1910" priority="1786" operator="equal">
      <formula>"U/P"</formula>
    </cfRule>
    <cfRule type="cellIs" dxfId="1909" priority="1787" operator="equal">
      <formula>"F"</formula>
    </cfRule>
    <cfRule type="cellIs" dxfId="1908" priority="1788" operator="equal">
      <formula>"F"</formula>
    </cfRule>
  </conditionalFormatting>
  <conditionalFormatting sqref="X57">
    <cfRule type="cellIs" dxfId="1907" priority="1746" operator="equal">
      <formula>"F"</formula>
    </cfRule>
    <cfRule type="cellIs" dxfId="1906" priority="1745" operator="equal">
      <formula>"F"</formula>
    </cfRule>
    <cfRule type="cellIs" dxfId="1905" priority="1744" operator="equal">
      <formula>"U/P"</formula>
    </cfRule>
  </conditionalFormatting>
  <conditionalFormatting sqref="X65">
    <cfRule type="cellIs" dxfId="1904" priority="1704" operator="equal">
      <formula>"F"</formula>
    </cfRule>
    <cfRule type="cellIs" dxfId="1903" priority="1703" operator="equal">
      <formula>"F"</formula>
    </cfRule>
    <cfRule type="cellIs" dxfId="1902" priority="1702" operator="equal">
      <formula>"U/P"</formula>
    </cfRule>
  </conditionalFormatting>
  <conditionalFormatting sqref="X73">
    <cfRule type="cellIs" dxfId="1901" priority="1661" operator="equal">
      <formula>"F"</formula>
    </cfRule>
    <cfRule type="cellIs" dxfId="1900" priority="1662" operator="equal">
      <formula>"F"</formula>
    </cfRule>
    <cfRule type="cellIs" dxfId="1899" priority="1660" operator="equal">
      <formula>"U/P"</formula>
    </cfRule>
  </conditionalFormatting>
  <conditionalFormatting sqref="X82">
    <cfRule type="cellIs" dxfId="1898" priority="1623" operator="equal">
      <formula>"F"</formula>
    </cfRule>
    <cfRule type="cellIs" dxfId="1897" priority="1622" operator="equal">
      <formula>"F"</formula>
    </cfRule>
    <cfRule type="cellIs" dxfId="1896" priority="1621" operator="equal">
      <formula>"U/P"</formula>
    </cfRule>
  </conditionalFormatting>
  <conditionalFormatting sqref="X90">
    <cfRule type="cellIs" dxfId="1895" priority="1581" operator="equal">
      <formula>"F"</formula>
    </cfRule>
    <cfRule type="cellIs" dxfId="1894" priority="1580" operator="equal">
      <formula>"F"</formula>
    </cfRule>
    <cfRule type="cellIs" dxfId="1893" priority="1579" operator="equal">
      <formula>"U/P"</formula>
    </cfRule>
  </conditionalFormatting>
  <conditionalFormatting sqref="X99">
    <cfRule type="cellIs" dxfId="1892" priority="389" operator="equal">
      <formula>"F"</formula>
    </cfRule>
    <cfRule type="cellIs" dxfId="1891" priority="390" operator="equal">
      <formula>"F"</formula>
    </cfRule>
    <cfRule type="cellIs" dxfId="1890" priority="388" operator="equal">
      <formula>"U/P"</formula>
    </cfRule>
  </conditionalFormatting>
  <conditionalFormatting sqref="X115">
    <cfRule type="cellIs" dxfId="1889" priority="1458" operator="equal">
      <formula>"F"</formula>
    </cfRule>
    <cfRule type="cellIs" dxfId="1888" priority="1456" operator="equal">
      <formula>"U/P"</formula>
    </cfRule>
    <cfRule type="cellIs" dxfId="1887" priority="1457" operator="equal">
      <formula>"F"</formula>
    </cfRule>
  </conditionalFormatting>
  <conditionalFormatting sqref="X123">
    <cfRule type="cellIs" dxfId="1886" priority="1429" operator="equal">
      <formula>"U/P"</formula>
    </cfRule>
    <cfRule type="cellIs" dxfId="1885" priority="1430" operator="equal">
      <formula>"F"</formula>
    </cfRule>
    <cfRule type="cellIs" dxfId="1884" priority="1431" operator="equal">
      <formula>"F"</formula>
    </cfRule>
  </conditionalFormatting>
  <conditionalFormatting sqref="X132">
    <cfRule type="cellIs" dxfId="1883" priority="62" operator="equal">
      <formula>"F"</formula>
    </cfRule>
    <cfRule type="cellIs" dxfId="1882" priority="63" operator="equal">
      <formula>"F"</formula>
    </cfRule>
    <cfRule type="cellIs" dxfId="1881" priority="61" operator="equal">
      <formula>"U/P"</formula>
    </cfRule>
  </conditionalFormatting>
  <conditionalFormatting sqref="X141">
    <cfRule type="cellIs" dxfId="1880" priority="1387" operator="equal">
      <formula>"U/P"</formula>
    </cfRule>
    <cfRule type="cellIs" dxfId="1879" priority="1388" operator="equal">
      <formula>"F"</formula>
    </cfRule>
    <cfRule type="cellIs" dxfId="1878" priority="1389" operator="equal">
      <formula>"F"</formula>
    </cfRule>
  </conditionalFormatting>
  <conditionalFormatting sqref="X150">
    <cfRule type="cellIs" dxfId="1877" priority="1353" operator="equal">
      <formula>"F"</formula>
    </cfRule>
    <cfRule type="cellIs" dxfId="1876" priority="1351" operator="equal">
      <formula>"U/P"</formula>
    </cfRule>
    <cfRule type="cellIs" dxfId="1875" priority="1352" operator="equal">
      <formula>"F"</formula>
    </cfRule>
  </conditionalFormatting>
  <conditionalFormatting sqref="X159">
    <cfRule type="cellIs" dxfId="1874" priority="1320" operator="equal">
      <formula>"F"</formula>
    </cfRule>
    <cfRule type="cellIs" dxfId="1873" priority="1319" operator="equal">
      <formula>"F"</formula>
    </cfRule>
    <cfRule type="cellIs" dxfId="1872" priority="1318" operator="equal">
      <formula>"U/P"</formula>
    </cfRule>
  </conditionalFormatting>
  <conditionalFormatting sqref="X168">
    <cfRule type="cellIs" dxfId="1871" priority="1287" operator="equal">
      <formula>"F"</formula>
    </cfRule>
    <cfRule type="cellIs" dxfId="1870" priority="1285" operator="equal">
      <formula>"U/P"</formula>
    </cfRule>
    <cfRule type="cellIs" dxfId="1869" priority="1286" operator="equal">
      <formula>"F"</formula>
    </cfRule>
  </conditionalFormatting>
  <conditionalFormatting sqref="X176">
    <cfRule type="cellIs" dxfId="1868" priority="1252" operator="equal">
      <formula>"U/P"</formula>
    </cfRule>
    <cfRule type="cellIs" dxfId="1867" priority="1253" operator="equal">
      <formula>"F"</formula>
    </cfRule>
    <cfRule type="cellIs" dxfId="1866" priority="1254" operator="equal">
      <formula>"F"</formula>
    </cfRule>
  </conditionalFormatting>
  <conditionalFormatting sqref="X185">
    <cfRule type="cellIs" dxfId="1865" priority="625" operator="equal">
      <formula>"U/P"</formula>
    </cfRule>
    <cfRule type="cellIs" dxfId="1864" priority="627" operator="equal">
      <formula>"F"</formula>
    </cfRule>
    <cfRule type="cellIs" dxfId="1863" priority="626" operator="equal">
      <formula>"F"</formula>
    </cfRule>
  </conditionalFormatting>
  <conditionalFormatting sqref="X194">
    <cfRule type="cellIs" dxfId="1862" priority="1218" operator="equal">
      <formula>"F"</formula>
    </cfRule>
    <cfRule type="cellIs" dxfId="1861" priority="1217" operator="equal">
      <formula>"F"</formula>
    </cfRule>
    <cfRule type="cellIs" dxfId="1860" priority="1216" operator="equal">
      <formula>"U/P"</formula>
    </cfRule>
  </conditionalFormatting>
  <conditionalFormatting sqref="X202">
    <cfRule type="cellIs" dxfId="1859" priority="1200" operator="equal">
      <formula>"F"</formula>
    </cfRule>
    <cfRule type="cellIs" dxfId="1858" priority="1198" operator="equal">
      <formula>"U/P"</formula>
    </cfRule>
    <cfRule type="cellIs" dxfId="1857" priority="1199" operator="equal">
      <formula>"F"</formula>
    </cfRule>
  </conditionalFormatting>
  <conditionalFormatting sqref="X210">
    <cfRule type="cellIs" dxfId="1856" priority="668" operator="equal">
      <formula>"F"</formula>
    </cfRule>
    <cfRule type="cellIs" dxfId="1855" priority="667" operator="equal">
      <formula>"U/P"</formula>
    </cfRule>
    <cfRule type="cellIs" dxfId="1854" priority="669" operator="equal">
      <formula>"F"</formula>
    </cfRule>
  </conditionalFormatting>
  <conditionalFormatting sqref="X218">
    <cfRule type="cellIs" dxfId="1853" priority="297" operator="equal">
      <formula>"F"</formula>
    </cfRule>
    <cfRule type="cellIs" dxfId="1852" priority="296" operator="equal">
      <formula>"F"</formula>
    </cfRule>
    <cfRule type="cellIs" dxfId="1851" priority="295" operator="equal">
      <formula>"U/P"</formula>
    </cfRule>
  </conditionalFormatting>
  <conditionalFormatting sqref="X226">
    <cfRule type="cellIs" dxfId="1850" priority="1138" operator="equal">
      <formula>"U/P"</formula>
    </cfRule>
    <cfRule type="cellIs" dxfId="1849" priority="1139" operator="equal">
      <formula>"F"</formula>
    </cfRule>
    <cfRule type="cellIs" dxfId="1848" priority="1140" operator="equal">
      <formula>"F"</formula>
    </cfRule>
  </conditionalFormatting>
  <conditionalFormatting sqref="X235">
    <cfRule type="cellIs" dxfId="1847" priority="1101" operator="equal">
      <formula>"F"</formula>
    </cfRule>
    <cfRule type="cellIs" dxfId="1846" priority="1099" operator="equal">
      <formula>"U/P"</formula>
    </cfRule>
    <cfRule type="cellIs" dxfId="1845" priority="1100" operator="equal">
      <formula>"F"</formula>
    </cfRule>
  </conditionalFormatting>
  <conditionalFormatting sqref="X244">
    <cfRule type="cellIs" dxfId="1844" priority="355" operator="equal">
      <formula>"U/P"</formula>
    </cfRule>
    <cfRule type="cellIs" dxfId="1843" priority="356" operator="equal">
      <formula>"F"</formula>
    </cfRule>
    <cfRule type="cellIs" dxfId="1842" priority="357" operator="equal">
      <formula>"F"</formula>
    </cfRule>
  </conditionalFormatting>
  <conditionalFormatting sqref="X252">
    <cfRule type="cellIs" dxfId="1841" priority="198" operator="equal">
      <formula>"F"</formula>
    </cfRule>
    <cfRule type="cellIs" dxfId="1840" priority="197" operator="equal">
      <formula>"F"</formula>
    </cfRule>
    <cfRule type="cellIs" dxfId="1839" priority="196" operator="equal">
      <formula>"U/P"</formula>
    </cfRule>
  </conditionalFormatting>
  <conditionalFormatting sqref="X260">
    <cfRule type="cellIs" dxfId="1838" priority="361" operator="equal">
      <formula>"U/P"</formula>
    </cfRule>
    <cfRule type="cellIs" dxfId="1837" priority="363" operator="equal">
      <formula>"F"</formula>
    </cfRule>
    <cfRule type="cellIs" dxfId="1836" priority="362" operator="equal">
      <formula>"F"</formula>
    </cfRule>
  </conditionalFormatting>
  <conditionalFormatting sqref="X268">
    <cfRule type="cellIs" dxfId="1835" priority="938" operator="equal">
      <formula>"F"</formula>
    </cfRule>
    <cfRule type="cellIs" dxfId="1834" priority="937" operator="equal">
      <formula>"U/P"</formula>
    </cfRule>
    <cfRule type="cellIs" dxfId="1833" priority="939" operator="equal">
      <formula>"F"</formula>
    </cfRule>
  </conditionalFormatting>
  <conditionalFormatting sqref="X276">
    <cfRule type="cellIs" dxfId="1832" priority="460" operator="equal">
      <formula>"U/P"</formula>
    </cfRule>
    <cfRule type="cellIs" dxfId="1831" priority="461" operator="equal">
      <formula>"F"</formula>
    </cfRule>
    <cfRule type="cellIs" dxfId="1830" priority="462" operator="equal">
      <formula>"F"</formula>
    </cfRule>
  </conditionalFormatting>
  <conditionalFormatting sqref="X284">
    <cfRule type="cellIs" dxfId="1829" priority="403" operator="equal">
      <formula>"U/P"</formula>
    </cfRule>
    <cfRule type="cellIs" dxfId="1828" priority="405" operator="equal">
      <formula>"F"</formula>
    </cfRule>
    <cfRule type="cellIs" dxfId="1827" priority="404" operator="equal">
      <formula>"F"</formula>
    </cfRule>
  </conditionalFormatting>
  <conditionalFormatting sqref="X292">
    <cfRule type="cellIs" dxfId="1826" priority="495" operator="equal">
      <formula>"F"</formula>
    </cfRule>
    <cfRule type="cellIs" dxfId="1825" priority="494" operator="equal">
      <formula>"F"</formula>
    </cfRule>
    <cfRule type="cellIs" dxfId="1824" priority="493" operator="equal">
      <formula>"U/P"</formula>
    </cfRule>
  </conditionalFormatting>
  <conditionalFormatting sqref="X300">
    <cfRule type="cellIs" dxfId="1823" priority="331" operator="equal">
      <formula>"U/P"</formula>
    </cfRule>
    <cfRule type="cellIs" dxfId="1822" priority="333" operator="equal">
      <formula>"F"</formula>
    </cfRule>
    <cfRule type="cellIs" dxfId="1821" priority="332" operator="equal">
      <formula>"F"</formula>
    </cfRule>
  </conditionalFormatting>
  <conditionalFormatting sqref="X315">
    <cfRule type="cellIs" dxfId="1820" priority="754" operator="equal">
      <formula>"U/P"</formula>
    </cfRule>
    <cfRule type="cellIs" dxfId="1819" priority="756" operator="equal">
      <formula>"F"</formula>
    </cfRule>
    <cfRule type="cellIs" dxfId="1818" priority="755" operator="equal">
      <formula>"F"</formula>
    </cfRule>
  </conditionalFormatting>
  <conditionalFormatting sqref="Z20">
    <cfRule type="cellIs" dxfId="1817" priority="1951" operator="equal">
      <formula>"U/P"</formula>
    </cfRule>
    <cfRule type="cellIs" dxfId="1816" priority="1952" operator="equal">
      <formula>"F"</formula>
    </cfRule>
    <cfRule type="cellIs" dxfId="1815" priority="1953" operator="equal">
      <formula>"F"</formula>
    </cfRule>
  </conditionalFormatting>
  <conditionalFormatting sqref="Z27">
    <cfRule type="cellIs" dxfId="1814" priority="1911" operator="equal">
      <formula>"F"</formula>
    </cfRule>
    <cfRule type="cellIs" dxfId="1813" priority="1909" operator="equal">
      <formula>"U/P"</formula>
    </cfRule>
    <cfRule type="cellIs" dxfId="1812" priority="1910" operator="equal">
      <formula>"F"</formula>
    </cfRule>
  </conditionalFormatting>
  <conditionalFormatting sqref="Z34">
    <cfRule type="cellIs" dxfId="1811" priority="1868" operator="equal">
      <formula>"F"</formula>
    </cfRule>
    <cfRule type="cellIs" dxfId="1810" priority="1869" operator="equal">
      <formula>"F"</formula>
    </cfRule>
    <cfRule type="cellIs" dxfId="1809" priority="1867" operator="equal">
      <formula>"U/P"</formula>
    </cfRule>
  </conditionalFormatting>
  <conditionalFormatting sqref="Z41">
    <cfRule type="cellIs" dxfId="1808" priority="1827" operator="equal">
      <formula>"F"</formula>
    </cfRule>
    <cfRule type="cellIs" dxfId="1807" priority="1826" operator="equal">
      <formula>"F"</formula>
    </cfRule>
    <cfRule type="cellIs" dxfId="1806" priority="1825" operator="equal">
      <formula>"U/P"</formula>
    </cfRule>
  </conditionalFormatting>
  <conditionalFormatting sqref="Z48">
    <cfRule type="cellIs" dxfId="1805" priority="1785" operator="equal">
      <formula>"F"</formula>
    </cfRule>
    <cfRule type="cellIs" dxfId="1804" priority="1784" operator="equal">
      <formula>"F"</formula>
    </cfRule>
    <cfRule type="cellIs" dxfId="1803" priority="1783" operator="equal">
      <formula>"U/P"</formula>
    </cfRule>
  </conditionalFormatting>
  <conditionalFormatting sqref="Z57">
    <cfRule type="cellIs" dxfId="1802" priority="1741" operator="equal">
      <formula>"U/P"</formula>
    </cfRule>
    <cfRule type="cellIs" dxfId="1801" priority="1742" operator="equal">
      <formula>"F"</formula>
    </cfRule>
    <cfRule type="cellIs" dxfId="1800" priority="1743" operator="equal">
      <formula>"F"</formula>
    </cfRule>
  </conditionalFormatting>
  <conditionalFormatting sqref="Z65">
    <cfRule type="cellIs" dxfId="1799" priority="1700" operator="equal">
      <formula>"F"</formula>
    </cfRule>
    <cfRule type="cellIs" dxfId="1798" priority="1699" operator="equal">
      <formula>"U/P"</formula>
    </cfRule>
    <cfRule type="cellIs" dxfId="1797" priority="1701" operator="equal">
      <formula>"F"</formula>
    </cfRule>
  </conditionalFormatting>
  <conditionalFormatting sqref="Z73">
    <cfRule type="cellIs" dxfId="1796" priority="1659" operator="equal">
      <formula>"F"</formula>
    </cfRule>
    <cfRule type="cellIs" dxfId="1795" priority="1658" operator="equal">
      <formula>"F"</formula>
    </cfRule>
    <cfRule type="cellIs" dxfId="1794" priority="1657" operator="equal">
      <formula>"U/P"</formula>
    </cfRule>
  </conditionalFormatting>
  <conditionalFormatting sqref="Z82">
    <cfRule type="cellIs" dxfId="1793" priority="1619" operator="equal">
      <formula>"F"</formula>
    </cfRule>
    <cfRule type="cellIs" dxfId="1792" priority="1618" operator="equal">
      <formula>"U/P"</formula>
    </cfRule>
    <cfRule type="cellIs" dxfId="1791" priority="1620" operator="equal">
      <formula>"F"</formula>
    </cfRule>
  </conditionalFormatting>
  <conditionalFormatting sqref="Z90">
    <cfRule type="cellIs" dxfId="1790" priority="1578" operator="equal">
      <formula>"F"</formula>
    </cfRule>
    <cfRule type="cellIs" dxfId="1789" priority="1577" operator="equal">
      <formula>"F"</formula>
    </cfRule>
    <cfRule type="cellIs" dxfId="1788" priority="1576" operator="equal">
      <formula>"U/P"</formula>
    </cfRule>
  </conditionalFormatting>
  <conditionalFormatting sqref="Z99">
    <cfRule type="cellIs" dxfId="1787" priority="386" operator="equal">
      <formula>"F"</formula>
    </cfRule>
    <cfRule type="cellIs" dxfId="1786" priority="385" operator="equal">
      <formula>"U/P"</formula>
    </cfRule>
    <cfRule type="cellIs" dxfId="1785" priority="387" operator="equal">
      <formula>"F"</formula>
    </cfRule>
  </conditionalFormatting>
  <conditionalFormatting sqref="Z110">
    <cfRule type="cellIs" dxfId="1784" priority="613" operator="equal">
      <formula>0</formula>
    </cfRule>
  </conditionalFormatting>
  <conditionalFormatting sqref="Z115">
    <cfRule type="cellIs" dxfId="1783" priority="1453" operator="equal">
      <formula>"U/P"</formula>
    </cfRule>
    <cfRule type="cellIs" dxfId="1782" priority="1454" operator="equal">
      <formula>"F"</formula>
    </cfRule>
    <cfRule type="cellIs" dxfId="1781" priority="1455" operator="equal">
      <formula>"F"</formula>
    </cfRule>
  </conditionalFormatting>
  <conditionalFormatting sqref="Z123">
    <cfRule type="cellIs" dxfId="1780" priority="1427" operator="equal">
      <formula>"F"</formula>
    </cfRule>
    <cfRule type="cellIs" dxfId="1779" priority="1428" operator="equal">
      <formula>"F"</formula>
    </cfRule>
    <cfRule type="cellIs" dxfId="1778" priority="1426" operator="equal">
      <formula>"U/P"</formula>
    </cfRule>
  </conditionalFormatting>
  <conditionalFormatting sqref="Z132">
    <cfRule type="cellIs" dxfId="1777" priority="1171" operator="equal">
      <formula>"U/P"</formula>
    </cfRule>
    <cfRule type="cellIs" dxfId="1776" priority="1172" operator="equal">
      <formula>"F"</formula>
    </cfRule>
    <cfRule type="cellIs" dxfId="1775" priority="1173" operator="equal">
      <formula>"F"</formula>
    </cfRule>
  </conditionalFormatting>
  <conditionalFormatting sqref="Z141">
    <cfRule type="cellIs" dxfId="1774" priority="162" operator="equal">
      <formula>"F"</formula>
    </cfRule>
    <cfRule type="cellIs" dxfId="1773" priority="160" operator="equal">
      <formula>"U/P"</formula>
    </cfRule>
    <cfRule type="cellIs" dxfId="1772" priority="161" operator="equal">
      <formula>"F"</formula>
    </cfRule>
  </conditionalFormatting>
  <conditionalFormatting sqref="Z150">
    <cfRule type="cellIs" dxfId="1771" priority="1177" operator="equal">
      <formula>"U/P"</formula>
    </cfRule>
    <cfRule type="cellIs" dxfId="1770" priority="1178" operator="equal">
      <formula>"F"</formula>
    </cfRule>
    <cfRule type="cellIs" dxfId="1769" priority="1179" operator="equal">
      <formula>"F"</formula>
    </cfRule>
  </conditionalFormatting>
  <conditionalFormatting sqref="Z159">
    <cfRule type="cellIs" dxfId="1768" priority="1317" operator="equal">
      <formula>"F"</formula>
    </cfRule>
    <cfRule type="cellIs" dxfId="1767" priority="1316" operator="equal">
      <formula>"F"</formula>
    </cfRule>
    <cfRule type="cellIs" dxfId="1766" priority="1315" operator="equal">
      <formula>"U/P"</formula>
    </cfRule>
  </conditionalFormatting>
  <conditionalFormatting sqref="Z168">
    <cfRule type="cellIs" dxfId="1765" priority="1284" operator="equal">
      <formula>"F"</formula>
    </cfRule>
    <cfRule type="cellIs" dxfId="1764" priority="1283" operator="equal">
      <formula>"F"</formula>
    </cfRule>
    <cfRule type="cellIs" dxfId="1763" priority="1282" operator="equal">
      <formula>"U/P"</formula>
    </cfRule>
  </conditionalFormatting>
  <conditionalFormatting sqref="Z176">
    <cfRule type="cellIs" dxfId="1762" priority="599" operator="equal">
      <formula>"F"</formula>
    </cfRule>
    <cfRule type="cellIs" dxfId="1761" priority="600" operator="equal">
      <formula>"F"</formula>
    </cfRule>
    <cfRule type="cellIs" dxfId="1760" priority="598" operator="equal">
      <formula>"U/P"</formula>
    </cfRule>
  </conditionalFormatting>
  <conditionalFormatting sqref="Z185">
    <cfRule type="cellIs" dxfId="1759" priority="279" operator="equal">
      <formula>"F"</formula>
    </cfRule>
    <cfRule type="cellIs" dxfId="1758" priority="277" operator="equal">
      <formula>"U/P"</formula>
    </cfRule>
    <cfRule type="cellIs" dxfId="1757" priority="278" operator="equal">
      <formula>"F"</formula>
    </cfRule>
  </conditionalFormatting>
  <conditionalFormatting sqref="Z202">
    <cfRule type="cellIs" dxfId="1756" priority="636" operator="equal">
      <formula>"F"</formula>
    </cfRule>
    <cfRule type="cellIs" dxfId="1755" priority="634" operator="equal">
      <formula>"U/P"</formula>
    </cfRule>
    <cfRule type="cellIs" dxfId="1754" priority="635" operator="equal">
      <formula>"F"</formula>
    </cfRule>
  </conditionalFormatting>
  <conditionalFormatting sqref="Z210">
    <cfRule type="cellIs" dxfId="1753" priority="661" operator="equal">
      <formula>"U/P"</formula>
    </cfRule>
    <cfRule type="cellIs" dxfId="1752" priority="663" operator="equal">
      <formula>"F"</formula>
    </cfRule>
    <cfRule type="cellIs" dxfId="1751" priority="662" operator="equal">
      <formula>"F"</formula>
    </cfRule>
  </conditionalFormatting>
  <conditionalFormatting sqref="Z226">
    <cfRule type="cellIs" dxfId="1750" priority="414" operator="equal">
      <formula>"F"</formula>
    </cfRule>
    <cfRule type="cellIs" dxfId="1749" priority="412" operator="equal">
      <formula>"U/P"</formula>
    </cfRule>
    <cfRule type="cellIs" dxfId="1748" priority="413" operator="equal">
      <formula>"F"</formula>
    </cfRule>
  </conditionalFormatting>
  <conditionalFormatting sqref="Z235">
    <cfRule type="cellIs" dxfId="1747" priority="1096" operator="equal">
      <formula>"U/P"</formula>
    </cfRule>
    <cfRule type="cellIs" dxfId="1746" priority="1097" operator="equal">
      <formula>"F"</formula>
    </cfRule>
    <cfRule type="cellIs" dxfId="1745" priority="1098" operator="equal">
      <formula>"F"</formula>
    </cfRule>
  </conditionalFormatting>
  <conditionalFormatting sqref="Z244">
    <cfRule type="cellIs" dxfId="1744" priority="419" operator="equal">
      <formula>"F"</formula>
    </cfRule>
    <cfRule type="cellIs" dxfId="1743" priority="418" operator="equal">
      <formula>"U/P"</formula>
    </cfRule>
    <cfRule type="cellIs" dxfId="1742" priority="420" operator="equal">
      <formula>"F"</formula>
    </cfRule>
  </conditionalFormatting>
  <conditionalFormatting sqref="Z252">
    <cfRule type="cellIs" dxfId="1741" priority="312" operator="equal">
      <formula>"F"</formula>
    </cfRule>
    <cfRule type="cellIs" dxfId="1740" priority="311" operator="equal">
      <formula>"F"</formula>
    </cfRule>
    <cfRule type="cellIs" dxfId="1739" priority="310" operator="equal">
      <formula>"U/P"</formula>
    </cfRule>
  </conditionalFormatting>
  <conditionalFormatting sqref="Z260">
    <cfRule type="cellIs" dxfId="1738" priority="375" operator="equal">
      <formula>"F"</formula>
    </cfRule>
    <cfRule type="cellIs" dxfId="1737" priority="374" operator="equal">
      <formula>"F"</formula>
    </cfRule>
    <cfRule type="cellIs" dxfId="1736" priority="373" operator="equal">
      <formula>"U/P"</formula>
    </cfRule>
  </conditionalFormatting>
  <conditionalFormatting sqref="Z268">
    <cfRule type="cellIs" dxfId="1735" priority="11" operator="equal">
      <formula>"F"</formula>
    </cfRule>
    <cfRule type="cellIs" dxfId="1734" priority="10" operator="equal">
      <formula>"U/P"</formula>
    </cfRule>
    <cfRule type="cellIs" dxfId="1733" priority="12" operator="equal">
      <formula>"F"</formula>
    </cfRule>
  </conditionalFormatting>
  <conditionalFormatting sqref="Z276">
    <cfRule type="cellIs" dxfId="1732" priority="907" operator="equal">
      <formula>"U/P"</formula>
    </cfRule>
    <cfRule type="cellIs" dxfId="1731" priority="908" operator="equal">
      <formula>"F"</formula>
    </cfRule>
    <cfRule type="cellIs" dxfId="1730" priority="909" operator="equal">
      <formula>"F"</formula>
    </cfRule>
  </conditionalFormatting>
  <conditionalFormatting sqref="Z284">
    <cfRule type="cellIs" dxfId="1729" priority="283" operator="equal">
      <formula>"U/P"</formula>
    </cfRule>
    <cfRule type="cellIs" dxfId="1728" priority="284" operator="equal">
      <formula>"F"</formula>
    </cfRule>
    <cfRule type="cellIs" dxfId="1727" priority="285" operator="equal">
      <formula>"F"</formula>
    </cfRule>
  </conditionalFormatting>
  <conditionalFormatting sqref="Z292">
    <cfRule type="cellIs" dxfId="1726" priority="60" operator="equal">
      <formula>"F"</formula>
    </cfRule>
    <cfRule type="cellIs" dxfId="1725" priority="58" operator="equal">
      <formula>"U/P"</formula>
    </cfRule>
    <cfRule type="cellIs" dxfId="1724" priority="59" operator="equal">
      <formula>"F"</formula>
    </cfRule>
  </conditionalFormatting>
  <conditionalFormatting sqref="Z300">
    <cfRule type="cellIs" dxfId="1723" priority="13" operator="equal">
      <formula>"U/P"</formula>
    </cfRule>
    <cfRule type="cellIs" dxfId="1722" priority="14" operator="equal">
      <formula>"F"</formula>
    </cfRule>
    <cfRule type="cellIs" dxfId="1721" priority="15" operator="equal">
      <formula>"F"</formula>
    </cfRule>
  </conditionalFormatting>
  <conditionalFormatting sqref="Z315">
    <cfRule type="cellIs" dxfId="1720" priority="751" operator="equal">
      <formula>"U/P"</formula>
    </cfRule>
    <cfRule type="cellIs" dxfId="1719" priority="753" operator="equal">
      <formula>"F"</formula>
    </cfRule>
    <cfRule type="cellIs" dxfId="1718" priority="752" operator="equal">
      <formula>"F"</formula>
    </cfRule>
  </conditionalFormatting>
  <conditionalFormatting sqref="AB20">
    <cfRule type="cellIs" dxfId="1717" priority="1948" operator="equal">
      <formula>"U/P"</formula>
    </cfRule>
    <cfRule type="cellIs" dxfId="1716" priority="1950" operator="equal">
      <formula>"F"</formula>
    </cfRule>
    <cfRule type="cellIs" dxfId="1715" priority="1949" operator="equal">
      <formula>"F"</formula>
    </cfRule>
  </conditionalFormatting>
  <conditionalFormatting sqref="AB27">
    <cfRule type="cellIs" dxfId="1714" priority="1907" operator="equal">
      <formula>"F"</formula>
    </cfRule>
    <cfRule type="cellIs" dxfId="1713" priority="1906" operator="equal">
      <formula>"U/P"</formula>
    </cfRule>
    <cfRule type="cellIs" dxfId="1712" priority="1908" operator="equal">
      <formula>"F"</formula>
    </cfRule>
  </conditionalFormatting>
  <conditionalFormatting sqref="AB34">
    <cfRule type="cellIs" dxfId="1711" priority="1865" operator="equal">
      <formula>"F"</formula>
    </cfRule>
    <cfRule type="cellIs" dxfId="1710" priority="1864" operator="equal">
      <formula>"U/P"</formula>
    </cfRule>
    <cfRule type="cellIs" dxfId="1709" priority="1866" operator="equal">
      <formula>"F"</formula>
    </cfRule>
  </conditionalFormatting>
  <conditionalFormatting sqref="AB41">
    <cfRule type="cellIs" dxfId="1708" priority="1822" operator="equal">
      <formula>"U/P"</formula>
    </cfRule>
    <cfRule type="cellIs" dxfId="1707" priority="1823" operator="equal">
      <formula>"F"</formula>
    </cfRule>
    <cfRule type="cellIs" dxfId="1706" priority="1824" operator="equal">
      <formula>"F"</formula>
    </cfRule>
  </conditionalFormatting>
  <conditionalFormatting sqref="AB48">
    <cfRule type="cellIs" dxfId="1705" priority="1782" operator="equal">
      <formula>"F"</formula>
    </cfRule>
    <cfRule type="cellIs" dxfId="1704" priority="1780" operator="equal">
      <formula>"U/P"</formula>
    </cfRule>
    <cfRule type="cellIs" dxfId="1703" priority="1781" operator="equal">
      <formula>"F"</formula>
    </cfRule>
  </conditionalFormatting>
  <conditionalFormatting sqref="AB57">
    <cfRule type="cellIs" dxfId="1702" priority="1738" operator="equal">
      <formula>"U/P"</formula>
    </cfRule>
    <cfRule type="cellIs" dxfId="1701" priority="1739" operator="equal">
      <formula>"F"</formula>
    </cfRule>
    <cfRule type="cellIs" dxfId="1700" priority="1740" operator="equal">
      <formula>"F"</formula>
    </cfRule>
  </conditionalFormatting>
  <conditionalFormatting sqref="AB65">
    <cfRule type="cellIs" dxfId="1699" priority="1698" operator="equal">
      <formula>"F"</formula>
    </cfRule>
    <cfRule type="cellIs" dxfId="1698" priority="1697" operator="equal">
      <formula>"F"</formula>
    </cfRule>
    <cfRule type="cellIs" dxfId="1697" priority="1696" operator="equal">
      <formula>"U/P"</formula>
    </cfRule>
  </conditionalFormatting>
  <conditionalFormatting sqref="AB73">
    <cfRule type="cellIs" dxfId="1696" priority="1654" operator="equal">
      <formula>"U/P"</formula>
    </cfRule>
    <cfRule type="cellIs" dxfId="1695" priority="1656" operator="equal">
      <formula>"F"</formula>
    </cfRule>
    <cfRule type="cellIs" dxfId="1694" priority="1655" operator="equal">
      <formula>"F"</formula>
    </cfRule>
  </conditionalFormatting>
  <conditionalFormatting sqref="AB82">
    <cfRule type="cellIs" dxfId="1693" priority="1612" operator="equal">
      <formula>"U/P"</formula>
    </cfRule>
    <cfRule type="cellIs" dxfId="1692" priority="1613" operator="equal">
      <formula>"F"</formula>
    </cfRule>
    <cfRule type="cellIs" dxfId="1691" priority="1614" operator="equal">
      <formula>"F"</formula>
    </cfRule>
  </conditionalFormatting>
  <conditionalFormatting sqref="AB90">
    <cfRule type="cellIs" dxfId="1690" priority="1574" operator="equal">
      <formula>"F"</formula>
    </cfRule>
    <cfRule type="cellIs" dxfId="1689" priority="1575" operator="equal">
      <formula>"F"</formula>
    </cfRule>
    <cfRule type="cellIs" dxfId="1688" priority="1573" operator="equal">
      <formula>"U/P"</formula>
    </cfRule>
  </conditionalFormatting>
  <conditionalFormatting sqref="AB99">
    <cfRule type="cellIs" dxfId="1687" priority="1534" operator="equal">
      <formula>"U/P"</formula>
    </cfRule>
    <cfRule type="cellIs" dxfId="1686" priority="1535" operator="equal">
      <formula>"F"</formula>
    </cfRule>
    <cfRule type="cellIs" dxfId="1685" priority="1536" operator="equal">
      <formula>"F"</formula>
    </cfRule>
  </conditionalFormatting>
  <conditionalFormatting sqref="AB115">
    <cfRule type="cellIs" dxfId="1684" priority="1451" operator="equal">
      <formula>"F"</formula>
    </cfRule>
    <cfRule type="cellIs" dxfId="1683" priority="1452" operator="equal">
      <formula>"F"</formula>
    </cfRule>
    <cfRule type="cellIs" dxfId="1682" priority="1450" operator="equal">
      <formula>"U/P"</formula>
    </cfRule>
  </conditionalFormatting>
  <conditionalFormatting sqref="AB123">
    <cfRule type="cellIs" dxfId="1681" priority="1425" operator="equal">
      <formula>"F"</formula>
    </cfRule>
    <cfRule type="cellIs" dxfId="1680" priority="1423" operator="equal">
      <formula>"U/P"</formula>
    </cfRule>
    <cfRule type="cellIs" dxfId="1679" priority="1424" operator="equal">
      <formula>"F"</formula>
    </cfRule>
  </conditionalFormatting>
  <conditionalFormatting sqref="AB132">
    <cfRule type="cellIs" dxfId="1678" priority="2046" operator="equal">
      <formula>"F"</formula>
    </cfRule>
    <cfRule type="cellIs" dxfId="1677" priority="2045" operator="equal">
      <formula>"U/P"</formula>
    </cfRule>
    <cfRule type="cellIs" dxfId="1676" priority="2047" operator="equal">
      <formula>"F"</formula>
    </cfRule>
  </conditionalFormatting>
  <conditionalFormatting sqref="AB141">
    <cfRule type="cellIs" dxfId="1675" priority="43" operator="equal">
      <formula>"U/P"</formula>
    </cfRule>
    <cfRule type="cellIs" dxfId="1674" priority="44" operator="equal">
      <formula>"F"</formula>
    </cfRule>
    <cfRule type="cellIs" dxfId="1673" priority="45" operator="equal">
      <formula>"F"</formula>
    </cfRule>
  </conditionalFormatting>
  <conditionalFormatting sqref="AB150">
    <cfRule type="cellIs" dxfId="1672" priority="1176" operator="equal">
      <formula>"F"</formula>
    </cfRule>
    <cfRule type="cellIs" dxfId="1671" priority="1175" operator="equal">
      <formula>"F"</formula>
    </cfRule>
    <cfRule type="cellIs" dxfId="1670" priority="1174" operator="equal">
      <formula>"U/P"</formula>
    </cfRule>
  </conditionalFormatting>
  <conditionalFormatting sqref="AB159">
    <cfRule type="cellIs" dxfId="1669" priority="1312" operator="equal">
      <formula>"U/P"</formula>
    </cfRule>
    <cfRule type="cellIs" dxfId="1668" priority="1314" operator="equal">
      <formula>"F"</formula>
    </cfRule>
    <cfRule type="cellIs" dxfId="1667" priority="1313" operator="equal">
      <formula>"F"</formula>
    </cfRule>
  </conditionalFormatting>
  <conditionalFormatting sqref="AB168">
    <cfRule type="cellIs" dxfId="1666" priority="1279" operator="equal">
      <formula>"U/P"</formula>
    </cfRule>
    <cfRule type="cellIs" dxfId="1665" priority="1281" operator="equal">
      <formula>"F"</formula>
    </cfRule>
    <cfRule type="cellIs" dxfId="1664" priority="1280" operator="equal">
      <formula>"F"</formula>
    </cfRule>
  </conditionalFormatting>
  <conditionalFormatting sqref="AB176">
    <cfRule type="cellIs" dxfId="1663" priority="1251" operator="equal">
      <formula>"F"</formula>
    </cfRule>
    <cfRule type="cellIs" dxfId="1662" priority="1249" operator="equal">
      <formula>"U/P"</formula>
    </cfRule>
    <cfRule type="cellIs" dxfId="1661" priority="1250" operator="equal">
      <formula>"F"</formula>
    </cfRule>
  </conditionalFormatting>
  <conditionalFormatting sqref="AB185">
    <cfRule type="cellIs" dxfId="1660" priority="701" operator="equal">
      <formula>"F"</formula>
    </cfRule>
    <cfRule type="cellIs" dxfId="1659" priority="702" operator="equal">
      <formula>"F"</formula>
    </cfRule>
    <cfRule type="cellIs" dxfId="1658" priority="700" operator="equal">
      <formula>"U/P"</formula>
    </cfRule>
  </conditionalFormatting>
  <conditionalFormatting sqref="AB202">
    <cfRule type="cellIs" dxfId="1657" priority="2003" operator="equal">
      <formula>"F"</formula>
    </cfRule>
    <cfRule type="cellIs" dxfId="1656" priority="2002" operator="equal">
      <formula>"F"</formula>
    </cfRule>
    <cfRule type="cellIs" dxfId="1655" priority="2001" operator="equal">
      <formula>"U/P"</formula>
    </cfRule>
  </conditionalFormatting>
  <conditionalFormatting sqref="AB210">
    <cfRule type="cellIs" dxfId="1654" priority="342" operator="equal">
      <formula>"F"</formula>
    </cfRule>
    <cfRule type="cellIs" dxfId="1653" priority="341" operator="equal">
      <formula>"F"</formula>
    </cfRule>
    <cfRule type="cellIs" dxfId="1652" priority="340" operator="equal">
      <formula>"U/P"</formula>
    </cfRule>
  </conditionalFormatting>
  <conditionalFormatting sqref="AB226">
    <cfRule type="cellIs" dxfId="1651" priority="345" operator="equal">
      <formula>"F"</formula>
    </cfRule>
    <cfRule type="cellIs" dxfId="1650" priority="343" operator="equal">
      <formula>"U/P"</formula>
    </cfRule>
    <cfRule type="cellIs" dxfId="1649" priority="344" operator="equal">
      <formula>"F"</formula>
    </cfRule>
  </conditionalFormatting>
  <conditionalFormatting sqref="AB235">
    <cfRule type="cellIs" dxfId="1648" priority="1093" operator="equal">
      <formula>"U/P"</formula>
    </cfRule>
    <cfRule type="cellIs" dxfId="1647" priority="1094" operator="equal">
      <formula>"F"</formula>
    </cfRule>
    <cfRule type="cellIs" dxfId="1646" priority="1095" operator="equal">
      <formula>"F"</formula>
    </cfRule>
  </conditionalFormatting>
  <conditionalFormatting sqref="AB244">
    <cfRule type="cellIs" dxfId="1645" priority="55" operator="equal">
      <formula>"U/P"</formula>
    </cfRule>
    <cfRule type="cellIs" dxfId="1644" priority="56" operator="equal">
      <formula>"F"</formula>
    </cfRule>
    <cfRule type="cellIs" dxfId="1643" priority="57" operator="equal">
      <formula>"F"</formula>
    </cfRule>
  </conditionalFormatting>
  <conditionalFormatting sqref="AB252">
    <cfRule type="cellIs" dxfId="1642" priority="169" operator="equal">
      <formula>"U/P"</formula>
    </cfRule>
    <cfRule type="cellIs" dxfId="1641" priority="171" operator="equal">
      <formula>"F"</formula>
    </cfRule>
    <cfRule type="cellIs" dxfId="1640" priority="170" operator="equal">
      <formula>"F"</formula>
    </cfRule>
  </conditionalFormatting>
  <conditionalFormatting sqref="AB260">
    <cfRule type="cellIs" dxfId="1639" priority="406" operator="equal">
      <formula>"U/P"</formula>
    </cfRule>
    <cfRule type="cellIs" dxfId="1638" priority="407" operator="equal">
      <formula>"F"</formula>
    </cfRule>
    <cfRule type="cellIs" dxfId="1637" priority="408" operator="equal">
      <formula>"F"</formula>
    </cfRule>
  </conditionalFormatting>
  <conditionalFormatting sqref="AB268">
    <cfRule type="cellIs" dxfId="1636" priority="38" operator="equal">
      <formula>"F"</formula>
    </cfRule>
    <cfRule type="cellIs" dxfId="1635" priority="39" operator="equal">
      <formula>"F"</formula>
    </cfRule>
    <cfRule type="cellIs" dxfId="1634" priority="37" operator="equal">
      <formula>"U/P"</formula>
    </cfRule>
  </conditionalFormatting>
  <conditionalFormatting sqref="AB276">
    <cfRule type="cellIs" dxfId="1633" priority="401" operator="equal">
      <formula>"F"</formula>
    </cfRule>
    <cfRule type="cellIs" dxfId="1632" priority="402" operator="equal">
      <formula>"F"</formula>
    </cfRule>
    <cfRule type="cellIs" dxfId="1631" priority="400" operator="equal">
      <formula>"U/P"</formula>
    </cfRule>
  </conditionalFormatting>
  <conditionalFormatting sqref="AB284">
    <cfRule type="cellIs" dxfId="1630" priority="864" operator="equal">
      <formula>"F"</formula>
    </cfRule>
    <cfRule type="cellIs" dxfId="1629" priority="863" operator="equal">
      <formula>"F"</formula>
    </cfRule>
    <cfRule type="cellIs" dxfId="1628" priority="862" operator="equal">
      <formula>"U/P"</formula>
    </cfRule>
  </conditionalFormatting>
  <conditionalFormatting sqref="AB292">
    <cfRule type="cellIs" dxfId="1627" priority="424" operator="equal">
      <formula>"U/P"</formula>
    </cfRule>
    <cfRule type="cellIs" dxfId="1626" priority="425" operator="equal">
      <formula>"F"</formula>
    </cfRule>
    <cfRule type="cellIs" dxfId="1625" priority="426" operator="equal">
      <formula>"F"</formula>
    </cfRule>
  </conditionalFormatting>
  <conditionalFormatting sqref="AB300">
    <cfRule type="cellIs" dxfId="1624" priority="1" operator="equal">
      <formula>"U/P"</formula>
    </cfRule>
    <cfRule type="cellIs" dxfId="1623" priority="2" operator="equal">
      <formula>"F"</formula>
    </cfRule>
    <cfRule type="cellIs" dxfId="1622" priority="3" operator="equal">
      <formula>"F"</formula>
    </cfRule>
  </conditionalFormatting>
  <conditionalFormatting sqref="AB315">
    <cfRule type="cellIs" dxfId="1621" priority="749" operator="equal">
      <formula>"F"</formula>
    </cfRule>
    <cfRule type="cellIs" dxfId="1620" priority="748" operator="equal">
      <formula>"U/P"</formula>
    </cfRule>
    <cfRule type="cellIs" dxfId="1619" priority="750" operator="equal">
      <formula>"F"</formula>
    </cfRule>
  </conditionalFormatting>
  <conditionalFormatting sqref="AD90">
    <cfRule type="cellIs" dxfId="1618" priority="1571" operator="equal">
      <formula>"F"</formula>
    </cfRule>
    <cfRule type="cellIs" dxfId="1617" priority="1570" operator="equal">
      <formula>"U/P"</formula>
    </cfRule>
    <cfRule type="cellIs" dxfId="1616" priority="1572" operator="equal">
      <formula>"F"</formula>
    </cfRule>
  </conditionalFormatting>
  <conditionalFormatting sqref="AD99">
    <cfRule type="cellIs" dxfId="1615" priority="1532" operator="equal">
      <formula>"F"</formula>
    </cfRule>
    <cfRule type="cellIs" dxfId="1614" priority="1531" operator="equal">
      <formula>"U/P"</formula>
    </cfRule>
    <cfRule type="cellIs" dxfId="1613" priority="1533" operator="equal">
      <formula>"F"</formula>
    </cfRule>
  </conditionalFormatting>
  <conditionalFormatting sqref="AD268">
    <cfRule type="cellIs" dxfId="1612" priority="159" operator="equal">
      <formula>"F"</formula>
    </cfRule>
    <cfRule type="cellIs" dxfId="1611" priority="158" operator="equal">
      <formula>"F"</formula>
    </cfRule>
    <cfRule type="cellIs" dxfId="1610" priority="157" operator="equal">
      <formula>"U/P"</formula>
    </cfRule>
  </conditionalFormatting>
  <conditionalFormatting sqref="AD300">
    <cfRule type="cellIs" dxfId="1609" priority="816" operator="equal">
      <formula>"F"</formula>
    </cfRule>
    <cfRule type="cellIs" dxfId="1608" priority="815" operator="equal">
      <formula>"F"</formula>
    </cfRule>
    <cfRule type="cellIs" dxfId="1607" priority="814" operator="equal">
      <formula>"U/P"</formula>
    </cfRule>
  </conditionalFormatting>
  <conditionalFormatting sqref="AF99">
    <cfRule type="cellIs" dxfId="1606" priority="1530" operator="equal">
      <formula>"F"</formula>
    </cfRule>
    <cfRule type="cellIs" dxfId="1605" priority="1528" operator="equal">
      <formula>"U/P"</formula>
    </cfRule>
    <cfRule type="cellIs" dxfId="1604" priority="1529" operator="equal">
      <formula>"F"</formula>
    </cfRule>
  </conditionalFormatting>
  <pageMargins left="0.51181102362204722" right="0.62992125984251968" top="0.19685039370078741" bottom="0.15748031496062992" header="0.15748031496062992" footer="0.15748031496062992"/>
  <pageSetup paperSize="9" scale="26" fitToHeight="0" orientation="landscape" r:id="rId1"/>
  <rowBreaks count="5" manualBreakCount="5">
    <brk id="52" max="32" man="1"/>
    <brk id="102" max="32" man="1"/>
    <brk id="154" max="32" man="1"/>
    <brk id="205" max="32" man="1"/>
    <brk id="255" max="32" man="1"/>
  </rowBreaks>
  <colBreaks count="1" manualBreakCount="1">
    <brk id="42" max="315"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RowHeight="12"/>
  <cols>
    <col min="1" max="1" width="8.7265625" style="457"/>
    <col min="2" max="2" width="10" style="457" customWidth="1"/>
    <col min="3" max="3" width="6.6328125" style="457" customWidth="1"/>
    <col min="4" max="4" width="7.453125" style="457" customWidth="1"/>
    <col min="5" max="5" width="6.6328125" style="457" customWidth="1"/>
    <col min="6" max="6" width="7.36328125" style="457" customWidth="1"/>
    <col min="7" max="7" width="6.6328125" style="457" customWidth="1"/>
    <col min="8" max="8" width="7.6328125" style="457" customWidth="1"/>
    <col min="9" max="13" width="6.6328125" style="457" customWidth="1"/>
    <col min="14" max="14" width="7.7265625" style="457" bestFit="1" customWidth="1"/>
    <col min="15" max="17" width="6.6328125" style="457" customWidth="1"/>
    <col min="18" max="18" width="7.7265625" style="457" bestFit="1" customWidth="1"/>
    <col min="19" max="21" width="6.6328125" style="457" customWidth="1"/>
    <col min="22" max="22" width="7.36328125" style="457" bestFit="1" customWidth="1"/>
    <col min="23" max="23" width="6.6328125" style="457" customWidth="1"/>
    <col min="24" max="24" width="7.453125" style="457" customWidth="1"/>
    <col min="25" max="25" width="6.6328125" style="457" customWidth="1"/>
    <col min="26" max="26" width="7.453125" style="457" customWidth="1"/>
    <col min="27" max="28" width="6.6328125" style="457" customWidth="1"/>
    <col min="29" max="29" width="8.7265625" style="457"/>
    <col min="30" max="30" width="6.1796875" style="457" customWidth="1"/>
    <col min="31" max="31" width="5" style="457" customWidth="1"/>
    <col min="32" max="32" width="6.81640625" style="457" customWidth="1"/>
    <col min="33" max="33" width="6.54296875" style="457" customWidth="1"/>
    <col min="34" max="34" width="6.1796875" style="457" customWidth="1"/>
    <col min="35" max="35" width="6.81640625" style="457" customWidth="1"/>
    <col min="36" max="36" width="11.81640625" style="457" customWidth="1"/>
    <col min="37" max="37" width="6.54296875" style="457" customWidth="1"/>
    <col min="38" max="16384" width="8.7265625" style="457"/>
  </cols>
  <sheetData>
    <row r="1" spans="1:37" ht="36.75" customHeight="1" thickBot="1">
      <c r="A1" s="1566">
        <v>52</v>
      </c>
      <c r="B1" s="1567"/>
      <c r="C1" s="1567"/>
      <c r="D1" s="1567"/>
      <c r="E1" s="1567"/>
      <c r="F1" s="1567"/>
      <c r="G1" s="1567"/>
      <c r="H1" s="1567"/>
      <c r="I1" s="1567"/>
      <c r="J1" s="1567"/>
      <c r="K1" s="1567"/>
      <c r="L1" s="1567"/>
      <c r="M1" s="1567"/>
      <c r="N1" s="1567"/>
      <c r="O1" s="1567"/>
      <c r="P1" s="1567"/>
      <c r="Q1" s="1567"/>
      <c r="R1" s="1567"/>
      <c r="S1" s="1567"/>
      <c r="T1" s="1567"/>
      <c r="U1" s="1567"/>
      <c r="V1" s="1567"/>
      <c r="W1" s="1567"/>
      <c r="X1" s="1567"/>
      <c r="Y1" s="1567"/>
      <c r="Z1" s="1567"/>
      <c r="AA1" s="1567"/>
      <c r="AB1" s="1567"/>
      <c r="AC1" s="1567"/>
      <c r="AD1" s="1567"/>
      <c r="AE1" s="1568"/>
      <c r="AF1" s="455"/>
      <c r="AG1" s="455"/>
      <c r="AH1" s="455"/>
      <c r="AI1" s="455"/>
      <c r="AJ1" s="455"/>
      <c r="AK1" s="456"/>
    </row>
    <row r="2" spans="1:37">
      <c r="A2" s="1569">
        <f ca="1">NOW()-1</f>
        <v>45964.674155439818</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0"/>
      <c r="AA2" s="1570"/>
      <c r="AB2" s="1570"/>
      <c r="AC2" s="1570"/>
      <c r="AD2" s="1570"/>
      <c r="AE2" s="458"/>
      <c r="AK2" s="459"/>
    </row>
    <row r="3" spans="1:37" ht="12.5" thickBot="1">
      <c r="A3" s="1571" t="s">
        <v>1163</v>
      </c>
      <c r="B3" s="1572"/>
      <c r="C3" s="1572"/>
      <c r="D3" s="1572"/>
      <c r="E3" s="1572"/>
      <c r="F3" s="1572"/>
      <c r="G3" s="1572"/>
      <c r="H3" s="1572"/>
      <c r="I3" s="1572"/>
      <c r="J3" s="1572"/>
      <c r="K3" s="1572"/>
      <c r="L3" s="1572"/>
      <c r="M3" s="1572"/>
      <c r="N3" s="1572"/>
      <c r="O3" s="1572"/>
      <c r="P3" s="1572"/>
      <c r="Q3" s="1572"/>
      <c r="R3" s="1572"/>
      <c r="S3" s="1572"/>
      <c r="T3" s="1572"/>
      <c r="U3" s="1572"/>
      <c r="V3" s="1572"/>
      <c r="W3" s="1572"/>
      <c r="X3" s="1572"/>
      <c r="Y3" s="1572"/>
      <c r="Z3" s="1572"/>
      <c r="AA3" s="1572"/>
      <c r="AB3" s="1572"/>
      <c r="AC3" s="1572"/>
      <c r="AD3" s="1572"/>
      <c r="AE3" s="1573"/>
      <c r="AK3" s="459"/>
    </row>
    <row r="4" spans="1:37">
      <c r="A4" s="1574" t="s">
        <v>1164</v>
      </c>
      <c r="B4" s="1575"/>
      <c r="C4" s="1575"/>
      <c r="D4" s="1575"/>
      <c r="E4" s="1575"/>
      <c r="F4" s="1575"/>
      <c r="G4" s="1575"/>
      <c r="H4" s="1575"/>
      <c r="I4" s="1575"/>
      <c r="J4" s="1575"/>
      <c r="K4" s="1575"/>
      <c r="L4" s="1575"/>
      <c r="M4" s="1575"/>
      <c r="N4" s="1575"/>
      <c r="O4" s="1575"/>
      <c r="P4" s="1576"/>
      <c r="Q4" s="460"/>
      <c r="R4" s="460"/>
      <c r="S4" s="1579"/>
      <c r="T4" s="1579"/>
      <c r="U4" s="1579"/>
      <c r="V4" s="461"/>
      <c r="W4" s="1580"/>
      <c r="X4" s="1580"/>
      <c r="Y4" s="1580"/>
      <c r="Z4" s="1580"/>
      <c r="AA4" s="461"/>
      <c r="AB4" s="461"/>
      <c r="AC4" s="462"/>
      <c r="AD4" s="462"/>
      <c r="AE4" s="463"/>
      <c r="AK4" s="459"/>
    </row>
    <row r="5" spans="1:37">
      <c r="A5" s="1577"/>
      <c r="B5" s="1556"/>
      <c r="C5" s="1556"/>
      <c r="D5" s="1556"/>
      <c r="E5" s="1556"/>
      <c r="F5" s="1556"/>
      <c r="G5" s="1556"/>
      <c r="H5" s="1556"/>
      <c r="I5" s="1556"/>
      <c r="J5" s="1556"/>
      <c r="K5" s="1556"/>
      <c r="L5" s="1556"/>
      <c r="M5" s="1556"/>
      <c r="N5" s="1556"/>
      <c r="O5" s="1556"/>
      <c r="P5" s="1578"/>
      <c r="Q5" s="460"/>
      <c r="R5" s="460"/>
      <c r="S5" s="1581" t="s">
        <v>1165</v>
      </c>
      <c r="T5" s="1581"/>
      <c r="U5" s="1581"/>
      <c r="V5" s="462"/>
      <c r="W5" s="1563" t="s">
        <v>1166</v>
      </c>
      <c r="X5" s="1563"/>
      <c r="Y5" s="1563"/>
      <c r="Z5" s="1563"/>
      <c r="AA5" s="462"/>
      <c r="AB5" s="462"/>
      <c r="AC5" s="462"/>
      <c r="AD5" s="462"/>
      <c r="AE5" s="463"/>
      <c r="AK5" s="459"/>
    </row>
    <row r="6" spans="1:37">
      <c r="A6" s="1550" t="s">
        <v>1012</v>
      </c>
      <c r="B6" s="1551"/>
      <c r="C6" s="1551" t="s">
        <v>27</v>
      </c>
      <c r="D6" s="1551"/>
      <c r="E6" s="1551"/>
      <c r="F6" s="1551" t="s">
        <v>1167</v>
      </c>
      <c r="G6" s="1551"/>
      <c r="H6" s="1553" t="s">
        <v>1168</v>
      </c>
      <c r="I6" s="1553"/>
      <c r="J6" s="1553"/>
      <c r="K6" s="1553" t="s">
        <v>1169</v>
      </c>
      <c r="L6" s="1553"/>
      <c r="M6" s="1553"/>
      <c r="N6" s="1553" t="s">
        <v>857</v>
      </c>
      <c r="O6" s="1553"/>
      <c r="P6" s="1555"/>
      <c r="Q6" s="460"/>
      <c r="R6" s="460"/>
      <c r="S6" s="460"/>
      <c r="T6" s="462"/>
      <c r="U6" s="462"/>
      <c r="V6" s="462"/>
      <c r="W6" s="462"/>
      <c r="X6" s="462"/>
      <c r="Y6" s="462"/>
      <c r="Z6" s="462"/>
      <c r="AA6" s="462"/>
      <c r="AB6" s="462"/>
      <c r="AC6" s="462"/>
      <c r="AD6" s="462" t="s">
        <v>64</v>
      </c>
      <c r="AE6" s="463"/>
      <c r="AK6" s="459"/>
    </row>
    <row r="7" spans="1:37">
      <c r="A7" s="1550"/>
      <c r="B7" s="1551"/>
      <c r="C7" s="1551"/>
      <c r="D7" s="1551"/>
      <c r="E7" s="1551"/>
      <c r="F7" s="1551"/>
      <c r="G7" s="1551"/>
      <c r="H7" s="1553"/>
      <c r="I7" s="1553"/>
      <c r="J7" s="1553"/>
      <c r="K7" s="1553"/>
      <c r="L7" s="1553"/>
      <c r="M7" s="1553"/>
      <c r="N7" s="1553"/>
      <c r="O7" s="1553"/>
      <c r="P7" s="1555"/>
      <c r="Q7" s="460"/>
      <c r="R7" s="460"/>
      <c r="S7" s="460"/>
      <c r="T7" s="462"/>
      <c r="U7" s="462"/>
      <c r="V7" s="462"/>
      <c r="W7" s="462"/>
      <c r="X7" s="462"/>
      <c r="Y7" s="462"/>
      <c r="Z7" s="462"/>
      <c r="AA7" s="443"/>
      <c r="AB7" s="443"/>
      <c r="AC7" s="443"/>
      <c r="AD7" s="443"/>
      <c r="AE7" s="463"/>
      <c r="AK7" s="459"/>
    </row>
    <row r="8" spans="1:37" ht="20" customHeight="1">
      <c r="A8" s="1550">
        <v>1</v>
      </c>
      <c r="B8" s="1551"/>
      <c r="C8" s="1556" t="s">
        <v>1170</v>
      </c>
      <c r="D8" s="1556"/>
      <c r="E8" s="1556"/>
      <c r="F8" s="1553" t="s">
        <v>1065</v>
      </c>
      <c r="G8" s="1553"/>
      <c r="H8" s="1554">
        <v>187.17500000000001</v>
      </c>
      <c r="I8" s="1554"/>
      <c r="J8" s="1554"/>
      <c r="K8" s="1554">
        <v>187.17500000000001</v>
      </c>
      <c r="L8" s="1554"/>
      <c r="M8" s="1554"/>
      <c r="N8" s="1553">
        <f>H8-K8</f>
        <v>0</v>
      </c>
      <c r="O8" s="1553"/>
      <c r="P8" s="1555"/>
      <c r="Q8" s="460" t="s">
        <v>1420</v>
      </c>
      <c r="R8" s="460"/>
      <c r="S8" s="460"/>
      <c r="T8" s="462"/>
      <c r="U8" s="462"/>
      <c r="V8" s="462"/>
      <c r="W8" s="462"/>
      <c r="X8" s="462"/>
      <c r="Y8" s="462"/>
      <c r="Z8" s="462"/>
      <c r="AA8" s="443"/>
      <c r="AB8" s="443"/>
      <c r="AC8" s="443"/>
      <c r="AD8" s="443"/>
      <c r="AE8" s="463"/>
      <c r="AK8" s="459"/>
    </row>
    <row r="9" spans="1:37" ht="30.65" customHeight="1">
      <c r="A9" s="1550">
        <f>A8+1</f>
        <v>2</v>
      </c>
      <c r="B9" s="1551"/>
      <c r="C9" s="1556" t="s">
        <v>1171</v>
      </c>
      <c r="D9" s="1556"/>
      <c r="E9" s="1556"/>
      <c r="F9" s="1553" t="s">
        <v>1065</v>
      </c>
      <c r="G9" s="1553"/>
      <c r="H9" s="1554">
        <v>187.17500000000001</v>
      </c>
      <c r="I9" s="1554"/>
      <c r="J9" s="1554"/>
      <c r="K9" s="1559">
        <v>169.16800000000001</v>
      </c>
      <c r="L9" s="1560"/>
      <c r="M9" s="1561"/>
      <c r="N9" s="1553">
        <f>H9-K9</f>
        <v>18.007000000000005</v>
      </c>
      <c r="O9" s="1553"/>
      <c r="P9" s="1555"/>
      <c r="Q9" s="460" t="s">
        <v>1419</v>
      </c>
      <c r="R9" s="460"/>
      <c r="S9" s="460"/>
      <c r="T9" s="462"/>
      <c r="U9" s="462"/>
      <c r="V9" s="462"/>
      <c r="W9" s="462"/>
      <c r="X9" s="462"/>
      <c r="Y9" s="462"/>
      <c r="Z9" s="462"/>
      <c r="AA9" s="443"/>
      <c r="AB9" s="443"/>
      <c r="AC9" s="443"/>
      <c r="AD9" s="443"/>
      <c r="AE9" s="463"/>
      <c r="AK9" s="459"/>
    </row>
    <row r="10" spans="1:37" ht="33" customHeight="1">
      <c r="A10" s="1550">
        <f t="shared" ref="A10:A16" si="0">A9+1</f>
        <v>3</v>
      </c>
      <c r="B10" s="1551"/>
      <c r="C10" s="1556" t="s">
        <v>1172</v>
      </c>
      <c r="D10" s="1556"/>
      <c r="E10" s="1556"/>
      <c r="F10" s="1557" t="s">
        <v>1173</v>
      </c>
      <c r="G10" s="1558"/>
      <c r="H10" s="1559">
        <v>73</v>
      </c>
      <c r="I10" s="1560"/>
      <c r="J10" s="1561"/>
      <c r="K10" s="1562">
        <v>73</v>
      </c>
      <c r="L10" s="1562"/>
      <c r="M10" s="1562"/>
      <c r="N10" s="1553">
        <f>H10-K10</f>
        <v>0</v>
      </c>
      <c r="O10" s="1553"/>
      <c r="P10" s="1555"/>
      <c r="Q10" s="460"/>
      <c r="R10" s="460"/>
      <c r="S10" s="460"/>
      <c r="T10" s="462"/>
      <c r="U10" s="462"/>
      <c r="V10" s="462"/>
      <c r="W10" s="462"/>
      <c r="X10" s="462"/>
      <c r="Y10" s="462"/>
      <c r="Z10" s="462"/>
      <c r="AA10" s="443"/>
      <c r="AB10" s="443"/>
      <c r="AC10" s="443"/>
      <c r="AD10" s="443"/>
      <c r="AE10" s="463"/>
      <c r="AK10" s="459"/>
    </row>
    <row r="11" spans="1:37" ht="25.75" customHeight="1">
      <c r="A11" s="1550">
        <f t="shared" si="0"/>
        <v>4</v>
      </c>
      <c r="B11" s="1551"/>
      <c r="C11" s="1556" t="s">
        <v>304</v>
      </c>
      <c r="D11" s="1556"/>
      <c r="E11" s="1556"/>
      <c r="F11" s="1557" t="s">
        <v>1173</v>
      </c>
      <c r="G11" s="1558"/>
      <c r="H11" s="1559">
        <v>495</v>
      </c>
      <c r="I11" s="1560"/>
      <c r="J11" s="1561"/>
      <c r="K11" s="1562">
        <v>79</v>
      </c>
      <c r="L11" s="1562"/>
      <c r="M11" s="1562"/>
      <c r="N11" s="1553">
        <f>H11-K11</f>
        <v>416</v>
      </c>
      <c r="O11" s="1553"/>
      <c r="P11" s="1555"/>
      <c r="Q11" s="460"/>
      <c r="R11" s="460"/>
      <c r="S11" s="462"/>
      <c r="T11" s="462"/>
      <c r="U11" s="462"/>
      <c r="V11" s="462"/>
      <c r="W11" s="462"/>
      <c r="X11" s="462"/>
      <c r="Y11" s="462"/>
      <c r="Z11" s="462"/>
      <c r="AA11" s="444" t="s">
        <v>1174</v>
      </c>
      <c r="AB11" s="443"/>
      <c r="AC11" s="443"/>
      <c r="AD11" s="443"/>
      <c r="AE11" s="463"/>
      <c r="AK11" s="459"/>
    </row>
    <row r="12" spans="1:37" ht="21" customHeight="1">
      <c r="A12" s="1550">
        <f t="shared" si="0"/>
        <v>5</v>
      </c>
      <c r="B12" s="1551"/>
      <c r="C12" s="1556" t="s">
        <v>305</v>
      </c>
      <c r="D12" s="1556"/>
      <c r="E12" s="1556"/>
      <c r="F12" s="1557" t="s">
        <v>1175</v>
      </c>
      <c r="G12" s="1558"/>
      <c r="H12" s="1559">
        <v>497</v>
      </c>
      <c r="I12" s="1560"/>
      <c r="J12" s="1561"/>
      <c r="K12" s="1562">
        <v>61</v>
      </c>
      <c r="L12" s="1562"/>
      <c r="M12" s="1562"/>
      <c r="N12" s="1553">
        <f>H12-K12</f>
        <v>436</v>
      </c>
      <c r="O12" s="1553"/>
      <c r="P12" s="1555"/>
      <c r="Q12" s="460"/>
      <c r="R12" s="460"/>
      <c r="S12" s="464" t="s">
        <v>1176</v>
      </c>
      <c r="T12" s="462"/>
      <c r="U12" s="462"/>
      <c r="V12" s="1563" t="s">
        <v>219</v>
      </c>
      <c r="W12" s="1563"/>
      <c r="X12" s="1563"/>
      <c r="Y12" s="462"/>
      <c r="Z12" s="462"/>
      <c r="AA12" s="443"/>
      <c r="AB12" s="1564"/>
      <c r="AC12" s="1564"/>
      <c r="AD12" s="443"/>
      <c r="AE12" s="465" t="s">
        <v>1177</v>
      </c>
      <c r="AK12" s="459"/>
    </row>
    <row r="13" spans="1:37">
      <c r="A13" s="1550">
        <f t="shared" si="0"/>
        <v>6</v>
      </c>
      <c r="B13" s="1551"/>
      <c r="C13" s="1556" t="s">
        <v>1178</v>
      </c>
      <c r="D13" s="1556"/>
      <c r="E13" s="1556"/>
      <c r="F13" s="1557" t="s">
        <v>1173</v>
      </c>
      <c r="G13" s="1558"/>
      <c r="H13" s="1559">
        <v>495</v>
      </c>
      <c r="I13" s="1560"/>
      <c r="J13" s="1561"/>
      <c r="K13" s="1562"/>
      <c r="L13" s="1562"/>
      <c r="M13" s="1562"/>
      <c r="N13" s="1553">
        <f t="shared" ref="N13:N16" si="1">H13-K13</f>
        <v>495</v>
      </c>
      <c r="O13" s="1553"/>
      <c r="P13" s="1555"/>
      <c r="Q13" s="460"/>
      <c r="R13" s="460"/>
      <c r="S13" s="462" t="s">
        <v>305</v>
      </c>
      <c r="T13" s="462"/>
      <c r="U13" s="462"/>
      <c r="V13" s="1565"/>
      <c r="W13" s="1565"/>
      <c r="X13" s="1565"/>
      <c r="Y13" s="462"/>
      <c r="Z13" s="462"/>
      <c r="AA13" s="466"/>
      <c r="AB13" s="443"/>
      <c r="AC13" s="443"/>
      <c r="AD13" s="443"/>
      <c r="AE13" s="463"/>
      <c r="AK13" s="459"/>
    </row>
    <row r="14" spans="1:37" ht="21" customHeight="1">
      <c r="A14" s="1550">
        <f t="shared" si="0"/>
        <v>7</v>
      </c>
      <c r="B14" s="1551"/>
      <c r="C14" s="1556" t="s">
        <v>517</v>
      </c>
      <c r="D14" s="1556"/>
      <c r="E14" s="1556"/>
      <c r="F14" s="1557" t="s">
        <v>1175</v>
      </c>
      <c r="G14" s="1558"/>
      <c r="H14" s="1559">
        <v>405</v>
      </c>
      <c r="I14" s="1560"/>
      <c r="J14" s="1561"/>
      <c r="K14" s="1562"/>
      <c r="L14" s="1562"/>
      <c r="M14" s="1562"/>
      <c r="N14" s="1553">
        <f t="shared" si="1"/>
        <v>405</v>
      </c>
      <c r="O14" s="1553"/>
      <c r="P14" s="1555"/>
      <c r="Q14" s="460"/>
      <c r="R14" s="460"/>
      <c r="S14" s="460"/>
      <c r="T14" s="462"/>
      <c r="U14" s="462"/>
      <c r="V14" s="462"/>
      <c r="W14" s="462"/>
      <c r="X14" s="462"/>
      <c r="Y14" s="462"/>
      <c r="Z14" s="462"/>
      <c r="AA14" s="443"/>
      <c r="AB14" s="443"/>
      <c r="AC14" s="443"/>
      <c r="AD14" s="443"/>
      <c r="AE14" s="463"/>
      <c r="AK14" s="459"/>
    </row>
    <row r="15" spans="1:37">
      <c r="A15" s="1550">
        <f t="shared" si="0"/>
        <v>8</v>
      </c>
      <c r="B15" s="1551"/>
      <c r="C15" s="1552" t="s">
        <v>1179</v>
      </c>
      <c r="D15" s="1552"/>
      <c r="E15" s="1552"/>
      <c r="F15" s="1553" t="s">
        <v>1065</v>
      </c>
      <c r="G15" s="1553"/>
      <c r="H15" s="1554">
        <v>187.17500000000001</v>
      </c>
      <c r="I15" s="1554"/>
      <c r="J15" s="1554"/>
      <c r="K15" s="1553"/>
      <c r="L15" s="1553"/>
      <c r="M15" s="1553"/>
      <c r="N15" s="1553">
        <f t="shared" si="1"/>
        <v>187.17500000000001</v>
      </c>
      <c r="O15" s="1553"/>
      <c r="P15" s="1555"/>
      <c r="Q15" s="460"/>
      <c r="R15" s="460"/>
      <c r="S15" s="460"/>
      <c r="T15" s="462"/>
      <c r="U15" s="462"/>
      <c r="V15" s="462"/>
      <c r="W15" s="462"/>
      <c r="X15" s="462" t="s">
        <v>1180</v>
      </c>
      <c r="Y15" s="462"/>
      <c r="Z15" s="462"/>
      <c r="AA15" s="462"/>
      <c r="AB15" s="462"/>
      <c r="AC15" s="462"/>
      <c r="AD15" s="462"/>
      <c r="AE15" s="463"/>
      <c r="AK15" s="459"/>
    </row>
    <row r="16" spans="1:37" ht="20.25" customHeight="1">
      <c r="A16" s="1550">
        <f t="shared" si="0"/>
        <v>9</v>
      </c>
      <c r="B16" s="1551"/>
      <c r="C16" s="1552" t="s">
        <v>1181</v>
      </c>
      <c r="D16" s="1552"/>
      <c r="E16" s="1552"/>
      <c r="F16" s="1553" t="s">
        <v>1065</v>
      </c>
      <c r="G16" s="1553"/>
      <c r="H16" s="1554">
        <v>187.17500000000001</v>
      </c>
      <c r="I16" s="1554"/>
      <c r="J16" s="1554"/>
      <c r="K16" s="1553"/>
      <c r="L16" s="1553"/>
      <c r="M16" s="1553"/>
      <c r="N16" s="1553">
        <f t="shared" si="1"/>
        <v>187.17500000000001</v>
      </c>
      <c r="O16" s="1553"/>
      <c r="P16" s="1555"/>
      <c r="Q16" s="467"/>
      <c r="R16" s="467"/>
      <c r="S16" s="467"/>
      <c r="T16" s="468"/>
      <c r="U16" s="468"/>
      <c r="V16" s="468"/>
      <c r="W16" s="468"/>
      <c r="X16" s="468"/>
      <c r="Y16" s="468"/>
      <c r="Z16" s="1547" t="s">
        <v>1182</v>
      </c>
      <c r="AA16" s="1547"/>
      <c r="AB16" s="1548" t="s">
        <v>1183</v>
      </c>
      <c r="AC16" s="1548"/>
      <c r="AD16" s="1548"/>
      <c r="AE16" s="1549"/>
      <c r="AK16" s="459"/>
    </row>
    <row r="17" spans="1:37">
      <c r="A17" s="469"/>
      <c r="AK17" s="459"/>
    </row>
    <row r="18" spans="1:37">
      <c r="A18" s="469"/>
      <c r="B18" s="457">
        <v>1</v>
      </c>
      <c r="D18" s="457">
        <v>2</v>
      </c>
      <c r="F18" s="457">
        <v>3</v>
      </c>
      <c r="H18" s="457">
        <v>4</v>
      </c>
      <c r="J18" s="457">
        <v>5</v>
      </c>
      <c r="L18" s="457">
        <v>6</v>
      </c>
      <c r="N18" s="457">
        <v>7</v>
      </c>
      <c r="P18" s="457">
        <v>8</v>
      </c>
      <c r="R18" s="457">
        <v>9</v>
      </c>
      <c r="T18" s="457">
        <v>10</v>
      </c>
      <c r="V18" s="457">
        <v>11</v>
      </c>
      <c r="X18" s="457">
        <v>12</v>
      </c>
      <c r="Z18" s="457">
        <v>13</v>
      </c>
      <c r="AB18" s="457">
        <v>14</v>
      </c>
      <c r="AK18" s="459"/>
    </row>
    <row r="19" spans="1:37">
      <c r="A19" s="469"/>
      <c r="AB19" s="470"/>
      <c r="AK19" s="459"/>
    </row>
    <row r="20" spans="1:37">
      <c r="A20" s="469"/>
      <c r="B20" s="471" t="s">
        <v>1184</v>
      </c>
      <c r="C20" s="445"/>
      <c r="D20" s="471" t="s">
        <v>520</v>
      </c>
      <c r="E20" s="445"/>
      <c r="F20" s="470" t="s">
        <v>1185</v>
      </c>
      <c r="G20" s="445"/>
      <c r="H20" s="470" t="s">
        <v>521</v>
      </c>
      <c r="I20" s="445"/>
      <c r="J20" s="470" t="s">
        <v>522</v>
      </c>
      <c r="K20" s="445"/>
      <c r="L20" s="470" t="s">
        <v>1186</v>
      </c>
      <c r="M20" s="445"/>
      <c r="N20" s="470" t="s">
        <v>524</v>
      </c>
      <c r="O20" s="445"/>
      <c r="P20" s="470" t="s">
        <v>525</v>
      </c>
      <c r="Q20" s="445"/>
      <c r="R20" s="470" t="s">
        <v>532</v>
      </c>
      <c r="S20" s="445"/>
      <c r="T20" s="470" t="s">
        <v>533</v>
      </c>
      <c r="U20" s="445"/>
      <c r="V20" s="470" t="s">
        <v>1187</v>
      </c>
      <c r="W20" s="445"/>
      <c r="X20" s="470" t="s">
        <v>1188</v>
      </c>
      <c r="Y20" s="445"/>
      <c r="Z20" s="470" t="s">
        <v>1189</v>
      </c>
      <c r="AA20" s="445"/>
      <c r="AB20" s="470" t="s">
        <v>1190</v>
      </c>
      <c r="AF20" s="472" t="s">
        <v>1191</v>
      </c>
      <c r="AG20" s="472" t="s">
        <v>354</v>
      </c>
      <c r="AH20" s="472" t="s">
        <v>1192</v>
      </c>
      <c r="AI20" s="472" t="s">
        <v>1193</v>
      </c>
      <c r="AJ20" s="472" t="s">
        <v>303</v>
      </c>
      <c r="AK20" s="473" t="s">
        <v>1194</v>
      </c>
    </row>
    <row r="21" spans="1:37">
      <c r="A21" s="469"/>
      <c r="B21" s="474"/>
      <c r="D21" s="474"/>
      <c r="F21" s="474"/>
      <c r="H21" s="474"/>
      <c r="J21" s="474"/>
      <c r="L21" s="474"/>
      <c r="N21" s="474"/>
      <c r="O21" s="475"/>
      <c r="P21" s="474"/>
      <c r="R21" s="474"/>
      <c r="T21" s="474"/>
      <c r="V21" s="474"/>
      <c r="X21" s="474"/>
      <c r="Z21" s="474"/>
      <c r="AB21" s="474"/>
      <c r="AD21" s="474"/>
      <c r="AF21" s="476"/>
      <c r="AG21" s="477"/>
      <c r="AH21" s="477"/>
      <c r="AI21" s="477"/>
      <c r="AJ21" s="477"/>
      <c r="AK21" s="478"/>
    </row>
    <row r="22" spans="1:37" ht="12.5" thickBot="1">
      <c r="A22" s="469"/>
      <c r="B22" s="446"/>
      <c r="D22" s="446"/>
      <c r="F22" s="446"/>
      <c r="H22" s="446"/>
      <c r="J22" s="446"/>
      <c r="L22" s="446"/>
      <c r="N22" s="446"/>
      <c r="O22" s="475"/>
      <c r="P22" s="446"/>
      <c r="R22" s="446"/>
      <c r="T22" s="446"/>
      <c r="V22" s="446"/>
      <c r="X22" s="446"/>
      <c r="Z22" s="446"/>
      <c r="AB22" s="446"/>
      <c r="AF22" s="476"/>
      <c r="AG22" s="477"/>
      <c r="AH22" s="477"/>
      <c r="AI22" s="477"/>
      <c r="AJ22" s="477"/>
      <c r="AK22" s="478"/>
    </row>
    <row r="23" spans="1:37" ht="25" customHeight="1" thickBot="1">
      <c r="A23" s="469"/>
      <c r="B23" s="447"/>
      <c r="C23" s="479">
        <v>96.534000000000006</v>
      </c>
      <c r="D23" s="448"/>
      <c r="E23" s="479">
        <v>114.09699999999999</v>
      </c>
      <c r="F23" s="448"/>
      <c r="G23" s="479">
        <v>290.58100000000002</v>
      </c>
      <c r="H23" s="448"/>
      <c r="I23" s="479">
        <v>214.48500000000001</v>
      </c>
      <c r="J23" s="448"/>
      <c r="K23" s="479">
        <v>451.78300000000002</v>
      </c>
      <c r="L23" s="448"/>
      <c r="M23" s="479">
        <v>419.226</v>
      </c>
      <c r="N23" s="448"/>
      <c r="O23" s="479">
        <v>420.01</v>
      </c>
      <c r="P23" s="448"/>
      <c r="Q23" s="479">
        <v>416.53100000000001</v>
      </c>
      <c r="R23" s="448"/>
      <c r="S23" s="479">
        <v>356.262</v>
      </c>
      <c r="T23" s="448"/>
      <c r="U23" s="479">
        <v>343.07400000000001</v>
      </c>
      <c r="V23" s="448"/>
      <c r="W23" s="479">
        <v>381.32900000000001</v>
      </c>
      <c r="X23" s="448"/>
      <c r="Y23" s="479">
        <v>373.32299999999998</v>
      </c>
      <c r="Z23" s="448"/>
      <c r="AA23" s="479">
        <v>246.012</v>
      </c>
      <c r="AB23" s="448"/>
      <c r="AC23" s="479">
        <v>249.42400000000001</v>
      </c>
      <c r="AF23" s="472">
        <v>13</v>
      </c>
      <c r="AG23" s="472"/>
      <c r="AH23" s="472"/>
      <c r="AI23" s="472"/>
      <c r="AJ23" s="472"/>
      <c r="AK23" s="473"/>
    </row>
    <row r="24" spans="1:37" ht="12.5" thickBot="1">
      <c r="A24" s="469"/>
      <c r="B24" s="480"/>
      <c r="C24" s="475"/>
      <c r="D24" s="481"/>
      <c r="E24" s="475"/>
      <c r="F24" s="481"/>
      <c r="G24" s="475"/>
      <c r="H24" s="481"/>
      <c r="I24" s="475"/>
      <c r="J24" s="481"/>
      <c r="K24" s="475"/>
      <c r="L24" s="481"/>
      <c r="M24" s="475"/>
      <c r="N24" s="481"/>
      <c r="O24" s="475"/>
      <c r="P24" s="481"/>
      <c r="Q24" s="475"/>
      <c r="R24" s="481"/>
      <c r="S24" s="475"/>
      <c r="T24" s="481"/>
      <c r="U24" s="475"/>
      <c r="V24" s="481"/>
      <c r="W24" s="475"/>
      <c r="X24" s="481"/>
      <c r="Y24" s="475"/>
      <c r="Z24" s="481"/>
      <c r="AA24" s="475"/>
      <c r="AB24" s="481"/>
      <c r="AC24" s="475"/>
      <c r="AF24" s="476"/>
      <c r="AG24" s="477"/>
      <c r="AH24" s="477"/>
      <c r="AI24" s="477"/>
      <c r="AJ24" s="477"/>
      <c r="AK24" s="478"/>
    </row>
    <row r="25" spans="1:37">
      <c r="A25" s="469"/>
      <c r="B25" s="452"/>
      <c r="C25" s="452"/>
      <c r="D25" s="452" t="s">
        <v>125</v>
      </c>
      <c r="E25" s="452"/>
      <c r="F25" s="452" t="s">
        <v>143</v>
      </c>
      <c r="G25" s="452"/>
      <c r="H25" s="452" t="s">
        <v>113</v>
      </c>
      <c r="I25" s="452"/>
      <c r="J25" s="452" t="s">
        <v>113</v>
      </c>
      <c r="K25" s="452"/>
      <c r="L25" s="452" t="s">
        <v>167</v>
      </c>
      <c r="M25" s="452"/>
      <c r="N25" s="452" t="s">
        <v>182</v>
      </c>
      <c r="O25" s="452"/>
      <c r="P25" s="452" t="s">
        <v>248</v>
      </c>
      <c r="Q25" s="452"/>
      <c r="R25" s="452" t="s">
        <v>115</v>
      </c>
      <c r="S25" s="452"/>
      <c r="T25" s="452" t="s">
        <v>182</v>
      </c>
      <c r="U25" s="452"/>
      <c r="V25" s="452" t="s">
        <v>182</v>
      </c>
      <c r="W25" s="452"/>
      <c r="X25" s="452" t="s">
        <v>242</v>
      </c>
      <c r="Y25" s="452"/>
      <c r="Z25" s="452" t="s">
        <v>185</v>
      </c>
      <c r="AA25" s="452"/>
      <c r="AB25" s="452" t="s">
        <v>119</v>
      </c>
      <c r="AC25" s="475"/>
      <c r="AF25" s="476"/>
      <c r="AG25" s="477"/>
      <c r="AH25" s="477"/>
      <c r="AI25" s="477"/>
      <c r="AJ25" s="477"/>
      <c r="AK25" s="478"/>
    </row>
    <row r="26" spans="1:37">
      <c r="A26" s="469"/>
      <c r="B26" s="588"/>
      <c r="C26" s="588"/>
      <c r="D26" s="588"/>
      <c r="E26" s="588"/>
      <c r="F26" s="588"/>
      <c r="G26" s="588"/>
      <c r="H26" s="588"/>
      <c r="I26" s="588"/>
      <c r="J26" s="588"/>
      <c r="K26" s="588"/>
      <c r="L26" s="588"/>
      <c r="M26" s="588"/>
      <c r="N26" s="588"/>
      <c r="O26" s="588"/>
      <c r="P26" s="588"/>
      <c r="Q26" s="588"/>
      <c r="R26" s="588"/>
      <c r="S26" s="588"/>
      <c r="T26" s="588"/>
      <c r="U26" s="588"/>
      <c r="V26" s="588"/>
      <c r="W26" s="588"/>
      <c r="X26" s="588"/>
      <c r="Y26" s="588"/>
      <c r="Z26" s="588"/>
      <c r="AA26" s="588"/>
      <c r="AB26" s="588"/>
      <c r="AC26" s="475"/>
      <c r="AF26" s="476"/>
      <c r="AG26" s="477"/>
      <c r="AH26" s="477"/>
      <c r="AI26" s="477"/>
      <c r="AJ26" s="477"/>
      <c r="AK26" s="478"/>
    </row>
    <row r="27" spans="1:37">
      <c r="A27" s="469"/>
      <c r="C27" s="475"/>
      <c r="E27" s="475"/>
      <c r="G27" s="475"/>
      <c r="I27" s="475"/>
      <c r="K27" s="475"/>
      <c r="M27" s="475"/>
      <c r="O27" s="475"/>
      <c r="Q27" s="475"/>
      <c r="S27" s="475"/>
      <c r="U27" s="475"/>
      <c r="W27" s="475"/>
      <c r="Y27" s="475"/>
      <c r="AA27" s="475"/>
      <c r="AC27" s="475"/>
      <c r="AF27" s="476"/>
      <c r="AG27" s="477"/>
      <c r="AH27" s="477"/>
      <c r="AI27" s="477"/>
      <c r="AJ27" s="477"/>
      <c r="AK27" s="478"/>
    </row>
    <row r="28" spans="1:37">
      <c r="A28" s="469"/>
      <c r="B28" s="470" t="s">
        <v>1195</v>
      </c>
      <c r="C28" s="445"/>
      <c r="D28" s="470" t="s">
        <v>1196</v>
      </c>
      <c r="E28" s="445"/>
      <c r="F28" s="470" t="s">
        <v>1197</v>
      </c>
      <c r="G28" s="445"/>
      <c r="H28" s="470" t="s">
        <v>1198</v>
      </c>
      <c r="I28" s="445"/>
      <c r="J28" s="470" t="s">
        <v>534</v>
      </c>
      <c r="K28" s="445"/>
      <c r="L28" s="470" t="s">
        <v>537</v>
      </c>
      <c r="M28" s="445"/>
      <c r="N28" s="470" t="s">
        <v>1199</v>
      </c>
      <c r="O28" s="445"/>
      <c r="P28" s="470" t="s">
        <v>1200</v>
      </c>
      <c r="Q28" s="445"/>
      <c r="R28" s="470" t="s">
        <v>1201</v>
      </c>
      <c r="S28" s="445"/>
      <c r="T28" s="470" t="s">
        <v>1202</v>
      </c>
      <c r="U28" s="445"/>
      <c r="V28" s="470" t="s">
        <v>1203</v>
      </c>
      <c r="W28" s="445"/>
      <c r="X28" s="470" t="s">
        <v>1204</v>
      </c>
      <c r="Y28" s="445"/>
      <c r="Z28" s="470" t="s">
        <v>1205</v>
      </c>
      <c r="AA28" s="445"/>
      <c r="AB28" s="470" t="s">
        <v>538</v>
      </c>
      <c r="AC28" s="475"/>
      <c r="AF28" s="476"/>
      <c r="AG28" s="477"/>
      <c r="AH28" s="477"/>
      <c r="AI28" s="477"/>
      <c r="AJ28" s="477"/>
      <c r="AK28" s="478"/>
    </row>
    <row r="29" spans="1:37">
      <c r="A29" s="469"/>
      <c r="B29" s="474"/>
      <c r="C29" s="475"/>
      <c r="D29" s="474"/>
      <c r="E29" s="475"/>
      <c r="F29" s="474"/>
      <c r="G29" s="475"/>
      <c r="H29" s="474"/>
      <c r="I29" s="475"/>
      <c r="J29" s="474"/>
      <c r="K29" s="475"/>
      <c r="L29" s="474"/>
      <c r="M29" s="475"/>
      <c r="N29" s="474"/>
      <c r="O29" s="475"/>
      <c r="P29" s="474"/>
      <c r="Q29" s="475"/>
      <c r="R29" s="474"/>
      <c r="S29" s="475"/>
      <c r="T29" s="474"/>
      <c r="U29" s="475"/>
      <c r="V29" s="474"/>
      <c r="W29" s="475"/>
      <c r="X29" s="474"/>
      <c r="Y29" s="475"/>
      <c r="Z29" s="474"/>
      <c r="AA29" s="475"/>
      <c r="AB29" s="474"/>
      <c r="AC29" s="475"/>
      <c r="AF29" s="472" t="s">
        <v>1191</v>
      </c>
      <c r="AG29" s="472" t="s">
        <v>354</v>
      </c>
      <c r="AH29" s="472" t="s">
        <v>1192</v>
      </c>
      <c r="AI29" s="472" t="s">
        <v>1193</v>
      </c>
      <c r="AJ29" s="472" t="s">
        <v>303</v>
      </c>
      <c r="AK29" s="473" t="s">
        <v>1194</v>
      </c>
    </row>
    <row r="30" spans="1:37" ht="12.5" thickBot="1">
      <c r="A30" s="469"/>
      <c r="B30" s="446"/>
      <c r="C30" s="475"/>
      <c r="D30" s="446"/>
      <c r="E30" s="475"/>
      <c r="F30" s="446"/>
      <c r="G30" s="475"/>
      <c r="H30" s="446"/>
      <c r="I30" s="475"/>
      <c r="J30" s="446"/>
      <c r="K30" s="475"/>
      <c r="L30" s="446"/>
      <c r="M30" s="475"/>
      <c r="N30" s="446"/>
      <c r="O30" s="475"/>
      <c r="P30" s="446"/>
      <c r="Q30" s="475"/>
      <c r="R30" s="446"/>
      <c r="S30" s="475"/>
      <c r="T30" s="446"/>
      <c r="U30" s="475"/>
      <c r="V30" s="446"/>
      <c r="W30" s="475"/>
      <c r="X30" s="446"/>
      <c r="Y30" s="475"/>
      <c r="Z30" s="446"/>
      <c r="AA30" s="475"/>
      <c r="AB30" s="446"/>
      <c r="AC30" s="475"/>
      <c r="AF30" s="476"/>
      <c r="AG30" s="477"/>
      <c r="AH30" s="477"/>
      <c r="AI30" s="477"/>
      <c r="AJ30" s="477"/>
      <c r="AK30" s="478"/>
    </row>
    <row r="31" spans="1:37" ht="25" customHeight="1" thickBot="1">
      <c r="A31" s="469"/>
      <c r="B31" s="448"/>
      <c r="C31" s="479">
        <v>399.70699999999999</v>
      </c>
      <c r="D31" s="448"/>
      <c r="E31" s="479">
        <v>438.61599999999999</v>
      </c>
      <c r="F31" s="448"/>
      <c r="G31" s="479">
        <v>400.60399999999998</v>
      </c>
      <c r="H31" s="448"/>
      <c r="I31" s="479">
        <v>438.76499999999999</v>
      </c>
      <c r="J31" s="448"/>
      <c r="K31" s="479">
        <v>226.315</v>
      </c>
      <c r="L31" s="448"/>
      <c r="M31" s="479">
        <v>442.553</v>
      </c>
      <c r="N31" s="448"/>
      <c r="O31" s="479">
        <v>389.32900000000001</v>
      </c>
      <c r="P31" s="448"/>
      <c r="Q31" s="479">
        <v>359.36099999999999</v>
      </c>
      <c r="R31" s="448"/>
      <c r="S31" s="479">
        <v>405.00599999999997</v>
      </c>
      <c r="T31" s="448"/>
      <c r="U31" s="479">
        <v>426.51799999999997</v>
      </c>
      <c r="V31" s="448"/>
      <c r="W31" s="479">
        <v>356.05500000000001</v>
      </c>
      <c r="X31" s="448"/>
      <c r="Y31" s="479">
        <v>369.29500000000002</v>
      </c>
      <c r="Z31" s="448"/>
      <c r="AA31" s="479">
        <v>374.99299999999999</v>
      </c>
      <c r="AB31" s="448"/>
      <c r="AC31" s="479">
        <v>383.76799999999997</v>
      </c>
      <c r="AF31" s="472">
        <v>14</v>
      </c>
      <c r="AG31" s="472"/>
      <c r="AH31" s="472"/>
      <c r="AI31" s="472"/>
      <c r="AJ31" s="472"/>
      <c r="AK31" s="473"/>
    </row>
    <row r="32" spans="1:37" ht="12.5" thickBot="1">
      <c r="A32" s="469"/>
      <c r="B32" s="481"/>
      <c r="C32" s="475"/>
      <c r="D32" s="481"/>
      <c r="E32" s="475"/>
      <c r="F32" s="481"/>
      <c r="G32" s="475"/>
      <c r="H32" s="481"/>
      <c r="I32" s="475"/>
      <c r="J32" s="481"/>
      <c r="K32" s="475"/>
      <c r="L32" s="481"/>
      <c r="M32" s="475"/>
      <c r="N32" s="481"/>
      <c r="O32" s="475"/>
      <c r="P32" s="481"/>
      <c r="Q32" s="475"/>
      <c r="R32" s="481"/>
      <c r="S32" s="475"/>
      <c r="T32" s="481"/>
      <c r="U32" s="475"/>
      <c r="V32" s="481"/>
      <c r="W32" s="475"/>
      <c r="X32" s="481"/>
      <c r="Y32" s="475"/>
      <c r="Z32" s="481"/>
      <c r="AA32" s="475"/>
      <c r="AB32" s="481"/>
      <c r="AC32" s="475"/>
      <c r="AF32" s="476"/>
      <c r="AG32" s="477"/>
      <c r="AH32" s="477"/>
      <c r="AI32" s="477"/>
      <c r="AJ32" s="477"/>
      <c r="AK32" s="478"/>
    </row>
    <row r="33" spans="1:37">
      <c r="A33" s="469"/>
      <c r="B33" s="452" t="s">
        <v>182</v>
      </c>
      <c r="C33" s="452"/>
      <c r="D33" s="452" t="s">
        <v>242</v>
      </c>
      <c r="E33" s="452"/>
      <c r="F33" s="452" t="s">
        <v>242</v>
      </c>
      <c r="G33" s="452"/>
      <c r="H33" s="452" t="s">
        <v>185</v>
      </c>
      <c r="I33" s="452"/>
      <c r="J33" s="452" t="s">
        <v>117</v>
      </c>
      <c r="K33" s="452"/>
      <c r="L33" s="452" t="s">
        <v>117</v>
      </c>
      <c r="M33" s="452"/>
      <c r="N33" s="452" t="s">
        <v>185</v>
      </c>
      <c r="O33" s="452"/>
      <c r="P33" s="452" t="s">
        <v>182</v>
      </c>
      <c r="Q33" s="452"/>
      <c r="R33" s="452" t="s">
        <v>182</v>
      </c>
      <c r="S33" s="452"/>
      <c r="T33" s="452" t="s">
        <v>182</v>
      </c>
      <c r="U33" s="452"/>
      <c r="V33" s="452" t="s">
        <v>182</v>
      </c>
      <c r="W33" s="452"/>
      <c r="X33" s="452" t="s">
        <v>182</v>
      </c>
      <c r="Y33" s="452"/>
      <c r="Z33" s="452" t="s">
        <v>182</v>
      </c>
      <c r="AA33" s="452"/>
      <c r="AB33" s="452" t="s">
        <v>119</v>
      </c>
      <c r="AC33" s="475"/>
      <c r="AF33" s="476"/>
      <c r="AG33" s="477"/>
      <c r="AH33" s="477"/>
      <c r="AI33" s="477"/>
      <c r="AJ33" s="477"/>
      <c r="AK33" s="478"/>
    </row>
    <row r="34" spans="1:37">
      <c r="A34" s="469"/>
      <c r="B34" s="452"/>
      <c r="C34" s="452"/>
      <c r="D34" s="452"/>
      <c r="E34" s="452"/>
      <c r="F34" s="452"/>
      <c r="G34" s="452"/>
      <c r="H34" s="452"/>
      <c r="I34" s="452"/>
      <c r="J34" s="452"/>
      <c r="K34" s="452"/>
      <c r="L34" s="452"/>
      <c r="M34" s="452"/>
      <c r="N34" s="452"/>
      <c r="O34" s="452"/>
      <c r="P34" s="452"/>
      <c r="Q34" s="452"/>
      <c r="R34" s="452"/>
      <c r="S34" s="452"/>
      <c r="T34" s="452"/>
      <c r="U34" s="452"/>
      <c r="V34" s="452"/>
      <c r="W34" s="452"/>
      <c r="X34" s="452"/>
      <c r="Y34" s="452"/>
      <c r="Z34" s="452"/>
      <c r="AA34" s="452"/>
      <c r="AB34" s="452"/>
      <c r="AC34" s="475"/>
      <c r="AF34" s="476"/>
      <c r="AG34" s="477"/>
      <c r="AH34" s="477"/>
      <c r="AI34" s="477"/>
      <c r="AJ34" s="477"/>
      <c r="AK34" s="478"/>
    </row>
    <row r="35" spans="1:37">
      <c r="A35" s="469"/>
      <c r="B35" s="589"/>
      <c r="C35" s="590"/>
      <c r="D35" s="589"/>
      <c r="E35" s="590"/>
      <c r="F35" s="589"/>
      <c r="G35" s="590"/>
      <c r="H35" s="589"/>
      <c r="I35" s="590"/>
      <c r="J35" s="589"/>
      <c r="K35" s="590"/>
      <c r="L35" s="589"/>
      <c r="M35" s="590"/>
      <c r="N35" s="589"/>
      <c r="O35" s="590"/>
      <c r="P35" s="589"/>
      <c r="Q35" s="590"/>
      <c r="R35" s="589"/>
      <c r="S35" s="590"/>
      <c r="T35" s="589"/>
      <c r="U35" s="590"/>
      <c r="V35" s="589"/>
      <c r="W35" s="590"/>
      <c r="X35" s="589"/>
      <c r="Y35" s="590"/>
      <c r="Z35" s="589"/>
      <c r="AA35" s="590"/>
      <c r="AB35" s="589"/>
      <c r="AC35" s="475"/>
      <c r="AF35" s="476"/>
      <c r="AG35" s="477"/>
      <c r="AH35" s="477"/>
      <c r="AI35" s="477"/>
      <c r="AJ35" s="477"/>
      <c r="AK35" s="478"/>
    </row>
    <row r="36" spans="1:37" ht="21" customHeight="1">
      <c r="A36" s="469"/>
      <c r="B36" s="470" t="s">
        <v>539</v>
      </c>
      <c r="C36" s="445"/>
      <c r="D36" s="470" t="s">
        <v>539</v>
      </c>
      <c r="E36" s="445"/>
      <c r="F36" s="470" t="s">
        <v>542</v>
      </c>
      <c r="G36" s="445"/>
      <c r="H36" s="470" t="s">
        <v>543</v>
      </c>
      <c r="I36" s="445"/>
      <c r="J36" s="470" t="s">
        <v>544</v>
      </c>
      <c r="K36" s="445"/>
      <c r="L36" s="470" t="s">
        <v>545</v>
      </c>
      <c r="M36" s="445"/>
      <c r="N36" s="470" t="s">
        <v>546</v>
      </c>
      <c r="O36" s="445"/>
      <c r="P36" s="470" t="s">
        <v>1206</v>
      </c>
      <c r="Q36" s="445"/>
      <c r="R36" s="470" t="s">
        <v>1207</v>
      </c>
      <c r="S36" s="445"/>
      <c r="T36" s="470" t="s">
        <v>1208</v>
      </c>
      <c r="U36" s="445"/>
      <c r="V36" s="470" t="s">
        <v>1209</v>
      </c>
      <c r="W36" s="445"/>
      <c r="X36" s="470" t="s">
        <v>548</v>
      </c>
      <c r="Y36" s="445"/>
      <c r="Z36" s="482" t="s">
        <v>1210</v>
      </c>
      <c r="AA36" s="445"/>
      <c r="AB36" s="470" t="s">
        <v>1211</v>
      </c>
      <c r="AC36" s="475"/>
      <c r="AF36" s="476"/>
      <c r="AG36" s="477"/>
      <c r="AH36" s="477"/>
      <c r="AI36" s="477"/>
      <c r="AJ36" s="477"/>
      <c r="AK36" s="478"/>
    </row>
    <row r="37" spans="1:37">
      <c r="A37" s="469"/>
      <c r="B37" s="474"/>
      <c r="C37" s="475"/>
      <c r="D37" s="474"/>
      <c r="E37" s="452"/>
      <c r="F37" s="474"/>
      <c r="G37" s="483"/>
      <c r="H37" s="474"/>
      <c r="I37" s="475"/>
      <c r="J37" s="474"/>
      <c r="K37" s="475"/>
      <c r="L37" s="474"/>
      <c r="M37" s="475"/>
      <c r="N37" s="474"/>
      <c r="O37" s="475"/>
      <c r="P37" s="474"/>
      <c r="Q37" s="475"/>
      <c r="R37" s="474"/>
      <c r="S37" s="475"/>
      <c r="T37" s="474"/>
      <c r="U37" s="475"/>
      <c r="V37" s="474"/>
      <c r="W37" s="452"/>
      <c r="X37" s="474"/>
      <c r="Y37" s="452"/>
      <c r="Z37" s="474"/>
      <c r="AA37" s="475"/>
      <c r="AB37" s="474"/>
      <c r="AC37" s="475"/>
      <c r="AF37" s="472" t="s">
        <v>1191</v>
      </c>
      <c r="AG37" s="472" t="s">
        <v>354</v>
      </c>
      <c r="AH37" s="472" t="s">
        <v>1192</v>
      </c>
      <c r="AI37" s="472" t="s">
        <v>1193</v>
      </c>
      <c r="AJ37" s="472" t="s">
        <v>303</v>
      </c>
      <c r="AK37" s="473" t="s">
        <v>1194</v>
      </c>
    </row>
    <row r="38" spans="1:37" ht="12.5" thickBot="1">
      <c r="A38" s="469"/>
      <c r="B38" s="446"/>
      <c r="C38" s="475"/>
      <c r="D38" s="446"/>
      <c r="E38" s="475"/>
      <c r="F38" s="446"/>
      <c r="G38" s="475"/>
      <c r="H38" s="446"/>
      <c r="I38" s="475"/>
      <c r="J38" s="446"/>
      <c r="K38" s="475"/>
      <c r="L38" s="446"/>
      <c r="M38" s="475"/>
      <c r="N38" s="446"/>
      <c r="O38" s="475"/>
      <c r="P38" s="446"/>
      <c r="Q38" s="475"/>
      <c r="R38" s="446"/>
      <c r="S38" s="475"/>
      <c r="T38" s="446"/>
      <c r="U38" s="475"/>
      <c r="V38" s="446"/>
      <c r="W38" s="475"/>
      <c r="X38" s="446"/>
      <c r="Y38" s="475"/>
      <c r="Z38" s="446"/>
      <c r="AA38" s="475"/>
      <c r="AB38" s="446"/>
      <c r="AC38" s="475"/>
      <c r="AF38" s="476"/>
      <c r="AG38" s="477"/>
      <c r="AH38" s="477"/>
      <c r="AI38" s="477"/>
      <c r="AJ38" s="477"/>
      <c r="AK38" s="478"/>
    </row>
    <row r="39" spans="1:37" ht="25" customHeight="1" thickBot="1">
      <c r="A39" s="469"/>
      <c r="B39" s="448"/>
      <c r="C39" s="479">
        <v>383.76799999999997</v>
      </c>
      <c r="D39" s="448"/>
      <c r="E39" s="479">
        <v>396.38</v>
      </c>
      <c r="F39" s="448"/>
      <c r="G39" s="479">
        <v>392.53399999999999</v>
      </c>
      <c r="H39" s="448"/>
      <c r="I39" s="479">
        <v>332.16199999999998</v>
      </c>
      <c r="J39" s="448"/>
      <c r="K39" s="479">
        <v>352.11200000000002</v>
      </c>
      <c r="L39" s="448"/>
      <c r="M39" s="479">
        <v>389.39299999999997</v>
      </c>
      <c r="N39" s="448"/>
      <c r="O39" s="479">
        <v>374.47699999999998</v>
      </c>
      <c r="P39" s="448"/>
      <c r="Q39" s="479">
        <v>419.97699999999998</v>
      </c>
      <c r="R39" s="448"/>
      <c r="S39" s="479">
        <v>387.899</v>
      </c>
      <c r="T39" s="448"/>
      <c r="U39" s="479">
        <v>407.654</v>
      </c>
      <c r="V39" s="448"/>
      <c r="W39" s="479">
        <v>402.35700000000003</v>
      </c>
      <c r="X39" s="448"/>
      <c r="Y39" s="484">
        <v>372.25900000000001</v>
      </c>
      <c r="Z39" s="448"/>
      <c r="AA39" s="479">
        <v>410.94900000000001</v>
      </c>
      <c r="AB39" s="448"/>
      <c r="AC39" s="479">
        <v>379.07499999999999</v>
      </c>
      <c r="AF39" s="472">
        <v>14</v>
      </c>
      <c r="AG39" s="472"/>
      <c r="AH39" s="472"/>
      <c r="AI39" s="472"/>
      <c r="AJ39" s="472"/>
      <c r="AK39" s="473"/>
    </row>
    <row r="40" spans="1:37" ht="12.5" thickBot="1">
      <c r="A40" s="469"/>
      <c r="B40" s="481"/>
      <c r="C40" s="475"/>
      <c r="D40" s="481"/>
      <c r="E40" s="475"/>
      <c r="F40" s="481"/>
      <c r="G40" s="475"/>
      <c r="H40" s="481"/>
      <c r="I40" s="475"/>
      <c r="J40" s="481"/>
      <c r="K40" s="475"/>
      <c r="L40" s="481"/>
      <c r="M40" s="475"/>
      <c r="N40" s="481"/>
      <c r="O40" s="475"/>
      <c r="P40" s="481"/>
      <c r="Q40" s="475"/>
      <c r="R40" s="481"/>
      <c r="S40" s="475"/>
      <c r="T40" s="481"/>
      <c r="U40" s="475"/>
      <c r="V40" s="481"/>
      <c r="W40" s="475"/>
      <c r="X40" s="481"/>
      <c r="Y40" s="475"/>
      <c r="Z40" s="481"/>
      <c r="AA40" s="475"/>
      <c r="AB40" s="481"/>
      <c r="AC40" s="475"/>
      <c r="AF40" s="476"/>
      <c r="AG40" s="477"/>
      <c r="AH40" s="477"/>
      <c r="AI40" s="477"/>
      <c r="AJ40" s="477"/>
      <c r="AK40" s="478"/>
    </row>
    <row r="41" spans="1:37">
      <c r="A41" s="469"/>
      <c r="B41" s="485" t="s">
        <v>182</v>
      </c>
      <c r="C41" s="452"/>
      <c r="D41" s="485" t="s">
        <v>182</v>
      </c>
      <c r="E41" s="452"/>
      <c r="F41" s="485" t="s">
        <v>182</v>
      </c>
      <c r="G41" s="452"/>
      <c r="H41" s="485" t="s">
        <v>182</v>
      </c>
      <c r="I41" s="452"/>
      <c r="J41" s="485" t="s">
        <v>182</v>
      </c>
      <c r="K41" s="452"/>
      <c r="L41" s="485" t="s">
        <v>182</v>
      </c>
      <c r="M41" s="452"/>
      <c r="N41" s="485" t="s">
        <v>182</v>
      </c>
      <c r="O41" s="452"/>
      <c r="P41" s="485" t="s">
        <v>182</v>
      </c>
      <c r="Q41" s="452"/>
      <c r="R41" s="485" t="s">
        <v>185</v>
      </c>
      <c r="S41" s="452"/>
      <c r="T41" s="485" t="s">
        <v>182</v>
      </c>
      <c r="U41" s="452"/>
      <c r="V41" s="485" t="s">
        <v>182</v>
      </c>
      <c r="W41" s="452"/>
      <c r="X41" s="485" t="s">
        <v>119</v>
      </c>
      <c r="Y41" s="452"/>
      <c r="Z41" s="485" t="s">
        <v>182</v>
      </c>
      <c r="AA41" s="452"/>
      <c r="AB41" s="485" t="s">
        <v>182</v>
      </c>
      <c r="AC41" s="475"/>
      <c r="AF41" s="476"/>
      <c r="AG41" s="477"/>
      <c r="AH41" s="477"/>
      <c r="AI41" s="477"/>
      <c r="AJ41" s="477"/>
      <c r="AK41" s="478"/>
    </row>
    <row r="42" spans="1:37">
      <c r="A42" s="469"/>
      <c r="B42" s="485"/>
      <c r="C42" s="452"/>
      <c r="D42" s="485"/>
      <c r="E42" s="452"/>
      <c r="F42" s="485"/>
      <c r="G42" s="452"/>
      <c r="H42" s="485"/>
      <c r="I42" s="452"/>
      <c r="J42" s="485"/>
      <c r="K42" s="452"/>
      <c r="L42" s="485"/>
      <c r="M42" s="452"/>
      <c r="N42" s="485"/>
      <c r="O42" s="452"/>
      <c r="P42" s="485"/>
      <c r="Q42" s="452"/>
      <c r="R42" s="485"/>
      <c r="S42" s="452"/>
      <c r="T42" s="485"/>
      <c r="U42" s="452"/>
      <c r="V42" s="485"/>
      <c r="W42" s="452"/>
      <c r="X42" s="485"/>
      <c r="Y42" s="452"/>
      <c r="Z42" s="485"/>
      <c r="AA42" s="452"/>
      <c r="AB42" s="485"/>
      <c r="AC42" s="475"/>
      <c r="AF42" s="476"/>
      <c r="AG42" s="477"/>
      <c r="AH42" s="477"/>
      <c r="AI42" s="477"/>
      <c r="AJ42" s="477"/>
      <c r="AK42" s="478"/>
    </row>
    <row r="43" spans="1:37">
      <c r="A43" s="469"/>
      <c r="B43" s="589"/>
      <c r="C43" s="590"/>
      <c r="D43" s="589"/>
      <c r="E43" s="590"/>
      <c r="F43" s="589"/>
      <c r="G43" s="590"/>
      <c r="H43" s="589"/>
      <c r="I43" s="590"/>
      <c r="J43" s="589"/>
      <c r="K43" s="590"/>
      <c r="L43" s="589"/>
      <c r="M43" s="590"/>
      <c r="N43" s="589"/>
      <c r="O43" s="590"/>
      <c r="P43" s="589"/>
      <c r="Q43" s="590"/>
      <c r="R43" s="589"/>
      <c r="S43" s="475"/>
      <c r="U43" s="475"/>
      <c r="W43" s="475"/>
      <c r="Y43" s="475"/>
      <c r="AA43" s="475"/>
      <c r="AC43" s="475"/>
      <c r="AF43" s="476"/>
      <c r="AG43" s="477"/>
      <c r="AH43" s="477"/>
      <c r="AI43" s="477"/>
      <c r="AJ43" s="477"/>
      <c r="AK43" s="478"/>
    </row>
    <row r="44" spans="1:37">
      <c r="A44" s="469"/>
      <c r="B44" s="470" t="s">
        <v>1212</v>
      </c>
      <c r="C44" s="445"/>
      <c r="D44" s="470" t="s">
        <v>1213</v>
      </c>
      <c r="E44" s="445"/>
      <c r="F44" s="470" t="s">
        <v>556</v>
      </c>
      <c r="G44" s="445"/>
      <c r="H44" s="470" t="s">
        <v>1214</v>
      </c>
      <c r="I44" s="445"/>
      <c r="J44" s="470" t="s">
        <v>1215</v>
      </c>
      <c r="K44" s="445"/>
      <c r="L44" s="470" t="s">
        <v>1216</v>
      </c>
      <c r="M44" s="445"/>
      <c r="N44" s="470" t="s">
        <v>1217</v>
      </c>
      <c r="O44" s="445"/>
      <c r="P44" s="470" t="s">
        <v>1218</v>
      </c>
      <c r="Q44" s="445"/>
      <c r="R44" s="470" t="s">
        <v>563</v>
      </c>
      <c r="S44" s="445"/>
      <c r="T44" s="470" t="s">
        <v>1219</v>
      </c>
      <c r="U44" s="445"/>
      <c r="V44" s="470" t="s">
        <v>1220</v>
      </c>
      <c r="W44" s="445"/>
      <c r="X44" s="470" t="s">
        <v>1221</v>
      </c>
      <c r="Y44" s="445"/>
      <c r="Z44" s="470" t="s">
        <v>1222</v>
      </c>
      <c r="AA44" s="445"/>
      <c r="AB44" s="470" t="s">
        <v>1223</v>
      </c>
      <c r="AC44" s="475"/>
      <c r="AF44" s="476"/>
      <c r="AG44" s="477"/>
      <c r="AH44" s="477"/>
      <c r="AI44" s="477"/>
      <c r="AJ44" s="477"/>
      <c r="AK44" s="478"/>
    </row>
    <row r="45" spans="1:37">
      <c r="A45" s="469"/>
      <c r="B45" s="474"/>
      <c r="C45" s="475"/>
      <c r="D45" s="474"/>
      <c r="E45" s="475"/>
      <c r="F45" s="474"/>
      <c r="G45" s="475"/>
      <c r="H45" s="474"/>
      <c r="I45" s="475"/>
      <c r="J45" s="474"/>
      <c r="K45" s="475"/>
      <c r="L45" s="474"/>
      <c r="M45" s="475"/>
      <c r="N45" s="474"/>
      <c r="O45" s="475"/>
      <c r="P45" s="474"/>
      <c r="Q45" s="475"/>
      <c r="R45" s="474"/>
      <c r="S45" s="475"/>
      <c r="T45" s="474"/>
      <c r="U45" s="475"/>
      <c r="V45" s="474"/>
      <c r="W45" s="475"/>
      <c r="X45" s="474"/>
      <c r="Y45" s="475"/>
      <c r="Z45" s="474"/>
      <c r="AA45" s="475"/>
      <c r="AB45" s="474"/>
      <c r="AC45" s="475"/>
      <c r="AF45" s="472" t="s">
        <v>1191</v>
      </c>
      <c r="AG45" s="472" t="s">
        <v>354</v>
      </c>
      <c r="AH45" s="472" t="s">
        <v>1192</v>
      </c>
      <c r="AI45" s="472" t="s">
        <v>1193</v>
      </c>
      <c r="AJ45" s="472" t="s">
        <v>303</v>
      </c>
      <c r="AK45" s="473" t="s">
        <v>1194</v>
      </c>
    </row>
    <row r="46" spans="1:37" ht="15" customHeight="1" thickBot="1">
      <c r="A46" s="469"/>
      <c r="B46" s="446"/>
      <c r="C46" s="475"/>
      <c r="D46" s="446"/>
      <c r="E46" s="475"/>
      <c r="F46" s="446"/>
      <c r="G46" s="475"/>
      <c r="H46" s="446"/>
      <c r="I46" s="475"/>
      <c r="J46" s="446"/>
      <c r="K46" s="475"/>
      <c r="L46" s="446"/>
      <c r="M46" s="475"/>
      <c r="N46" s="446"/>
      <c r="O46" s="475"/>
      <c r="P46" s="446"/>
      <c r="Q46" s="475"/>
      <c r="R46" s="446"/>
      <c r="S46" s="475"/>
      <c r="T46" s="446"/>
      <c r="U46" s="475"/>
      <c r="V46" s="446"/>
      <c r="W46" s="475"/>
      <c r="X46" s="446"/>
      <c r="Y46" s="475"/>
      <c r="Z46" s="446"/>
      <c r="AA46" s="475"/>
      <c r="AB46" s="446"/>
      <c r="AC46" s="475"/>
      <c r="AF46" s="476"/>
      <c r="AG46" s="477"/>
      <c r="AH46" s="477"/>
      <c r="AI46" s="477"/>
      <c r="AJ46" s="477"/>
      <c r="AK46" s="478"/>
    </row>
    <row r="47" spans="1:37" ht="42" customHeight="1" thickBot="1">
      <c r="A47" s="469"/>
      <c r="B47" s="448"/>
      <c r="C47" s="479">
        <v>412.596</v>
      </c>
      <c r="D47" s="448"/>
      <c r="E47" s="479">
        <v>340.11200000000002</v>
      </c>
      <c r="F47" s="448"/>
      <c r="G47" s="479">
        <v>410.76</v>
      </c>
      <c r="H47" s="448"/>
      <c r="I47" s="479">
        <v>427.9</v>
      </c>
      <c r="J47" s="448"/>
      <c r="K47" s="479">
        <v>404.21</v>
      </c>
      <c r="L47" s="448"/>
      <c r="M47" s="479">
        <v>398.44600000000003</v>
      </c>
      <c r="N47" s="448"/>
      <c r="O47" s="479">
        <v>431.93900000000002</v>
      </c>
      <c r="P47" s="448"/>
      <c r="Q47" s="479">
        <v>486.19600000000003</v>
      </c>
      <c r="R47" s="448"/>
      <c r="S47" s="479">
        <v>369.71699999999998</v>
      </c>
      <c r="T47" s="448"/>
      <c r="U47" s="479">
        <v>389.34399999999999</v>
      </c>
      <c r="V47" s="448"/>
      <c r="W47" s="479">
        <v>395.60199999999998</v>
      </c>
      <c r="X47" s="448"/>
      <c r="Y47" s="479">
        <v>372.37700000000001</v>
      </c>
      <c r="Z47" s="448"/>
      <c r="AA47" s="479">
        <v>431.54700000000003</v>
      </c>
      <c r="AB47" s="448"/>
      <c r="AC47" s="479">
        <v>370.65100000000001</v>
      </c>
      <c r="AF47" s="472">
        <v>14</v>
      </c>
      <c r="AG47" s="472"/>
      <c r="AH47" s="472"/>
      <c r="AI47" s="472"/>
      <c r="AJ47" s="472"/>
      <c r="AK47" s="473"/>
    </row>
    <row r="48" spans="1:37" ht="12.5" thickBot="1">
      <c r="A48" s="469"/>
      <c r="B48" s="481"/>
      <c r="C48" s="475"/>
      <c r="D48" s="481"/>
      <c r="E48" s="475"/>
      <c r="F48" s="481"/>
      <c r="G48" s="475"/>
      <c r="H48" s="481"/>
      <c r="I48" s="475"/>
      <c r="J48" s="481"/>
      <c r="K48" s="475"/>
      <c r="L48" s="481"/>
      <c r="M48" s="475"/>
      <c r="N48" s="481"/>
      <c r="O48" s="475"/>
      <c r="P48" s="481"/>
      <c r="Q48" s="475"/>
      <c r="R48" s="481"/>
      <c r="S48" s="475"/>
      <c r="T48" s="481"/>
      <c r="U48" s="475"/>
      <c r="V48" s="481"/>
      <c r="W48" s="475"/>
      <c r="X48" s="481"/>
      <c r="Y48" s="475"/>
      <c r="Z48" s="481"/>
      <c r="AA48" s="475"/>
      <c r="AB48" s="481"/>
      <c r="AC48" s="475"/>
      <c r="AF48" s="476"/>
      <c r="AG48" s="477"/>
      <c r="AH48" s="477"/>
      <c r="AI48" s="477"/>
      <c r="AJ48" s="477"/>
      <c r="AK48" s="478"/>
    </row>
    <row r="49" spans="1:37">
      <c r="A49" s="469"/>
      <c r="B49" s="452" t="s">
        <v>182</v>
      </c>
      <c r="C49" s="452"/>
      <c r="D49" s="452" t="s">
        <v>185</v>
      </c>
      <c r="E49" s="452"/>
      <c r="F49" s="452" t="s">
        <v>119</v>
      </c>
      <c r="G49" s="452"/>
      <c r="H49" s="452" t="s">
        <v>182</v>
      </c>
      <c r="I49" s="452"/>
      <c r="J49" s="452" t="s">
        <v>242</v>
      </c>
      <c r="K49" s="452"/>
      <c r="L49" s="452" t="s">
        <v>182</v>
      </c>
      <c r="M49" s="452"/>
      <c r="N49" s="452" t="s">
        <v>185</v>
      </c>
      <c r="O49" s="452"/>
      <c r="P49" s="452" t="s">
        <v>132</v>
      </c>
      <c r="Q49" s="452"/>
      <c r="R49" s="452" t="s">
        <v>137</v>
      </c>
      <c r="S49" s="452"/>
      <c r="T49" s="452" t="s">
        <v>185</v>
      </c>
      <c r="U49" s="452"/>
      <c r="V49" s="452" t="s">
        <v>182</v>
      </c>
      <c r="W49" s="452"/>
      <c r="X49" s="452" t="s">
        <v>185</v>
      </c>
      <c r="Y49" s="452"/>
      <c r="Z49" s="452" t="s">
        <v>242</v>
      </c>
      <c r="AA49" s="452"/>
      <c r="AB49" s="452" t="s">
        <v>182</v>
      </c>
      <c r="AC49" s="475"/>
      <c r="AF49" s="476"/>
      <c r="AG49" s="477"/>
      <c r="AH49" s="477"/>
      <c r="AI49" s="477"/>
      <c r="AJ49" s="477"/>
      <c r="AK49" s="478"/>
    </row>
    <row r="50" spans="1:37">
      <c r="A50" s="469"/>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75"/>
      <c r="AF50" s="476"/>
      <c r="AG50" s="477"/>
      <c r="AH50" s="477"/>
      <c r="AI50" s="477"/>
      <c r="AJ50" s="477"/>
      <c r="AK50" s="478"/>
    </row>
    <row r="51" spans="1:37" ht="12.5" customHeight="1">
      <c r="A51" s="469"/>
      <c r="C51" s="475"/>
      <c r="E51" s="475"/>
      <c r="G51" s="475"/>
      <c r="I51" s="475"/>
      <c r="K51" s="475"/>
      <c r="M51" s="475"/>
      <c r="O51" s="475"/>
      <c r="Q51" s="475"/>
      <c r="S51" s="475"/>
      <c r="U51" s="475"/>
      <c r="W51" s="475"/>
      <c r="Y51" s="475"/>
      <c r="AA51" s="475"/>
      <c r="AC51" s="475"/>
      <c r="AF51" s="476"/>
      <c r="AG51" s="477"/>
      <c r="AH51" s="477"/>
      <c r="AI51" s="477"/>
      <c r="AJ51" s="477"/>
      <c r="AK51" s="478"/>
    </row>
    <row r="52" spans="1:37">
      <c r="A52" s="469"/>
      <c r="B52" s="470" t="s">
        <v>1224</v>
      </c>
      <c r="C52" s="445"/>
      <c r="D52" s="470" t="s">
        <v>1225</v>
      </c>
      <c r="E52" s="445"/>
      <c r="F52" s="470" t="s">
        <v>1226</v>
      </c>
      <c r="G52" s="445"/>
      <c r="H52" s="470" t="s">
        <v>1227</v>
      </c>
      <c r="I52" s="445"/>
      <c r="J52" s="470" t="s">
        <v>1228</v>
      </c>
      <c r="K52" s="445"/>
      <c r="L52" s="470" t="s">
        <v>1229</v>
      </c>
      <c r="M52" s="445"/>
      <c r="N52" s="470" t="s">
        <v>1230</v>
      </c>
      <c r="O52" s="445"/>
      <c r="P52" s="470" t="s">
        <v>1231</v>
      </c>
      <c r="Q52" s="445"/>
      <c r="R52" s="470" t="s">
        <v>1232</v>
      </c>
      <c r="S52" s="445"/>
      <c r="T52" s="470" t="s">
        <v>1233</v>
      </c>
      <c r="U52" s="445"/>
      <c r="V52" s="470" t="s">
        <v>573</v>
      </c>
      <c r="W52" s="445"/>
      <c r="X52" s="470" t="s">
        <v>1234</v>
      </c>
      <c r="Y52" s="445"/>
      <c r="Z52" s="470" t="s">
        <v>1235</v>
      </c>
      <c r="AA52" s="445"/>
      <c r="AB52" s="470" t="s">
        <v>1236</v>
      </c>
      <c r="AC52" s="475"/>
      <c r="AF52" s="476"/>
      <c r="AG52" s="477"/>
      <c r="AH52" s="477"/>
      <c r="AI52" s="477"/>
      <c r="AJ52" s="477"/>
      <c r="AK52" s="478"/>
    </row>
    <row r="53" spans="1:37">
      <c r="A53" s="469"/>
      <c r="B53" s="474"/>
      <c r="C53" s="475"/>
      <c r="D53" s="474"/>
      <c r="E53" s="475"/>
      <c r="F53" s="474"/>
      <c r="G53" s="475"/>
      <c r="H53" s="474"/>
      <c r="I53" s="475"/>
      <c r="J53" s="474"/>
      <c r="K53" s="475"/>
      <c r="L53" s="474"/>
      <c r="M53" s="475"/>
      <c r="N53" s="474"/>
      <c r="O53" s="475"/>
      <c r="P53" s="474"/>
      <c r="Q53" s="475"/>
      <c r="R53" s="474"/>
      <c r="S53" s="475"/>
      <c r="T53" s="474"/>
      <c r="U53" s="475"/>
      <c r="V53" s="474"/>
      <c r="W53" s="475"/>
      <c r="X53" s="474"/>
      <c r="Y53" s="475"/>
      <c r="Z53" s="474"/>
      <c r="AA53" s="475"/>
      <c r="AB53" s="474"/>
      <c r="AC53" s="475"/>
      <c r="AF53" s="472" t="s">
        <v>1191</v>
      </c>
      <c r="AG53" s="472" t="s">
        <v>354</v>
      </c>
      <c r="AH53" s="472" t="s">
        <v>1192</v>
      </c>
      <c r="AI53" s="472" t="s">
        <v>1193</v>
      </c>
      <c r="AJ53" s="472" t="s">
        <v>303</v>
      </c>
      <c r="AK53" s="473" t="s">
        <v>1194</v>
      </c>
    </row>
    <row r="54" spans="1:37" ht="16.5" customHeight="1" thickBot="1">
      <c r="A54" s="469"/>
      <c r="B54" s="446"/>
      <c r="C54" s="475"/>
      <c r="D54" s="446"/>
      <c r="E54" s="475"/>
      <c r="F54" s="446"/>
      <c r="G54" s="475"/>
      <c r="H54" s="446"/>
      <c r="I54" s="475"/>
      <c r="J54" s="446"/>
      <c r="K54" s="475"/>
      <c r="L54" s="446"/>
      <c r="M54" s="475"/>
      <c r="N54" s="446"/>
      <c r="O54" s="475"/>
      <c r="P54" s="446"/>
      <c r="Q54" s="475"/>
      <c r="R54" s="446"/>
      <c r="S54" s="475"/>
      <c r="T54" s="446"/>
      <c r="U54" s="475"/>
      <c r="V54" s="446"/>
      <c r="W54" s="475"/>
      <c r="X54" s="446"/>
      <c r="Y54" s="475"/>
      <c r="Z54" s="446"/>
      <c r="AA54" s="475"/>
      <c r="AB54" s="446"/>
      <c r="AC54" s="475"/>
      <c r="AF54" s="476"/>
      <c r="AG54" s="477"/>
      <c r="AH54" s="477"/>
      <c r="AI54" s="477"/>
      <c r="AJ54" s="477"/>
      <c r="AK54" s="478"/>
    </row>
    <row r="55" spans="1:37" ht="42.75" customHeight="1" thickBot="1">
      <c r="A55" s="469"/>
      <c r="B55" s="448"/>
      <c r="C55" s="479">
        <v>345.35199999999998</v>
      </c>
      <c r="D55" s="448"/>
      <c r="E55" s="479">
        <v>381.91199999999998</v>
      </c>
      <c r="F55" s="448"/>
      <c r="G55" s="479">
        <v>366.81900000000002</v>
      </c>
      <c r="H55" s="448"/>
      <c r="I55" s="479">
        <v>424.00200000000001</v>
      </c>
      <c r="J55" s="448"/>
      <c r="K55" s="479">
        <v>400.12599999999998</v>
      </c>
      <c r="L55" s="448"/>
      <c r="M55" s="479">
        <v>403.79500000000002</v>
      </c>
      <c r="N55" s="448"/>
      <c r="O55" s="479">
        <v>437.70499999999998</v>
      </c>
      <c r="P55" s="448"/>
      <c r="Q55" s="479">
        <v>399.87</v>
      </c>
      <c r="R55" s="448"/>
      <c r="S55" s="479">
        <v>437.786</v>
      </c>
      <c r="T55" s="448"/>
      <c r="U55" s="479">
        <v>378.36200000000002</v>
      </c>
      <c r="V55" s="448"/>
      <c r="W55" s="479">
        <v>433.995</v>
      </c>
      <c r="X55" s="448"/>
      <c r="Y55" s="479">
        <v>370.685</v>
      </c>
      <c r="Z55" s="448"/>
      <c r="AA55" s="479">
        <v>323.97199999999998</v>
      </c>
      <c r="AB55" s="448"/>
      <c r="AC55" s="479">
        <v>384.46199999999999</v>
      </c>
      <c r="AF55" s="472">
        <v>14</v>
      </c>
      <c r="AG55" s="472"/>
      <c r="AH55" s="472"/>
      <c r="AI55" s="472"/>
      <c r="AJ55" s="472"/>
      <c r="AK55" s="473"/>
    </row>
    <row r="56" spans="1:37" ht="12.5" thickBot="1">
      <c r="A56" s="469"/>
      <c r="B56" s="481"/>
      <c r="C56" s="475"/>
      <c r="D56" s="481"/>
      <c r="E56" s="475"/>
      <c r="F56" s="481"/>
      <c r="G56" s="475"/>
      <c r="H56" s="481"/>
      <c r="I56" s="475"/>
      <c r="J56" s="481"/>
      <c r="K56" s="475"/>
      <c r="L56" s="481"/>
      <c r="M56" s="475"/>
      <c r="N56" s="481"/>
      <c r="O56" s="475"/>
      <c r="P56" s="481"/>
      <c r="Q56" s="475"/>
      <c r="R56" s="481"/>
      <c r="S56" s="475"/>
      <c r="T56" s="481"/>
      <c r="U56" s="475"/>
      <c r="V56" s="481"/>
      <c r="W56" s="475"/>
      <c r="X56" s="481"/>
      <c r="Y56" s="475"/>
      <c r="Z56" s="481"/>
      <c r="AA56" s="475"/>
      <c r="AB56" s="481"/>
      <c r="AC56" s="475"/>
      <c r="AF56" s="476"/>
      <c r="AG56" s="477"/>
      <c r="AH56" s="477"/>
      <c r="AI56" s="477"/>
      <c r="AJ56" s="477"/>
      <c r="AK56" s="478"/>
    </row>
    <row r="57" spans="1:37">
      <c r="A57" s="469"/>
      <c r="B57" s="452" t="s">
        <v>182</v>
      </c>
      <c r="C57" s="452"/>
      <c r="D57" s="452" t="s">
        <v>182</v>
      </c>
      <c r="E57" s="452"/>
      <c r="F57" s="452" t="s">
        <v>182</v>
      </c>
      <c r="G57" s="452"/>
      <c r="H57" s="452" t="s">
        <v>119</v>
      </c>
      <c r="I57" s="452"/>
      <c r="J57" s="452" t="s">
        <v>182</v>
      </c>
      <c r="K57" s="452"/>
      <c r="L57" s="452" t="s">
        <v>185</v>
      </c>
      <c r="M57" s="452"/>
      <c r="N57" s="452" t="s">
        <v>185</v>
      </c>
      <c r="O57" s="452"/>
      <c r="P57" s="452" t="s">
        <v>185</v>
      </c>
      <c r="Q57" s="452"/>
      <c r="R57" s="452" t="s">
        <v>182</v>
      </c>
      <c r="S57" s="452"/>
      <c r="T57" s="452" t="s">
        <v>242</v>
      </c>
      <c r="U57" s="452"/>
      <c r="V57" s="452" t="s">
        <v>119</v>
      </c>
      <c r="W57" s="452"/>
      <c r="X57" s="452" t="s">
        <v>185</v>
      </c>
      <c r="Y57" s="452"/>
      <c r="Z57" s="452" t="s">
        <v>182</v>
      </c>
      <c r="AA57" s="452"/>
      <c r="AB57" s="452" t="s">
        <v>182</v>
      </c>
      <c r="AC57" s="475"/>
      <c r="AF57" s="476"/>
      <c r="AG57" s="477"/>
      <c r="AH57" s="477"/>
      <c r="AI57" s="477"/>
      <c r="AJ57" s="477"/>
      <c r="AK57" s="478"/>
    </row>
    <row r="58" spans="1:37">
      <c r="A58" s="469"/>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75"/>
      <c r="AF58" s="476"/>
      <c r="AG58" s="477"/>
      <c r="AH58" s="477"/>
      <c r="AI58" s="477"/>
      <c r="AJ58" s="477"/>
      <c r="AK58" s="478"/>
    </row>
    <row r="59" spans="1:37">
      <c r="A59" s="469"/>
      <c r="C59" s="475"/>
      <c r="E59" s="475"/>
      <c r="G59" s="475"/>
      <c r="I59" s="475"/>
      <c r="K59" s="475"/>
      <c r="M59" s="475"/>
      <c r="O59" s="475"/>
      <c r="Q59" s="475"/>
      <c r="S59" s="475"/>
      <c r="U59" s="475"/>
      <c r="W59" s="475"/>
      <c r="Y59" s="475"/>
      <c r="AA59" s="475"/>
      <c r="AC59" s="475"/>
      <c r="AF59" s="476"/>
      <c r="AG59" s="477"/>
      <c r="AH59" s="477"/>
      <c r="AI59" s="477"/>
      <c r="AJ59" s="477"/>
      <c r="AK59" s="478"/>
    </row>
    <row r="60" spans="1:37">
      <c r="A60" s="469"/>
      <c r="B60" s="470" t="s">
        <v>1237</v>
      </c>
      <c r="C60" s="445"/>
      <c r="D60" s="470" t="s">
        <v>1238</v>
      </c>
      <c r="E60" s="445"/>
      <c r="F60" s="470" t="s">
        <v>1239</v>
      </c>
      <c r="G60" s="445"/>
      <c r="H60" s="470" t="s">
        <v>575</v>
      </c>
      <c r="I60" s="445"/>
      <c r="J60" s="470" t="s">
        <v>1240</v>
      </c>
      <c r="K60" s="445"/>
      <c r="L60" s="470" t="s">
        <v>1241</v>
      </c>
      <c r="M60" s="445"/>
      <c r="N60" s="470" t="s">
        <v>584</v>
      </c>
      <c r="O60" s="445"/>
      <c r="P60" s="470" t="s">
        <v>1242</v>
      </c>
      <c r="Q60" s="445"/>
      <c r="R60" s="470" t="s">
        <v>1243</v>
      </c>
      <c r="S60" s="445"/>
      <c r="T60" s="470" t="s">
        <v>1244</v>
      </c>
      <c r="U60" s="445"/>
      <c r="V60" s="470" t="s">
        <v>589</v>
      </c>
      <c r="W60" s="445"/>
      <c r="X60" s="470" t="s">
        <v>1245</v>
      </c>
      <c r="Y60" s="445"/>
      <c r="Z60" s="470" t="s">
        <v>590</v>
      </c>
      <c r="AA60" s="445"/>
      <c r="AB60" s="470" t="s">
        <v>1246</v>
      </c>
      <c r="AC60" s="475"/>
      <c r="AF60" s="476"/>
      <c r="AG60" s="477"/>
      <c r="AH60" s="477"/>
      <c r="AI60" s="477"/>
      <c r="AJ60" s="477"/>
      <c r="AK60" s="478"/>
    </row>
    <row r="61" spans="1:37">
      <c r="A61" s="469"/>
      <c r="B61" s="474"/>
      <c r="C61" s="475"/>
      <c r="D61" s="474"/>
      <c r="E61" s="483"/>
      <c r="F61" s="474"/>
      <c r="G61" s="483"/>
      <c r="H61" s="474"/>
      <c r="I61" s="475"/>
      <c r="J61" s="474"/>
      <c r="K61" s="475"/>
      <c r="L61" s="474"/>
      <c r="M61" s="475"/>
      <c r="N61" s="474"/>
      <c r="O61" s="475"/>
      <c r="P61" s="474"/>
      <c r="Q61" s="475"/>
      <c r="R61" s="474"/>
      <c r="S61" s="483"/>
      <c r="T61" s="474"/>
      <c r="U61" s="483"/>
      <c r="V61" s="474"/>
      <c r="W61" s="452"/>
      <c r="X61" s="474"/>
      <c r="Y61" s="475"/>
      <c r="Z61" s="474"/>
      <c r="AA61" s="486"/>
      <c r="AB61" s="474"/>
      <c r="AC61" s="475"/>
      <c r="AF61" s="472" t="s">
        <v>1191</v>
      </c>
      <c r="AG61" s="472" t="s">
        <v>354</v>
      </c>
      <c r="AH61" s="472" t="s">
        <v>1192</v>
      </c>
      <c r="AI61" s="472" t="s">
        <v>1193</v>
      </c>
      <c r="AJ61" s="472" t="s">
        <v>303</v>
      </c>
      <c r="AK61" s="473" t="s">
        <v>1194</v>
      </c>
    </row>
    <row r="62" spans="1:37" ht="12.5" thickBot="1">
      <c r="A62" s="469"/>
      <c r="B62" s="446"/>
      <c r="C62" s="475"/>
      <c r="D62" s="446"/>
      <c r="E62" s="475"/>
      <c r="F62" s="446"/>
      <c r="G62" s="475"/>
      <c r="H62" s="446"/>
      <c r="I62" s="475"/>
      <c r="J62" s="446"/>
      <c r="K62" s="475"/>
      <c r="L62" s="446"/>
      <c r="M62" s="475"/>
      <c r="N62" s="446"/>
      <c r="O62" s="475"/>
      <c r="P62" s="446"/>
      <c r="Q62" s="475"/>
      <c r="R62" s="446"/>
      <c r="S62" s="475"/>
      <c r="T62" s="446"/>
      <c r="U62" s="475"/>
      <c r="V62" s="446"/>
      <c r="W62" s="475"/>
      <c r="X62" s="446"/>
      <c r="Y62" s="475"/>
      <c r="Z62" s="446"/>
      <c r="AA62" s="475"/>
      <c r="AB62" s="446"/>
      <c r="AC62" s="475"/>
      <c r="AF62" s="476"/>
      <c r="AG62" s="477"/>
      <c r="AH62" s="477"/>
      <c r="AI62" s="477"/>
      <c r="AJ62" s="477"/>
      <c r="AK62" s="478"/>
    </row>
    <row r="63" spans="1:37" ht="42" customHeight="1" thickBot="1">
      <c r="A63" s="469"/>
      <c r="B63" s="448"/>
      <c r="C63" s="479">
        <v>381.18799999999999</v>
      </c>
      <c r="D63" s="448"/>
      <c r="E63" s="479">
        <v>336.40899999999999</v>
      </c>
      <c r="F63" s="448"/>
      <c r="G63" s="479">
        <v>438.97</v>
      </c>
      <c r="H63" s="448"/>
      <c r="I63" s="479">
        <v>395.17899999999997</v>
      </c>
      <c r="J63" s="448"/>
      <c r="K63" s="479">
        <v>388.12</v>
      </c>
      <c r="L63" s="448"/>
      <c r="M63" s="479">
        <v>364.44600000000003</v>
      </c>
      <c r="N63" s="448"/>
      <c r="O63" s="479">
        <v>404.572</v>
      </c>
      <c r="P63" s="448"/>
      <c r="Q63" s="479">
        <v>432.27</v>
      </c>
      <c r="R63" s="448"/>
      <c r="S63" s="479">
        <v>404.23</v>
      </c>
      <c r="T63" s="448"/>
      <c r="U63" s="479">
        <v>416.62099999999998</v>
      </c>
      <c r="V63" s="448"/>
      <c r="W63" s="479">
        <v>468.03899999999999</v>
      </c>
      <c r="X63" s="448"/>
      <c r="Y63" s="479">
        <v>432.31799999999998</v>
      </c>
      <c r="Z63" s="448"/>
      <c r="AA63" s="479">
        <v>464.52100000000002</v>
      </c>
      <c r="AB63" s="448"/>
      <c r="AC63" s="479">
        <v>369.74299999999999</v>
      </c>
      <c r="AF63" s="472">
        <v>14</v>
      </c>
      <c r="AG63" s="472"/>
      <c r="AH63" s="472"/>
      <c r="AI63" s="472"/>
      <c r="AJ63" s="472"/>
      <c r="AK63" s="473"/>
    </row>
    <row r="64" spans="1:37" ht="12.5" thickBot="1">
      <c r="A64" s="469"/>
      <c r="B64" s="481"/>
      <c r="C64" s="475"/>
      <c r="D64" s="481"/>
      <c r="E64" s="475"/>
      <c r="F64" s="481"/>
      <c r="G64" s="475"/>
      <c r="H64" s="481"/>
      <c r="I64" s="475"/>
      <c r="J64" s="481"/>
      <c r="K64" s="475"/>
      <c r="L64" s="481"/>
      <c r="M64" s="475"/>
      <c r="N64" s="481"/>
      <c r="O64" s="475"/>
      <c r="P64" s="481"/>
      <c r="Q64" s="475"/>
      <c r="R64" s="481"/>
      <c r="S64" s="475"/>
      <c r="T64" s="481"/>
      <c r="U64" s="475"/>
      <c r="V64" s="481"/>
      <c r="W64" s="475"/>
      <c r="X64" s="481"/>
      <c r="Y64" s="475"/>
      <c r="Z64" s="481"/>
      <c r="AA64" s="475"/>
      <c r="AB64" s="481"/>
      <c r="AC64" s="475"/>
      <c r="AF64" s="476"/>
      <c r="AG64" s="477"/>
      <c r="AH64" s="477"/>
      <c r="AI64" s="477"/>
      <c r="AJ64" s="477"/>
      <c r="AK64" s="478"/>
    </row>
    <row r="65" spans="1:37">
      <c r="A65" s="469"/>
      <c r="B65" s="452" t="s">
        <v>182</v>
      </c>
      <c r="C65" s="452"/>
      <c r="D65" s="452" t="s">
        <v>182</v>
      </c>
      <c r="E65" s="452"/>
      <c r="F65" s="452" t="s">
        <v>182</v>
      </c>
      <c r="G65" s="452"/>
      <c r="H65" s="452" t="s">
        <v>119</v>
      </c>
      <c r="I65" s="452"/>
      <c r="J65" s="452" t="s">
        <v>182</v>
      </c>
      <c r="K65" s="452"/>
      <c r="L65" s="452" t="s">
        <v>185</v>
      </c>
      <c r="M65" s="452"/>
      <c r="N65" s="452" t="s">
        <v>115</v>
      </c>
      <c r="O65" s="452"/>
      <c r="P65" s="452" t="s">
        <v>248</v>
      </c>
      <c r="Q65" s="452"/>
      <c r="R65" s="452" t="s">
        <v>242</v>
      </c>
      <c r="S65" s="452"/>
      <c r="T65" s="452" t="s">
        <v>185</v>
      </c>
      <c r="U65" s="452"/>
      <c r="V65" s="452" t="s">
        <v>119</v>
      </c>
      <c r="W65" s="452"/>
      <c r="X65" s="452" t="s">
        <v>132</v>
      </c>
      <c r="Y65" s="452"/>
      <c r="Z65" s="452" t="s">
        <v>123</v>
      </c>
      <c r="AA65" s="452"/>
      <c r="AB65" s="452" t="s">
        <v>242</v>
      </c>
      <c r="AC65" s="475"/>
      <c r="AF65" s="476"/>
      <c r="AG65" s="477"/>
      <c r="AH65" s="477"/>
      <c r="AI65" s="477"/>
      <c r="AJ65" s="477"/>
      <c r="AK65" s="478"/>
    </row>
    <row r="66" spans="1:37">
      <c r="A66" s="469"/>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75"/>
      <c r="AF66" s="476"/>
      <c r="AG66" s="477"/>
      <c r="AH66" s="477"/>
      <c r="AI66" s="477"/>
      <c r="AJ66" s="477"/>
      <c r="AK66" s="478"/>
    </row>
    <row r="67" spans="1:37">
      <c r="A67" s="469"/>
      <c r="C67" s="475"/>
      <c r="E67" s="475"/>
      <c r="G67" s="475"/>
      <c r="I67" s="475"/>
      <c r="K67" s="475"/>
      <c r="M67" s="475"/>
      <c r="O67" s="475"/>
      <c r="Q67" s="475"/>
      <c r="S67" s="475"/>
      <c r="U67" s="475"/>
      <c r="W67" s="475"/>
      <c r="Y67" s="475"/>
      <c r="AA67" s="475"/>
      <c r="AC67" s="475"/>
      <c r="AF67" s="476"/>
      <c r="AG67" s="477"/>
      <c r="AH67" s="477"/>
      <c r="AI67" s="477"/>
      <c r="AJ67" s="477"/>
      <c r="AK67" s="478"/>
    </row>
    <row r="68" spans="1:37">
      <c r="A68" s="469"/>
      <c r="B68" s="470" t="s">
        <v>595</v>
      </c>
      <c r="C68" s="445"/>
      <c r="D68" s="470" t="s">
        <v>1247</v>
      </c>
      <c r="E68" s="445"/>
      <c r="F68" s="470" t="s">
        <v>604</v>
      </c>
      <c r="G68" s="445"/>
      <c r="H68" s="470" t="s">
        <v>1248</v>
      </c>
      <c r="I68" s="445"/>
      <c r="J68" s="470" t="s">
        <v>608</v>
      </c>
      <c r="K68" s="445"/>
      <c r="L68" s="470" t="s">
        <v>1249</v>
      </c>
      <c r="M68" s="445"/>
      <c r="N68" s="470" t="s">
        <v>609</v>
      </c>
      <c r="O68" s="445"/>
      <c r="P68" s="470" t="s">
        <v>1250</v>
      </c>
      <c r="Q68" s="445"/>
      <c r="R68" s="470" t="s">
        <v>1251</v>
      </c>
      <c r="S68" s="445"/>
      <c r="T68" s="470" t="s">
        <v>1252</v>
      </c>
      <c r="U68" s="445"/>
      <c r="V68" s="470" t="s">
        <v>610</v>
      </c>
      <c r="W68" s="445"/>
      <c r="X68" s="470" t="s">
        <v>1253</v>
      </c>
      <c r="Y68" s="445"/>
      <c r="Z68" s="470" t="s">
        <v>1254</v>
      </c>
      <c r="AA68" s="445"/>
      <c r="AB68" s="470" t="s">
        <v>1255</v>
      </c>
      <c r="AC68" s="475"/>
      <c r="AF68" s="476"/>
      <c r="AG68" s="477"/>
      <c r="AH68" s="477"/>
      <c r="AI68" s="477"/>
      <c r="AJ68" s="477"/>
      <c r="AK68" s="478"/>
    </row>
    <row r="69" spans="1:37">
      <c r="A69" s="469"/>
      <c r="B69" s="474"/>
      <c r="C69" s="475"/>
      <c r="D69" s="474"/>
      <c r="E69" s="475"/>
      <c r="F69" s="474"/>
      <c r="G69" s="475"/>
      <c r="H69" s="474"/>
      <c r="I69" s="475"/>
      <c r="J69" s="474"/>
      <c r="K69" s="475"/>
      <c r="L69" s="474"/>
      <c r="M69" s="483"/>
      <c r="N69" s="474"/>
      <c r="O69" s="452"/>
      <c r="P69" s="474"/>
      <c r="Q69" s="475"/>
      <c r="R69" s="474"/>
      <c r="S69" s="475"/>
      <c r="T69" s="474"/>
      <c r="U69" s="475"/>
      <c r="V69" s="474"/>
      <c r="W69" s="475"/>
      <c r="X69" s="474"/>
      <c r="Y69" s="475"/>
      <c r="Z69" s="474"/>
      <c r="AA69" s="475"/>
      <c r="AB69" s="474"/>
      <c r="AC69" s="475"/>
      <c r="AF69" s="472" t="s">
        <v>1191</v>
      </c>
      <c r="AG69" s="472" t="s">
        <v>354</v>
      </c>
      <c r="AH69" s="472" t="s">
        <v>1192</v>
      </c>
      <c r="AI69" s="472" t="s">
        <v>1193</v>
      </c>
      <c r="AJ69" s="472" t="s">
        <v>303</v>
      </c>
      <c r="AK69" s="473" t="s">
        <v>1194</v>
      </c>
    </row>
    <row r="70" spans="1:37" ht="12.5" thickBot="1">
      <c r="A70" s="469"/>
      <c r="B70" s="446"/>
      <c r="C70" s="475"/>
      <c r="D70" s="446"/>
      <c r="E70" s="475"/>
      <c r="F70" s="446"/>
      <c r="G70" s="475"/>
      <c r="H70" s="446"/>
      <c r="I70" s="475"/>
      <c r="J70" s="446"/>
      <c r="K70" s="475"/>
      <c r="L70" s="446"/>
      <c r="M70" s="475"/>
      <c r="N70" s="446"/>
      <c r="O70" s="475"/>
      <c r="P70" s="446"/>
      <c r="Q70" s="475"/>
      <c r="R70" s="446"/>
      <c r="S70" s="475"/>
      <c r="T70" s="446"/>
      <c r="U70" s="475"/>
      <c r="V70" s="446"/>
      <c r="W70" s="475"/>
      <c r="X70" s="446"/>
      <c r="Y70" s="475"/>
      <c r="Z70" s="446"/>
      <c r="AA70" s="475"/>
      <c r="AB70" s="446"/>
      <c r="AC70" s="475"/>
      <c r="AF70" s="476"/>
      <c r="AG70" s="477"/>
      <c r="AH70" s="477"/>
      <c r="AI70" s="477"/>
      <c r="AJ70" s="477"/>
      <c r="AK70" s="478"/>
    </row>
    <row r="71" spans="1:37" ht="42" customHeight="1" thickBot="1">
      <c r="A71" s="469"/>
      <c r="B71" s="448"/>
      <c r="C71" s="479">
        <v>284.16000000000003</v>
      </c>
      <c r="D71" s="448"/>
      <c r="E71" s="479">
        <v>270.74200000000002</v>
      </c>
      <c r="F71" s="448"/>
      <c r="G71" s="479">
        <v>286.64</v>
      </c>
      <c r="H71" s="448"/>
      <c r="I71" s="479">
        <v>291.69900000000001</v>
      </c>
      <c r="J71" s="448"/>
      <c r="K71" s="479">
        <v>398.71899999999999</v>
      </c>
      <c r="L71" s="448"/>
      <c r="M71" s="479">
        <v>425.46499999999997</v>
      </c>
      <c r="N71" s="448"/>
      <c r="O71" s="479">
        <v>383.81299999999999</v>
      </c>
      <c r="P71" s="448"/>
      <c r="Q71" s="479">
        <v>403.279</v>
      </c>
      <c r="R71" s="448"/>
      <c r="S71" s="479">
        <v>355.21499999999997</v>
      </c>
      <c r="T71" s="448"/>
      <c r="U71" s="479">
        <v>399.839</v>
      </c>
      <c r="V71" s="448"/>
      <c r="W71" s="479">
        <v>287.44200000000001</v>
      </c>
      <c r="X71" s="448"/>
      <c r="Y71" s="479">
        <v>390.74799999999999</v>
      </c>
      <c r="Z71" s="448"/>
      <c r="AA71" s="479">
        <v>364.274</v>
      </c>
      <c r="AB71" s="448"/>
      <c r="AC71" s="479">
        <v>337.54599999999999</v>
      </c>
      <c r="AF71" s="472">
        <v>14</v>
      </c>
      <c r="AG71" s="472"/>
      <c r="AH71" s="472"/>
      <c r="AI71" s="472"/>
      <c r="AJ71" s="472"/>
      <c r="AK71" s="473"/>
    </row>
    <row r="72" spans="1:37" ht="12.5" thickBot="1">
      <c r="A72" s="469"/>
      <c r="B72" s="481"/>
      <c r="C72" s="475"/>
      <c r="D72" s="481"/>
      <c r="E72" s="475"/>
      <c r="F72" s="481"/>
      <c r="G72" s="475"/>
      <c r="H72" s="481"/>
      <c r="I72" s="475"/>
      <c r="J72" s="481"/>
      <c r="K72" s="475"/>
      <c r="L72" s="481"/>
      <c r="M72" s="475"/>
      <c r="N72" s="481"/>
      <c r="O72" s="475"/>
      <c r="P72" s="481"/>
      <c r="Q72" s="475"/>
      <c r="R72" s="481"/>
      <c r="S72" s="475"/>
      <c r="T72" s="481"/>
      <c r="U72" s="475"/>
      <c r="V72" s="481"/>
      <c r="W72" s="475"/>
      <c r="X72" s="481"/>
      <c r="Y72" s="475"/>
      <c r="Z72" s="481"/>
      <c r="AA72" s="475"/>
      <c r="AB72" s="481"/>
      <c r="AC72" s="475"/>
      <c r="AF72" s="476"/>
      <c r="AG72" s="477"/>
      <c r="AH72" s="477"/>
      <c r="AI72" s="477"/>
      <c r="AJ72" s="477"/>
      <c r="AK72" s="478"/>
    </row>
    <row r="73" spans="1:37">
      <c r="A73" s="469"/>
      <c r="B73" s="452" t="s">
        <v>125</v>
      </c>
      <c r="C73" s="452"/>
      <c r="D73" s="452" t="s">
        <v>182</v>
      </c>
      <c r="E73" s="452"/>
      <c r="F73" s="452" t="s">
        <v>119</v>
      </c>
      <c r="G73" s="452"/>
      <c r="H73" s="452" t="s">
        <v>182</v>
      </c>
      <c r="I73" s="452"/>
      <c r="J73" s="452" t="s">
        <v>115</v>
      </c>
      <c r="K73" s="452"/>
      <c r="L73" s="452" t="s">
        <v>242</v>
      </c>
      <c r="M73" s="452"/>
      <c r="N73" s="452" t="s">
        <v>125</v>
      </c>
      <c r="O73" s="452"/>
      <c r="P73" s="452" t="s">
        <v>185</v>
      </c>
      <c r="Q73" s="452"/>
      <c r="R73" s="452" t="s">
        <v>182</v>
      </c>
      <c r="S73" s="452"/>
      <c r="T73" s="452" t="s">
        <v>185</v>
      </c>
      <c r="U73" s="452"/>
      <c r="V73" s="452" t="s">
        <v>115</v>
      </c>
      <c r="W73" s="452"/>
      <c r="X73" s="452" t="s">
        <v>182</v>
      </c>
      <c r="Y73" s="452"/>
      <c r="Z73" s="452" t="s">
        <v>182</v>
      </c>
      <c r="AA73" s="452"/>
      <c r="AB73" s="452" t="s">
        <v>182</v>
      </c>
      <c r="AC73" s="475"/>
      <c r="AF73" s="476"/>
      <c r="AG73" s="477"/>
      <c r="AH73" s="477"/>
      <c r="AI73" s="477"/>
      <c r="AJ73" s="477"/>
      <c r="AK73" s="478"/>
    </row>
    <row r="74" spans="1:37">
      <c r="A74" s="469"/>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75"/>
      <c r="AF74" s="476"/>
      <c r="AG74" s="477"/>
      <c r="AH74" s="477"/>
      <c r="AI74" s="477"/>
      <c r="AJ74" s="477"/>
      <c r="AK74" s="478"/>
    </row>
    <row r="75" spans="1:37">
      <c r="A75" s="469"/>
      <c r="C75" s="475"/>
      <c r="E75" s="475"/>
      <c r="G75" s="475"/>
      <c r="I75" s="475"/>
      <c r="K75" s="475"/>
      <c r="M75" s="475"/>
      <c r="O75" s="475"/>
      <c r="Q75" s="475"/>
      <c r="S75" s="475"/>
      <c r="U75" s="475"/>
      <c r="W75" s="475"/>
      <c r="Y75" s="475"/>
      <c r="AA75" s="475"/>
      <c r="AC75" s="475"/>
      <c r="AF75" s="476"/>
      <c r="AG75" s="477"/>
      <c r="AH75" s="477"/>
      <c r="AI75" s="477"/>
      <c r="AJ75" s="477"/>
      <c r="AK75" s="478"/>
    </row>
    <row r="76" spans="1:37">
      <c r="A76" s="469"/>
      <c r="B76" s="470" t="s">
        <v>1256</v>
      </c>
      <c r="C76" s="445"/>
      <c r="D76" s="470" t="s">
        <v>1257</v>
      </c>
      <c r="E76" s="445"/>
      <c r="F76" s="470" t="s">
        <v>1258</v>
      </c>
      <c r="G76" s="445"/>
      <c r="H76" s="470" t="s">
        <v>616</v>
      </c>
      <c r="I76" s="445"/>
      <c r="J76" s="470" t="s">
        <v>1259</v>
      </c>
      <c r="K76" s="445"/>
      <c r="L76" s="470" t="s">
        <v>1260</v>
      </c>
      <c r="M76" s="445"/>
      <c r="N76" s="470" t="s">
        <v>620</v>
      </c>
      <c r="O76" s="445"/>
      <c r="P76" s="470" t="s">
        <v>623</v>
      </c>
      <c r="Q76" s="445"/>
      <c r="R76" s="470" t="s">
        <v>1261</v>
      </c>
      <c r="S76" s="445"/>
      <c r="T76" s="470" t="s">
        <v>1262</v>
      </c>
      <c r="U76" s="445"/>
      <c r="V76" s="470" t="s">
        <v>1263</v>
      </c>
      <c r="W76" s="445"/>
      <c r="X76" s="470" t="s">
        <v>624</v>
      </c>
      <c r="Y76" s="445"/>
      <c r="Z76" s="470" t="s">
        <v>1264</v>
      </c>
      <c r="AA76" s="445"/>
      <c r="AB76" s="470" t="s">
        <v>625</v>
      </c>
      <c r="AC76" s="475"/>
      <c r="AF76" s="476"/>
      <c r="AG76" s="477"/>
      <c r="AH76" s="477"/>
      <c r="AI76" s="477"/>
      <c r="AJ76" s="477"/>
      <c r="AK76" s="478"/>
    </row>
    <row r="77" spans="1:37">
      <c r="A77" s="469"/>
      <c r="B77" s="474"/>
      <c r="C77" s="475"/>
      <c r="D77" s="474"/>
      <c r="E77" s="475"/>
      <c r="F77" s="474"/>
      <c r="G77" s="475"/>
      <c r="H77" s="474"/>
      <c r="I77" s="475"/>
      <c r="J77" s="474"/>
      <c r="K77" s="475"/>
      <c r="L77" s="474"/>
      <c r="M77" s="475"/>
      <c r="N77" s="474"/>
      <c r="O77" s="475"/>
      <c r="P77" s="474"/>
      <c r="Q77" s="475"/>
      <c r="R77" s="474"/>
      <c r="S77" s="483"/>
      <c r="T77" s="474"/>
      <c r="U77" s="483"/>
      <c r="V77" s="474"/>
      <c r="W77" s="475"/>
      <c r="X77" s="474"/>
      <c r="Y77" s="475"/>
      <c r="Z77" s="474"/>
      <c r="AA77" s="475"/>
      <c r="AB77" s="474"/>
      <c r="AC77" s="475"/>
      <c r="AF77" s="472" t="s">
        <v>1191</v>
      </c>
      <c r="AG77" s="472" t="s">
        <v>354</v>
      </c>
      <c r="AH77" s="472" t="s">
        <v>1192</v>
      </c>
      <c r="AI77" s="472" t="s">
        <v>1193</v>
      </c>
      <c r="AJ77" s="472" t="s">
        <v>303</v>
      </c>
      <c r="AK77" s="473" t="s">
        <v>1194</v>
      </c>
    </row>
    <row r="78" spans="1:37" ht="12.5" thickBot="1">
      <c r="A78" s="469"/>
      <c r="B78" s="446"/>
      <c r="C78" s="475"/>
      <c r="D78" s="446"/>
      <c r="E78" s="475"/>
      <c r="F78" s="446"/>
      <c r="G78" s="475"/>
      <c r="H78" s="446"/>
      <c r="I78" s="475"/>
      <c r="J78" s="446"/>
      <c r="K78" s="475"/>
      <c r="L78" s="446"/>
      <c r="M78" s="475"/>
      <c r="N78" s="446"/>
      <c r="O78" s="475"/>
      <c r="P78" s="446"/>
      <c r="Q78" s="475"/>
      <c r="R78" s="446"/>
      <c r="S78" s="475"/>
      <c r="T78" s="446"/>
      <c r="U78" s="475"/>
      <c r="V78" s="446"/>
      <c r="W78" s="475"/>
      <c r="X78" s="446"/>
      <c r="Y78" s="475"/>
      <c r="Z78" s="446"/>
      <c r="AA78" s="475"/>
      <c r="AB78" s="446"/>
      <c r="AC78" s="475"/>
      <c r="AF78" s="476"/>
      <c r="AG78" s="477"/>
      <c r="AH78" s="477"/>
      <c r="AI78" s="477"/>
      <c r="AJ78" s="477"/>
      <c r="AK78" s="478"/>
    </row>
    <row r="79" spans="1:37" ht="42" customHeight="1" thickBot="1">
      <c r="A79" s="469"/>
      <c r="B79" s="448"/>
      <c r="C79" s="479">
        <v>348.29199999999997</v>
      </c>
      <c r="D79" s="448"/>
      <c r="E79" s="479">
        <v>418.83499999999998</v>
      </c>
      <c r="F79" s="448"/>
      <c r="G79" s="479">
        <v>408.96300000000002</v>
      </c>
      <c r="H79" s="448"/>
      <c r="I79" s="479">
        <v>365.46699999999998</v>
      </c>
      <c r="J79" s="448"/>
      <c r="K79" s="479">
        <v>437.07400000000001</v>
      </c>
      <c r="L79" s="448"/>
      <c r="M79" s="479">
        <v>363.142</v>
      </c>
      <c r="N79" s="448"/>
      <c r="O79" s="479">
        <v>159.78899999999999</v>
      </c>
      <c r="P79" s="448"/>
      <c r="Q79" s="479">
        <v>300.15800000000002</v>
      </c>
      <c r="R79" s="448"/>
      <c r="S79" s="479">
        <v>293.13099999999997</v>
      </c>
      <c r="T79" s="448"/>
      <c r="U79" s="479">
        <v>357.37700000000001</v>
      </c>
      <c r="V79" s="448"/>
      <c r="W79" s="479">
        <v>341.40899999999999</v>
      </c>
      <c r="X79" s="448"/>
      <c r="Y79" s="479">
        <v>362.90499999999997</v>
      </c>
      <c r="Z79" s="448"/>
      <c r="AA79" s="479">
        <v>421.05200000000002</v>
      </c>
      <c r="AB79" s="448"/>
      <c r="AC79" s="479">
        <v>216.44800000000001</v>
      </c>
      <c r="AF79" s="472">
        <v>14</v>
      </c>
      <c r="AG79" s="472"/>
      <c r="AH79" s="472"/>
      <c r="AI79" s="472"/>
      <c r="AJ79" s="472"/>
      <c r="AK79" s="473"/>
    </row>
    <row r="80" spans="1:37" ht="12.5" thickBot="1">
      <c r="A80" s="469"/>
      <c r="B80" s="481"/>
      <c r="C80" s="475"/>
      <c r="D80" s="481"/>
      <c r="E80" s="475"/>
      <c r="F80" s="481"/>
      <c r="G80" s="475"/>
      <c r="H80" s="481"/>
      <c r="I80" s="475"/>
      <c r="J80" s="481"/>
      <c r="K80" s="475"/>
      <c r="L80" s="481"/>
      <c r="M80" s="475"/>
      <c r="N80" s="481"/>
      <c r="O80" s="475"/>
      <c r="P80" s="481"/>
      <c r="Q80" s="475"/>
      <c r="R80" s="481"/>
      <c r="S80" s="475"/>
      <c r="T80" s="481"/>
      <c r="U80" s="475"/>
      <c r="V80" s="481"/>
      <c r="W80" s="475"/>
      <c r="X80" s="481"/>
      <c r="Y80" s="475"/>
      <c r="Z80" s="481"/>
      <c r="AA80" s="475"/>
      <c r="AB80" s="481"/>
      <c r="AC80" s="475"/>
      <c r="AF80" s="476"/>
      <c r="AG80" s="477"/>
      <c r="AH80" s="477"/>
      <c r="AI80" s="477"/>
      <c r="AJ80" s="477"/>
      <c r="AK80" s="478"/>
    </row>
    <row r="81" spans="1:37">
      <c r="A81" s="469"/>
      <c r="B81" s="452" t="s">
        <v>182</v>
      </c>
      <c r="C81" s="452"/>
      <c r="D81" s="452" t="s">
        <v>185</v>
      </c>
      <c r="E81" s="452"/>
      <c r="F81" s="452" t="s">
        <v>248</v>
      </c>
      <c r="G81" s="452"/>
      <c r="H81" s="452" t="s">
        <v>143</v>
      </c>
      <c r="I81" s="452"/>
      <c r="J81" s="452" t="s">
        <v>182</v>
      </c>
      <c r="K81" s="452"/>
      <c r="L81" s="452" t="s">
        <v>242</v>
      </c>
      <c r="M81" s="452"/>
      <c r="N81" s="452" t="s">
        <v>188</v>
      </c>
      <c r="O81" s="452"/>
      <c r="P81" s="452" t="s">
        <v>125</v>
      </c>
      <c r="Q81" s="452"/>
      <c r="R81" s="452" t="s">
        <v>188</v>
      </c>
      <c r="S81" s="452"/>
      <c r="T81" s="452" t="s">
        <v>182</v>
      </c>
      <c r="U81" s="452"/>
      <c r="V81" s="452" t="s">
        <v>182</v>
      </c>
      <c r="W81" s="452"/>
      <c r="X81" s="452" t="s">
        <v>123</v>
      </c>
      <c r="Y81" s="452"/>
      <c r="Z81" s="452" t="s">
        <v>248</v>
      </c>
      <c r="AA81" s="452"/>
      <c r="AB81" s="452" t="s">
        <v>201</v>
      </c>
      <c r="AC81" s="475"/>
      <c r="AF81" s="476"/>
      <c r="AG81" s="477"/>
      <c r="AH81" s="477"/>
      <c r="AI81" s="477"/>
      <c r="AJ81" s="477"/>
      <c r="AK81" s="478"/>
    </row>
    <row r="82" spans="1:37">
      <c r="A82" s="469"/>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75"/>
      <c r="AF82" s="476"/>
      <c r="AG82" s="477"/>
      <c r="AH82" s="477"/>
      <c r="AI82" s="477"/>
      <c r="AJ82" s="477"/>
      <c r="AK82" s="478"/>
    </row>
    <row r="83" spans="1:37">
      <c r="A83" s="469"/>
      <c r="C83" s="475"/>
      <c r="E83" s="475"/>
      <c r="G83" s="475"/>
      <c r="I83" s="475"/>
      <c r="K83" s="475"/>
      <c r="M83" s="475"/>
      <c r="O83" s="475"/>
      <c r="Q83" s="475"/>
      <c r="S83" s="475"/>
      <c r="U83" s="475"/>
      <c r="W83" s="475"/>
      <c r="Y83" s="475"/>
      <c r="AA83" s="475"/>
      <c r="AC83" s="475"/>
      <c r="AF83" s="476"/>
      <c r="AG83" s="477"/>
      <c r="AH83" s="477"/>
      <c r="AI83" s="477"/>
      <c r="AJ83" s="477"/>
      <c r="AK83" s="478"/>
    </row>
    <row r="84" spans="1:37">
      <c r="A84" s="469"/>
      <c r="B84" s="470" t="s">
        <v>627</v>
      </c>
      <c r="C84" s="445"/>
      <c r="D84" s="470" t="s">
        <v>634</v>
      </c>
      <c r="E84" s="445"/>
      <c r="F84" s="470" t="s">
        <v>1265</v>
      </c>
      <c r="G84" s="445"/>
      <c r="H84" s="470" t="s">
        <v>1266</v>
      </c>
      <c r="I84" s="445"/>
      <c r="J84" s="470" t="s">
        <v>1267</v>
      </c>
      <c r="K84" s="445"/>
      <c r="L84" s="470" t="s">
        <v>1268</v>
      </c>
      <c r="M84" s="445"/>
      <c r="N84" s="470" t="s">
        <v>1269</v>
      </c>
      <c r="O84" s="445"/>
      <c r="P84" s="470" t="s">
        <v>1270</v>
      </c>
      <c r="Q84" s="445"/>
      <c r="R84" s="470" t="s">
        <v>1271</v>
      </c>
      <c r="S84" s="445"/>
      <c r="T84" s="470" t="s">
        <v>1272</v>
      </c>
      <c r="U84" s="445"/>
      <c r="V84" s="470" t="s">
        <v>637</v>
      </c>
      <c r="W84" s="445"/>
      <c r="X84" s="470" t="s">
        <v>638</v>
      </c>
      <c r="Y84" s="445"/>
      <c r="Z84" s="470" t="s">
        <v>639</v>
      </c>
      <c r="AA84" s="445"/>
      <c r="AB84" s="470" t="s">
        <v>642</v>
      </c>
      <c r="AC84" s="475"/>
      <c r="AF84" s="476"/>
      <c r="AG84" s="477"/>
      <c r="AH84" s="477"/>
      <c r="AI84" s="477"/>
      <c r="AJ84" s="477"/>
      <c r="AK84" s="478"/>
    </row>
    <row r="85" spans="1:37">
      <c r="A85" s="469"/>
      <c r="B85" s="474"/>
      <c r="C85" s="475"/>
      <c r="D85" s="474"/>
      <c r="E85" s="475"/>
      <c r="F85" s="474"/>
      <c r="G85" s="475"/>
      <c r="H85" s="474"/>
      <c r="I85" s="475"/>
      <c r="J85" s="474"/>
      <c r="K85" s="475"/>
      <c r="L85" s="474"/>
      <c r="M85" s="475"/>
      <c r="N85" s="474"/>
      <c r="O85" s="475"/>
      <c r="P85" s="474"/>
      <c r="Q85" s="475"/>
      <c r="R85" s="474"/>
      <c r="S85" s="475"/>
      <c r="T85" s="474"/>
      <c r="U85" s="475"/>
      <c r="V85" s="474"/>
      <c r="W85" s="475"/>
      <c r="X85" s="474"/>
      <c r="Y85" s="475"/>
      <c r="Z85" s="474"/>
      <c r="AA85" s="475"/>
      <c r="AB85" s="474"/>
      <c r="AC85" s="475"/>
      <c r="AF85" s="472" t="s">
        <v>1191</v>
      </c>
      <c r="AG85" s="472" t="s">
        <v>354</v>
      </c>
      <c r="AH85" s="472" t="s">
        <v>1192</v>
      </c>
      <c r="AI85" s="472" t="s">
        <v>1193</v>
      </c>
      <c r="AJ85" s="472" t="s">
        <v>303</v>
      </c>
      <c r="AK85" s="473" t="s">
        <v>1194</v>
      </c>
    </row>
    <row r="86" spans="1:37" ht="12.5" thickBot="1">
      <c r="A86" s="469"/>
      <c r="B86" s="446"/>
      <c r="C86" s="475"/>
      <c r="D86" s="446"/>
      <c r="E86" s="475"/>
      <c r="F86" s="446"/>
      <c r="G86" s="475"/>
      <c r="H86" s="446"/>
      <c r="I86" s="475"/>
      <c r="J86" s="446"/>
      <c r="K86" s="475"/>
      <c r="L86" s="446"/>
      <c r="M86" s="475"/>
      <c r="N86" s="446"/>
      <c r="O86" s="475"/>
      <c r="P86" s="446"/>
      <c r="Q86" s="475"/>
      <c r="R86" s="446"/>
      <c r="S86" s="475"/>
      <c r="T86" s="446"/>
      <c r="U86" s="475"/>
      <c r="V86" s="446"/>
      <c r="W86" s="475"/>
      <c r="X86" s="446"/>
      <c r="Y86" s="475"/>
      <c r="Z86" s="446"/>
      <c r="AA86" s="475"/>
      <c r="AB86" s="446"/>
      <c r="AC86" s="475"/>
      <c r="AF86" s="476"/>
      <c r="AG86" s="477"/>
      <c r="AH86" s="477"/>
      <c r="AI86" s="477"/>
      <c r="AJ86" s="477"/>
      <c r="AK86" s="478"/>
    </row>
    <row r="87" spans="1:37" ht="42.75" customHeight="1" thickBot="1">
      <c r="A87" s="469"/>
      <c r="B87" s="448"/>
      <c r="C87" s="479">
        <v>439.69499999999999</v>
      </c>
      <c r="D87" s="448"/>
      <c r="E87" s="479">
        <v>243.18799999999999</v>
      </c>
      <c r="F87" s="448"/>
      <c r="G87" s="479">
        <v>333.21899999999999</v>
      </c>
      <c r="H87" s="448"/>
      <c r="I87" s="479">
        <v>363.00099999999998</v>
      </c>
      <c r="J87" s="448"/>
      <c r="K87" s="479">
        <v>356.12400000000002</v>
      </c>
      <c r="L87" s="448"/>
      <c r="M87" s="479">
        <v>511.69200000000001</v>
      </c>
      <c r="N87" s="448"/>
      <c r="O87" s="479">
        <v>376.245</v>
      </c>
      <c r="P87" s="448"/>
      <c r="Q87" s="479">
        <v>381.12200000000001</v>
      </c>
      <c r="R87" s="448"/>
      <c r="S87" s="479">
        <v>364.43299999999999</v>
      </c>
      <c r="T87" s="448"/>
      <c r="U87" s="479">
        <v>263.077</v>
      </c>
      <c r="V87" s="448"/>
      <c r="W87" s="479">
        <v>356.19299999999998</v>
      </c>
      <c r="X87" s="448"/>
      <c r="Y87" s="479">
        <v>352.42</v>
      </c>
      <c r="Z87" s="448"/>
      <c r="AA87" s="479">
        <v>460.56400000000002</v>
      </c>
      <c r="AB87" s="448"/>
      <c r="AC87" s="479">
        <v>381.02800000000002</v>
      </c>
      <c r="AF87" s="472">
        <v>14</v>
      </c>
      <c r="AG87" s="472"/>
      <c r="AH87" s="472"/>
      <c r="AI87" s="472"/>
      <c r="AJ87" s="472"/>
      <c r="AK87" s="473"/>
    </row>
    <row r="88" spans="1:37" ht="12.5" thickBot="1">
      <c r="A88" s="469"/>
      <c r="B88" s="481"/>
      <c r="C88" s="475"/>
      <c r="D88" s="481"/>
      <c r="E88" s="475"/>
      <c r="F88" s="481"/>
      <c r="G88" s="475"/>
      <c r="H88" s="481"/>
      <c r="I88" s="475"/>
      <c r="J88" s="481"/>
      <c r="K88" s="475"/>
      <c r="L88" s="481"/>
      <c r="M88" s="475"/>
      <c r="N88" s="481"/>
      <c r="O88" s="475"/>
      <c r="P88" s="481"/>
      <c r="Q88" s="475"/>
      <c r="R88" s="481"/>
      <c r="S88" s="475"/>
      <c r="T88" s="481"/>
      <c r="U88" s="475"/>
      <c r="V88" s="481"/>
      <c r="W88" s="475"/>
      <c r="X88" s="481"/>
      <c r="Y88" s="475"/>
      <c r="Z88" s="481"/>
      <c r="AA88" s="475"/>
      <c r="AB88" s="481"/>
      <c r="AC88" s="475"/>
      <c r="AF88" s="476"/>
      <c r="AG88" s="477"/>
      <c r="AH88" s="477"/>
      <c r="AI88" s="477"/>
      <c r="AJ88" s="477"/>
      <c r="AK88" s="478"/>
    </row>
    <row r="89" spans="1:37">
      <c r="A89" s="469"/>
      <c r="B89" s="452" t="s">
        <v>201</v>
      </c>
      <c r="C89" s="452"/>
      <c r="D89" s="452" t="s">
        <v>115</v>
      </c>
      <c r="E89" s="452"/>
      <c r="F89" s="452" t="s">
        <v>125</v>
      </c>
      <c r="G89" s="452"/>
      <c r="H89" s="452" t="s">
        <v>185</v>
      </c>
      <c r="I89" s="452"/>
      <c r="J89" s="452" t="s">
        <v>185</v>
      </c>
      <c r="K89" s="452"/>
      <c r="L89" s="452" t="s">
        <v>119</v>
      </c>
      <c r="M89" s="452"/>
      <c r="N89" s="452" t="s">
        <v>119</v>
      </c>
      <c r="O89" s="452"/>
      <c r="P89" s="452" t="s">
        <v>182</v>
      </c>
      <c r="Q89" s="452"/>
      <c r="R89" s="452" t="s">
        <v>185</v>
      </c>
      <c r="S89" s="452"/>
      <c r="T89" s="452" t="s">
        <v>248</v>
      </c>
      <c r="U89" s="452"/>
      <c r="V89" s="452" t="s">
        <v>192</v>
      </c>
      <c r="W89" s="452"/>
      <c r="X89" s="452" t="s">
        <v>182</v>
      </c>
      <c r="Y89" s="452"/>
      <c r="Z89" s="452" t="s">
        <v>132</v>
      </c>
      <c r="AA89" s="452"/>
      <c r="AB89" s="452" t="s">
        <v>128</v>
      </c>
      <c r="AC89" s="475"/>
      <c r="AF89" s="476"/>
      <c r="AG89" s="477"/>
      <c r="AH89" s="477"/>
      <c r="AI89" s="477"/>
      <c r="AJ89" s="477"/>
      <c r="AK89" s="478"/>
    </row>
    <row r="90" spans="1:37">
      <c r="A90" s="469"/>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75"/>
      <c r="AF90" s="476"/>
      <c r="AG90" s="477"/>
      <c r="AH90" s="477"/>
      <c r="AI90" s="477"/>
      <c r="AJ90" s="477"/>
      <c r="AK90" s="478"/>
    </row>
    <row r="91" spans="1:37">
      <c r="A91" s="469"/>
      <c r="C91" s="475"/>
      <c r="E91" s="475"/>
      <c r="G91" s="475"/>
      <c r="I91" s="475"/>
      <c r="K91" s="475"/>
      <c r="M91" s="475"/>
      <c r="O91" s="475"/>
      <c r="Q91" s="475"/>
      <c r="S91" s="475"/>
      <c r="U91" s="475"/>
      <c r="W91" s="475"/>
      <c r="Y91" s="475"/>
      <c r="AA91" s="475"/>
      <c r="AC91" s="475"/>
      <c r="AF91" s="476"/>
      <c r="AG91" s="477"/>
      <c r="AH91" s="477"/>
      <c r="AI91" s="477"/>
      <c r="AJ91" s="477"/>
      <c r="AK91" s="478"/>
    </row>
    <row r="92" spans="1:37">
      <c r="A92" s="469"/>
      <c r="B92" s="470" t="s">
        <v>643</v>
      </c>
      <c r="C92" s="445"/>
      <c r="D92" s="470" t="s">
        <v>644</v>
      </c>
      <c r="E92" s="445"/>
      <c r="F92" s="470" t="s">
        <v>645</v>
      </c>
      <c r="G92" s="445"/>
      <c r="H92" s="470" t="s">
        <v>646</v>
      </c>
      <c r="I92" s="445"/>
      <c r="J92" s="470" t="s">
        <v>647</v>
      </c>
      <c r="K92" s="445"/>
      <c r="L92" s="470" t="s">
        <v>648</v>
      </c>
      <c r="M92" s="445"/>
      <c r="N92" s="470" t="s">
        <v>649</v>
      </c>
      <c r="O92" s="445"/>
      <c r="P92" s="470" t="s">
        <v>650</v>
      </c>
      <c r="Q92" s="445"/>
      <c r="R92" s="470" t="s">
        <v>651</v>
      </c>
      <c r="S92" s="445"/>
      <c r="T92" s="470" t="s">
        <v>652</v>
      </c>
      <c r="U92" s="445"/>
      <c r="V92" s="470" t="s">
        <v>653</v>
      </c>
      <c r="W92" s="445"/>
      <c r="X92" s="470" t="s">
        <v>654</v>
      </c>
      <c r="Y92" s="445"/>
      <c r="Z92" s="470" t="s">
        <v>655</v>
      </c>
      <c r="AA92" s="445"/>
      <c r="AB92" s="470" t="s">
        <v>656</v>
      </c>
      <c r="AC92" s="475"/>
      <c r="AF92" s="476"/>
      <c r="AG92" s="477"/>
      <c r="AH92" s="477"/>
      <c r="AI92" s="477"/>
      <c r="AJ92" s="477"/>
      <c r="AK92" s="478"/>
    </row>
    <row r="93" spans="1:37">
      <c r="A93" s="469"/>
      <c r="B93" s="474"/>
      <c r="C93" s="475"/>
      <c r="D93" s="474"/>
      <c r="E93" s="475"/>
      <c r="F93" s="474"/>
      <c r="G93" s="475"/>
      <c r="H93" s="474"/>
      <c r="I93" s="483"/>
      <c r="J93" s="474"/>
      <c r="K93" s="475"/>
      <c r="L93" s="474"/>
      <c r="M93" s="475"/>
      <c r="N93" s="474"/>
      <c r="O93" s="475"/>
      <c r="P93" s="474"/>
      <c r="Q93" s="475"/>
      <c r="R93" s="474"/>
      <c r="S93" s="475"/>
      <c r="T93" s="474"/>
      <c r="U93" s="475"/>
      <c r="V93" s="474"/>
      <c r="W93" s="475"/>
      <c r="X93" s="474"/>
      <c r="Y93" s="475"/>
      <c r="Z93" s="474"/>
      <c r="AA93" s="483"/>
      <c r="AB93" s="474"/>
      <c r="AC93" s="475"/>
      <c r="AF93" s="472" t="s">
        <v>1191</v>
      </c>
      <c r="AG93" s="472" t="s">
        <v>354</v>
      </c>
      <c r="AH93" s="472" t="s">
        <v>1192</v>
      </c>
      <c r="AI93" s="472" t="s">
        <v>1193</v>
      </c>
      <c r="AJ93" s="472" t="s">
        <v>303</v>
      </c>
      <c r="AK93" s="473" t="s">
        <v>1194</v>
      </c>
    </row>
    <row r="94" spans="1:37" ht="12.5" thickBot="1">
      <c r="A94" s="469"/>
      <c r="B94" s="446"/>
      <c r="C94" s="475"/>
      <c r="D94" s="446"/>
      <c r="E94" s="475"/>
      <c r="F94" s="446"/>
      <c r="G94" s="475"/>
      <c r="H94" s="446"/>
      <c r="I94" s="475"/>
      <c r="J94" s="446"/>
      <c r="K94" s="475"/>
      <c r="L94" s="446"/>
      <c r="M94" s="475"/>
      <c r="N94" s="446"/>
      <c r="O94" s="475"/>
      <c r="P94" s="446"/>
      <c r="Q94" s="475"/>
      <c r="R94" s="446"/>
      <c r="S94" s="475"/>
      <c r="T94" s="446"/>
      <c r="U94" s="475"/>
      <c r="V94" s="446"/>
      <c r="W94" s="475"/>
      <c r="X94" s="446"/>
      <c r="Y94" s="475"/>
      <c r="Z94" s="446"/>
      <c r="AA94" s="475"/>
      <c r="AB94" s="446"/>
      <c r="AC94" s="475"/>
      <c r="AF94" s="476"/>
      <c r="AG94" s="477"/>
      <c r="AH94" s="477"/>
      <c r="AI94" s="477"/>
      <c r="AJ94" s="477"/>
      <c r="AK94" s="478"/>
    </row>
    <row r="95" spans="1:37" ht="42" customHeight="1" thickBot="1">
      <c r="A95" s="469"/>
      <c r="B95" s="448"/>
      <c r="C95" s="479">
        <v>419.60300000000001</v>
      </c>
      <c r="D95" s="448"/>
      <c r="E95" s="479">
        <v>425.18</v>
      </c>
      <c r="F95" s="448"/>
      <c r="G95" s="479">
        <v>287.53699999999998</v>
      </c>
      <c r="H95" s="448"/>
      <c r="I95" s="479">
        <v>336.512</v>
      </c>
      <c r="J95" s="448"/>
      <c r="K95" s="479">
        <v>325.30399999999997</v>
      </c>
      <c r="L95" s="448"/>
      <c r="M95" s="479">
        <v>214.25299999999999</v>
      </c>
      <c r="N95" s="448"/>
      <c r="O95" s="479">
        <v>455.94600000000003</v>
      </c>
      <c r="P95" s="448"/>
      <c r="Q95" s="479">
        <v>421</v>
      </c>
      <c r="R95" s="448"/>
      <c r="S95" s="479">
        <v>419</v>
      </c>
      <c r="T95" s="448"/>
      <c r="U95" s="479">
        <v>408</v>
      </c>
      <c r="V95" s="448"/>
      <c r="W95" s="479">
        <v>409.74900000000002</v>
      </c>
      <c r="X95" s="448"/>
      <c r="Y95" s="479">
        <v>324.02999999999997</v>
      </c>
      <c r="Z95" s="448"/>
      <c r="AA95" s="479">
        <v>366.7</v>
      </c>
      <c r="AB95" s="448"/>
      <c r="AC95" s="484">
        <v>473.30500000000001</v>
      </c>
      <c r="AF95" s="472">
        <v>14</v>
      </c>
      <c r="AG95" s="472"/>
      <c r="AH95" s="472"/>
      <c r="AI95" s="472"/>
      <c r="AJ95" s="472"/>
      <c r="AK95" s="473"/>
    </row>
    <row r="96" spans="1:37" ht="12.5" thickBot="1">
      <c r="A96" s="469"/>
      <c r="B96" s="481"/>
      <c r="C96" s="475"/>
      <c r="D96" s="481"/>
      <c r="E96" s="475"/>
      <c r="F96" s="481"/>
      <c r="G96" s="475"/>
      <c r="H96" s="481"/>
      <c r="I96" s="475"/>
      <c r="J96" s="481"/>
      <c r="K96" s="475"/>
      <c r="L96" s="481"/>
      <c r="M96" s="475"/>
      <c r="N96" s="481"/>
      <c r="O96" s="475"/>
      <c r="P96" s="481"/>
      <c r="Q96" s="475"/>
      <c r="R96" s="481"/>
      <c r="S96" s="475"/>
      <c r="T96" s="481"/>
      <c r="U96" s="475"/>
      <c r="V96" s="481"/>
      <c r="W96" s="475"/>
      <c r="X96" s="481"/>
      <c r="Y96" s="475"/>
      <c r="Z96" s="481"/>
      <c r="AA96" s="475"/>
      <c r="AB96" s="481"/>
      <c r="AC96" s="475"/>
      <c r="AF96" s="476"/>
      <c r="AG96" s="477"/>
      <c r="AH96" s="477"/>
      <c r="AI96" s="477"/>
      <c r="AJ96" s="477"/>
      <c r="AK96" s="478"/>
    </row>
    <row r="97" spans="1:37">
      <c r="A97" s="469"/>
      <c r="B97" s="452" t="s">
        <v>185</v>
      </c>
      <c r="C97" s="452"/>
      <c r="D97" s="452" t="s">
        <v>248</v>
      </c>
      <c r="E97" s="452"/>
      <c r="F97" s="452" t="s">
        <v>115</v>
      </c>
      <c r="G97" s="452"/>
      <c r="H97" s="452" t="s">
        <v>182</v>
      </c>
      <c r="I97" s="452"/>
      <c r="J97" s="452" t="s">
        <v>182</v>
      </c>
      <c r="K97" s="452"/>
      <c r="L97" s="452" t="s">
        <v>182</v>
      </c>
      <c r="M97" s="452"/>
      <c r="N97" s="452" t="s">
        <v>123</v>
      </c>
      <c r="O97" s="452"/>
      <c r="P97" s="452" t="s">
        <v>123</v>
      </c>
      <c r="Q97" s="452"/>
      <c r="R97" s="452" t="s">
        <v>185</v>
      </c>
      <c r="S97" s="452"/>
      <c r="T97" s="452" t="s">
        <v>185</v>
      </c>
      <c r="U97" s="452"/>
      <c r="V97" s="452" t="s">
        <v>248</v>
      </c>
      <c r="W97" s="452"/>
      <c r="X97" s="452" t="s">
        <v>119</v>
      </c>
      <c r="Y97" s="452"/>
      <c r="Z97" s="452" t="s">
        <v>128</v>
      </c>
      <c r="AA97" s="452"/>
      <c r="AB97" s="452" t="s">
        <v>248</v>
      </c>
      <c r="AC97" s="475"/>
      <c r="AF97" s="476"/>
      <c r="AG97" s="477"/>
      <c r="AH97" s="477"/>
      <c r="AI97" s="477"/>
      <c r="AJ97" s="477"/>
      <c r="AK97" s="478"/>
    </row>
    <row r="98" spans="1:37">
      <c r="A98" s="469"/>
      <c r="B98" s="452"/>
      <c r="C98" s="452"/>
      <c r="D98" s="452"/>
      <c r="E98" s="452"/>
      <c r="F98" s="452"/>
      <c r="G98" s="452"/>
      <c r="H98" s="452"/>
      <c r="I98" s="452"/>
      <c r="J98" s="452"/>
      <c r="K98" s="452"/>
      <c r="L98" s="452"/>
      <c r="M98" s="475"/>
      <c r="N98" s="452"/>
      <c r="O98" s="452"/>
      <c r="P98" s="452"/>
      <c r="Q98" s="452"/>
      <c r="R98" s="452"/>
      <c r="S98" s="452"/>
      <c r="T98" s="452"/>
      <c r="U98" s="452"/>
      <c r="V98" s="452"/>
      <c r="W98" s="452"/>
      <c r="X98" s="452"/>
      <c r="Y98" s="452"/>
      <c r="Z98" s="452"/>
      <c r="AA98" s="452"/>
      <c r="AB98" s="452"/>
      <c r="AC98" s="475"/>
      <c r="AF98" s="476"/>
      <c r="AG98" s="477"/>
      <c r="AH98" s="477"/>
      <c r="AI98" s="477"/>
      <c r="AJ98" s="477"/>
      <c r="AK98" s="478"/>
    </row>
    <row r="99" spans="1:37" ht="9.75" customHeight="1">
      <c r="A99" s="469"/>
      <c r="C99" s="475"/>
      <c r="E99" s="475"/>
      <c r="G99" s="475"/>
      <c r="I99" s="475"/>
      <c r="K99" s="475"/>
      <c r="M99" s="475"/>
      <c r="O99" s="475"/>
      <c r="Q99" s="475"/>
      <c r="S99" s="475"/>
      <c r="U99" s="475"/>
      <c r="W99" s="475"/>
      <c r="Y99" s="475"/>
      <c r="AA99" s="475"/>
      <c r="AC99" s="475"/>
      <c r="AF99" s="476"/>
      <c r="AG99" s="477"/>
      <c r="AH99" s="477"/>
      <c r="AI99" s="477"/>
      <c r="AJ99" s="477"/>
      <c r="AK99" s="478"/>
    </row>
    <row r="100" spans="1:37" ht="23.25" customHeight="1">
      <c r="A100" s="469"/>
      <c r="B100" s="470" t="s">
        <v>657</v>
      </c>
      <c r="C100" s="445"/>
      <c r="D100" s="470" t="s">
        <v>658</v>
      </c>
      <c r="E100" s="445"/>
      <c r="F100" s="470" t="s">
        <v>659</v>
      </c>
      <c r="G100" s="445"/>
      <c r="H100" s="470" t="s">
        <v>660</v>
      </c>
      <c r="I100" s="445"/>
      <c r="J100" s="470" t="s">
        <v>661</v>
      </c>
      <c r="K100" s="445"/>
      <c r="L100" s="470" t="s">
        <v>1421</v>
      </c>
      <c r="N100" s="470" t="s">
        <v>662</v>
      </c>
      <c r="O100" s="445"/>
      <c r="P100" s="470" t="s">
        <v>663</v>
      </c>
      <c r="Q100" s="445"/>
      <c r="R100" s="470" t="s">
        <v>664</v>
      </c>
      <c r="S100" s="445"/>
      <c r="T100" s="470" t="s">
        <v>665</v>
      </c>
      <c r="U100" s="445"/>
      <c r="V100" s="470" t="s">
        <v>666</v>
      </c>
      <c r="W100" s="445"/>
      <c r="X100" s="470" t="s">
        <v>667</v>
      </c>
      <c r="Y100" s="445"/>
      <c r="Z100" s="470" t="s">
        <v>668</v>
      </c>
      <c r="AA100" s="445"/>
      <c r="AB100" s="470" t="s">
        <v>669</v>
      </c>
      <c r="AC100" s="445"/>
      <c r="AD100" s="470" t="s">
        <v>670</v>
      </c>
      <c r="AE100" s="475"/>
      <c r="AF100" s="476"/>
      <c r="AG100" s="477"/>
      <c r="AH100" s="477"/>
      <c r="AI100" s="477"/>
      <c r="AJ100" s="477"/>
      <c r="AK100" s="478"/>
    </row>
    <row r="101" spans="1:37">
      <c r="A101" s="469"/>
      <c r="B101" s="474"/>
      <c r="C101" s="475"/>
      <c r="D101" s="474"/>
      <c r="E101" s="475"/>
      <c r="F101" s="474"/>
      <c r="G101" s="475"/>
      <c r="H101" s="474"/>
      <c r="I101" s="475"/>
      <c r="J101" s="474"/>
      <c r="K101" s="475"/>
      <c r="L101" s="474"/>
      <c r="N101" s="474"/>
      <c r="O101" s="475"/>
      <c r="P101" s="474"/>
      <c r="Q101" s="475"/>
      <c r="R101" s="474"/>
      <c r="S101" s="475"/>
      <c r="T101" s="474"/>
      <c r="U101" s="475"/>
      <c r="V101" s="474"/>
      <c r="W101" s="475"/>
      <c r="X101" s="474"/>
      <c r="Y101" s="475"/>
      <c r="Z101" s="474"/>
      <c r="AA101" s="475"/>
      <c r="AB101" s="474"/>
      <c r="AC101" s="475"/>
      <c r="AD101" s="474"/>
      <c r="AE101" s="475"/>
      <c r="AF101" s="472" t="s">
        <v>1191</v>
      </c>
      <c r="AG101" s="472" t="s">
        <v>354</v>
      </c>
      <c r="AH101" s="472" t="s">
        <v>1192</v>
      </c>
      <c r="AI101" s="472" t="s">
        <v>1193</v>
      </c>
      <c r="AJ101" s="472" t="s">
        <v>303</v>
      </c>
      <c r="AK101" s="473" t="s">
        <v>1194</v>
      </c>
    </row>
    <row r="102" spans="1:37" ht="12.5" thickBot="1">
      <c r="A102" s="469"/>
      <c r="B102" s="446"/>
      <c r="C102" s="475"/>
      <c r="D102" s="446"/>
      <c r="E102" s="475"/>
      <c r="F102" s="446"/>
      <c r="G102" s="475"/>
      <c r="H102" s="446"/>
      <c r="I102" s="475"/>
      <c r="J102" s="446"/>
      <c r="K102" s="475"/>
      <c r="L102" s="446"/>
      <c r="N102" s="446"/>
      <c r="O102" s="475"/>
      <c r="P102" s="446"/>
      <c r="Q102" s="475"/>
      <c r="R102" s="446"/>
      <c r="S102" s="475"/>
      <c r="T102" s="446"/>
      <c r="U102" s="475"/>
      <c r="V102" s="446"/>
      <c r="W102" s="475"/>
      <c r="X102" s="446"/>
      <c r="Y102" s="475"/>
      <c r="Z102" s="446"/>
      <c r="AA102" s="475"/>
      <c r="AB102" s="446"/>
      <c r="AC102" s="475"/>
      <c r="AD102" s="446"/>
      <c r="AE102" s="475"/>
      <c r="AF102" s="476"/>
      <c r="AG102" s="477"/>
      <c r="AH102" s="477"/>
      <c r="AI102" s="477"/>
      <c r="AJ102" s="477"/>
      <c r="AK102" s="478"/>
    </row>
    <row r="103" spans="1:37" ht="42.75" customHeight="1" thickBot="1">
      <c r="A103" s="469"/>
      <c r="B103" s="448"/>
      <c r="C103" s="479">
        <v>358.32100000000003</v>
      </c>
      <c r="D103" s="448"/>
      <c r="E103" s="479">
        <v>477.815</v>
      </c>
      <c r="F103" s="448"/>
      <c r="G103" s="479">
        <v>415.464</v>
      </c>
      <c r="H103" s="448"/>
      <c r="I103" s="479">
        <v>402.22899999999998</v>
      </c>
      <c r="J103" s="448"/>
      <c r="K103" s="479">
        <v>437.43400000000003</v>
      </c>
      <c r="L103" s="448"/>
      <c r="N103" s="448"/>
      <c r="O103" s="479">
        <v>455.92200000000003</v>
      </c>
      <c r="P103" s="448"/>
      <c r="Q103" s="479">
        <v>368.5</v>
      </c>
      <c r="R103" s="448"/>
      <c r="S103" s="479">
        <v>419.76499999999999</v>
      </c>
      <c r="T103" s="448"/>
      <c r="U103" s="479">
        <v>418.91699999999997</v>
      </c>
      <c r="V103" s="448"/>
      <c r="W103" s="479">
        <v>386.48599999999999</v>
      </c>
      <c r="X103" s="448"/>
      <c r="Y103" s="479">
        <v>376.53</v>
      </c>
      <c r="Z103" s="448"/>
      <c r="AA103" s="479">
        <v>404.73899999999998</v>
      </c>
      <c r="AB103" s="448"/>
      <c r="AC103" s="479">
        <v>366.72899999999998</v>
      </c>
      <c r="AD103" s="448"/>
      <c r="AE103" s="479">
        <v>274.58699999999999</v>
      </c>
      <c r="AF103" s="472">
        <v>14</v>
      </c>
      <c r="AG103" s="472"/>
      <c r="AH103" s="472"/>
      <c r="AI103" s="472"/>
      <c r="AJ103" s="472"/>
      <c r="AK103" s="473"/>
    </row>
    <row r="104" spans="1:37" ht="12.5" thickBot="1">
      <c r="A104" s="469"/>
      <c r="B104" s="481"/>
      <c r="C104" s="475"/>
      <c r="D104" s="481"/>
      <c r="E104" s="475"/>
      <c r="F104" s="481"/>
      <c r="G104" s="475"/>
      <c r="H104" s="481"/>
      <c r="I104" s="475"/>
      <c r="J104" s="481"/>
      <c r="K104" s="475"/>
      <c r="L104" s="481"/>
      <c r="N104" s="481"/>
      <c r="O104" s="475"/>
      <c r="P104" s="481"/>
      <c r="Q104" s="475"/>
      <c r="R104" s="481"/>
      <c r="S104" s="475"/>
      <c r="T104" s="481"/>
      <c r="U104" s="475"/>
      <c r="V104" s="481"/>
      <c r="W104" s="475"/>
      <c r="X104" s="481"/>
      <c r="Y104" s="475"/>
      <c r="Z104" s="481"/>
      <c r="AA104" s="475"/>
      <c r="AB104" s="481"/>
      <c r="AC104" s="475"/>
      <c r="AD104" s="481"/>
      <c r="AE104" s="475"/>
      <c r="AF104" s="476"/>
      <c r="AG104" s="477"/>
      <c r="AH104" s="477"/>
      <c r="AI104" s="477"/>
      <c r="AJ104" s="477"/>
      <c r="AK104" s="478"/>
    </row>
    <row r="105" spans="1:37">
      <c r="A105" s="469"/>
      <c r="B105" s="452" t="s">
        <v>123</v>
      </c>
      <c r="C105" s="452"/>
      <c r="D105" s="452" t="s">
        <v>248</v>
      </c>
      <c r="E105" s="452"/>
      <c r="F105" s="452" t="s">
        <v>123</v>
      </c>
      <c r="G105" s="452"/>
      <c r="H105" s="452" t="s">
        <v>248</v>
      </c>
      <c r="I105" s="452"/>
      <c r="J105" s="452" t="s">
        <v>248</v>
      </c>
      <c r="K105" s="452"/>
      <c r="L105" s="452" t="s">
        <v>125</v>
      </c>
      <c r="N105" s="452" t="s">
        <v>125</v>
      </c>
      <c r="O105" s="452"/>
      <c r="P105" s="452" t="s">
        <v>242</v>
      </c>
      <c r="Q105" s="452"/>
      <c r="R105" s="452" t="s">
        <v>119</v>
      </c>
      <c r="S105" s="452"/>
      <c r="T105" s="452" t="s">
        <v>242</v>
      </c>
      <c r="U105" s="452"/>
      <c r="V105" s="452" t="s">
        <v>248</v>
      </c>
      <c r="W105" s="452"/>
      <c r="X105" s="452" t="s">
        <v>185</v>
      </c>
      <c r="Y105" s="452"/>
      <c r="Z105" s="452" t="s">
        <v>188</v>
      </c>
      <c r="AA105" s="452"/>
      <c r="AB105" s="452" t="s">
        <v>242</v>
      </c>
      <c r="AC105" s="452"/>
      <c r="AD105" s="452" t="s">
        <v>182</v>
      </c>
      <c r="AE105" s="475"/>
      <c r="AF105" s="476"/>
      <c r="AG105" s="477"/>
      <c r="AH105" s="477"/>
      <c r="AI105" s="477"/>
      <c r="AJ105" s="477"/>
      <c r="AK105" s="478"/>
    </row>
    <row r="106" spans="1:37">
      <c r="A106" s="469"/>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75"/>
      <c r="AF106" s="476"/>
      <c r="AG106" s="477"/>
      <c r="AH106" s="477"/>
      <c r="AI106" s="477"/>
      <c r="AJ106" s="477"/>
      <c r="AK106" s="478"/>
    </row>
    <row r="107" spans="1:37">
      <c r="A107" s="469"/>
      <c r="C107" s="475"/>
      <c r="E107" s="475"/>
      <c r="G107" s="475"/>
      <c r="I107" s="475"/>
      <c r="K107" s="475"/>
      <c r="M107" s="475"/>
      <c r="O107" s="475"/>
      <c r="Q107" s="475"/>
      <c r="S107" s="475"/>
      <c r="U107" s="475"/>
      <c r="W107" s="475"/>
      <c r="Y107" s="475"/>
      <c r="AA107" s="475"/>
      <c r="AC107" s="475"/>
      <c r="AF107" s="476"/>
      <c r="AG107" s="477"/>
      <c r="AH107" s="477"/>
      <c r="AI107" s="477"/>
      <c r="AJ107" s="477"/>
      <c r="AK107" s="478"/>
    </row>
    <row r="108" spans="1:37">
      <c r="A108" s="469"/>
      <c r="B108" s="470" t="s">
        <v>671</v>
      </c>
      <c r="C108" s="445"/>
      <c r="D108" s="470" t="s">
        <v>672</v>
      </c>
      <c r="E108" s="445"/>
      <c r="F108" s="470" t="s">
        <v>673</v>
      </c>
      <c r="G108" s="445"/>
      <c r="H108" s="470" t="s">
        <v>674</v>
      </c>
      <c r="I108" s="445"/>
      <c r="J108" s="470" t="s">
        <v>675</v>
      </c>
      <c r="K108" s="445"/>
      <c r="L108" s="470" t="s">
        <v>676</v>
      </c>
      <c r="M108" s="445"/>
      <c r="N108" s="470" t="s">
        <v>677</v>
      </c>
      <c r="O108" s="445"/>
      <c r="P108" s="470" t="s">
        <v>678</v>
      </c>
      <c r="Q108" s="445"/>
      <c r="R108" s="470" t="s">
        <v>679</v>
      </c>
      <c r="S108" s="445"/>
      <c r="T108" s="470" t="s">
        <v>680</v>
      </c>
      <c r="U108" s="445"/>
      <c r="V108" s="470" t="s">
        <v>681</v>
      </c>
      <c r="W108" s="445"/>
      <c r="X108" s="470" t="s">
        <v>682</v>
      </c>
      <c r="Y108" s="445"/>
      <c r="Z108" s="470" t="s">
        <v>683</v>
      </c>
      <c r="AA108" s="445"/>
      <c r="AB108" s="470" t="s">
        <v>684</v>
      </c>
      <c r="AC108" s="475"/>
      <c r="AF108" s="476"/>
      <c r="AG108" s="477"/>
      <c r="AH108" s="477"/>
      <c r="AI108" s="477"/>
      <c r="AJ108" s="477"/>
      <c r="AK108" s="478"/>
    </row>
    <row r="109" spans="1:37">
      <c r="A109" s="469"/>
      <c r="B109" s="474"/>
      <c r="C109" s="452"/>
      <c r="D109" s="474"/>
      <c r="E109" s="475"/>
      <c r="F109" s="474"/>
      <c r="G109" s="475"/>
      <c r="H109" s="474"/>
      <c r="I109" s="475"/>
      <c r="J109" s="474"/>
      <c r="K109" s="475"/>
      <c r="L109" s="474"/>
      <c r="M109" s="475"/>
      <c r="N109" s="474"/>
      <c r="O109" s="475"/>
      <c r="P109" s="474"/>
      <c r="Q109" s="483"/>
      <c r="R109" s="474"/>
      <c r="S109" s="483"/>
      <c r="T109" s="474"/>
      <c r="U109" s="475"/>
      <c r="V109" s="474"/>
      <c r="W109" s="475"/>
      <c r="X109" s="474"/>
      <c r="Y109" s="475"/>
      <c r="Z109" s="474"/>
      <c r="AA109" s="475"/>
      <c r="AB109" s="474"/>
      <c r="AC109" s="475"/>
      <c r="AF109" s="472" t="s">
        <v>1191</v>
      </c>
      <c r="AG109" s="472" t="s">
        <v>354</v>
      </c>
      <c r="AH109" s="472" t="s">
        <v>1192</v>
      </c>
      <c r="AI109" s="472" t="s">
        <v>1193</v>
      </c>
      <c r="AJ109" s="472" t="s">
        <v>303</v>
      </c>
      <c r="AK109" s="473" t="s">
        <v>1194</v>
      </c>
    </row>
    <row r="110" spans="1:37" ht="12.5" thickBot="1">
      <c r="A110" s="469"/>
      <c r="B110" s="446"/>
      <c r="C110" s="475"/>
      <c r="D110" s="446"/>
      <c r="E110" s="475"/>
      <c r="F110" s="446"/>
      <c r="G110" s="475"/>
      <c r="H110" s="446"/>
      <c r="I110" s="475"/>
      <c r="J110" s="446"/>
      <c r="K110" s="475"/>
      <c r="L110" s="446"/>
      <c r="M110" s="475"/>
      <c r="N110" s="446"/>
      <c r="O110" s="475"/>
      <c r="P110" s="446"/>
      <c r="Q110" s="475"/>
      <c r="R110" s="446"/>
      <c r="S110" s="475"/>
      <c r="T110" s="446"/>
      <c r="U110" s="475"/>
      <c r="V110" s="446"/>
      <c r="W110" s="475"/>
      <c r="X110" s="446"/>
      <c r="Y110" s="475"/>
      <c r="Z110" s="446"/>
      <c r="AA110" s="475"/>
      <c r="AB110" s="446"/>
      <c r="AC110" s="475"/>
      <c r="AF110" s="476"/>
      <c r="AG110" s="477"/>
      <c r="AH110" s="477"/>
      <c r="AI110" s="477"/>
      <c r="AJ110" s="477"/>
      <c r="AK110" s="478"/>
    </row>
    <row r="111" spans="1:37" ht="42.75" customHeight="1" thickBot="1">
      <c r="A111" s="469"/>
      <c r="B111" s="448"/>
      <c r="C111" s="479">
        <v>341.66800000000001</v>
      </c>
      <c r="D111" s="448"/>
      <c r="E111" s="479">
        <v>425.863</v>
      </c>
      <c r="F111" s="448"/>
      <c r="G111" s="479">
        <v>394.30700000000002</v>
      </c>
      <c r="H111" s="448"/>
      <c r="I111" s="479">
        <v>370.45</v>
      </c>
      <c r="J111" s="448"/>
      <c r="K111" s="479">
        <v>436.75400000000002</v>
      </c>
      <c r="L111" s="448"/>
      <c r="M111" s="479">
        <v>397.60500000000002</v>
      </c>
      <c r="N111" s="448"/>
      <c r="O111" s="479">
        <v>413.40100000000001</v>
      </c>
      <c r="P111" s="448"/>
      <c r="Q111" s="484">
        <v>423.64499999999998</v>
      </c>
      <c r="R111" s="448"/>
      <c r="S111" s="479">
        <v>415.96800000000002</v>
      </c>
      <c r="T111" s="448"/>
      <c r="U111" s="479">
        <v>415.34899999999999</v>
      </c>
      <c r="V111" s="448"/>
      <c r="W111" s="479">
        <v>394.875</v>
      </c>
      <c r="X111" s="448"/>
      <c r="Y111" s="479">
        <v>429.62</v>
      </c>
      <c r="Z111" s="448"/>
      <c r="AA111" s="479">
        <v>381.90499999999997</v>
      </c>
      <c r="AB111" s="448"/>
      <c r="AC111" s="479">
        <v>405.26</v>
      </c>
      <c r="AF111" s="472">
        <v>14</v>
      </c>
      <c r="AG111" s="472"/>
      <c r="AH111" s="472"/>
      <c r="AI111" s="472"/>
      <c r="AJ111" s="472"/>
      <c r="AK111" s="473"/>
    </row>
    <row r="112" spans="1:37" ht="12.5" thickBot="1">
      <c r="A112" s="469"/>
      <c r="B112" s="481"/>
      <c r="C112" s="475"/>
      <c r="D112" s="481"/>
      <c r="E112" s="475"/>
      <c r="F112" s="481"/>
      <c r="G112" s="475"/>
      <c r="H112" s="481"/>
      <c r="I112" s="475"/>
      <c r="J112" s="481"/>
      <c r="K112" s="475"/>
      <c r="L112" s="481"/>
      <c r="M112" s="475"/>
      <c r="N112" s="481"/>
      <c r="O112" s="475"/>
      <c r="P112" s="481"/>
      <c r="Q112" s="475"/>
      <c r="R112" s="481"/>
      <c r="S112" s="475"/>
      <c r="T112" s="481"/>
      <c r="U112" s="475"/>
      <c r="V112" s="481"/>
      <c r="W112" s="475"/>
      <c r="X112" s="481"/>
      <c r="Y112" s="475"/>
      <c r="Z112" s="481"/>
      <c r="AA112" s="475"/>
      <c r="AB112" s="481"/>
      <c r="AC112" s="475"/>
      <c r="AF112" s="476"/>
      <c r="AG112" s="477"/>
      <c r="AH112" s="477"/>
      <c r="AI112" s="477"/>
      <c r="AJ112" s="477"/>
      <c r="AK112" s="478"/>
    </row>
    <row r="113" spans="1:37">
      <c r="A113" s="469"/>
      <c r="B113" s="452" t="s">
        <v>182</v>
      </c>
      <c r="C113" s="452"/>
      <c r="D113" s="452" t="s">
        <v>182</v>
      </c>
      <c r="E113" s="452"/>
      <c r="F113" s="452" t="s">
        <v>242</v>
      </c>
      <c r="G113" s="452"/>
      <c r="H113" s="452" t="s">
        <v>143</v>
      </c>
      <c r="I113" s="452"/>
      <c r="J113" s="452" t="s">
        <v>167</v>
      </c>
      <c r="K113" s="452"/>
      <c r="L113" s="452" t="s">
        <v>242</v>
      </c>
      <c r="M113" s="452"/>
      <c r="N113" s="452" t="s">
        <v>119</v>
      </c>
      <c r="O113" s="452"/>
      <c r="P113" s="452" t="s">
        <v>248</v>
      </c>
      <c r="Q113" s="452"/>
      <c r="R113" s="452" t="s">
        <v>182</v>
      </c>
      <c r="S113" s="452"/>
      <c r="T113" s="452" t="s">
        <v>248</v>
      </c>
      <c r="U113" s="452"/>
      <c r="V113" s="452" t="s">
        <v>137</v>
      </c>
      <c r="W113" s="452"/>
      <c r="X113" s="452" t="s">
        <v>248</v>
      </c>
      <c r="Y113" s="452"/>
      <c r="Z113" s="452" t="s">
        <v>1273</v>
      </c>
      <c r="AA113" s="452"/>
      <c r="AB113" s="452" t="s">
        <v>248</v>
      </c>
      <c r="AC113" s="475"/>
      <c r="AF113" s="476"/>
      <c r="AG113" s="477"/>
      <c r="AH113" s="477"/>
      <c r="AI113" s="477"/>
      <c r="AJ113" s="477"/>
      <c r="AK113" s="478"/>
    </row>
    <row r="114" spans="1:37">
      <c r="A114" s="469"/>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75"/>
      <c r="AF114" s="476"/>
      <c r="AG114" s="477"/>
      <c r="AH114" s="477"/>
      <c r="AI114" s="477"/>
      <c r="AJ114" s="477"/>
      <c r="AK114" s="478"/>
    </row>
    <row r="115" spans="1:37">
      <c r="A115" s="469"/>
      <c r="C115" s="475"/>
      <c r="E115" s="475"/>
      <c r="G115" s="475"/>
      <c r="I115" s="475"/>
      <c r="K115" s="475"/>
      <c r="M115" s="475"/>
      <c r="O115" s="475"/>
      <c r="Q115" s="475"/>
      <c r="S115" s="475"/>
      <c r="U115" s="475"/>
      <c r="W115" s="475"/>
      <c r="Y115" s="475"/>
      <c r="AA115" s="475"/>
      <c r="AC115" s="475"/>
      <c r="AF115" s="476"/>
      <c r="AG115" s="477"/>
      <c r="AH115" s="477"/>
      <c r="AI115" s="477"/>
      <c r="AJ115" s="477"/>
      <c r="AK115" s="478"/>
    </row>
    <row r="116" spans="1:37">
      <c r="A116" s="469"/>
      <c r="B116" s="470" t="s">
        <v>685</v>
      </c>
      <c r="C116" s="445"/>
      <c r="D116" s="470" t="s">
        <v>686</v>
      </c>
      <c r="E116" s="445"/>
      <c r="F116" s="470" t="s">
        <v>687</v>
      </c>
      <c r="G116" s="445"/>
      <c r="H116" s="470" t="s">
        <v>688</v>
      </c>
      <c r="I116" s="445"/>
      <c r="J116" s="470" t="s">
        <v>689</v>
      </c>
      <c r="K116" s="445"/>
      <c r="L116" s="470" t="s">
        <v>690</v>
      </c>
      <c r="M116" s="445"/>
      <c r="N116" s="470" t="s">
        <v>691</v>
      </c>
      <c r="O116" s="445"/>
      <c r="P116" s="470" t="s">
        <v>692</v>
      </c>
      <c r="Q116" s="445"/>
      <c r="R116" s="470" t="s">
        <v>693</v>
      </c>
      <c r="S116" s="445"/>
      <c r="T116" s="470" t="s">
        <v>694</v>
      </c>
      <c r="U116" s="445"/>
      <c r="V116" s="470" t="s">
        <v>695</v>
      </c>
      <c r="W116" s="445"/>
      <c r="X116" s="470" t="s">
        <v>696</v>
      </c>
      <c r="Y116" s="445"/>
      <c r="Z116" s="470" t="s">
        <v>697</v>
      </c>
      <c r="AA116" s="445"/>
      <c r="AB116" s="470" t="s">
        <v>698</v>
      </c>
      <c r="AC116" s="475"/>
      <c r="AF116" s="476"/>
      <c r="AG116" s="477"/>
      <c r="AH116" s="477"/>
      <c r="AI116" s="477"/>
      <c r="AJ116" s="477"/>
      <c r="AK116" s="478"/>
    </row>
    <row r="117" spans="1:37">
      <c r="A117" s="469"/>
      <c r="B117" s="474"/>
      <c r="C117" s="475"/>
      <c r="D117" s="474"/>
      <c r="E117" s="475"/>
      <c r="F117" s="474"/>
      <c r="G117" s="475"/>
      <c r="H117" s="474"/>
      <c r="I117" s="475"/>
      <c r="J117" s="474"/>
      <c r="K117" s="475"/>
      <c r="L117" s="474"/>
      <c r="M117" s="475"/>
      <c r="N117" s="474"/>
      <c r="O117" s="475"/>
      <c r="P117" s="474"/>
      <c r="Q117" s="475"/>
      <c r="R117" s="474"/>
      <c r="S117" s="475"/>
      <c r="T117" s="474"/>
      <c r="U117" s="475"/>
      <c r="V117" s="474"/>
      <c r="W117" s="475"/>
      <c r="X117" s="474"/>
      <c r="Y117" s="475"/>
      <c r="Z117" s="474"/>
      <c r="AA117" s="475"/>
      <c r="AB117" s="474"/>
      <c r="AC117" s="475"/>
      <c r="AF117" s="472" t="s">
        <v>1191</v>
      </c>
      <c r="AG117" s="472" t="s">
        <v>354</v>
      </c>
      <c r="AH117" s="472" t="s">
        <v>1192</v>
      </c>
      <c r="AI117" s="472" t="s">
        <v>1193</v>
      </c>
      <c r="AJ117" s="472" t="s">
        <v>303</v>
      </c>
      <c r="AK117" s="473" t="s">
        <v>1194</v>
      </c>
    </row>
    <row r="118" spans="1:37" ht="12.5" thickBot="1">
      <c r="A118" s="469"/>
      <c r="B118" s="446"/>
      <c r="C118" s="475"/>
      <c r="D118" s="446"/>
      <c r="E118" s="475"/>
      <c r="F118" s="446"/>
      <c r="G118" s="475"/>
      <c r="H118" s="446"/>
      <c r="I118" s="475"/>
      <c r="J118" s="446"/>
      <c r="K118" s="475"/>
      <c r="L118" s="446"/>
      <c r="M118" s="475"/>
      <c r="N118" s="446"/>
      <c r="O118" s="475"/>
      <c r="P118" s="446"/>
      <c r="Q118" s="475"/>
      <c r="R118" s="446"/>
      <c r="S118" s="475"/>
      <c r="T118" s="446"/>
      <c r="U118" s="475"/>
      <c r="V118" s="446"/>
      <c r="W118" s="475"/>
      <c r="X118" s="446"/>
      <c r="Y118" s="475"/>
      <c r="Z118" s="446"/>
      <c r="AA118" s="475"/>
      <c r="AB118" s="446"/>
      <c r="AC118" s="475"/>
      <c r="AF118" s="476"/>
      <c r="AG118" s="477"/>
      <c r="AH118" s="477" t="s">
        <v>1274</v>
      </c>
      <c r="AI118" s="477"/>
      <c r="AJ118" s="477"/>
      <c r="AK118" s="478"/>
    </row>
    <row r="119" spans="1:37" ht="42.75" customHeight="1" thickBot="1">
      <c r="A119" s="469"/>
      <c r="B119" s="448"/>
      <c r="C119" s="479">
        <v>338.15600000000001</v>
      </c>
      <c r="D119" s="448"/>
      <c r="E119" s="479">
        <v>288.303</v>
      </c>
      <c r="F119" s="448"/>
      <c r="G119" s="479">
        <v>297.14800000000002</v>
      </c>
      <c r="H119" s="448"/>
      <c r="I119" s="479">
        <v>195.90299999999999</v>
      </c>
      <c r="J119" s="448"/>
      <c r="K119" s="479">
        <v>249.66</v>
      </c>
      <c r="L119" s="448"/>
      <c r="M119" s="479">
        <v>374.47500000000002</v>
      </c>
      <c r="N119" s="448"/>
      <c r="O119" s="479">
        <v>443.95</v>
      </c>
      <c r="P119" s="448"/>
      <c r="Q119" s="479">
        <v>404.38600000000002</v>
      </c>
      <c r="R119" s="448"/>
      <c r="S119" s="479">
        <v>341.423</v>
      </c>
      <c r="T119" s="448"/>
      <c r="U119" s="479">
        <v>305.40100000000001</v>
      </c>
      <c r="V119" s="448"/>
      <c r="W119" s="479">
        <v>319.98099999999999</v>
      </c>
      <c r="X119" s="448"/>
      <c r="Y119" s="479">
        <v>345.62099999999998</v>
      </c>
      <c r="Z119" s="448"/>
      <c r="AA119" s="479">
        <v>223.15100000000001</v>
      </c>
      <c r="AB119" s="448"/>
      <c r="AC119" s="479">
        <v>393.81700000000001</v>
      </c>
      <c r="AF119" s="472">
        <v>14</v>
      </c>
      <c r="AG119" s="472"/>
      <c r="AH119" s="472"/>
      <c r="AI119" s="472"/>
      <c r="AJ119" s="472"/>
      <c r="AK119" s="473"/>
    </row>
    <row r="120" spans="1:37" ht="12.5" thickBot="1">
      <c r="A120" s="469"/>
      <c r="B120" s="481"/>
      <c r="C120" s="475"/>
      <c r="D120" s="481"/>
      <c r="E120" s="475"/>
      <c r="F120" s="481"/>
      <c r="G120" s="475"/>
      <c r="H120" s="481"/>
      <c r="I120" s="475"/>
      <c r="J120" s="481"/>
      <c r="K120" s="475"/>
      <c r="L120" s="481"/>
      <c r="M120" s="475"/>
      <c r="N120" s="481"/>
      <c r="O120" s="475"/>
      <c r="P120" s="481"/>
      <c r="Q120" s="475"/>
      <c r="R120" s="481"/>
      <c r="S120" s="475"/>
      <c r="T120" s="481"/>
      <c r="U120" s="475"/>
      <c r="V120" s="481"/>
      <c r="W120" s="475"/>
      <c r="X120" s="481"/>
      <c r="Y120" s="475"/>
      <c r="Z120" s="481"/>
      <c r="AA120" s="475"/>
      <c r="AB120" s="481"/>
      <c r="AC120" s="475"/>
      <c r="AF120" s="476"/>
      <c r="AG120" s="477"/>
      <c r="AH120" s="477"/>
      <c r="AI120" s="477"/>
      <c r="AJ120" s="477"/>
      <c r="AK120" s="478"/>
    </row>
    <row r="121" spans="1:37">
      <c r="A121" s="469"/>
      <c r="B121" s="452" t="s">
        <v>248</v>
      </c>
      <c r="C121" s="452"/>
      <c r="D121" s="452" t="s">
        <v>182</v>
      </c>
      <c r="E121" s="452"/>
      <c r="F121" s="452" t="s">
        <v>185</v>
      </c>
      <c r="G121" s="452"/>
      <c r="H121" s="452" t="s">
        <v>182</v>
      </c>
      <c r="I121" s="452"/>
      <c r="J121" s="452" t="s">
        <v>128</v>
      </c>
      <c r="K121" s="452"/>
      <c r="L121" s="452" t="s">
        <v>132</v>
      </c>
      <c r="M121" s="452"/>
      <c r="N121" s="452" t="s">
        <v>248</v>
      </c>
      <c r="O121" s="452"/>
      <c r="P121" s="452" t="s">
        <v>147</v>
      </c>
      <c r="Q121" s="452"/>
      <c r="R121" s="452" t="s">
        <v>182</v>
      </c>
      <c r="S121" s="452"/>
      <c r="T121" s="452" t="s">
        <v>185</v>
      </c>
      <c r="U121" s="452"/>
      <c r="V121" s="452" t="s">
        <v>182</v>
      </c>
      <c r="W121" s="452"/>
      <c r="X121" s="452" t="s">
        <v>242</v>
      </c>
      <c r="Y121" s="452"/>
      <c r="Z121" s="452" t="s">
        <v>143</v>
      </c>
      <c r="AA121" s="452"/>
      <c r="AB121" s="452" t="s">
        <v>147</v>
      </c>
      <c r="AC121" s="475"/>
      <c r="AF121" s="476"/>
      <c r="AG121" s="477"/>
      <c r="AH121" s="477"/>
      <c r="AI121" s="477"/>
      <c r="AJ121" s="477"/>
      <c r="AK121" s="478"/>
    </row>
    <row r="122" spans="1:37">
      <c r="A122" s="469"/>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75"/>
      <c r="AF122" s="476"/>
      <c r="AG122" s="477"/>
      <c r="AH122" s="477"/>
      <c r="AI122" s="477"/>
      <c r="AJ122" s="477"/>
      <c r="AK122" s="478"/>
    </row>
    <row r="123" spans="1:37">
      <c r="A123" s="469"/>
      <c r="C123" s="475"/>
      <c r="E123" s="475"/>
      <c r="G123" s="475"/>
      <c r="I123" s="475"/>
      <c r="K123" s="475"/>
      <c r="M123" s="475"/>
      <c r="O123" s="475"/>
      <c r="Q123" s="475"/>
      <c r="S123" s="475"/>
      <c r="U123" s="475"/>
      <c r="W123" s="475"/>
      <c r="Y123" s="475"/>
      <c r="AA123" s="475"/>
      <c r="AC123" s="475"/>
      <c r="AF123" s="476"/>
      <c r="AG123" s="477"/>
      <c r="AH123" s="477"/>
      <c r="AI123" s="477"/>
      <c r="AJ123" s="477"/>
      <c r="AK123" s="478"/>
    </row>
    <row r="124" spans="1:37">
      <c r="A124" s="469"/>
      <c r="B124" s="470" t="s">
        <v>699</v>
      </c>
      <c r="C124" s="445"/>
      <c r="D124" s="470" t="s">
        <v>700</v>
      </c>
      <c r="E124" s="445"/>
      <c r="F124" s="470" t="s">
        <v>701</v>
      </c>
      <c r="G124" s="445"/>
      <c r="H124" s="470" t="s">
        <v>702</v>
      </c>
      <c r="I124" s="445"/>
      <c r="J124" s="470" t="s">
        <v>1275</v>
      </c>
      <c r="K124" s="445"/>
      <c r="L124" s="470" t="s">
        <v>310</v>
      </c>
      <c r="M124" s="445"/>
      <c r="N124" s="470" t="s">
        <v>272</v>
      </c>
      <c r="O124" s="445"/>
      <c r="P124" s="470" t="s">
        <v>273</v>
      </c>
      <c r="Q124" s="445"/>
      <c r="R124" s="470" t="s">
        <v>311</v>
      </c>
      <c r="S124" s="445"/>
      <c r="T124" s="470" t="s">
        <v>312</v>
      </c>
      <c r="U124" s="445"/>
      <c r="V124" s="470" t="s">
        <v>313</v>
      </c>
      <c r="W124" s="445"/>
      <c r="X124" s="470" t="s">
        <v>314</v>
      </c>
      <c r="Y124" s="445"/>
      <c r="Z124" s="470" t="s">
        <v>315</v>
      </c>
      <c r="AA124" s="445"/>
      <c r="AB124" s="470" t="s">
        <v>316</v>
      </c>
      <c r="AC124" s="475"/>
      <c r="AF124" s="476"/>
      <c r="AG124" s="477"/>
      <c r="AH124" s="477"/>
      <c r="AI124" s="477"/>
      <c r="AJ124" s="477"/>
      <c r="AK124" s="478"/>
    </row>
    <row r="125" spans="1:37">
      <c r="A125" s="469"/>
      <c r="B125" s="474"/>
      <c r="C125" s="475"/>
      <c r="D125" s="474"/>
      <c r="E125" s="475"/>
      <c r="F125" s="474"/>
      <c r="G125" s="475"/>
      <c r="H125" s="474"/>
      <c r="I125" s="475"/>
      <c r="J125" s="474"/>
      <c r="K125" s="475"/>
      <c r="L125" s="474"/>
      <c r="M125" s="475"/>
      <c r="N125" s="474"/>
      <c r="O125" s="475"/>
      <c r="P125" s="474"/>
      <c r="Q125" s="475"/>
      <c r="R125" s="474"/>
      <c r="S125" s="475"/>
      <c r="T125" s="474"/>
      <c r="U125" s="475"/>
      <c r="V125" s="474"/>
      <c r="W125" s="475"/>
      <c r="X125" s="474"/>
      <c r="Y125" s="483"/>
      <c r="Z125" s="474"/>
      <c r="AA125" s="483"/>
      <c r="AB125" s="474"/>
      <c r="AC125" s="475"/>
      <c r="AF125" s="472" t="s">
        <v>1191</v>
      </c>
      <c r="AG125" s="472" t="s">
        <v>354</v>
      </c>
      <c r="AH125" s="472" t="s">
        <v>1192</v>
      </c>
      <c r="AI125" s="472" t="s">
        <v>1193</v>
      </c>
      <c r="AJ125" s="472" t="s">
        <v>303</v>
      </c>
      <c r="AK125" s="473" t="s">
        <v>1194</v>
      </c>
    </row>
    <row r="126" spans="1:37" ht="12.5" thickBot="1">
      <c r="A126" s="469"/>
      <c r="B126" s="446"/>
      <c r="C126" s="475"/>
      <c r="D126" s="446"/>
      <c r="E126" s="475"/>
      <c r="F126" s="446"/>
      <c r="G126" s="475"/>
      <c r="H126" s="446"/>
      <c r="I126" s="475"/>
      <c r="J126" s="446"/>
      <c r="K126" s="475"/>
      <c r="L126" s="446"/>
      <c r="M126" s="475"/>
      <c r="N126" s="446"/>
      <c r="O126" s="475"/>
      <c r="P126" s="446"/>
      <c r="Q126" s="475"/>
      <c r="R126" s="446"/>
      <c r="S126" s="475"/>
      <c r="T126" s="446"/>
      <c r="U126" s="475"/>
      <c r="V126" s="446"/>
      <c r="W126" s="475"/>
      <c r="X126" s="446"/>
      <c r="Y126" s="475"/>
      <c r="Z126" s="446"/>
      <c r="AA126" s="475"/>
      <c r="AB126" s="446"/>
      <c r="AC126" s="475"/>
      <c r="AF126" s="476"/>
      <c r="AG126" s="477"/>
      <c r="AH126" s="477"/>
      <c r="AI126" s="477"/>
      <c r="AJ126" s="477"/>
      <c r="AK126" s="478"/>
    </row>
    <row r="127" spans="1:37" ht="42.75" customHeight="1" thickBot="1">
      <c r="A127" s="469"/>
      <c r="B127" s="448"/>
      <c r="C127" s="479">
        <v>435.13600000000002</v>
      </c>
      <c r="D127" s="448"/>
      <c r="E127" s="479">
        <v>403.209</v>
      </c>
      <c r="F127" s="448"/>
      <c r="G127" s="479">
        <v>422.55399999999997</v>
      </c>
      <c r="H127" s="448"/>
      <c r="I127" s="479">
        <v>353.48399999999998</v>
      </c>
      <c r="J127" s="448"/>
      <c r="K127" s="479">
        <v>274.899</v>
      </c>
      <c r="L127" s="448"/>
      <c r="M127" s="479">
        <v>465.03300000000002</v>
      </c>
      <c r="N127" s="448"/>
      <c r="O127" s="479">
        <v>373.97699999999998</v>
      </c>
      <c r="P127" s="449"/>
      <c r="Q127" s="479">
        <v>416.86399999999998</v>
      </c>
      <c r="R127" s="449"/>
      <c r="S127" s="479">
        <v>381.01900000000001</v>
      </c>
      <c r="T127" s="448"/>
      <c r="U127" s="479">
        <v>391.51900000000001</v>
      </c>
      <c r="V127" s="448"/>
      <c r="W127" s="479">
        <v>374.93400000000003</v>
      </c>
      <c r="X127" s="448"/>
      <c r="Y127" s="484">
        <v>248.56700000000001</v>
      </c>
      <c r="Z127" s="448"/>
      <c r="AA127" s="479">
        <v>384.17</v>
      </c>
      <c r="AB127" s="448"/>
      <c r="AC127" s="484">
        <v>330.76400000000001</v>
      </c>
      <c r="AF127" s="472">
        <v>14</v>
      </c>
      <c r="AG127" s="472">
        <v>1</v>
      </c>
      <c r="AH127" s="472"/>
      <c r="AI127" s="472"/>
      <c r="AJ127" s="472"/>
      <c r="AK127" s="473"/>
    </row>
    <row r="128" spans="1:37" ht="12.5" thickBot="1">
      <c r="A128" s="469"/>
      <c r="B128" s="481"/>
      <c r="C128" s="475"/>
      <c r="D128" s="481"/>
      <c r="E128" s="475"/>
      <c r="F128" s="481"/>
      <c r="G128" s="475"/>
      <c r="H128" s="481"/>
      <c r="I128" s="475"/>
      <c r="J128" s="481"/>
      <c r="K128" s="475"/>
      <c r="L128" s="481"/>
      <c r="M128" s="475"/>
      <c r="N128" s="481"/>
      <c r="O128" s="475"/>
      <c r="P128" s="481"/>
      <c r="Q128" s="475"/>
      <c r="R128" s="481"/>
      <c r="S128" s="475"/>
      <c r="T128" s="481"/>
      <c r="U128" s="475"/>
      <c r="V128" s="481"/>
      <c r="W128" s="475"/>
      <c r="X128" s="481"/>
      <c r="Y128" s="475"/>
      <c r="Z128" s="481"/>
      <c r="AA128" s="475"/>
      <c r="AB128" s="481"/>
      <c r="AC128" s="475"/>
      <c r="AF128" s="476"/>
      <c r="AG128" s="477"/>
      <c r="AH128" s="477"/>
      <c r="AI128" s="477"/>
      <c r="AJ128" s="477"/>
      <c r="AK128" s="478"/>
    </row>
    <row r="129" spans="1:37">
      <c r="A129" s="469"/>
      <c r="B129" s="485" t="s">
        <v>248</v>
      </c>
      <c r="C129" s="452"/>
      <c r="D129" s="485" t="s">
        <v>248</v>
      </c>
      <c r="E129" s="452"/>
      <c r="F129" s="485" t="s">
        <v>143</v>
      </c>
      <c r="G129" s="452"/>
      <c r="H129" s="485" t="s">
        <v>143</v>
      </c>
      <c r="I129" s="452"/>
      <c r="J129" s="485" t="s">
        <v>147</v>
      </c>
      <c r="K129" s="452"/>
      <c r="L129" s="485" t="s">
        <v>117</v>
      </c>
      <c r="M129" s="452"/>
      <c r="N129" s="485" t="s">
        <v>185</v>
      </c>
      <c r="O129" s="452"/>
      <c r="P129" s="485" t="s">
        <v>182</v>
      </c>
      <c r="Q129" s="452"/>
      <c r="R129" s="485" t="s">
        <v>185</v>
      </c>
      <c r="S129" s="452"/>
      <c r="T129" s="485" t="s">
        <v>119</v>
      </c>
      <c r="U129" s="452"/>
      <c r="V129" s="485" t="s">
        <v>242</v>
      </c>
      <c r="W129" s="452"/>
      <c r="X129" s="485" t="s">
        <v>125</v>
      </c>
      <c r="Y129" s="452"/>
      <c r="Z129" s="485" t="s">
        <v>115</v>
      </c>
      <c r="AA129" s="452"/>
      <c r="AB129" s="485" t="s">
        <v>185</v>
      </c>
      <c r="AC129" s="475"/>
      <c r="AF129" s="476"/>
      <c r="AG129" s="477"/>
      <c r="AH129" s="477"/>
      <c r="AI129" s="477"/>
      <c r="AJ129" s="477"/>
      <c r="AK129" s="478"/>
    </row>
    <row r="130" spans="1:37">
      <c r="A130" s="469"/>
      <c r="B130" s="485"/>
      <c r="C130" s="452"/>
      <c r="D130" s="485"/>
      <c r="E130" s="452"/>
      <c r="F130" s="485"/>
      <c r="G130" s="452"/>
      <c r="H130" s="485"/>
      <c r="I130" s="452"/>
      <c r="J130" s="485"/>
      <c r="K130" s="452"/>
      <c r="L130" s="485"/>
      <c r="M130" s="452"/>
      <c r="N130" s="485"/>
      <c r="O130" s="452"/>
      <c r="P130" s="485"/>
      <c r="Q130" s="452"/>
      <c r="R130" s="485"/>
      <c r="S130" s="452"/>
      <c r="T130" s="485" t="s">
        <v>1276</v>
      </c>
      <c r="U130" s="452"/>
      <c r="V130" s="485" t="s">
        <v>1277</v>
      </c>
      <c r="W130" s="452"/>
      <c r="X130" s="485"/>
      <c r="Y130" s="452"/>
      <c r="Z130" s="485"/>
      <c r="AA130" s="452"/>
      <c r="AB130" s="485"/>
      <c r="AC130" s="475"/>
      <c r="AF130" s="476"/>
      <c r="AG130" s="477"/>
      <c r="AH130" s="477"/>
      <c r="AI130" s="477"/>
      <c r="AJ130" s="477"/>
      <c r="AK130" s="478"/>
    </row>
    <row r="131" spans="1:37" ht="12.5" thickBot="1">
      <c r="A131" s="487"/>
      <c r="B131" s="488"/>
      <c r="C131" s="489"/>
      <c r="D131" s="488"/>
      <c r="E131" s="489"/>
      <c r="F131" s="488"/>
      <c r="G131" s="489"/>
      <c r="H131" s="488"/>
      <c r="I131" s="489"/>
      <c r="J131" s="488"/>
      <c r="K131" s="489"/>
      <c r="L131" s="488"/>
      <c r="M131" s="489"/>
      <c r="N131" s="488"/>
      <c r="O131" s="489"/>
      <c r="P131" s="488"/>
      <c r="Q131" s="489"/>
      <c r="R131" s="488"/>
      <c r="S131" s="489"/>
      <c r="T131" s="488"/>
      <c r="U131" s="489"/>
      <c r="V131" s="488"/>
      <c r="W131" s="489"/>
      <c r="X131" s="488"/>
      <c r="Y131" s="489"/>
      <c r="Z131" s="488"/>
      <c r="AA131" s="489"/>
      <c r="AB131" s="488"/>
      <c r="AC131" s="489"/>
      <c r="AD131" s="490"/>
      <c r="AE131" s="490"/>
      <c r="AF131" s="491"/>
      <c r="AG131" s="492"/>
      <c r="AH131" s="492"/>
      <c r="AI131" s="492"/>
      <c r="AJ131" s="492"/>
      <c r="AK131" s="493"/>
    </row>
    <row r="132" spans="1:37">
      <c r="A132" s="494"/>
      <c r="B132" s="495" t="s">
        <v>320</v>
      </c>
      <c r="C132" s="450"/>
      <c r="D132" s="495" t="s">
        <v>321</v>
      </c>
      <c r="E132" s="450"/>
      <c r="F132" s="495" t="s">
        <v>322</v>
      </c>
      <c r="G132" s="450"/>
      <c r="H132" s="495" t="s">
        <v>323</v>
      </c>
      <c r="I132" s="495"/>
      <c r="J132" s="495" t="s">
        <v>324</v>
      </c>
      <c r="K132" s="450"/>
      <c r="L132" s="495" t="s">
        <v>325</v>
      </c>
      <c r="M132" s="450"/>
      <c r="N132" s="495" t="s">
        <v>326</v>
      </c>
      <c r="O132" s="450"/>
      <c r="P132" s="495" t="s">
        <v>327</v>
      </c>
      <c r="Q132" s="450"/>
      <c r="R132" s="495" t="s">
        <v>328</v>
      </c>
      <c r="S132" s="450"/>
      <c r="T132" s="495" t="s">
        <v>329</v>
      </c>
      <c r="U132" s="450"/>
      <c r="V132" s="495" t="s">
        <v>333</v>
      </c>
      <c r="W132" s="450"/>
      <c r="X132" s="495" t="s">
        <v>334</v>
      </c>
      <c r="Y132" s="450"/>
      <c r="Z132" s="495" t="s">
        <v>335</v>
      </c>
      <c r="AA132" s="450"/>
      <c r="AB132" s="495" t="s">
        <v>336</v>
      </c>
      <c r="AC132" s="496"/>
      <c r="AD132" s="455"/>
      <c r="AE132" s="455"/>
      <c r="AF132" s="497"/>
      <c r="AG132" s="498"/>
      <c r="AH132" s="498"/>
      <c r="AI132" s="498"/>
      <c r="AJ132" s="498"/>
      <c r="AK132" s="499"/>
    </row>
    <row r="133" spans="1:37">
      <c r="A133" s="469"/>
      <c r="B133" s="474"/>
      <c r="C133" s="483"/>
      <c r="D133" s="474"/>
      <c r="E133" s="483"/>
      <c r="F133" s="474"/>
      <c r="G133" s="483"/>
      <c r="H133" s="474"/>
      <c r="I133" s="500"/>
      <c r="J133" s="474"/>
      <c r="K133" s="501"/>
      <c r="L133" s="474"/>
      <c r="M133" s="452"/>
      <c r="N133" s="474"/>
      <c r="O133" s="475"/>
      <c r="P133" s="474"/>
      <c r="Q133" s="452"/>
      <c r="R133" s="474"/>
      <c r="S133" s="475"/>
      <c r="T133" s="474"/>
      <c r="U133" s="475"/>
      <c r="V133" s="474"/>
      <c r="W133" s="475"/>
      <c r="X133" s="474"/>
      <c r="Y133" s="452"/>
      <c r="Z133" s="474"/>
      <c r="AA133" s="452"/>
      <c r="AB133" s="474"/>
      <c r="AC133" s="475"/>
      <c r="AF133" s="472" t="s">
        <v>1191</v>
      </c>
      <c r="AG133" s="472" t="s">
        <v>354</v>
      </c>
      <c r="AH133" s="472" t="s">
        <v>1192</v>
      </c>
      <c r="AI133" s="472" t="s">
        <v>1193</v>
      </c>
      <c r="AJ133" s="472" t="s">
        <v>303</v>
      </c>
      <c r="AK133" s="473" t="s">
        <v>1194</v>
      </c>
    </row>
    <row r="134" spans="1:37" ht="12.5" thickBot="1">
      <c r="A134" s="469"/>
      <c r="B134" s="446"/>
      <c r="C134" s="475"/>
      <c r="D134" s="446"/>
      <c r="E134" s="475"/>
      <c r="F134" s="446"/>
      <c r="G134" s="475"/>
      <c r="H134" s="446"/>
      <c r="I134" s="475"/>
      <c r="J134" s="446"/>
      <c r="K134" s="475"/>
      <c r="L134" s="446"/>
      <c r="M134" s="475"/>
      <c r="N134" s="446"/>
      <c r="O134" s="475"/>
      <c r="P134" s="446"/>
      <c r="Q134" s="475"/>
      <c r="R134" s="446"/>
      <c r="S134" s="475"/>
      <c r="T134" s="446"/>
      <c r="U134" s="475"/>
      <c r="V134" s="446"/>
      <c r="W134" s="475"/>
      <c r="X134" s="446"/>
      <c r="Y134" s="475"/>
      <c r="Z134" s="446"/>
      <c r="AA134" s="475"/>
      <c r="AB134" s="446"/>
      <c r="AC134" s="475"/>
      <c r="AF134" s="476"/>
      <c r="AG134" s="477"/>
      <c r="AH134" s="477"/>
      <c r="AI134" s="477"/>
      <c r="AJ134" s="477"/>
      <c r="AK134" s="478"/>
    </row>
    <row r="135" spans="1:37" ht="42.75" customHeight="1" thickBot="1">
      <c r="A135" s="469"/>
      <c r="B135" s="448"/>
      <c r="C135" s="479">
        <v>285.31900000000002</v>
      </c>
      <c r="D135" s="448"/>
      <c r="E135" s="479">
        <v>354.7</v>
      </c>
      <c r="F135" s="448"/>
      <c r="G135" s="479">
        <v>420.541</v>
      </c>
      <c r="H135" s="448"/>
      <c r="I135" s="479">
        <v>340.55900000000003</v>
      </c>
      <c r="J135" s="448"/>
      <c r="K135" s="479">
        <v>336.51900000000001</v>
      </c>
      <c r="L135" s="448"/>
      <c r="M135" s="479">
        <v>375.99200000000002</v>
      </c>
      <c r="N135" s="448"/>
      <c r="O135" s="484">
        <v>308.40699999999998</v>
      </c>
      <c r="P135" s="448"/>
      <c r="Q135" s="502">
        <v>444.83800000000002</v>
      </c>
      <c r="R135" s="448"/>
      <c r="S135" s="479">
        <v>392.01600000000002</v>
      </c>
      <c r="T135" s="448"/>
      <c r="U135" s="479">
        <v>407.803</v>
      </c>
      <c r="V135" s="448"/>
      <c r="W135" s="479">
        <v>206.06200000000001</v>
      </c>
      <c r="X135" s="448"/>
      <c r="Y135" s="484">
        <v>417.38400000000001</v>
      </c>
      <c r="Z135" s="448"/>
      <c r="AA135" s="479">
        <v>304.56400000000002</v>
      </c>
      <c r="AB135" s="448"/>
      <c r="AC135" s="484">
        <v>395.50900000000001</v>
      </c>
      <c r="AF135" s="472">
        <v>14</v>
      </c>
      <c r="AG135" s="472"/>
      <c r="AH135" s="472"/>
      <c r="AI135" s="472"/>
      <c r="AJ135" s="472"/>
      <c r="AK135" s="473"/>
    </row>
    <row r="136" spans="1:37" ht="12.5" thickBot="1">
      <c r="A136" s="469"/>
      <c r="B136" s="481"/>
      <c r="C136" s="475"/>
      <c r="D136" s="481"/>
      <c r="E136" s="475"/>
      <c r="F136" s="481"/>
      <c r="G136" s="475"/>
      <c r="H136" s="481"/>
      <c r="I136" s="475"/>
      <c r="J136" s="481"/>
      <c r="K136" s="475"/>
      <c r="L136" s="481"/>
      <c r="M136" s="475"/>
      <c r="N136" s="481"/>
      <c r="O136" s="475"/>
      <c r="P136" s="481"/>
      <c r="Q136" s="475"/>
      <c r="R136" s="481"/>
      <c r="S136" s="475"/>
      <c r="T136" s="481"/>
      <c r="U136" s="475"/>
      <c r="V136" s="481"/>
      <c r="W136" s="475"/>
      <c r="X136" s="481"/>
      <c r="Y136" s="475"/>
      <c r="Z136" s="481"/>
      <c r="AA136" s="475"/>
      <c r="AB136" s="481"/>
      <c r="AC136" s="475"/>
      <c r="AF136" s="476"/>
      <c r="AG136" s="477"/>
      <c r="AH136" s="477"/>
      <c r="AI136" s="477"/>
      <c r="AJ136" s="477"/>
      <c r="AK136" s="478"/>
    </row>
    <row r="137" spans="1:37">
      <c r="A137" s="469"/>
      <c r="B137" s="452" t="s">
        <v>242</v>
      </c>
      <c r="C137" s="452"/>
      <c r="D137" s="452" t="s">
        <v>185</v>
      </c>
      <c r="E137" s="452"/>
      <c r="F137" s="452" t="s">
        <v>117</v>
      </c>
      <c r="G137" s="452"/>
      <c r="H137" s="452" t="s">
        <v>132</v>
      </c>
      <c r="I137" s="452"/>
      <c r="J137" s="452" t="s">
        <v>132</v>
      </c>
      <c r="K137" s="452"/>
      <c r="L137" s="452" t="s">
        <v>182</v>
      </c>
      <c r="M137" s="452"/>
      <c r="N137" s="452" t="s">
        <v>132</v>
      </c>
      <c r="O137" s="452"/>
      <c r="P137" s="452" t="s">
        <v>242</v>
      </c>
      <c r="Q137" s="452"/>
      <c r="R137" s="452" t="s">
        <v>242</v>
      </c>
      <c r="S137" s="452"/>
      <c r="T137" s="452" t="s">
        <v>132</v>
      </c>
      <c r="U137" s="452"/>
      <c r="V137" s="452" t="s">
        <v>132</v>
      </c>
      <c r="W137" s="452"/>
      <c r="X137" s="452" t="s">
        <v>123</v>
      </c>
      <c r="Y137" s="452"/>
      <c r="Z137" s="446" t="s">
        <v>182</v>
      </c>
      <c r="AA137" s="452"/>
      <c r="AB137" s="452" t="s">
        <v>125</v>
      </c>
      <c r="AC137" s="475"/>
      <c r="AF137" s="476"/>
      <c r="AG137" s="477"/>
      <c r="AH137" s="477"/>
      <c r="AI137" s="477"/>
      <c r="AJ137" s="477"/>
      <c r="AK137" s="478"/>
    </row>
    <row r="138" spans="1:37">
      <c r="A138" s="469"/>
      <c r="B138" s="452" t="s">
        <v>1277</v>
      </c>
      <c r="C138" s="452"/>
      <c r="D138" s="452" t="s">
        <v>1277</v>
      </c>
      <c r="E138" s="452"/>
      <c r="F138" s="452" t="s">
        <v>1276</v>
      </c>
      <c r="G138" s="452"/>
      <c r="H138" s="452" t="s">
        <v>1276</v>
      </c>
      <c r="I138" s="452"/>
      <c r="J138" s="452"/>
      <c r="K138" s="452"/>
      <c r="L138" s="452"/>
      <c r="M138" s="452"/>
      <c r="N138" s="452"/>
      <c r="O138" s="452"/>
      <c r="P138" s="452"/>
      <c r="Q138" s="452"/>
      <c r="R138" s="452"/>
      <c r="S138" s="452"/>
      <c r="T138" s="452" t="s">
        <v>1278</v>
      </c>
      <c r="U138" s="452"/>
      <c r="V138" s="452"/>
      <c r="W138" s="452"/>
      <c r="X138" s="452"/>
      <c r="Y138" s="452"/>
      <c r="Z138" s="452"/>
      <c r="AA138" s="452"/>
      <c r="AB138" s="452"/>
      <c r="AC138" s="475"/>
      <c r="AF138" s="476"/>
      <c r="AG138" s="477"/>
      <c r="AH138" s="477"/>
      <c r="AI138" s="477"/>
      <c r="AJ138" s="477"/>
      <c r="AK138" s="478"/>
    </row>
    <row r="139" spans="1:37">
      <c r="A139" s="469"/>
      <c r="C139" s="475"/>
      <c r="E139" s="475"/>
      <c r="G139" s="475"/>
      <c r="I139" s="475"/>
      <c r="K139" s="475"/>
      <c r="M139" s="475"/>
      <c r="O139" s="475"/>
      <c r="Q139" s="475"/>
      <c r="S139" s="475"/>
      <c r="U139" s="475"/>
      <c r="W139" s="475"/>
      <c r="Y139" s="475"/>
      <c r="AA139" s="475"/>
      <c r="AC139" s="475"/>
      <c r="AF139" s="476"/>
      <c r="AG139" s="477"/>
      <c r="AH139" s="477"/>
      <c r="AI139" s="477"/>
      <c r="AJ139" s="477"/>
      <c r="AK139" s="478"/>
    </row>
    <row r="140" spans="1:37">
      <c r="A140" s="469"/>
      <c r="B140" s="470" t="s">
        <v>337</v>
      </c>
      <c r="C140" s="445"/>
      <c r="D140" s="470" t="s">
        <v>338</v>
      </c>
      <c r="E140" s="445"/>
      <c r="F140" s="470" t="s">
        <v>339</v>
      </c>
      <c r="G140" s="451"/>
      <c r="H140" s="470" t="s">
        <v>340</v>
      </c>
      <c r="I140" s="445"/>
      <c r="J140" s="470" t="s">
        <v>281</v>
      </c>
      <c r="K140" s="445"/>
      <c r="L140" s="470" t="s">
        <v>341</v>
      </c>
      <c r="M140" s="445"/>
      <c r="N140" s="470" t="s">
        <v>346</v>
      </c>
      <c r="O140" s="445"/>
      <c r="P140" s="470" t="s">
        <v>347</v>
      </c>
      <c r="Q140" s="445"/>
      <c r="R140" s="470" t="s">
        <v>348</v>
      </c>
      <c r="S140" s="445"/>
      <c r="T140" s="470" t="s">
        <v>282</v>
      </c>
      <c r="U140" s="445"/>
      <c r="V140" s="470" t="s">
        <v>283</v>
      </c>
      <c r="W140" s="445"/>
      <c r="X140" s="470" t="s">
        <v>349</v>
      </c>
      <c r="Y140" s="445"/>
      <c r="Z140" s="470" t="s">
        <v>350</v>
      </c>
      <c r="AA140" s="445"/>
      <c r="AB140" s="470" t="s">
        <v>351</v>
      </c>
      <c r="AC140" s="475"/>
      <c r="AF140" s="476"/>
      <c r="AG140" s="477"/>
      <c r="AH140" s="477"/>
      <c r="AI140" s="477"/>
      <c r="AJ140" s="477"/>
      <c r="AK140" s="478"/>
    </row>
    <row r="141" spans="1:37">
      <c r="A141" s="469"/>
      <c r="B141" s="474"/>
      <c r="C141" s="475"/>
      <c r="D141" s="474"/>
      <c r="E141" s="452"/>
      <c r="F141" s="474"/>
      <c r="G141" s="503"/>
      <c r="H141" s="474"/>
      <c r="I141" s="475"/>
      <c r="J141" s="474"/>
      <c r="K141" s="475"/>
      <c r="L141" s="474"/>
      <c r="M141" s="475"/>
      <c r="N141" s="474"/>
      <c r="O141" s="475"/>
      <c r="P141" s="474"/>
      <c r="Q141" s="504"/>
      <c r="R141" s="474"/>
      <c r="S141" s="475"/>
      <c r="T141" s="474"/>
      <c r="U141" s="475"/>
      <c r="V141" s="474"/>
      <c r="W141" s="475"/>
      <c r="X141" s="474"/>
      <c r="Y141" s="475"/>
      <c r="Z141" s="474"/>
      <c r="AA141" s="475"/>
      <c r="AB141" s="474"/>
      <c r="AC141" s="475"/>
      <c r="AF141" s="472" t="s">
        <v>1191</v>
      </c>
      <c r="AG141" s="472" t="s">
        <v>354</v>
      </c>
      <c r="AH141" s="472" t="s">
        <v>1192</v>
      </c>
      <c r="AI141" s="472" t="s">
        <v>1193</v>
      </c>
      <c r="AJ141" s="472" t="s">
        <v>303</v>
      </c>
      <c r="AK141" s="473" t="s">
        <v>1194</v>
      </c>
    </row>
    <row r="142" spans="1:37" ht="12.5" thickBot="1">
      <c r="A142" s="469"/>
      <c r="B142" s="446"/>
      <c r="C142" s="475"/>
      <c r="D142" s="446"/>
      <c r="E142" s="475"/>
      <c r="F142" s="446"/>
      <c r="G142" s="475"/>
      <c r="H142" s="446"/>
      <c r="I142" s="475"/>
      <c r="J142" s="446"/>
      <c r="K142" s="475"/>
      <c r="L142" s="446"/>
      <c r="M142" s="475"/>
      <c r="N142" s="446"/>
      <c r="O142" s="475"/>
      <c r="P142" s="446"/>
      <c r="Q142" s="475"/>
      <c r="R142" s="446"/>
      <c r="S142" s="475"/>
      <c r="T142" s="446"/>
      <c r="U142" s="475"/>
      <c r="V142" s="446"/>
      <c r="W142" s="475"/>
      <c r="X142" s="446"/>
      <c r="Y142" s="475"/>
      <c r="Z142" s="446"/>
      <c r="AA142" s="475"/>
      <c r="AB142" s="446"/>
      <c r="AC142" s="475"/>
      <c r="AF142" s="476"/>
      <c r="AG142" s="477"/>
      <c r="AH142" s="477"/>
      <c r="AI142" s="477"/>
      <c r="AJ142" s="477"/>
      <c r="AK142" s="478"/>
    </row>
    <row r="143" spans="1:37" ht="42.75" customHeight="1" thickBot="1">
      <c r="A143" s="469"/>
      <c r="B143" s="448"/>
      <c r="C143" s="479">
        <v>431.017</v>
      </c>
      <c r="D143" s="448"/>
      <c r="E143" s="479">
        <v>403.42599999999999</v>
      </c>
      <c r="F143" s="448"/>
      <c r="G143" s="479">
        <v>420.35700000000003</v>
      </c>
      <c r="H143" s="448"/>
      <c r="I143" s="479">
        <v>446.37</v>
      </c>
      <c r="J143" s="448"/>
      <c r="K143" s="479">
        <v>297.577</v>
      </c>
      <c r="L143" s="448"/>
      <c r="M143" s="479">
        <v>240.47300000000001</v>
      </c>
      <c r="N143" s="448"/>
      <c r="O143" s="479">
        <v>312.68700000000001</v>
      </c>
      <c r="P143" s="448"/>
      <c r="Q143" s="479">
        <v>347.88400000000001</v>
      </c>
      <c r="R143" s="448"/>
      <c r="S143" s="479">
        <v>379.24900000000002</v>
      </c>
      <c r="T143" s="449"/>
      <c r="U143" s="479">
        <v>398.697</v>
      </c>
      <c r="V143" s="449"/>
      <c r="W143" s="479">
        <v>439.06200000000001</v>
      </c>
      <c r="X143" s="448"/>
      <c r="Y143" s="484">
        <v>360.21</v>
      </c>
      <c r="Z143" s="448"/>
      <c r="AA143" s="479">
        <v>399.57900000000001</v>
      </c>
      <c r="AB143" s="448"/>
      <c r="AC143" s="479">
        <v>364</v>
      </c>
      <c r="AF143" s="472">
        <v>14</v>
      </c>
      <c r="AG143" s="472"/>
      <c r="AH143" s="472"/>
      <c r="AI143" s="472"/>
      <c r="AJ143" s="472"/>
      <c r="AK143" s="473"/>
    </row>
    <row r="144" spans="1:37" ht="14.25" customHeight="1" thickBot="1">
      <c r="A144" s="469"/>
      <c r="B144" s="481"/>
      <c r="C144" s="475"/>
      <c r="D144" s="481"/>
      <c r="E144" s="475"/>
      <c r="F144" s="481"/>
      <c r="G144" s="475"/>
      <c r="H144" s="481"/>
      <c r="I144" s="475"/>
      <c r="J144" s="481"/>
      <c r="K144" s="475"/>
      <c r="L144" s="481"/>
      <c r="M144" s="475"/>
      <c r="N144" s="481"/>
      <c r="O144" s="475"/>
      <c r="P144" s="481"/>
      <c r="Q144" s="475"/>
      <c r="R144" s="481"/>
      <c r="S144" s="475"/>
      <c r="T144" s="481"/>
      <c r="U144" s="475"/>
      <c r="V144" s="481"/>
      <c r="W144" s="475"/>
      <c r="X144" s="481"/>
      <c r="Y144" s="475"/>
      <c r="Z144" s="481"/>
      <c r="AA144" s="475"/>
      <c r="AB144" s="481"/>
      <c r="AC144" s="475"/>
      <c r="AF144" s="476"/>
      <c r="AG144" s="477"/>
      <c r="AH144" s="477"/>
      <c r="AI144" s="477"/>
      <c r="AJ144" s="477"/>
      <c r="AK144" s="478"/>
    </row>
    <row r="145" spans="1:37">
      <c r="A145" s="469"/>
      <c r="B145" s="505" t="s">
        <v>248</v>
      </c>
      <c r="C145" s="452"/>
      <c r="D145" s="457" t="s">
        <v>185</v>
      </c>
      <c r="E145" s="452"/>
      <c r="F145" s="505" t="s">
        <v>248</v>
      </c>
      <c r="G145" s="452"/>
      <c r="H145" s="505" t="s">
        <v>115</v>
      </c>
      <c r="I145" s="452"/>
      <c r="J145" s="505" t="s">
        <v>248</v>
      </c>
      <c r="K145" s="452"/>
      <c r="L145" s="505" t="s">
        <v>119</v>
      </c>
      <c r="M145" s="452"/>
      <c r="N145" s="505" t="s">
        <v>182</v>
      </c>
      <c r="O145" s="452"/>
      <c r="P145" s="505" t="s">
        <v>182</v>
      </c>
      <c r="Q145" s="452"/>
      <c r="R145" s="505" t="s">
        <v>248</v>
      </c>
      <c r="S145" s="452"/>
      <c r="T145" s="505" t="s">
        <v>242</v>
      </c>
      <c r="U145" s="452"/>
      <c r="V145" s="505" t="s">
        <v>242</v>
      </c>
      <c r="W145" s="452"/>
      <c r="X145" s="505" t="s">
        <v>115</v>
      </c>
      <c r="Y145" s="452"/>
      <c r="Z145" s="505" t="s">
        <v>182</v>
      </c>
      <c r="AA145" s="452"/>
      <c r="AB145" s="505" t="s">
        <v>123</v>
      </c>
      <c r="AC145" s="475"/>
      <c r="AF145" s="476"/>
      <c r="AG145" s="477"/>
      <c r="AH145" s="477"/>
      <c r="AI145" s="477"/>
      <c r="AJ145" s="477"/>
      <c r="AK145" s="478"/>
    </row>
    <row r="146" spans="1:37">
      <c r="A146" s="469"/>
      <c r="B146" s="505"/>
      <c r="C146" s="452"/>
      <c r="E146" s="452"/>
      <c r="F146" s="505" t="s">
        <v>1276</v>
      </c>
      <c r="G146" s="452"/>
      <c r="H146" s="505"/>
      <c r="I146" s="452"/>
      <c r="J146" s="505"/>
      <c r="K146" s="452"/>
      <c r="L146" s="505"/>
      <c r="M146" s="452"/>
      <c r="N146" s="505" t="s">
        <v>1277</v>
      </c>
      <c r="O146" s="452"/>
      <c r="P146" s="505"/>
      <c r="Q146" s="452"/>
      <c r="R146" s="505" t="s">
        <v>1276</v>
      </c>
      <c r="S146" s="452"/>
      <c r="T146" s="505"/>
      <c r="U146" s="452"/>
      <c r="V146" s="505"/>
      <c r="W146" s="452"/>
      <c r="X146" s="505"/>
      <c r="Y146" s="452"/>
      <c r="Z146" s="505"/>
      <c r="AA146" s="452"/>
      <c r="AB146" s="505" t="s">
        <v>1277</v>
      </c>
      <c r="AC146" s="475"/>
      <c r="AF146" s="476"/>
      <c r="AG146" s="477"/>
      <c r="AH146" s="477"/>
      <c r="AI146" s="477"/>
      <c r="AJ146" s="477"/>
      <c r="AK146" s="478"/>
    </row>
    <row r="147" spans="1:37">
      <c r="A147" s="469"/>
      <c r="B147" s="505"/>
      <c r="C147" s="475"/>
      <c r="D147" s="505"/>
      <c r="E147" s="475"/>
      <c r="F147" s="505"/>
      <c r="G147" s="475"/>
      <c r="H147" s="505"/>
      <c r="I147" s="475"/>
      <c r="J147" s="505"/>
      <c r="K147" s="475"/>
      <c r="L147" s="505"/>
      <c r="M147" s="475"/>
      <c r="N147" s="505"/>
      <c r="O147" s="475"/>
      <c r="P147" s="505"/>
      <c r="Q147" s="475"/>
      <c r="R147" s="505"/>
      <c r="S147" s="475"/>
      <c r="T147" s="505"/>
      <c r="U147" s="475"/>
      <c r="V147" s="505"/>
      <c r="W147" s="475"/>
      <c r="X147" s="505"/>
      <c r="Y147" s="475"/>
      <c r="Z147" s="505"/>
      <c r="AA147" s="475"/>
      <c r="AB147" s="505"/>
      <c r="AC147" s="475"/>
      <c r="AF147" s="476"/>
      <c r="AG147" s="477"/>
      <c r="AH147" s="477"/>
      <c r="AI147" s="477"/>
      <c r="AJ147" s="477"/>
      <c r="AK147" s="478"/>
    </row>
    <row r="148" spans="1:37">
      <c r="A148" s="469"/>
      <c r="B148" s="470" t="s">
        <v>352</v>
      </c>
      <c r="C148" s="445"/>
      <c r="D148" s="470" t="s">
        <v>353</v>
      </c>
      <c r="E148" s="445"/>
      <c r="F148" s="470" t="s">
        <v>274</v>
      </c>
      <c r="G148" s="445"/>
      <c r="H148" s="470" t="s">
        <v>275</v>
      </c>
      <c r="I148" s="445"/>
      <c r="J148" s="470" t="s">
        <v>355</v>
      </c>
      <c r="K148" s="445"/>
      <c r="L148" s="470" t="s">
        <v>284</v>
      </c>
      <c r="M148" s="445"/>
      <c r="N148" s="470" t="s">
        <v>285</v>
      </c>
      <c r="O148" s="445"/>
      <c r="P148" s="470" t="s">
        <v>705</v>
      </c>
      <c r="Q148" s="445"/>
      <c r="R148" s="470" t="s">
        <v>357</v>
      </c>
      <c r="S148" s="445"/>
      <c r="T148" s="470" t="s">
        <v>706</v>
      </c>
      <c r="U148" s="445"/>
      <c r="V148" s="470" t="s">
        <v>247</v>
      </c>
      <c r="W148" s="445"/>
      <c r="X148" s="470" t="s">
        <v>260</v>
      </c>
      <c r="Y148" s="445"/>
      <c r="Z148" s="470" t="s">
        <v>261</v>
      </c>
      <c r="AA148" s="445"/>
      <c r="AB148" s="470" t="s">
        <v>286</v>
      </c>
      <c r="AC148" s="475"/>
      <c r="AF148" s="476"/>
      <c r="AG148" s="477"/>
      <c r="AH148" s="477"/>
      <c r="AI148" s="477"/>
      <c r="AJ148" s="477"/>
      <c r="AK148" s="478"/>
    </row>
    <row r="149" spans="1:37">
      <c r="A149" s="469"/>
      <c r="B149" s="474"/>
      <c r="C149" s="475"/>
      <c r="D149" s="474"/>
      <c r="E149" s="475"/>
      <c r="F149" s="474"/>
      <c r="G149" s="475"/>
      <c r="H149" s="474"/>
      <c r="I149" s="483"/>
      <c r="J149" s="474"/>
      <c r="K149" s="452"/>
      <c r="L149" s="474"/>
      <c r="M149" s="475"/>
      <c r="N149" s="474"/>
      <c r="O149" s="475"/>
      <c r="P149" s="474"/>
      <c r="Q149" s="452"/>
      <c r="R149" s="474"/>
      <c r="S149" s="483"/>
      <c r="T149" s="474"/>
      <c r="U149" s="475"/>
      <c r="V149" s="474"/>
      <c r="W149" s="475"/>
      <c r="X149" s="474"/>
      <c r="Y149" s="479"/>
      <c r="Z149" s="474"/>
      <c r="AA149" s="452"/>
      <c r="AB149" s="474"/>
      <c r="AC149" s="475"/>
      <c r="AF149" s="472" t="s">
        <v>1191</v>
      </c>
      <c r="AG149" s="472" t="s">
        <v>354</v>
      </c>
      <c r="AH149" s="472" t="s">
        <v>1192</v>
      </c>
      <c r="AI149" s="472" t="s">
        <v>1193</v>
      </c>
      <c r="AJ149" s="472" t="s">
        <v>303</v>
      </c>
      <c r="AK149" s="473" t="s">
        <v>1194</v>
      </c>
    </row>
    <row r="150" spans="1:37" ht="12.5" thickBot="1">
      <c r="A150" s="469"/>
      <c r="B150" s="446"/>
      <c r="C150" s="475"/>
      <c r="D150" s="446"/>
      <c r="E150" s="475"/>
      <c r="F150" s="446"/>
      <c r="G150" s="475"/>
      <c r="H150" s="446"/>
      <c r="I150" s="475"/>
      <c r="J150" s="446"/>
      <c r="K150" s="475"/>
      <c r="L150" s="446"/>
      <c r="M150" s="475"/>
      <c r="N150" s="446"/>
      <c r="O150" s="475"/>
      <c r="P150" s="446"/>
      <c r="Q150" s="475"/>
      <c r="R150" s="446"/>
      <c r="S150" s="475"/>
      <c r="T150" s="446"/>
      <c r="U150" s="475"/>
      <c r="V150" s="446"/>
      <c r="W150" s="475"/>
      <c r="X150" s="446"/>
      <c r="Y150" s="475"/>
      <c r="Z150" s="446"/>
      <c r="AA150" s="475"/>
      <c r="AB150" s="446"/>
      <c r="AC150" s="475"/>
      <c r="AF150" s="476"/>
      <c r="AG150" s="477"/>
      <c r="AH150" s="477"/>
      <c r="AI150" s="477"/>
      <c r="AJ150" s="477"/>
      <c r="AK150" s="478"/>
    </row>
    <row r="151" spans="1:37" ht="42" customHeight="1" thickBot="1">
      <c r="A151" s="469"/>
      <c r="B151" s="448"/>
      <c r="C151" s="479">
        <v>442</v>
      </c>
      <c r="D151" s="448"/>
      <c r="E151" s="479">
        <v>397</v>
      </c>
      <c r="F151" s="449"/>
      <c r="G151" s="479">
        <v>395</v>
      </c>
      <c r="H151" s="449"/>
      <c r="I151" s="479">
        <v>432</v>
      </c>
      <c r="J151" s="449"/>
      <c r="K151" s="479">
        <v>408</v>
      </c>
      <c r="L151" s="449"/>
      <c r="M151" s="479">
        <v>426</v>
      </c>
      <c r="N151" s="449"/>
      <c r="O151" s="479">
        <v>392.95400000000001</v>
      </c>
      <c r="P151" s="448"/>
      <c r="Q151" s="479">
        <v>431.95699999999999</v>
      </c>
      <c r="R151" s="448"/>
      <c r="S151" s="479">
        <v>426.02</v>
      </c>
      <c r="T151" s="448"/>
      <c r="U151" s="479">
        <v>401</v>
      </c>
      <c r="V151" s="449"/>
      <c r="W151" s="479">
        <v>437</v>
      </c>
      <c r="X151" s="449"/>
      <c r="Y151" s="484">
        <v>402</v>
      </c>
      <c r="Z151" s="449"/>
      <c r="AA151" s="479">
        <v>436</v>
      </c>
      <c r="AB151" s="448"/>
      <c r="AC151" s="484">
        <v>392.28300000000002</v>
      </c>
      <c r="AF151" s="472">
        <v>14</v>
      </c>
      <c r="AG151" s="472">
        <v>8</v>
      </c>
      <c r="AH151" s="472">
        <v>2</v>
      </c>
      <c r="AI151" s="472"/>
      <c r="AJ151" s="472"/>
      <c r="AK151" s="473"/>
    </row>
    <row r="152" spans="1:37" ht="12.5" thickBot="1">
      <c r="A152" s="469"/>
      <c r="B152" s="481"/>
      <c r="C152" s="475"/>
      <c r="D152" s="481"/>
      <c r="E152" s="475"/>
      <c r="F152" s="481"/>
      <c r="G152" s="475"/>
      <c r="H152" s="481"/>
      <c r="I152" s="475"/>
      <c r="J152" s="481"/>
      <c r="K152" s="475"/>
      <c r="L152" s="481"/>
      <c r="M152" s="475"/>
      <c r="N152" s="481"/>
      <c r="O152" s="475"/>
      <c r="P152" s="481"/>
      <c r="Q152" s="475"/>
      <c r="R152" s="481"/>
      <c r="S152" s="475"/>
      <c r="T152" s="481"/>
      <c r="U152" s="475"/>
      <c r="V152" s="481"/>
      <c r="W152" s="475"/>
      <c r="X152" s="481"/>
      <c r="Y152" s="475"/>
      <c r="Z152" s="481"/>
      <c r="AA152" s="475"/>
      <c r="AB152" s="481"/>
      <c r="AC152" s="475"/>
      <c r="AF152" s="476"/>
      <c r="AG152" s="477"/>
      <c r="AH152" s="477"/>
      <c r="AI152" s="477"/>
      <c r="AJ152" s="477"/>
      <c r="AK152" s="478"/>
    </row>
    <row r="153" spans="1:37">
      <c r="A153" s="469"/>
      <c r="B153" s="452" t="s">
        <v>248</v>
      </c>
      <c r="C153" s="452"/>
      <c r="D153" s="452" t="s">
        <v>248</v>
      </c>
      <c r="E153" s="452"/>
      <c r="F153" s="452" t="s">
        <v>248</v>
      </c>
      <c r="G153" s="452"/>
      <c r="H153" s="452" t="s">
        <v>248</v>
      </c>
      <c r="I153" s="452"/>
      <c r="J153" s="452" t="s">
        <v>248</v>
      </c>
      <c r="K153" s="452"/>
      <c r="L153" s="452" t="s">
        <v>185</v>
      </c>
      <c r="M153" s="452"/>
      <c r="N153" s="452" t="s">
        <v>185</v>
      </c>
      <c r="O153" s="452"/>
      <c r="P153" s="452" t="s">
        <v>125</v>
      </c>
      <c r="Q153" s="452"/>
      <c r="R153" s="452" t="s">
        <v>132</v>
      </c>
      <c r="S153" s="452"/>
      <c r="T153" s="452" t="s">
        <v>125</v>
      </c>
      <c r="U153" s="452"/>
      <c r="V153" s="452" t="s">
        <v>248</v>
      </c>
      <c r="W153" s="452"/>
      <c r="X153" s="452" t="s">
        <v>182</v>
      </c>
      <c r="Y153" s="452"/>
      <c r="Z153" s="452" t="s">
        <v>185</v>
      </c>
      <c r="AA153" s="452"/>
      <c r="AB153" s="452" t="s">
        <v>248</v>
      </c>
      <c r="AC153" s="475"/>
      <c r="AF153" s="476"/>
      <c r="AG153" s="477"/>
      <c r="AH153" s="477"/>
      <c r="AI153" s="477"/>
      <c r="AJ153" s="477"/>
      <c r="AK153" s="478"/>
    </row>
    <row r="154" spans="1:37">
      <c r="A154" s="469"/>
      <c r="B154" s="452" t="s">
        <v>1276</v>
      </c>
      <c r="C154" s="452"/>
      <c r="D154" s="452" t="s">
        <v>1277</v>
      </c>
      <c r="E154" s="452"/>
      <c r="F154" s="452"/>
      <c r="G154" s="452"/>
      <c r="H154" s="452"/>
      <c r="I154" s="452"/>
      <c r="J154" s="452"/>
      <c r="K154" s="452"/>
      <c r="L154" s="452"/>
      <c r="M154" s="452"/>
      <c r="N154" s="452"/>
      <c r="O154" s="452"/>
      <c r="P154" s="452"/>
      <c r="Q154" s="452"/>
      <c r="R154" s="452"/>
      <c r="S154" s="452"/>
      <c r="T154" s="452" t="s">
        <v>1277</v>
      </c>
      <c r="U154" s="452"/>
      <c r="V154" s="452"/>
      <c r="W154" s="452"/>
      <c r="X154" s="452"/>
      <c r="Y154" s="452"/>
      <c r="Z154" s="452"/>
      <c r="AA154" s="452"/>
      <c r="AB154" s="452"/>
      <c r="AC154" s="475"/>
      <c r="AF154" s="476"/>
      <c r="AG154" s="477"/>
      <c r="AH154" s="477"/>
      <c r="AI154" s="477"/>
      <c r="AJ154" s="477"/>
      <c r="AK154" s="478"/>
    </row>
    <row r="155" spans="1:37">
      <c r="A155" s="469"/>
      <c r="C155" s="475"/>
      <c r="E155" s="475"/>
      <c r="G155" s="475"/>
      <c r="I155" s="475"/>
      <c r="K155" s="475"/>
      <c r="M155" s="475"/>
      <c r="N155" s="470"/>
      <c r="O155" s="475"/>
      <c r="Q155" s="475"/>
      <c r="S155" s="475"/>
      <c r="U155" s="475"/>
      <c r="W155" s="475"/>
      <c r="Y155" s="475"/>
      <c r="AA155" s="475"/>
      <c r="AC155" s="475"/>
      <c r="AF155" s="476"/>
      <c r="AG155" s="477"/>
      <c r="AH155" s="477"/>
      <c r="AI155" s="477"/>
      <c r="AJ155" s="477"/>
      <c r="AK155" s="478"/>
    </row>
    <row r="156" spans="1:37">
      <c r="A156" s="469"/>
      <c r="B156" s="470" t="s">
        <v>707</v>
      </c>
      <c r="C156" s="445"/>
      <c r="D156" s="470" t="s">
        <v>359</v>
      </c>
      <c r="E156" s="445"/>
      <c r="F156" s="470" t="s">
        <v>360</v>
      </c>
      <c r="G156" s="445"/>
      <c r="H156" s="470" t="s">
        <v>361</v>
      </c>
      <c r="I156" s="445"/>
      <c r="J156" s="470" t="s">
        <v>362</v>
      </c>
      <c r="K156" s="445"/>
      <c r="L156" s="470" t="s">
        <v>363</v>
      </c>
      <c r="M156" s="445"/>
      <c r="N156" s="470" t="s">
        <v>364</v>
      </c>
      <c r="O156" s="445"/>
      <c r="P156" s="470" t="s">
        <v>365</v>
      </c>
      <c r="Q156" s="445"/>
      <c r="R156" s="470" t="s">
        <v>711</v>
      </c>
      <c r="S156" s="445"/>
      <c r="T156" s="470" t="s">
        <v>367</v>
      </c>
      <c r="U156" s="445"/>
      <c r="V156" s="470" t="s">
        <v>287</v>
      </c>
      <c r="W156" s="445"/>
      <c r="X156" s="470" t="s">
        <v>368</v>
      </c>
      <c r="Y156" s="445"/>
      <c r="Z156" s="470" t="s">
        <v>369</v>
      </c>
      <c r="AA156" s="470"/>
      <c r="AB156" s="506" t="s">
        <v>370</v>
      </c>
      <c r="AC156" s="475"/>
      <c r="AF156" s="476"/>
      <c r="AG156" s="477"/>
      <c r="AH156" s="477"/>
      <c r="AI156" s="477"/>
      <c r="AJ156" s="477"/>
      <c r="AK156" s="478"/>
    </row>
    <row r="157" spans="1:37">
      <c r="A157" s="469"/>
      <c r="B157" s="474"/>
      <c r="C157" s="475"/>
      <c r="D157" s="474"/>
      <c r="E157" s="475"/>
      <c r="F157" s="474"/>
      <c r="G157" s="475"/>
      <c r="H157" s="474"/>
      <c r="I157" s="475"/>
      <c r="J157" s="474"/>
      <c r="K157" s="475"/>
      <c r="L157" s="474"/>
      <c r="M157" s="475"/>
      <c r="N157" s="474"/>
      <c r="O157" s="475"/>
      <c r="P157" s="474"/>
      <c r="Q157" s="475"/>
      <c r="R157" s="474"/>
      <c r="S157" s="475"/>
      <c r="T157" s="474"/>
      <c r="U157" s="475"/>
      <c r="V157" s="474"/>
      <c r="W157" s="475"/>
      <c r="X157" s="474"/>
      <c r="Y157" s="475"/>
      <c r="Z157" s="474"/>
      <c r="AA157" s="475"/>
      <c r="AB157" s="474"/>
      <c r="AC157" s="475"/>
      <c r="AF157" s="472" t="s">
        <v>1191</v>
      </c>
      <c r="AG157" s="472" t="s">
        <v>354</v>
      </c>
      <c r="AH157" s="472" t="s">
        <v>1192</v>
      </c>
      <c r="AI157" s="472" t="s">
        <v>1193</v>
      </c>
      <c r="AJ157" s="472" t="s">
        <v>303</v>
      </c>
      <c r="AK157" s="473" t="s">
        <v>1194</v>
      </c>
    </row>
    <row r="158" spans="1:37" ht="12.5" thickBot="1">
      <c r="A158" s="469"/>
      <c r="B158" s="446"/>
      <c r="C158" s="475"/>
      <c r="D158" s="446"/>
      <c r="E158" s="475"/>
      <c r="F158" s="446"/>
      <c r="G158" s="475"/>
      <c r="H158" s="446"/>
      <c r="I158" s="475"/>
      <c r="J158" s="446"/>
      <c r="K158" s="475"/>
      <c r="L158" s="446"/>
      <c r="M158" s="475"/>
      <c r="N158" s="446"/>
      <c r="O158" s="475"/>
      <c r="P158" s="446"/>
      <c r="Q158" s="475"/>
      <c r="R158" s="446"/>
      <c r="S158" s="475"/>
      <c r="T158" s="446"/>
      <c r="U158" s="475"/>
      <c r="V158" s="446"/>
      <c r="W158" s="475"/>
      <c r="X158" s="446"/>
      <c r="Y158" s="475"/>
      <c r="Z158" s="446"/>
      <c r="AA158" s="475"/>
      <c r="AB158" s="446"/>
      <c r="AC158" s="475"/>
      <c r="AF158" s="476"/>
      <c r="AG158" s="477"/>
      <c r="AH158" s="477"/>
      <c r="AI158" s="477"/>
      <c r="AJ158" s="477"/>
      <c r="AK158" s="478"/>
    </row>
    <row r="159" spans="1:37" ht="42.75" customHeight="1" thickBot="1">
      <c r="A159" s="469"/>
      <c r="B159" s="448"/>
      <c r="C159" s="479">
        <v>402.5</v>
      </c>
      <c r="D159" s="448"/>
      <c r="E159" s="479">
        <v>411.55700000000002</v>
      </c>
      <c r="F159" s="448"/>
      <c r="G159" s="479">
        <v>438.46100000000001</v>
      </c>
      <c r="H159" s="448"/>
      <c r="I159" s="479">
        <v>410.35599999999999</v>
      </c>
      <c r="J159" s="448"/>
      <c r="K159" s="479">
        <v>379.755</v>
      </c>
      <c r="L159" s="448"/>
      <c r="M159" s="479">
        <v>396.947</v>
      </c>
      <c r="N159" s="448"/>
      <c r="O159" s="479">
        <v>414.59399999999999</v>
      </c>
      <c r="P159" s="448"/>
      <c r="Q159" s="479">
        <v>352.99400000000003</v>
      </c>
      <c r="R159" s="448"/>
      <c r="S159" s="479">
        <v>389.303</v>
      </c>
      <c r="T159" s="448"/>
      <c r="U159" s="479">
        <v>237.59</v>
      </c>
      <c r="V159" s="449"/>
      <c r="W159" s="479">
        <v>290.87700000000001</v>
      </c>
      <c r="X159" s="448"/>
      <c r="Y159" s="484">
        <v>345.60500000000002</v>
      </c>
      <c r="Z159" s="448"/>
      <c r="AA159" s="479">
        <v>318.63</v>
      </c>
      <c r="AB159" s="448"/>
      <c r="AC159" s="479">
        <v>307.017</v>
      </c>
      <c r="AF159" s="472">
        <v>14</v>
      </c>
      <c r="AG159" s="472"/>
      <c r="AH159" s="472"/>
      <c r="AI159" s="472"/>
      <c r="AJ159" s="472"/>
      <c r="AK159" s="473"/>
    </row>
    <row r="160" spans="1:37" ht="12.5" thickBot="1">
      <c r="A160" s="469"/>
      <c r="B160" s="481"/>
      <c r="C160" s="507"/>
      <c r="D160" s="481"/>
      <c r="E160" s="507"/>
      <c r="F160" s="481"/>
      <c r="G160" s="475"/>
      <c r="H160" s="481"/>
      <c r="I160" s="475"/>
      <c r="J160" s="481"/>
      <c r="K160" s="475"/>
      <c r="L160" s="481"/>
      <c r="M160" s="507"/>
      <c r="N160" s="481"/>
      <c r="O160" s="507"/>
      <c r="P160" s="481"/>
      <c r="Q160" s="507"/>
      <c r="R160" s="481"/>
      <c r="S160" s="507"/>
      <c r="T160" s="481"/>
      <c r="U160" s="507"/>
      <c r="V160" s="481"/>
      <c r="W160" s="507"/>
      <c r="X160" s="481"/>
      <c r="Y160" s="475"/>
      <c r="Z160" s="481"/>
      <c r="AA160" s="475"/>
      <c r="AB160" s="481"/>
      <c r="AC160" s="475"/>
      <c r="AF160" s="476"/>
      <c r="AG160" s="477"/>
      <c r="AH160" s="477"/>
      <c r="AI160" s="477"/>
      <c r="AJ160" s="477"/>
      <c r="AK160" s="478"/>
    </row>
    <row r="161" spans="1:37">
      <c r="A161" s="469"/>
      <c r="B161" s="452" t="s">
        <v>128</v>
      </c>
      <c r="C161" s="452"/>
      <c r="D161" s="452" t="s">
        <v>242</v>
      </c>
      <c r="E161" s="452"/>
      <c r="F161" s="452" t="s">
        <v>119</v>
      </c>
      <c r="G161" s="452"/>
      <c r="H161" s="452" t="s">
        <v>132</v>
      </c>
      <c r="I161" s="452"/>
      <c r="J161" s="452" t="s">
        <v>143</v>
      </c>
      <c r="K161" s="452"/>
      <c r="L161" s="452" t="s">
        <v>242</v>
      </c>
      <c r="M161" s="452"/>
      <c r="N161" s="452" t="s">
        <v>182</v>
      </c>
      <c r="O161" s="452"/>
      <c r="P161" s="452" t="s">
        <v>182</v>
      </c>
      <c r="Q161" s="452"/>
      <c r="R161" s="452" t="s">
        <v>125</v>
      </c>
      <c r="S161" s="452"/>
      <c r="T161" s="452" t="s">
        <v>119</v>
      </c>
      <c r="U161" s="452"/>
      <c r="V161" s="452" t="s">
        <v>248</v>
      </c>
      <c r="W161" s="452"/>
      <c r="X161" s="452" t="s">
        <v>182</v>
      </c>
      <c r="Y161" s="452"/>
      <c r="Z161" s="452" t="s">
        <v>182</v>
      </c>
      <c r="AA161" s="452"/>
      <c r="AB161" s="452" t="s">
        <v>125</v>
      </c>
      <c r="AC161" s="475"/>
      <c r="AF161" s="476"/>
      <c r="AG161" s="477"/>
      <c r="AH161" s="477"/>
      <c r="AI161" s="477"/>
      <c r="AJ161" s="477"/>
      <c r="AK161" s="478"/>
    </row>
    <row r="162" spans="1:37">
      <c r="A162" s="469"/>
      <c r="B162" s="452" t="s">
        <v>1277</v>
      </c>
      <c r="C162" s="452"/>
      <c r="D162" s="452"/>
      <c r="E162" s="452"/>
      <c r="F162" s="452"/>
      <c r="G162" s="452"/>
      <c r="H162" s="452"/>
      <c r="I162" s="452"/>
      <c r="J162" s="452"/>
      <c r="K162" s="452"/>
      <c r="L162" s="452"/>
      <c r="M162" s="452"/>
      <c r="N162" s="452"/>
      <c r="O162" s="452"/>
      <c r="P162" s="452" t="s">
        <v>1277</v>
      </c>
      <c r="Q162" s="452"/>
      <c r="R162" s="452"/>
      <c r="S162" s="452"/>
      <c r="T162" s="452"/>
      <c r="U162" s="452"/>
      <c r="V162" s="452"/>
      <c r="W162" s="452"/>
      <c r="X162" s="452"/>
      <c r="Y162" s="452"/>
      <c r="Z162" s="452" t="s">
        <v>1277</v>
      </c>
      <c r="AA162" s="452"/>
      <c r="AB162" s="452" t="s">
        <v>1278</v>
      </c>
      <c r="AC162" s="475"/>
      <c r="AF162" s="476"/>
      <c r="AG162" s="477"/>
      <c r="AH162" s="477"/>
      <c r="AI162" s="477"/>
      <c r="AJ162" s="477"/>
      <c r="AK162" s="478"/>
    </row>
    <row r="163" spans="1:37">
      <c r="A163" s="469"/>
      <c r="C163" s="475"/>
      <c r="E163" s="475"/>
      <c r="G163" s="475"/>
      <c r="I163" s="475"/>
      <c r="K163" s="475"/>
      <c r="M163" s="475"/>
      <c r="O163" s="475"/>
      <c r="Q163" s="475"/>
      <c r="S163" s="475"/>
      <c r="U163" s="475"/>
      <c r="W163" s="475"/>
      <c r="Y163" s="475"/>
      <c r="AA163" s="475"/>
      <c r="AC163" s="475"/>
      <c r="AF163" s="476"/>
      <c r="AG163" s="477"/>
      <c r="AH163" s="477"/>
      <c r="AI163" s="477"/>
      <c r="AJ163" s="477"/>
      <c r="AK163" s="478"/>
    </row>
    <row r="164" spans="1:37">
      <c r="A164" s="469"/>
      <c r="B164" s="470" t="s">
        <v>371</v>
      </c>
      <c r="C164" s="445"/>
      <c r="D164" s="470" t="s">
        <v>372</v>
      </c>
      <c r="E164" s="445"/>
      <c r="F164" s="470" t="s">
        <v>373</v>
      </c>
      <c r="G164" s="445"/>
      <c r="H164" s="470" t="s">
        <v>288</v>
      </c>
      <c r="I164" s="445"/>
      <c r="J164" s="470" t="s">
        <v>259</v>
      </c>
      <c r="K164" s="445"/>
      <c r="L164" s="470" t="s">
        <v>251</v>
      </c>
      <c r="M164" s="445"/>
      <c r="N164" s="470" t="s">
        <v>377</v>
      </c>
      <c r="O164" s="445"/>
      <c r="P164" s="470" t="s">
        <v>297</v>
      </c>
      <c r="Q164" s="445"/>
      <c r="R164" s="470" t="s">
        <v>378</v>
      </c>
      <c r="S164" s="445"/>
      <c r="T164" s="470" t="s">
        <v>236</v>
      </c>
      <c r="U164" s="445"/>
      <c r="V164" s="470" t="s">
        <v>237</v>
      </c>
      <c r="W164" s="445"/>
      <c r="X164" s="470" t="s">
        <v>214</v>
      </c>
      <c r="Y164" s="445"/>
      <c r="Z164" s="470" t="s">
        <v>213</v>
      </c>
      <c r="AA164" s="445"/>
      <c r="AB164" s="470" t="s">
        <v>212</v>
      </c>
      <c r="AC164" s="475"/>
      <c r="AF164" s="476"/>
      <c r="AG164" s="477"/>
      <c r="AH164" s="477"/>
      <c r="AI164" s="477"/>
      <c r="AJ164" s="477"/>
      <c r="AK164" s="478"/>
    </row>
    <row r="165" spans="1:37">
      <c r="A165" s="469"/>
      <c r="B165" s="474"/>
      <c r="C165" s="475"/>
      <c r="D165" s="474"/>
      <c r="E165" s="475"/>
      <c r="F165" s="474"/>
      <c r="G165" s="475"/>
      <c r="H165" s="474"/>
      <c r="I165" s="475"/>
      <c r="J165" s="474"/>
      <c r="K165" s="475"/>
      <c r="L165" s="474"/>
      <c r="M165" s="475"/>
      <c r="N165" s="474"/>
      <c r="O165" s="475"/>
      <c r="P165" s="474"/>
      <c r="Q165" s="475"/>
      <c r="R165" s="474"/>
      <c r="S165" s="475"/>
      <c r="T165" s="474"/>
      <c r="U165" s="475"/>
      <c r="V165" s="474"/>
      <c r="W165" s="475"/>
      <c r="X165" s="474"/>
      <c r="Y165" s="475"/>
      <c r="Z165" s="474"/>
      <c r="AA165" s="500"/>
      <c r="AB165" s="474"/>
      <c r="AC165" s="475"/>
      <c r="AF165" s="472" t="s">
        <v>1191</v>
      </c>
      <c r="AG165" s="472" t="s">
        <v>354</v>
      </c>
      <c r="AH165" s="472" t="s">
        <v>1192</v>
      </c>
      <c r="AI165" s="472" t="s">
        <v>1193</v>
      </c>
      <c r="AJ165" s="472" t="s">
        <v>303</v>
      </c>
      <c r="AK165" s="473" t="s">
        <v>1194</v>
      </c>
    </row>
    <row r="166" spans="1:37" ht="12.5" thickBot="1">
      <c r="A166" s="469"/>
      <c r="B166" s="446"/>
      <c r="C166" s="475"/>
      <c r="D166" s="446"/>
      <c r="E166" s="475"/>
      <c r="F166" s="446"/>
      <c r="G166" s="475"/>
      <c r="H166" s="446"/>
      <c r="I166" s="475"/>
      <c r="J166" s="446"/>
      <c r="K166" s="475"/>
      <c r="L166" s="446"/>
      <c r="M166" s="475"/>
      <c r="N166" s="446"/>
      <c r="O166" s="475"/>
      <c r="P166" s="446"/>
      <c r="Q166" s="475"/>
      <c r="R166" s="446"/>
      <c r="S166" s="475"/>
      <c r="T166" s="446"/>
      <c r="U166" s="475"/>
      <c r="V166" s="446"/>
      <c r="W166" s="475"/>
      <c r="X166" s="446"/>
      <c r="Y166" s="475"/>
      <c r="Z166" s="446"/>
      <c r="AA166" s="475"/>
      <c r="AB166" s="446"/>
      <c r="AC166" s="475"/>
      <c r="AF166" s="476"/>
      <c r="AG166" s="477"/>
      <c r="AH166" s="477"/>
      <c r="AI166" s="477"/>
      <c r="AJ166" s="477"/>
      <c r="AK166" s="478"/>
    </row>
    <row r="167" spans="1:37" ht="42.75" customHeight="1" thickBot="1">
      <c r="A167" s="469"/>
      <c r="B167" s="448"/>
      <c r="C167" s="479">
        <v>346.846</v>
      </c>
      <c r="D167" s="448" t="s">
        <v>1376</v>
      </c>
      <c r="E167" s="479">
        <v>300.19299999999998</v>
      </c>
      <c r="F167" s="448" t="s">
        <v>1376</v>
      </c>
      <c r="G167" s="479">
        <v>317</v>
      </c>
      <c r="H167" s="448"/>
      <c r="I167" s="479">
        <v>454</v>
      </c>
      <c r="J167" s="449"/>
      <c r="K167" s="479">
        <v>385</v>
      </c>
      <c r="L167" s="449"/>
      <c r="M167" s="479">
        <v>417.68799999999999</v>
      </c>
      <c r="N167" s="449"/>
      <c r="O167" s="479">
        <v>409.505</v>
      </c>
      <c r="P167" s="449"/>
      <c r="Q167" s="479">
        <v>385.16899999999998</v>
      </c>
      <c r="R167" s="449"/>
      <c r="S167" s="479">
        <v>345.19099999999997</v>
      </c>
      <c r="T167" s="449"/>
      <c r="U167" s="479">
        <v>332.38299999999998</v>
      </c>
      <c r="V167" s="449"/>
      <c r="W167" s="479">
        <v>393.62200000000001</v>
      </c>
      <c r="X167" s="449"/>
      <c r="Y167" s="479">
        <v>387.94799999999998</v>
      </c>
      <c r="Z167" s="449"/>
      <c r="AA167" s="479">
        <v>340.34800000000001</v>
      </c>
      <c r="AB167" s="449"/>
      <c r="AC167" s="479">
        <v>393.12099999999998</v>
      </c>
      <c r="AF167" s="472">
        <v>14</v>
      </c>
      <c r="AG167" s="472">
        <v>8</v>
      </c>
      <c r="AH167" s="472">
        <v>7</v>
      </c>
      <c r="AI167" s="472"/>
      <c r="AJ167" s="472"/>
      <c r="AK167" s="473"/>
    </row>
    <row r="168" spans="1:37" ht="12.5" thickBot="1">
      <c r="A168" s="469"/>
      <c r="B168" s="481"/>
      <c r="C168" s="475"/>
      <c r="D168" s="481"/>
      <c r="E168" s="475"/>
      <c r="F168" s="481"/>
      <c r="G168" s="475"/>
      <c r="H168" s="481"/>
      <c r="I168" s="475"/>
      <c r="J168" s="481"/>
      <c r="K168" s="475"/>
      <c r="L168" s="481"/>
      <c r="M168" s="475"/>
      <c r="N168" s="481"/>
      <c r="O168" s="475"/>
      <c r="P168" s="481"/>
      <c r="Q168" s="475"/>
      <c r="R168" s="481"/>
      <c r="S168" s="475"/>
      <c r="T168" s="481"/>
      <c r="U168" s="475"/>
      <c r="V168" s="481"/>
      <c r="W168" s="475"/>
      <c r="X168" s="481"/>
      <c r="Y168" s="475"/>
      <c r="Z168" s="481"/>
      <c r="AA168" s="475"/>
      <c r="AB168" s="481"/>
      <c r="AC168" s="475"/>
      <c r="AF168" s="476"/>
      <c r="AG168" s="477"/>
      <c r="AH168" s="477"/>
      <c r="AI168" s="477"/>
      <c r="AJ168" s="477"/>
      <c r="AK168" s="478"/>
    </row>
    <row r="169" spans="1:37">
      <c r="A169" s="469"/>
      <c r="B169" s="452" t="s">
        <v>185</v>
      </c>
      <c r="C169" s="452"/>
      <c r="D169" s="452" t="s">
        <v>185</v>
      </c>
      <c r="E169" s="452"/>
      <c r="F169" s="452" t="s">
        <v>119</v>
      </c>
      <c r="G169" s="452"/>
      <c r="H169" s="452" t="s">
        <v>182</v>
      </c>
      <c r="I169" s="452"/>
      <c r="J169" s="452" t="s">
        <v>248</v>
      </c>
      <c r="K169" s="452"/>
      <c r="L169" s="452" t="s">
        <v>248</v>
      </c>
      <c r="M169" s="452"/>
      <c r="N169" s="452" t="s">
        <v>132</v>
      </c>
      <c r="O169" s="452"/>
      <c r="P169" s="452" t="s">
        <v>182</v>
      </c>
      <c r="Q169" s="452"/>
      <c r="R169" s="452" t="s">
        <v>115</v>
      </c>
      <c r="S169" s="452"/>
      <c r="T169" s="452" t="s">
        <v>182</v>
      </c>
      <c r="U169" s="452"/>
      <c r="V169" s="452" t="s">
        <v>182</v>
      </c>
      <c r="W169" s="452"/>
      <c r="X169" s="452" t="s">
        <v>185</v>
      </c>
      <c r="Y169" s="452"/>
      <c r="Z169" s="452" t="s">
        <v>182</v>
      </c>
      <c r="AA169" s="452"/>
      <c r="AB169" s="452" t="s">
        <v>182</v>
      </c>
      <c r="AC169" s="475"/>
      <c r="AF169" s="476"/>
      <c r="AG169" s="477"/>
      <c r="AH169" s="477"/>
      <c r="AI169" s="477"/>
      <c r="AJ169" s="477"/>
      <c r="AK169" s="478"/>
    </row>
    <row r="170" spans="1:37">
      <c r="A170" s="469"/>
      <c r="B170" s="452" t="s">
        <v>1278</v>
      </c>
      <c r="C170" s="452"/>
      <c r="D170" s="452"/>
      <c r="E170" s="452"/>
      <c r="F170" s="452"/>
      <c r="G170" s="452"/>
      <c r="H170" s="452" t="s">
        <v>1276</v>
      </c>
      <c r="I170" s="452"/>
      <c r="J170" s="452"/>
      <c r="K170" s="452"/>
      <c r="L170" s="452"/>
      <c r="M170" s="452"/>
      <c r="N170" s="452"/>
      <c r="O170" s="452"/>
      <c r="P170" s="452"/>
      <c r="Q170" s="452"/>
      <c r="R170" s="452"/>
      <c r="S170" s="452"/>
      <c r="T170" s="452"/>
      <c r="U170" s="452"/>
      <c r="V170" s="452"/>
      <c r="W170" s="452"/>
      <c r="X170" s="452"/>
      <c r="Y170" s="452"/>
      <c r="Z170" s="452"/>
      <c r="AA170" s="452"/>
      <c r="AB170" s="452"/>
      <c r="AC170" s="475"/>
      <c r="AF170" s="476"/>
      <c r="AG170" s="477"/>
      <c r="AH170" s="477"/>
      <c r="AI170" s="477"/>
      <c r="AJ170" s="477"/>
      <c r="AK170" s="478"/>
    </row>
    <row r="171" spans="1:37">
      <c r="A171" s="469"/>
      <c r="C171" s="475"/>
      <c r="E171" s="475"/>
      <c r="G171" s="475"/>
      <c r="I171" s="475"/>
      <c r="K171" s="475"/>
      <c r="M171" s="475"/>
      <c r="O171" s="475"/>
      <c r="Q171" s="475"/>
      <c r="S171" s="475"/>
      <c r="U171" s="475"/>
      <c r="W171" s="475"/>
      <c r="Y171" s="475"/>
      <c r="AA171" s="475"/>
      <c r="AC171" s="475"/>
      <c r="AF171" s="476"/>
      <c r="AG171" s="477"/>
      <c r="AH171" s="477"/>
      <c r="AI171" s="477"/>
      <c r="AJ171" s="477"/>
      <c r="AK171" s="478"/>
    </row>
    <row r="172" spans="1:37">
      <c r="A172" s="469"/>
      <c r="B172" s="470" t="s">
        <v>209</v>
      </c>
      <c r="C172" s="445"/>
      <c r="D172" s="470" t="s">
        <v>231</v>
      </c>
      <c r="E172" s="445"/>
      <c r="F172" s="470" t="s">
        <v>379</v>
      </c>
      <c r="G172" s="445"/>
      <c r="H172" s="470" t="s">
        <v>263</v>
      </c>
      <c r="I172" s="445"/>
      <c r="J172" s="470" t="s">
        <v>1279</v>
      </c>
      <c r="K172" s="445"/>
      <c r="L172" s="470" t="s">
        <v>215</v>
      </c>
      <c r="M172" s="445"/>
      <c r="N172" s="470" t="s">
        <v>216</v>
      </c>
      <c r="O172" s="445"/>
      <c r="P172" s="470" t="s">
        <v>239</v>
      </c>
      <c r="Q172" s="445"/>
      <c r="R172" s="470" t="s">
        <v>240</v>
      </c>
      <c r="S172" s="445"/>
      <c r="T172" s="470" t="s">
        <v>241</v>
      </c>
      <c r="U172" s="445"/>
      <c r="V172" s="470" t="s">
        <v>381</v>
      </c>
      <c r="W172" s="470"/>
      <c r="X172" s="470" t="s">
        <v>383</v>
      </c>
      <c r="Y172" s="445"/>
      <c r="Z172" s="470" t="s">
        <v>384</v>
      </c>
      <c r="AA172" s="445"/>
      <c r="AB172" s="470" t="s">
        <v>253</v>
      </c>
      <c r="AC172" s="475"/>
      <c r="AF172" s="476"/>
      <c r="AG172" s="477"/>
      <c r="AH172" s="477"/>
      <c r="AI172" s="477"/>
      <c r="AJ172" s="477"/>
      <c r="AK172" s="478"/>
    </row>
    <row r="173" spans="1:37">
      <c r="A173" s="469"/>
      <c r="B173" s="474"/>
      <c r="C173" s="452"/>
      <c r="D173" s="474"/>
      <c r="E173" s="475"/>
      <c r="F173" s="474"/>
      <c r="G173" s="479"/>
      <c r="H173" s="474"/>
      <c r="I173" s="479"/>
      <c r="J173" s="474"/>
      <c r="K173" s="479"/>
      <c r="L173" s="474"/>
      <c r="M173" s="475"/>
      <c r="N173" s="474"/>
      <c r="O173" s="475"/>
      <c r="P173" s="474"/>
      <c r="Q173" s="475"/>
      <c r="R173" s="474"/>
      <c r="S173" s="475"/>
      <c r="T173" s="474"/>
      <c r="U173" s="475"/>
      <c r="V173" s="474"/>
      <c r="W173" s="483"/>
      <c r="X173" s="474"/>
      <c r="Y173" s="483"/>
      <c r="Z173" s="474"/>
      <c r="AA173" s="475"/>
      <c r="AB173" s="474"/>
      <c r="AC173" s="475"/>
      <c r="AF173" s="472" t="s">
        <v>1191</v>
      </c>
      <c r="AG173" s="472" t="s">
        <v>354</v>
      </c>
      <c r="AH173" s="472" t="s">
        <v>1192</v>
      </c>
      <c r="AI173" s="472" t="s">
        <v>1193</v>
      </c>
      <c r="AJ173" s="472" t="s">
        <v>303</v>
      </c>
      <c r="AK173" s="473" t="s">
        <v>1194</v>
      </c>
    </row>
    <row r="174" spans="1:37" ht="12.5" thickBot="1">
      <c r="A174" s="469"/>
      <c r="B174" s="446"/>
      <c r="C174" s="475"/>
      <c r="D174" s="446"/>
      <c r="E174" s="475"/>
      <c r="F174" s="446"/>
      <c r="G174" s="475"/>
      <c r="H174" s="446"/>
      <c r="I174" s="475"/>
      <c r="J174" s="446"/>
      <c r="K174" s="475"/>
      <c r="L174" s="446"/>
      <c r="M174" s="475"/>
      <c r="N174" s="446"/>
      <c r="O174" s="475"/>
      <c r="P174" s="446"/>
      <c r="Q174" s="475"/>
      <c r="R174" s="446"/>
      <c r="S174" s="475"/>
      <c r="T174" s="446"/>
      <c r="U174" s="475"/>
      <c r="V174" s="446"/>
      <c r="W174" s="475"/>
      <c r="X174" s="446"/>
      <c r="Y174" s="475"/>
      <c r="Z174" s="446"/>
      <c r="AA174" s="475"/>
      <c r="AB174" s="446"/>
      <c r="AC174" s="475"/>
      <c r="AF174" s="476"/>
      <c r="AG174" s="477"/>
      <c r="AH174" s="477"/>
      <c r="AI174" s="477"/>
      <c r="AJ174" s="477"/>
      <c r="AK174" s="478"/>
    </row>
    <row r="175" spans="1:37" ht="42.75" customHeight="1" thickBot="1">
      <c r="A175" s="469"/>
      <c r="B175" s="449"/>
      <c r="C175" s="479">
        <v>328.536</v>
      </c>
      <c r="D175" s="449"/>
      <c r="E175" s="479">
        <v>398.51499999999999</v>
      </c>
      <c r="F175" s="448"/>
      <c r="G175" s="479">
        <v>425.84800000000001</v>
      </c>
      <c r="H175" s="449"/>
      <c r="I175" s="479">
        <v>409.36900000000003</v>
      </c>
      <c r="J175" s="448"/>
      <c r="K175" s="479">
        <v>388.45499999999998</v>
      </c>
      <c r="L175" s="449"/>
      <c r="M175" s="479">
        <v>380.96100000000001</v>
      </c>
      <c r="N175" s="449"/>
      <c r="O175" s="479">
        <v>381.38900000000001</v>
      </c>
      <c r="P175" s="449"/>
      <c r="Q175" s="479">
        <v>344.59500000000003</v>
      </c>
      <c r="R175" s="449"/>
      <c r="S175" s="479">
        <v>395.64100000000002</v>
      </c>
      <c r="T175" s="449"/>
      <c r="U175" s="479">
        <v>414.76299999999998</v>
      </c>
      <c r="V175" s="449"/>
      <c r="W175" s="479">
        <v>401.92899999999997</v>
      </c>
      <c r="X175" s="448"/>
      <c r="Y175" s="479">
        <v>354.94900000000001</v>
      </c>
      <c r="Z175" s="453"/>
      <c r="AA175" s="479">
        <v>425</v>
      </c>
      <c r="AB175" s="453"/>
      <c r="AC175" s="484">
        <v>414</v>
      </c>
      <c r="AF175" s="472">
        <v>14</v>
      </c>
      <c r="AG175" s="472">
        <v>9</v>
      </c>
      <c r="AH175" s="472">
        <v>9</v>
      </c>
      <c r="AI175" s="472"/>
      <c r="AJ175" s="472"/>
      <c r="AK175" s="473"/>
    </row>
    <row r="176" spans="1:37" ht="12.5" thickBot="1">
      <c r="A176" s="469"/>
      <c r="B176" s="481"/>
      <c r="C176" s="475"/>
      <c r="D176" s="481"/>
      <c r="E176" s="475"/>
      <c r="F176" s="481"/>
      <c r="G176" s="475"/>
      <c r="H176" s="481"/>
      <c r="I176" s="475"/>
      <c r="J176" s="481"/>
      <c r="K176" s="475"/>
      <c r="L176" s="481"/>
      <c r="M176" s="475"/>
      <c r="N176" s="481"/>
      <c r="O176" s="475"/>
      <c r="P176" s="481"/>
      <c r="Q176" s="475"/>
      <c r="R176" s="481"/>
      <c r="S176" s="475"/>
      <c r="T176" s="481"/>
      <c r="U176" s="475"/>
      <c r="V176" s="481"/>
      <c r="W176" s="475"/>
      <c r="X176" s="481"/>
      <c r="Y176" s="475"/>
      <c r="Z176" s="481"/>
      <c r="AA176" s="475"/>
      <c r="AB176" s="481"/>
      <c r="AC176" s="475"/>
      <c r="AF176" s="476"/>
      <c r="AG176" s="477"/>
      <c r="AH176" s="477"/>
      <c r="AI176" s="477"/>
      <c r="AJ176" s="477"/>
      <c r="AK176" s="478"/>
    </row>
    <row r="177" spans="1:37">
      <c r="A177" s="469"/>
      <c r="B177" s="452" t="s">
        <v>182</v>
      </c>
      <c r="C177" s="452"/>
      <c r="D177" s="452" t="s">
        <v>182</v>
      </c>
      <c r="E177" s="452"/>
      <c r="F177" s="452" t="s">
        <v>115</v>
      </c>
      <c r="G177" s="452"/>
      <c r="H177" s="452" t="s">
        <v>242</v>
      </c>
      <c r="I177" s="452"/>
      <c r="J177" s="452" t="s">
        <v>119</v>
      </c>
      <c r="K177" s="452"/>
      <c r="L177" s="452" t="s">
        <v>182</v>
      </c>
      <c r="M177" s="452"/>
      <c r="N177" s="452" t="s">
        <v>185</v>
      </c>
      <c r="O177" s="452"/>
      <c r="P177" s="452" t="s">
        <v>182</v>
      </c>
      <c r="Q177" s="452"/>
      <c r="R177" s="452" t="s">
        <v>185</v>
      </c>
      <c r="S177" s="452"/>
      <c r="T177" s="452" t="s">
        <v>242</v>
      </c>
      <c r="U177" s="452"/>
      <c r="V177" s="452" t="s">
        <v>115</v>
      </c>
      <c r="W177" s="452"/>
      <c r="X177" s="452" t="s">
        <v>185</v>
      </c>
      <c r="Y177" s="452"/>
      <c r="Z177" s="452" t="s">
        <v>125</v>
      </c>
      <c r="AA177" s="452"/>
      <c r="AB177" s="452" t="s">
        <v>248</v>
      </c>
      <c r="AC177" s="475"/>
      <c r="AF177" s="476"/>
      <c r="AG177" s="477"/>
      <c r="AH177" s="477"/>
      <c r="AI177" s="477"/>
      <c r="AJ177" s="477"/>
      <c r="AK177" s="478"/>
    </row>
    <row r="178" spans="1:37">
      <c r="A178" s="469"/>
      <c r="B178" s="452"/>
      <c r="C178" s="452"/>
      <c r="D178" s="452"/>
      <c r="E178" s="452"/>
      <c r="F178" s="452"/>
      <c r="G178" s="452"/>
      <c r="H178" s="452"/>
      <c r="I178" s="452"/>
      <c r="J178" s="452"/>
      <c r="K178" s="452"/>
      <c r="L178" s="452"/>
      <c r="M178" s="452"/>
      <c r="N178" s="452"/>
      <c r="O178" s="452"/>
      <c r="P178" s="452"/>
      <c r="Q178" s="452"/>
      <c r="R178" s="452"/>
      <c r="S178" s="452"/>
      <c r="T178" s="452"/>
      <c r="U178" s="452"/>
      <c r="V178" s="452"/>
      <c r="W178" s="452"/>
      <c r="X178" s="452" t="s">
        <v>1277</v>
      </c>
      <c r="Y178" s="452"/>
      <c r="Z178" s="452"/>
      <c r="AA178" s="452"/>
      <c r="AB178" s="452"/>
      <c r="AC178" s="475"/>
      <c r="AF178" s="476"/>
      <c r="AG178" s="477"/>
      <c r="AH178" s="477"/>
      <c r="AI178" s="477"/>
      <c r="AJ178" s="477"/>
      <c r="AK178" s="478"/>
    </row>
    <row r="179" spans="1:37">
      <c r="A179" s="469"/>
      <c r="C179" s="475"/>
      <c r="E179" s="475"/>
      <c r="G179" s="475"/>
      <c r="I179" s="475"/>
      <c r="K179" s="475"/>
      <c r="M179" s="475"/>
      <c r="O179" s="475"/>
      <c r="Q179" s="475"/>
      <c r="S179" s="475"/>
      <c r="U179" s="475"/>
      <c r="W179" s="475"/>
      <c r="Y179" s="475"/>
      <c r="AA179" s="475"/>
      <c r="AC179" s="475"/>
      <c r="AF179" s="476"/>
      <c r="AG179" s="477"/>
      <c r="AH179" s="477"/>
      <c r="AI179" s="477"/>
      <c r="AJ179" s="477"/>
      <c r="AK179" s="478"/>
    </row>
    <row r="180" spans="1:37" ht="21.75" customHeight="1">
      <c r="A180" s="469"/>
      <c r="B180" s="470" t="s">
        <v>385</v>
      </c>
      <c r="C180" s="445"/>
      <c r="D180" s="470" t="s">
        <v>386</v>
      </c>
      <c r="E180" s="445"/>
      <c r="F180" s="470" t="s">
        <v>257</v>
      </c>
      <c r="G180" s="445"/>
      <c r="H180" s="470" t="s">
        <v>387</v>
      </c>
      <c r="I180" s="445"/>
      <c r="J180" s="470" t="s">
        <v>267</v>
      </c>
      <c r="K180" s="445"/>
      <c r="L180" s="470" t="s">
        <v>268</v>
      </c>
      <c r="M180" s="445"/>
      <c r="N180" s="470" t="s">
        <v>269</v>
      </c>
      <c r="O180" s="445"/>
      <c r="P180" s="470" t="s">
        <v>227</v>
      </c>
      <c r="Q180" s="445"/>
      <c r="R180" s="470" t="s">
        <v>271</v>
      </c>
      <c r="S180" s="445"/>
      <c r="T180" s="470" t="s">
        <v>391</v>
      </c>
      <c r="U180" s="445"/>
      <c r="V180" s="470" t="s">
        <v>392</v>
      </c>
      <c r="W180" s="445"/>
      <c r="X180" s="470" t="s">
        <v>393</v>
      </c>
      <c r="Y180" s="445"/>
      <c r="Z180" s="470" t="s">
        <v>394</v>
      </c>
      <c r="AA180" s="445"/>
      <c r="AB180" s="470" t="s">
        <v>225</v>
      </c>
      <c r="AC180" s="475"/>
      <c r="AF180" s="476"/>
      <c r="AG180" s="477"/>
      <c r="AH180" s="477"/>
      <c r="AI180" s="477"/>
      <c r="AJ180" s="477"/>
      <c r="AK180" s="478"/>
    </row>
    <row r="181" spans="1:37">
      <c r="A181" s="469"/>
      <c r="B181" s="474"/>
      <c r="C181" s="452"/>
      <c r="D181" s="474"/>
      <c r="E181" s="475"/>
      <c r="F181" s="474"/>
      <c r="G181" s="475"/>
      <c r="H181" s="474"/>
      <c r="I181" s="475"/>
      <c r="J181" s="474"/>
      <c r="K181" s="475"/>
      <c r="L181" s="474"/>
      <c r="M181" s="475"/>
      <c r="N181" s="474"/>
      <c r="O181" s="475"/>
      <c r="P181" s="474"/>
      <c r="Q181" s="475"/>
      <c r="R181" s="474"/>
      <c r="S181" s="475"/>
      <c r="T181" s="474"/>
      <c r="U181" s="475"/>
      <c r="V181" s="474"/>
      <c r="W181" s="475"/>
      <c r="X181" s="474"/>
      <c r="Y181" s="475"/>
      <c r="Z181" s="474"/>
      <c r="AA181" s="475"/>
      <c r="AB181" s="474"/>
      <c r="AC181" s="475"/>
      <c r="AF181" s="472" t="s">
        <v>1191</v>
      </c>
      <c r="AG181" s="472" t="s">
        <v>354</v>
      </c>
      <c r="AH181" s="472" t="s">
        <v>1192</v>
      </c>
      <c r="AI181" s="472" t="s">
        <v>1193</v>
      </c>
      <c r="AJ181" s="472" t="s">
        <v>303</v>
      </c>
      <c r="AK181" s="473" t="s">
        <v>1194</v>
      </c>
    </row>
    <row r="182" spans="1:37" ht="12.5" thickBot="1">
      <c r="A182" s="469"/>
      <c r="B182" s="446"/>
      <c r="C182" s="475"/>
      <c r="D182" s="446"/>
      <c r="E182" s="475"/>
      <c r="F182" s="446"/>
      <c r="G182" s="475"/>
      <c r="H182" s="446"/>
      <c r="I182" s="475"/>
      <c r="J182" s="446"/>
      <c r="K182" s="475"/>
      <c r="L182" s="446"/>
      <c r="M182" s="475"/>
      <c r="N182" s="446"/>
      <c r="O182" s="475"/>
      <c r="P182" s="446"/>
      <c r="Q182" s="475"/>
      <c r="R182" s="446"/>
      <c r="S182" s="475"/>
      <c r="T182" s="446"/>
      <c r="U182" s="475"/>
      <c r="V182" s="446"/>
      <c r="W182" s="475"/>
      <c r="X182" s="446"/>
      <c r="Y182" s="475"/>
      <c r="Z182" s="446"/>
      <c r="AA182" s="475"/>
      <c r="AB182" s="446"/>
      <c r="AC182" s="475"/>
      <c r="AF182" s="476"/>
      <c r="AG182" s="477"/>
      <c r="AH182" s="477"/>
      <c r="AI182" s="477"/>
      <c r="AJ182" s="477"/>
      <c r="AK182" s="478"/>
    </row>
    <row r="183" spans="1:37" ht="42.75" customHeight="1" thickBot="1">
      <c r="A183" s="469"/>
      <c r="B183" s="448"/>
      <c r="C183" s="479">
        <v>353.05200000000002</v>
      </c>
      <c r="D183" s="448"/>
      <c r="E183" s="479">
        <v>441.05500000000001</v>
      </c>
      <c r="F183" s="449"/>
      <c r="G183" s="479">
        <v>387.495</v>
      </c>
      <c r="H183" s="448"/>
      <c r="I183" s="479">
        <v>372.62700000000001</v>
      </c>
      <c r="J183" s="448"/>
      <c r="K183" s="479">
        <v>415.30399999999997</v>
      </c>
      <c r="L183" s="449"/>
      <c r="M183" s="479">
        <v>424.584</v>
      </c>
      <c r="N183" s="449"/>
      <c r="O183" s="479">
        <v>391.70400000000001</v>
      </c>
      <c r="P183" s="449"/>
      <c r="Q183" s="479">
        <v>410.46600000000001</v>
      </c>
      <c r="R183" s="449"/>
      <c r="S183" s="479">
        <v>385.541</v>
      </c>
      <c r="T183" s="448"/>
      <c r="U183" s="479">
        <v>418.31299999999999</v>
      </c>
      <c r="V183" s="449"/>
      <c r="W183" s="479">
        <v>421.47300000000001</v>
      </c>
      <c r="X183" s="449"/>
      <c r="Y183" s="479">
        <v>401.97899999999998</v>
      </c>
      <c r="Z183" s="570" t="s">
        <v>228</v>
      </c>
      <c r="AA183" s="479">
        <v>429.37900000000002</v>
      </c>
      <c r="AB183" s="449"/>
      <c r="AC183" s="479">
        <v>403.83199999999999</v>
      </c>
      <c r="AF183" s="472">
        <v>14</v>
      </c>
      <c r="AG183" s="472">
        <v>2</v>
      </c>
      <c r="AH183" s="472">
        <v>2</v>
      </c>
      <c r="AI183" s="472"/>
      <c r="AJ183" s="472"/>
      <c r="AK183" s="473"/>
    </row>
    <row r="184" spans="1:37" ht="12.5" thickBot="1">
      <c r="A184" s="469"/>
      <c r="B184" s="481"/>
      <c r="C184" s="475"/>
      <c r="D184" s="481"/>
      <c r="E184" s="475"/>
      <c r="F184" s="481"/>
      <c r="G184" s="475"/>
      <c r="H184" s="481"/>
      <c r="I184" s="475"/>
      <c r="J184" s="481"/>
      <c r="K184" s="475"/>
      <c r="L184" s="481"/>
      <c r="M184" s="475"/>
      <c r="N184" s="481"/>
      <c r="O184" s="475"/>
      <c r="P184" s="481"/>
      <c r="Q184" s="475"/>
      <c r="R184" s="481"/>
      <c r="S184" s="475"/>
      <c r="T184" s="481"/>
      <c r="U184" s="475"/>
      <c r="V184" s="481"/>
      <c r="W184" s="475"/>
      <c r="X184" s="481"/>
      <c r="Y184" s="475"/>
      <c r="Z184" s="481"/>
      <c r="AA184" s="475"/>
      <c r="AB184" s="481"/>
      <c r="AC184" s="475"/>
      <c r="AF184" s="476"/>
      <c r="AG184" s="477"/>
      <c r="AH184" s="477"/>
      <c r="AI184" s="477"/>
      <c r="AJ184" s="477"/>
      <c r="AK184" s="478"/>
    </row>
    <row r="185" spans="1:37">
      <c r="A185" s="469"/>
      <c r="B185" s="452" t="s">
        <v>182</v>
      </c>
      <c r="C185" s="452"/>
      <c r="D185" s="452" t="s">
        <v>188</v>
      </c>
      <c r="E185" s="452"/>
      <c r="F185" s="452" t="s">
        <v>248</v>
      </c>
      <c r="G185" s="452"/>
      <c r="H185" s="452" t="s">
        <v>132</v>
      </c>
      <c r="I185" s="452"/>
      <c r="J185" s="452" t="s">
        <v>182</v>
      </c>
      <c r="K185" s="452"/>
      <c r="L185" s="452" t="s">
        <v>185</v>
      </c>
      <c r="M185" s="452"/>
      <c r="N185" s="452" t="s">
        <v>182</v>
      </c>
      <c r="O185" s="452"/>
      <c r="P185" s="452" t="s">
        <v>182</v>
      </c>
      <c r="Q185" s="452"/>
      <c r="R185" s="564" t="s">
        <v>242</v>
      </c>
      <c r="S185" s="452"/>
      <c r="T185" s="564" t="s">
        <v>188</v>
      </c>
      <c r="U185" s="452"/>
      <c r="V185" s="452" t="s">
        <v>242</v>
      </c>
      <c r="W185" s="452"/>
      <c r="X185" s="452" t="s">
        <v>182</v>
      </c>
      <c r="Y185" s="452"/>
      <c r="Z185" s="452" t="s">
        <v>115</v>
      </c>
      <c r="AA185" s="452"/>
      <c r="AB185" s="452" t="s">
        <v>185</v>
      </c>
      <c r="AC185" s="475"/>
      <c r="AF185" s="476"/>
      <c r="AG185" s="477"/>
      <c r="AH185" s="477"/>
      <c r="AI185" s="477"/>
      <c r="AJ185" s="477"/>
      <c r="AK185" s="478"/>
    </row>
    <row r="186" spans="1:37">
      <c r="A186" s="469"/>
      <c r="B186" s="452" t="s">
        <v>1277</v>
      </c>
      <c r="C186" s="452"/>
      <c r="D186" s="452" t="s">
        <v>1277</v>
      </c>
      <c r="E186" s="452"/>
      <c r="F186" s="452"/>
      <c r="G186" s="452"/>
      <c r="H186" s="452"/>
      <c r="I186" s="452"/>
      <c r="J186" s="452" t="s">
        <v>1276</v>
      </c>
      <c r="K186" s="452"/>
      <c r="L186" s="452"/>
      <c r="M186" s="452"/>
      <c r="N186" s="452"/>
      <c r="O186" s="452"/>
      <c r="P186" s="452"/>
      <c r="Q186" s="452"/>
      <c r="R186" s="452"/>
      <c r="S186" s="452"/>
      <c r="T186" s="452"/>
      <c r="U186" s="452"/>
      <c r="V186" s="452"/>
      <c r="W186" s="452"/>
      <c r="X186" s="452"/>
      <c r="Y186" s="452"/>
      <c r="Z186" s="452"/>
      <c r="AA186" s="452"/>
      <c r="AB186" s="452"/>
      <c r="AC186" s="475"/>
      <c r="AF186" s="476"/>
      <c r="AG186" s="477"/>
      <c r="AH186" s="477"/>
      <c r="AI186" s="477"/>
      <c r="AJ186" s="477"/>
      <c r="AK186" s="478"/>
    </row>
    <row r="187" spans="1:37">
      <c r="A187" s="469"/>
      <c r="C187" s="475"/>
      <c r="E187" s="475"/>
      <c r="G187" s="475"/>
      <c r="I187" s="475"/>
      <c r="K187" s="475"/>
      <c r="M187" s="475"/>
      <c r="O187" s="475"/>
      <c r="Q187" s="475"/>
      <c r="S187" s="475"/>
      <c r="U187" s="475"/>
      <c r="W187" s="475"/>
      <c r="Y187" s="475"/>
      <c r="AA187" s="475"/>
      <c r="AC187" s="475"/>
      <c r="AF187" s="476"/>
      <c r="AG187" s="477"/>
      <c r="AH187" s="477"/>
      <c r="AI187" s="477"/>
      <c r="AJ187" s="477"/>
      <c r="AK187" s="478"/>
    </row>
    <row r="188" spans="1:37">
      <c r="A188" s="469"/>
      <c r="B188" s="470" t="s">
        <v>395</v>
      </c>
      <c r="C188" s="445"/>
      <c r="D188" s="470" t="s">
        <v>396</v>
      </c>
      <c r="E188" s="445"/>
      <c r="F188" s="470" t="s">
        <v>258</v>
      </c>
      <c r="G188" s="445"/>
      <c r="H188" s="470" t="s">
        <v>398</v>
      </c>
      <c r="I188" s="445"/>
      <c r="J188" s="470" t="s">
        <v>262</v>
      </c>
      <c r="K188" s="445"/>
      <c r="L188" s="470" t="s">
        <v>244</v>
      </c>
      <c r="M188" s="445"/>
      <c r="N188" s="470" t="s">
        <v>399</v>
      </c>
      <c r="O188" s="445"/>
      <c r="P188" s="470" t="s">
        <v>277</v>
      </c>
      <c r="Q188" s="445"/>
      <c r="R188" s="470" t="s">
        <v>280</v>
      </c>
      <c r="S188" s="445"/>
      <c r="T188" s="470" t="s">
        <v>400</v>
      </c>
      <c r="U188" s="445"/>
      <c r="V188" s="470" t="s">
        <v>401</v>
      </c>
      <c r="W188" s="445"/>
      <c r="X188" s="470" t="s">
        <v>402</v>
      </c>
      <c r="Y188" s="445"/>
      <c r="Z188" s="470" t="s">
        <v>403</v>
      </c>
      <c r="AA188" s="445"/>
      <c r="AB188" s="470" t="s">
        <v>404</v>
      </c>
      <c r="AC188" s="475"/>
      <c r="AF188" s="476"/>
      <c r="AG188" s="477"/>
      <c r="AH188" s="477"/>
      <c r="AI188" s="477"/>
      <c r="AJ188" s="477"/>
      <c r="AK188" s="478"/>
    </row>
    <row r="189" spans="1:37">
      <c r="A189" s="469"/>
      <c r="B189" s="474"/>
      <c r="C189" s="475"/>
      <c r="D189" s="474"/>
      <c r="E189" s="475"/>
      <c r="F189" s="474"/>
      <c r="G189" s="475"/>
      <c r="H189" s="474"/>
      <c r="I189" s="475"/>
      <c r="J189" s="474"/>
      <c r="K189" s="452"/>
      <c r="L189" s="474"/>
      <c r="M189" s="475"/>
      <c r="N189" s="474"/>
      <c r="O189" s="475"/>
      <c r="P189" s="474"/>
      <c r="Q189" s="452"/>
      <c r="R189" s="474"/>
      <c r="S189" s="452"/>
      <c r="T189" s="474"/>
      <c r="U189" s="475"/>
      <c r="V189" s="474"/>
      <c r="W189" s="475"/>
      <c r="X189" s="474"/>
      <c r="Y189" s="475"/>
      <c r="Z189" s="474"/>
      <c r="AA189" s="475"/>
      <c r="AB189" s="474"/>
      <c r="AC189" s="475"/>
      <c r="AF189" s="472" t="s">
        <v>1191</v>
      </c>
      <c r="AG189" s="472" t="s">
        <v>354</v>
      </c>
      <c r="AH189" s="472" t="s">
        <v>1192</v>
      </c>
      <c r="AI189" s="472" t="s">
        <v>1193</v>
      </c>
      <c r="AJ189" s="472" t="s">
        <v>303</v>
      </c>
      <c r="AK189" s="473" t="s">
        <v>1194</v>
      </c>
    </row>
    <row r="190" spans="1:37" ht="12.5" thickBot="1">
      <c r="A190" s="469"/>
      <c r="B190" s="446"/>
      <c r="C190" s="475"/>
      <c r="D190" s="446"/>
      <c r="E190" s="475"/>
      <c r="F190" s="446"/>
      <c r="G190" s="475"/>
      <c r="H190" s="446"/>
      <c r="I190" s="475"/>
      <c r="J190" s="446"/>
      <c r="K190" s="475"/>
      <c r="L190" s="446"/>
      <c r="M190" s="475"/>
      <c r="N190" s="446"/>
      <c r="O190" s="475"/>
      <c r="P190" s="446"/>
      <c r="Q190" s="475"/>
      <c r="R190" s="446"/>
      <c r="S190" s="475"/>
      <c r="T190" s="446"/>
      <c r="U190" s="475"/>
      <c r="V190" s="446"/>
      <c r="W190" s="475"/>
      <c r="X190" s="446"/>
      <c r="Y190" s="475"/>
      <c r="Z190" s="446"/>
      <c r="AA190" s="475"/>
      <c r="AB190" s="446"/>
      <c r="AC190" s="475"/>
      <c r="AF190" s="476"/>
      <c r="AG190" s="477"/>
      <c r="AH190" s="477"/>
      <c r="AI190" s="477"/>
      <c r="AJ190" s="477"/>
      <c r="AK190" s="478"/>
    </row>
    <row r="191" spans="1:37" ht="42.75" customHeight="1" thickBot="1">
      <c r="A191" s="469"/>
      <c r="B191" s="570"/>
      <c r="C191" s="479">
        <v>384.63</v>
      </c>
      <c r="D191" s="448"/>
      <c r="E191" s="479">
        <v>380.68200000000002</v>
      </c>
      <c r="F191" s="449"/>
      <c r="G191" s="479">
        <v>354.52600000000001</v>
      </c>
      <c r="H191" s="448" t="s">
        <v>1376</v>
      </c>
      <c r="I191" s="479">
        <v>405.57400000000001</v>
      </c>
      <c r="J191" s="449"/>
      <c r="K191" s="479">
        <v>416.87400000000002</v>
      </c>
      <c r="L191" s="449"/>
      <c r="M191" s="479">
        <v>380.76600000000002</v>
      </c>
      <c r="N191" s="448"/>
      <c r="O191" s="479">
        <v>411.81400000000002</v>
      </c>
      <c r="P191" s="449"/>
      <c r="Q191" s="484">
        <v>392.08</v>
      </c>
      <c r="R191" s="449"/>
      <c r="S191" s="479">
        <v>296.87299999999999</v>
      </c>
      <c r="T191" s="448"/>
      <c r="U191" s="479">
        <v>412.399</v>
      </c>
      <c r="V191" s="448"/>
      <c r="W191" s="479">
        <v>382.173</v>
      </c>
      <c r="X191" s="448"/>
      <c r="Y191" s="479">
        <v>452.73700000000002</v>
      </c>
      <c r="Z191" s="448"/>
      <c r="AA191" s="479">
        <v>420.20699999999999</v>
      </c>
      <c r="AB191" s="448"/>
      <c r="AC191" s="479">
        <v>395.01100000000002</v>
      </c>
      <c r="AF191" s="472">
        <v>14</v>
      </c>
      <c r="AG191" s="472">
        <v>5</v>
      </c>
      <c r="AH191" s="472"/>
      <c r="AI191" s="472"/>
      <c r="AJ191" s="472"/>
      <c r="AK191" s="473"/>
    </row>
    <row r="192" spans="1:37" ht="12.5" thickBot="1">
      <c r="A192" s="469"/>
      <c r="B192" s="576" t="s">
        <v>228</v>
      </c>
      <c r="C192" s="475"/>
      <c r="D192" s="576" t="s">
        <v>228</v>
      </c>
      <c r="E192" s="475"/>
      <c r="F192" s="481"/>
      <c r="G192" s="475"/>
      <c r="H192" s="481"/>
      <c r="I192" s="475"/>
      <c r="J192" s="481"/>
      <c r="K192" s="475"/>
      <c r="L192" s="481"/>
      <c r="M192" s="475"/>
      <c r="N192" s="481"/>
      <c r="O192" s="475"/>
      <c r="P192" s="481"/>
      <c r="Q192" s="475"/>
      <c r="R192" s="481"/>
      <c r="S192" s="475"/>
      <c r="T192" s="481"/>
      <c r="U192" s="475"/>
      <c r="V192" s="481"/>
      <c r="W192" s="475"/>
      <c r="X192" s="481"/>
      <c r="Y192" s="475"/>
      <c r="Z192" s="481"/>
      <c r="AA192" s="475"/>
      <c r="AB192" s="481"/>
      <c r="AF192" s="476"/>
      <c r="AG192" s="477"/>
      <c r="AH192" s="477"/>
      <c r="AI192" s="477"/>
      <c r="AJ192" s="477"/>
      <c r="AK192" s="478"/>
    </row>
    <row r="193" spans="1:37">
      <c r="A193" s="469"/>
      <c r="B193" s="452" t="s">
        <v>128</v>
      </c>
      <c r="C193" s="452"/>
      <c r="D193" s="452" t="s">
        <v>115</v>
      </c>
      <c r="E193" s="452"/>
      <c r="F193" s="452" t="s">
        <v>182</v>
      </c>
      <c r="G193" s="452"/>
      <c r="H193" s="452" t="s">
        <v>125</v>
      </c>
      <c r="I193" s="452"/>
      <c r="J193" s="452" t="s">
        <v>242</v>
      </c>
      <c r="K193" s="452"/>
      <c r="L193" s="452" t="s">
        <v>182</v>
      </c>
      <c r="M193" s="452"/>
      <c r="N193" s="452" t="s">
        <v>115</v>
      </c>
      <c r="O193" s="452"/>
      <c r="P193" s="452" t="s">
        <v>185</v>
      </c>
      <c r="Q193" s="452"/>
      <c r="R193" s="452" t="s">
        <v>248</v>
      </c>
      <c r="S193" s="452"/>
      <c r="T193" s="452" t="s">
        <v>115</v>
      </c>
      <c r="U193" s="452"/>
      <c r="V193" s="452" t="s">
        <v>115</v>
      </c>
      <c r="W193" s="452"/>
      <c r="X193" s="452" t="s">
        <v>248</v>
      </c>
      <c r="Y193" s="452"/>
      <c r="Z193" s="452" t="s">
        <v>115</v>
      </c>
      <c r="AA193" s="452"/>
      <c r="AB193" s="452" t="s">
        <v>248</v>
      </c>
      <c r="AF193" s="476"/>
      <c r="AG193" s="477"/>
      <c r="AH193" s="477"/>
      <c r="AI193" s="477"/>
      <c r="AJ193" s="477"/>
      <c r="AK193" s="478"/>
    </row>
    <row r="194" spans="1:37">
      <c r="A194" s="469"/>
      <c r="B194" s="452"/>
      <c r="C194" s="452"/>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c r="Z194" s="452"/>
      <c r="AA194" s="452"/>
      <c r="AB194" s="452"/>
      <c r="AF194" s="476"/>
      <c r="AG194" s="477"/>
      <c r="AH194" s="477"/>
      <c r="AI194" s="477"/>
      <c r="AJ194" s="477"/>
      <c r="AK194" s="478"/>
    </row>
    <row r="195" spans="1:37">
      <c r="A195" s="469"/>
      <c r="C195" s="475"/>
      <c r="E195" s="475"/>
      <c r="G195" s="475"/>
      <c r="I195" s="475"/>
      <c r="K195" s="475"/>
      <c r="M195" s="475"/>
      <c r="O195" s="475"/>
      <c r="Q195" s="475"/>
      <c r="S195" s="475"/>
      <c r="U195" s="475"/>
      <c r="W195" s="475"/>
      <c r="Y195" s="475"/>
      <c r="AA195" s="475"/>
      <c r="AF195" s="476"/>
      <c r="AG195" s="477"/>
      <c r="AH195" s="477"/>
      <c r="AI195" s="477"/>
      <c r="AJ195" s="477"/>
      <c r="AK195" s="478"/>
    </row>
    <row r="196" spans="1:37" ht="25.5" customHeight="1">
      <c r="A196" s="469"/>
      <c r="B196" s="470" t="s">
        <v>405</v>
      </c>
      <c r="C196" s="445"/>
      <c r="D196" s="470" t="s">
        <v>406</v>
      </c>
      <c r="E196" s="445"/>
      <c r="F196" s="470" t="s">
        <v>290</v>
      </c>
      <c r="G196" s="445"/>
      <c r="H196" s="470" t="s">
        <v>407</v>
      </c>
      <c r="I196" s="445"/>
      <c r="J196" s="470" t="s">
        <v>408</v>
      </c>
      <c r="K196" s="445"/>
      <c r="L196" s="470" t="s">
        <v>409</v>
      </c>
      <c r="M196" s="445"/>
      <c r="N196" s="470" t="s">
        <v>410</v>
      </c>
      <c r="O196" s="445"/>
      <c r="P196" s="470" t="s">
        <v>411</v>
      </c>
      <c r="Q196" s="445"/>
      <c r="R196" s="470" t="s">
        <v>412</v>
      </c>
      <c r="S196" s="445"/>
      <c r="T196" s="470" t="s">
        <v>414</v>
      </c>
      <c r="U196" s="445"/>
      <c r="V196" s="470" t="s">
        <v>1280</v>
      </c>
      <c r="W196" s="445"/>
      <c r="X196" s="470" t="s">
        <v>217</v>
      </c>
      <c r="Y196" s="445"/>
      <c r="Z196" s="470" t="s">
        <v>416</v>
      </c>
      <c r="AA196" s="445"/>
      <c r="AB196" s="470" t="s">
        <v>294</v>
      </c>
      <c r="AF196" s="476"/>
      <c r="AG196" s="477"/>
      <c r="AH196" s="477"/>
      <c r="AI196" s="477"/>
      <c r="AJ196" s="477"/>
      <c r="AK196" s="478"/>
    </row>
    <row r="197" spans="1:37">
      <c r="A197" s="469"/>
      <c r="B197" s="474"/>
      <c r="C197" s="475"/>
      <c r="D197" s="474"/>
      <c r="E197" s="475"/>
      <c r="F197" s="474"/>
      <c r="G197" s="475"/>
      <c r="H197" s="474"/>
      <c r="I197" s="475"/>
      <c r="J197" s="474"/>
      <c r="K197" s="475"/>
      <c r="L197" s="474"/>
      <c r="M197" s="475"/>
      <c r="N197" s="474"/>
      <c r="O197" s="475"/>
      <c r="P197" s="474"/>
      <c r="Q197" s="475"/>
      <c r="R197" s="474"/>
      <c r="S197" s="475"/>
      <c r="T197" s="474"/>
      <c r="U197" s="475"/>
      <c r="V197" s="474"/>
      <c r="W197" s="475"/>
      <c r="X197" s="474"/>
      <c r="Y197" s="475"/>
      <c r="Z197" s="474"/>
      <c r="AA197" s="475"/>
      <c r="AB197" s="474"/>
      <c r="AF197" s="472" t="s">
        <v>1191</v>
      </c>
      <c r="AG197" s="472" t="s">
        <v>354</v>
      </c>
      <c r="AH197" s="472" t="s">
        <v>1192</v>
      </c>
      <c r="AI197" s="472" t="s">
        <v>1193</v>
      </c>
      <c r="AJ197" s="472" t="s">
        <v>303</v>
      </c>
      <c r="AK197" s="473" t="s">
        <v>1194</v>
      </c>
    </row>
    <row r="198" spans="1:37" ht="12.5" thickBot="1">
      <c r="A198" s="469"/>
      <c r="B198" s="446"/>
      <c r="C198" s="475"/>
      <c r="D198" s="446"/>
      <c r="E198" s="475"/>
      <c r="F198" s="446"/>
      <c r="G198" s="475"/>
      <c r="H198" s="446"/>
      <c r="I198" s="475"/>
      <c r="J198" s="446"/>
      <c r="K198" s="475"/>
      <c r="L198" s="446"/>
      <c r="M198" s="475"/>
      <c r="N198" s="446"/>
      <c r="O198" s="475"/>
      <c r="P198" s="446"/>
      <c r="Q198" s="475"/>
      <c r="R198" s="446"/>
      <c r="S198" s="475"/>
      <c r="T198" s="446"/>
      <c r="U198" s="475"/>
      <c r="V198" s="446"/>
      <c r="W198" s="475"/>
      <c r="X198" s="446"/>
      <c r="Y198" s="475"/>
      <c r="Z198" s="446"/>
      <c r="AA198" s="475"/>
      <c r="AB198" s="446"/>
      <c r="AF198" s="476"/>
      <c r="AG198" s="477"/>
      <c r="AH198" s="477"/>
      <c r="AI198" s="477"/>
      <c r="AJ198" s="477"/>
      <c r="AK198" s="478"/>
    </row>
    <row r="199" spans="1:37" ht="43.5" customHeight="1" thickBot="1">
      <c r="A199" s="469"/>
      <c r="B199" s="448"/>
      <c r="C199" s="479">
        <v>386.73500000000001</v>
      </c>
      <c r="D199" s="449"/>
      <c r="E199" s="479">
        <v>378.62400000000002</v>
      </c>
      <c r="F199" s="449"/>
      <c r="G199" s="479">
        <v>350.21499999999997</v>
      </c>
      <c r="H199" s="448"/>
      <c r="I199" s="479">
        <v>357.90600000000001</v>
      </c>
      <c r="J199" s="448"/>
      <c r="K199" s="479">
        <v>237.476</v>
      </c>
      <c r="L199" s="448"/>
      <c r="M199" s="479">
        <v>440.03</v>
      </c>
      <c r="N199" s="448"/>
      <c r="O199" s="479">
        <v>503.74</v>
      </c>
      <c r="P199" s="448" t="s">
        <v>1376</v>
      </c>
      <c r="Q199" s="479">
        <v>437</v>
      </c>
      <c r="R199" s="448" t="s">
        <v>390</v>
      </c>
      <c r="S199" s="479">
        <v>430</v>
      </c>
      <c r="T199" s="449"/>
      <c r="U199" s="479">
        <v>409.27300000000002</v>
      </c>
      <c r="V199" s="449"/>
      <c r="W199" s="479">
        <v>312.44600000000003</v>
      </c>
      <c r="X199" s="449"/>
      <c r="Y199" s="479">
        <v>314.24700000000001</v>
      </c>
      <c r="Z199" s="449"/>
      <c r="AA199" s="479">
        <v>361.96</v>
      </c>
      <c r="AB199" s="449"/>
      <c r="AC199" s="485">
        <v>329.48599999999999</v>
      </c>
      <c r="AF199" s="472">
        <v>14</v>
      </c>
      <c r="AG199" s="472">
        <v>2</v>
      </c>
      <c r="AH199" s="472">
        <v>2</v>
      </c>
      <c r="AI199" s="472"/>
      <c r="AJ199" s="472"/>
      <c r="AK199" s="473"/>
    </row>
    <row r="200" spans="1:37" ht="12.5" thickBot="1">
      <c r="A200" s="469"/>
      <c r="B200" s="481"/>
      <c r="C200" s="475"/>
      <c r="D200" s="481"/>
      <c r="E200" s="475"/>
      <c r="F200" s="481"/>
      <c r="G200" s="475"/>
      <c r="H200" s="481"/>
      <c r="I200" s="475"/>
      <c r="J200" s="481"/>
      <c r="K200" s="475"/>
      <c r="L200" s="481"/>
      <c r="M200" s="475"/>
      <c r="N200" s="481"/>
      <c r="O200" s="475"/>
      <c r="P200" s="481"/>
      <c r="Q200" s="475"/>
      <c r="R200" s="481"/>
      <c r="S200" s="475"/>
      <c r="T200" s="481"/>
      <c r="U200" s="475"/>
      <c r="V200" s="481"/>
      <c r="W200" s="475"/>
      <c r="X200" s="481"/>
      <c r="Y200" s="475"/>
      <c r="Z200" s="481"/>
      <c r="AA200" s="475"/>
      <c r="AB200" s="481"/>
      <c r="AF200" s="476"/>
      <c r="AG200" s="477"/>
      <c r="AH200" s="477"/>
      <c r="AI200" s="477"/>
      <c r="AJ200" s="477"/>
      <c r="AK200" s="478"/>
    </row>
    <row r="201" spans="1:37">
      <c r="A201" s="469"/>
      <c r="B201" s="452" t="s">
        <v>125</v>
      </c>
      <c r="C201" s="452"/>
      <c r="D201" s="452" t="s">
        <v>182</v>
      </c>
      <c r="E201" s="452"/>
      <c r="F201" s="452" t="s">
        <v>182</v>
      </c>
      <c r="G201" s="452"/>
      <c r="H201" s="452" t="s">
        <v>182</v>
      </c>
      <c r="I201" s="452"/>
      <c r="J201" s="452" t="s">
        <v>115</v>
      </c>
      <c r="K201" s="452"/>
      <c r="L201" s="452" t="s">
        <v>115</v>
      </c>
      <c r="M201" s="452"/>
      <c r="N201" s="452" t="s">
        <v>167</v>
      </c>
      <c r="O201" s="452"/>
      <c r="P201" s="452" t="s">
        <v>167</v>
      </c>
      <c r="Q201" s="452"/>
      <c r="R201" s="452" t="s">
        <v>119</v>
      </c>
      <c r="S201" s="452"/>
      <c r="T201" s="452" t="s">
        <v>248</v>
      </c>
      <c r="U201" s="452"/>
      <c r="V201" s="452" t="s">
        <v>119</v>
      </c>
      <c r="W201" s="452"/>
      <c r="X201" s="452" t="s">
        <v>182</v>
      </c>
      <c r="Y201" s="452"/>
      <c r="Z201" s="452" t="s">
        <v>115</v>
      </c>
      <c r="AA201" s="452"/>
      <c r="AB201" s="452" t="s">
        <v>182</v>
      </c>
      <c r="AF201" s="476"/>
      <c r="AG201" s="477"/>
      <c r="AH201" s="477"/>
      <c r="AI201" s="477"/>
      <c r="AJ201" s="477"/>
      <c r="AK201" s="478"/>
    </row>
    <row r="202" spans="1:37">
      <c r="A202" s="469"/>
      <c r="B202" s="452"/>
      <c r="C202" s="452"/>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c r="Z202" s="452"/>
      <c r="AA202" s="452"/>
      <c r="AB202" s="452"/>
      <c r="AF202" s="476"/>
      <c r="AG202" s="477"/>
      <c r="AH202" s="477"/>
      <c r="AI202" s="477"/>
      <c r="AJ202" s="477"/>
      <c r="AK202" s="478"/>
    </row>
    <row r="203" spans="1:37">
      <c r="A203" s="469"/>
      <c r="C203" s="452"/>
      <c r="E203" s="452"/>
      <c r="G203" s="475"/>
      <c r="I203" s="475"/>
      <c r="K203" s="475"/>
      <c r="M203" s="475"/>
      <c r="O203" s="475"/>
      <c r="Q203" s="475"/>
      <c r="S203" s="475"/>
      <c r="U203" s="475"/>
      <c r="W203" s="475"/>
      <c r="Y203" s="475"/>
      <c r="AA203" s="475"/>
      <c r="AF203" s="476"/>
      <c r="AG203" s="477"/>
      <c r="AH203" s="477"/>
      <c r="AI203" s="477"/>
      <c r="AJ203" s="477"/>
      <c r="AK203" s="478"/>
    </row>
    <row r="204" spans="1:37">
      <c r="A204" s="469"/>
      <c r="B204" s="470" t="s">
        <v>276</v>
      </c>
      <c r="C204" s="445"/>
      <c r="D204" s="470" t="s">
        <v>417</v>
      </c>
      <c r="E204" s="445"/>
      <c r="F204" s="470" t="s">
        <v>418</v>
      </c>
      <c r="G204" s="445"/>
      <c r="H204" s="470" t="s">
        <v>419</v>
      </c>
      <c r="I204" s="445"/>
      <c r="J204" s="470" t="s">
        <v>169</v>
      </c>
      <c r="K204" s="445"/>
      <c r="L204" s="470" t="s">
        <v>1281</v>
      </c>
      <c r="M204" s="445"/>
      <c r="N204" s="470" t="s">
        <v>289</v>
      </c>
      <c r="O204" s="445"/>
      <c r="P204" s="470" t="s">
        <v>1282</v>
      </c>
      <c r="Q204" s="445"/>
      <c r="R204" s="470" t="s">
        <v>423</v>
      </c>
      <c r="S204" s="445"/>
      <c r="T204" s="470" t="s">
        <v>424</v>
      </c>
      <c r="U204" s="445"/>
      <c r="V204" s="470" t="s">
        <v>718</v>
      </c>
      <c r="W204" s="470"/>
      <c r="X204" s="470" t="s">
        <v>279</v>
      </c>
      <c r="Y204" s="470"/>
      <c r="Z204" s="470" t="s">
        <v>426</v>
      </c>
      <c r="AA204" s="470"/>
      <c r="AB204" s="470" t="s">
        <v>427</v>
      </c>
      <c r="AF204" s="476"/>
      <c r="AG204" s="477"/>
      <c r="AH204" s="477"/>
      <c r="AI204" s="477"/>
      <c r="AJ204" s="477"/>
      <c r="AK204" s="478"/>
    </row>
    <row r="205" spans="1:37">
      <c r="A205" s="469"/>
      <c r="B205" s="474"/>
      <c r="C205" s="475"/>
      <c r="D205" s="474"/>
      <c r="E205" s="475"/>
      <c r="F205" s="474"/>
      <c r="G205" s="475"/>
      <c r="H205" s="474"/>
      <c r="I205" s="475"/>
      <c r="J205" s="474"/>
      <c r="K205" s="475"/>
      <c r="L205" s="474"/>
      <c r="M205" s="475"/>
      <c r="N205" s="474"/>
      <c r="O205" s="475"/>
      <c r="P205" s="474"/>
      <c r="Q205" s="475"/>
      <c r="R205" s="474"/>
      <c r="S205" s="475"/>
      <c r="T205" s="474"/>
      <c r="U205" s="475"/>
      <c r="V205" s="474"/>
      <c r="W205" s="475"/>
      <c r="X205" s="474"/>
      <c r="Y205" s="475"/>
      <c r="Z205" s="474"/>
      <c r="AA205" s="475"/>
      <c r="AB205" s="474"/>
      <c r="AF205" s="472" t="s">
        <v>1191</v>
      </c>
      <c r="AG205" s="472" t="s">
        <v>354</v>
      </c>
      <c r="AH205" s="472" t="s">
        <v>1192</v>
      </c>
      <c r="AI205" s="472" t="s">
        <v>1193</v>
      </c>
      <c r="AJ205" s="472" t="s">
        <v>303</v>
      </c>
      <c r="AK205" s="473" t="s">
        <v>1194</v>
      </c>
    </row>
    <row r="206" spans="1:37" ht="12.5" thickBot="1">
      <c r="A206" s="469"/>
      <c r="B206" s="446"/>
      <c r="C206" s="475"/>
      <c r="D206" s="446"/>
      <c r="E206" s="475"/>
      <c r="F206" s="446"/>
      <c r="G206" s="475"/>
      <c r="H206" s="446"/>
      <c r="I206" s="475"/>
      <c r="J206" s="446"/>
      <c r="K206" s="475"/>
      <c r="L206" s="446"/>
      <c r="M206" s="475"/>
      <c r="N206" s="446"/>
      <c r="O206" s="475"/>
      <c r="P206" s="446"/>
      <c r="Q206" s="475"/>
      <c r="R206" s="446"/>
      <c r="S206" s="475"/>
      <c r="T206" s="446"/>
      <c r="U206" s="475"/>
      <c r="V206" s="446"/>
      <c r="W206" s="475"/>
      <c r="X206" s="446"/>
      <c r="Y206" s="475"/>
      <c r="Z206" s="446"/>
      <c r="AA206" s="475"/>
      <c r="AB206" s="446"/>
      <c r="AF206" s="476"/>
      <c r="AG206" s="477"/>
      <c r="AH206" s="477"/>
      <c r="AI206" s="477"/>
      <c r="AJ206" s="477"/>
      <c r="AK206" s="478"/>
    </row>
    <row r="207" spans="1:37" ht="42.75" customHeight="1" thickBot="1">
      <c r="A207" s="469"/>
      <c r="B207" s="449"/>
      <c r="C207" s="479">
        <v>371.327</v>
      </c>
      <c r="D207" s="449"/>
      <c r="E207" s="479">
        <v>417.91699999999997</v>
      </c>
      <c r="F207" s="448"/>
      <c r="G207" s="479">
        <v>376.988</v>
      </c>
      <c r="H207" s="448" t="s">
        <v>390</v>
      </c>
      <c r="I207" s="479">
        <v>343.79700000000003</v>
      </c>
      <c r="J207" s="449"/>
      <c r="K207" s="479">
        <v>318.69600000000003</v>
      </c>
      <c r="L207" s="449"/>
      <c r="M207" s="479">
        <v>308</v>
      </c>
      <c r="N207" s="449"/>
      <c r="O207" s="479">
        <v>324.87400000000002</v>
      </c>
      <c r="P207" s="448" t="s">
        <v>390</v>
      </c>
      <c r="Q207" s="479">
        <v>365.39100000000002</v>
      </c>
      <c r="R207" s="448"/>
      <c r="S207" s="479">
        <v>269.52499999999998</v>
      </c>
      <c r="T207" s="448"/>
      <c r="U207" s="479">
        <v>350.32600000000002</v>
      </c>
      <c r="V207" s="448"/>
      <c r="W207" s="479">
        <v>414</v>
      </c>
      <c r="X207" s="449"/>
      <c r="Y207" s="479">
        <v>424</v>
      </c>
      <c r="Z207" s="449"/>
      <c r="AA207" s="479">
        <v>405</v>
      </c>
      <c r="AB207" s="448"/>
      <c r="AC207" s="457">
        <v>426</v>
      </c>
      <c r="AF207" s="472">
        <v>14</v>
      </c>
      <c r="AG207" s="472">
        <v>4</v>
      </c>
      <c r="AH207" s="472">
        <v>2</v>
      </c>
      <c r="AI207" s="472"/>
      <c r="AJ207" s="472"/>
      <c r="AK207" s="473"/>
    </row>
    <row r="208" spans="1:37" ht="16.5" customHeight="1" thickBot="1">
      <c r="A208" s="469"/>
      <c r="B208" s="481"/>
      <c r="C208" s="475"/>
      <c r="D208" s="481"/>
      <c r="E208" s="475"/>
      <c r="F208" s="481"/>
      <c r="G208" s="475"/>
      <c r="H208" s="576" t="s">
        <v>228</v>
      </c>
      <c r="I208" s="475"/>
      <c r="J208" s="481"/>
      <c r="K208" s="475"/>
      <c r="L208" s="481"/>
      <c r="M208" s="475"/>
      <c r="N208" s="481"/>
      <c r="O208" s="475"/>
      <c r="P208" s="576" t="s">
        <v>228</v>
      </c>
      <c r="R208" s="481"/>
      <c r="T208" s="481"/>
      <c r="V208" s="481"/>
      <c r="X208" s="481"/>
      <c r="Z208" s="481"/>
      <c r="AB208" s="481"/>
      <c r="AF208" s="476"/>
      <c r="AG208" s="477"/>
      <c r="AH208" s="477"/>
      <c r="AI208" s="477"/>
      <c r="AJ208" s="477"/>
      <c r="AK208" s="478"/>
    </row>
    <row r="209" spans="1:37" ht="18" customHeight="1">
      <c r="A209" s="469"/>
      <c r="B209" s="452" t="s">
        <v>182</v>
      </c>
      <c r="C209" s="452"/>
      <c r="D209" s="452" t="s">
        <v>115</v>
      </c>
      <c r="E209" s="452"/>
      <c r="F209" s="452" t="s">
        <v>185</v>
      </c>
      <c r="G209" s="452"/>
      <c r="H209" s="452" t="s">
        <v>115</v>
      </c>
      <c r="I209" s="452"/>
      <c r="J209" s="452" t="s">
        <v>182</v>
      </c>
      <c r="K209" s="452"/>
      <c r="L209" s="452" t="s">
        <v>115</v>
      </c>
      <c r="M209" s="452"/>
      <c r="N209" s="452" t="s">
        <v>182</v>
      </c>
      <c r="O209" s="452"/>
      <c r="P209" s="452" t="s">
        <v>125</v>
      </c>
      <c r="Q209" s="452"/>
      <c r="R209" s="452" t="s">
        <v>182</v>
      </c>
      <c r="S209" s="452"/>
      <c r="T209" s="452" t="s">
        <v>170</v>
      </c>
      <c r="U209" s="452"/>
      <c r="V209" s="452" t="s">
        <v>115</v>
      </c>
      <c r="W209" s="452"/>
      <c r="X209" s="452" t="s">
        <v>242</v>
      </c>
      <c r="Y209" s="452"/>
      <c r="Z209" s="452" t="s">
        <v>182</v>
      </c>
      <c r="AA209" s="452"/>
      <c r="AB209" s="452" t="s">
        <v>185</v>
      </c>
      <c r="AF209" s="476"/>
      <c r="AG209" s="477"/>
      <c r="AH209" s="477"/>
      <c r="AI209" s="477"/>
      <c r="AJ209" s="477"/>
      <c r="AK209" s="478"/>
    </row>
    <row r="210" spans="1:37" ht="17.399999999999999" customHeight="1">
      <c r="A210" s="469"/>
      <c r="B210" s="452"/>
      <c r="C210" s="452"/>
      <c r="D210" s="452"/>
      <c r="E210" s="452"/>
      <c r="F210" s="452" t="s">
        <v>1277</v>
      </c>
      <c r="G210" s="475"/>
      <c r="H210" s="475"/>
      <c r="I210" s="475"/>
      <c r="J210" s="475"/>
      <c r="K210" s="475"/>
      <c r="L210" s="475"/>
      <c r="M210" s="475"/>
      <c r="N210" s="475"/>
      <c r="O210" s="475"/>
      <c r="P210" s="475"/>
      <c r="Q210" s="475"/>
      <c r="R210" s="452" t="s">
        <v>1277</v>
      </c>
      <c r="S210" s="475"/>
      <c r="T210" s="475"/>
      <c r="U210" s="475"/>
      <c r="V210" s="475"/>
      <c r="W210" s="475"/>
      <c r="X210" s="475"/>
      <c r="Y210" s="475"/>
      <c r="Z210" s="475"/>
      <c r="AA210" s="475"/>
      <c r="AB210" s="452" t="s">
        <v>1276</v>
      </c>
      <c r="AF210" s="476"/>
      <c r="AG210" s="477"/>
      <c r="AH210" s="477"/>
      <c r="AI210" s="477"/>
      <c r="AJ210" s="477"/>
      <c r="AK210" s="478"/>
    </row>
    <row r="211" spans="1:37">
      <c r="A211" s="469"/>
      <c r="C211" s="452"/>
      <c r="E211" s="452"/>
      <c r="G211" s="475"/>
      <c r="I211" s="475"/>
      <c r="K211" s="475"/>
      <c r="M211" s="475"/>
      <c r="O211" s="475"/>
      <c r="AF211" s="476"/>
      <c r="AG211" s="477"/>
      <c r="AH211" s="477"/>
      <c r="AI211" s="477"/>
      <c r="AJ211" s="477"/>
      <c r="AK211" s="478"/>
    </row>
    <row r="212" spans="1:37">
      <c r="A212" s="469"/>
      <c r="B212" s="470" t="s">
        <v>428</v>
      </c>
      <c r="C212" s="470"/>
      <c r="D212" s="470" t="s">
        <v>171</v>
      </c>
      <c r="E212" s="470"/>
      <c r="F212" s="470" t="s">
        <v>1328</v>
      </c>
      <c r="G212" s="470"/>
      <c r="H212" s="470" t="s">
        <v>1329</v>
      </c>
      <c r="I212" s="470"/>
      <c r="J212" s="470" t="s">
        <v>1330</v>
      </c>
      <c r="K212" s="470"/>
      <c r="L212" s="470" t="s">
        <v>1331</v>
      </c>
      <c r="M212" s="470"/>
      <c r="N212" s="470" t="s">
        <v>434</v>
      </c>
      <c r="O212" s="445"/>
      <c r="P212" s="470" t="s">
        <v>435</v>
      </c>
      <c r="R212" s="470" t="s">
        <v>436</v>
      </c>
      <c r="T212" s="470" t="s">
        <v>437</v>
      </c>
      <c r="V212" s="470" t="s">
        <v>438</v>
      </c>
      <c r="X212" s="470" t="s">
        <v>439</v>
      </c>
      <c r="Z212" s="470" t="s">
        <v>440</v>
      </c>
      <c r="AB212" s="470" t="s">
        <v>441</v>
      </c>
      <c r="AF212" s="476"/>
      <c r="AG212" s="477"/>
      <c r="AH212" s="477"/>
      <c r="AI212" s="477"/>
      <c r="AJ212" s="477"/>
      <c r="AK212" s="478"/>
    </row>
    <row r="213" spans="1:37">
      <c r="A213" s="469"/>
      <c r="B213" s="474"/>
      <c r="C213" s="475"/>
      <c r="D213" s="474"/>
      <c r="E213" s="475"/>
      <c r="F213" s="474"/>
      <c r="G213" s="475"/>
      <c r="H213" s="474"/>
      <c r="I213" s="475"/>
      <c r="J213" s="474"/>
      <c r="K213" s="475"/>
      <c r="L213" s="474"/>
      <c r="M213" s="475"/>
      <c r="N213" s="474"/>
      <c r="O213" s="475"/>
      <c r="P213" s="474"/>
      <c r="R213" s="474"/>
      <c r="S213" s="475"/>
      <c r="T213" s="474"/>
      <c r="U213" s="475"/>
      <c r="V213" s="474"/>
      <c r="W213" s="475"/>
      <c r="X213" s="474"/>
      <c r="Y213" s="475"/>
      <c r="Z213" s="474"/>
      <c r="AA213" s="475"/>
      <c r="AB213" s="474"/>
      <c r="AF213" s="472" t="s">
        <v>1191</v>
      </c>
      <c r="AG213" s="472" t="s">
        <v>354</v>
      </c>
      <c r="AH213" s="472" t="s">
        <v>1192</v>
      </c>
      <c r="AI213" s="472" t="s">
        <v>1193</v>
      </c>
      <c r="AJ213" s="472" t="s">
        <v>303</v>
      </c>
      <c r="AK213" s="473" t="s">
        <v>1194</v>
      </c>
    </row>
    <row r="214" spans="1:37" ht="16.5" customHeight="1" thickBot="1">
      <c r="A214" s="469"/>
      <c r="B214" s="446"/>
      <c r="C214" s="475"/>
      <c r="D214" s="446"/>
      <c r="E214" s="475"/>
      <c r="F214" s="446"/>
      <c r="G214" s="475"/>
      <c r="H214" s="446"/>
      <c r="I214" s="475"/>
      <c r="J214" s="446"/>
      <c r="K214" s="475"/>
      <c r="L214" s="446"/>
      <c r="M214" s="475"/>
      <c r="N214" s="446"/>
      <c r="O214" s="475"/>
      <c r="P214" s="446"/>
      <c r="R214" s="446"/>
      <c r="S214" s="475"/>
      <c r="T214" s="446"/>
      <c r="U214" s="475"/>
      <c r="V214" s="446"/>
      <c r="W214" s="475"/>
      <c r="X214" s="446"/>
      <c r="Y214" s="475"/>
      <c r="Z214" s="446"/>
      <c r="AA214" s="475"/>
      <c r="AB214" s="446"/>
      <c r="AF214" s="476"/>
      <c r="AG214" s="477"/>
      <c r="AH214" s="477"/>
      <c r="AI214" s="477"/>
      <c r="AJ214" s="477"/>
      <c r="AK214" s="478"/>
    </row>
    <row r="215" spans="1:37" ht="42.75" customHeight="1" thickBot="1">
      <c r="A215" s="469"/>
      <c r="B215" s="448"/>
      <c r="C215" s="479">
        <v>410</v>
      </c>
      <c r="D215" s="448"/>
      <c r="E215" s="479">
        <v>421</v>
      </c>
      <c r="F215" s="448"/>
      <c r="G215" s="479">
        <v>407.60700000000003</v>
      </c>
      <c r="H215" s="448"/>
      <c r="I215" s="479">
        <v>364.36399999999998</v>
      </c>
      <c r="J215" s="448"/>
      <c r="K215" s="479">
        <v>332.44799999999998</v>
      </c>
      <c r="L215" s="449"/>
      <c r="M215" s="479">
        <v>348.85300000000001</v>
      </c>
      <c r="N215" s="448"/>
      <c r="O215" s="479">
        <v>387.34800000000001</v>
      </c>
      <c r="P215" s="449"/>
      <c r="Q215" s="479">
        <v>452.637</v>
      </c>
      <c r="R215" s="448"/>
      <c r="S215" s="479">
        <v>386.95699999999999</v>
      </c>
      <c r="T215" s="448"/>
      <c r="U215" s="479">
        <v>382.14299999999997</v>
      </c>
      <c r="V215" s="448"/>
      <c r="W215" s="479">
        <v>336.46899999999999</v>
      </c>
      <c r="X215" s="448"/>
      <c r="Y215" s="479">
        <v>389.14</v>
      </c>
      <c r="Z215" s="448"/>
      <c r="AA215" s="479">
        <v>334.55399999999997</v>
      </c>
      <c r="AB215" s="448"/>
      <c r="AC215" s="479">
        <v>396.19799999999998</v>
      </c>
      <c r="AF215" s="472">
        <v>14</v>
      </c>
      <c r="AG215" s="472"/>
      <c r="AH215" s="472"/>
      <c r="AI215" s="472"/>
      <c r="AJ215" s="472"/>
      <c r="AK215" s="473"/>
    </row>
    <row r="216" spans="1:37" ht="16.5" customHeight="1" thickBot="1">
      <c r="A216" s="469"/>
      <c r="B216" s="481"/>
      <c r="D216" s="481"/>
      <c r="F216" s="481"/>
      <c r="H216" s="481"/>
      <c r="J216" s="481"/>
      <c r="L216" s="481"/>
      <c r="N216" s="481"/>
      <c r="P216" s="481"/>
      <c r="R216" s="481"/>
      <c r="T216" s="481"/>
      <c r="V216" s="481"/>
      <c r="X216" s="481"/>
      <c r="Z216" s="481"/>
      <c r="AB216" s="481"/>
      <c r="AF216" s="476"/>
      <c r="AG216" s="477"/>
      <c r="AH216" s="477"/>
      <c r="AI216" s="477"/>
      <c r="AJ216" s="477"/>
      <c r="AK216" s="478"/>
    </row>
    <row r="217" spans="1:37">
      <c r="A217" s="469"/>
      <c r="B217" s="452" t="s">
        <v>185</v>
      </c>
      <c r="C217" s="452"/>
      <c r="D217" s="452" t="s">
        <v>167</v>
      </c>
      <c r="E217" s="452"/>
      <c r="F217" s="452" t="s">
        <v>125</v>
      </c>
      <c r="G217" s="452"/>
      <c r="H217" s="452" t="s">
        <v>125</v>
      </c>
      <c r="I217" s="452"/>
      <c r="J217" s="452" t="s">
        <v>242</v>
      </c>
      <c r="K217" s="452"/>
      <c r="L217" s="452" t="s">
        <v>185</v>
      </c>
      <c r="M217" s="452"/>
      <c r="N217" s="452" t="s">
        <v>115</v>
      </c>
      <c r="O217" s="475"/>
      <c r="P217" s="452" t="s">
        <v>242</v>
      </c>
      <c r="R217" s="452" t="s">
        <v>125</v>
      </c>
      <c r="T217" s="452" t="s">
        <v>143</v>
      </c>
      <c r="V217" s="452" t="s">
        <v>182</v>
      </c>
      <c r="X217" s="452" t="s">
        <v>182</v>
      </c>
      <c r="Z217" s="452" t="s">
        <v>115</v>
      </c>
      <c r="AB217" s="452" t="s">
        <v>242</v>
      </c>
      <c r="AF217" s="476"/>
      <c r="AG217" s="477"/>
      <c r="AH217" s="477"/>
      <c r="AI217" s="477"/>
      <c r="AJ217" s="477"/>
      <c r="AK217" s="478"/>
    </row>
    <row r="218" spans="1:37" ht="14.4" customHeight="1">
      <c r="A218" s="469"/>
      <c r="AF218" s="476"/>
      <c r="AG218" s="477"/>
      <c r="AH218" s="477"/>
      <c r="AI218" s="477"/>
      <c r="AJ218" s="477"/>
      <c r="AK218" s="478"/>
    </row>
    <row r="219" spans="1:37" ht="26" customHeight="1">
      <c r="A219" s="469"/>
      <c r="AF219" s="476"/>
      <c r="AG219" s="477"/>
      <c r="AH219" s="477"/>
      <c r="AI219" s="477"/>
      <c r="AJ219" s="477"/>
      <c r="AK219" s="478"/>
    </row>
    <row r="220" spans="1:37">
      <c r="A220" s="469"/>
      <c r="B220" s="470" t="s">
        <v>443</v>
      </c>
      <c r="C220" s="445"/>
      <c r="D220" s="470" t="s">
        <v>444</v>
      </c>
      <c r="E220" s="445"/>
      <c r="F220" s="470" t="s">
        <v>445</v>
      </c>
      <c r="G220" s="445"/>
      <c r="H220" s="470" t="s">
        <v>446</v>
      </c>
      <c r="I220" s="445"/>
      <c r="J220" s="470" t="s">
        <v>447</v>
      </c>
      <c r="K220" s="445"/>
      <c r="L220" s="470" t="s">
        <v>448</v>
      </c>
      <c r="M220" s="470"/>
      <c r="N220" s="470" t="s">
        <v>449</v>
      </c>
      <c r="O220" s="445"/>
      <c r="P220" s="470" t="s">
        <v>450</v>
      </c>
      <c r="R220" s="470" t="s">
        <v>451</v>
      </c>
      <c r="T220" s="470" t="s">
        <v>452</v>
      </c>
      <c r="V220" s="470" t="s">
        <v>728</v>
      </c>
      <c r="X220" s="470" t="s">
        <v>455</v>
      </c>
      <c r="Z220" s="470" t="s">
        <v>456</v>
      </c>
      <c r="AB220" s="470" t="s">
        <v>457</v>
      </c>
      <c r="AF220" s="476"/>
      <c r="AG220" s="477"/>
      <c r="AH220" s="477"/>
      <c r="AI220" s="477"/>
      <c r="AJ220" s="477"/>
      <c r="AK220" s="478"/>
    </row>
    <row r="221" spans="1:37">
      <c r="A221" s="469"/>
      <c r="B221" s="474"/>
      <c r="C221" s="475"/>
      <c r="D221" s="474"/>
      <c r="E221" s="475"/>
      <c r="F221" s="474"/>
      <c r="G221" s="475"/>
      <c r="H221" s="474"/>
      <c r="I221" s="475"/>
      <c r="J221" s="474"/>
      <c r="K221" s="475"/>
      <c r="L221" s="474"/>
      <c r="M221" s="475"/>
      <c r="N221" s="474"/>
      <c r="O221" s="475"/>
      <c r="P221" s="474"/>
      <c r="R221" s="474"/>
      <c r="S221" s="475"/>
      <c r="T221" s="474"/>
      <c r="U221" s="475"/>
      <c r="V221" s="474"/>
      <c r="W221" s="475"/>
      <c r="X221" s="474"/>
      <c r="Y221" s="475"/>
      <c r="Z221" s="474"/>
      <c r="AA221" s="475"/>
      <c r="AB221" s="474"/>
      <c r="AF221" s="472" t="s">
        <v>1191</v>
      </c>
      <c r="AG221" s="472" t="s">
        <v>354</v>
      </c>
      <c r="AH221" s="472" t="s">
        <v>1192</v>
      </c>
      <c r="AI221" s="472" t="s">
        <v>1193</v>
      </c>
      <c r="AJ221" s="472" t="s">
        <v>303</v>
      </c>
      <c r="AK221" s="473" t="s">
        <v>1194</v>
      </c>
    </row>
    <row r="222" spans="1:37" ht="16.5" customHeight="1" thickBot="1">
      <c r="A222" s="469"/>
      <c r="B222" s="446"/>
      <c r="C222" s="475"/>
      <c r="D222" s="446"/>
      <c r="E222" s="475"/>
      <c r="F222" s="446"/>
      <c r="G222" s="475"/>
      <c r="H222" s="446"/>
      <c r="I222" s="475"/>
      <c r="J222" s="446"/>
      <c r="K222" s="475"/>
      <c r="L222" s="446"/>
      <c r="M222" s="475"/>
      <c r="N222" s="446"/>
      <c r="O222" s="475"/>
      <c r="P222" s="446"/>
      <c r="R222" s="446"/>
      <c r="S222" s="475"/>
      <c r="T222" s="446"/>
      <c r="U222" s="475"/>
      <c r="V222" s="446"/>
      <c r="W222" s="475"/>
      <c r="X222" s="446"/>
      <c r="Y222" s="475"/>
      <c r="Z222" s="446"/>
      <c r="AA222" s="475"/>
      <c r="AB222" s="446"/>
      <c r="AF222" s="476"/>
      <c r="AG222" s="477"/>
      <c r="AH222" s="477"/>
      <c r="AI222" s="477"/>
      <c r="AJ222" s="477"/>
      <c r="AK222" s="478"/>
    </row>
    <row r="223" spans="1:37" ht="42.75" customHeight="1" thickBot="1">
      <c r="A223" s="469"/>
      <c r="B223" s="448"/>
      <c r="C223" s="479">
        <v>233.292</v>
      </c>
      <c r="D223" s="448"/>
      <c r="E223" s="479">
        <v>467.18900000000002</v>
      </c>
      <c r="F223" s="448"/>
      <c r="G223" s="479">
        <v>423.01799999999997</v>
      </c>
      <c r="H223" s="449"/>
      <c r="I223" s="479">
        <v>248.691</v>
      </c>
      <c r="J223" s="449"/>
      <c r="K223" s="479">
        <v>282.02499999999998</v>
      </c>
      <c r="L223" s="449"/>
      <c r="M223" s="479">
        <v>398</v>
      </c>
      <c r="N223" s="449"/>
      <c r="O223" s="479">
        <v>370.48</v>
      </c>
      <c r="P223" s="448" t="s">
        <v>1376</v>
      </c>
      <c r="Q223" s="479">
        <v>437.33300000000003</v>
      </c>
      <c r="R223" s="448"/>
      <c r="S223" s="479">
        <v>435</v>
      </c>
      <c r="T223" s="448"/>
      <c r="U223" s="479">
        <v>406.61500000000001</v>
      </c>
      <c r="V223" s="448"/>
      <c r="W223" s="479">
        <v>388.49400000000003</v>
      </c>
      <c r="X223" s="448"/>
      <c r="Y223" s="479">
        <v>440.62599999999998</v>
      </c>
      <c r="Z223" s="448"/>
      <c r="AA223" s="479">
        <v>410.34199999999998</v>
      </c>
      <c r="AB223" s="448"/>
      <c r="AC223" s="479">
        <v>444.33100000000002</v>
      </c>
      <c r="AF223" s="472">
        <v>14</v>
      </c>
      <c r="AG223" s="472"/>
      <c r="AH223" s="472"/>
      <c r="AI223" s="472"/>
      <c r="AJ223" s="472"/>
      <c r="AK223" s="473"/>
    </row>
    <row r="224" spans="1:37" ht="16.5" customHeight="1" thickBot="1">
      <c r="A224" s="469"/>
      <c r="B224" s="481"/>
      <c r="D224" s="481"/>
      <c r="F224" s="481"/>
      <c r="H224" s="481"/>
      <c r="J224" s="481"/>
      <c r="L224" s="481"/>
      <c r="N224" s="481"/>
      <c r="P224" s="481"/>
      <c r="R224" s="481"/>
      <c r="T224" s="481"/>
      <c r="V224" s="481"/>
      <c r="X224" s="481"/>
      <c r="Z224" s="481"/>
      <c r="AB224" s="481"/>
      <c r="AF224" s="508"/>
      <c r="AG224" s="477"/>
      <c r="AH224" s="477"/>
      <c r="AI224" s="477"/>
      <c r="AJ224" s="477"/>
      <c r="AK224" s="478"/>
    </row>
    <row r="225" spans="1:37">
      <c r="A225" s="469"/>
      <c r="B225" s="452" t="s">
        <v>125</v>
      </c>
      <c r="C225" s="452"/>
      <c r="D225" s="452" t="s">
        <v>123</v>
      </c>
      <c r="E225" s="452"/>
      <c r="F225" s="452" t="s">
        <v>132</v>
      </c>
      <c r="G225" s="452"/>
      <c r="H225" s="452" t="s">
        <v>182</v>
      </c>
      <c r="I225" s="452"/>
      <c r="J225" s="452" t="s">
        <v>182</v>
      </c>
      <c r="K225" s="452"/>
      <c r="L225" s="452" t="s">
        <v>125</v>
      </c>
      <c r="M225" s="452"/>
      <c r="N225" s="452" t="s">
        <v>185</v>
      </c>
      <c r="O225" s="475"/>
      <c r="P225" s="452" t="s">
        <v>128</v>
      </c>
      <c r="R225" s="452" t="s">
        <v>143</v>
      </c>
      <c r="T225" s="452" t="s">
        <v>248</v>
      </c>
      <c r="V225" s="452" t="s">
        <v>115</v>
      </c>
      <c r="X225" s="452" t="s">
        <v>137</v>
      </c>
      <c r="Z225" s="452" t="s">
        <v>167</v>
      </c>
      <c r="AB225" s="452" t="s">
        <v>115</v>
      </c>
      <c r="AF225" s="476"/>
      <c r="AG225" s="477"/>
      <c r="AH225" s="477"/>
      <c r="AI225" s="477"/>
      <c r="AJ225" s="477"/>
      <c r="AK225" s="478"/>
    </row>
    <row r="226" spans="1:37">
      <c r="B226" s="452"/>
      <c r="C226" s="452"/>
      <c r="D226" s="452" t="s">
        <v>1276</v>
      </c>
      <c r="E226" s="452"/>
      <c r="F226" s="452" t="s">
        <v>1276</v>
      </c>
      <c r="G226" s="452"/>
      <c r="H226" s="452"/>
      <c r="I226" s="452"/>
      <c r="J226" s="452"/>
      <c r="K226" s="452"/>
      <c r="L226" s="452"/>
      <c r="M226" s="452"/>
      <c r="N226" s="452"/>
      <c r="O226" s="475"/>
      <c r="P226" s="452"/>
      <c r="R226" s="452"/>
      <c r="T226" s="452"/>
      <c r="V226" s="452" t="s">
        <v>1277</v>
      </c>
      <c r="X226" s="452"/>
      <c r="Z226" s="452"/>
      <c r="AB226" s="452"/>
      <c r="AF226" s="476"/>
      <c r="AG226" s="477"/>
      <c r="AH226" s="477"/>
      <c r="AI226" s="477"/>
      <c r="AJ226" s="477"/>
      <c r="AK226" s="477"/>
    </row>
    <row r="227" spans="1:37">
      <c r="AF227" s="509"/>
    </row>
    <row r="228" spans="1:37">
      <c r="B228" s="470" t="s">
        <v>458</v>
      </c>
      <c r="D228" s="470" t="s">
        <v>459</v>
      </c>
      <c r="F228" s="470" t="s">
        <v>460</v>
      </c>
      <c r="H228" s="470" t="s">
        <v>461</v>
      </c>
      <c r="J228" s="470" t="s">
        <v>462</v>
      </c>
      <c r="L228" s="470" t="s">
        <v>463</v>
      </c>
      <c r="N228" s="470" t="s">
        <v>464</v>
      </c>
      <c r="P228" s="470" t="s">
        <v>465</v>
      </c>
      <c r="R228" s="470" t="s">
        <v>467</v>
      </c>
      <c r="T228" s="470" t="s">
        <v>468</v>
      </c>
      <c r="V228" s="470" t="s">
        <v>469</v>
      </c>
      <c r="X228" s="470" t="s">
        <v>470</v>
      </c>
      <c r="Z228" s="470" t="s">
        <v>471</v>
      </c>
      <c r="AB228" s="470" t="s">
        <v>472</v>
      </c>
      <c r="AF228" s="509"/>
    </row>
    <row r="229" spans="1:37">
      <c r="A229" s="469"/>
      <c r="B229" s="474"/>
      <c r="C229" s="475"/>
      <c r="D229" s="474"/>
      <c r="E229" s="475"/>
      <c r="F229" s="474"/>
      <c r="G229" s="475"/>
      <c r="H229" s="474"/>
      <c r="I229" s="475"/>
      <c r="J229" s="474"/>
      <c r="K229" s="475"/>
      <c r="L229" s="474"/>
      <c r="M229" s="475"/>
      <c r="N229" s="474"/>
      <c r="O229" s="475"/>
      <c r="P229" s="474"/>
      <c r="R229" s="474"/>
      <c r="S229" s="475"/>
      <c r="T229" s="474"/>
      <c r="U229" s="475"/>
      <c r="V229" s="474"/>
      <c r="W229" s="475"/>
      <c r="X229" s="474"/>
      <c r="Y229" s="475"/>
      <c r="Z229" s="474"/>
      <c r="AA229" s="475"/>
      <c r="AB229" s="474"/>
      <c r="AF229" s="472" t="s">
        <v>1191</v>
      </c>
      <c r="AG229" s="472" t="s">
        <v>354</v>
      </c>
      <c r="AH229" s="472" t="s">
        <v>1192</v>
      </c>
      <c r="AI229" s="472" t="s">
        <v>1193</v>
      </c>
      <c r="AJ229" s="472" t="s">
        <v>303</v>
      </c>
      <c r="AK229" s="473" t="s">
        <v>1194</v>
      </c>
    </row>
    <row r="230" spans="1:37" ht="16.5" customHeight="1" thickBot="1">
      <c r="A230" s="469"/>
      <c r="B230" s="446"/>
      <c r="C230" s="475"/>
      <c r="D230" s="446"/>
      <c r="E230" s="475"/>
      <c r="F230" s="446"/>
      <c r="G230" s="475"/>
      <c r="H230" s="446"/>
      <c r="I230" s="475"/>
      <c r="J230" s="446"/>
      <c r="K230" s="475"/>
      <c r="L230" s="446"/>
      <c r="M230" s="475"/>
      <c r="N230" s="446"/>
      <c r="O230" s="475"/>
      <c r="P230" s="446"/>
      <c r="R230" s="446"/>
      <c r="S230" s="475"/>
      <c r="T230" s="446"/>
      <c r="U230" s="475"/>
      <c r="V230" s="446"/>
      <c r="W230" s="475"/>
      <c r="X230" s="446"/>
      <c r="Y230" s="475"/>
      <c r="Z230" s="446"/>
      <c r="AA230" s="475"/>
      <c r="AB230" s="446"/>
      <c r="AF230" s="476"/>
      <c r="AG230" s="477"/>
      <c r="AH230" s="477"/>
      <c r="AI230" s="477"/>
      <c r="AJ230" s="477"/>
      <c r="AK230" s="478"/>
    </row>
    <row r="231" spans="1:37" ht="42.75" customHeight="1" thickBot="1">
      <c r="A231" s="469"/>
      <c r="B231" s="448"/>
      <c r="C231" s="479">
        <v>189.80500000000001</v>
      </c>
      <c r="D231" s="448"/>
      <c r="E231" s="479">
        <v>157.88300000000001</v>
      </c>
      <c r="F231" s="448"/>
      <c r="G231" s="479">
        <v>200.685</v>
      </c>
      <c r="H231" s="448"/>
      <c r="I231" s="479">
        <v>165.49</v>
      </c>
      <c r="J231" s="448" t="s">
        <v>390</v>
      </c>
      <c r="K231" s="479">
        <v>403.85899999999998</v>
      </c>
      <c r="L231" s="448"/>
      <c r="M231" s="479">
        <v>434.78800000000001</v>
      </c>
      <c r="N231" s="448"/>
      <c r="O231" s="479">
        <v>425.38400000000001</v>
      </c>
      <c r="P231" s="448"/>
      <c r="Q231" s="479">
        <v>441.34500000000003</v>
      </c>
      <c r="R231" s="448"/>
      <c r="S231" s="479">
        <v>357.54300000000001</v>
      </c>
      <c r="T231" s="448"/>
      <c r="U231" s="479">
        <v>438.29300000000001</v>
      </c>
      <c r="V231" s="448"/>
      <c r="W231" s="479">
        <v>430</v>
      </c>
      <c r="X231" s="448"/>
      <c r="Y231" s="479">
        <v>410</v>
      </c>
      <c r="Z231" s="448"/>
      <c r="AA231" s="479">
        <v>439.976</v>
      </c>
      <c r="AB231" s="448"/>
      <c r="AC231" s="479">
        <v>424.44</v>
      </c>
      <c r="AF231" s="472">
        <v>14</v>
      </c>
      <c r="AG231" s="472"/>
      <c r="AH231" s="472"/>
      <c r="AI231" s="472"/>
      <c r="AJ231" s="472"/>
      <c r="AK231" s="473"/>
    </row>
    <row r="232" spans="1:37" ht="16.5" customHeight="1" thickBot="1">
      <c r="A232" s="469"/>
      <c r="B232" s="481"/>
      <c r="D232" s="481"/>
      <c r="F232" s="481"/>
      <c r="H232" s="481"/>
      <c r="J232" s="481"/>
      <c r="L232" s="481"/>
      <c r="N232" s="481"/>
      <c r="P232" s="481"/>
      <c r="R232" s="481"/>
      <c r="T232" s="481"/>
      <c r="V232" s="481"/>
      <c r="X232" s="481"/>
      <c r="Z232" s="481"/>
      <c r="AB232" s="481"/>
      <c r="AF232" s="476"/>
      <c r="AG232" s="477"/>
      <c r="AH232" s="477"/>
      <c r="AI232" s="477"/>
      <c r="AJ232" s="477"/>
      <c r="AK232" s="478"/>
    </row>
    <row r="233" spans="1:37">
      <c r="A233" s="469"/>
      <c r="B233" s="452" t="s">
        <v>132</v>
      </c>
      <c r="C233" s="452"/>
      <c r="D233" s="452" t="s">
        <v>123</v>
      </c>
      <c r="E233" s="452"/>
      <c r="F233" s="452" t="s">
        <v>125</v>
      </c>
      <c r="G233" s="452"/>
      <c r="H233" s="452" t="s">
        <v>115</v>
      </c>
      <c r="I233" s="452"/>
      <c r="J233" s="452" t="s">
        <v>115</v>
      </c>
      <c r="K233" s="452"/>
      <c r="L233" s="452" t="s">
        <v>248</v>
      </c>
      <c r="M233" s="452"/>
      <c r="N233" s="452" t="s">
        <v>115</v>
      </c>
      <c r="O233" s="475"/>
      <c r="P233" s="452" t="s">
        <v>132</v>
      </c>
      <c r="R233" s="452" t="s">
        <v>125</v>
      </c>
      <c r="T233" s="452" t="s">
        <v>182</v>
      </c>
      <c r="V233" s="452" t="s">
        <v>125</v>
      </c>
      <c r="X233" s="452" t="s">
        <v>185</v>
      </c>
      <c r="Z233" s="452" t="s">
        <v>132</v>
      </c>
      <c r="AB233" s="452" t="s">
        <v>137</v>
      </c>
      <c r="AF233" s="476"/>
      <c r="AG233" s="477"/>
      <c r="AH233" s="477"/>
      <c r="AI233" s="477"/>
      <c r="AJ233" s="477"/>
      <c r="AK233" s="478"/>
    </row>
    <row r="234" spans="1:37">
      <c r="B234" s="452" t="s">
        <v>1276</v>
      </c>
      <c r="C234" s="452"/>
      <c r="D234" s="452" t="s">
        <v>1276</v>
      </c>
      <c r="E234" s="452"/>
      <c r="F234" s="452"/>
      <c r="G234" s="452"/>
      <c r="H234" s="452"/>
      <c r="I234" s="452"/>
      <c r="J234" s="452"/>
      <c r="K234" s="452"/>
      <c r="L234" s="452"/>
      <c r="M234" s="452"/>
      <c r="N234" s="452" t="s">
        <v>1277</v>
      </c>
      <c r="O234" s="475"/>
      <c r="P234" s="452"/>
      <c r="R234" s="452"/>
      <c r="T234" s="452"/>
      <c r="V234" s="452"/>
      <c r="X234" s="452"/>
      <c r="Z234" s="452"/>
      <c r="AB234" s="452"/>
      <c r="AF234" s="476"/>
      <c r="AG234" s="477"/>
      <c r="AH234" s="477"/>
      <c r="AI234" s="477"/>
      <c r="AJ234" s="477"/>
      <c r="AK234" s="477"/>
    </row>
    <row r="235" spans="1:37">
      <c r="AF235" s="509"/>
    </row>
    <row r="236" spans="1:37">
      <c r="B236" s="470" t="s">
        <v>473</v>
      </c>
      <c r="D236" s="470" t="s">
        <v>474</v>
      </c>
      <c r="F236" s="470" t="s">
        <v>475</v>
      </c>
      <c r="H236" s="470" t="s">
        <v>476</v>
      </c>
      <c r="J236" s="470" t="s">
        <v>477</v>
      </c>
      <c r="L236" s="470" t="s">
        <v>478</v>
      </c>
      <c r="N236" s="470" t="s">
        <v>733</v>
      </c>
      <c r="P236" s="470" t="s">
        <v>734</v>
      </c>
      <c r="R236" s="470" t="s">
        <v>735</v>
      </c>
      <c r="T236" s="470" t="s">
        <v>736</v>
      </c>
      <c r="V236" s="470" t="s">
        <v>737</v>
      </c>
      <c r="X236" s="470" t="s">
        <v>738</v>
      </c>
      <c r="Z236" s="470" t="s">
        <v>739</v>
      </c>
      <c r="AB236" s="470" t="s">
        <v>740</v>
      </c>
      <c r="AF236" s="509"/>
    </row>
    <row r="237" spans="1:37">
      <c r="A237" s="469"/>
      <c r="B237" s="474"/>
      <c r="C237" s="475"/>
      <c r="D237" s="474"/>
      <c r="E237" s="475"/>
      <c r="F237" s="474"/>
      <c r="G237" s="475"/>
      <c r="H237" s="474"/>
      <c r="I237" s="475"/>
      <c r="J237" s="474"/>
      <c r="K237" s="475"/>
      <c r="L237" s="474"/>
      <c r="M237" s="475"/>
      <c r="N237" s="474"/>
      <c r="O237" s="475"/>
      <c r="P237" s="474"/>
      <c r="R237" s="474"/>
      <c r="S237" s="475"/>
      <c r="T237" s="474"/>
      <c r="U237" s="475"/>
      <c r="V237" s="474"/>
      <c r="W237" s="475"/>
      <c r="X237" s="474"/>
      <c r="Y237" s="475"/>
      <c r="Z237" s="474"/>
      <c r="AA237" s="475"/>
      <c r="AB237" s="474"/>
      <c r="AF237" s="472" t="s">
        <v>1191</v>
      </c>
      <c r="AG237" s="472"/>
      <c r="AH237" s="472"/>
      <c r="AI237" s="472"/>
      <c r="AJ237" s="472"/>
      <c r="AK237" s="473"/>
    </row>
    <row r="238" spans="1:37" ht="16.5" customHeight="1" thickBot="1">
      <c r="A238" s="469"/>
      <c r="B238" s="446"/>
      <c r="C238" s="475"/>
      <c r="D238" s="446"/>
      <c r="E238" s="475"/>
      <c r="F238" s="446"/>
      <c r="G238" s="475"/>
      <c r="H238" s="446"/>
      <c r="I238" s="475"/>
      <c r="J238" s="446"/>
      <c r="K238" s="475"/>
      <c r="L238" s="446"/>
      <c r="M238" s="475"/>
      <c r="N238" s="446"/>
      <c r="O238" s="475"/>
      <c r="P238" s="446"/>
      <c r="R238" s="446"/>
      <c r="S238" s="475"/>
      <c r="T238" s="446"/>
      <c r="U238" s="475"/>
      <c r="V238" s="446"/>
      <c r="W238" s="475"/>
      <c r="X238" s="446"/>
      <c r="Y238" s="475"/>
      <c r="Z238" s="446"/>
      <c r="AA238" s="475"/>
      <c r="AB238" s="446"/>
      <c r="AF238" s="476"/>
      <c r="AG238" s="477"/>
      <c r="AH238" s="477"/>
      <c r="AI238" s="477"/>
      <c r="AJ238" s="477"/>
      <c r="AK238" s="478"/>
    </row>
    <row r="239" spans="1:37" ht="42.75" customHeight="1" thickBot="1">
      <c r="A239" s="469"/>
      <c r="B239" s="449"/>
      <c r="C239" s="479">
        <v>439</v>
      </c>
      <c r="D239" s="449"/>
      <c r="E239" s="479">
        <v>395</v>
      </c>
      <c r="F239" s="449"/>
      <c r="G239" s="479">
        <v>401.113</v>
      </c>
      <c r="H239" s="448"/>
      <c r="I239" s="479">
        <v>413</v>
      </c>
      <c r="J239" s="449"/>
      <c r="K239" s="479">
        <v>402.25299999999999</v>
      </c>
      <c r="L239" s="448"/>
      <c r="M239" s="479">
        <v>250.69399999999999</v>
      </c>
      <c r="N239" s="448"/>
      <c r="O239" s="479">
        <v>425.61200000000002</v>
      </c>
      <c r="P239" s="448"/>
      <c r="Q239" s="479">
        <v>381.67500000000001</v>
      </c>
      <c r="R239" s="448"/>
      <c r="S239" s="479">
        <v>351.86900000000003</v>
      </c>
      <c r="T239" s="448"/>
      <c r="U239" s="479">
        <v>419.36099999999999</v>
      </c>
      <c r="V239" s="448"/>
      <c r="W239" s="479">
        <v>421.73899999999998</v>
      </c>
      <c r="X239" s="448"/>
      <c r="Y239" s="479">
        <v>403</v>
      </c>
      <c r="Z239" s="448"/>
      <c r="AA239" s="479">
        <v>355</v>
      </c>
      <c r="AB239" s="448"/>
      <c r="AC239" s="479">
        <v>355</v>
      </c>
      <c r="AF239" s="472">
        <v>14</v>
      </c>
      <c r="AG239" s="472"/>
      <c r="AH239" s="472"/>
      <c r="AI239" s="472"/>
      <c r="AJ239" s="472"/>
      <c r="AK239" s="473"/>
    </row>
    <row r="240" spans="1:37" ht="16.5" customHeight="1" thickBot="1">
      <c r="A240" s="469"/>
      <c r="B240" s="576"/>
      <c r="D240" s="481"/>
      <c r="F240" s="481"/>
      <c r="H240" s="481"/>
      <c r="J240" s="481"/>
      <c r="L240" s="481"/>
      <c r="N240" s="481"/>
      <c r="P240" s="481"/>
      <c r="R240" s="481"/>
      <c r="T240" s="481"/>
      <c r="V240" s="481"/>
      <c r="X240" s="481"/>
      <c r="Z240" s="481"/>
      <c r="AB240" s="481"/>
      <c r="AF240" s="476"/>
      <c r="AG240" s="477"/>
      <c r="AH240" s="477"/>
      <c r="AI240" s="477"/>
      <c r="AJ240" s="477"/>
      <c r="AK240" s="478"/>
    </row>
    <row r="241" spans="1:37">
      <c r="A241" s="469"/>
      <c r="B241" s="452" t="s">
        <v>143</v>
      </c>
      <c r="C241" s="452"/>
      <c r="D241" s="452" t="s">
        <v>185</v>
      </c>
      <c r="E241" s="452"/>
      <c r="F241" s="452" t="s">
        <v>185</v>
      </c>
      <c r="G241" s="452"/>
      <c r="H241" s="452" t="s">
        <v>115</v>
      </c>
      <c r="I241" s="452"/>
      <c r="J241" s="452" t="s">
        <v>242</v>
      </c>
      <c r="K241" s="452"/>
      <c r="L241" s="452" t="s">
        <v>125</v>
      </c>
      <c r="M241" s="452"/>
      <c r="N241" s="452" t="s">
        <v>128</v>
      </c>
      <c r="O241" s="475"/>
      <c r="P241" s="452" t="s">
        <v>185</v>
      </c>
      <c r="R241" s="452" t="s">
        <v>185</v>
      </c>
      <c r="T241" s="452" t="s">
        <v>115</v>
      </c>
      <c r="V241" s="452" t="s">
        <v>137</v>
      </c>
      <c r="X241" s="452" t="s">
        <v>137</v>
      </c>
      <c r="Z241" s="452" t="s">
        <v>182</v>
      </c>
      <c r="AB241" s="452" t="s">
        <v>182</v>
      </c>
      <c r="AF241" s="476"/>
      <c r="AG241" s="477"/>
      <c r="AH241" s="477"/>
      <c r="AI241" s="477"/>
      <c r="AJ241" s="477"/>
      <c r="AK241" s="478"/>
    </row>
    <row r="242" spans="1:37">
      <c r="B242" s="452"/>
      <c r="C242" s="452"/>
      <c r="D242" s="452"/>
      <c r="E242" s="452"/>
      <c r="F242" s="452"/>
      <c r="G242" s="452"/>
      <c r="H242" s="452"/>
      <c r="I242" s="452"/>
      <c r="J242" s="452"/>
      <c r="K242" s="452"/>
      <c r="L242" s="452"/>
      <c r="M242" s="452"/>
      <c r="N242" s="452"/>
      <c r="O242" s="475"/>
      <c r="P242" s="452"/>
      <c r="R242" s="452"/>
      <c r="T242" s="452"/>
      <c r="V242" s="452"/>
      <c r="X242" s="452"/>
      <c r="Z242" s="452"/>
      <c r="AB242" s="452"/>
      <c r="AF242" s="476"/>
      <c r="AG242" s="477"/>
      <c r="AH242" s="477"/>
      <c r="AI242" s="477"/>
      <c r="AJ242" s="477"/>
      <c r="AK242" s="477"/>
    </row>
    <row r="243" spans="1:37">
      <c r="AF243" s="509"/>
    </row>
    <row r="244" spans="1:37">
      <c r="B244" s="470" t="s">
        <v>741</v>
      </c>
      <c r="C244" s="470"/>
      <c r="D244" s="470" t="s">
        <v>742</v>
      </c>
      <c r="E244" s="470"/>
      <c r="F244" s="470" t="s">
        <v>743</v>
      </c>
      <c r="G244" s="470"/>
      <c r="H244" s="470" t="s">
        <v>744</v>
      </c>
      <c r="I244" s="470"/>
      <c r="J244" s="470" t="s">
        <v>745</v>
      </c>
      <c r="K244" s="470"/>
      <c r="L244" s="470" t="s">
        <v>746</v>
      </c>
      <c r="M244" s="470"/>
      <c r="N244" s="470" t="s">
        <v>747</v>
      </c>
      <c r="O244" s="470"/>
      <c r="P244" s="470" t="s">
        <v>748</v>
      </c>
      <c r="Q244" s="470"/>
      <c r="R244" s="470" t="s">
        <v>749</v>
      </c>
      <c r="T244" s="470" t="s">
        <v>750</v>
      </c>
      <c r="V244" s="470" t="s">
        <v>751</v>
      </c>
      <c r="X244" s="485" t="s">
        <v>752</v>
      </c>
      <c r="Z244" s="485" t="s">
        <v>753</v>
      </c>
      <c r="AB244" s="485" t="s">
        <v>754</v>
      </c>
      <c r="AF244" s="509"/>
    </row>
    <row r="245" spans="1:37">
      <c r="A245" s="469"/>
      <c r="B245" s="474"/>
      <c r="C245" s="475"/>
      <c r="D245" s="474"/>
      <c r="E245" s="475"/>
      <c r="F245" s="474"/>
      <c r="G245" s="475"/>
      <c r="H245" s="474"/>
      <c r="I245" s="475"/>
      <c r="J245" s="474"/>
      <c r="K245" s="475"/>
      <c r="L245" s="474"/>
      <c r="M245" s="475"/>
      <c r="N245" s="474"/>
      <c r="O245" s="475"/>
      <c r="P245" s="474"/>
      <c r="R245" s="474"/>
      <c r="S245" s="475"/>
      <c r="T245" s="474"/>
      <c r="U245" s="475"/>
      <c r="V245" s="474"/>
      <c r="W245" s="475"/>
      <c r="X245" s="474"/>
      <c r="Y245" s="475"/>
      <c r="Z245" s="474"/>
      <c r="AA245" s="475"/>
      <c r="AB245" s="474"/>
      <c r="AF245" s="472" t="s">
        <v>1191</v>
      </c>
      <c r="AG245" s="472" t="s">
        <v>354</v>
      </c>
      <c r="AH245" s="472" t="s">
        <v>1192</v>
      </c>
      <c r="AI245" s="472" t="s">
        <v>1193</v>
      </c>
      <c r="AJ245" s="472" t="s">
        <v>303</v>
      </c>
      <c r="AK245" s="473" t="s">
        <v>1194</v>
      </c>
    </row>
    <row r="246" spans="1:37" ht="16.5" customHeight="1" thickBot="1">
      <c r="A246" s="469"/>
      <c r="B246" s="446"/>
      <c r="C246" s="475"/>
      <c r="D246" s="446"/>
      <c r="E246" s="475"/>
      <c r="F246" s="446"/>
      <c r="G246" s="475"/>
      <c r="H246" s="446"/>
      <c r="I246" s="475"/>
      <c r="J246" s="446"/>
      <c r="K246" s="475"/>
      <c r="L246" s="446"/>
      <c r="M246" s="475"/>
      <c r="N246" s="446"/>
      <c r="O246" s="475"/>
      <c r="P246" s="446"/>
      <c r="R246" s="446"/>
      <c r="S246" s="475"/>
      <c r="T246" s="446"/>
      <c r="U246" s="475"/>
      <c r="V246" s="446"/>
      <c r="W246" s="475"/>
      <c r="X246" s="446"/>
      <c r="Y246" s="475"/>
      <c r="Z246" s="446"/>
      <c r="AA246" s="475"/>
      <c r="AB246" s="446"/>
      <c r="AF246" s="476"/>
      <c r="AG246" s="477"/>
      <c r="AH246" s="477"/>
      <c r="AI246" s="477"/>
      <c r="AJ246" s="477"/>
      <c r="AK246" s="478"/>
    </row>
    <row r="247" spans="1:37" ht="42.75" customHeight="1" thickBot="1">
      <c r="A247" s="469"/>
      <c r="B247" s="448"/>
      <c r="C247" s="479">
        <v>373.77100000000002</v>
      </c>
      <c r="D247" s="448"/>
      <c r="E247" s="479">
        <v>364</v>
      </c>
      <c r="F247" s="448"/>
      <c r="G247" s="479">
        <v>421</v>
      </c>
      <c r="H247" s="448"/>
      <c r="I247" s="479">
        <v>334</v>
      </c>
      <c r="J247" s="448"/>
      <c r="K247" s="479">
        <v>388.22</v>
      </c>
      <c r="L247" s="448"/>
      <c r="M247" s="479">
        <v>398</v>
      </c>
      <c r="N247" s="448"/>
      <c r="O247" s="479">
        <v>442.51499999999999</v>
      </c>
      <c r="P247" s="448"/>
      <c r="Q247" s="479">
        <v>415</v>
      </c>
      <c r="R247" s="448"/>
      <c r="S247" s="479">
        <v>417.96800000000002</v>
      </c>
      <c r="T247" s="448"/>
      <c r="U247" s="479">
        <v>424</v>
      </c>
      <c r="V247" s="448"/>
      <c r="W247" s="479">
        <v>415</v>
      </c>
      <c r="X247" s="448"/>
      <c r="Y247" s="479">
        <v>412.20499999999998</v>
      </c>
      <c r="Z247" s="448"/>
      <c r="AA247" s="479">
        <v>278</v>
      </c>
      <c r="AB247" s="448"/>
      <c r="AC247" s="505">
        <v>249.27199999999999</v>
      </c>
      <c r="AF247" s="472">
        <v>14</v>
      </c>
      <c r="AG247" s="472"/>
      <c r="AH247" s="472"/>
      <c r="AI247" s="472"/>
      <c r="AJ247" s="472"/>
      <c r="AK247" s="473"/>
    </row>
    <row r="248" spans="1:37" ht="16.5" customHeight="1" thickBot="1">
      <c r="A248" s="469"/>
      <c r="B248" s="481"/>
      <c r="D248" s="481"/>
      <c r="F248" s="481"/>
      <c r="H248" s="481"/>
      <c r="J248" s="481"/>
      <c r="L248" s="481"/>
      <c r="N248" s="481"/>
      <c r="P248" s="481"/>
      <c r="R248" s="481"/>
      <c r="T248" s="481"/>
      <c r="V248" s="481"/>
      <c r="X248" s="481"/>
      <c r="Z248" s="481"/>
      <c r="AB248" s="481"/>
      <c r="AF248" s="476"/>
      <c r="AG248" s="477"/>
      <c r="AH248" s="477"/>
      <c r="AI248" s="477"/>
      <c r="AJ248" s="477"/>
      <c r="AK248" s="478"/>
    </row>
    <row r="249" spans="1:37">
      <c r="A249" s="469"/>
      <c r="B249" s="452" t="s">
        <v>182</v>
      </c>
      <c r="C249" s="452"/>
      <c r="D249" s="452" t="s">
        <v>115</v>
      </c>
      <c r="E249" s="452"/>
      <c r="F249" s="452" t="s">
        <v>242</v>
      </c>
      <c r="G249" s="452"/>
      <c r="H249" s="452" t="s">
        <v>185</v>
      </c>
      <c r="I249" s="452"/>
      <c r="J249" s="452" t="s">
        <v>242</v>
      </c>
      <c r="K249" s="452"/>
      <c r="L249" s="452" t="s">
        <v>192</v>
      </c>
      <c r="M249" s="452"/>
      <c r="N249" s="452" t="s">
        <v>248</v>
      </c>
      <c r="O249" s="475"/>
      <c r="P249" s="452" t="s">
        <v>137</v>
      </c>
      <c r="Q249" s="452"/>
      <c r="R249" s="452" t="s">
        <v>242</v>
      </c>
      <c r="T249" s="452" t="s">
        <v>115</v>
      </c>
      <c r="V249" s="452" t="s">
        <v>185</v>
      </c>
      <c r="X249" s="485" t="s">
        <v>248</v>
      </c>
      <c r="Z249" s="485" t="s">
        <v>128</v>
      </c>
      <c r="AB249" s="485" t="s">
        <v>182</v>
      </c>
      <c r="AF249" s="476"/>
      <c r="AG249" s="477"/>
      <c r="AH249" s="477"/>
      <c r="AI249" s="477"/>
      <c r="AJ249" s="477"/>
      <c r="AK249" s="478"/>
    </row>
    <row r="250" spans="1:37">
      <c r="B250" s="452"/>
      <c r="C250" s="452"/>
      <c r="D250" s="452"/>
      <c r="E250" s="452"/>
      <c r="F250" s="452"/>
      <c r="G250" s="452"/>
      <c r="H250" s="452"/>
      <c r="I250" s="452"/>
      <c r="J250" s="452"/>
      <c r="K250" s="452"/>
      <c r="L250" s="452"/>
      <c r="M250" s="452"/>
      <c r="N250" s="452"/>
      <c r="O250" s="475"/>
      <c r="P250" s="452"/>
      <c r="Q250" s="452"/>
      <c r="R250" s="452"/>
      <c r="T250" s="452"/>
      <c r="V250" s="452"/>
      <c r="X250" s="485"/>
      <c r="Z250" s="485"/>
      <c r="AB250" s="485"/>
      <c r="AF250" s="476"/>
      <c r="AG250" s="477"/>
      <c r="AH250" s="477"/>
      <c r="AI250" s="477"/>
      <c r="AJ250" s="477"/>
      <c r="AK250" s="477"/>
    </row>
    <row r="251" spans="1:37">
      <c r="AF251" s="509"/>
    </row>
    <row r="252" spans="1:37">
      <c r="B252" s="485" t="s">
        <v>1283</v>
      </c>
      <c r="C252" s="485"/>
      <c r="D252" s="485" t="s">
        <v>755</v>
      </c>
      <c r="F252" s="485" t="s">
        <v>756</v>
      </c>
      <c r="H252" s="485" t="s">
        <v>1284</v>
      </c>
      <c r="J252" s="485" t="s">
        <v>758</v>
      </c>
      <c r="L252" s="485" t="s">
        <v>759</v>
      </c>
      <c r="N252" s="485" t="s">
        <v>760</v>
      </c>
      <c r="P252" s="485" t="s">
        <v>761</v>
      </c>
      <c r="R252" s="485" t="s">
        <v>762</v>
      </c>
      <c r="T252" s="485" t="s">
        <v>180</v>
      </c>
      <c r="V252" s="485" t="s">
        <v>181</v>
      </c>
      <c r="X252" s="485" t="s">
        <v>183</v>
      </c>
      <c r="Z252" s="485" t="s">
        <v>763</v>
      </c>
      <c r="AB252" s="485" t="s">
        <v>764</v>
      </c>
      <c r="AF252" s="509"/>
    </row>
    <row r="253" spans="1:37">
      <c r="A253" s="469"/>
      <c r="B253" s="474"/>
      <c r="C253" s="475"/>
      <c r="D253" s="474"/>
      <c r="E253" s="475"/>
      <c r="F253" s="474"/>
      <c r="G253" s="475"/>
      <c r="H253" s="474"/>
      <c r="I253" s="475"/>
      <c r="J253" s="474"/>
      <c r="K253" s="475"/>
      <c r="L253" s="474"/>
      <c r="M253" s="475"/>
      <c r="N253" s="474"/>
      <c r="O253" s="475"/>
      <c r="P253" s="474"/>
      <c r="R253" s="474"/>
      <c r="S253" s="475"/>
      <c r="T253" s="474"/>
      <c r="U253" s="475"/>
      <c r="V253" s="474"/>
      <c r="W253" s="475"/>
      <c r="X253" s="474"/>
      <c r="Y253" s="475"/>
      <c r="Z253" s="474"/>
      <c r="AA253" s="475"/>
      <c r="AB253" s="474"/>
      <c r="AF253" s="472" t="s">
        <v>1191</v>
      </c>
      <c r="AG253" s="472"/>
      <c r="AH253" s="472"/>
      <c r="AI253" s="472"/>
      <c r="AJ253" s="472"/>
      <c r="AK253" s="473"/>
    </row>
    <row r="254" spans="1:37" ht="16.5" customHeight="1" thickBot="1">
      <c r="A254" s="469"/>
      <c r="B254" s="446"/>
      <c r="C254" s="475"/>
      <c r="D254" s="446"/>
      <c r="E254" s="475"/>
      <c r="F254" s="446"/>
      <c r="G254" s="475"/>
      <c r="H254" s="446"/>
      <c r="I254" s="475"/>
      <c r="J254" s="446"/>
      <c r="K254" s="475"/>
      <c r="L254" s="446"/>
      <c r="M254" s="475"/>
      <c r="N254" s="446"/>
      <c r="O254" s="475"/>
      <c r="P254" s="446"/>
      <c r="R254" s="446"/>
      <c r="S254" s="475"/>
      <c r="T254" s="446"/>
      <c r="U254" s="475"/>
      <c r="V254" s="446"/>
      <c r="W254" s="475"/>
      <c r="X254" s="446"/>
      <c r="Y254" s="475"/>
      <c r="Z254" s="446"/>
      <c r="AA254" s="475"/>
      <c r="AB254" s="446"/>
      <c r="AF254" s="476"/>
      <c r="AG254" s="477"/>
      <c r="AH254" s="477"/>
      <c r="AI254" s="477"/>
      <c r="AJ254" s="477"/>
      <c r="AK254" s="478"/>
    </row>
    <row r="255" spans="1:37" ht="42.75" customHeight="1" thickBot="1">
      <c r="A255" s="469"/>
      <c r="B255" s="448"/>
      <c r="C255" s="479">
        <v>395</v>
      </c>
      <c r="D255" s="448"/>
      <c r="E255" s="479">
        <v>408</v>
      </c>
      <c r="F255" s="448"/>
      <c r="G255" s="479">
        <v>352.00200000000001</v>
      </c>
      <c r="H255" s="448"/>
      <c r="I255" s="479">
        <v>373.572</v>
      </c>
      <c r="J255" s="448"/>
      <c r="K255" s="479">
        <v>367</v>
      </c>
      <c r="L255" s="448"/>
      <c r="M255" s="479">
        <v>384</v>
      </c>
      <c r="N255" s="448"/>
      <c r="O255" s="479">
        <v>385</v>
      </c>
      <c r="P255" s="448"/>
      <c r="Q255" s="505">
        <v>419.36799999999999</v>
      </c>
      <c r="R255" s="448"/>
      <c r="S255" s="479">
        <v>288</v>
      </c>
      <c r="T255" s="448"/>
      <c r="U255" s="479">
        <v>404</v>
      </c>
      <c r="V255" s="448"/>
      <c r="W255" s="479">
        <v>413</v>
      </c>
      <c r="X255" s="448"/>
      <c r="Y255" s="479">
        <v>414</v>
      </c>
      <c r="Z255" s="448"/>
      <c r="AA255" s="479">
        <v>414</v>
      </c>
      <c r="AB255" s="448"/>
      <c r="AC255" s="505">
        <v>425</v>
      </c>
      <c r="AF255" s="472">
        <v>14</v>
      </c>
      <c r="AG255" s="472"/>
      <c r="AH255" s="472"/>
      <c r="AI255" s="472"/>
      <c r="AJ255" s="472"/>
      <c r="AK255" s="473"/>
    </row>
    <row r="256" spans="1:37" ht="16.5" customHeight="1" thickBot="1">
      <c r="A256" s="469"/>
      <c r="B256" s="481"/>
      <c r="D256" s="481"/>
      <c r="F256" s="481"/>
      <c r="H256" s="481"/>
      <c r="J256" s="481"/>
      <c r="L256" s="481"/>
      <c r="N256" s="481"/>
      <c r="P256" s="481"/>
      <c r="R256" s="481"/>
      <c r="T256" s="481"/>
      <c r="V256" s="481"/>
      <c r="X256" s="481"/>
      <c r="Z256" s="481"/>
      <c r="AB256" s="481"/>
      <c r="AF256" s="476"/>
      <c r="AG256" s="477"/>
      <c r="AH256" s="477"/>
      <c r="AI256" s="477"/>
      <c r="AJ256" s="477"/>
      <c r="AK256" s="478"/>
    </row>
    <row r="257" spans="1:37">
      <c r="A257" s="469"/>
      <c r="B257" s="452" t="s">
        <v>125</v>
      </c>
      <c r="C257" s="452"/>
      <c r="D257" s="452" t="s">
        <v>185</v>
      </c>
      <c r="E257" s="452"/>
      <c r="F257" s="452" t="s">
        <v>185</v>
      </c>
      <c r="G257" s="452"/>
      <c r="H257" s="452" t="s">
        <v>125</v>
      </c>
      <c r="I257" s="452"/>
      <c r="J257" s="452" t="s">
        <v>182</v>
      </c>
      <c r="K257" s="452"/>
      <c r="L257" s="452" t="s">
        <v>182</v>
      </c>
      <c r="M257" s="452"/>
      <c r="N257" s="452" t="s">
        <v>182</v>
      </c>
      <c r="O257" s="475"/>
      <c r="P257" s="452" t="s">
        <v>182</v>
      </c>
      <c r="R257" s="566" t="s">
        <v>115</v>
      </c>
      <c r="T257" s="566" t="s">
        <v>182</v>
      </c>
      <c r="V257" s="566" t="s">
        <v>182</v>
      </c>
      <c r="X257" s="566" t="s">
        <v>182</v>
      </c>
      <c r="Z257" s="566" t="s">
        <v>182</v>
      </c>
      <c r="AB257" s="566" t="s">
        <v>182</v>
      </c>
      <c r="AF257" s="476"/>
      <c r="AG257" s="477"/>
      <c r="AH257" s="477"/>
      <c r="AI257" s="477"/>
      <c r="AJ257" s="477"/>
      <c r="AK257" s="478"/>
    </row>
    <row r="258" spans="1:37">
      <c r="B258" s="452"/>
      <c r="C258" s="452"/>
      <c r="D258" s="452"/>
      <c r="E258" s="452"/>
      <c r="F258" s="452"/>
      <c r="G258" s="452"/>
      <c r="H258" s="452"/>
      <c r="I258" s="452"/>
      <c r="J258" s="452"/>
      <c r="K258" s="452"/>
      <c r="L258" s="452"/>
      <c r="M258" s="452"/>
      <c r="N258" s="452"/>
      <c r="O258" s="475"/>
      <c r="P258" s="452"/>
      <c r="R258" s="485"/>
      <c r="T258" s="485"/>
      <c r="V258" s="567" t="s">
        <v>454</v>
      </c>
      <c r="X258" s="485"/>
      <c r="Z258" s="485"/>
      <c r="AB258" s="485"/>
      <c r="AF258" s="476"/>
      <c r="AG258" s="477"/>
      <c r="AH258" s="477"/>
      <c r="AI258" s="477"/>
      <c r="AJ258" s="477"/>
      <c r="AK258" s="477"/>
    </row>
    <row r="259" spans="1:37">
      <c r="AF259" s="509"/>
    </row>
    <row r="260" spans="1:37">
      <c r="B260" s="485" t="s">
        <v>765</v>
      </c>
      <c r="C260" s="485"/>
      <c r="D260" s="485" t="s">
        <v>766</v>
      </c>
      <c r="E260" s="485"/>
      <c r="F260" s="485" t="s">
        <v>767</v>
      </c>
      <c r="G260" s="485"/>
      <c r="H260" s="485" t="s">
        <v>769</v>
      </c>
      <c r="I260" s="485"/>
      <c r="J260" s="485" t="s">
        <v>1361</v>
      </c>
      <c r="K260" s="485"/>
      <c r="L260" s="485" t="s">
        <v>1357</v>
      </c>
      <c r="M260" s="485"/>
      <c r="N260" s="485" t="s">
        <v>1358</v>
      </c>
      <c r="O260" s="485"/>
      <c r="P260" s="485" t="s">
        <v>1359</v>
      </c>
      <c r="Q260" s="485"/>
      <c r="R260" s="485" t="s">
        <v>1362</v>
      </c>
      <c r="S260" s="485"/>
      <c r="T260" s="485" t="s">
        <v>773</v>
      </c>
      <c r="U260" s="485"/>
      <c r="V260" s="485" t="s">
        <v>774</v>
      </c>
      <c r="W260" s="485"/>
      <c r="X260" s="485" t="s">
        <v>775</v>
      </c>
      <c r="Y260" s="485"/>
      <c r="Z260" s="485" t="s">
        <v>776</v>
      </c>
      <c r="AA260" s="485"/>
      <c r="AB260" s="485" t="s">
        <v>777</v>
      </c>
      <c r="AC260" s="485"/>
      <c r="AD260" s="485" t="s">
        <v>778</v>
      </c>
      <c r="AE260" s="485"/>
      <c r="AF260" s="509"/>
    </row>
    <row r="261" spans="1:37">
      <c r="A261" s="469"/>
      <c r="B261" s="474"/>
      <c r="C261" s="475"/>
      <c r="D261" s="474"/>
      <c r="E261" s="475"/>
      <c r="F261" s="474"/>
      <c r="G261" s="475"/>
      <c r="H261" s="474"/>
      <c r="I261" s="475"/>
      <c r="J261" s="474"/>
      <c r="K261" s="475"/>
      <c r="L261" s="474"/>
      <c r="M261" s="475"/>
      <c r="N261" s="474"/>
      <c r="O261" s="475"/>
      <c r="P261" s="474"/>
      <c r="R261" s="474"/>
      <c r="S261" s="475"/>
      <c r="T261" s="474"/>
      <c r="U261" s="475"/>
      <c r="V261" s="474"/>
      <c r="W261" s="475"/>
      <c r="X261" s="474"/>
      <c r="Y261" s="475"/>
      <c r="Z261" s="474"/>
      <c r="AA261" s="475"/>
      <c r="AB261" s="474"/>
      <c r="AD261" s="474"/>
      <c r="AF261" s="472" t="s">
        <v>1191</v>
      </c>
      <c r="AG261" s="472" t="s">
        <v>354</v>
      </c>
      <c r="AH261" s="472" t="s">
        <v>1192</v>
      </c>
      <c r="AI261" s="472" t="s">
        <v>1193</v>
      </c>
      <c r="AJ261" s="472" t="s">
        <v>303</v>
      </c>
      <c r="AK261" s="473" t="s">
        <v>1194</v>
      </c>
    </row>
    <row r="262" spans="1:37" ht="16.5" customHeight="1" thickBot="1">
      <c r="A262" s="469"/>
      <c r="B262" s="446"/>
      <c r="C262" s="475"/>
      <c r="D262" s="446"/>
      <c r="E262" s="475"/>
      <c r="F262" s="446"/>
      <c r="G262" s="475"/>
      <c r="H262" s="446"/>
      <c r="I262" s="475"/>
      <c r="J262" s="446"/>
      <c r="K262" s="475"/>
      <c r="L262" s="446"/>
      <c r="M262" s="475"/>
      <c r="N262" s="446"/>
      <c r="O262" s="475"/>
      <c r="P262" s="446"/>
      <c r="R262" s="446"/>
      <c r="S262" s="475"/>
      <c r="T262" s="446"/>
      <c r="U262" s="475"/>
      <c r="V262" s="446"/>
      <c r="W262" s="475"/>
      <c r="X262" s="446"/>
      <c r="Y262" s="475"/>
      <c r="Z262" s="446"/>
      <c r="AA262" s="475"/>
      <c r="AB262" s="446"/>
      <c r="AD262" s="446"/>
      <c r="AF262" s="476"/>
      <c r="AG262" s="477"/>
      <c r="AH262" s="477"/>
      <c r="AI262" s="477"/>
      <c r="AJ262" s="477"/>
      <c r="AK262" s="478"/>
    </row>
    <row r="263" spans="1:37" ht="32" customHeight="1" thickBot="1">
      <c r="A263" s="469"/>
      <c r="B263" s="448"/>
      <c r="C263" s="479">
        <v>410.108</v>
      </c>
      <c r="D263" s="568"/>
      <c r="E263" s="479">
        <v>414.82499999999999</v>
      </c>
      <c r="F263" s="568"/>
      <c r="G263" s="479">
        <v>360.43099999999998</v>
      </c>
      <c r="H263" s="568"/>
      <c r="I263" s="479">
        <v>226</v>
      </c>
      <c r="J263" s="568"/>
      <c r="K263" s="479">
        <v>438.03699999999998</v>
      </c>
      <c r="L263" s="568"/>
      <c r="M263" s="479">
        <v>402.73700000000002</v>
      </c>
      <c r="N263" s="568"/>
      <c r="O263" s="479">
        <v>433.49</v>
      </c>
      <c r="P263" s="568"/>
      <c r="Q263" s="479">
        <v>409.20600000000002</v>
      </c>
      <c r="R263" s="568"/>
      <c r="S263" s="479">
        <v>436.60500000000002</v>
      </c>
      <c r="T263" s="568"/>
      <c r="U263" s="479">
        <v>394.613</v>
      </c>
      <c r="V263" s="568"/>
      <c r="W263" s="479">
        <v>383.90100000000001</v>
      </c>
      <c r="X263" s="568"/>
      <c r="Y263" s="479">
        <v>356.322</v>
      </c>
      <c r="Z263" s="568"/>
      <c r="AA263" s="479">
        <v>378.30099999999999</v>
      </c>
      <c r="AB263" s="568"/>
      <c r="AC263" s="479">
        <v>356.02800000000002</v>
      </c>
      <c r="AD263" s="448"/>
      <c r="AF263" s="472">
        <v>14</v>
      </c>
      <c r="AG263" s="472"/>
      <c r="AH263" s="472"/>
      <c r="AI263" s="472"/>
      <c r="AJ263" s="472"/>
      <c r="AK263" s="473"/>
    </row>
    <row r="264" spans="1:37" ht="16.5" customHeight="1" thickBot="1">
      <c r="A264" s="469"/>
      <c r="B264" s="481"/>
      <c r="D264" s="481"/>
      <c r="F264" s="481"/>
      <c r="H264" s="481"/>
      <c r="J264" s="481"/>
      <c r="L264" s="481"/>
      <c r="N264" s="481"/>
      <c r="P264" s="481"/>
      <c r="R264" s="481"/>
      <c r="T264" s="481"/>
      <c r="V264" s="481"/>
      <c r="X264" s="481"/>
      <c r="Z264" s="481"/>
      <c r="AB264" s="481"/>
      <c r="AD264" s="481"/>
      <c r="AF264" s="476"/>
      <c r="AG264" s="477"/>
      <c r="AH264" s="477"/>
      <c r="AI264" s="477"/>
      <c r="AJ264" s="477"/>
      <c r="AK264" s="478"/>
    </row>
    <row r="265" spans="1:37">
      <c r="A265" s="469"/>
      <c r="B265" s="485" t="s">
        <v>185</v>
      </c>
      <c r="C265" s="485"/>
      <c r="D265" s="485" t="s">
        <v>182</v>
      </c>
      <c r="E265" s="485"/>
      <c r="F265" s="485" t="s">
        <v>242</v>
      </c>
      <c r="G265" s="485"/>
      <c r="H265" s="485" t="s">
        <v>125</v>
      </c>
      <c r="I265" s="485"/>
      <c r="J265" s="485" t="s">
        <v>125</v>
      </c>
      <c r="K265" s="485"/>
      <c r="L265" s="485" t="s">
        <v>248</v>
      </c>
      <c r="M265" s="485"/>
      <c r="N265" s="485" t="s">
        <v>185</v>
      </c>
      <c r="O265" s="485"/>
      <c r="P265" s="485" t="s">
        <v>242</v>
      </c>
      <c r="Q265" s="485"/>
      <c r="R265" s="485" t="s">
        <v>248</v>
      </c>
      <c r="S265" s="485"/>
      <c r="T265" s="485" t="s">
        <v>115</v>
      </c>
      <c r="U265" s="485"/>
      <c r="V265" s="485" t="s">
        <v>182</v>
      </c>
      <c r="W265" s="485"/>
      <c r="X265" s="485" t="s">
        <v>185</v>
      </c>
      <c r="Y265" s="485"/>
      <c r="Z265" s="485" t="s">
        <v>242</v>
      </c>
      <c r="AA265" s="485"/>
      <c r="AB265" s="485" t="s">
        <v>125</v>
      </c>
      <c r="AC265" s="485"/>
      <c r="AD265" s="485" t="s">
        <v>188</v>
      </c>
      <c r="AF265" s="476"/>
      <c r="AG265" s="477"/>
      <c r="AH265" s="477"/>
      <c r="AI265" s="477"/>
      <c r="AJ265" s="477"/>
      <c r="AK265" s="478"/>
    </row>
    <row r="266" spans="1:37">
      <c r="B266" s="452"/>
      <c r="C266" s="452"/>
      <c r="D266" s="452"/>
      <c r="E266" s="452"/>
      <c r="F266" s="452"/>
      <c r="G266" s="452"/>
      <c r="H266" s="452"/>
      <c r="I266" s="452"/>
      <c r="J266" s="452"/>
      <c r="K266" s="452"/>
      <c r="L266" s="452"/>
      <c r="M266" s="452"/>
      <c r="N266" s="452"/>
      <c r="O266" s="475"/>
      <c r="P266" s="452"/>
      <c r="R266" s="485"/>
      <c r="T266" s="485"/>
      <c r="V266" s="485"/>
      <c r="X266" s="485"/>
      <c r="Z266" s="485"/>
      <c r="AB266" s="485"/>
      <c r="AF266" s="476"/>
      <c r="AG266" s="477"/>
      <c r="AH266" s="477"/>
      <c r="AI266" s="477"/>
      <c r="AJ266" s="477"/>
      <c r="AK266" s="477"/>
    </row>
    <row r="267" spans="1:37">
      <c r="AF267" s="509"/>
    </row>
    <row r="268" spans="1:37">
      <c r="B268" s="485" t="s">
        <v>779</v>
      </c>
      <c r="D268" s="505" t="s">
        <v>780</v>
      </c>
      <c r="F268" s="505" t="s">
        <v>781</v>
      </c>
      <c r="H268" s="505" t="s">
        <v>782</v>
      </c>
      <c r="J268" s="485" t="s">
        <v>783</v>
      </c>
      <c r="L268" s="485" t="s">
        <v>784</v>
      </c>
      <c r="N268" s="485" t="s">
        <v>785</v>
      </c>
      <c r="P268" s="485" t="s">
        <v>786</v>
      </c>
      <c r="R268" s="485" t="s">
        <v>787</v>
      </c>
      <c r="T268" s="485" t="s">
        <v>788</v>
      </c>
      <c r="V268" s="485" t="s">
        <v>789</v>
      </c>
      <c r="X268" s="485" t="s">
        <v>790</v>
      </c>
      <c r="Z268" s="505" t="s">
        <v>791</v>
      </c>
      <c r="AB268" s="485" t="s">
        <v>792</v>
      </c>
      <c r="AF268" s="509"/>
    </row>
    <row r="269" spans="1:37">
      <c r="A269" s="469"/>
      <c r="B269" s="474"/>
      <c r="C269" s="475"/>
      <c r="D269" s="474"/>
      <c r="E269" s="475"/>
      <c r="F269" s="474"/>
      <c r="G269" s="475"/>
      <c r="H269" s="474"/>
      <c r="I269" s="475"/>
      <c r="J269" s="474"/>
      <c r="K269" s="475"/>
      <c r="L269" s="474"/>
      <c r="M269" s="475"/>
      <c r="N269" s="474"/>
      <c r="O269" s="475"/>
      <c r="P269" s="474"/>
      <c r="R269" s="474"/>
      <c r="S269" s="475"/>
      <c r="T269" s="474"/>
      <c r="U269" s="475"/>
      <c r="V269" s="474"/>
      <c r="W269" s="475"/>
      <c r="X269" s="474"/>
      <c r="Y269" s="475"/>
      <c r="Z269" s="474"/>
      <c r="AA269" s="475"/>
      <c r="AB269" s="474"/>
      <c r="AF269" s="472" t="s">
        <v>1191</v>
      </c>
      <c r="AG269" s="472"/>
      <c r="AH269" s="472"/>
      <c r="AI269" s="472"/>
      <c r="AJ269" s="472"/>
      <c r="AK269" s="473"/>
    </row>
    <row r="270" spans="1:37" ht="16.5" customHeight="1" thickBot="1">
      <c r="A270" s="469"/>
      <c r="B270" s="446"/>
      <c r="C270" s="475"/>
      <c r="D270" s="446"/>
      <c r="E270" s="475"/>
      <c r="F270" s="446"/>
      <c r="G270" s="475"/>
      <c r="H270" s="446"/>
      <c r="I270" s="475"/>
      <c r="J270" s="446"/>
      <c r="K270" s="475"/>
      <c r="L270" s="446"/>
      <c r="M270" s="475"/>
      <c r="N270" s="446"/>
      <c r="O270" s="475"/>
      <c r="P270" s="446"/>
      <c r="R270" s="446"/>
      <c r="S270" s="475"/>
      <c r="T270" s="446"/>
      <c r="U270" s="475"/>
      <c r="V270" s="446"/>
      <c r="W270" s="475"/>
      <c r="X270" s="446"/>
      <c r="Y270" s="475"/>
      <c r="Z270" s="446"/>
      <c r="AA270" s="475"/>
      <c r="AB270" s="446"/>
      <c r="AF270" s="476"/>
      <c r="AG270" s="477"/>
      <c r="AH270" s="477"/>
      <c r="AI270" s="477"/>
      <c r="AJ270" s="477"/>
      <c r="AK270" s="478"/>
    </row>
    <row r="271" spans="1:37" ht="32.5" customHeight="1" thickBot="1">
      <c r="A271" s="469"/>
      <c r="B271" s="448"/>
      <c r="C271" s="479">
        <v>381</v>
      </c>
      <c r="D271" s="448"/>
      <c r="E271" s="479">
        <v>334</v>
      </c>
      <c r="F271" s="448"/>
      <c r="G271" s="479">
        <v>347</v>
      </c>
      <c r="H271" s="448"/>
      <c r="I271" s="479">
        <v>375.54599999999999</v>
      </c>
      <c r="J271" s="448"/>
      <c r="K271" s="479">
        <v>392</v>
      </c>
      <c r="L271" s="448"/>
      <c r="M271" s="479">
        <v>407.97399999999999</v>
      </c>
      <c r="N271" s="448"/>
      <c r="O271" s="479">
        <v>392</v>
      </c>
      <c r="P271" s="448"/>
      <c r="Q271" s="505">
        <v>405</v>
      </c>
      <c r="R271" s="448"/>
      <c r="S271" s="479">
        <v>435</v>
      </c>
      <c r="T271" s="448"/>
      <c r="U271" s="479">
        <v>378.32799999999997</v>
      </c>
      <c r="V271" s="448"/>
      <c r="W271" s="479">
        <v>386</v>
      </c>
      <c r="X271" s="448"/>
      <c r="Y271" s="479">
        <v>391</v>
      </c>
      <c r="Z271" s="448"/>
      <c r="AA271" s="479">
        <v>399.827</v>
      </c>
      <c r="AB271" s="448"/>
      <c r="AC271" s="510">
        <v>437.00799999999998</v>
      </c>
      <c r="AF271" s="472">
        <v>14</v>
      </c>
      <c r="AG271" s="472"/>
      <c r="AH271" s="472"/>
      <c r="AI271" s="472"/>
      <c r="AJ271" s="472"/>
      <c r="AK271" s="473"/>
    </row>
    <row r="272" spans="1:37" ht="16.5" customHeight="1" thickBot="1">
      <c r="A272" s="469"/>
      <c r="B272" s="481"/>
      <c r="D272" s="481"/>
      <c r="F272" s="481"/>
      <c r="H272" s="481"/>
      <c r="J272" s="481"/>
      <c r="L272" s="481"/>
      <c r="N272" s="481"/>
      <c r="P272" s="481"/>
      <c r="R272" s="481"/>
      <c r="T272" s="481"/>
      <c r="V272" s="481"/>
      <c r="X272" s="481"/>
      <c r="Z272" s="481"/>
      <c r="AB272" s="481"/>
      <c r="AF272" s="476"/>
      <c r="AG272" s="477"/>
      <c r="AH272" s="477"/>
      <c r="AI272" s="477"/>
      <c r="AJ272" s="477"/>
      <c r="AK272" s="478"/>
    </row>
    <row r="273" spans="1:37">
      <c r="A273" s="469"/>
      <c r="B273" s="452" t="s">
        <v>188</v>
      </c>
      <c r="C273" s="452"/>
      <c r="D273" s="452" t="s">
        <v>182</v>
      </c>
      <c r="E273" s="452"/>
      <c r="F273" s="452" t="s">
        <v>182</v>
      </c>
      <c r="G273" s="452"/>
      <c r="H273" s="452" t="s">
        <v>182</v>
      </c>
      <c r="I273" s="452"/>
      <c r="J273" s="452" t="s">
        <v>137</v>
      </c>
      <c r="K273" s="452"/>
      <c r="L273" s="452" t="s">
        <v>248</v>
      </c>
      <c r="M273" s="452"/>
      <c r="N273" s="452" t="s">
        <v>119</v>
      </c>
      <c r="O273" s="475"/>
      <c r="P273" s="452" t="s">
        <v>185</v>
      </c>
      <c r="R273" s="485" t="s">
        <v>185</v>
      </c>
      <c r="T273" s="485" t="s">
        <v>185</v>
      </c>
      <c r="V273" s="485" t="s">
        <v>115</v>
      </c>
      <c r="X273" s="485" t="s">
        <v>182</v>
      </c>
      <c r="Z273" s="510" t="s">
        <v>242</v>
      </c>
      <c r="AB273" s="485" t="s">
        <v>137</v>
      </c>
      <c r="AF273" s="476"/>
      <c r="AG273" s="477"/>
      <c r="AH273" s="477"/>
      <c r="AI273" s="477"/>
      <c r="AJ273" s="477"/>
      <c r="AK273" s="478"/>
    </row>
    <row r="274" spans="1:37">
      <c r="B274" s="452"/>
      <c r="C274" s="452"/>
      <c r="D274" s="452"/>
      <c r="E274" s="452"/>
      <c r="F274" s="452"/>
      <c r="G274" s="452"/>
      <c r="H274" s="452"/>
      <c r="I274" s="452"/>
      <c r="J274" s="452"/>
      <c r="K274" s="452"/>
      <c r="L274" s="452"/>
      <c r="M274" s="452"/>
      <c r="N274" s="452"/>
      <c r="O274" s="475"/>
      <c r="P274" s="452"/>
      <c r="R274" s="485"/>
      <c r="T274" s="485"/>
      <c r="V274" s="485"/>
      <c r="X274" s="485"/>
      <c r="Z274" s="510"/>
      <c r="AB274" s="485"/>
      <c r="AF274" s="476"/>
      <c r="AG274" s="477"/>
      <c r="AH274" s="477"/>
      <c r="AI274" s="477"/>
      <c r="AJ274" s="477"/>
      <c r="AK274" s="477"/>
    </row>
    <row r="275" spans="1:37">
      <c r="AF275" s="509"/>
    </row>
    <row r="276" spans="1:37">
      <c r="B276" s="485" t="s">
        <v>793</v>
      </c>
      <c r="D276" s="505" t="s">
        <v>794</v>
      </c>
      <c r="F276" s="505" t="s">
        <v>795</v>
      </c>
      <c r="G276" s="505"/>
      <c r="H276" s="505" t="s">
        <v>796</v>
      </c>
      <c r="I276" s="505"/>
      <c r="J276" s="505" t="s">
        <v>797</v>
      </c>
      <c r="K276" s="505"/>
      <c r="L276" s="505" t="s">
        <v>798</v>
      </c>
      <c r="M276" s="505"/>
      <c r="N276" s="505" t="s">
        <v>799</v>
      </c>
      <c r="O276" s="505"/>
      <c r="P276" s="505" t="s">
        <v>800</v>
      </c>
      <c r="Q276" s="505"/>
      <c r="R276" s="505" t="s">
        <v>801</v>
      </c>
      <c r="S276" s="505"/>
      <c r="T276" s="505" t="s">
        <v>802</v>
      </c>
      <c r="U276" s="505"/>
      <c r="V276" s="505" t="s">
        <v>803</v>
      </c>
      <c r="W276" s="505"/>
      <c r="X276" s="505" t="s">
        <v>804</v>
      </c>
      <c r="Y276" s="505"/>
      <c r="Z276" s="505" t="s">
        <v>805</v>
      </c>
      <c r="AA276" s="505"/>
      <c r="AB276" s="505" t="s">
        <v>806</v>
      </c>
      <c r="AF276" s="509"/>
    </row>
    <row r="277" spans="1:37">
      <c r="A277" s="469"/>
      <c r="B277" s="474"/>
      <c r="C277" s="475"/>
      <c r="D277" s="474"/>
      <c r="E277" s="475"/>
      <c r="F277" s="474"/>
      <c r="G277" s="475"/>
      <c r="H277" s="474"/>
      <c r="I277" s="475"/>
      <c r="J277" s="474"/>
      <c r="K277" s="475"/>
      <c r="L277" s="474"/>
      <c r="M277" s="475"/>
      <c r="N277" s="474"/>
      <c r="O277" s="475"/>
      <c r="P277" s="474"/>
      <c r="R277" s="474"/>
      <c r="S277" s="475"/>
      <c r="T277" s="474"/>
      <c r="U277" s="475"/>
      <c r="V277" s="474"/>
      <c r="W277" s="475"/>
      <c r="X277" s="474"/>
      <c r="Y277" s="475"/>
      <c r="Z277" s="474"/>
      <c r="AA277" s="475"/>
      <c r="AB277" s="474"/>
      <c r="AF277" s="472" t="s">
        <v>1191</v>
      </c>
      <c r="AG277" s="472"/>
      <c r="AH277" s="472"/>
      <c r="AI277" s="472"/>
      <c r="AJ277" s="472"/>
      <c r="AK277" s="473"/>
    </row>
    <row r="278" spans="1:37" ht="16.5" customHeight="1" thickBot="1">
      <c r="A278" s="469"/>
      <c r="B278" s="446"/>
      <c r="C278" s="475"/>
      <c r="D278" s="446"/>
      <c r="E278" s="475"/>
      <c r="F278" s="446"/>
      <c r="G278" s="475"/>
      <c r="H278" s="446"/>
      <c r="I278" s="475"/>
      <c r="J278" s="446"/>
      <c r="K278" s="475"/>
      <c r="L278" s="446"/>
      <c r="M278" s="475"/>
      <c r="N278" s="446"/>
      <c r="O278" s="475"/>
      <c r="P278" s="446"/>
      <c r="R278" s="446"/>
      <c r="S278" s="475"/>
      <c r="T278" s="446"/>
      <c r="U278" s="475"/>
      <c r="V278" s="446"/>
      <c r="W278" s="475"/>
      <c r="X278" s="446"/>
      <c r="Y278" s="475"/>
      <c r="Z278" s="446"/>
      <c r="AA278" s="475"/>
      <c r="AB278" s="446"/>
      <c r="AF278" s="476"/>
      <c r="AG278" s="477"/>
      <c r="AH278" s="477"/>
      <c r="AI278" s="477"/>
      <c r="AJ278" s="477"/>
      <c r="AK278" s="478"/>
    </row>
    <row r="279" spans="1:37" ht="33" customHeight="1" thickBot="1">
      <c r="A279" s="469"/>
      <c r="B279" s="448"/>
      <c r="C279" s="479">
        <v>401.75700000000001</v>
      </c>
      <c r="D279" s="448"/>
      <c r="E279" s="479">
        <v>416.24299999999999</v>
      </c>
      <c r="F279" s="448"/>
      <c r="G279" s="479">
        <v>417</v>
      </c>
      <c r="H279" s="448"/>
      <c r="I279" s="479">
        <v>399</v>
      </c>
      <c r="J279" s="448"/>
      <c r="K279" s="479">
        <v>420</v>
      </c>
      <c r="L279" s="448"/>
      <c r="M279" s="479">
        <v>409</v>
      </c>
      <c r="N279" s="448"/>
      <c r="O279" s="479">
        <v>412</v>
      </c>
      <c r="P279" s="448"/>
      <c r="Q279" s="505">
        <v>400.40600000000001</v>
      </c>
      <c r="R279" s="448"/>
      <c r="S279" s="479">
        <v>232.12299999999999</v>
      </c>
      <c r="T279" s="448"/>
      <c r="U279" s="479">
        <v>442</v>
      </c>
      <c r="V279" s="448"/>
      <c r="W279" s="479">
        <v>385</v>
      </c>
      <c r="X279" s="448"/>
      <c r="Y279" s="479">
        <v>362</v>
      </c>
      <c r="Z279" s="448"/>
      <c r="AA279" s="479">
        <v>399</v>
      </c>
      <c r="AB279" s="448"/>
      <c r="AC279" s="505">
        <v>382.072</v>
      </c>
      <c r="AF279" s="472">
        <v>14</v>
      </c>
      <c r="AG279" s="472"/>
      <c r="AH279" s="472"/>
      <c r="AI279" s="472"/>
      <c r="AJ279" s="472"/>
      <c r="AK279" s="473"/>
    </row>
    <row r="280" spans="1:37" ht="16.5" customHeight="1" thickBot="1">
      <c r="A280" s="469"/>
      <c r="B280" s="481"/>
      <c r="D280" s="481"/>
      <c r="F280" s="481"/>
      <c r="H280" s="481"/>
      <c r="J280" s="481"/>
      <c r="L280" s="481"/>
      <c r="N280" s="481"/>
      <c r="P280" s="481"/>
      <c r="R280" s="481"/>
      <c r="T280" s="481"/>
      <c r="V280" s="481"/>
      <c r="X280" s="481"/>
      <c r="Z280" s="481"/>
      <c r="AB280" s="481"/>
      <c r="AF280" s="476"/>
      <c r="AG280" s="477"/>
      <c r="AH280" s="477"/>
      <c r="AI280" s="477"/>
      <c r="AJ280" s="477"/>
      <c r="AK280" s="478"/>
    </row>
    <row r="281" spans="1:37">
      <c r="A281" s="469"/>
      <c r="B281" s="452" t="s">
        <v>137</v>
      </c>
      <c r="C281" s="452"/>
      <c r="D281" s="452" t="s">
        <v>242</v>
      </c>
      <c r="E281" s="452"/>
      <c r="F281" s="452" t="s">
        <v>182</v>
      </c>
      <c r="G281" s="452"/>
      <c r="H281" s="452" t="s">
        <v>185</v>
      </c>
      <c r="I281" s="452"/>
      <c r="J281" s="452" t="s">
        <v>185</v>
      </c>
      <c r="K281" s="452"/>
      <c r="L281" s="452" t="s">
        <v>185</v>
      </c>
      <c r="M281" s="452"/>
      <c r="N281" s="452" t="s">
        <v>182</v>
      </c>
      <c r="O281" s="475"/>
      <c r="P281" s="452" t="s">
        <v>185</v>
      </c>
      <c r="R281" s="485" t="s">
        <v>192</v>
      </c>
      <c r="T281" s="485" t="s">
        <v>192</v>
      </c>
      <c r="U281" s="485"/>
      <c r="V281" s="485" t="s">
        <v>185</v>
      </c>
      <c r="X281" s="485" t="s">
        <v>182</v>
      </c>
      <c r="Z281" s="485" t="s">
        <v>182</v>
      </c>
      <c r="AB281" s="485" t="s">
        <v>185</v>
      </c>
      <c r="AF281" s="476"/>
      <c r="AG281" s="477"/>
      <c r="AH281" s="477"/>
      <c r="AI281" s="477"/>
      <c r="AJ281" s="477"/>
      <c r="AK281" s="478"/>
    </row>
    <row r="282" spans="1:37">
      <c r="B282" s="452"/>
      <c r="C282" s="452"/>
      <c r="D282" s="452"/>
      <c r="E282" s="452"/>
      <c r="F282" s="452"/>
      <c r="G282" s="452"/>
      <c r="H282" s="452"/>
      <c r="I282" s="452"/>
      <c r="J282" s="452"/>
      <c r="K282" s="452"/>
      <c r="L282" s="452"/>
      <c r="M282" s="452"/>
      <c r="N282" s="452"/>
      <c r="O282" s="475"/>
      <c r="P282" s="452"/>
      <c r="R282" s="485"/>
      <c r="T282" s="485"/>
      <c r="U282" s="485"/>
      <c r="V282" s="485"/>
      <c r="X282" s="485"/>
      <c r="Z282" s="485"/>
      <c r="AB282" s="485"/>
      <c r="AF282" s="476"/>
      <c r="AG282" s="477"/>
      <c r="AH282" s="477"/>
      <c r="AI282" s="477"/>
      <c r="AJ282" s="477"/>
      <c r="AK282" s="477"/>
    </row>
    <row r="283" spans="1:37">
      <c r="AF283" s="509"/>
    </row>
    <row r="284" spans="1:37">
      <c r="B284" s="485" t="s">
        <v>807</v>
      </c>
      <c r="D284" s="485" t="s">
        <v>808</v>
      </c>
      <c r="F284" s="505" t="s">
        <v>809</v>
      </c>
      <c r="H284" s="505" t="s">
        <v>1285</v>
      </c>
      <c r="J284" s="505" t="s">
        <v>810</v>
      </c>
      <c r="L284" s="505" t="s">
        <v>811</v>
      </c>
      <c r="N284" s="505" t="s">
        <v>812</v>
      </c>
      <c r="P284" s="505" t="s">
        <v>813</v>
      </c>
      <c r="R284" s="505" t="s">
        <v>814</v>
      </c>
      <c r="T284" s="505" t="s">
        <v>815</v>
      </c>
      <c r="U284" s="505"/>
      <c r="V284" s="505" t="s">
        <v>816</v>
      </c>
      <c r="W284" s="505"/>
      <c r="X284" s="505" t="s">
        <v>817</v>
      </c>
      <c r="Y284" s="505"/>
      <c r="Z284" s="505" t="s">
        <v>1286</v>
      </c>
      <c r="AA284" s="505"/>
      <c r="AB284" s="505" t="s">
        <v>1287</v>
      </c>
      <c r="AF284" s="509"/>
    </row>
    <row r="285" spans="1:37">
      <c r="A285" s="469"/>
      <c r="B285" s="474"/>
      <c r="C285" s="475"/>
      <c r="D285" s="474"/>
      <c r="E285" s="475"/>
      <c r="F285" s="474"/>
      <c r="G285" s="475"/>
      <c r="H285" s="474"/>
      <c r="I285" s="475"/>
      <c r="J285" s="474"/>
      <c r="K285" s="475"/>
      <c r="L285" s="474"/>
      <c r="M285" s="475"/>
      <c r="N285" s="474"/>
      <c r="O285" s="475"/>
      <c r="P285" s="474"/>
      <c r="R285" s="474"/>
      <c r="S285" s="475"/>
      <c r="T285" s="474"/>
      <c r="U285" s="475"/>
      <c r="V285" s="474"/>
      <c r="W285" s="475"/>
      <c r="X285" s="474"/>
      <c r="Y285" s="475"/>
      <c r="Z285" s="474"/>
      <c r="AA285" s="475"/>
      <c r="AB285" s="474"/>
      <c r="AF285" s="472" t="s">
        <v>1191</v>
      </c>
      <c r="AG285" s="472"/>
      <c r="AH285" s="472"/>
      <c r="AI285" s="472"/>
      <c r="AJ285" s="472"/>
      <c r="AK285" s="473"/>
    </row>
    <row r="286" spans="1:37" ht="16.5" customHeight="1" thickBot="1">
      <c r="A286" s="469"/>
      <c r="B286" s="446"/>
      <c r="C286" s="475"/>
      <c r="D286" s="446"/>
      <c r="E286" s="475"/>
      <c r="F286" s="446"/>
      <c r="G286" s="475"/>
      <c r="H286" s="446"/>
      <c r="I286" s="475"/>
      <c r="J286" s="446"/>
      <c r="K286" s="475"/>
      <c r="L286" s="446"/>
      <c r="M286" s="475"/>
      <c r="N286" s="446"/>
      <c r="O286" s="475"/>
      <c r="P286" s="446"/>
      <c r="R286" s="446"/>
      <c r="S286" s="475"/>
      <c r="T286" s="446"/>
      <c r="U286" s="475"/>
      <c r="V286" s="446"/>
      <c r="W286" s="475"/>
      <c r="X286" s="446"/>
      <c r="Y286" s="475"/>
      <c r="Z286" s="446"/>
      <c r="AA286" s="475"/>
      <c r="AB286" s="446"/>
      <c r="AF286" s="476"/>
      <c r="AG286" s="477"/>
      <c r="AH286" s="477"/>
      <c r="AI286" s="477"/>
      <c r="AJ286" s="477"/>
      <c r="AK286" s="478"/>
    </row>
    <row r="287" spans="1:37" ht="29.5" customHeight="1" thickBot="1">
      <c r="A287" s="469"/>
      <c r="B287" s="448"/>
      <c r="C287" s="479">
        <v>392</v>
      </c>
      <c r="D287" s="448" t="s">
        <v>1376</v>
      </c>
      <c r="E287" s="479">
        <v>422</v>
      </c>
      <c r="F287" s="453"/>
      <c r="G287" s="479">
        <v>409.45699999999999</v>
      </c>
      <c r="H287" s="453"/>
      <c r="I287" s="479">
        <v>373.69400000000002</v>
      </c>
      <c r="J287" s="453"/>
      <c r="K287" s="479">
        <v>381.61700000000002</v>
      </c>
      <c r="L287" s="453"/>
      <c r="M287" s="479">
        <v>381.822</v>
      </c>
      <c r="N287" s="453"/>
      <c r="O287" s="479">
        <v>391.43599999999998</v>
      </c>
      <c r="P287" s="453"/>
      <c r="Q287" s="505">
        <v>385.78399999999999</v>
      </c>
      <c r="R287" s="453"/>
      <c r="S287" s="479">
        <v>367.452</v>
      </c>
      <c r="T287" s="448"/>
      <c r="U287" s="479">
        <v>379.63</v>
      </c>
      <c r="V287" s="453"/>
      <c r="W287" s="479">
        <v>380.459</v>
      </c>
      <c r="X287" s="448" t="s">
        <v>390</v>
      </c>
      <c r="Y287" s="479">
        <v>382.97899999999998</v>
      </c>
      <c r="Z287" s="448"/>
      <c r="AA287" s="479">
        <v>241.49600000000001</v>
      </c>
      <c r="AB287" s="448"/>
      <c r="AC287" s="510">
        <v>403</v>
      </c>
      <c r="AF287" s="472">
        <v>14</v>
      </c>
      <c r="AG287" s="472"/>
      <c r="AH287" s="472"/>
      <c r="AI287" s="472"/>
      <c r="AJ287" s="472"/>
      <c r="AK287" s="473"/>
    </row>
    <row r="288" spans="1:37" ht="16.5" customHeight="1" thickBot="1">
      <c r="A288" s="469"/>
      <c r="B288" s="481"/>
      <c r="D288" s="481"/>
      <c r="F288" s="481"/>
      <c r="H288" s="481"/>
      <c r="J288" s="481"/>
      <c r="L288" s="481"/>
      <c r="N288" s="481"/>
      <c r="P288" s="481"/>
      <c r="R288" s="481"/>
      <c r="T288" s="481"/>
      <c r="V288" s="481"/>
      <c r="X288" s="481"/>
      <c r="Z288" s="481"/>
      <c r="AB288" s="481"/>
      <c r="AF288" s="476"/>
      <c r="AG288" s="477"/>
      <c r="AH288" s="477"/>
      <c r="AI288" s="477"/>
      <c r="AJ288" s="477"/>
      <c r="AK288" s="478"/>
    </row>
    <row r="289" spans="1:37">
      <c r="A289" s="469"/>
      <c r="B289" s="452" t="s">
        <v>115</v>
      </c>
      <c r="C289" s="452"/>
      <c r="D289" s="452" t="s">
        <v>185</v>
      </c>
      <c r="E289" s="452"/>
      <c r="F289" s="452" t="s">
        <v>182</v>
      </c>
      <c r="G289" s="452"/>
      <c r="H289" s="452" t="s">
        <v>115</v>
      </c>
      <c r="I289" s="452"/>
      <c r="J289" s="452" t="s">
        <v>182</v>
      </c>
      <c r="K289" s="452"/>
      <c r="L289" s="452" t="s">
        <v>182</v>
      </c>
      <c r="M289" s="452"/>
      <c r="N289" s="452" t="s">
        <v>182</v>
      </c>
      <c r="O289" s="475"/>
      <c r="P289" s="452" t="s">
        <v>182</v>
      </c>
      <c r="R289" s="485" t="s">
        <v>182</v>
      </c>
      <c r="T289" s="485" t="s">
        <v>182</v>
      </c>
      <c r="U289" s="485"/>
      <c r="V289" s="485" t="s">
        <v>182</v>
      </c>
      <c r="W289" s="485"/>
      <c r="X289" s="485" t="s">
        <v>182</v>
      </c>
      <c r="Y289" s="485"/>
      <c r="Z289" s="485" t="s">
        <v>182</v>
      </c>
      <c r="AA289" s="485"/>
      <c r="AB289" s="485" t="s">
        <v>119</v>
      </c>
      <c r="AF289" s="476"/>
      <c r="AG289" s="477"/>
      <c r="AH289" s="477"/>
      <c r="AI289" s="477"/>
      <c r="AJ289" s="477"/>
      <c r="AK289" s="478"/>
    </row>
    <row r="290" spans="1:37">
      <c r="B290" s="452"/>
      <c r="C290" s="452"/>
      <c r="D290" s="452"/>
      <c r="E290" s="452"/>
      <c r="F290" s="452"/>
      <c r="G290" s="452"/>
      <c r="H290" s="452"/>
      <c r="I290" s="452"/>
      <c r="J290" s="452"/>
      <c r="K290" s="452"/>
      <c r="L290" s="452"/>
      <c r="M290" s="452"/>
      <c r="N290" s="452"/>
      <c r="O290" s="475"/>
      <c r="P290" s="452"/>
      <c r="R290" s="485"/>
      <c r="T290" s="485"/>
      <c r="U290" s="485"/>
      <c r="V290" s="485"/>
      <c r="W290" s="485"/>
      <c r="X290" s="485"/>
      <c r="Y290" s="485"/>
      <c r="Z290" s="485"/>
      <c r="AA290" s="485"/>
      <c r="AB290" s="485"/>
      <c r="AF290" s="476"/>
      <c r="AG290" s="477"/>
      <c r="AH290" s="477"/>
      <c r="AI290" s="477"/>
      <c r="AJ290" s="477"/>
      <c r="AK290" s="477"/>
    </row>
    <row r="291" spans="1:37">
      <c r="AF291" s="509"/>
    </row>
    <row r="292" spans="1:37">
      <c r="A292" s="505"/>
      <c r="B292" s="485" t="s">
        <v>818</v>
      </c>
      <c r="C292" s="485"/>
      <c r="D292" s="485" t="s">
        <v>819</v>
      </c>
      <c r="E292" s="485"/>
      <c r="F292" s="485" t="s">
        <v>820</v>
      </c>
      <c r="G292" s="485"/>
      <c r="H292" s="485" t="s">
        <v>821</v>
      </c>
      <c r="I292" s="485"/>
      <c r="J292" s="485" t="s">
        <v>822</v>
      </c>
      <c r="K292" s="485"/>
      <c r="L292" s="485" t="s">
        <v>823</v>
      </c>
      <c r="M292" s="485"/>
      <c r="N292" s="485" t="s">
        <v>824</v>
      </c>
      <c r="O292" s="485"/>
      <c r="P292" s="485" t="s">
        <v>827</v>
      </c>
      <c r="Q292" s="485"/>
      <c r="R292" s="485" t="s">
        <v>1363</v>
      </c>
      <c r="S292" s="485"/>
      <c r="T292" s="485" t="s">
        <v>1364</v>
      </c>
      <c r="U292" s="485"/>
      <c r="V292" s="485" t="s">
        <v>1365</v>
      </c>
      <c r="W292" s="485"/>
      <c r="X292" s="485" t="s">
        <v>1366</v>
      </c>
      <c r="Y292" s="485"/>
      <c r="Z292" s="485" t="s">
        <v>1367</v>
      </c>
      <c r="AA292" s="485"/>
      <c r="AB292" s="485" t="s">
        <v>830</v>
      </c>
      <c r="AC292" s="485"/>
      <c r="AD292" s="485" t="s">
        <v>831</v>
      </c>
      <c r="AF292" s="509"/>
    </row>
    <row r="293" spans="1:37">
      <c r="A293" s="469"/>
      <c r="B293" s="474"/>
      <c r="C293" s="475"/>
      <c r="D293" s="474"/>
      <c r="E293" s="475"/>
      <c r="F293" s="474"/>
      <c r="G293" s="475"/>
      <c r="H293" s="474"/>
      <c r="I293" s="475"/>
      <c r="J293" s="474"/>
      <c r="K293" s="475"/>
      <c r="L293" s="474"/>
      <c r="M293" s="475"/>
      <c r="N293" s="474"/>
      <c r="O293" s="475"/>
      <c r="P293" s="474"/>
      <c r="R293" s="474"/>
      <c r="S293" s="475"/>
      <c r="T293" s="474"/>
      <c r="U293" s="475"/>
      <c r="V293" s="474"/>
      <c r="W293" s="475"/>
      <c r="X293" s="474"/>
      <c r="Y293" s="475"/>
      <c r="Z293" s="474"/>
      <c r="AA293" s="475"/>
      <c r="AB293" s="474"/>
      <c r="AF293" s="472" t="s">
        <v>1191</v>
      </c>
      <c r="AG293" s="472"/>
      <c r="AH293" s="472"/>
      <c r="AI293" s="472"/>
      <c r="AJ293" s="472"/>
      <c r="AK293" s="473"/>
    </row>
    <row r="294" spans="1:37" ht="16.5" customHeight="1" thickBot="1">
      <c r="A294" s="469"/>
      <c r="B294" s="446"/>
      <c r="C294" s="475"/>
      <c r="D294" s="446"/>
      <c r="E294" s="475"/>
      <c r="F294" s="446"/>
      <c r="G294" s="475"/>
      <c r="H294" s="446"/>
      <c r="I294" s="475"/>
      <c r="J294" s="446"/>
      <c r="K294" s="475"/>
      <c r="L294" s="446"/>
      <c r="M294" s="475"/>
      <c r="N294" s="446"/>
      <c r="O294" s="475"/>
      <c r="P294" s="446"/>
      <c r="R294" s="446"/>
      <c r="S294" s="475"/>
      <c r="T294" s="446"/>
      <c r="U294" s="475"/>
      <c r="V294" s="446"/>
      <c r="W294" s="475"/>
      <c r="X294" s="446"/>
      <c r="Y294" s="475"/>
      <c r="Z294" s="446"/>
      <c r="AA294" s="475"/>
      <c r="AB294" s="446"/>
      <c r="AD294" s="446"/>
      <c r="AF294" s="476"/>
      <c r="AG294" s="477"/>
      <c r="AH294" s="477"/>
      <c r="AI294" s="477"/>
      <c r="AJ294" s="477"/>
      <c r="AK294" s="478"/>
    </row>
    <row r="295" spans="1:37" ht="30" customHeight="1" thickBot="1">
      <c r="A295" s="469"/>
      <c r="B295" s="448"/>
      <c r="C295" s="510">
        <v>359.142</v>
      </c>
      <c r="D295" s="568"/>
      <c r="E295" s="510">
        <v>384.87799999999999</v>
      </c>
      <c r="F295" s="568"/>
      <c r="G295" s="510">
        <v>381.90499999999997</v>
      </c>
      <c r="H295" s="568"/>
      <c r="I295" s="510">
        <v>397.15199999999999</v>
      </c>
      <c r="J295" s="568"/>
      <c r="K295" s="510">
        <v>387.13099999999997</v>
      </c>
      <c r="L295" s="568"/>
      <c r="M295" s="510">
        <v>392.12400000000002</v>
      </c>
      <c r="N295" s="568"/>
      <c r="O295" s="510">
        <v>364.62299999999999</v>
      </c>
      <c r="P295" s="568"/>
      <c r="Q295" s="510">
        <v>188.369</v>
      </c>
      <c r="R295" s="568"/>
      <c r="S295" s="510">
        <v>396</v>
      </c>
      <c r="T295" s="568"/>
      <c r="U295" s="510">
        <v>425</v>
      </c>
      <c r="V295" s="568"/>
      <c r="W295" s="510">
        <v>407</v>
      </c>
      <c r="X295" s="568"/>
      <c r="Y295" s="510">
        <v>433</v>
      </c>
      <c r="Z295" s="568"/>
      <c r="AA295" s="510">
        <v>489.23</v>
      </c>
      <c r="AB295" s="448"/>
      <c r="AC295" s="510">
        <v>419.40300000000002</v>
      </c>
      <c r="AD295" s="448"/>
      <c r="AF295" s="472">
        <v>14</v>
      </c>
      <c r="AG295" s="472"/>
      <c r="AH295" s="472"/>
      <c r="AI295" s="472"/>
      <c r="AJ295" s="472"/>
      <c r="AK295" s="473"/>
    </row>
    <row r="296" spans="1:37" ht="16.5" customHeight="1" thickBot="1">
      <c r="A296" s="469"/>
      <c r="B296" s="481"/>
      <c r="D296" s="481"/>
      <c r="F296" s="481"/>
      <c r="H296" s="481"/>
      <c r="J296" s="481"/>
      <c r="L296" s="481"/>
      <c r="N296" s="481"/>
      <c r="P296" s="481"/>
      <c r="R296" s="481"/>
      <c r="T296" s="481"/>
      <c r="V296" s="481"/>
      <c r="X296" s="481"/>
      <c r="Z296" s="481"/>
      <c r="AB296" s="481"/>
      <c r="AD296" s="481"/>
      <c r="AF296" s="476"/>
      <c r="AG296" s="477"/>
      <c r="AH296" s="477"/>
      <c r="AI296" s="477"/>
      <c r="AJ296" s="477"/>
      <c r="AK296" s="478"/>
    </row>
    <row r="297" spans="1:37">
      <c r="A297" s="469"/>
      <c r="B297" s="452" t="s">
        <v>182</v>
      </c>
      <c r="C297" s="452"/>
      <c r="D297" s="452" t="s">
        <v>182</v>
      </c>
      <c r="E297" s="452"/>
      <c r="F297" s="452" t="s">
        <v>182</v>
      </c>
      <c r="G297" s="452"/>
      <c r="H297" s="452" t="s">
        <v>182</v>
      </c>
      <c r="I297" s="452"/>
      <c r="J297" s="452" t="s">
        <v>182</v>
      </c>
      <c r="K297" s="452"/>
      <c r="L297" s="452" t="s">
        <v>182</v>
      </c>
      <c r="M297" s="452"/>
      <c r="N297" s="452" t="s">
        <v>182</v>
      </c>
      <c r="O297" s="452"/>
      <c r="P297" s="452" t="s">
        <v>125</v>
      </c>
      <c r="Q297" s="452"/>
      <c r="R297" s="452" t="s">
        <v>125</v>
      </c>
      <c r="S297" s="452"/>
      <c r="T297" s="452" t="s">
        <v>188</v>
      </c>
      <c r="U297" s="452"/>
      <c r="V297" s="452" t="s">
        <v>185</v>
      </c>
      <c r="W297" s="452"/>
      <c r="X297" s="452" t="s">
        <v>182</v>
      </c>
      <c r="Y297" s="452"/>
      <c r="Z297" s="452" t="s">
        <v>132</v>
      </c>
      <c r="AA297" s="452"/>
      <c r="AB297" s="452" t="s">
        <v>147</v>
      </c>
      <c r="AC297" s="452"/>
      <c r="AD297" s="452" t="s">
        <v>147</v>
      </c>
      <c r="AF297" s="476"/>
      <c r="AG297" s="477"/>
      <c r="AH297" s="477"/>
      <c r="AI297" s="477"/>
      <c r="AJ297" s="477"/>
      <c r="AK297" s="478"/>
    </row>
    <row r="298" spans="1:37">
      <c r="AF298" s="509"/>
    </row>
    <row r="299" spans="1:37">
      <c r="AF299" s="509"/>
    </row>
    <row r="300" spans="1:37">
      <c r="A300" s="505"/>
      <c r="B300" s="505" t="s">
        <v>832</v>
      </c>
      <c r="C300" s="505"/>
      <c r="D300" s="505" t="s">
        <v>833</v>
      </c>
      <c r="E300" s="505"/>
      <c r="F300" s="505" t="s">
        <v>1288</v>
      </c>
      <c r="G300" s="505"/>
      <c r="H300" s="505" t="s">
        <v>835</v>
      </c>
      <c r="I300" s="505"/>
      <c r="J300" s="505" t="s">
        <v>836</v>
      </c>
      <c r="K300" s="505"/>
      <c r="L300" s="505" t="s">
        <v>837</v>
      </c>
      <c r="M300" s="505"/>
      <c r="N300" s="505" t="s">
        <v>838</v>
      </c>
      <c r="O300" s="505"/>
      <c r="P300" s="505" t="s">
        <v>1184</v>
      </c>
      <c r="AF300" s="509"/>
    </row>
    <row r="301" spans="1:37">
      <c r="A301" s="469"/>
      <c r="B301" s="474"/>
      <c r="C301" s="475"/>
      <c r="D301" s="474"/>
      <c r="E301" s="475"/>
      <c r="F301" s="474"/>
      <c r="G301" s="475"/>
      <c r="H301" s="474"/>
      <c r="I301" s="475"/>
      <c r="J301" s="474"/>
      <c r="K301" s="475"/>
      <c r="L301" s="474"/>
      <c r="M301" s="475"/>
      <c r="N301" s="474"/>
      <c r="O301" s="475"/>
      <c r="R301" s="474"/>
      <c r="S301" s="475"/>
      <c r="T301" s="474"/>
      <c r="U301" s="475"/>
      <c r="V301" s="474"/>
      <c r="W301" s="475"/>
      <c r="X301" s="474"/>
      <c r="Y301" s="475"/>
      <c r="Z301" s="474"/>
      <c r="AA301" s="475"/>
      <c r="AB301" s="474"/>
      <c r="AF301" s="472" t="s">
        <v>1191</v>
      </c>
      <c r="AG301" s="472"/>
      <c r="AH301" s="472"/>
      <c r="AI301" s="472"/>
      <c r="AJ301" s="472"/>
      <c r="AK301" s="473"/>
    </row>
    <row r="302" spans="1:37" ht="16.5" customHeight="1" thickBot="1">
      <c r="A302" s="469"/>
      <c r="B302" s="446"/>
      <c r="C302" s="475"/>
      <c r="D302" s="446"/>
      <c r="E302" s="475"/>
      <c r="F302" s="446"/>
      <c r="G302" s="475"/>
      <c r="H302" s="446"/>
      <c r="I302" s="475"/>
      <c r="J302" s="446"/>
      <c r="K302" s="475"/>
      <c r="L302" s="446"/>
      <c r="M302" s="475"/>
      <c r="N302" s="446"/>
      <c r="O302" s="475"/>
      <c r="P302" s="446"/>
      <c r="R302" s="446"/>
      <c r="S302" s="475"/>
      <c r="T302" s="446"/>
      <c r="U302" s="475"/>
      <c r="V302" s="446"/>
      <c r="W302" s="475"/>
      <c r="X302" s="446"/>
      <c r="Y302" s="475"/>
      <c r="Z302" s="446"/>
      <c r="AA302" s="475"/>
      <c r="AB302" s="446"/>
      <c r="AF302" s="476"/>
      <c r="AG302" s="477"/>
      <c r="AH302" s="477"/>
      <c r="AI302" s="477"/>
      <c r="AJ302" s="477"/>
      <c r="AK302" s="478"/>
    </row>
    <row r="303" spans="1:37" ht="32.5" customHeight="1" thickBot="1">
      <c r="A303" s="469"/>
      <c r="B303" s="448"/>
      <c r="C303" s="479">
        <v>242.63</v>
      </c>
      <c r="D303" s="568"/>
      <c r="E303" s="479">
        <v>342.72699999999998</v>
      </c>
      <c r="F303" s="568"/>
      <c r="G303" s="479">
        <v>389.221</v>
      </c>
      <c r="H303" s="568"/>
      <c r="I303" s="479">
        <v>220.25299999999999</v>
      </c>
      <c r="J303" s="568"/>
      <c r="K303" s="479">
        <v>241.31200000000001</v>
      </c>
      <c r="L303" s="568"/>
      <c r="M303" s="479">
        <v>214.90199999999999</v>
      </c>
      <c r="N303" s="568"/>
      <c r="O303" s="479">
        <v>113.742</v>
      </c>
      <c r="P303" s="448"/>
      <c r="R303" s="454"/>
      <c r="S303" s="479"/>
      <c r="T303" s="454"/>
      <c r="U303" s="479"/>
      <c r="V303" s="454"/>
      <c r="W303" s="479"/>
      <c r="X303" s="454"/>
      <c r="Y303" s="479"/>
      <c r="Z303" s="454"/>
      <c r="AA303" s="479"/>
      <c r="AB303" s="454"/>
      <c r="AF303" s="472">
        <v>7</v>
      </c>
      <c r="AG303" s="472"/>
      <c r="AH303" s="472"/>
      <c r="AI303" s="472"/>
      <c r="AJ303" s="472"/>
      <c r="AK303" s="473"/>
    </row>
    <row r="304" spans="1:37" ht="16.5" customHeight="1" thickBot="1">
      <c r="A304" s="469"/>
      <c r="B304" s="481"/>
      <c r="D304" s="481"/>
      <c r="F304" s="481"/>
      <c r="H304" s="481"/>
      <c r="J304" s="481"/>
      <c r="L304" s="481"/>
      <c r="N304" s="481"/>
      <c r="P304" s="481"/>
      <c r="R304" s="474"/>
      <c r="T304" s="474"/>
      <c r="V304" s="474"/>
      <c r="X304" s="474"/>
      <c r="Z304" s="474"/>
      <c r="AB304" s="474"/>
      <c r="AF304" s="476"/>
      <c r="AG304" s="477"/>
      <c r="AH304" s="477"/>
      <c r="AI304" s="477"/>
      <c r="AJ304" s="477"/>
      <c r="AK304" s="478"/>
    </row>
    <row r="305" spans="1:37">
      <c r="A305" s="469"/>
      <c r="B305" s="452" t="s">
        <v>117</v>
      </c>
      <c r="C305" s="452"/>
      <c r="D305" s="452" t="s">
        <v>117</v>
      </c>
      <c r="E305" s="452"/>
      <c r="F305" s="452" t="s">
        <v>167</v>
      </c>
      <c r="G305" s="452"/>
      <c r="H305" s="452" t="s">
        <v>201</v>
      </c>
      <c r="I305" s="452"/>
      <c r="J305" s="452" t="s">
        <v>201</v>
      </c>
      <c r="K305" s="452"/>
      <c r="L305" s="452" t="s">
        <v>147</v>
      </c>
      <c r="M305" s="452"/>
      <c r="N305" s="452" t="s">
        <v>125</v>
      </c>
      <c r="O305" s="475"/>
      <c r="P305" s="475"/>
      <c r="AF305" s="476"/>
      <c r="AG305" s="477"/>
      <c r="AH305" s="477"/>
      <c r="AI305" s="477"/>
      <c r="AJ305" s="477"/>
      <c r="AK305" s="478"/>
    </row>
    <row r="306" spans="1:37">
      <c r="AF306" s="509"/>
    </row>
    <row r="307" spans="1:37">
      <c r="AF307" s="509"/>
    </row>
    <row r="308" spans="1:37">
      <c r="A308" s="469"/>
      <c r="B308" s="474"/>
      <c r="C308" s="475"/>
      <c r="D308" s="474"/>
      <c r="E308" s="475"/>
      <c r="F308" s="474"/>
      <c r="G308" s="475"/>
      <c r="H308" s="474"/>
      <c r="I308" s="475"/>
      <c r="J308" s="474"/>
      <c r="K308" s="475"/>
      <c r="L308" s="474"/>
      <c r="M308" s="475"/>
      <c r="N308" s="474"/>
      <c r="O308" s="475"/>
      <c r="P308" s="474"/>
      <c r="R308" s="474"/>
      <c r="S308" s="475"/>
      <c r="T308" s="474"/>
      <c r="U308" s="475"/>
      <c r="V308" s="474"/>
      <c r="W308" s="475"/>
      <c r="X308" s="474"/>
      <c r="Y308" s="475"/>
      <c r="Z308" s="474"/>
      <c r="AA308" s="475"/>
      <c r="AB308" s="474"/>
      <c r="AF308" s="472" t="s">
        <v>1191</v>
      </c>
      <c r="AG308" s="472"/>
      <c r="AH308" s="472"/>
      <c r="AI308" s="472"/>
      <c r="AJ308" s="472"/>
      <c r="AK308" s="473"/>
    </row>
    <row r="309" spans="1:37" ht="16.5" customHeight="1">
      <c r="A309" s="469"/>
      <c r="B309" s="446"/>
      <c r="C309" s="475"/>
      <c r="D309" s="446"/>
      <c r="E309" s="475"/>
      <c r="F309" s="446"/>
      <c r="G309" s="475"/>
      <c r="H309" s="446"/>
      <c r="I309" s="475"/>
      <c r="J309" s="446"/>
      <c r="K309" s="475"/>
      <c r="L309" s="446"/>
      <c r="M309" s="475"/>
      <c r="N309" s="446"/>
      <c r="O309" s="475"/>
      <c r="P309" s="446"/>
      <c r="R309" s="446"/>
      <c r="S309" s="475"/>
      <c r="T309" s="446"/>
      <c r="U309" s="475"/>
      <c r="V309" s="446"/>
      <c r="W309" s="475"/>
      <c r="X309" s="446"/>
      <c r="Y309" s="475"/>
      <c r="Z309" s="446"/>
      <c r="AA309" s="475"/>
      <c r="AB309" s="446"/>
      <c r="AF309" s="476"/>
      <c r="AG309" s="477"/>
      <c r="AH309" s="477"/>
      <c r="AI309" s="477"/>
      <c r="AJ309" s="477"/>
      <c r="AK309" s="478"/>
    </row>
    <row r="310" spans="1:37" ht="42.75" customHeight="1">
      <c r="A310" s="469"/>
      <c r="B310" s="454"/>
      <c r="C310" s="479"/>
      <c r="D310" s="454"/>
      <c r="E310" s="479"/>
      <c r="F310" s="454"/>
      <c r="G310" s="479"/>
      <c r="H310" s="454"/>
      <c r="I310" s="479"/>
      <c r="J310" s="454"/>
      <c r="K310" s="479"/>
      <c r="L310" s="454"/>
      <c r="M310" s="479"/>
      <c r="N310" s="454"/>
      <c r="O310" s="475"/>
      <c r="P310" s="454"/>
      <c r="R310" s="454"/>
      <c r="S310" s="479"/>
      <c r="T310" s="454"/>
      <c r="U310" s="479"/>
      <c r="V310" s="454"/>
      <c r="W310" s="479"/>
      <c r="X310" s="454"/>
      <c r="Y310" s="479"/>
      <c r="Z310" s="454"/>
      <c r="AA310" s="479"/>
      <c r="AB310" s="454"/>
      <c r="AF310" s="472"/>
      <c r="AG310" s="472"/>
      <c r="AH310" s="472"/>
      <c r="AI310" s="472"/>
      <c r="AJ310" s="472"/>
      <c r="AK310" s="473"/>
    </row>
    <row r="311" spans="1:37" ht="16.5" customHeight="1">
      <c r="A311" s="469"/>
      <c r="B311" s="474"/>
      <c r="D311" s="474"/>
      <c r="F311" s="474"/>
      <c r="H311" s="474"/>
      <c r="J311" s="474"/>
      <c r="L311" s="474"/>
      <c r="N311" s="474"/>
      <c r="P311" s="474"/>
      <c r="R311" s="474"/>
      <c r="T311" s="474"/>
      <c r="V311" s="474"/>
      <c r="X311" s="474"/>
      <c r="Z311" s="474"/>
      <c r="AB311" s="474"/>
      <c r="AF311" s="476"/>
      <c r="AG311" s="477"/>
      <c r="AH311" s="477"/>
      <c r="AI311" s="477"/>
      <c r="AJ311" s="477"/>
      <c r="AK311" s="478"/>
    </row>
    <row r="312" spans="1:37">
      <c r="A312" s="469"/>
      <c r="B312" s="452"/>
      <c r="C312" s="452"/>
      <c r="D312" s="452"/>
      <c r="E312" s="452"/>
      <c r="F312" s="452"/>
      <c r="G312" s="452"/>
      <c r="H312" s="452"/>
      <c r="I312" s="452"/>
      <c r="J312" s="452"/>
      <c r="K312" s="452"/>
      <c r="L312" s="452"/>
      <c r="M312" s="452"/>
      <c r="N312" s="452"/>
      <c r="O312" s="475"/>
      <c r="P312" s="475"/>
      <c r="AF312" s="476"/>
      <c r="AG312" s="477"/>
      <c r="AH312" s="477"/>
      <c r="AI312" s="477"/>
      <c r="AJ312" s="477"/>
      <c r="AK312" s="478"/>
    </row>
    <row r="313" spans="1:37">
      <c r="AF313" s="509"/>
    </row>
    <row r="314" spans="1:37">
      <c r="AF314" s="472">
        <f>SUM(AF23:AF313)</f>
        <v>496</v>
      </c>
      <c r="AG314" s="472">
        <f>SUM(AG23:AG313)</f>
        <v>39</v>
      </c>
      <c r="AH314" s="472">
        <f>SUM(AH23:AH313)</f>
        <v>24</v>
      </c>
      <c r="AI314" s="472"/>
      <c r="AJ314" s="472"/>
      <c r="AK314" s="472"/>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23">
    <cfRule type="cellIs" dxfId="1603" priority="1804" operator="equal">
      <formula>"F"</formula>
    </cfRule>
    <cfRule type="cellIs" dxfId="1602" priority="1805" operator="equal">
      <formula>"F"</formula>
    </cfRule>
    <cfRule type="cellIs" dxfId="1601" priority="1803" operator="equal">
      <formula>"U/P"</formula>
    </cfRule>
  </conditionalFormatting>
  <conditionalFormatting sqref="B31">
    <cfRule type="cellIs" dxfId="1600" priority="1627" operator="equal">
      <formula>"U/P"</formula>
    </cfRule>
    <cfRule type="cellIs" dxfId="1599" priority="1628" operator="equal">
      <formula>"F"</formula>
    </cfRule>
    <cfRule type="cellIs" dxfId="1598" priority="1629" operator="equal">
      <formula>"F"</formula>
    </cfRule>
  </conditionalFormatting>
  <conditionalFormatting sqref="B34 D34 F34 H34 J34 L34 N34 P34 R34 T34 V34 X34 Z34 AB34">
    <cfRule type="cellIs" dxfId="1597" priority="1798" operator="equal">
      <formula>0</formula>
    </cfRule>
  </conditionalFormatting>
  <conditionalFormatting sqref="B39">
    <cfRule type="cellIs" dxfId="1596" priority="1586" operator="equal">
      <formula>"F"</formula>
    </cfRule>
    <cfRule type="cellIs" dxfId="1595" priority="1587" operator="equal">
      <formula>"F"</formula>
    </cfRule>
    <cfRule type="cellIs" dxfId="1594" priority="1585" operator="equal">
      <formula>"U/P"</formula>
    </cfRule>
  </conditionalFormatting>
  <conditionalFormatting sqref="B47">
    <cfRule type="cellIs" dxfId="1593" priority="1543" operator="equal">
      <formula>"U/P"</formula>
    </cfRule>
    <cfRule type="cellIs" dxfId="1592" priority="1544" operator="equal">
      <formula>"F"</formula>
    </cfRule>
    <cfRule type="cellIs" dxfId="1591" priority="1545" operator="equal">
      <formula>"F"</formula>
    </cfRule>
  </conditionalFormatting>
  <conditionalFormatting sqref="B50 D50 F50 H50 J50 L50 N50 P50 R50 T50 V50 X50 Z50 AB50">
    <cfRule type="cellIs" dxfId="1590" priority="1797" operator="equal">
      <formula>0</formula>
    </cfRule>
  </conditionalFormatting>
  <conditionalFormatting sqref="B55">
    <cfRule type="cellIs" dxfId="1589" priority="1502" operator="equal">
      <formula>"F"</formula>
    </cfRule>
    <cfRule type="cellIs" dxfId="1588" priority="1501" operator="equal">
      <formula>"U/P"</formula>
    </cfRule>
    <cfRule type="cellIs" dxfId="1587" priority="1503" operator="equal">
      <formula>"F"</formula>
    </cfRule>
  </conditionalFormatting>
  <conditionalFormatting sqref="B58 D58 F58 H58 J58 L58 N58 P58 R58 T58 V58 X58 Z58 AB58">
    <cfRule type="cellIs" dxfId="1586" priority="1796" operator="equal">
      <formula>0</formula>
    </cfRule>
  </conditionalFormatting>
  <conditionalFormatting sqref="B63">
    <cfRule type="cellIs" dxfId="1585" priority="1459" operator="equal">
      <formula>"U/P"</formula>
    </cfRule>
    <cfRule type="cellIs" dxfId="1584" priority="1460" operator="equal">
      <formula>"F"</formula>
    </cfRule>
    <cfRule type="cellIs" dxfId="1583" priority="1461" operator="equal">
      <formula>"F"</formula>
    </cfRule>
  </conditionalFormatting>
  <conditionalFormatting sqref="B66 D66 F66 H66 J66 L66 N66 P66 R66 T66 V66 X66 Z66 AB66">
    <cfRule type="cellIs" dxfId="1582" priority="1795" operator="equal">
      <formula>0</formula>
    </cfRule>
  </conditionalFormatting>
  <conditionalFormatting sqref="B71">
    <cfRule type="cellIs" dxfId="1581" priority="1419" operator="equal">
      <formula>"F"</formula>
    </cfRule>
    <cfRule type="cellIs" dxfId="1580" priority="1418" operator="equal">
      <formula>"F"</formula>
    </cfRule>
    <cfRule type="cellIs" dxfId="1579" priority="1417" operator="equal">
      <formula>"U/P"</formula>
    </cfRule>
  </conditionalFormatting>
  <conditionalFormatting sqref="B74 D74 F74 H74 J74 L74 N74 P74 R74 T74 V74 X74 Z74 AB74">
    <cfRule type="cellIs" dxfId="1578" priority="1794" operator="equal">
      <formula>0</formula>
    </cfRule>
  </conditionalFormatting>
  <conditionalFormatting sqref="B79">
    <cfRule type="cellIs" dxfId="1577" priority="1376" operator="equal">
      <formula>"F"</formula>
    </cfRule>
    <cfRule type="cellIs" dxfId="1576" priority="1375" operator="equal">
      <formula>"U/P"</formula>
    </cfRule>
    <cfRule type="cellIs" dxfId="1575" priority="1377" operator="equal">
      <formula>"F"</formula>
    </cfRule>
  </conditionalFormatting>
  <conditionalFormatting sqref="B82 D82 F82 H82 J82 L82 N82 P82 R82 T82 V82 X82 Z82 AB82">
    <cfRule type="cellIs" dxfId="1574" priority="1781" operator="equal">
      <formula>0</formula>
    </cfRule>
  </conditionalFormatting>
  <conditionalFormatting sqref="B87">
    <cfRule type="cellIs" dxfId="1573" priority="1333" operator="equal">
      <formula>"U/P"</formula>
    </cfRule>
    <cfRule type="cellIs" dxfId="1572" priority="1334" operator="equal">
      <formula>"F"</formula>
    </cfRule>
    <cfRule type="cellIs" dxfId="1571" priority="1335" operator="equal">
      <formula>"F"</formula>
    </cfRule>
  </conditionalFormatting>
  <conditionalFormatting sqref="B90 D90 F90 H90 J90 L90 N90 P90 R90 T90 V90 X90 Z90 AB90">
    <cfRule type="cellIs" dxfId="1570" priority="1780" operator="equal">
      <formula>0</formula>
    </cfRule>
  </conditionalFormatting>
  <conditionalFormatting sqref="B95">
    <cfRule type="cellIs" dxfId="1569" priority="1292" operator="equal">
      <formula>"F"</formula>
    </cfRule>
    <cfRule type="cellIs" dxfId="1568" priority="1291" operator="equal">
      <formula>"U/P"</formula>
    </cfRule>
    <cfRule type="cellIs" dxfId="1567" priority="1293" operator="equal">
      <formula>"F"</formula>
    </cfRule>
  </conditionalFormatting>
  <conditionalFormatting sqref="B98 D98 F98 H98 J98 L98 N98 P98 R98 T98 V98 X98 Z98 AB98">
    <cfRule type="cellIs" dxfId="1566" priority="1779" operator="equal">
      <formula>0</formula>
    </cfRule>
  </conditionalFormatting>
  <conditionalFormatting sqref="B103">
    <cfRule type="cellIs" dxfId="1565" priority="1249" operator="equal">
      <formula>"U/P"</formula>
    </cfRule>
    <cfRule type="cellIs" dxfId="1564" priority="1250" operator="equal">
      <formula>"F"</formula>
    </cfRule>
    <cfRule type="cellIs" dxfId="1563" priority="1251" operator="equal">
      <formula>"F"</formula>
    </cfRule>
  </conditionalFormatting>
  <conditionalFormatting sqref="B106 D106 F106 H106 J106 L106 N106 P106 R106 T106 V106 X106 Z106 AB106">
    <cfRule type="cellIs" dxfId="1562" priority="1778" operator="equal">
      <formula>0</formula>
    </cfRule>
  </conditionalFormatting>
  <conditionalFormatting sqref="B111">
    <cfRule type="cellIs" dxfId="1561" priority="1208" operator="equal">
      <formula>"F"</formula>
    </cfRule>
    <cfRule type="cellIs" dxfId="1560" priority="1207" operator="equal">
      <formula>"U/P"</formula>
    </cfRule>
    <cfRule type="cellIs" dxfId="1559" priority="1209" operator="equal">
      <formula>"F"</formula>
    </cfRule>
  </conditionalFormatting>
  <conditionalFormatting sqref="B114 D114 F114 H114 J114 L114 N114 P114 R114 T114 V114 X114 Z114 AB114">
    <cfRule type="cellIs" dxfId="1558" priority="1777" operator="equal">
      <formula>0</formula>
    </cfRule>
  </conditionalFormatting>
  <conditionalFormatting sqref="B119">
    <cfRule type="cellIs" dxfId="1557" priority="1171" operator="equal">
      <formula>"U/P"</formula>
    </cfRule>
    <cfRule type="cellIs" dxfId="1556" priority="1172" operator="equal">
      <formula>"F"</formula>
    </cfRule>
    <cfRule type="cellIs" dxfId="1555" priority="1173" operator="equal">
      <formula>"F"</formula>
    </cfRule>
  </conditionalFormatting>
  <conditionalFormatting sqref="B122 D122 F122 H122 J122 L122 N122 P122 R122 T122 V122 X122 Z122 AB122">
    <cfRule type="cellIs" dxfId="1554" priority="1734" operator="equal">
      <formula>0</formula>
    </cfRule>
  </conditionalFormatting>
  <conditionalFormatting sqref="B127">
    <cfRule type="cellIs" dxfId="1553" priority="1131" operator="equal">
      <formula>"F"</formula>
    </cfRule>
    <cfRule type="cellIs" dxfId="1552" priority="1130" operator="equal">
      <formula>"F"</formula>
    </cfRule>
    <cfRule type="cellIs" dxfId="1551" priority="1129" operator="equal">
      <formula>"U/P"</formula>
    </cfRule>
  </conditionalFormatting>
  <conditionalFormatting sqref="B135">
    <cfRule type="cellIs" dxfId="1550" priority="1093" operator="equal">
      <formula>"U/P"</formula>
    </cfRule>
    <cfRule type="cellIs" dxfId="1549" priority="1094" operator="equal">
      <formula>"F"</formula>
    </cfRule>
    <cfRule type="cellIs" dxfId="1548" priority="1095" operator="equal">
      <formula>"F"</formula>
    </cfRule>
  </conditionalFormatting>
  <conditionalFormatting sqref="B138 D138 F138 H138 J138 L138 N138 P138 R138 T138 V138 X138 Z138 AB138">
    <cfRule type="cellIs" dxfId="1547" priority="1733" operator="equal">
      <formula>0</formula>
    </cfRule>
  </conditionalFormatting>
  <conditionalFormatting sqref="B143">
    <cfRule type="cellIs" dxfId="1546" priority="1759" operator="equal">
      <formula>"U/P"</formula>
    </cfRule>
    <cfRule type="cellIs" dxfId="1545" priority="1760" operator="equal">
      <formula>"F"</formula>
    </cfRule>
    <cfRule type="cellIs" dxfId="1544" priority="1761" operator="equal">
      <formula>"F"</formula>
    </cfRule>
  </conditionalFormatting>
  <conditionalFormatting sqref="B151">
    <cfRule type="cellIs" dxfId="1543" priority="1045" operator="equal">
      <formula>"U/P"</formula>
    </cfRule>
    <cfRule type="cellIs" dxfId="1542" priority="1046" operator="equal">
      <formula>"F"</formula>
    </cfRule>
    <cfRule type="cellIs" dxfId="1541" priority="1047" operator="equal">
      <formula>"F"</formula>
    </cfRule>
  </conditionalFormatting>
  <conditionalFormatting sqref="B154 D154 F154 H154 J154 L154 N154 P154 R154 T154 V154 X154 Z154 AB154">
    <cfRule type="cellIs" dxfId="1540" priority="1732" operator="equal">
      <formula>0</formula>
    </cfRule>
  </conditionalFormatting>
  <conditionalFormatting sqref="B159">
    <cfRule type="cellIs" dxfId="1539" priority="1011" operator="equal">
      <formula>"F"</formula>
    </cfRule>
    <cfRule type="cellIs" dxfId="1538" priority="1009" operator="equal">
      <formula>"U/P"</formula>
    </cfRule>
    <cfRule type="cellIs" dxfId="1537" priority="1010" operator="equal">
      <formula>"F"</formula>
    </cfRule>
  </conditionalFormatting>
  <conditionalFormatting sqref="B162 D162 F162 H162 J162 L162 N162 P162 R162 T162 V162 X162 Z162 AB162">
    <cfRule type="cellIs" dxfId="1536" priority="1731" operator="equal">
      <formula>0</formula>
    </cfRule>
  </conditionalFormatting>
  <conditionalFormatting sqref="B167">
    <cfRule type="cellIs" dxfId="1535" priority="969" operator="equal">
      <formula>"F"</formula>
    </cfRule>
    <cfRule type="cellIs" dxfId="1534" priority="968" operator="equal">
      <formula>"F"</formula>
    </cfRule>
    <cfRule type="cellIs" dxfId="1533" priority="967" operator="equal">
      <formula>"U/P"</formula>
    </cfRule>
  </conditionalFormatting>
  <conditionalFormatting sqref="B170">
    <cfRule type="cellIs" dxfId="1532" priority="231" operator="equal">
      <formula>0</formula>
    </cfRule>
  </conditionalFormatting>
  <conditionalFormatting sqref="B175">
    <cfRule type="cellIs" dxfId="1531" priority="926" operator="equal">
      <formula>"F"</formula>
    </cfRule>
    <cfRule type="cellIs" dxfId="1530" priority="925" operator="equal">
      <formula>"U/P"</formula>
    </cfRule>
    <cfRule type="cellIs" dxfId="1529" priority="927" operator="equal">
      <formula>"F"</formula>
    </cfRule>
  </conditionalFormatting>
  <conditionalFormatting sqref="B178 D178 F178 H178 J178 L178 N178 P178 R178 T178 V178 X178 Z178 AB178">
    <cfRule type="cellIs" dxfId="1528" priority="1729" operator="equal">
      <formula>0</formula>
    </cfRule>
  </conditionalFormatting>
  <conditionalFormatting sqref="B183">
    <cfRule type="cellIs" dxfId="1527" priority="1746" operator="equal">
      <formula>"F"</formula>
    </cfRule>
    <cfRule type="cellIs" dxfId="1526" priority="1744" operator="equal">
      <formula>"U/P"</formula>
    </cfRule>
    <cfRule type="cellIs" dxfId="1525" priority="1745" operator="equal">
      <formula>"F"</formula>
    </cfRule>
  </conditionalFormatting>
  <conditionalFormatting sqref="B186 D186 F186 H186 J186 L186 N186 P186 R186 T186 V186 X186 Z186 AB186">
    <cfRule type="cellIs" dxfId="1524" priority="1668" operator="equal">
      <formula>0</formula>
    </cfRule>
  </conditionalFormatting>
  <conditionalFormatting sqref="B191">
    <cfRule type="cellIs" dxfId="1523" priority="855" operator="equal">
      <formula>"F"</formula>
    </cfRule>
    <cfRule type="cellIs" dxfId="1522" priority="854" operator="equal">
      <formula>"F"</formula>
    </cfRule>
    <cfRule type="cellIs" dxfId="1521" priority="853" operator="equal">
      <formula>"U/P"</formula>
    </cfRule>
  </conditionalFormatting>
  <conditionalFormatting sqref="B194">
    <cfRule type="cellIs" dxfId="1520" priority="166" operator="equal">
      <formula>0</formula>
    </cfRule>
  </conditionalFormatting>
  <conditionalFormatting sqref="B199">
    <cfRule type="cellIs" dxfId="1519" priority="1714" operator="equal">
      <formula>"U/P"</formula>
    </cfRule>
    <cfRule type="cellIs" dxfId="1518" priority="1716" operator="equal">
      <formula>"F"</formula>
    </cfRule>
    <cfRule type="cellIs" dxfId="1517" priority="1715" operator="equal">
      <formula>"F"</formula>
    </cfRule>
  </conditionalFormatting>
  <conditionalFormatting sqref="B202 D202 F202 H202 J202 L202 N202 P202 R202 T202 V202 X202 Z202 AB202">
    <cfRule type="cellIs" dxfId="1516" priority="1666" operator="equal">
      <formula>0</formula>
    </cfRule>
  </conditionalFormatting>
  <conditionalFormatting sqref="B207">
    <cfRule type="cellIs" dxfId="1515" priority="1698" operator="equal">
      <formula>"F"</formula>
    </cfRule>
    <cfRule type="cellIs" dxfId="1514" priority="1697" operator="equal">
      <formula>"F"</formula>
    </cfRule>
    <cfRule type="cellIs" dxfId="1513" priority="1696" operator="equal">
      <formula>"U/P"</formula>
    </cfRule>
  </conditionalFormatting>
  <conditionalFormatting sqref="B215">
    <cfRule type="cellIs" dxfId="1512" priority="1676" operator="equal">
      <formula>"F"</formula>
    </cfRule>
    <cfRule type="cellIs" dxfId="1511" priority="1675" operator="equal">
      <formula>"U/P"</formula>
    </cfRule>
    <cfRule type="cellIs" dxfId="1510" priority="1677" operator="equal">
      <formula>"F"</formula>
    </cfRule>
  </conditionalFormatting>
  <conditionalFormatting sqref="B223">
    <cfRule type="cellIs" dxfId="1509" priority="753" operator="equal">
      <formula>"F"</formula>
    </cfRule>
    <cfRule type="cellIs" dxfId="1508" priority="752" operator="equal">
      <formula>"F"</formula>
    </cfRule>
    <cfRule type="cellIs" dxfId="1507" priority="751" operator="equal">
      <formula>"U/P"</formula>
    </cfRule>
  </conditionalFormatting>
  <conditionalFormatting sqref="B231">
    <cfRule type="cellIs" dxfId="1506" priority="693" operator="equal">
      <formula>"F"</formula>
    </cfRule>
    <cfRule type="cellIs" dxfId="1505" priority="692" operator="equal">
      <formula>"F"</formula>
    </cfRule>
    <cfRule type="cellIs" dxfId="1504" priority="691" operator="equal">
      <formula>"U/P"</formula>
    </cfRule>
  </conditionalFormatting>
  <conditionalFormatting sqref="B239">
    <cfRule type="cellIs" dxfId="1503" priority="25" operator="equal">
      <formula>"U/P"</formula>
    </cfRule>
    <cfRule type="cellIs" dxfId="1502" priority="27" operator="equal">
      <formula>"F"</formula>
    </cfRule>
    <cfRule type="cellIs" dxfId="1501" priority="26" operator="equal">
      <formula>"F"</formula>
    </cfRule>
  </conditionalFormatting>
  <conditionalFormatting sqref="B247">
    <cfRule type="cellIs" dxfId="1500" priority="608" operator="equal">
      <formula>"F"</formula>
    </cfRule>
    <cfRule type="cellIs" dxfId="1499" priority="609" operator="equal">
      <formula>"F"</formula>
    </cfRule>
    <cfRule type="cellIs" dxfId="1498" priority="607" operator="equal">
      <formula>"U/P"</formula>
    </cfRule>
  </conditionalFormatting>
  <conditionalFormatting sqref="B255">
    <cfRule type="cellIs" dxfId="1497" priority="565" operator="equal">
      <formula>"U/P"</formula>
    </cfRule>
    <cfRule type="cellIs" dxfId="1496" priority="567" operator="equal">
      <formula>"F"</formula>
    </cfRule>
    <cfRule type="cellIs" dxfId="1495" priority="566" operator="equal">
      <formula>"F"</formula>
    </cfRule>
  </conditionalFormatting>
  <conditionalFormatting sqref="B263">
    <cfRule type="cellIs" dxfId="1494" priority="523" operator="equal">
      <formula>"U/P"</formula>
    </cfRule>
    <cfRule type="cellIs" dxfId="1493" priority="524" operator="equal">
      <formula>"F"</formula>
    </cfRule>
    <cfRule type="cellIs" dxfId="1492" priority="525" operator="equal">
      <formula>"F"</formula>
    </cfRule>
  </conditionalFormatting>
  <conditionalFormatting sqref="B271">
    <cfRule type="cellIs" dxfId="1491" priority="481" operator="equal">
      <formula>"U/P"</formula>
    </cfRule>
    <cfRule type="cellIs" dxfId="1490" priority="482" operator="equal">
      <formula>"F"</formula>
    </cfRule>
    <cfRule type="cellIs" dxfId="1489" priority="483" operator="equal">
      <formula>"F"</formula>
    </cfRule>
  </conditionalFormatting>
  <conditionalFormatting sqref="B279">
    <cfRule type="cellIs" dxfId="1488" priority="441" operator="equal">
      <formula>"F"</formula>
    </cfRule>
    <cfRule type="cellIs" dxfId="1487" priority="440" operator="equal">
      <formula>"F"</formula>
    </cfRule>
    <cfRule type="cellIs" dxfId="1486" priority="439" operator="equal">
      <formula>"U/P"</formula>
    </cfRule>
  </conditionalFormatting>
  <conditionalFormatting sqref="B287">
    <cfRule type="cellIs" dxfId="1485" priority="398" operator="equal">
      <formula>"F"</formula>
    </cfRule>
    <cfRule type="cellIs" dxfId="1484" priority="399" operator="equal">
      <formula>"F"</formula>
    </cfRule>
    <cfRule type="cellIs" dxfId="1483" priority="397" operator="equal">
      <formula>"U/P"</formula>
    </cfRule>
  </conditionalFormatting>
  <conditionalFormatting sqref="B295">
    <cfRule type="cellIs" dxfId="1482" priority="356" operator="equal">
      <formula>"F"</formula>
    </cfRule>
    <cfRule type="cellIs" dxfId="1481" priority="355" operator="equal">
      <formula>"U/P"</formula>
    </cfRule>
    <cfRule type="cellIs" dxfId="1480" priority="357" operator="equal">
      <formula>"F"</formula>
    </cfRule>
  </conditionalFormatting>
  <conditionalFormatting sqref="B303">
    <cfRule type="cellIs" dxfId="1479" priority="313" operator="equal">
      <formula>"U/P"</formula>
    </cfRule>
    <cfRule type="cellIs" dxfId="1478" priority="314" operator="equal">
      <formula>"F"</formula>
    </cfRule>
    <cfRule type="cellIs" dxfId="1477" priority="315" operator="equal">
      <formula>"F"</formula>
    </cfRule>
  </conditionalFormatting>
  <conditionalFormatting sqref="B310">
    <cfRule type="cellIs" dxfId="1476" priority="272" operator="equal">
      <formula>"F"</formula>
    </cfRule>
    <cfRule type="cellIs" dxfId="1475" priority="273" operator="equal">
      <formula>"F"</formula>
    </cfRule>
    <cfRule type="cellIs" dxfId="1474" priority="271" operator="equal">
      <formula>"U/P"</formula>
    </cfRule>
  </conditionalFormatting>
  <conditionalFormatting sqref="D23">
    <cfRule type="cellIs" dxfId="1473" priority="1800" operator="equal">
      <formula>"U/P"</formula>
    </cfRule>
    <cfRule type="cellIs" dxfId="1472" priority="1802" operator="equal">
      <formula>"F"</formula>
    </cfRule>
    <cfRule type="cellIs" dxfId="1471" priority="1801" operator="equal">
      <formula>"F"</formula>
    </cfRule>
  </conditionalFormatting>
  <conditionalFormatting sqref="D26 F26 H26 J26 L26 N26 P26 R26 T26 V26 X26 Z26 AB26">
    <cfRule type="cellIs" dxfId="1470" priority="1799" operator="equal">
      <formula>0</formula>
    </cfRule>
  </conditionalFormatting>
  <conditionalFormatting sqref="D31">
    <cfRule type="cellIs" dxfId="1469" priority="1625" operator="equal">
      <formula>"F"</formula>
    </cfRule>
    <cfRule type="cellIs" dxfId="1468" priority="1626" operator="equal">
      <formula>"F"</formula>
    </cfRule>
    <cfRule type="cellIs" dxfId="1467" priority="1624" operator="equal">
      <formula>"U/P"</formula>
    </cfRule>
  </conditionalFormatting>
  <conditionalFormatting sqref="D39">
    <cfRule type="cellIs" dxfId="1466" priority="1582" operator="equal">
      <formula>"U/P"</formula>
    </cfRule>
    <cfRule type="cellIs" dxfId="1465" priority="1583" operator="equal">
      <formula>"F"</formula>
    </cfRule>
    <cfRule type="cellIs" dxfId="1464" priority="1584" operator="equal">
      <formula>"F"</formula>
    </cfRule>
  </conditionalFormatting>
  <conditionalFormatting sqref="D47">
    <cfRule type="cellIs" dxfId="1463" priority="1540" operator="equal">
      <formula>"U/P"</formula>
    </cfRule>
    <cfRule type="cellIs" dxfId="1462" priority="1541" operator="equal">
      <formula>"F"</formula>
    </cfRule>
    <cfRule type="cellIs" dxfId="1461" priority="1542" operator="equal">
      <formula>"F"</formula>
    </cfRule>
  </conditionalFormatting>
  <conditionalFormatting sqref="D55">
    <cfRule type="cellIs" dxfId="1460" priority="1499" operator="equal">
      <formula>"F"</formula>
    </cfRule>
    <cfRule type="cellIs" dxfId="1459" priority="1500" operator="equal">
      <formula>"F"</formula>
    </cfRule>
    <cfRule type="cellIs" dxfId="1458" priority="1498" operator="equal">
      <formula>"U/P"</formula>
    </cfRule>
  </conditionalFormatting>
  <conditionalFormatting sqref="D63">
    <cfRule type="cellIs" dxfId="1457" priority="1458" operator="equal">
      <formula>"F"</formula>
    </cfRule>
    <cfRule type="cellIs" dxfId="1456" priority="1457" operator="equal">
      <formula>"F"</formula>
    </cfRule>
    <cfRule type="cellIs" dxfId="1455" priority="1456" operator="equal">
      <formula>"U/P"</formula>
    </cfRule>
  </conditionalFormatting>
  <conditionalFormatting sqref="D71">
    <cfRule type="cellIs" dxfId="1454" priority="1416" operator="equal">
      <formula>"F"</formula>
    </cfRule>
    <cfRule type="cellIs" dxfId="1453" priority="1415" operator="equal">
      <formula>"F"</formula>
    </cfRule>
    <cfRule type="cellIs" dxfId="1452" priority="1414" operator="equal">
      <formula>"U/P"</formula>
    </cfRule>
  </conditionalFormatting>
  <conditionalFormatting sqref="D79">
    <cfRule type="cellIs" dxfId="1451" priority="1374" operator="equal">
      <formula>"F"</formula>
    </cfRule>
    <cfRule type="cellIs" dxfId="1450" priority="1372" operator="equal">
      <formula>"U/P"</formula>
    </cfRule>
    <cfRule type="cellIs" dxfId="1449" priority="1373" operator="equal">
      <formula>"F"</formula>
    </cfRule>
  </conditionalFormatting>
  <conditionalFormatting sqref="D87">
    <cfRule type="cellIs" dxfId="1448" priority="1331" operator="equal">
      <formula>"F"</formula>
    </cfRule>
    <cfRule type="cellIs" dxfId="1447" priority="1332" operator="equal">
      <formula>"F"</formula>
    </cfRule>
    <cfRule type="cellIs" dxfId="1446" priority="1330" operator="equal">
      <formula>"U/P"</formula>
    </cfRule>
  </conditionalFormatting>
  <conditionalFormatting sqref="D95">
    <cfRule type="cellIs" dxfId="1445" priority="1288" operator="equal">
      <formula>"U/P"</formula>
    </cfRule>
    <cfRule type="cellIs" dxfId="1444" priority="1289" operator="equal">
      <formula>"F"</formula>
    </cfRule>
    <cfRule type="cellIs" dxfId="1443" priority="1290" operator="equal">
      <formula>"F"</formula>
    </cfRule>
  </conditionalFormatting>
  <conditionalFormatting sqref="D103">
    <cfRule type="cellIs" dxfId="1442" priority="1248" operator="equal">
      <formula>"F"</formula>
    </cfRule>
    <cfRule type="cellIs" dxfId="1441" priority="1246" operator="equal">
      <formula>"U/P"</formula>
    </cfRule>
    <cfRule type="cellIs" dxfId="1440" priority="1247" operator="equal">
      <formula>"F"</formula>
    </cfRule>
  </conditionalFormatting>
  <conditionalFormatting sqref="D111">
    <cfRule type="cellIs" dxfId="1439" priority="1206" operator="equal">
      <formula>"F"</formula>
    </cfRule>
    <cfRule type="cellIs" dxfId="1438" priority="1205" operator="equal">
      <formula>"F"</formula>
    </cfRule>
    <cfRule type="cellIs" dxfId="1437" priority="1204" operator="equal">
      <formula>"U/P"</formula>
    </cfRule>
  </conditionalFormatting>
  <conditionalFormatting sqref="D119">
    <cfRule type="cellIs" dxfId="1436" priority="1170" operator="equal">
      <formula>"F"</formula>
    </cfRule>
    <cfRule type="cellIs" dxfId="1435" priority="1169" operator="equal">
      <formula>"F"</formula>
    </cfRule>
    <cfRule type="cellIs" dxfId="1434" priority="1168" operator="equal">
      <formula>"U/P"</formula>
    </cfRule>
  </conditionalFormatting>
  <conditionalFormatting sqref="D127">
    <cfRule type="cellIs" dxfId="1433" priority="1787" operator="equal">
      <formula>"F"</formula>
    </cfRule>
    <cfRule type="cellIs" dxfId="1432" priority="1786" operator="equal">
      <formula>"F"</formula>
    </cfRule>
    <cfRule type="cellIs" dxfId="1431" priority="1785" operator="equal">
      <formula>"U/P"</formula>
    </cfRule>
  </conditionalFormatting>
  <conditionalFormatting sqref="D135">
    <cfRule type="cellIs" dxfId="1430" priority="1091" operator="equal">
      <formula>"F"</formula>
    </cfRule>
    <cfRule type="cellIs" dxfId="1429" priority="1092" operator="equal">
      <formula>"F"</formula>
    </cfRule>
    <cfRule type="cellIs" dxfId="1428" priority="1090" operator="equal">
      <formula>"U/P"</formula>
    </cfRule>
  </conditionalFormatting>
  <conditionalFormatting sqref="D143">
    <cfRule type="cellIs" dxfId="1427" priority="756" operator="equal">
      <formula>"F"</formula>
    </cfRule>
    <cfRule type="cellIs" dxfId="1426" priority="754" operator="equal">
      <formula>"U/P"</formula>
    </cfRule>
    <cfRule type="cellIs" dxfId="1425" priority="755" operator="equal">
      <formula>"F"</formula>
    </cfRule>
  </conditionalFormatting>
  <conditionalFormatting sqref="D151">
    <cfRule type="cellIs" dxfId="1424" priority="1043" operator="equal">
      <formula>"F"</formula>
    </cfRule>
    <cfRule type="cellIs" dxfId="1423" priority="1044" operator="equal">
      <formula>"F"</formula>
    </cfRule>
    <cfRule type="cellIs" dxfId="1422" priority="1042" operator="equal">
      <formula>"U/P"</formula>
    </cfRule>
  </conditionalFormatting>
  <conditionalFormatting sqref="D159">
    <cfRule type="cellIs" dxfId="1421" priority="1006" operator="equal">
      <formula>"U/P"</formula>
    </cfRule>
    <cfRule type="cellIs" dxfId="1420" priority="1008" operator="equal">
      <formula>"F"</formula>
    </cfRule>
    <cfRule type="cellIs" dxfId="1419" priority="1007" operator="equal">
      <formula>"F"</formula>
    </cfRule>
  </conditionalFormatting>
  <conditionalFormatting sqref="D167">
    <cfRule type="cellIs" dxfId="1418" priority="964" operator="equal">
      <formula>"U/P"</formula>
    </cfRule>
    <cfRule type="cellIs" dxfId="1417" priority="966" operator="equal">
      <formula>"F"</formula>
    </cfRule>
    <cfRule type="cellIs" dxfId="1416" priority="965" operator="equal">
      <formula>"F"</formula>
    </cfRule>
  </conditionalFormatting>
  <conditionalFormatting sqref="D170 F170 J170 L170 N170 P170 R170 T170 V170 X170 Z170 AB170">
    <cfRule type="cellIs" dxfId="1415" priority="1730" operator="equal">
      <formula>0</formula>
    </cfRule>
  </conditionalFormatting>
  <conditionalFormatting sqref="D175">
    <cfRule type="cellIs" dxfId="1414" priority="922" operator="equal">
      <formula>"U/P"</formula>
    </cfRule>
    <cfRule type="cellIs" dxfId="1413" priority="923" operator="equal">
      <formula>"F"</formula>
    </cfRule>
    <cfRule type="cellIs" dxfId="1412" priority="924" operator="equal">
      <formula>"F"</formula>
    </cfRule>
  </conditionalFormatting>
  <conditionalFormatting sqref="D183">
    <cfRule type="cellIs" dxfId="1411" priority="1743" operator="equal">
      <formula>"F"</formula>
    </cfRule>
    <cfRule type="cellIs" dxfId="1410" priority="1741" operator="equal">
      <formula>"U/P"</formula>
    </cfRule>
    <cfRule type="cellIs" dxfId="1409" priority="1742" operator="equal">
      <formula>"F"</formula>
    </cfRule>
  </conditionalFormatting>
  <conditionalFormatting sqref="D191">
    <cfRule type="cellIs" dxfId="1408" priority="852" operator="equal">
      <formula>"F"</formula>
    </cfRule>
    <cfRule type="cellIs" dxfId="1407" priority="851" operator="equal">
      <formula>"F"</formula>
    </cfRule>
    <cfRule type="cellIs" dxfId="1406" priority="850" operator="equal">
      <formula>"U/P"</formula>
    </cfRule>
  </conditionalFormatting>
  <conditionalFormatting sqref="D194 F194 H194 J194 L194 N194 P194 R194 T194 V194 X194 Z194 AB194">
    <cfRule type="cellIs" dxfId="1405" priority="1667" operator="equal">
      <formula>0</formula>
    </cfRule>
  </conditionalFormatting>
  <conditionalFormatting sqref="D199">
    <cfRule type="cellIs" dxfId="1404" priority="224" operator="equal">
      <formula>"U/P"</formula>
    </cfRule>
    <cfRule type="cellIs" dxfId="1403" priority="225" operator="equal">
      <formula>"F"</formula>
    </cfRule>
    <cfRule type="cellIs" dxfId="1402" priority="226" operator="equal">
      <formula>"F"</formula>
    </cfRule>
  </conditionalFormatting>
  <conditionalFormatting sqref="D207">
    <cfRule type="cellIs" dxfId="1401" priority="180" operator="equal">
      <formula>"F"</formula>
    </cfRule>
    <cfRule type="cellIs" dxfId="1400" priority="181" operator="equal">
      <formula>"F"</formula>
    </cfRule>
    <cfRule type="cellIs" dxfId="1399" priority="179" operator="equal">
      <formula>"U/P"</formula>
    </cfRule>
  </conditionalFormatting>
  <conditionalFormatting sqref="D215">
    <cfRule type="cellIs" dxfId="1398" priority="780" operator="equal">
      <formula>"F"</formula>
    </cfRule>
    <cfRule type="cellIs" dxfId="1397" priority="778" operator="equal">
      <formula>"U/P"</formula>
    </cfRule>
    <cfRule type="cellIs" dxfId="1396" priority="779" operator="equal">
      <formula>"F"</formula>
    </cfRule>
  </conditionalFormatting>
  <conditionalFormatting sqref="D223">
    <cfRule type="cellIs" dxfId="1395" priority="742" operator="equal">
      <formula>"U/P"</formula>
    </cfRule>
    <cfRule type="cellIs" dxfId="1394" priority="743" operator="equal">
      <formula>"F"</formula>
    </cfRule>
    <cfRule type="cellIs" dxfId="1393" priority="744" operator="equal">
      <formula>"F"</formula>
    </cfRule>
  </conditionalFormatting>
  <conditionalFormatting sqref="D231">
    <cfRule type="cellIs" dxfId="1392" priority="684" operator="equal">
      <formula>"F"</formula>
    </cfRule>
    <cfRule type="cellIs" dxfId="1391" priority="683" operator="equal">
      <formula>"F"</formula>
    </cfRule>
    <cfRule type="cellIs" dxfId="1390" priority="682" operator="equal">
      <formula>"U/P"</formula>
    </cfRule>
  </conditionalFormatting>
  <conditionalFormatting sqref="D239">
    <cfRule type="cellIs" dxfId="1389" priority="215" operator="equal">
      <formula>"U/P"</formula>
    </cfRule>
    <cfRule type="cellIs" dxfId="1388" priority="216" operator="equal">
      <formula>"F"</formula>
    </cfRule>
    <cfRule type="cellIs" dxfId="1387" priority="217" operator="equal">
      <formula>"F"</formula>
    </cfRule>
  </conditionalFormatting>
  <conditionalFormatting sqref="D247">
    <cfRule type="cellIs" dxfId="1386" priority="600" operator="equal">
      <formula>"F"</formula>
    </cfRule>
    <cfRule type="cellIs" dxfId="1385" priority="599" operator="equal">
      <formula>"F"</formula>
    </cfRule>
    <cfRule type="cellIs" dxfId="1384" priority="598" operator="equal">
      <formula>"U/P"</formula>
    </cfRule>
  </conditionalFormatting>
  <conditionalFormatting sqref="D255">
    <cfRule type="cellIs" dxfId="1383" priority="556" operator="equal">
      <formula>"U/P"</formula>
    </cfRule>
    <cfRule type="cellIs" dxfId="1382" priority="557" operator="equal">
      <formula>"F"</formula>
    </cfRule>
    <cfRule type="cellIs" dxfId="1381" priority="558" operator="equal">
      <formula>"F"</formula>
    </cfRule>
  </conditionalFormatting>
  <conditionalFormatting sqref="D263">
    <cfRule type="cellIs" dxfId="1380" priority="155" operator="equal">
      <formula>"F"</formula>
    </cfRule>
    <cfRule type="cellIs" dxfId="1379" priority="156" operator="equal">
      <formula>"F"</formula>
    </cfRule>
    <cfRule type="cellIs" dxfId="1378" priority="154" operator="equal">
      <formula>"U/P"</formula>
    </cfRule>
  </conditionalFormatting>
  <conditionalFormatting sqref="D271">
    <cfRule type="cellIs" dxfId="1377" priority="474" operator="equal">
      <formula>"F"</formula>
    </cfRule>
    <cfRule type="cellIs" dxfId="1376" priority="473" operator="equal">
      <formula>"F"</formula>
    </cfRule>
    <cfRule type="cellIs" dxfId="1375" priority="472" operator="equal">
      <formula>"U/P"</formula>
    </cfRule>
  </conditionalFormatting>
  <conditionalFormatting sqref="D279">
    <cfRule type="cellIs" dxfId="1374" priority="432" operator="equal">
      <formula>"F"</formula>
    </cfRule>
    <cfRule type="cellIs" dxfId="1373" priority="430" operator="equal">
      <formula>"U/P"</formula>
    </cfRule>
    <cfRule type="cellIs" dxfId="1372" priority="431" operator="equal">
      <formula>"F"</formula>
    </cfRule>
  </conditionalFormatting>
  <conditionalFormatting sqref="D287">
    <cfRule type="cellIs" dxfId="1371" priority="390" operator="equal">
      <formula>"F"</formula>
    </cfRule>
    <cfRule type="cellIs" dxfId="1370" priority="389" operator="equal">
      <formula>"F"</formula>
    </cfRule>
    <cfRule type="cellIs" dxfId="1369" priority="388" operator="equal">
      <formula>"U/P"</formula>
    </cfRule>
  </conditionalFormatting>
  <conditionalFormatting sqref="D295">
    <cfRule type="cellIs" dxfId="1368" priority="94" operator="equal">
      <formula>"U/P"</formula>
    </cfRule>
    <cfRule type="cellIs" dxfId="1367" priority="95" operator="equal">
      <formula>"F"</formula>
    </cfRule>
    <cfRule type="cellIs" dxfId="1366" priority="96" operator="equal">
      <formula>"F"</formula>
    </cfRule>
  </conditionalFormatting>
  <conditionalFormatting sqref="D303">
    <cfRule type="cellIs" dxfId="1365" priority="115" operator="equal">
      <formula>"U/P"</formula>
    </cfRule>
    <cfRule type="cellIs" dxfId="1364" priority="116" operator="equal">
      <formula>"F"</formula>
    </cfRule>
    <cfRule type="cellIs" dxfId="1363" priority="117" operator="equal">
      <formula>"F"</formula>
    </cfRule>
  </conditionalFormatting>
  <conditionalFormatting sqref="D310">
    <cfRule type="cellIs" dxfId="1362" priority="262" operator="equal">
      <formula>"U/P"</formula>
    </cfRule>
    <cfRule type="cellIs" dxfId="1361" priority="263" operator="equal">
      <formula>"F"</formula>
    </cfRule>
    <cfRule type="cellIs" dxfId="1360" priority="264" operator="equal">
      <formula>"F"</formula>
    </cfRule>
  </conditionalFormatting>
  <conditionalFormatting sqref="F23">
    <cfRule type="cellIs" dxfId="1359" priority="1664" operator="equal">
      <formula>"F"</formula>
    </cfRule>
    <cfRule type="cellIs" dxfId="1358" priority="1663" operator="equal">
      <formula>"U/P"</formula>
    </cfRule>
    <cfRule type="cellIs" dxfId="1357" priority="1665" operator="equal">
      <formula>"F"</formula>
    </cfRule>
  </conditionalFormatting>
  <conditionalFormatting sqref="F31">
    <cfRule type="cellIs" dxfId="1356" priority="1621" operator="equal">
      <formula>"U/P"</formula>
    </cfRule>
    <cfRule type="cellIs" dxfId="1355" priority="1623" operator="equal">
      <formula>"F"</formula>
    </cfRule>
    <cfRule type="cellIs" dxfId="1354" priority="1622" operator="equal">
      <formula>"F"</formula>
    </cfRule>
  </conditionalFormatting>
  <conditionalFormatting sqref="F39">
    <cfRule type="cellIs" dxfId="1353" priority="1580" operator="equal">
      <formula>"F"</formula>
    </cfRule>
    <cfRule type="cellIs" dxfId="1352" priority="1581" operator="equal">
      <formula>"F"</formula>
    </cfRule>
    <cfRule type="cellIs" dxfId="1351" priority="1579" operator="equal">
      <formula>"U/P"</formula>
    </cfRule>
  </conditionalFormatting>
  <conditionalFormatting sqref="F47">
    <cfRule type="cellIs" dxfId="1350" priority="1538" operator="equal">
      <formula>"F"</formula>
    </cfRule>
    <cfRule type="cellIs" dxfId="1349" priority="1537" operator="equal">
      <formula>"U/P"</formula>
    </cfRule>
    <cfRule type="cellIs" dxfId="1348" priority="1539" operator="equal">
      <formula>"F"</formula>
    </cfRule>
  </conditionalFormatting>
  <conditionalFormatting sqref="F55">
    <cfRule type="cellIs" dxfId="1347" priority="1495" operator="equal">
      <formula>"U/P"</formula>
    </cfRule>
    <cfRule type="cellIs" dxfId="1346" priority="1497" operator="equal">
      <formula>"F"</formula>
    </cfRule>
    <cfRule type="cellIs" dxfId="1345" priority="1496" operator="equal">
      <formula>"F"</formula>
    </cfRule>
  </conditionalFormatting>
  <conditionalFormatting sqref="F63">
    <cfRule type="cellIs" dxfId="1344" priority="1453" operator="equal">
      <formula>"U/P"</formula>
    </cfRule>
    <cfRule type="cellIs" dxfId="1343" priority="1455" operator="equal">
      <formula>"F"</formula>
    </cfRule>
    <cfRule type="cellIs" dxfId="1342" priority="1454" operator="equal">
      <formula>"F"</formula>
    </cfRule>
  </conditionalFormatting>
  <conditionalFormatting sqref="F71">
    <cfRule type="cellIs" dxfId="1341" priority="1411" operator="equal">
      <formula>"U/P"</formula>
    </cfRule>
    <cfRule type="cellIs" dxfId="1340" priority="1412" operator="equal">
      <formula>"F"</formula>
    </cfRule>
    <cfRule type="cellIs" dxfId="1339" priority="1413" operator="equal">
      <formula>"F"</formula>
    </cfRule>
  </conditionalFormatting>
  <conditionalFormatting sqref="F79">
    <cfRule type="cellIs" dxfId="1338" priority="1370" operator="equal">
      <formula>"F"</formula>
    </cfRule>
    <cfRule type="cellIs" dxfId="1337" priority="1371" operator="equal">
      <formula>"F"</formula>
    </cfRule>
    <cfRule type="cellIs" dxfId="1336" priority="1369" operator="equal">
      <formula>"U/P"</formula>
    </cfRule>
  </conditionalFormatting>
  <conditionalFormatting sqref="F87">
    <cfRule type="cellIs" dxfId="1335" priority="1328" operator="equal">
      <formula>"F"</formula>
    </cfRule>
    <cfRule type="cellIs" dxfId="1334" priority="1327" operator="equal">
      <formula>"U/P"</formula>
    </cfRule>
    <cfRule type="cellIs" dxfId="1333" priority="1329" operator="equal">
      <formula>"F"</formula>
    </cfRule>
  </conditionalFormatting>
  <conditionalFormatting sqref="F95">
    <cfRule type="cellIs" dxfId="1332" priority="1285" operator="equal">
      <formula>"U/P"</formula>
    </cfRule>
    <cfRule type="cellIs" dxfId="1331" priority="1286" operator="equal">
      <formula>"F"</formula>
    </cfRule>
    <cfRule type="cellIs" dxfId="1330" priority="1287" operator="equal">
      <formula>"F"</formula>
    </cfRule>
  </conditionalFormatting>
  <conditionalFormatting sqref="F103">
    <cfRule type="cellIs" dxfId="1329" priority="1245" operator="equal">
      <formula>"F"</formula>
    </cfRule>
    <cfRule type="cellIs" dxfId="1328" priority="1244" operator="equal">
      <formula>"F"</formula>
    </cfRule>
    <cfRule type="cellIs" dxfId="1327" priority="1243" operator="equal">
      <formula>"U/P"</formula>
    </cfRule>
  </conditionalFormatting>
  <conditionalFormatting sqref="F111">
    <cfRule type="cellIs" dxfId="1326" priority="1203" operator="equal">
      <formula>"F"</formula>
    </cfRule>
    <cfRule type="cellIs" dxfId="1325" priority="1202" operator="equal">
      <formula>"F"</formula>
    </cfRule>
    <cfRule type="cellIs" dxfId="1324" priority="1201" operator="equal">
      <formula>"U/P"</formula>
    </cfRule>
  </conditionalFormatting>
  <conditionalFormatting sqref="F119">
    <cfRule type="cellIs" dxfId="1323" priority="1165" operator="equal">
      <formula>"U/P"</formula>
    </cfRule>
    <cfRule type="cellIs" dxfId="1322" priority="1167" operator="equal">
      <formula>"F"</formula>
    </cfRule>
    <cfRule type="cellIs" dxfId="1321" priority="1166" operator="equal">
      <formula>"F"</formula>
    </cfRule>
  </conditionalFormatting>
  <conditionalFormatting sqref="F127">
    <cfRule type="cellIs" dxfId="1320" priority="1784" operator="equal">
      <formula>"F"</formula>
    </cfRule>
    <cfRule type="cellIs" dxfId="1319" priority="1783" operator="equal">
      <formula>"F"</formula>
    </cfRule>
    <cfRule type="cellIs" dxfId="1318" priority="1782" operator="equal">
      <formula>"U/P"</formula>
    </cfRule>
  </conditionalFormatting>
  <conditionalFormatting sqref="F135">
    <cfRule type="cellIs" dxfId="1317" priority="1088" operator="equal">
      <formula>"F"</formula>
    </cfRule>
    <cfRule type="cellIs" dxfId="1316" priority="1089" operator="equal">
      <formula>"F"</formula>
    </cfRule>
    <cfRule type="cellIs" dxfId="1315" priority="1087" operator="equal">
      <formula>"U/P"</formula>
    </cfRule>
  </conditionalFormatting>
  <conditionalFormatting sqref="F143">
    <cfRule type="cellIs" dxfId="1314" priority="1756" operator="equal">
      <formula>"U/P"</formula>
    </cfRule>
    <cfRule type="cellIs" dxfId="1313" priority="1757" operator="equal">
      <formula>"F"</formula>
    </cfRule>
    <cfRule type="cellIs" dxfId="1312" priority="1758" operator="equal">
      <formula>"F"</formula>
    </cfRule>
  </conditionalFormatting>
  <conditionalFormatting sqref="F151">
    <cfRule type="cellIs" dxfId="1311" priority="1041" operator="equal">
      <formula>"F"</formula>
    </cfRule>
    <cfRule type="cellIs" dxfId="1310" priority="1039" operator="equal">
      <formula>"U/P"</formula>
    </cfRule>
    <cfRule type="cellIs" dxfId="1309" priority="1040" operator="equal">
      <formula>"F"</formula>
    </cfRule>
  </conditionalFormatting>
  <conditionalFormatting sqref="F159">
    <cfRule type="cellIs" dxfId="1308" priority="1005" operator="equal">
      <formula>"F"</formula>
    </cfRule>
    <cfRule type="cellIs" dxfId="1307" priority="1004" operator="equal">
      <formula>"F"</formula>
    </cfRule>
    <cfRule type="cellIs" dxfId="1306" priority="1003" operator="equal">
      <formula>"U/P"</formula>
    </cfRule>
  </conditionalFormatting>
  <conditionalFormatting sqref="F167">
    <cfRule type="cellIs" dxfId="1305" priority="962" operator="equal">
      <formula>"F"</formula>
    </cfRule>
    <cfRule type="cellIs" dxfId="1304" priority="961" operator="equal">
      <formula>"U/P"</formula>
    </cfRule>
    <cfRule type="cellIs" dxfId="1303" priority="963" operator="equal">
      <formula>"F"</formula>
    </cfRule>
  </conditionalFormatting>
  <conditionalFormatting sqref="F175">
    <cfRule type="cellIs" dxfId="1302" priority="921" operator="equal">
      <formula>"F"</formula>
    </cfRule>
    <cfRule type="cellIs" dxfId="1301" priority="920" operator="equal">
      <formula>"F"</formula>
    </cfRule>
    <cfRule type="cellIs" dxfId="1300" priority="919" operator="equal">
      <formula>"U/P"</formula>
    </cfRule>
  </conditionalFormatting>
  <conditionalFormatting sqref="F183">
    <cfRule type="cellIs" dxfId="1299" priority="1739" operator="equal">
      <formula>"F"</formula>
    </cfRule>
    <cfRule type="cellIs" dxfId="1298" priority="1740" operator="equal">
      <formula>"F"</formula>
    </cfRule>
    <cfRule type="cellIs" dxfId="1297" priority="1738" operator="equal">
      <formula>"U/P"</formula>
    </cfRule>
  </conditionalFormatting>
  <conditionalFormatting sqref="F191">
    <cfRule type="cellIs" dxfId="1296" priority="848" operator="equal">
      <formula>"F"</formula>
    </cfRule>
    <cfRule type="cellIs" dxfId="1295" priority="849" operator="equal">
      <formula>"F"</formula>
    </cfRule>
    <cfRule type="cellIs" dxfId="1294" priority="847" operator="equal">
      <formula>"U/P"</formula>
    </cfRule>
  </conditionalFormatting>
  <conditionalFormatting sqref="F199">
    <cfRule type="cellIs" dxfId="1293" priority="219" operator="equal">
      <formula>"F"</formula>
    </cfRule>
    <cfRule type="cellIs" dxfId="1292" priority="220" operator="equal">
      <formula>"F"</formula>
    </cfRule>
    <cfRule type="cellIs" dxfId="1291" priority="218" operator="equal">
      <formula>"U/P"</formula>
    </cfRule>
  </conditionalFormatting>
  <conditionalFormatting sqref="F207">
    <cfRule type="cellIs" dxfId="1290" priority="1694" operator="equal">
      <formula>"F"</formula>
    </cfRule>
    <cfRule type="cellIs" dxfId="1289" priority="1693" operator="equal">
      <formula>"U/P"</formula>
    </cfRule>
    <cfRule type="cellIs" dxfId="1288" priority="1695" operator="equal">
      <formula>"F"</formula>
    </cfRule>
  </conditionalFormatting>
  <conditionalFormatting sqref="F215">
    <cfRule type="cellIs" dxfId="1287" priority="777" operator="equal">
      <formula>"F"</formula>
    </cfRule>
    <cfRule type="cellIs" dxfId="1286" priority="776" operator="equal">
      <formula>"F"</formula>
    </cfRule>
    <cfRule type="cellIs" dxfId="1285" priority="775" operator="equal">
      <formula>"U/P"</formula>
    </cfRule>
  </conditionalFormatting>
  <conditionalFormatting sqref="F223">
    <cfRule type="cellIs" dxfId="1284" priority="741" operator="equal">
      <formula>"F"</formula>
    </cfRule>
    <cfRule type="cellIs" dxfId="1283" priority="739" operator="equal">
      <formula>"U/P"</formula>
    </cfRule>
    <cfRule type="cellIs" dxfId="1282" priority="740" operator="equal">
      <formula>"F"</formula>
    </cfRule>
  </conditionalFormatting>
  <conditionalFormatting sqref="F231">
    <cfRule type="cellIs" dxfId="1281" priority="681" operator="equal">
      <formula>"F"</formula>
    </cfRule>
    <cfRule type="cellIs" dxfId="1280" priority="680" operator="equal">
      <formula>"F"</formula>
    </cfRule>
    <cfRule type="cellIs" dxfId="1279" priority="679" operator="equal">
      <formula>"U/P"</formula>
    </cfRule>
  </conditionalFormatting>
  <conditionalFormatting sqref="F239">
    <cfRule type="cellIs" dxfId="1278" priority="208" operator="equal">
      <formula>"F"</formula>
    </cfRule>
    <cfRule type="cellIs" dxfId="1277" priority="206" operator="equal">
      <formula>"U/P"</formula>
    </cfRule>
    <cfRule type="cellIs" dxfId="1276" priority="207" operator="equal">
      <formula>"F"</formula>
    </cfRule>
  </conditionalFormatting>
  <conditionalFormatting sqref="F247">
    <cfRule type="cellIs" dxfId="1275" priority="597" operator="equal">
      <formula>"F"</formula>
    </cfRule>
    <cfRule type="cellIs" dxfId="1274" priority="596" operator="equal">
      <formula>"F"</formula>
    </cfRule>
    <cfRule type="cellIs" dxfId="1273" priority="595" operator="equal">
      <formula>"U/P"</formula>
    </cfRule>
  </conditionalFormatting>
  <conditionalFormatting sqref="F255">
    <cfRule type="cellIs" dxfId="1272" priority="553" operator="equal">
      <formula>"U/P"</formula>
    </cfRule>
    <cfRule type="cellIs" dxfId="1271" priority="554" operator="equal">
      <formula>"F"</formula>
    </cfRule>
    <cfRule type="cellIs" dxfId="1270" priority="555" operator="equal">
      <formula>"F"</formula>
    </cfRule>
  </conditionalFormatting>
  <conditionalFormatting sqref="F263">
    <cfRule type="cellIs" dxfId="1269" priority="151" operator="equal">
      <formula>"U/P"</formula>
    </cfRule>
    <cfRule type="cellIs" dxfId="1268" priority="152" operator="equal">
      <formula>"F"</formula>
    </cfRule>
    <cfRule type="cellIs" dxfId="1267" priority="153" operator="equal">
      <formula>"F"</formula>
    </cfRule>
  </conditionalFormatting>
  <conditionalFormatting sqref="F271">
    <cfRule type="cellIs" dxfId="1266" priority="470" operator="equal">
      <formula>"F"</formula>
    </cfRule>
    <cfRule type="cellIs" dxfId="1265" priority="469" operator="equal">
      <formula>"U/P"</formula>
    </cfRule>
    <cfRule type="cellIs" dxfId="1264" priority="471" operator="equal">
      <formula>"F"</formula>
    </cfRule>
  </conditionalFormatting>
  <conditionalFormatting sqref="F279">
    <cfRule type="cellIs" dxfId="1263" priority="427" operator="equal">
      <formula>"U/P"</formula>
    </cfRule>
    <cfRule type="cellIs" dxfId="1262" priority="429" operator="equal">
      <formula>"F"</formula>
    </cfRule>
    <cfRule type="cellIs" dxfId="1261" priority="428" operator="equal">
      <formula>"F"</formula>
    </cfRule>
  </conditionalFormatting>
  <conditionalFormatting sqref="F287">
    <cfRule type="cellIs" dxfId="1260" priority="6" operator="equal">
      <formula>"F"</formula>
    </cfRule>
    <cfRule type="cellIs" dxfId="1259" priority="5" operator="equal">
      <formula>"F"</formula>
    </cfRule>
    <cfRule type="cellIs" dxfId="1258" priority="4" operator="equal">
      <formula>"U/P"</formula>
    </cfRule>
  </conditionalFormatting>
  <conditionalFormatting sqref="F295">
    <cfRule type="cellIs" dxfId="1257" priority="92" operator="equal">
      <formula>"F"</formula>
    </cfRule>
    <cfRule type="cellIs" dxfId="1256" priority="93" operator="equal">
      <formula>"F"</formula>
    </cfRule>
    <cfRule type="cellIs" dxfId="1255" priority="91" operator="equal">
      <formula>"U/P"</formula>
    </cfRule>
  </conditionalFormatting>
  <conditionalFormatting sqref="F303">
    <cfRule type="cellIs" dxfId="1254" priority="114" operator="equal">
      <formula>"F"</formula>
    </cfRule>
    <cfRule type="cellIs" dxfId="1253" priority="113" operator="equal">
      <formula>"F"</formula>
    </cfRule>
    <cfRule type="cellIs" dxfId="1252" priority="112" operator="equal">
      <formula>"U/P"</formula>
    </cfRule>
  </conditionalFormatting>
  <conditionalFormatting sqref="F310">
    <cfRule type="cellIs" dxfId="1251" priority="237" operator="equal">
      <formula>"F"</formula>
    </cfRule>
    <cfRule type="cellIs" dxfId="1250" priority="236" operator="equal">
      <formula>"F"</formula>
    </cfRule>
    <cfRule type="cellIs" dxfId="1249" priority="235" operator="equal">
      <formula>"U/P"</formula>
    </cfRule>
  </conditionalFormatting>
  <conditionalFormatting sqref="H23">
    <cfRule type="cellIs" dxfId="1248" priority="1660" operator="equal">
      <formula>"U/P"</formula>
    </cfRule>
    <cfRule type="cellIs" dxfId="1247" priority="1662" operator="equal">
      <formula>"F"</formula>
    </cfRule>
    <cfRule type="cellIs" dxfId="1246" priority="1661" operator="equal">
      <formula>"F"</formula>
    </cfRule>
  </conditionalFormatting>
  <conditionalFormatting sqref="H31">
    <cfRule type="cellIs" dxfId="1245" priority="1620" operator="equal">
      <formula>"F"</formula>
    </cfRule>
    <cfRule type="cellIs" dxfId="1244" priority="1619" operator="equal">
      <formula>"F"</formula>
    </cfRule>
    <cfRule type="cellIs" dxfId="1243" priority="1618" operator="equal">
      <formula>"U/P"</formula>
    </cfRule>
  </conditionalFormatting>
  <conditionalFormatting sqref="H39">
    <cfRule type="cellIs" dxfId="1242" priority="1576" operator="equal">
      <formula>"U/P"</formula>
    </cfRule>
    <cfRule type="cellIs" dxfId="1241" priority="1577" operator="equal">
      <formula>"F"</formula>
    </cfRule>
    <cfRule type="cellIs" dxfId="1240" priority="1578" operator="equal">
      <formula>"F"</formula>
    </cfRule>
  </conditionalFormatting>
  <conditionalFormatting sqref="H47">
    <cfRule type="cellIs" dxfId="1239" priority="1536" operator="equal">
      <formula>"F"</formula>
    </cfRule>
    <cfRule type="cellIs" dxfId="1238" priority="1535" operator="equal">
      <formula>"F"</formula>
    </cfRule>
    <cfRule type="cellIs" dxfId="1237" priority="1534" operator="equal">
      <formula>"U/P"</formula>
    </cfRule>
  </conditionalFormatting>
  <conditionalFormatting sqref="H55">
    <cfRule type="cellIs" dxfId="1236" priority="1493" operator="equal">
      <formula>"F"</formula>
    </cfRule>
    <cfRule type="cellIs" dxfId="1235" priority="1494" operator="equal">
      <formula>"F"</formula>
    </cfRule>
    <cfRule type="cellIs" dxfId="1234" priority="1492" operator="equal">
      <formula>"U/P"</formula>
    </cfRule>
  </conditionalFormatting>
  <conditionalFormatting sqref="H63">
    <cfRule type="cellIs" dxfId="1233" priority="1451" operator="equal">
      <formula>"F"</formula>
    </cfRule>
    <cfRule type="cellIs" dxfId="1232" priority="1450" operator="equal">
      <formula>"U/P"</formula>
    </cfRule>
    <cfRule type="cellIs" dxfId="1231" priority="1452" operator="equal">
      <formula>"F"</formula>
    </cfRule>
  </conditionalFormatting>
  <conditionalFormatting sqref="H71">
    <cfRule type="cellIs" dxfId="1230" priority="1410" operator="equal">
      <formula>"F"</formula>
    </cfRule>
    <cfRule type="cellIs" dxfId="1229" priority="1408" operator="equal">
      <formula>"U/P"</formula>
    </cfRule>
    <cfRule type="cellIs" dxfId="1228" priority="1409" operator="equal">
      <formula>"F"</formula>
    </cfRule>
  </conditionalFormatting>
  <conditionalFormatting sqref="H79">
    <cfRule type="cellIs" dxfId="1227" priority="1366" operator="equal">
      <formula>"U/P"</formula>
    </cfRule>
    <cfRule type="cellIs" dxfId="1226" priority="1367" operator="equal">
      <formula>"F"</formula>
    </cfRule>
    <cfRule type="cellIs" dxfId="1225" priority="1368" operator="equal">
      <formula>"F"</formula>
    </cfRule>
  </conditionalFormatting>
  <conditionalFormatting sqref="H87">
    <cfRule type="cellIs" dxfId="1224" priority="1326" operator="equal">
      <formula>"F"</formula>
    </cfRule>
    <cfRule type="cellIs" dxfId="1223" priority="1324" operator="equal">
      <formula>"U/P"</formula>
    </cfRule>
    <cfRule type="cellIs" dxfId="1222" priority="1325" operator="equal">
      <formula>"F"</formula>
    </cfRule>
  </conditionalFormatting>
  <conditionalFormatting sqref="H95">
    <cfRule type="cellIs" dxfId="1221" priority="1282" operator="equal">
      <formula>"U/P"</formula>
    </cfRule>
    <cfRule type="cellIs" dxfId="1220" priority="1284" operator="equal">
      <formula>"F"</formula>
    </cfRule>
    <cfRule type="cellIs" dxfId="1219" priority="1283" operator="equal">
      <formula>"F"</formula>
    </cfRule>
  </conditionalFormatting>
  <conditionalFormatting sqref="H103">
    <cfRule type="cellIs" dxfId="1218" priority="1240" operator="equal">
      <formula>"U/P"</formula>
    </cfRule>
    <cfRule type="cellIs" dxfId="1217" priority="1241" operator="equal">
      <formula>"F"</formula>
    </cfRule>
    <cfRule type="cellIs" dxfId="1216" priority="1242" operator="equal">
      <formula>"F"</formula>
    </cfRule>
  </conditionalFormatting>
  <conditionalFormatting sqref="H111">
    <cfRule type="cellIs" dxfId="1215" priority="1200" operator="equal">
      <formula>"F"</formula>
    </cfRule>
    <cfRule type="cellIs" dxfId="1214" priority="1199" operator="equal">
      <formula>"F"</formula>
    </cfRule>
    <cfRule type="cellIs" dxfId="1213" priority="1198" operator="equal">
      <formula>"U/P"</formula>
    </cfRule>
  </conditionalFormatting>
  <conditionalFormatting sqref="H119">
    <cfRule type="cellIs" dxfId="1212" priority="1164" operator="equal">
      <formula>"F"</formula>
    </cfRule>
    <cfRule type="cellIs" dxfId="1211" priority="1163" operator="equal">
      <formula>"F"</formula>
    </cfRule>
    <cfRule type="cellIs" dxfId="1210" priority="1162" operator="equal">
      <formula>"U/P"</formula>
    </cfRule>
  </conditionalFormatting>
  <conditionalFormatting sqref="H127">
    <cfRule type="cellIs" dxfId="1209" priority="1126" operator="equal">
      <formula>"U/P"</formula>
    </cfRule>
    <cfRule type="cellIs" dxfId="1208" priority="1127" operator="equal">
      <formula>"F"</formula>
    </cfRule>
    <cfRule type="cellIs" dxfId="1207" priority="1128" operator="equal">
      <formula>"F"</formula>
    </cfRule>
  </conditionalFormatting>
  <conditionalFormatting sqref="H135">
    <cfRule type="cellIs" dxfId="1206" priority="1774" operator="equal">
      <formula>"U/P"</formula>
    </cfRule>
    <cfRule type="cellIs" dxfId="1205" priority="1775" operator="equal">
      <formula>"F"</formula>
    </cfRule>
    <cfRule type="cellIs" dxfId="1204" priority="1776" operator="equal">
      <formula>"F"</formula>
    </cfRule>
  </conditionalFormatting>
  <conditionalFormatting sqref="H143">
    <cfRule type="cellIs" dxfId="1203" priority="1755" operator="equal">
      <formula>"F"</formula>
    </cfRule>
    <cfRule type="cellIs" dxfId="1202" priority="1753" operator="equal">
      <formula>"U/P"</formula>
    </cfRule>
    <cfRule type="cellIs" dxfId="1201" priority="1754" operator="equal">
      <formula>"F"</formula>
    </cfRule>
  </conditionalFormatting>
  <conditionalFormatting sqref="H151">
    <cfRule type="cellIs" dxfId="1200" priority="1038" operator="equal">
      <formula>"F"</formula>
    </cfRule>
    <cfRule type="cellIs" dxfId="1199" priority="1037" operator="equal">
      <formula>"F"</formula>
    </cfRule>
    <cfRule type="cellIs" dxfId="1198" priority="1036" operator="equal">
      <formula>"U/P"</formula>
    </cfRule>
  </conditionalFormatting>
  <conditionalFormatting sqref="H159">
    <cfRule type="cellIs" dxfId="1197" priority="1001" operator="equal">
      <formula>"F"</formula>
    </cfRule>
    <cfRule type="cellIs" dxfId="1196" priority="1000" operator="equal">
      <formula>"U/P"</formula>
    </cfRule>
    <cfRule type="cellIs" dxfId="1195" priority="1002" operator="equal">
      <formula>"F"</formula>
    </cfRule>
  </conditionalFormatting>
  <conditionalFormatting sqref="H167">
    <cfRule type="cellIs" dxfId="1194" priority="959" operator="equal">
      <formula>"F"</formula>
    </cfRule>
    <cfRule type="cellIs" dxfId="1193" priority="958" operator="equal">
      <formula>"U/P"</formula>
    </cfRule>
    <cfRule type="cellIs" dxfId="1192" priority="960" operator="equal">
      <formula>"F"</formula>
    </cfRule>
  </conditionalFormatting>
  <conditionalFormatting sqref="H170">
    <cfRule type="cellIs" dxfId="1191" priority="230" operator="equal">
      <formula>0</formula>
    </cfRule>
  </conditionalFormatting>
  <conditionalFormatting sqref="H175">
    <cfRule type="cellIs" dxfId="1190" priority="918" operator="equal">
      <formula>"F"</formula>
    </cfRule>
    <cfRule type="cellIs" dxfId="1189" priority="916" operator="equal">
      <formula>"U/P"</formula>
    </cfRule>
    <cfRule type="cellIs" dxfId="1188" priority="917" operator="equal">
      <formula>"F"</formula>
    </cfRule>
  </conditionalFormatting>
  <conditionalFormatting sqref="H183">
    <cfRule type="cellIs" dxfId="1187" priority="883" operator="equal">
      <formula>"U/P"</formula>
    </cfRule>
    <cfRule type="cellIs" dxfId="1186" priority="885" operator="equal">
      <formula>"F"</formula>
    </cfRule>
    <cfRule type="cellIs" dxfId="1185" priority="884" operator="equal">
      <formula>"F"</formula>
    </cfRule>
  </conditionalFormatting>
  <conditionalFormatting sqref="H191">
    <cfRule type="cellIs" dxfId="1184" priority="845" operator="equal">
      <formula>"F"</formula>
    </cfRule>
    <cfRule type="cellIs" dxfId="1183" priority="846" operator="equal">
      <formula>"F"</formula>
    </cfRule>
    <cfRule type="cellIs" dxfId="1182" priority="844" operator="equal">
      <formula>"U/P"</formula>
    </cfRule>
  </conditionalFormatting>
  <conditionalFormatting sqref="H199">
    <cfRule type="cellIs" dxfId="1181" priority="1708" operator="equal">
      <formula>"U/P"</formula>
    </cfRule>
    <cfRule type="cellIs" dxfId="1180" priority="1710" operator="equal">
      <formula>"F"</formula>
    </cfRule>
    <cfRule type="cellIs" dxfId="1179" priority="1709" operator="equal">
      <formula>"F"</formula>
    </cfRule>
  </conditionalFormatting>
  <conditionalFormatting sqref="H207">
    <cfRule type="cellIs" dxfId="1178" priority="1691" operator="equal">
      <formula>"F"</formula>
    </cfRule>
    <cfRule type="cellIs" dxfId="1177" priority="1690" operator="equal">
      <formula>"U/P"</formula>
    </cfRule>
    <cfRule type="cellIs" dxfId="1176" priority="1692" operator="equal">
      <formula>"F"</formula>
    </cfRule>
  </conditionalFormatting>
  <conditionalFormatting sqref="H215">
    <cfRule type="cellIs" dxfId="1175" priority="774" operator="equal">
      <formula>"F"</formula>
    </cfRule>
    <cfRule type="cellIs" dxfId="1174" priority="773" operator="equal">
      <formula>"F"</formula>
    </cfRule>
    <cfRule type="cellIs" dxfId="1173" priority="772" operator="equal">
      <formula>"U/P"</formula>
    </cfRule>
  </conditionalFormatting>
  <conditionalFormatting sqref="H223">
    <cfRule type="cellIs" dxfId="1172" priority="197" operator="equal">
      <formula>"U/P"</formula>
    </cfRule>
    <cfRule type="cellIs" dxfId="1171" priority="198" operator="equal">
      <formula>"F"</formula>
    </cfRule>
    <cfRule type="cellIs" dxfId="1170" priority="199" operator="equal">
      <formula>"F"</formula>
    </cfRule>
  </conditionalFormatting>
  <conditionalFormatting sqref="H231">
    <cfRule type="cellIs" dxfId="1169" priority="678" operator="equal">
      <formula>"F"</formula>
    </cfRule>
    <cfRule type="cellIs" dxfId="1168" priority="677" operator="equal">
      <formula>"F"</formula>
    </cfRule>
    <cfRule type="cellIs" dxfId="1167" priority="676" operator="equal">
      <formula>"U/P"</formula>
    </cfRule>
  </conditionalFormatting>
  <conditionalFormatting sqref="H239">
    <cfRule type="cellIs" dxfId="1166" priority="634" operator="equal">
      <formula>"U/P"</formula>
    </cfRule>
    <cfRule type="cellIs" dxfId="1165" priority="636" operator="equal">
      <formula>"F"</formula>
    </cfRule>
    <cfRule type="cellIs" dxfId="1164" priority="635" operator="equal">
      <formula>"F"</formula>
    </cfRule>
  </conditionalFormatting>
  <conditionalFormatting sqref="H247">
    <cfRule type="cellIs" dxfId="1163" priority="592" operator="equal">
      <formula>"U/P"</formula>
    </cfRule>
    <cfRule type="cellIs" dxfId="1162" priority="593" operator="equal">
      <formula>"F"</formula>
    </cfRule>
    <cfRule type="cellIs" dxfId="1161" priority="594" operator="equal">
      <formula>"F"</formula>
    </cfRule>
  </conditionalFormatting>
  <conditionalFormatting sqref="H255">
    <cfRule type="cellIs" dxfId="1160" priority="550" operator="equal">
      <formula>"U/P"</formula>
    </cfRule>
    <cfRule type="cellIs" dxfId="1159" priority="551" operator="equal">
      <formula>"F"</formula>
    </cfRule>
    <cfRule type="cellIs" dxfId="1158" priority="552" operator="equal">
      <formula>"F"</formula>
    </cfRule>
  </conditionalFormatting>
  <conditionalFormatting sqref="H263">
    <cfRule type="cellIs" dxfId="1157" priority="148" operator="equal">
      <formula>"U/P"</formula>
    </cfRule>
    <cfRule type="cellIs" dxfId="1156" priority="149" operator="equal">
      <formula>"F"</formula>
    </cfRule>
    <cfRule type="cellIs" dxfId="1155" priority="150" operator="equal">
      <formula>"F"</formula>
    </cfRule>
  </conditionalFormatting>
  <conditionalFormatting sqref="H271">
    <cfRule type="cellIs" dxfId="1154" priority="467" operator="equal">
      <formula>"F"</formula>
    </cfRule>
    <cfRule type="cellIs" dxfId="1153" priority="466" operator="equal">
      <formula>"U/P"</formula>
    </cfRule>
    <cfRule type="cellIs" dxfId="1152" priority="468" operator="equal">
      <formula>"F"</formula>
    </cfRule>
  </conditionalFormatting>
  <conditionalFormatting sqref="H279">
    <cfRule type="cellIs" dxfId="1151" priority="424" operator="equal">
      <formula>"U/P"</formula>
    </cfRule>
    <cfRule type="cellIs" dxfId="1150" priority="425" operator="equal">
      <formula>"F"</formula>
    </cfRule>
    <cfRule type="cellIs" dxfId="1149" priority="426" operator="equal">
      <formula>"F"</formula>
    </cfRule>
  </conditionalFormatting>
  <conditionalFormatting sqref="H287">
    <cfRule type="cellIs" dxfId="1148" priority="33" operator="equal">
      <formula>"F"</formula>
    </cfRule>
    <cfRule type="cellIs" dxfId="1147" priority="32" operator="equal">
      <formula>"F"</formula>
    </cfRule>
    <cfRule type="cellIs" dxfId="1146" priority="31" operator="equal">
      <formula>"U/P"</formula>
    </cfRule>
  </conditionalFormatting>
  <conditionalFormatting sqref="H295">
    <cfRule type="cellIs" dxfId="1145" priority="90" operator="equal">
      <formula>"F"</formula>
    </cfRule>
    <cfRule type="cellIs" dxfId="1144" priority="89" operator="equal">
      <formula>"F"</formula>
    </cfRule>
    <cfRule type="cellIs" dxfId="1143" priority="88" operator="equal">
      <formula>"U/P"</formula>
    </cfRule>
  </conditionalFormatting>
  <conditionalFormatting sqref="H303">
    <cfRule type="cellIs" dxfId="1142" priority="109" operator="equal">
      <formula>"U/P"</formula>
    </cfRule>
    <cfRule type="cellIs" dxfId="1141" priority="111" operator="equal">
      <formula>"F"</formula>
    </cfRule>
    <cfRule type="cellIs" dxfId="1140" priority="110" operator="equal">
      <formula>"F"</formula>
    </cfRule>
  </conditionalFormatting>
  <conditionalFormatting sqref="H310">
    <cfRule type="cellIs" dxfId="1139" priority="234" operator="equal">
      <formula>"F"</formula>
    </cfRule>
    <cfRule type="cellIs" dxfId="1138" priority="233" operator="equal">
      <formula>"F"</formula>
    </cfRule>
    <cfRule type="cellIs" dxfId="1137" priority="232" operator="equal">
      <formula>"U/P"</formula>
    </cfRule>
  </conditionalFormatting>
  <conditionalFormatting sqref="J23">
    <cfRule type="cellIs" dxfId="1136" priority="1659" operator="equal">
      <formula>"F"</formula>
    </cfRule>
    <cfRule type="cellIs" dxfId="1135" priority="1658" operator="equal">
      <formula>"F"</formula>
    </cfRule>
    <cfRule type="cellIs" dxfId="1134" priority="1657" operator="equal">
      <formula>"U/P"</formula>
    </cfRule>
  </conditionalFormatting>
  <conditionalFormatting sqref="J31">
    <cfRule type="cellIs" dxfId="1133" priority="1617" operator="equal">
      <formula>"F"</formula>
    </cfRule>
    <cfRule type="cellIs" dxfId="1132" priority="1616" operator="equal">
      <formula>"F"</formula>
    </cfRule>
    <cfRule type="cellIs" dxfId="1131" priority="1615" operator="equal">
      <formula>"U/P"</formula>
    </cfRule>
  </conditionalFormatting>
  <conditionalFormatting sqref="J39">
    <cfRule type="cellIs" dxfId="1130" priority="1574" operator="equal">
      <formula>"F"</formula>
    </cfRule>
    <cfRule type="cellIs" dxfId="1129" priority="1573" operator="equal">
      <formula>"U/P"</formula>
    </cfRule>
    <cfRule type="cellIs" dxfId="1128" priority="1575" operator="equal">
      <formula>"F"</formula>
    </cfRule>
  </conditionalFormatting>
  <conditionalFormatting sqref="J47">
    <cfRule type="cellIs" dxfId="1127" priority="1531" operator="equal">
      <formula>"U/P"</formula>
    </cfRule>
    <cfRule type="cellIs" dxfId="1126" priority="1533" operator="equal">
      <formula>"F"</formula>
    </cfRule>
    <cfRule type="cellIs" dxfId="1125" priority="1532" operator="equal">
      <formula>"F"</formula>
    </cfRule>
  </conditionalFormatting>
  <conditionalFormatting sqref="J55">
    <cfRule type="cellIs" dxfId="1124" priority="1489" operator="equal">
      <formula>"U/P"</formula>
    </cfRule>
    <cfRule type="cellIs" dxfId="1123" priority="1491" operator="equal">
      <formula>"F"</formula>
    </cfRule>
    <cfRule type="cellIs" dxfId="1122" priority="1490" operator="equal">
      <formula>"F"</formula>
    </cfRule>
  </conditionalFormatting>
  <conditionalFormatting sqref="J63">
    <cfRule type="cellIs" dxfId="1121" priority="1447" operator="equal">
      <formula>"U/P"</formula>
    </cfRule>
    <cfRule type="cellIs" dxfId="1120" priority="1448" operator="equal">
      <formula>"F"</formula>
    </cfRule>
    <cfRule type="cellIs" dxfId="1119" priority="1449" operator="equal">
      <formula>"F"</formula>
    </cfRule>
  </conditionalFormatting>
  <conditionalFormatting sqref="J71">
    <cfRule type="cellIs" dxfId="1118" priority="1405" operator="equal">
      <formula>"U/P"</formula>
    </cfRule>
    <cfRule type="cellIs" dxfId="1117" priority="1407" operator="equal">
      <formula>"F"</formula>
    </cfRule>
    <cfRule type="cellIs" dxfId="1116" priority="1406" operator="equal">
      <formula>"F"</formula>
    </cfRule>
  </conditionalFormatting>
  <conditionalFormatting sqref="J79">
    <cfRule type="cellIs" dxfId="1115" priority="1365" operator="equal">
      <formula>"F"</formula>
    </cfRule>
    <cfRule type="cellIs" dxfId="1114" priority="1363" operator="equal">
      <formula>"U/P"</formula>
    </cfRule>
    <cfRule type="cellIs" dxfId="1113" priority="1364" operator="equal">
      <formula>"F"</formula>
    </cfRule>
  </conditionalFormatting>
  <conditionalFormatting sqref="J87">
    <cfRule type="cellIs" dxfId="1112" priority="1323" operator="equal">
      <formula>"F"</formula>
    </cfRule>
    <cfRule type="cellIs" dxfId="1111" priority="1321" operator="equal">
      <formula>"U/P"</formula>
    </cfRule>
    <cfRule type="cellIs" dxfId="1110" priority="1322" operator="equal">
      <formula>"F"</formula>
    </cfRule>
  </conditionalFormatting>
  <conditionalFormatting sqref="J95">
    <cfRule type="cellIs" dxfId="1109" priority="1280" operator="equal">
      <formula>"F"</formula>
    </cfRule>
    <cfRule type="cellIs" dxfId="1108" priority="1279" operator="equal">
      <formula>"U/P"</formula>
    </cfRule>
    <cfRule type="cellIs" dxfId="1107" priority="1281" operator="equal">
      <formula>"F"</formula>
    </cfRule>
  </conditionalFormatting>
  <conditionalFormatting sqref="J103">
    <cfRule type="cellIs" dxfId="1106" priority="1237" operator="equal">
      <formula>"U/P"</formula>
    </cfRule>
    <cfRule type="cellIs" dxfId="1105" priority="1239" operator="equal">
      <formula>"F"</formula>
    </cfRule>
    <cfRule type="cellIs" dxfId="1104" priority="1238" operator="equal">
      <formula>"F"</formula>
    </cfRule>
  </conditionalFormatting>
  <conditionalFormatting sqref="J111">
    <cfRule type="cellIs" dxfId="1103" priority="1195" operator="equal">
      <formula>"U/P"</formula>
    </cfRule>
    <cfRule type="cellIs" dxfId="1102" priority="1197" operator="equal">
      <formula>"F"</formula>
    </cfRule>
    <cfRule type="cellIs" dxfId="1101" priority="1196" operator="equal">
      <formula>"F"</formula>
    </cfRule>
  </conditionalFormatting>
  <conditionalFormatting sqref="J119">
    <cfRule type="cellIs" dxfId="1100" priority="1161" operator="equal">
      <formula>"F"</formula>
    </cfRule>
    <cfRule type="cellIs" dxfId="1099" priority="1160" operator="equal">
      <formula>"F"</formula>
    </cfRule>
    <cfRule type="cellIs" dxfId="1098" priority="1159" operator="equal">
      <formula>"U/P"</formula>
    </cfRule>
  </conditionalFormatting>
  <conditionalFormatting sqref="J127">
    <cfRule type="cellIs" dxfId="1097" priority="1123" operator="equal">
      <formula>"U/P"</formula>
    </cfRule>
    <cfRule type="cellIs" dxfId="1096" priority="1124" operator="equal">
      <formula>"F"</formula>
    </cfRule>
    <cfRule type="cellIs" dxfId="1095" priority="1125" operator="equal">
      <formula>"F"</formula>
    </cfRule>
  </conditionalFormatting>
  <conditionalFormatting sqref="J135">
    <cfRule type="cellIs" dxfId="1094" priority="1086" operator="equal">
      <formula>"F"</formula>
    </cfRule>
    <cfRule type="cellIs" dxfId="1093" priority="1085" operator="equal">
      <formula>"F"</formula>
    </cfRule>
    <cfRule type="cellIs" dxfId="1092" priority="1084" operator="equal">
      <formula>"U/P"</formula>
    </cfRule>
  </conditionalFormatting>
  <conditionalFormatting sqref="J143">
    <cfRule type="cellIs" dxfId="1091" priority="1071" operator="equal">
      <formula>"F"</formula>
    </cfRule>
    <cfRule type="cellIs" dxfId="1090" priority="1070" operator="equal">
      <formula>"F"</formula>
    </cfRule>
    <cfRule type="cellIs" dxfId="1089" priority="1069" operator="equal">
      <formula>"U/P"</formula>
    </cfRule>
  </conditionalFormatting>
  <conditionalFormatting sqref="J151">
    <cfRule type="cellIs" dxfId="1088" priority="1034" operator="equal">
      <formula>"F"</formula>
    </cfRule>
    <cfRule type="cellIs" dxfId="1087" priority="1035" operator="equal">
      <formula>"F"</formula>
    </cfRule>
    <cfRule type="cellIs" dxfId="1086" priority="1033" operator="equal">
      <formula>"U/P"</formula>
    </cfRule>
  </conditionalFormatting>
  <conditionalFormatting sqref="J159">
    <cfRule type="cellIs" dxfId="1085" priority="997" operator="equal">
      <formula>"U/P"</formula>
    </cfRule>
    <cfRule type="cellIs" dxfId="1084" priority="998" operator="equal">
      <formula>"F"</formula>
    </cfRule>
    <cfRule type="cellIs" dxfId="1083" priority="999" operator="equal">
      <formula>"F"</formula>
    </cfRule>
  </conditionalFormatting>
  <conditionalFormatting sqref="J167">
    <cfRule type="cellIs" dxfId="1082" priority="955" operator="equal">
      <formula>"U/P"</formula>
    </cfRule>
    <cfRule type="cellIs" dxfId="1081" priority="956" operator="equal">
      <formula>"F"</formula>
    </cfRule>
    <cfRule type="cellIs" dxfId="1080" priority="957" operator="equal">
      <formula>"F"</formula>
    </cfRule>
  </conditionalFormatting>
  <conditionalFormatting sqref="J175">
    <cfRule type="cellIs" dxfId="1079" priority="915" operator="equal">
      <formula>"F"</formula>
    </cfRule>
    <cfRule type="cellIs" dxfId="1078" priority="914" operator="equal">
      <formula>"F"</formula>
    </cfRule>
    <cfRule type="cellIs" dxfId="1077" priority="913" operator="equal">
      <formula>"U/P"</formula>
    </cfRule>
  </conditionalFormatting>
  <conditionalFormatting sqref="J183">
    <cfRule type="cellIs" dxfId="1076" priority="881" operator="equal">
      <formula>"F"</formula>
    </cfRule>
    <cfRule type="cellIs" dxfId="1075" priority="880" operator="equal">
      <formula>"U/P"</formula>
    </cfRule>
    <cfRule type="cellIs" dxfId="1074" priority="882" operator="equal">
      <formula>"F"</formula>
    </cfRule>
  </conditionalFormatting>
  <conditionalFormatting sqref="J191">
    <cfRule type="cellIs" dxfId="1073" priority="1727" operator="equal">
      <formula>"F"</formula>
    </cfRule>
    <cfRule type="cellIs" dxfId="1072" priority="1728" operator="equal">
      <formula>"F"</formula>
    </cfRule>
    <cfRule type="cellIs" dxfId="1071" priority="1726" operator="equal">
      <formula>"U/P"</formula>
    </cfRule>
  </conditionalFormatting>
  <conditionalFormatting sqref="J199">
    <cfRule type="cellIs" dxfId="1070" priority="822" operator="equal">
      <formula>"F"</formula>
    </cfRule>
    <cfRule type="cellIs" dxfId="1069" priority="821" operator="equal">
      <formula>"F"</formula>
    </cfRule>
    <cfRule type="cellIs" dxfId="1068" priority="820" operator="equal">
      <formula>"U/P"</formula>
    </cfRule>
  </conditionalFormatting>
  <conditionalFormatting sqref="J207">
    <cfRule type="cellIs" dxfId="1067" priority="1689" operator="equal">
      <formula>"F"</formula>
    </cfRule>
    <cfRule type="cellIs" dxfId="1066" priority="1688" operator="equal">
      <formula>"F"</formula>
    </cfRule>
    <cfRule type="cellIs" dxfId="1065" priority="1687" operator="equal">
      <formula>"U/P"</formula>
    </cfRule>
  </conditionalFormatting>
  <conditionalFormatting sqref="J215">
    <cfRule type="cellIs" dxfId="1064" priority="1674" operator="equal">
      <formula>"F"</formula>
    </cfRule>
    <cfRule type="cellIs" dxfId="1063" priority="1673" operator="equal">
      <formula>"F"</formula>
    </cfRule>
    <cfRule type="cellIs" dxfId="1062" priority="1672" operator="equal">
      <formula>"U/P"</formula>
    </cfRule>
  </conditionalFormatting>
  <conditionalFormatting sqref="J223">
    <cfRule type="cellIs" dxfId="1061" priority="190" operator="equal">
      <formula>"F"</formula>
    </cfRule>
    <cfRule type="cellIs" dxfId="1060" priority="189" operator="equal">
      <formula>"F"</formula>
    </cfRule>
    <cfRule type="cellIs" dxfId="1059" priority="188" operator="equal">
      <formula>"U/P"</formula>
    </cfRule>
  </conditionalFormatting>
  <conditionalFormatting sqref="J231">
    <cfRule type="cellIs" dxfId="1058" priority="689" operator="equal">
      <formula>"F"</formula>
    </cfRule>
    <cfRule type="cellIs" dxfId="1057" priority="690" operator="equal">
      <formula>"F"</formula>
    </cfRule>
    <cfRule type="cellIs" dxfId="1056" priority="688" operator="equal">
      <formula>"U/P"</formula>
    </cfRule>
  </conditionalFormatting>
  <conditionalFormatting sqref="J239">
    <cfRule type="cellIs" dxfId="1055" priority="60" operator="equal">
      <formula>"F"</formula>
    </cfRule>
    <cfRule type="cellIs" dxfId="1054" priority="58" operator="equal">
      <formula>"U/P"</formula>
    </cfRule>
    <cfRule type="cellIs" dxfId="1053" priority="59" operator="equal">
      <formula>"F"</formula>
    </cfRule>
  </conditionalFormatting>
  <conditionalFormatting sqref="J247">
    <cfRule type="cellIs" dxfId="1052" priority="606" operator="equal">
      <formula>"F"</formula>
    </cfRule>
    <cfRule type="cellIs" dxfId="1051" priority="604" operator="equal">
      <formula>"U/P"</formula>
    </cfRule>
    <cfRule type="cellIs" dxfId="1050" priority="605" operator="equal">
      <formula>"F"</formula>
    </cfRule>
  </conditionalFormatting>
  <conditionalFormatting sqref="J255">
    <cfRule type="cellIs" dxfId="1049" priority="562" operator="equal">
      <formula>"U/P"</formula>
    </cfRule>
    <cfRule type="cellIs" dxfId="1048" priority="564" operator="equal">
      <formula>"F"</formula>
    </cfRule>
    <cfRule type="cellIs" dxfId="1047" priority="563" operator="equal">
      <formula>"F"</formula>
    </cfRule>
  </conditionalFormatting>
  <conditionalFormatting sqref="J263">
    <cfRule type="cellIs" dxfId="1046" priority="162" operator="equal">
      <formula>"F"</formula>
    </cfRule>
    <cfRule type="cellIs" dxfId="1045" priority="161" operator="equal">
      <formula>"F"</formula>
    </cfRule>
    <cfRule type="cellIs" dxfId="1044" priority="160" operator="equal">
      <formula>"U/P"</formula>
    </cfRule>
  </conditionalFormatting>
  <conditionalFormatting sqref="J271">
    <cfRule type="cellIs" dxfId="1043" priority="480" operator="equal">
      <formula>"F"</formula>
    </cfRule>
    <cfRule type="cellIs" dxfId="1042" priority="478" operator="equal">
      <formula>"U/P"</formula>
    </cfRule>
    <cfRule type="cellIs" dxfId="1041" priority="479" operator="equal">
      <formula>"F"</formula>
    </cfRule>
  </conditionalFormatting>
  <conditionalFormatting sqref="J279">
    <cfRule type="cellIs" dxfId="1040" priority="438" operator="equal">
      <formula>"F"</formula>
    </cfRule>
    <cfRule type="cellIs" dxfId="1039" priority="436" operator="equal">
      <formula>"U/P"</formula>
    </cfRule>
    <cfRule type="cellIs" dxfId="1038" priority="437" operator="equal">
      <formula>"F"</formula>
    </cfRule>
  </conditionalFormatting>
  <conditionalFormatting sqref="J287">
    <cfRule type="cellIs" dxfId="1037" priority="13" operator="equal">
      <formula>"U/P"</formula>
    </cfRule>
    <cfRule type="cellIs" dxfId="1036" priority="14" operator="equal">
      <formula>"F"</formula>
    </cfRule>
    <cfRule type="cellIs" dxfId="1035" priority="15" operator="equal">
      <formula>"F"</formula>
    </cfRule>
  </conditionalFormatting>
  <conditionalFormatting sqref="J295">
    <cfRule type="cellIs" dxfId="1034" priority="100" operator="equal">
      <formula>"U/P"</formula>
    </cfRule>
    <cfRule type="cellIs" dxfId="1033" priority="101" operator="equal">
      <formula>"F"</formula>
    </cfRule>
    <cfRule type="cellIs" dxfId="1032" priority="102" operator="equal">
      <formula>"F"</formula>
    </cfRule>
  </conditionalFormatting>
  <conditionalFormatting sqref="J303">
    <cfRule type="cellIs" dxfId="1031" priority="120" operator="equal">
      <formula>"F"</formula>
    </cfRule>
    <cfRule type="cellIs" dxfId="1030" priority="118" operator="equal">
      <formula>"U/P"</formula>
    </cfRule>
    <cfRule type="cellIs" dxfId="1029" priority="119" operator="equal">
      <formula>"F"</formula>
    </cfRule>
  </conditionalFormatting>
  <conditionalFormatting sqref="J310">
    <cfRule type="cellIs" dxfId="1028" priority="268" operator="equal">
      <formula>"U/P"</formula>
    </cfRule>
    <cfRule type="cellIs" dxfId="1027" priority="269" operator="equal">
      <formula>"F"</formula>
    </cfRule>
    <cfRule type="cellIs" dxfId="1026" priority="270" operator="equal">
      <formula>"F"</formula>
    </cfRule>
  </conditionalFormatting>
  <conditionalFormatting sqref="L23">
    <cfRule type="cellIs" dxfId="1025" priority="1654" operator="equal">
      <formula>"U/P"</formula>
    </cfRule>
    <cfRule type="cellIs" dxfId="1024" priority="1655" operator="equal">
      <formula>"F"</formula>
    </cfRule>
    <cfRule type="cellIs" dxfId="1023" priority="1656" operator="equal">
      <formula>"F"</formula>
    </cfRule>
  </conditionalFormatting>
  <conditionalFormatting sqref="L31">
    <cfRule type="cellIs" dxfId="1022" priority="1612" operator="equal">
      <formula>"U/P"</formula>
    </cfRule>
    <cfRule type="cellIs" dxfId="1021" priority="1613" operator="equal">
      <formula>"F"</formula>
    </cfRule>
    <cfRule type="cellIs" dxfId="1020" priority="1614" operator="equal">
      <formula>"F"</formula>
    </cfRule>
  </conditionalFormatting>
  <conditionalFormatting sqref="L39">
    <cfRule type="cellIs" dxfId="1019" priority="1572" operator="equal">
      <formula>"F"</formula>
    </cfRule>
    <cfRule type="cellIs" dxfId="1018" priority="1571" operator="equal">
      <formula>"F"</formula>
    </cfRule>
    <cfRule type="cellIs" dxfId="1017" priority="1570" operator="equal">
      <formula>"U/P"</formula>
    </cfRule>
  </conditionalFormatting>
  <conditionalFormatting sqref="L47">
    <cfRule type="cellIs" dxfId="1016" priority="1529" operator="equal">
      <formula>"F"</formula>
    </cfRule>
    <cfRule type="cellIs" dxfId="1015" priority="1528" operator="equal">
      <formula>"U/P"</formula>
    </cfRule>
    <cfRule type="cellIs" dxfId="1014" priority="1530" operator="equal">
      <formula>"F"</formula>
    </cfRule>
  </conditionalFormatting>
  <conditionalFormatting sqref="L55">
    <cfRule type="cellIs" dxfId="1013" priority="1488" operator="equal">
      <formula>"F"</formula>
    </cfRule>
    <cfRule type="cellIs" dxfId="1012" priority="1487" operator="equal">
      <formula>"F"</formula>
    </cfRule>
    <cfRule type="cellIs" dxfId="1011" priority="1486" operator="equal">
      <formula>"U/P"</formula>
    </cfRule>
  </conditionalFormatting>
  <conditionalFormatting sqref="L63">
    <cfRule type="cellIs" dxfId="1010" priority="1446" operator="equal">
      <formula>"F"</formula>
    </cfRule>
    <cfRule type="cellIs" dxfId="1009" priority="1445" operator="equal">
      <formula>"F"</formula>
    </cfRule>
    <cfRule type="cellIs" dxfId="1008" priority="1444" operator="equal">
      <formula>"U/P"</formula>
    </cfRule>
  </conditionalFormatting>
  <conditionalFormatting sqref="L71">
    <cfRule type="cellIs" dxfId="1007" priority="1404" operator="equal">
      <formula>"F"</formula>
    </cfRule>
    <cfRule type="cellIs" dxfId="1006" priority="1403" operator="equal">
      <formula>"F"</formula>
    </cfRule>
    <cfRule type="cellIs" dxfId="1005" priority="1402" operator="equal">
      <formula>"U/P"</formula>
    </cfRule>
  </conditionalFormatting>
  <conditionalFormatting sqref="L79">
    <cfRule type="cellIs" dxfId="1004" priority="1362" operator="equal">
      <formula>"F"</formula>
    </cfRule>
    <cfRule type="cellIs" dxfId="1003" priority="1361" operator="equal">
      <formula>"F"</formula>
    </cfRule>
    <cfRule type="cellIs" dxfId="1002" priority="1360" operator="equal">
      <formula>"U/P"</formula>
    </cfRule>
  </conditionalFormatting>
  <conditionalFormatting sqref="L87">
    <cfRule type="cellIs" dxfId="1001" priority="1320" operator="equal">
      <formula>"F"</formula>
    </cfRule>
    <cfRule type="cellIs" dxfId="1000" priority="1318" operator="equal">
      <formula>"U/P"</formula>
    </cfRule>
    <cfRule type="cellIs" dxfId="999" priority="1319" operator="equal">
      <formula>"F"</formula>
    </cfRule>
  </conditionalFormatting>
  <conditionalFormatting sqref="L95">
    <cfRule type="cellIs" dxfId="998" priority="1278" operator="equal">
      <formula>"F"</formula>
    </cfRule>
    <cfRule type="cellIs" dxfId="997" priority="1277" operator="equal">
      <formula>"F"</formula>
    </cfRule>
    <cfRule type="cellIs" dxfId="996" priority="1276" operator="equal">
      <formula>"U/P"</formula>
    </cfRule>
  </conditionalFormatting>
  <conditionalFormatting sqref="L103">
    <cfRule type="cellIs" dxfId="995" priority="19" operator="equal">
      <formula>"U/P"</formula>
    </cfRule>
    <cfRule type="cellIs" dxfId="994" priority="20" operator="equal">
      <formula>"F"</formula>
    </cfRule>
    <cfRule type="cellIs" dxfId="993" priority="21" operator="equal">
      <formula>"F"</formula>
    </cfRule>
  </conditionalFormatting>
  <conditionalFormatting sqref="L111">
    <cfRule type="cellIs" dxfId="992" priority="1192" operator="equal">
      <formula>"U/P"</formula>
    </cfRule>
    <cfRule type="cellIs" dxfId="991" priority="1193" operator="equal">
      <formula>"F"</formula>
    </cfRule>
    <cfRule type="cellIs" dxfId="990" priority="1194" operator="equal">
      <formula>"F"</formula>
    </cfRule>
  </conditionalFormatting>
  <conditionalFormatting sqref="L119">
    <cfRule type="cellIs" dxfId="989" priority="1158" operator="equal">
      <formula>"F"</formula>
    </cfRule>
    <cfRule type="cellIs" dxfId="988" priority="1157" operator="equal">
      <formula>"F"</formula>
    </cfRule>
    <cfRule type="cellIs" dxfId="987" priority="1156" operator="equal">
      <formula>"U/P"</formula>
    </cfRule>
  </conditionalFormatting>
  <conditionalFormatting sqref="L127">
    <cfRule type="cellIs" dxfId="986" priority="1122" operator="equal">
      <formula>"F"</formula>
    </cfRule>
    <cfRule type="cellIs" dxfId="985" priority="1121" operator="equal">
      <formula>"F"</formula>
    </cfRule>
    <cfRule type="cellIs" dxfId="984" priority="1120" operator="equal">
      <formula>"U/P"</formula>
    </cfRule>
  </conditionalFormatting>
  <conditionalFormatting sqref="L135">
    <cfRule type="cellIs" dxfId="983" priority="1771" operator="equal">
      <formula>"U/P"</formula>
    </cfRule>
    <cfRule type="cellIs" dxfId="982" priority="1773" operator="equal">
      <formula>"F"</formula>
    </cfRule>
    <cfRule type="cellIs" dxfId="981" priority="1772" operator="equal">
      <formula>"F"</formula>
    </cfRule>
  </conditionalFormatting>
  <conditionalFormatting sqref="L143">
    <cfRule type="cellIs" dxfId="980" priority="1067" operator="equal">
      <formula>"F"</formula>
    </cfRule>
    <cfRule type="cellIs" dxfId="979" priority="1066" operator="equal">
      <formula>"U/P"</formula>
    </cfRule>
    <cfRule type="cellIs" dxfId="978" priority="1068" operator="equal">
      <formula>"F"</formula>
    </cfRule>
  </conditionalFormatting>
  <conditionalFormatting sqref="L151">
    <cfRule type="cellIs" dxfId="977" priority="1032" operator="equal">
      <formula>"F"</formula>
    </cfRule>
    <cfRule type="cellIs" dxfId="976" priority="1030" operator="equal">
      <formula>"U/P"</formula>
    </cfRule>
    <cfRule type="cellIs" dxfId="975" priority="1031" operator="equal">
      <formula>"F"</formula>
    </cfRule>
  </conditionalFormatting>
  <conditionalFormatting sqref="L159">
    <cfRule type="cellIs" dxfId="974" priority="994" operator="equal">
      <formula>"U/P"</formula>
    </cfRule>
    <cfRule type="cellIs" dxfId="973" priority="996" operator="equal">
      <formula>"F"</formula>
    </cfRule>
    <cfRule type="cellIs" dxfId="972" priority="995" operator="equal">
      <formula>"F"</formula>
    </cfRule>
  </conditionalFormatting>
  <conditionalFormatting sqref="L167">
    <cfRule type="cellIs" dxfId="971" priority="954" operator="equal">
      <formula>"F"</formula>
    </cfRule>
    <cfRule type="cellIs" dxfId="970" priority="953" operator="equal">
      <formula>"F"</formula>
    </cfRule>
    <cfRule type="cellIs" dxfId="969" priority="952" operator="equal">
      <formula>"U/P"</formula>
    </cfRule>
  </conditionalFormatting>
  <conditionalFormatting sqref="L175">
    <cfRule type="cellIs" dxfId="968" priority="912" operator="equal">
      <formula>"F"</formula>
    </cfRule>
    <cfRule type="cellIs" dxfId="967" priority="911" operator="equal">
      <formula>"F"</formula>
    </cfRule>
    <cfRule type="cellIs" dxfId="966" priority="910" operator="equal">
      <formula>"U/P"</formula>
    </cfRule>
  </conditionalFormatting>
  <conditionalFormatting sqref="L183">
    <cfRule type="cellIs" dxfId="965" priority="877" operator="equal">
      <formula>"U/P"</formula>
    </cfRule>
    <cfRule type="cellIs" dxfId="964" priority="878" operator="equal">
      <formula>"F"</formula>
    </cfRule>
    <cfRule type="cellIs" dxfId="963" priority="879" operator="equal">
      <formula>"F"</formula>
    </cfRule>
  </conditionalFormatting>
  <conditionalFormatting sqref="L191">
    <cfRule type="cellIs" dxfId="962" priority="1723" operator="equal">
      <formula>"U/P"</formula>
    </cfRule>
    <cfRule type="cellIs" dxfId="961" priority="1724" operator="equal">
      <formula>"F"</formula>
    </cfRule>
    <cfRule type="cellIs" dxfId="960" priority="1725" operator="equal">
      <formula>"F"</formula>
    </cfRule>
  </conditionalFormatting>
  <conditionalFormatting sqref="L199">
    <cfRule type="cellIs" dxfId="959" priority="817" operator="equal">
      <formula>"U/P"</formula>
    </cfRule>
    <cfRule type="cellIs" dxfId="958" priority="818" operator="equal">
      <formula>"F"</formula>
    </cfRule>
    <cfRule type="cellIs" dxfId="957" priority="819" operator="equal">
      <formula>"F"</formula>
    </cfRule>
  </conditionalFormatting>
  <conditionalFormatting sqref="L207">
    <cfRule type="cellIs" dxfId="956" priority="172" operator="equal">
      <formula>"F"</formula>
    </cfRule>
    <cfRule type="cellIs" dxfId="955" priority="171" operator="equal">
      <formula>"F"</formula>
    </cfRule>
    <cfRule type="cellIs" dxfId="954" priority="170" operator="equal">
      <formula>"U/P"</formula>
    </cfRule>
  </conditionalFormatting>
  <conditionalFormatting sqref="L215">
    <cfRule type="cellIs" dxfId="953" priority="178" operator="equal">
      <formula>"F"</formula>
    </cfRule>
    <cfRule type="cellIs" dxfId="952" priority="177" operator="equal">
      <formula>"F"</formula>
    </cfRule>
    <cfRule type="cellIs" dxfId="951" priority="176" operator="equal">
      <formula>"U/P"</formula>
    </cfRule>
  </conditionalFormatting>
  <conditionalFormatting sqref="L223">
    <cfRule type="cellIs" dxfId="950" priority="168" operator="equal">
      <formula>"F"</formula>
    </cfRule>
    <cfRule type="cellIs" dxfId="949" priority="167" operator="equal">
      <formula>"U/P"</formula>
    </cfRule>
    <cfRule type="cellIs" dxfId="948" priority="169" operator="equal">
      <formula>"F"</formula>
    </cfRule>
  </conditionalFormatting>
  <conditionalFormatting sqref="L231">
    <cfRule type="cellIs" dxfId="947" priority="675" operator="equal">
      <formula>"F"</formula>
    </cfRule>
    <cfRule type="cellIs" dxfId="946" priority="673" operator="equal">
      <formula>"U/P"</formula>
    </cfRule>
    <cfRule type="cellIs" dxfId="945" priority="674" operator="equal">
      <formula>"F"</formula>
    </cfRule>
  </conditionalFormatting>
  <conditionalFormatting sqref="L239">
    <cfRule type="cellIs" dxfId="944" priority="633" operator="equal">
      <formula>"F"</formula>
    </cfRule>
    <cfRule type="cellIs" dxfId="943" priority="631" operator="equal">
      <formula>"U/P"</formula>
    </cfRule>
    <cfRule type="cellIs" dxfId="942" priority="632" operator="equal">
      <formula>"F"</formula>
    </cfRule>
  </conditionalFormatting>
  <conditionalFormatting sqref="L247">
    <cfRule type="cellIs" dxfId="941" priority="589" operator="equal">
      <formula>"U/P"</formula>
    </cfRule>
    <cfRule type="cellIs" dxfId="940" priority="590" operator="equal">
      <formula>"F"</formula>
    </cfRule>
    <cfRule type="cellIs" dxfId="939" priority="591" operator="equal">
      <formula>"F"</formula>
    </cfRule>
  </conditionalFormatting>
  <conditionalFormatting sqref="L255">
    <cfRule type="cellIs" dxfId="938" priority="547" operator="equal">
      <formula>"U/P"</formula>
    </cfRule>
    <cfRule type="cellIs" dxfId="937" priority="548" operator="equal">
      <formula>"F"</formula>
    </cfRule>
    <cfRule type="cellIs" dxfId="936" priority="549" operator="equal">
      <formula>"F"</formula>
    </cfRule>
  </conditionalFormatting>
  <conditionalFormatting sqref="L263">
    <cfRule type="cellIs" dxfId="935" priority="147" operator="equal">
      <formula>"F"</formula>
    </cfRule>
    <cfRule type="cellIs" dxfId="934" priority="146" operator="equal">
      <formula>"F"</formula>
    </cfRule>
    <cfRule type="cellIs" dxfId="933" priority="145" operator="equal">
      <formula>"U/P"</formula>
    </cfRule>
  </conditionalFormatting>
  <conditionalFormatting sqref="L271">
    <cfRule type="cellIs" dxfId="932" priority="463" operator="equal">
      <formula>"U/P"</formula>
    </cfRule>
    <cfRule type="cellIs" dxfId="931" priority="464" operator="equal">
      <formula>"F"</formula>
    </cfRule>
    <cfRule type="cellIs" dxfId="930" priority="465" operator="equal">
      <formula>"F"</formula>
    </cfRule>
  </conditionalFormatting>
  <conditionalFormatting sqref="L279">
    <cfRule type="cellIs" dxfId="929" priority="423" operator="equal">
      <formula>"F"</formula>
    </cfRule>
    <cfRule type="cellIs" dxfId="928" priority="422" operator="equal">
      <formula>"F"</formula>
    </cfRule>
    <cfRule type="cellIs" dxfId="927" priority="421" operator="equal">
      <formula>"U/P"</formula>
    </cfRule>
  </conditionalFormatting>
  <conditionalFormatting sqref="L287">
    <cfRule type="cellIs" dxfId="926" priority="379" operator="equal">
      <formula>"U/P"</formula>
    </cfRule>
    <cfRule type="cellIs" dxfId="925" priority="381" operator="equal">
      <formula>"F"</formula>
    </cfRule>
    <cfRule type="cellIs" dxfId="924" priority="380" operator="equal">
      <formula>"F"</formula>
    </cfRule>
  </conditionalFormatting>
  <conditionalFormatting sqref="L295">
    <cfRule type="cellIs" dxfId="923" priority="85" operator="equal">
      <formula>"U/P"</formula>
    </cfRule>
    <cfRule type="cellIs" dxfId="922" priority="86" operator="equal">
      <formula>"F"</formula>
    </cfRule>
    <cfRule type="cellIs" dxfId="921" priority="87" operator="equal">
      <formula>"F"</formula>
    </cfRule>
  </conditionalFormatting>
  <conditionalFormatting sqref="L303">
    <cfRule type="cellIs" dxfId="920" priority="107" operator="equal">
      <formula>"F"</formula>
    </cfRule>
    <cfRule type="cellIs" dxfId="919" priority="108" operator="equal">
      <formula>"F"</formula>
    </cfRule>
    <cfRule type="cellIs" dxfId="918" priority="106" operator="equal">
      <formula>"U/P"</formula>
    </cfRule>
  </conditionalFormatting>
  <conditionalFormatting sqref="L310">
    <cfRule type="cellIs" dxfId="917" priority="261" operator="equal">
      <formula>"F"</formula>
    </cfRule>
    <cfRule type="cellIs" dxfId="916" priority="260" operator="equal">
      <formula>"F"</formula>
    </cfRule>
    <cfRule type="cellIs" dxfId="915" priority="259" operator="equal">
      <formula>"U/P"</formula>
    </cfRule>
  </conditionalFormatting>
  <conditionalFormatting sqref="N23">
    <cfRule type="cellIs" dxfId="914" priority="1651" operator="equal">
      <formula>"U/P"</formula>
    </cfRule>
    <cfRule type="cellIs" dxfId="913" priority="1652" operator="equal">
      <formula>"F"</formula>
    </cfRule>
    <cfRule type="cellIs" dxfId="912" priority="1653" operator="equal">
      <formula>"F"</formula>
    </cfRule>
  </conditionalFormatting>
  <conditionalFormatting sqref="N31">
    <cfRule type="cellIs" dxfId="911" priority="1610" operator="equal">
      <formula>"F"</formula>
    </cfRule>
    <cfRule type="cellIs" dxfId="910" priority="1609" operator="equal">
      <formula>"U/P"</formula>
    </cfRule>
    <cfRule type="cellIs" dxfId="909" priority="1611" operator="equal">
      <formula>"F"</formula>
    </cfRule>
  </conditionalFormatting>
  <conditionalFormatting sqref="N39">
    <cfRule type="cellIs" dxfId="908" priority="1569" operator="equal">
      <formula>"F"</formula>
    </cfRule>
    <cfRule type="cellIs" dxfId="907" priority="1568" operator="equal">
      <formula>"F"</formula>
    </cfRule>
    <cfRule type="cellIs" dxfId="906" priority="1567" operator="equal">
      <formula>"U/P"</formula>
    </cfRule>
  </conditionalFormatting>
  <conditionalFormatting sqref="N47">
    <cfRule type="cellIs" dxfId="905" priority="1527" operator="equal">
      <formula>"F"</formula>
    </cfRule>
    <cfRule type="cellIs" dxfId="904" priority="1526" operator="equal">
      <formula>"F"</formula>
    </cfRule>
    <cfRule type="cellIs" dxfId="903" priority="1525" operator="equal">
      <formula>"U/P"</formula>
    </cfRule>
  </conditionalFormatting>
  <conditionalFormatting sqref="N55">
    <cfRule type="cellIs" dxfId="902" priority="1485" operator="equal">
      <formula>"F"</formula>
    </cfRule>
    <cfRule type="cellIs" dxfId="901" priority="1484" operator="equal">
      <formula>"F"</formula>
    </cfRule>
    <cfRule type="cellIs" dxfId="900" priority="1483" operator="equal">
      <formula>"U/P"</formula>
    </cfRule>
  </conditionalFormatting>
  <conditionalFormatting sqref="N63">
    <cfRule type="cellIs" dxfId="899" priority="1442" operator="equal">
      <formula>"F"</formula>
    </cfRule>
    <cfRule type="cellIs" dxfId="898" priority="1443" operator="equal">
      <formula>"F"</formula>
    </cfRule>
    <cfRule type="cellIs" dxfId="897" priority="1441" operator="equal">
      <formula>"U/P"</formula>
    </cfRule>
  </conditionalFormatting>
  <conditionalFormatting sqref="N71">
    <cfRule type="cellIs" dxfId="896" priority="1401" operator="equal">
      <formula>"F"</formula>
    </cfRule>
    <cfRule type="cellIs" dxfId="895" priority="1400" operator="equal">
      <formula>"F"</formula>
    </cfRule>
    <cfRule type="cellIs" dxfId="894" priority="1399" operator="equal">
      <formula>"U/P"</formula>
    </cfRule>
  </conditionalFormatting>
  <conditionalFormatting sqref="N79">
    <cfRule type="cellIs" dxfId="893" priority="1359" operator="equal">
      <formula>"F"</formula>
    </cfRule>
    <cfRule type="cellIs" dxfId="892" priority="1358" operator="equal">
      <formula>"F"</formula>
    </cfRule>
    <cfRule type="cellIs" dxfId="891" priority="1357" operator="equal">
      <formula>"U/P"</formula>
    </cfRule>
  </conditionalFormatting>
  <conditionalFormatting sqref="N87">
    <cfRule type="cellIs" dxfId="890" priority="1317" operator="equal">
      <formula>"F"</formula>
    </cfRule>
    <cfRule type="cellIs" dxfId="889" priority="1315" operator="equal">
      <formula>"U/P"</formula>
    </cfRule>
    <cfRule type="cellIs" dxfId="888" priority="1316" operator="equal">
      <formula>"F"</formula>
    </cfRule>
  </conditionalFormatting>
  <conditionalFormatting sqref="N95">
    <cfRule type="cellIs" dxfId="887" priority="1274" operator="equal">
      <formula>"F"</formula>
    </cfRule>
    <cfRule type="cellIs" dxfId="886" priority="1275" operator="equal">
      <formula>"F"</formula>
    </cfRule>
    <cfRule type="cellIs" dxfId="885" priority="1273" operator="equal">
      <formula>"U/P"</formula>
    </cfRule>
  </conditionalFormatting>
  <conditionalFormatting sqref="N103">
    <cfRule type="cellIs" dxfId="884" priority="1236" operator="equal">
      <formula>"F"</formula>
    </cfRule>
    <cfRule type="cellIs" dxfId="883" priority="1235" operator="equal">
      <formula>"F"</formula>
    </cfRule>
    <cfRule type="cellIs" dxfId="882" priority="1234" operator="equal">
      <formula>"U/P"</formula>
    </cfRule>
  </conditionalFormatting>
  <conditionalFormatting sqref="N111">
    <cfRule type="cellIs" dxfId="881" priority="1191" operator="equal">
      <formula>"F"</formula>
    </cfRule>
    <cfRule type="cellIs" dxfId="880" priority="1190" operator="equal">
      <formula>"F"</formula>
    </cfRule>
    <cfRule type="cellIs" dxfId="879" priority="1189" operator="equal">
      <formula>"U/P"</formula>
    </cfRule>
  </conditionalFormatting>
  <conditionalFormatting sqref="N119">
    <cfRule type="cellIs" dxfId="878" priority="1155" operator="equal">
      <formula>"F"</formula>
    </cfRule>
    <cfRule type="cellIs" dxfId="877" priority="1154" operator="equal">
      <formula>"F"</formula>
    </cfRule>
    <cfRule type="cellIs" dxfId="876" priority="1153" operator="equal">
      <formula>"U/P"</formula>
    </cfRule>
  </conditionalFormatting>
  <conditionalFormatting sqref="N127">
    <cfRule type="cellIs" dxfId="875" priority="1118" operator="equal">
      <formula>"F"</formula>
    </cfRule>
    <cfRule type="cellIs" dxfId="874" priority="1117" operator="equal">
      <formula>"U/P"</formula>
    </cfRule>
    <cfRule type="cellIs" dxfId="873" priority="1119" operator="equal">
      <formula>"F"</formula>
    </cfRule>
  </conditionalFormatting>
  <conditionalFormatting sqref="N135">
    <cfRule type="cellIs" dxfId="872" priority="1770" operator="equal">
      <formula>"F"</formula>
    </cfRule>
    <cfRule type="cellIs" dxfId="871" priority="1769" operator="equal">
      <formula>"F"</formula>
    </cfRule>
    <cfRule type="cellIs" dxfId="870" priority="1768" operator="equal">
      <formula>"U/P"</formula>
    </cfRule>
  </conditionalFormatting>
  <conditionalFormatting sqref="N143">
    <cfRule type="cellIs" dxfId="869" priority="1064" operator="equal">
      <formula>"F"</formula>
    </cfRule>
    <cfRule type="cellIs" dxfId="868" priority="1065" operator="equal">
      <formula>"F"</formula>
    </cfRule>
    <cfRule type="cellIs" dxfId="867" priority="1063" operator="equal">
      <formula>"U/P"</formula>
    </cfRule>
  </conditionalFormatting>
  <conditionalFormatting sqref="N151">
    <cfRule type="cellIs" dxfId="866" priority="1029" operator="equal">
      <formula>"F"</formula>
    </cfRule>
    <cfRule type="cellIs" dxfId="865" priority="1028" operator="equal">
      <formula>"F"</formula>
    </cfRule>
    <cfRule type="cellIs" dxfId="864" priority="1027" operator="equal">
      <formula>"U/P"</formula>
    </cfRule>
  </conditionalFormatting>
  <conditionalFormatting sqref="N159">
    <cfRule type="cellIs" dxfId="863" priority="991" operator="equal">
      <formula>"U/P"</formula>
    </cfRule>
    <cfRule type="cellIs" dxfId="862" priority="993" operator="equal">
      <formula>"F"</formula>
    </cfRule>
    <cfRule type="cellIs" dxfId="861" priority="992" operator="equal">
      <formula>"F"</formula>
    </cfRule>
  </conditionalFormatting>
  <conditionalFormatting sqref="N167">
    <cfRule type="cellIs" dxfId="860" priority="18" operator="equal">
      <formula>"F"</formula>
    </cfRule>
    <cfRule type="cellIs" dxfId="859" priority="17" operator="equal">
      <formula>"F"</formula>
    </cfRule>
    <cfRule type="cellIs" dxfId="858" priority="16" operator="equal">
      <formula>"U/P"</formula>
    </cfRule>
  </conditionalFormatting>
  <conditionalFormatting sqref="N175">
    <cfRule type="cellIs" dxfId="857" priority="907" operator="equal">
      <formula>"U/P"</formula>
    </cfRule>
    <cfRule type="cellIs" dxfId="856" priority="909" operator="equal">
      <formula>"F"</formula>
    </cfRule>
    <cfRule type="cellIs" dxfId="855" priority="908" operator="equal">
      <formula>"F"</formula>
    </cfRule>
  </conditionalFormatting>
  <conditionalFormatting sqref="N183">
    <cfRule type="cellIs" dxfId="854" priority="63" operator="equal">
      <formula>"F"</formula>
    </cfRule>
    <cfRule type="cellIs" dxfId="853" priority="62" operator="equal">
      <formula>"F"</formula>
    </cfRule>
    <cfRule type="cellIs" dxfId="852" priority="61" operator="equal">
      <formula>"U/P"</formula>
    </cfRule>
  </conditionalFormatting>
  <conditionalFormatting sqref="N191">
    <cfRule type="cellIs" dxfId="851" priority="843" operator="equal">
      <formula>"F"</formula>
    </cfRule>
    <cfRule type="cellIs" dxfId="850" priority="841" operator="equal">
      <formula>"U/P"</formula>
    </cfRule>
    <cfRule type="cellIs" dxfId="849" priority="842" operator="equal">
      <formula>"F"</formula>
    </cfRule>
  </conditionalFormatting>
  <conditionalFormatting sqref="N199">
    <cfRule type="cellIs" dxfId="848" priority="816" operator="equal">
      <formula>"F"</formula>
    </cfRule>
    <cfRule type="cellIs" dxfId="847" priority="815" operator="equal">
      <formula>"F"</formula>
    </cfRule>
    <cfRule type="cellIs" dxfId="846" priority="814" operator="equal">
      <formula>"U/P"</formula>
    </cfRule>
  </conditionalFormatting>
  <conditionalFormatting sqref="N207">
    <cfRule type="cellIs" dxfId="845" priority="793" operator="equal">
      <formula>"U/P"</formula>
    </cfRule>
    <cfRule type="cellIs" dxfId="844" priority="794" operator="equal">
      <formula>"F"</formula>
    </cfRule>
    <cfRule type="cellIs" dxfId="843" priority="795" operator="equal">
      <formula>"F"</formula>
    </cfRule>
  </conditionalFormatting>
  <conditionalFormatting sqref="N215">
    <cfRule type="cellIs" dxfId="842" priority="766" operator="equal">
      <formula>"U/P"</formula>
    </cfRule>
    <cfRule type="cellIs" dxfId="841" priority="767" operator="equal">
      <formula>"F"</formula>
    </cfRule>
    <cfRule type="cellIs" dxfId="840" priority="768" operator="equal">
      <formula>"F"</formula>
    </cfRule>
  </conditionalFormatting>
  <conditionalFormatting sqref="N223">
    <cfRule type="cellIs" dxfId="839" priority="183" operator="equal">
      <formula>"F"</formula>
    </cfRule>
    <cfRule type="cellIs" dxfId="838" priority="184" operator="equal">
      <formula>"F"</formula>
    </cfRule>
    <cfRule type="cellIs" dxfId="837" priority="182" operator="equal">
      <formula>"U/P"</formula>
    </cfRule>
  </conditionalFormatting>
  <conditionalFormatting sqref="N231">
    <cfRule type="cellIs" dxfId="836" priority="672" operator="equal">
      <formula>"F"</formula>
    </cfRule>
    <cfRule type="cellIs" dxfId="835" priority="671" operator="equal">
      <formula>"F"</formula>
    </cfRule>
    <cfRule type="cellIs" dxfId="834" priority="670" operator="equal">
      <formula>"U/P"</formula>
    </cfRule>
  </conditionalFormatting>
  <conditionalFormatting sqref="N239">
    <cfRule type="cellIs" dxfId="833" priority="629" operator="equal">
      <formula>"F"</formula>
    </cfRule>
    <cfRule type="cellIs" dxfId="832" priority="630" operator="equal">
      <formula>"F"</formula>
    </cfRule>
    <cfRule type="cellIs" dxfId="831" priority="628" operator="equal">
      <formula>"U/P"</formula>
    </cfRule>
  </conditionalFormatting>
  <conditionalFormatting sqref="N247">
    <cfRule type="cellIs" dxfId="830" priority="587" operator="equal">
      <formula>"F"</formula>
    </cfRule>
    <cfRule type="cellIs" dxfId="829" priority="586" operator="equal">
      <formula>"U/P"</formula>
    </cfRule>
    <cfRule type="cellIs" dxfId="828" priority="588" operator="equal">
      <formula>"F"</formula>
    </cfRule>
  </conditionalFormatting>
  <conditionalFormatting sqref="N255">
    <cfRule type="cellIs" dxfId="827" priority="544" operator="equal">
      <formula>"U/P"</formula>
    </cfRule>
    <cfRule type="cellIs" dxfId="826" priority="546" operator="equal">
      <formula>"F"</formula>
    </cfRule>
    <cfRule type="cellIs" dxfId="825" priority="545" operator="equal">
      <formula>"F"</formula>
    </cfRule>
  </conditionalFormatting>
  <conditionalFormatting sqref="N263">
    <cfRule type="cellIs" dxfId="824" priority="142" operator="equal">
      <formula>"U/P"</formula>
    </cfRule>
    <cfRule type="cellIs" dxfId="823" priority="143" operator="equal">
      <formula>"F"</formula>
    </cfRule>
    <cfRule type="cellIs" dxfId="822" priority="144" operator="equal">
      <formula>"F"</formula>
    </cfRule>
  </conditionalFormatting>
  <conditionalFormatting sqref="N271">
    <cfRule type="cellIs" dxfId="821" priority="462" operator="equal">
      <formula>"F"</formula>
    </cfRule>
    <cfRule type="cellIs" dxfId="820" priority="460" operator="equal">
      <formula>"U/P"</formula>
    </cfRule>
    <cfRule type="cellIs" dxfId="819" priority="461" operator="equal">
      <formula>"F"</formula>
    </cfRule>
  </conditionalFormatting>
  <conditionalFormatting sqref="N279">
    <cfRule type="cellIs" dxfId="818" priority="420" operator="equal">
      <formula>"F"</formula>
    </cfRule>
    <cfRule type="cellIs" dxfId="817" priority="419" operator="equal">
      <formula>"F"</formula>
    </cfRule>
    <cfRule type="cellIs" dxfId="816" priority="418" operator="equal">
      <formula>"U/P"</formula>
    </cfRule>
  </conditionalFormatting>
  <conditionalFormatting sqref="N287">
    <cfRule type="cellIs" dxfId="815" priority="2" operator="equal">
      <formula>"F"</formula>
    </cfRule>
    <cfRule type="cellIs" dxfId="814" priority="1" operator="equal">
      <formula>"U/P"</formula>
    </cfRule>
    <cfRule type="cellIs" dxfId="813" priority="3" operator="equal">
      <formula>"F"</formula>
    </cfRule>
  </conditionalFormatting>
  <conditionalFormatting sqref="N295">
    <cfRule type="cellIs" dxfId="812" priority="82" operator="equal">
      <formula>"U/P"</formula>
    </cfRule>
    <cfRule type="cellIs" dxfId="811" priority="83" operator="equal">
      <formula>"F"</formula>
    </cfRule>
    <cfRule type="cellIs" dxfId="810" priority="84" operator="equal">
      <formula>"F"</formula>
    </cfRule>
  </conditionalFormatting>
  <conditionalFormatting sqref="N303">
    <cfRule type="cellIs" dxfId="809" priority="103" operator="equal">
      <formula>"U/P"</formula>
    </cfRule>
    <cfRule type="cellIs" dxfId="808" priority="105" operator="equal">
      <formula>"F"</formula>
    </cfRule>
    <cfRule type="cellIs" dxfId="807" priority="104" operator="equal">
      <formula>"F"</formula>
    </cfRule>
  </conditionalFormatting>
  <conditionalFormatting sqref="N310">
    <cfRule type="cellIs" dxfId="806" priority="256" operator="equal">
      <formula>"U/P"</formula>
    </cfRule>
    <cfRule type="cellIs" dxfId="805" priority="257" operator="equal">
      <formula>"F"</formula>
    </cfRule>
    <cfRule type="cellIs" dxfId="804" priority="258" operator="equal">
      <formula>"F"</formula>
    </cfRule>
  </conditionalFormatting>
  <conditionalFormatting sqref="P23">
    <cfRule type="cellIs" dxfId="803" priority="1648" operator="equal">
      <formula>"U/P"</formula>
    </cfRule>
    <cfRule type="cellIs" dxfId="802" priority="1649" operator="equal">
      <formula>"F"</formula>
    </cfRule>
    <cfRule type="cellIs" dxfId="801" priority="1650" operator="equal">
      <formula>"F"</formula>
    </cfRule>
  </conditionalFormatting>
  <conditionalFormatting sqref="P31">
    <cfRule type="cellIs" dxfId="800" priority="1606" operator="equal">
      <formula>"U/P"</formula>
    </cfRule>
    <cfRule type="cellIs" dxfId="799" priority="1607" operator="equal">
      <formula>"F"</formula>
    </cfRule>
    <cfRule type="cellIs" dxfId="798" priority="1608" operator="equal">
      <formula>"F"</formula>
    </cfRule>
  </conditionalFormatting>
  <conditionalFormatting sqref="P39">
    <cfRule type="cellIs" dxfId="797" priority="1566" operator="equal">
      <formula>"F"</formula>
    </cfRule>
    <cfRule type="cellIs" dxfId="796" priority="1565" operator="equal">
      <formula>"F"</formula>
    </cfRule>
    <cfRule type="cellIs" dxfId="795" priority="1564" operator="equal">
      <formula>"U/P"</formula>
    </cfRule>
  </conditionalFormatting>
  <conditionalFormatting sqref="P47">
    <cfRule type="cellIs" dxfId="794" priority="1522" operator="equal">
      <formula>"U/P"</formula>
    </cfRule>
    <cfRule type="cellIs" dxfId="793" priority="1524" operator="equal">
      <formula>"F"</formula>
    </cfRule>
    <cfRule type="cellIs" dxfId="792" priority="1523" operator="equal">
      <formula>"F"</formula>
    </cfRule>
  </conditionalFormatting>
  <conditionalFormatting sqref="P55">
    <cfRule type="cellIs" dxfId="791" priority="1480" operator="equal">
      <formula>"U/P"</formula>
    </cfRule>
    <cfRule type="cellIs" dxfId="790" priority="1482" operator="equal">
      <formula>"F"</formula>
    </cfRule>
    <cfRule type="cellIs" dxfId="789" priority="1481" operator="equal">
      <formula>"F"</formula>
    </cfRule>
  </conditionalFormatting>
  <conditionalFormatting sqref="P63">
    <cfRule type="cellIs" dxfId="788" priority="1440" operator="equal">
      <formula>"F"</formula>
    </cfRule>
    <cfRule type="cellIs" dxfId="787" priority="1439" operator="equal">
      <formula>"F"</formula>
    </cfRule>
    <cfRule type="cellIs" dxfId="786" priority="1438" operator="equal">
      <formula>"U/P"</formula>
    </cfRule>
  </conditionalFormatting>
  <conditionalFormatting sqref="P71">
    <cfRule type="cellIs" dxfId="785" priority="1398" operator="equal">
      <formula>"F"</formula>
    </cfRule>
    <cfRule type="cellIs" dxfId="784" priority="1397" operator="equal">
      <formula>"F"</formula>
    </cfRule>
    <cfRule type="cellIs" dxfId="783" priority="1396" operator="equal">
      <formula>"U/P"</formula>
    </cfRule>
  </conditionalFormatting>
  <conditionalFormatting sqref="P79">
    <cfRule type="cellIs" dxfId="782" priority="1355" operator="equal">
      <formula>"F"</formula>
    </cfRule>
    <cfRule type="cellIs" dxfId="781" priority="1354" operator="equal">
      <formula>"U/P"</formula>
    </cfRule>
    <cfRule type="cellIs" dxfId="780" priority="1356" operator="equal">
      <formula>"F"</formula>
    </cfRule>
  </conditionalFormatting>
  <conditionalFormatting sqref="P87">
    <cfRule type="cellIs" dxfId="779" priority="1314" operator="equal">
      <formula>"F"</formula>
    </cfRule>
    <cfRule type="cellIs" dxfId="778" priority="1312" operator="equal">
      <formula>"U/P"</formula>
    </cfRule>
    <cfRule type="cellIs" dxfId="777" priority="1313" operator="equal">
      <formula>"F"</formula>
    </cfRule>
  </conditionalFormatting>
  <conditionalFormatting sqref="P95">
    <cfRule type="cellIs" dxfId="776" priority="1272" operator="equal">
      <formula>"F"</formula>
    </cfRule>
    <cfRule type="cellIs" dxfId="775" priority="1271" operator="equal">
      <formula>"F"</formula>
    </cfRule>
    <cfRule type="cellIs" dxfId="774" priority="1270" operator="equal">
      <formula>"U/P"</formula>
    </cfRule>
  </conditionalFormatting>
  <conditionalFormatting sqref="P103">
    <cfRule type="cellIs" dxfId="773" priority="1233" operator="equal">
      <formula>"F"</formula>
    </cfRule>
    <cfRule type="cellIs" dxfId="772" priority="1231" operator="equal">
      <formula>"U/P"</formula>
    </cfRule>
    <cfRule type="cellIs" dxfId="771" priority="1232" operator="equal">
      <formula>"F"</formula>
    </cfRule>
  </conditionalFormatting>
  <conditionalFormatting sqref="P111">
    <cfRule type="cellIs" dxfId="770" priority="1187" operator="equal">
      <formula>"F"</formula>
    </cfRule>
    <cfRule type="cellIs" dxfId="769" priority="1186" operator="equal">
      <formula>"U/P"</formula>
    </cfRule>
    <cfRule type="cellIs" dxfId="768" priority="1188" operator="equal">
      <formula>"F"</formula>
    </cfRule>
  </conditionalFormatting>
  <conditionalFormatting sqref="P119">
    <cfRule type="cellIs" dxfId="767" priority="1150" operator="equal">
      <formula>"U/P"</formula>
    </cfRule>
    <cfRule type="cellIs" dxfId="766" priority="1151" operator="equal">
      <formula>"F"</formula>
    </cfRule>
    <cfRule type="cellIs" dxfId="765" priority="1152" operator="equal">
      <formula>"F"</formula>
    </cfRule>
  </conditionalFormatting>
  <conditionalFormatting sqref="P127">
    <cfRule type="cellIs" dxfId="764" priority="221" operator="equal">
      <formula>"U/P"</formula>
    </cfRule>
    <cfRule type="cellIs" dxfId="763" priority="222" operator="equal">
      <formula>"F"</formula>
    </cfRule>
    <cfRule type="cellIs" dxfId="762" priority="223" operator="equal">
      <formula>"F"</formula>
    </cfRule>
  </conditionalFormatting>
  <conditionalFormatting sqref="P135">
    <cfRule type="cellIs" dxfId="761" priority="1765" operator="equal">
      <formula>"U/P"</formula>
    </cfRule>
    <cfRule type="cellIs" dxfId="760" priority="1766" operator="equal">
      <formula>"F"</formula>
    </cfRule>
    <cfRule type="cellIs" dxfId="759" priority="1767" operator="equal">
      <formula>"F"</formula>
    </cfRule>
  </conditionalFormatting>
  <conditionalFormatting sqref="P143">
    <cfRule type="cellIs" dxfId="758" priority="1061" operator="equal">
      <formula>"F"</formula>
    </cfRule>
    <cfRule type="cellIs" dxfId="757" priority="1060" operator="equal">
      <formula>"U/P"</formula>
    </cfRule>
    <cfRule type="cellIs" dxfId="756" priority="1062" operator="equal">
      <formula>"F"</formula>
    </cfRule>
  </conditionalFormatting>
  <conditionalFormatting sqref="P151">
    <cfRule type="cellIs" dxfId="755" priority="1026" operator="equal">
      <formula>"F"</formula>
    </cfRule>
    <cfRule type="cellIs" dxfId="754" priority="1025" operator="equal">
      <formula>"F"</formula>
    </cfRule>
    <cfRule type="cellIs" dxfId="753" priority="1024" operator="equal">
      <formula>"U/P"</formula>
    </cfRule>
  </conditionalFormatting>
  <conditionalFormatting sqref="P159">
    <cfRule type="cellIs" dxfId="752" priority="988" operator="equal">
      <formula>"U/P"</formula>
    </cfRule>
    <cfRule type="cellIs" dxfId="751" priority="989" operator="equal">
      <formula>"F"</formula>
    </cfRule>
    <cfRule type="cellIs" dxfId="750" priority="990" operator="equal">
      <formula>"F"</formula>
    </cfRule>
  </conditionalFormatting>
  <conditionalFormatting sqref="P167">
    <cfRule type="cellIs" dxfId="749" priority="947" operator="equal">
      <formula>"F"</formula>
    </cfRule>
    <cfRule type="cellIs" dxfId="748" priority="946" operator="equal">
      <formula>"U/P"</formula>
    </cfRule>
    <cfRule type="cellIs" dxfId="747" priority="948" operator="equal">
      <formula>"F"</formula>
    </cfRule>
  </conditionalFormatting>
  <conditionalFormatting sqref="P175">
    <cfRule type="cellIs" dxfId="746" priority="906" operator="equal">
      <formula>"F"</formula>
    </cfRule>
    <cfRule type="cellIs" dxfId="745" priority="904" operator="equal">
      <formula>"U/P"</formula>
    </cfRule>
    <cfRule type="cellIs" dxfId="744" priority="905" operator="equal">
      <formula>"F"</formula>
    </cfRule>
  </conditionalFormatting>
  <conditionalFormatting sqref="P183">
    <cfRule type="cellIs" dxfId="743" priority="195" operator="equal">
      <formula>"F"</formula>
    </cfRule>
    <cfRule type="cellIs" dxfId="742" priority="196" operator="equal">
      <formula>"F"</formula>
    </cfRule>
    <cfRule type="cellIs" dxfId="741" priority="194" operator="equal">
      <formula>"U/P"</formula>
    </cfRule>
  </conditionalFormatting>
  <conditionalFormatting sqref="P191">
    <cfRule type="cellIs" dxfId="740" priority="838" operator="equal">
      <formula>"U/P"</formula>
    </cfRule>
    <cfRule type="cellIs" dxfId="739" priority="840" operator="equal">
      <formula>"F"</formula>
    </cfRule>
    <cfRule type="cellIs" dxfId="738" priority="839" operator="equal">
      <formula>"F"</formula>
    </cfRule>
  </conditionalFormatting>
  <conditionalFormatting sqref="P199">
    <cfRule type="cellIs" dxfId="737" priority="811" operator="equal">
      <formula>"U/P"</formula>
    </cfRule>
    <cfRule type="cellIs" dxfId="736" priority="813" operator="equal">
      <formula>"F"</formula>
    </cfRule>
    <cfRule type="cellIs" dxfId="735" priority="812" operator="equal">
      <formula>"F"</formula>
    </cfRule>
  </conditionalFormatting>
  <conditionalFormatting sqref="P207">
    <cfRule type="cellIs" dxfId="734" priority="790" operator="equal">
      <formula>"U/P"</formula>
    </cfRule>
    <cfRule type="cellIs" dxfId="733" priority="792" operator="equal">
      <formula>"F"</formula>
    </cfRule>
    <cfRule type="cellIs" dxfId="732" priority="791" operator="equal">
      <formula>"F"</formula>
    </cfRule>
  </conditionalFormatting>
  <conditionalFormatting sqref="P215">
    <cfRule type="cellIs" dxfId="731" priority="186" operator="equal">
      <formula>"F"</formula>
    </cfRule>
    <cfRule type="cellIs" dxfId="730" priority="187" operator="equal">
      <formula>"F"</formula>
    </cfRule>
    <cfRule type="cellIs" dxfId="729" priority="185" operator="equal">
      <formula>"U/P"</formula>
    </cfRule>
  </conditionalFormatting>
  <conditionalFormatting sqref="P223">
    <cfRule type="cellIs" dxfId="728" priority="745" operator="equal">
      <formula>"U/P"</formula>
    </cfRule>
    <cfRule type="cellIs" dxfId="727" priority="746" operator="equal">
      <formula>"F"</formula>
    </cfRule>
    <cfRule type="cellIs" dxfId="726" priority="747" operator="equal">
      <formula>"F"</formula>
    </cfRule>
  </conditionalFormatting>
  <conditionalFormatting sqref="P231">
    <cfRule type="cellIs" dxfId="725" priority="687" operator="equal">
      <formula>"F"</formula>
    </cfRule>
    <cfRule type="cellIs" dxfId="724" priority="686" operator="equal">
      <formula>"F"</formula>
    </cfRule>
    <cfRule type="cellIs" dxfId="723" priority="685" operator="equal">
      <formula>"U/P"</formula>
    </cfRule>
  </conditionalFormatting>
  <conditionalFormatting sqref="P239">
    <cfRule type="cellIs" dxfId="722" priority="644" operator="equal">
      <formula>"F"</formula>
    </cfRule>
    <cfRule type="cellIs" dxfId="721" priority="645" operator="equal">
      <formula>"F"</formula>
    </cfRule>
    <cfRule type="cellIs" dxfId="720" priority="643" operator="equal">
      <formula>"U/P"</formula>
    </cfRule>
  </conditionalFormatting>
  <conditionalFormatting sqref="P247">
    <cfRule type="cellIs" dxfId="719" priority="603" operator="equal">
      <formula>"F"</formula>
    </cfRule>
    <cfRule type="cellIs" dxfId="718" priority="602" operator="equal">
      <formula>"F"</formula>
    </cfRule>
    <cfRule type="cellIs" dxfId="717" priority="601" operator="equal">
      <formula>"U/P"</formula>
    </cfRule>
  </conditionalFormatting>
  <conditionalFormatting sqref="P255">
    <cfRule type="cellIs" dxfId="716" priority="559" operator="equal">
      <formula>"U/P"</formula>
    </cfRule>
    <cfRule type="cellIs" dxfId="715" priority="560" operator="equal">
      <formula>"F"</formula>
    </cfRule>
    <cfRule type="cellIs" dxfId="714" priority="561" operator="equal">
      <formula>"F"</formula>
    </cfRule>
  </conditionalFormatting>
  <conditionalFormatting sqref="P263">
    <cfRule type="cellIs" dxfId="713" priority="159" operator="equal">
      <formula>"F"</formula>
    </cfRule>
    <cfRule type="cellIs" dxfId="712" priority="157" operator="equal">
      <formula>"U/P"</formula>
    </cfRule>
    <cfRule type="cellIs" dxfId="711" priority="158" operator="equal">
      <formula>"F"</formula>
    </cfRule>
  </conditionalFormatting>
  <conditionalFormatting sqref="P271">
    <cfRule type="cellIs" dxfId="710" priority="477" operator="equal">
      <formula>"F"</formula>
    </cfRule>
    <cfRule type="cellIs" dxfId="709" priority="476" operator="equal">
      <formula>"F"</formula>
    </cfRule>
    <cfRule type="cellIs" dxfId="708" priority="475" operator="equal">
      <formula>"U/P"</formula>
    </cfRule>
  </conditionalFormatting>
  <conditionalFormatting sqref="P279">
    <cfRule type="cellIs" dxfId="707" priority="433" operator="equal">
      <formula>"U/P"</formula>
    </cfRule>
    <cfRule type="cellIs" dxfId="706" priority="434" operator="equal">
      <formula>"F"</formula>
    </cfRule>
    <cfRule type="cellIs" dxfId="705" priority="435" operator="equal">
      <formula>"F"</formula>
    </cfRule>
  </conditionalFormatting>
  <conditionalFormatting sqref="P287">
    <cfRule type="cellIs" dxfId="704" priority="39" operator="equal">
      <formula>"F"</formula>
    </cfRule>
    <cfRule type="cellIs" dxfId="703" priority="38" operator="equal">
      <formula>"F"</formula>
    </cfRule>
    <cfRule type="cellIs" dxfId="702" priority="37" operator="equal">
      <formula>"U/P"</formula>
    </cfRule>
  </conditionalFormatting>
  <conditionalFormatting sqref="P295">
    <cfRule type="cellIs" dxfId="701" priority="97" operator="equal">
      <formula>"U/P"</formula>
    </cfRule>
    <cfRule type="cellIs" dxfId="700" priority="99" operator="equal">
      <formula>"F"</formula>
    </cfRule>
    <cfRule type="cellIs" dxfId="699" priority="98" operator="equal">
      <formula>"F"</formula>
    </cfRule>
  </conditionalFormatting>
  <conditionalFormatting sqref="P303">
    <cfRule type="cellIs" dxfId="698" priority="309" operator="equal">
      <formula>"F"</formula>
    </cfRule>
    <cfRule type="cellIs" dxfId="697" priority="308" operator="equal">
      <formula>"F"</formula>
    </cfRule>
    <cfRule type="cellIs" dxfId="696" priority="307" operator="equal">
      <formula>"U/P"</formula>
    </cfRule>
  </conditionalFormatting>
  <conditionalFormatting sqref="P310">
    <cfRule type="cellIs" dxfId="695" priority="267" operator="equal">
      <formula>"F"</formula>
    </cfRule>
    <cfRule type="cellIs" dxfId="694" priority="265" operator="equal">
      <formula>"U/P"</formula>
    </cfRule>
    <cfRule type="cellIs" dxfId="693" priority="266" operator="equal">
      <formula>"F"</formula>
    </cfRule>
  </conditionalFormatting>
  <conditionalFormatting sqref="R23">
    <cfRule type="cellIs" dxfId="692" priority="1646" operator="equal">
      <formula>"F"</formula>
    </cfRule>
    <cfRule type="cellIs" dxfId="691" priority="1647" operator="equal">
      <formula>"F"</formula>
    </cfRule>
    <cfRule type="cellIs" dxfId="690" priority="1645" operator="equal">
      <formula>"U/P"</formula>
    </cfRule>
  </conditionalFormatting>
  <conditionalFormatting sqref="R31">
    <cfRule type="cellIs" dxfId="689" priority="1605" operator="equal">
      <formula>"F"</formula>
    </cfRule>
    <cfRule type="cellIs" dxfId="688" priority="1603" operator="equal">
      <formula>"U/P"</formula>
    </cfRule>
    <cfRule type="cellIs" dxfId="687" priority="1604" operator="equal">
      <formula>"F"</formula>
    </cfRule>
  </conditionalFormatting>
  <conditionalFormatting sqref="R39">
    <cfRule type="cellIs" dxfId="686" priority="1562" operator="equal">
      <formula>"F"</formula>
    </cfRule>
    <cfRule type="cellIs" dxfId="685" priority="1563" operator="equal">
      <formula>"F"</formula>
    </cfRule>
    <cfRule type="cellIs" dxfId="684" priority="1561" operator="equal">
      <formula>"U/P"</formula>
    </cfRule>
  </conditionalFormatting>
  <conditionalFormatting sqref="R47">
    <cfRule type="cellIs" dxfId="683" priority="1521" operator="equal">
      <formula>"F"</formula>
    </cfRule>
    <cfRule type="cellIs" dxfId="682" priority="1520" operator="equal">
      <formula>"F"</formula>
    </cfRule>
    <cfRule type="cellIs" dxfId="681" priority="1519" operator="equal">
      <formula>"U/P"</formula>
    </cfRule>
  </conditionalFormatting>
  <conditionalFormatting sqref="R55">
    <cfRule type="cellIs" dxfId="680" priority="1478" operator="equal">
      <formula>"F"</formula>
    </cfRule>
    <cfRule type="cellIs" dxfId="679" priority="1477" operator="equal">
      <formula>"U/P"</formula>
    </cfRule>
    <cfRule type="cellIs" dxfId="678" priority="1479" operator="equal">
      <formula>"F"</formula>
    </cfRule>
  </conditionalFormatting>
  <conditionalFormatting sqref="R63">
    <cfRule type="cellIs" dxfId="677" priority="1437" operator="equal">
      <formula>"F"</formula>
    </cfRule>
    <cfRule type="cellIs" dxfId="676" priority="1436" operator="equal">
      <formula>"F"</formula>
    </cfRule>
    <cfRule type="cellIs" dxfId="675" priority="1435" operator="equal">
      <formula>"U/P"</formula>
    </cfRule>
  </conditionalFormatting>
  <conditionalFormatting sqref="R71">
    <cfRule type="cellIs" dxfId="674" priority="1393" operator="equal">
      <formula>"U/P"</formula>
    </cfRule>
    <cfRule type="cellIs" dxfId="673" priority="1395" operator="equal">
      <formula>"F"</formula>
    </cfRule>
    <cfRule type="cellIs" dxfId="672" priority="1394" operator="equal">
      <formula>"F"</formula>
    </cfRule>
  </conditionalFormatting>
  <conditionalFormatting sqref="R79">
    <cfRule type="cellIs" dxfId="671" priority="1351" operator="equal">
      <formula>"U/P"</formula>
    </cfRule>
    <cfRule type="cellIs" dxfId="670" priority="1352" operator="equal">
      <formula>"F"</formula>
    </cfRule>
    <cfRule type="cellIs" dxfId="669" priority="1353" operator="equal">
      <formula>"F"</formula>
    </cfRule>
  </conditionalFormatting>
  <conditionalFormatting sqref="R87">
    <cfRule type="cellIs" dxfId="668" priority="1310" operator="equal">
      <formula>"F"</formula>
    </cfRule>
    <cfRule type="cellIs" dxfId="667" priority="1311" operator="equal">
      <formula>"F"</formula>
    </cfRule>
    <cfRule type="cellIs" dxfId="666" priority="1309" operator="equal">
      <formula>"U/P"</formula>
    </cfRule>
  </conditionalFormatting>
  <conditionalFormatting sqref="R95">
    <cfRule type="cellIs" dxfId="665" priority="1269" operator="equal">
      <formula>"F"</formula>
    </cfRule>
    <cfRule type="cellIs" dxfId="664" priority="1267" operator="equal">
      <formula>"U/P"</formula>
    </cfRule>
    <cfRule type="cellIs" dxfId="663" priority="1268" operator="equal">
      <formula>"F"</formula>
    </cfRule>
  </conditionalFormatting>
  <conditionalFormatting sqref="R103">
    <cfRule type="cellIs" dxfId="662" priority="1228" operator="equal">
      <formula>"U/P"</formula>
    </cfRule>
    <cfRule type="cellIs" dxfId="661" priority="1229" operator="equal">
      <formula>"F"</formula>
    </cfRule>
    <cfRule type="cellIs" dxfId="660" priority="1230" operator="equal">
      <formula>"F"</formula>
    </cfRule>
  </conditionalFormatting>
  <conditionalFormatting sqref="R111">
    <cfRule type="cellIs" dxfId="659" priority="1183" operator="equal">
      <formula>"U/P"</formula>
    </cfRule>
    <cfRule type="cellIs" dxfId="658" priority="1184" operator="equal">
      <formula>"F"</formula>
    </cfRule>
    <cfRule type="cellIs" dxfId="657" priority="1185" operator="equal">
      <formula>"F"</formula>
    </cfRule>
  </conditionalFormatting>
  <conditionalFormatting sqref="R119">
    <cfRule type="cellIs" dxfId="656" priority="1147" operator="equal">
      <formula>"U/P"</formula>
    </cfRule>
    <cfRule type="cellIs" dxfId="655" priority="1148" operator="equal">
      <formula>"F"</formula>
    </cfRule>
    <cfRule type="cellIs" dxfId="654" priority="1149" operator="equal">
      <formula>"F"</formula>
    </cfRule>
  </conditionalFormatting>
  <conditionalFormatting sqref="R127">
    <cfRule type="cellIs" dxfId="653" priority="202" operator="equal">
      <formula>"F"</formula>
    </cfRule>
    <cfRule type="cellIs" dxfId="652" priority="201" operator="equal">
      <formula>"F"</formula>
    </cfRule>
    <cfRule type="cellIs" dxfId="651" priority="200" operator="equal">
      <formula>"U/P"</formula>
    </cfRule>
  </conditionalFormatting>
  <conditionalFormatting sqref="R135">
    <cfRule type="cellIs" dxfId="650" priority="1082" operator="equal">
      <formula>"F"</formula>
    </cfRule>
    <cfRule type="cellIs" dxfId="649" priority="1083" operator="equal">
      <formula>"F"</formula>
    </cfRule>
    <cfRule type="cellIs" dxfId="648" priority="1081" operator="equal">
      <formula>"U/P"</formula>
    </cfRule>
  </conditionalFormatting>
  <conditionalFormatting sqref="R143">
    <cfRule type="cellIs" dxfId="647" priority="1058" operator="equal">
      <formula>"F"</formula>
    </cfRule>
    <cfRule type="cellIs" dxfId="646" priority="1057" operator="equal">
      <formula>"U/P"</formula>
    </cfRule>
    <cfRule type="cellIs" dxfId="645" priority="1059" operator="equal">
      <formula>"F"</formula>
    </cfRule>
  </conditionalFormatting>
  <conditionalFormatting sqref="R151">
    <cfRule type="cellIs" dxfId="644" priority="1021" operator="equal">
      <formula>"U/P"</formula>
    </cfRule>
    <cfRule type="cellIs" dxfId="643" priority="1023" operator="equal">
      <formula>"F"</formula>
    </cfRule>
    <cfRule type="cellIs" dxfId="642" priority="1022" operator="equal">
      <formula>"F"</formula>
    </cfRule>
  </conditionalFormatting>
  <conditionalFormatting sqref="R159">
    <cfRule type="cellIs" dxfId="641" priority="987" operator="equal">
      <formula>"F"</formula>
    </cfRule>
    <cfRule type="cellIs" dxfId="640" priority="986" operator="equal">
      <formula>"F"</formula>
    </cfRule>
    <cfRule type="cellIs" dxfId="639" priority="985" operator="equal">
      <formula>"U/P"</formula>
    </cfRule>
  </conditionalFormatting>
  <conditionalFormatting sqref="R167">
    <cfRule type="cellIs" dxfId="638" priority="49" operator="equal">
      <formula>"U/P"</formula>
    </cfRule>
    <cfRule type="cellIs" dxfId="637" priority="50" operator="equal">
      <formula>"F"</formula>
    </cfRule>
    <cfRule type="cellIs" dxfId="636" priority="51" operator="equal">
      <formula>"F"</formula>
    </cfRule>
  </conditionalFormatting>
  <conditionalFormatting sqref="R175">
    <cfRule type="cellIs" dxfId="635" priority="902" operator="equal">
      <formula>"F"</formula>
    </cfRule>
    <cfRule type="cellIs" dxfId="634" priority="901" operator="equal">
      <formula>"U/P"</formula>
    </cfRule>
    <cfRule type="cellIs" dxfId="633" priority="903" operator="equal">
      <formula>"F"</formula>
    </cfRule>
  </conditionalFormatting>
  <conditionalFormatting sqref="R183">
    <cfRule type="cellIs" dxfId="632" priority="173" operator="equal">
      <formula>"U/P"</formula>
    </cfRule>
    <cfRule type="cellIs" dxfId="631" priority="174" operator="equal">
      <formula>"F"</formula>
    </cfRule>
    <cfRule type="cellIs" dxfId="630" priority="175" operator="equal">
      <formula>"F"</formula>
    </cfRule>
  </conditionalFormatting>
  <conditionalFormatting sqref="R191">
    <cfRule type="cellIs" dxfId="629" priority="1722" operator="equal">
      <formula>"F"</formula>
    </cfRule>
    <cfRule type="cellIs" dxfId="628" priority="1720" operator="equal">
      <formula>"U/P"</formula>
    </cfRule>
    <cfRule type="cellIs" dxfId="627" priority="1721" operator="equal">
      <formula>"F"</formula>
    </cfRule>
  </conditionalFormatting>
  <conditionalFormatting sqref="R199">
    <cfRule type="cellIs" dxfId="626" priority="1707" operator="equal">
      <formula>"F"</formula>
    </cfRule>
    <cfRule type="cellIs" dxfId="625" priority="1705" operator="equal">
      <formula>"U/P"</formula>
    </cfRule>
    <cfRule type="cellIs" dxfId="624" priority="1706" operator="equal">
      <formula>"F"</formula>
    </cfRule>
  </conditionalFormatting>
  <conditionalFormatting sqref="R207">
    <cfRule type="cellIs" dxfId="623" priority="788" operator="equal">
      <formula>"F"</formula>
    </cfRule>
    <cfRule type="cellIs" dxfId="622" priority="787" operator="equal">
      <formula>"U/P"</formula>
    </cfRule>
    <cfRule type="cellIs" dxfId="621" priority="789" operator="equal">
      <formula>"F"</formula>
    </cfRule>
  </conditionalFormatting>
  <conditionalFormatting sqref="R215">
    <cfRule type="cellIs" dxfId="620" priority="718" operator="equal">
      <formula>"U/P"</formula>
    </cfRule>
    <cfRule type="cellIs" dxfId="619" priority="719" operator="equal">
      <formula>"F"</formula>
    </cfRule>
    <cfRule type="cellIs" dxfId="618" priority="720" operator="equal">
      <formula>"F"</formula>
    </cfRule>
  </conditionalFormatting>
  <conditionalFormatting sqref="R223">
    <cfRule type="cellIs" dxfId="617" priority="702" operator="equal">
      <formula>"F"</formula>
    </cfRule>
    <cfRule type="cellIs" dxfId="616" priority="701" operator="equal">
      <formula>"F"</formula>
    </cfRule>
    <cfRule type="cellIs" dxfId="615" priority="700" operator="equal">
      <formula>"U/P"</formula>
    </cfRule>
  </conditionalFormatting>
  <conditionalFormatting sqref="R231">
    <cfRule type="cellIs" dxfId="614" priority="659" operator="equal">
      <formula>"F"</formula>
    </cfRule>
    <cfRule type="cellIs" dxfId="613" priority="660" operator="equal">
      <formula>"F"</formula>
    </cfRule>
    <cfRule type="cellIs" dxfId="612" priority="658" operator="equal">
      <formula>"U/P"</formula>
    </cfRule>
  </conditionalFormatting>
  <conditionalFormatting sqref="R239">
    <cfRule type="cellIs" dxfId="611" priority="616" operator="equal">
      <formula>"U/P"</formula>
    </cfRule>
    <cfRule type="cellIs" dxfId="610" priority="617" operator="equal">
      <formula>"F"</formula>
    </cfRule>
    <cfRule type="cellIs" dxfId="609" priority="618" operator="equal">
      <formula>"F"</formula>
    </cfRule>
  </conditionalFormatting>
  <conditionalFormatting sqref="R247">
    <cfRule type="cellIs" dxfId="608" priority="576" operator="equal">
      <formula>"F"</formula>
    </cfRule>
    <cfRule type="cellIs" dxfId="607" priority="575" operator="equal">
      <formula>"F"</formula>
    </cfRule>
    <cfRule type="cellIs" dxfId="606" priority="574" operator="equal">
      <formula>"U/P"</formula>
    </cfRule>
  </conditionalFormatting>
  <conditionalFormatting sqref="R255">
    <cfRule type="cellIs" dxfId="605" priority="533" operator="equal">
      <formula>"F"</formula>
    </cfRule>
    <cfRule type="cellIs" dxfId="604" priority="534" operator="equal">
      <formula>"F"</formula>
    </cfRule>
    <cfRule type="cellIs" dxfId="603" priority="532" operator="equal">
      <formula>"U/P"</formula>
    </cfRule>
  </conditionalFormatting>
  <conditionalFormatting sqref="R263">
    <cfRule type="cellIs" dxfId="602" priority="126" operator="equal">
      <formula>"F"</formula>
    </cfRule>
    <cfRule type="cellIs" dxfId="601" priority="124" operator="equal">
      <formula>"U/P"</formula>
    </cfRule>
    <cfRule type="cellIs" dxfId="600" priority="125" operator="equal">
      <formula>"F"</formula>
    </cfRule>
  </conditionalFormatting>
  <conditionalFormatting sqref="R271">
    <cfRule type="cellIs" dxfId="599" priority="448" operator="equal">
      <formula>"U/P"</formula>
    </cfRule>
    <cfRule type="cellIs" dxfId="598" priority="449" operator="equal">
      <formula>"F"</formula>
    </cfRule>
    <cfRule type="cellIs" dxfId="597" priority="450" operator="equal">
      <formula>"F"</formula>
    </cfRule>
  </conditionalFormatting>
  <conditionalFormatting sqref="R279">
    <cfRule type="cellIs" dxfId="596" priority="406" operator="equal">
      <formula>"U/P"</formula>
    </cfRule>
    <cfRule type="cellIs" dxfId="595" priority="407" operator="equal">
      <formula>"F"</formula>
    </cfRule>
    <cfRule type="cellIs" dxfId="594" priority="408" operator="equal">
      <formula>"F"</formula>
    </cfRule>
  </conditionalFormatting>
  <conditionalFormatting sqref="R287">
    <cfRule type="cellIs" dxfId="593" priority="44" operator="equal">
      <formula>"F"</formula>
    </cfRule>
    <cfRule type="cellIs" dxfId="592" priority="45" operator="equal">
      <formula>"F"</formula>
    </cfRule>
    <cfRule type="cellIs" dxfId="591" priority="43" operator="equal">
      <formula>"U/P"</formula>
    </cfRule>
  </conditionalFormatting>
  <conditionalFormatting sqref="R295">
    <cfRule type="cellIs" dxfId="590" priority="77" operator="equal">
      <formula>"F"</formula>
    </cfRule>
    <cfRule type="cellIs" dxfId="589" priority="78" operator="equal">
      <formula>"F"</formula>
    </cfRule>
    <cfRule type="cellIs" dxfId="588" priority="76" operator="equal">
      <formula>"U/P"</formula>
    </cfRule>
  </conditionalFormatting>
  <conditionalFormatting sqref="R303">
    <cfRule type="cellIs" dxfId="587" priority="281" operator="equal">
      <formula>"F"</formula>
    </cfRule>
    <cfRule type="cellIs" dxfId="586" priority="282" operator="equal">
      <formula>"F"</formula>
    </cfRule>
    <cfRule type="cellIs" dxfId="585" priority="280" operator="equal">
      <formula>"U/P"</formula>
    </cfRule>
  </conditionalFormatting>
  <conditionalFormatting sqref="R310">
    <cfRule type="cellIs" dxfId="584" priority="245" operator="equal">
      <formula>"F"</formula>
    </cfRule>
    <cfRule type="cellIs" dxfId="583" priority="244" operator="equal">
      <formula>"U/P"</formula>
    </cfRule>
    <cfRule type="cellIs" dxfId="582" priority="246" operator="equal">
      <formula>"F"</formula>
    </cfRule>
  </conditionalFormatting>
  <conditionalFormatting sqref="T23">
    <cfRule type="cellIs" dxfId="581" priority="1642" operator="equal">
      <formula>"U/P"</formula>
    </cfRule>
    <cfRule type="cellIs" dxfId="580" priority="1644" operator="equal">
      <formula>"F"</formula>
    </cfRule>
    <cfRule type="cellIs" dxfId="579" priority="1643" operator="equal">
      <formula>"F"</formula>
    </cfRule>
  </conditionalFormatting>
  <conditionalFormatting sqref="T31">
    <cfRule type="cellIs" dxfId="578" priority="1602" operator="equal">
      <formula>"F"</formula>
    </cfRule>
    <cfRule type="cellIs" dxfId="577" priority="1601" operator="equal">
      <formula>"F"</formula>
    </cfRule>
    <cfRule type="cellIs" dxfId="576" priority="1600" operator="equal">
      <formula>"U/P"</formula>
    </cfRule>
  </conditionalFormatting>
  <conditionalFormatting sqref="T39">
    <cfRule type="cellIs" dxfId="575" priority="1558" operator="equal">
      <formula>"U/P"</formula>
    </cfRule>
    <cfRule type="cellIs" dxfId="574" priority="1559" operator="equal">
      <formula>"F"</formula>
    </cfRule>
    <cfRule type="cellIs" dxfId="573" priority="1560" operator="equal">
      <formula>"F"</formula>
    </cfRule>
  </conditionalFormatting>
  <conditionalFormatting sqref="T47">
    <cfRule type="cellIs" dxfId="572" priority="1517" operator="equal">
      <formula>"F"</formula>
    </cfRule>
    <cfRule type="cellIs" dxfId="571" priority="1516" operator="equal">
      <formula>"U/P"</formula>
    </cfRule>
    <cfRule type="cellIs" dxfId="570" priority="1518" operator="equal">
      <formula>"F"</formula>
    </cfRule>
  </conditionalFormatting>
  <conditionalFormatting sqref="T55">
    <cfRule type="cellIs" dxfId="569" priority="1475" operator="equal">
      <formula>"F"</formula>
    </cfRule>
    <cfRule type="cellIs" dxfId="568" priority="1476" operator="equal">
      <formula>"F"</formula>
    </cfRule>
    <cfRule type="cellIs" dxfId="567" priority="1474" operator="equal">
      <formula>"U/P"</formula>
    </cfRule>
  </conditionalFormatting>
  <conditionalFormatting sqref="T63">
    <cfRule type="cellIs" dxfId="566" priority="1432" operator="equal">
      <formula>"U/P"</formula>
    </cfRule>
    <cfRule type="cellIs" dxfId="565" priority="1434" operator="equal">
      <formula>"F"</formula>
    </cfRule>
    <cfRule type="cellIs" dxfId="564" priority="1433" operator="equal">
      <formula>"F"</formula>
    </cfRule>
  </conditionalFormatting>
  <conditionalFormatting sqref="T71">
    <cfRule type="cellIs" dxfId="563" priority="1391" operator="equal">
      <formula>"F"</formula>
    </cfRule>
    <cfRule type="cellIs" dxfId="562" priority="1392" operator="equal">
      <formula>"F"</formula>
    </cfRule>
    <cfRule type="cellIs" dxfId="561" priority="1390" operator="equal">
      <formula>"U/P"</formula>
    </cfRule>
  </conditionalFormatting>
  <conditionalFormatting sqref="T79">
    <cfRule type="cellIs" dxfId="560" priority="1350" operator="equal">
      <formula>"F"</formula>
    </cfRule>
    <cfRule type="cellIs" dxfId="559" priority="1349" operator="equal">
      <formula>"F"</formula>
    </cfRule>
    <cfRule type="cellIs" dxfId="558" priority="1348" operator="equal">
      <formula>"U/P"</formula>
    </cfRule>
  </conditionalFormatting>
  <conditionalFormatting sqref="T87">
    <cfRule type="cellIs" dxfId="557" priority="1308" operator="equal">
      <formula>"F"</formula>
    </cfRule>
    <cfRule type="cellIs" dxfId="556" priority="1306" operator="equal">
      <formula>"U/P"</formula>
    </cfRule>
    <cfRule type="cellIs" dxfId="555" priority="1307" operator="equal">
      <formula>"F"</formula>
    </cfRule>
  </conditionalFormatting>
  <conditionalFormatting sqref="T95">
    <cfRule type="cellIs" dxfId="554" priority="1264" operator="equal">
      <formula>"U/P"</formula>
    </cfRule>
    <cfRule type="cellIs" dxfId="553" priority="1265" operator="equal">
      <formula>"F"</formula>
    </cfRule>
    <cfRule type="cellIs" dxfId="552" priority="1266" operator="equal">
      <formula>"F"</formula>
    </cfRule>
  </conditionalFormatting>
  <conditionalFormatting sqref="T103">
    <cfRule type="cellIs" dxfId="551" priority="1227" operator="equal">
      <formula>"F"</formula>
    </cfRule>
    <cfRule type="cellIs" dxfId="550" priority="1226" operator="equal">
      <formula>"F"</formula>
    </cfRule>
    <cfRule type="cellIs" dxfId="549" priority="1225" operator="equal">
      <formula>"U/P"</formula>
    </cfRule>
  </conditionalFormatting>
  <conditionalFormatting sqref="T111">
    <cfRule type="cellIs" dxfId="548" priority="1181" operator="equal">
      <formula>"F"</formula>
    </cfRule>
    <cfRule type="cellIs" dxfId="547" priority="1182" operator="equal">
      <formula>"F"</formula>
    </cfRule>
    <cfRule type="cellIs" dxfId="546" priority="1180" operator="equal">
      <formula>"U/P"</formula>
    </cfRule>
  </conditionalFormatting>
  <conditionalFormatting sqref="T119">
    <cfRule type="cellIs" dxfId="545" priority="1145" operator="equal">
      <formula>"F"</formula>
    </cfRule>
    <cfRule type="cellIs" dxfId="544" priority="1146" operator="equal">
      <formula>"F"</formula>
    </cfRule>
    <cfRule type="cellIs" dxfId="543" priority="1144" operator="equal">
      <formula>"U/P"</formula>
    </cfRule>
  </conditionalFormatting>
  <conditionalFormatting sqref="T127">
    <cfRule type="cellIs" dxfId="542" priority="1108" operator="equal">
      <formula>"U/P"</formula>
    </cfRule>
    <cfRule type="cellIs" dxfId="541" priority="1109" operator="equal">
      <formula>"F"</formula>
    </cfRule>
    <cfRule type="cellIs" dxfId="540" priority="1110" operator="equal">
      <formula>"F"</formula>
    </cfRule>
  </conditionalFormatting>
  <conditionalFormatting sqref="T135">
    <cfRule type="cellIs" dxfId="539" priority="1079" operator="equal">
      <formula>"F"</formula>
    </cfRule>
    <cfRule type="cellIs" dxfId="538" priority="1080" operator="equal">
      <formula>"F"</formula>
    </cfRule>
    <cfRule type="cellIs" dxfId="537" priority="1078" operator="equal">
      <formula>"U/P"</formula>
    </cfRule>
  </conditionalFormatting>
  <conditionalFormatting sqref="T143">
    <cfRule type="cellIs" dxfId="536" priority="191" operator="equal">
      <formula>"U/P"</formula>
    </cfRule>
    <cfRule type="cellIs" dxfId="535" priority="192" operator="equal">
      <formula>"F"</formula>
    </cfRule>
    <cfRule type="cellIs" dxfId="534" priority="193" operator="equal">
      <formula>"F"</formula>
    </cfRule>
  </conditionalFormatting>
  <conditionalFormatting sqref="T151">
    <cfRule type="cellIs" dxfId="533" priority="1018" operator="equal">
      <formula>"U/P"</formula>
    </cfRule>
    <cfRule type="cellIs" dxfId="532" priority="1020" operator="equal">
      <formula>"F"</formula>
    </cfRule>
    <cfRule type="cellIs" dxfId="531" priority="1019" operator="equal">
      <formula>"F"</formula>
    </cfRule>
  </conditionalFormatting>
  <conditionalFormatting sqref="T159">
    <cfRule type="cellIs" dxfId="530" priority="984" operator="equal">
      <formula>"F"</formula>
    </cfRule>
    <cfRule type="cellIs" dxfId="529" priority="982" operator="equal">
      <formula>"U/P"</formula>
    </cfRule>
    <cfRule type="cellIs" dxfId="528" priority="983" operator="equal">
      <formula>"F"</formula>
    </cfRule>
  </conditionalFormatting>
  <conditionalFormatting sqref="T167">
    <cfRule type="cellIs" dxfId="527" priority="941" operator="equal">
      <formula>"F"</formula>
    </cfRule>
    <cfRule type="cellIs" dxfId="526" priority="942" operator="equal">
      <formula>"F"</formula>
    </cfRule>
    <cfRule type="cellIs" dxfId="525" priority="940" operator="equal">
      <formula>"U/P"</formula>
    </cfRule>
  </conditionalFormatting>
  <conditionalFormatting sqref="T175">
    <cfRule type="cellIs" dxfId="524" priority="899" operator="equal">
      <formula>"F"</formula>
    </cfRule>
    <cfRule type="cellIs" dxfId="523" priority="898" operator="equal">
      <formula>"U/P"</formula>
    </cfRule>
    <cfRule type="cellIs" dxfId="522" priority="900" operator="equal">
      <formula>"F"</formula>
    </cfRule>
  </conditionalFormatting>
  <conditionalFormatting sqref="T183">
    <cfRule type="cellIs" dxfId="521" priority="869" operator="equal">
      <formula>"F"</formula>
    </cfRule>
    <cfRule type="cellIs" dxfId="520" priority="868" operator="equal">
      <formula>"U/P"</formula>
    </cfRule>
    <cfRule type="cellIs" dxfId="519" priority="870" operator="equal">
      <formula>"F"</formula>
    </cfRule>
  </conditionalFormatting>
  <conditionalFormatting sqref="T191">
    <cfRule type="cellIs" dxfId="518" priority="1718" operator="equal">
      <formula>"F"</formula>
    </cfRule>
    <cfRule type="cellIs" dxfId="517" priority="1717" operator="equal">
      <formula>"U/P"</formula>
    </cfRule>
    <cfRule type="cellIs" dxfId="516" priority="1719" operator="equal">
      <formula>"F"</formula>
    </cfRule>
  </conditionalFormatting>
  <conditionalFormatting sqref="T199">
    <cfRule type="cellIs" dxfId="515" priority="210" operator="equal">
      <formula>"F"</formula>
    </cfRule>
    <cfRule type="cellIs" dxfId="514" priority="209" operator="equal">
      <formula>"U/P"</formula>
    </cfRule>
    <cfRule type="cellIs" dxfId="513" priority="211" operator="equal">
      <formula>"F"</formula>
    </cfRule>
  </conditionalFormatting>
  <conditionalFormatting sqref="T207">
    <cfRule type="cellIs" dxfId="512" priority="785" operator="equal">
      <formula>"F"</formula>
    </cfRule>
    <cfRule type="cellIs" dxfId="511" priority="786" operator="equal">
      <formula>"F"</formula>
    </cfRule>
    <cfRule type="cellIs" dxfId="510" priority="784" operator="equal">
      <formula>"U/P"</formula>
    </cfRule>
  </conditionalFormatting>
  <conditionalFormatting sqref="T215">
    <cfRule type="cellIs" dxfId="509" priority="717" operator="equal">
      <formula>"F"</formula>
    </cfRule>
    <cfRule type="cellIs" dxfId="508" priority="716" operator="equal">
      <formula>"F"</formula>
    </cfRule>
    <cfRule type="cellIs" dxfId="507" priority="715" operator="equal">
      <formula>"U/P"</formula>
    </cfRule>
  </conditionalFormatting>
  <conditionalFormatting sqref="T223">
    <cfRule type="cellIs" dxfId="506" priority="697" operator="equal">
      <formula>"U/P"</formula>
    </cfRule>
    <cfRule type="cellIs" dxfId="505" priority="699" operator="equal">
      <formula>"F"</formula>
    </cfRule>
    <cfRule type="cellIs" dxfId="504" priority="698" operator="equal">
      <formula>"F"</formula>
    </cfRule>
  </conditionalFormatting>
  <conditionalFormatting sqref="T231">
    <cfRule type="cellIs" dxfId="503" priority="656" operator="equal">
      <formula>"F"</formula>
    </cfRule>
    <cfRule type="cellIs" dxfId="502" priority="657" operator="equal">
      <formula>"F"</formula>
    </cfRule>
    <cfRule type="cellIs" dxfId="501" priority="655" operator="equal">
      <formula>"U/P"</formula>
    </cfRule>
  </conditionalFormatting>
  <conditionalFormatting sqref="T239">
    <cfRule type="cellIs" dxfId="500" priority="614" operator="equal">
      <formula>"F"</formula>
    </cfRule>
    <cfRule type="cellIs" dxfId="499" priority="613" operator="equal">
      <formula>"U/P"</formula>
    </cfRule>
    <cfRule type="cellIs" dxfId="498" priority="615" operator="equal">
      <formula>"F"</formula>
    </cfRule>
  </conditionalFormatting>
  <conditionalFormatting sqref="T247">
    <cfRule type="cellIs" dxfId="497" priority="572" operator="equal">
      <formula>"F"</formula>
    </cfRule>
    <cfRule type="cellIs" dxfId="496" priority="573" operator="equal">
      <formula>"F"</formula>
    </cfRule>
    <cfRule type="cellIs" dxfId="495" priority="571" operator="equal">
      <formula>"U/P"</formula>
    </cfRule>
  </conditionalFormatting>
  <conditionalFormatting sqref="T255">
    <cfRule type="cellIs" dxfId="494" priority="530" operator="equal">
      <formula>"F"</formula>
    </cfRule>
    <cfRule type="cellIs" dxfId="493" priority="529" operator="equal">
      <formula>"U/P"</formula>
    </cfRule>
    <cfRule type="cellIs" dxfId="492" priority="531" operator="equal">
      <formula>"F"</formula>
    </cfRule>
  </conditionalFormatting>
  <conditionalFormatting sqref="T263">
    <cfRule type="cellIs" dxfId="491" priority="135" operator="equal">
      <formula>"F"</formula>
    </cfRule>
    <cfRule type="cellIs" dxfId="490" priority="133" operator="equal">
      <formula>"U/P"</formula>
    </cfRule>
    <cfRule type="cellIs" dxfId="489" priority="134" operator="equal">
      <formula>"F"</formula>
    </cfRule>
  </conditionalFormatting>
  <conditionalFormatting sqref="T271">
    <cfRule type="cellIs" dxfId="488" priority="446" operator="equal">
      <formula>"F"</formula>
    </cfRule>
    <cfRule type="cellIs" dxfId="487" priority="445" operator="equal">
      <formula>"U/P"</formula>
    </cfRule>
    <cfRule type="cellIs" dxfId="486" priority="447" operator="equal">
      <formula>"F"</formula>
    </cfRule>
  </conditionalFormatting>
  <conditionalFormatting sqref="T279">
    <cfRule type="cellIs" dxfId="485" priority="405" operator="equal">
      <formula>"F"</formula>
    </cfRule>
    <cfRule type="cellIs" dxfId="484" priority="404" operator="equal">
      <formula>"F"</formula>
    </cfRule>
    <cfRule type="cellIs" dxfId="483" priority="403" operator="equal">
      <formula>"U/P"</formula>
    </cfRule>
  </conditionalFormatting>
  <conditionalFormatting sqref="T287">
    <cfRule type="cellIs" dxfId="482" priority="361" operator="equal">
      <formula>"U/P"</formula>
    </cfRule>
    <cfRule type="cellIs" dxfId="481" priority="363" operator="equal">
      <formula>"F"</formula>
    </cfRule>
    <cfRule type="cellIs" dxfId="480" priority="362" operator="equal">
      <formula>"F"</formula>
    </cfRule>
  </conditionalFormatting>
  <conditionalFormatting sqref="T295">
    <cfRule type="cellIs" dxfId="479" priority="75" operator="equal">
      <formula>"F"</formula>
    </cfRule>
    <cfRule type="cellIs" dxfId="478" priority="74" operator="equal">
      <formula>"F"</formula>
    </cfRule>
    <cfRule type="cellIs" dxfId="477" priority="73" operator="equal">
      <formula>"U/P"</formula>
    </cfRule>
  </conditionalFormatting>
  <conditionalFormatting sqref="T303">
    <cfRule type="cellIs" dxfId="476" priority="277" operator="equal">
      <formula>"U/P"</formula>
    </cfRule>
    <cfRule type="cellIs" dxfId="475" priority="279" operator="equal">
      <formula>"F"</formula>
    </cfRule>
    <cfRule type="cellIs" dxfId="474" priority="278" operator="equal">
      <formula>"F"</formula>
    </cfRule>
  </conditionalFormatting>
  <conditionalFormatting sqref="T310">
    <cfRule type="cellIs" dxfId="473" priority="243" operator="equal">
      <formula>"F"</formula>
    </cfRule>
    <cfRule type="cellIs" dxfId="472" priority="242" operator="equal">
      <formula>"F"</formula>
    </cfRule>
    <cfRule type="cellIs" dxfId="471" priority="241" operator="equal">
      <formula>"U/P"</formula>
    </cfRule>
  </conditionalFormatting>
  <conditionalFormatting sqref="V23">
    <cfRule type="cellIs" dxfId="470" priority="1641" operator="equal">
      <formula>"F"</formula>
    </cfRule>
    <cfRule type="cellIs" dxfId="469" priority="1639" operator="equal">
      <formula>"U/P"</formula>
    </cfRule>
    <cfRule type="cellIs" dxfId="468" priority="1640" operator="equal">
      <formula>"F"</formula>
    </cfRule>
  </conditionalFormatting>
  <conditionalFormatting sqref="V31">
    <cfRule type="cellIs" dxfId="467" priority="1597" operator="equal">
      <formula>"U/P"</formula>
    </cfRule>
    <cfRule type="cellIs" dxfId="466" priority="1598" operator="equal">
      <formula>"F"</formula>
    </cfRule>
    <cfRule type="cellIs" dxfId="465" priority="1599" operator="equal">
      <formula>"F"</formula>
    </cfRule>
  </conditionalFormatting>
  <conditionalFormatting sqref="V39">
    <cfRule type="cellIs" dxfId="464" priority="1557" operator="equal">
      <formula>"F"</formula>
    </cfRule>
    <cfRule type="cellIs" dxfId="463" priority="1556" operator="equal">
      <formula>"F"</formula>
    </cfRule>
    <cfRule type="cellIs" dxfId="462" priority="1555" operator="equal">
      <formula>"U/P"</formula>
    </cfRule>
  </conditionalFormatting>
  <conditionalFormatting sqref="V47">
    <cfRule type="cellIs" dxfId="461" priority="1514" operator="equal">
      <formula>"F"</formula>
    </cfRule>
    <cfRule type="cellIs" dxfId="460" priority="1515" operator="equal">
      <formula>"F"</formula>
    </cfRule>
    <cfRule type="cellIs" dxfId="459" priority="1513" operator="equal">
      <formula>"U/P"</formula>
    </cfRule>
  </conditionalFormatting>
  <conditionalFormatting sqref="V55">
    <cfRule type="cellIs" dxfId="458" priority="1471" operator="equal">
      <formula>"U/P"</formula>
    </cfRule>
    <cfRule type="cellIs" dxfId="457" priority="1473" operator="equal">
      <formula>"F"</formula>
    </cfRule>
    <cfRule type="cellIs" dxfId="456" priority="1472" operator="equal">
      <formula>"F"</formula>
    </cfRule>
  </conditionalFormatting>
  <conditionalFormatting sqref="V63">
    <cfRule type="cellIs" dxfId="455" priority="1431" operator="equal">
      <formula>"F"</formula>
    </cfRule>
    <cfRule type="cellIs" dxfId="454" priority="1430" operator="equal">
      <formula>"F"</formula>
    </cfRule>
    <cfRule type="cellIs" dxfId="453" priority="1429" operator="equal">
      <formula>"U/P"</formula>
    </cfRule>
  </conditionalFormatting>
  <conditionalFormatting sqref="V71">
    <cfRule type="cellIs" dxfId="452" priority="1387" operator="equal">
      <formula>"U/P"</formula>
    </cfRule>
    <cfRule type="cellIs" dxfId="451" priority="1388" operator="equal">
      <formula>"F"</formula>
    </cfRule>
    <cfRule type="cellIs" dxfId="450" priority="1389" operator="equal">
      <formula>"F"</formula>
    </cfRule>
  </conditionalFormatting>
  <conditionalFormatting sqref="V79">
    <cfRule type="cellIs" dxfId="449" priority="1345" operator="equal">
      <formula>"U/P"</formula>
    </cfRule>
    <cfRule type="cellIs" dxfId="448" priority="1346" operator="equal">
      <formula>"F"</formula>
    </cfRule>
    <cfRule type="cellIs" dxfId="447" priority="1347" operator="equal">
      <formula>"F"</formula>
    </cfRule>
  </conditionalFormatting>
  <conditionalFormatting sqref="V87">
    <cfRule type="cellIs" dxfId="446" priority="1303" operator="equal">
      <formula>"U/P"</formula>
    </cfRule>
    <cfRule type="cellIs" dxfId="445" priority="1304" operator="equal">
      <formula>"F"</formula>
    </cfRule>
    <cfRule type="cellIs" dxfId="444" priority="1305" operator="equal">
      <formula>"F"</formula>
    </cfRule>
  </conditionalFormatting>
  <conditionalFormatting sqref="V95">
    <cfRule type="cellIs" dxfId="443" priority="1261" operator="equal">
      <formula>"U/P"</formula>
    </cfRule>
    <cfRule type="cellIs" dxfId="442" priority="1263" operator="equal">
      <formula>"F"</formula>
    </cfRule>
    <cfRule type="cellIs" dxfId="441" priority="1262" operator="equal">
      <formula>"F"</formula>
    </cfRule>
  </conditionalFormatting>
  <conditionalFormatting sqref="V103">
    <cfRule type="cellIs" dxfId="440" priority="1224" operator="equal">
      <formula>"F"</formula>
    </cfRule>
    <cfRule type="cellIs" dxfId="439" priority="1222" operator="equal">
      <formula>"U/P"</formula>
    </cfRule>
    <cfRule type="cellIs" dxfId="438" priority="1223" operator="equal">
      <formula>"F"</formula>
    </cfRule>
  </conditionalFormatting>
  <conditionalFormatting sqref="V111">
    <cfRule type="cellIs" dxfId="437" priority="1793" operator="equal">
      <formula>"F"</formula>
    </cfRule>
    <cfRule type="cellIs" dxfId="436" priority="1792" operator="equal">
      <formula>"F"</formula>
    </cfRule>
    <cfRule type="cellIs" dxfId="435" priority="1791" operator="equal">
      <formula>"U/P"</formula>
    </cfRule>
  </conditionalFormatting>
  <conditionalFormatting sqref="V119">
    <cfRule type="cellIs" dxfId="434" priority="1141" operator="equal">
      <formula>"U/P"</formula>
    </cfRule>
    <cfRule type="cellIs" dxfId="433" priority="1142" operator="equal">
      <formula>"F"</formula>
    </cfRule>
    <cfRule type="cellIs" dxfId="432" priority="1143" operator="equal">
      <formula>"F"</formula>
    </cfRule>
  </conditionalFormatting>
  <conditionalFormatting sqref="V127">
    <cfRule type="cellIs" dxfId="431" priority="1107" operator="equal">
      <formula>"F"</formula>
    </cfRule>
    <cfRule type="cellIs" dxfId="430" priority="1106" operator="equal">
      <formula>"F"</formula>
    </cfRule>
    <cfRule type="cellIs" dxfId="429" priority="1105" operator="equal">
      <formula>"U/P"</formula>
    </cfRule>
  </conditionalFormatting>
  <conditionalFormatting sqref="V135">
    <cfRule type="cellIs" dxfId="428" priority="1077" operator="equal">
      <formula>"F"</formula>
    </cfRule>
    <cfRule type="cellIs" dxfId="427" priority="1076" operator="equal">
      <formula>"F"</formula>
    </cfRule>
    <cfRule type="cellIs" dxfId="426" priority="1075" operator="equal">
      <formula>"U/P"</formula>
    </cfRule>
  </conditionalFormatting>
  <conditionalFormatting sqref="V143">
    <cfRule type="cellIs" dxfId="425" priority="64" operator="equal">
      <formula>"U/P"</formula>
    </cfRule>
    <cfRule type="cellIs" dxfId="424" priority="65" operator="equal">
      <formula>"F"</formula>
    </cfRule>
    <cfRule type="cellIs" dxfId="423" priority="66" operator="equal">
      <formula>"F"</formula>
    </cfRule>
  </conditionalFormatting>
  <conditionalFormatting sqref="V151">
    <cfRule type="cellIs" dxfId="422" priority="1017" operator="equal">
      <formula>"F"</formula>
    </cfRule>
    <cfRule type="cellIs" dxfId="421" priority="1016" operator="equal">
      <formula>"F"</formula>
    </cfRule>
    <cfRule type="cellIs" dxfId="420" priority="1015" operator="equal">
      <formula>"U/P"</formula>
    </cfRule>
  </conditionalFormatting>
  <conditionalFormatting sqref="V159">
    <cfRule type="cellIs" dxfId="419" priority="229" operator="equal">
      <formula>"F"</formula>
    </cfRule>
    <cfRule type="cellIs" dxfId="418" priority="228" operator="equal">
      <formula>"F"</formula>
    </cfRule>
    <cfRule type="cellIs" dxfId="417" priority="227" operator="equal">
      <formula>"U/P"</formula>
    </cfRule>
  </conditionalFormatting>
  <conditionalFormatting sqref="V167">
    <cfRule type="cellIs" dxfId="416" priority="939" operator="equal">
      <formula>"F"</formula>
    </cfRule>
    <cfRule type="cellIs" dxfId="415" priority="938" operator="equal">
      <formula>"F"</formula>
    </cfRule>
    <cfRule type="cellIs" dxfId="414" priority="937" operator="equal">
      <formula>"U/P"</formula>
    </cfRule>
  </conditionalFormatting>
  <conditionalFormatting sqref="V175">
    <cfRule type="cellIs" dxfId="413" priority="34" operator="equal">
      <formula>"U/P"</formula>
    </cfRule>
    <cfRule type="cellIs" dxfId="412" priority="35" operator="equal">
      <formula>"F"</formula>
    </cfRule>
    <cfRule type="cellIs" dxfId="411" priority="36" operator="equal">
      <formula>"F"</formula>
    </cfRule>
  </conditionalFormatting>
  <conditionalFormatting sqref="V183">
    <cfRule type="cellIs" dxfId="410" priority="30" operator="equal">
      <formula>"F"</formula>
    </cfRule>
    <cfRule type="cellIs" dxfId="409" priority="28" operator="equal">
      <formula>"U/P"</formula>
    </cfRule>
    <cfRule type="cellIs" dxfId="408" priority="29" operator="equal">
      <formula>"F"</formula>
    </cfRule>
  </conditionalFormatting>
  <conditionalFormatting sqref="V191">
    <cfRule type="cellIs" dxfId="407" priority="836" operator="equal">
      <formula>"F"</formula>
    </cfRule>
    <cfRule type="cellIs" dxfId="406" priority="835" operator="equal">
      <formula>"U/P"</formula>
    </cfRule>
    <cfRule type="cellIs" dxfId="405" priority="837" operator="equal">
      <formula>"F"</formula>
    </cfRule>
  </conditionalFormatting>
  <conditionalFormatting sqref="V199">
    <cfRule type="cellIs" dxfId="404" priority="8" operator="equal">
      <formula>"F"</formula>
    </cfRule>
    <cfRule type="cellIs" dxfId="403" priority="9" operator="equal">
      <formula>"F"</formula>
    </cfRule>
    <cfRule type="cellIs" dxfId="402" priority="7" operator="equal">
      <formula>"U/P"</formula>
    </cfRule>
  </conditionalFormatting>
  <conditionalFormatting sqref="V207">
    <cfRule type="cellIs" dxfId="401" priority="782" operator="equal">
      <formula>"F"</formula>
    </cfRule>
    <cfRule type="cellIs" dxfId="400" priority="783" operator="equal">
      <formula>"F"</formula>
    </cfRule>
    <cfRule type="cellIs" dxfId="399" priority="781" operator="equal">
      <formula>"U/P"</formula>
    </cfRule>
  </conditionalFormatting>
  <conditionalFormatting sqref="V215">
    <cfRule type="cellIs" dxfId="398" priority="713" operator="equal">
      <formula>"F"</formula>
    </cfRule>
    <cfRule type="cellIs" dxfId="397" priority="714" operator="equal">
      <formula>"F"</formula>
    </cfRule>
    <cfRule type="cellIs" dxfId="396" priority="712" operator="equal">
      <formula>"U/P"</formula>
    </cfRule>
  </conditionalFormatting>
  <conditionalFormatting sqref="V223">
    <cfRule type="cellIs" dxfId="395" priority="694" operator="equal">
      <formula>"U/P"</formula>
    </cfRule>
    <cfRule type="cellIs" dxfId="394" priority="695" operator="equal">
      <formula>"F"</formula>
    </cfRule>
    <cfRule type="cellIs" dxfId="393" priority="696" operator="equal">
      <formula>"F"</formula>
    </cfRule>
  </conditionalFormatting>
  <conditionalFormatting sqref="V231">
    <cfRule type="cellIs" dxfId="392" priority="654" operator="equal">
      <formula>"F"</formula>
    </cfRule>
    <cfRule type="cellIs" dxfId="391" priority="652" operator="equal">
      <formula>"U/P"</formula>
    </cfRule>
    <cfRule type="cellIs" dxfId="390" priority="653" operator="equal">
      <formula>"F"</formula>
    </cfRule>
  </conditionalFormatting>
  <conditionalFormatting sqref="V239">
    <cfRule type="cellIs" dxfId="389" priority="611" operator="equal">
      <formula>"F"</formula>
    </cfRule>
    <cfRule type="cellIs" dxfId="388" priority="612" operator="equal">
      <formula>"F"</formula>
    </cfRule>
    <cfRule type="cellIs" dxfId="387" priority="610" operator="equal">
      <formula>"U/P"</formula>
    </cfRule>
  </conditionalFormatting>
  <conditionalFormatting sqref="V247">
    <cfRule type="cellIs" dxfId="386" priority="569" operator="equal">
      <formula>"F"</formula>
    </cfRule>
    <cfRule type="cellIs" dxfId="385" priority="570" operator="equal">
      <formula>"F"</formula>
    </cfRule>
    <cfRule type="cellIs" dxfId="384" priority="568" operator="equal">
      <formula>"U/P"</formula>
    </cfRule>
  </conditionalFormatting>
  <conditionalFormatting sqref="V255">
    <cfRule type="cellIs" dxfId="383" priority="528" operator="equal">
      <formula>"F"</formula>
    </cfRule>
    <cfRule type="cellIs" dxfId="382" priority="526" operator="equal">
      <formula>"U/P"</formula>
    </cfRule>
    <cfRule type="cellIs" dxfId="381" priority="527" operator="equal">
      <formula>"F"</formula>
    </cfRule>
  </conditionalFormatting>
  <conditionalFormatting sqref="V263">
    <cfRule type="cellIs" dxfId="380" priority="131" operator="equal">
      <formula>"F"</formula>
    </cfRule>
    <cfRule type="cellIs" dxfId="379" priority="132" operator="equal">
      <formula>"F"</formula>
    </cfRule>
    <cfRule type="cellIs" dxfId="378" priority="130" operator="equal">
      <formula>"U/P"</formula>
    </cfRule>
  </conditionalFormatting>
  <conditionalFormatting sqref="V271">
    <cfRule type="cellIs" dxfId="377" priority="442" operator="equal">
      <formula>"U/P"</formula>
    </cfRule>
    <cfRule type="cellIs" dxfId="376" priority="443" operator="equal">
      <formula>"F"</formula>
    </cfRule>
    <cfRule type="cellIs" dxfId="375" priority="444" operator="equal">
      <formula>"F"</formula>
    </cfRule>
  </conditionalFormatting>
  <conditionalFormatting sqref="V279">
    <cfRule type="cellIs" dxfId="374" priority="400" operator="equal">
      <formula>"U/P"</formula>
    </cfRule>
    <cfRule type="cellIs" dxfId="373" priority="401" operator="equal">
      <formula>"F"</formula>
    </cfRule>
    <cfRule type="cellIs" dxfId="372" priority="402" operator="equal">
      <formula>"F"</formula>
    </cfRule>
  </conditionalFormatting>
  <conditionalFormatting sqref="V287">
    <cfRule type="cellIs" dxfId="371" priority="11" operator="equal">
      <formula>"F"</formula>
    </cfRule>
    <cfRule type="cellIs" dxfId="370" priority="10" operator="equal">
      <formula>"U/P"</formula>
    </cfRule>
    <cfRule type="cellIs" dxfId="369" priority="12" operator="equal">
      <formula>"F"</formula>
    </cfRule>
  </conditionalFormatting>
  <conditionalFormatting sqref="V295">
    <cfRule type="cellIs" dxfId="368" priority="71" operator="equal">
      <formula>"F"</formula>
    </cfRule>
    <cfRule type="cellIs" dxfId="367" priority="72" operator="equal">
      <formula>"F"</formula>
    </cfRule>
    <cfRule type="cellIs" dxfId="366" priority="70" operator="equal">
      <formula>"U/P"</formula>
    </cfRule>
  </conditionalFormatting>
  <conditionalFormatting sqref="V303">
    <cfRule type="cellIs" dxfId="365" priority="276" operator="equal">
      <formula>"F"</formula>
    </cfRule>
    <cfRule type="cellIs" dxfId="364" priority="275" operator="equal">
      <formula>"F"</formula>
    </cfRule>
    <cfRule type="cellIs" dxfId="363" priority="274" operator="equal">
      <formula>"U/P"</formula>
    </cfRule>
  </conditionalFormatting>
  <conditionalFormatting sqref="V310">
    <cfRule type="cellIs" dxfId="362" priority="239" operator="equal">
      <formula>"F"</formula>
    </cfRule>
    <cfRule type="cellIs" dxfId="361" priority="240" operator="equal">
      <formula>"F"</formula>
    </cfRule>
    <cfRule type="cellIs" dxfId="360" priority="238" operator="equal">
      <formula>"U/P"</formula>
    </cfRule>
  </conditionalFormatting>
  <conditionalFormatting sqref="X23">
    <cfRule type="cellIs" dxfId="359" priority="1637" operator="equal">
      <formula>"F"</formula>
    </cfRule>
    <cfRule type="cellIs" dxfId="358" priority="1636" operator="equal">
      <formula>"U/P"</formula>
    </cfRule>
    <cfRule type="cellIs" dxfId="357" priority="1638" operator="equal">
      <formula>"F"</formula>
    </cfRule>
  </conditionalFormatting>
  <conditionalFormatting sqref="X31">
    <cfRule type="cellIs" dxfId="356" priority="1596" operator="equal">
      <formula>"F"</formula>
    </cfRule>
    <cfRule type="cellIs" dxfId="355" priority="1594" operator="equal">
      <formula>"U/P"</formula>
    </cfRule>
    <cfRule type="cellIs" dxfId="354" priority="1595" operator="equal">
      <formula>"F"</formula>
    </cfRule>
  </conditionalFormatting>
  <conditionalFormatting sqref="X39">
    <cfRule type="cellIs" dxfId="353" priority="1554" operator="equal">
      <formula>"F"</formula>
    </cfRule>
    <cfRule type="cellIs" dxfId="352" priority="1553" operator="equal">
      <formula>"F"</formula>
    </cfRule>
    <cfRule type="cellIs" dxfId="351" priority="1552" operator="equal">
      <formula>"U/P"</formula>
    </cfRule>
  </conditionalFormatting>
  <conditionalFormatting sqref="X47">
    <cfRule type="cellIs" dxfId="350" priority="1510" operator="equal">
      <formula>"U/P"</formula>
    </cfRule>
    <cfRule type="cellIs" dxfId="349" priority="1512" operator="equal">
      <formula>"F"</formula>
    </cfRule>
    <cfRule type="cellIs" dxfId="348" priority="1511" operator="equal">
      <formula>"F"</formula>
    </cfRule>
  </conditionalFormatting>
  <conditionalFormatting sqref="X55">
    <cfRule type="cellIs" dxfId="347" priority="1470" operator="equal">
      <formula>"F"</formula>
    </cfRule>
    <cfRule type="cellIs" dxfId="346" priority="1468" operator="equal">
      <formula>"U/P"</formula>
    </cfRule>
    <cfRule type="cellIs" dxfId="345" priority="1469" operator="equal">
      <formula>"F"</formula>
    </cfRule>
  </conditionalFormatting>
  <conditionalFormatting sqref="X63">
    <cfRule type="cellIs" dxfId="344" priority="1428" operator="equal">
      <formula>"F"</formula>
    </cfRule>
    <cfRule type="cellIs" dxfId="343" priority="1426" operator="equal">
      <formula>"U/P"</formula>
    </cfRule>
    <cfRule type="cellIs" dxfId="342" priority="1427" operator="equal">
      <formula>"F"</formula>
    </cfRule>
  </conditionalFormatting>
  <conditionalFormatting sqref="X71">
    <cfRule type="cellIs" dxfId="341" priority="1386" operator="equal">
      <formula>"F"</formula>
    </cfRule>
    <cfRule type="cellIs" dxfId="340" priority="1385" operator="equal">
      <formula>"F"</formula>
    </cfRule>
    <cfRule type="cellIs" dxfId="339" priority="1384" operator="equal">
      <formula>"U/P"</formula>
    </cfRule>
  </conditionalFormatting>
  <conditionalFormatting sqref="X79">
    <cfRule type="cellIs" dxfId="338" priority="1344" operator="equal">
      <formula>"F"</formula>
    </cfRule>
    <cfRule type="cellIs" dxfId="337" priority="1343" operator="equal">
      <formula>"F"</formula>
    </cfRule>
    <cfRule type="cellIs" dxfId="336" priority="1342" operator="equal">
      <formula>"U/P"</formula>
    </cfRule>
  </conditionalFormatting>
  <conditionalFormatting sqref="X87">
    <cfRule type="cellIs" dxfId="335" priority="1301" operator="equal">
      <formula>"F"</formula>
    </cfRule>
    <cfRule type="cellIs" dxfId="334" priority="1300" operator="equal">
      <formula>"U/P"</formula>
    </cfRule>
    <cfRule type="cellIs" dxfId="333" priority="1302" operator="equal">
      <formula>"F"</formula>
    </cfRule>
  </conditionalFormatting>
  <conditionalFormatting sqref="X95">
    <cfRule type="cellIs" dxfId="332" priority="1260" operator="equal">
      <formula>"F"</formula>
    </cfRule>
    <cfRule type="cellIs" dxfId="331" priority="1258" operator="equal">
      <formula>"U/P"</formula>
    </cfRule>
    <cfRule type="cellIs" dxfId="330" priority="1259" operator="equal">
      <formula>"F"</formula>
    </cfRule>
  </conditionalFormatting>
  <conditionalFormatting sqref="X103">
    <cfRule type="cellIs" dxfId="329" priority="1219" operator="equal">
      <formula>"U/P"</formula>
    </cfRule>
    <cfRule type="cellIs" dxfId="328" priority="1220" operator="equal">
      <formula>"F"</formula>
    </cfRule>
    <cfRule type="cellIs" dxfId="327" priority="1221" operator="equal">
      <formula>"F"</formula>
    </cfRule>
  </conditionalFormatting>
  <conditionalFormatting sqref="X111">
    <cfRule type="cellIs" dxfId="326" priority="1788" operator="equal">
      <formula>"U/P"</formula>
    </cfRule>
    <cfRule type="cellIs" dxfId="325" priority="1789" operator="equal">
      <formula>"F"</formula>
    </cfRule>
    <cfRule type="cellIs" dxfId="324" priority="1790" operator="equal">
      <formula>"F"</formula>
    </cfRule>
  </conditionalFormatting>
  <conditionalFormatting sqref="X119">
    <cfRule type="cellIs" dxfId="323" priority="1140" operator="equal">
      <formula>"F"</formula>
    </cfRule>
    <cfRule type="cellIs" dxfId="322" priority="1139" operator="equal">
      <formula>"F"</formula>
    </cfRule>
    <cfRule type="cellIs" dxfId="321" priority="1138" operator="equal">
      <formula>"U/P"</formula>
    </cfRule>
  </conditionalFormatting>
  <conditionalFormatting sqref="X127">
    <cfRule type="cellIs" dxfId="320" priority="1102" operator="equal">
      <formula>"U/P"</formula>
    </cfRule>
    <cfRule type="cellIs" dxfId="319" priority="1103" operator="equal">
      <formula>"F"</formula>
    </cfRule>
    <cfRule type="cellIs" dxfId="318" priority="1104" operator="equal">
      <formula>"F"</formula>
    </cfRule>
  </conditionalFormatting>
  <conditionalFormatting sqref="X135">
    <cfRule type="cellIs" dxfId="317" priority="1072" operator="equal">
      <formula>"U/P"</formula>
    </cfRule>
    <cfRule type="cellIs" dxfId="316" priority="1073" operator="equal">
      <formula>"F"</formula>
    </cfRule>
    <cfRule type="cellIs" dxfId="315" priority="1074" operator="equal">
      <formula>"F"</formula>
    </cfRule>
  </conditionalFormatting>
  <conditionalFormatting sqref="X143">
    <cfRule type="cellIs" dxfId="314" priority="1049" operator="equal">
      <formula>"F"</formula>
    </cfRule>
    <cfRule type="cellIs" dxfId="313" priority="1050" operator="equal">
      <formula>"F"</formula>
    </cfRule>
    <cfRule type="cellIs" dxfId="312" priority="1048" operator="equal">
      <formula>"U/P"</formula>
    </cfRule>
  </conditionalFormatting>
  <conditionalFormatting sqref="X151">
    <cfRule type="cellIs" dxfId="311" priority="1013" operator="equal">
      <formula>"F"</formula>
    </cfRule>
    <cfRule type="cellIs" dxfId="310" priority="1014" operator="equal">
      <formula>"F"</formula>
    </cfRule>
    <cfRule type="cellIs" dxfId="309" priority="1012" operator="equal">
      <formula>"U/P"</formula>
    </cfRule>
  </conditionalFormatting>
  <conditionalFormatting sqref="X159">
    <cfRule type="cellIs" dxfId="308" priority="977" operator="equal">
      <formula>"F"</formula>
    </cfRule>
    <cfRule type="cellIs" dxfId="307" priority="978" operator="equal">
      <formula>"F"</formula>
    </cfRule>
    <cfRule type="cellIs" dxfId="306" priority="976" operator="equal">
      <formula>"U/P"</formula>
    </cfRule>
  </conditionalFormatting>
  <conditionalFormatting sqref="X167">
    <cfRule type="cellIs" dxfId="305" priority="935" operator="equal">
      <formula>"F"</formula>
    </cfRule>
    <cfRule type="cellIs" dxfId="304" priority="936" operator="equal">
      <formula>"F"</formula>
    </cfRule>
    <cfRule type="cellIs" dxfId="303" priority="934" operator="equal">
      <formula>"U/P"</formula>
    </cfRule>
  </conditionalFormatting>
  <conditionalFormatting sqref="X175">
    <cfRule type="cellIs" dxfId="302" priority="893" operator="equal">
      <formula>"F"</formula>
    </cfRule>
    <cfRule type="cellIs" dxfId="301" priority="894" operator="equal">
      <formula>"F"</formula>
    </cfRule>
    <cfRule type="cellIs" dxfId="300" priority="892" operator="equal">
      <formula>"U/P"</formula>
    </cfRule>
  </conditionalFormatting>
  <conditionalFormatting sqref="X183">
    <cfRule type="cellIs" dxfId="299" priority="42" operator="equal">
      <formula>"F"</formula>
    </cfRule>
    <cfRule type="cellIs" dxfId="298" priority="41" operator="equal">
      <formula>"F"</formula>
    </cfRule>
    <cfRule type="cellIs" dxfId="297" priority="40" operator="equal">
      <formula>"U/P"</formula>
    </cfRule>
  </conditionalFormatting>
  <conditionalFormatting sqref="X191">
    <cfRule type="cellIs" dxfId="296" priority="833" operator="equal">
      <formula>"F"</formula>
    </cfRule>
    <cfRule type="cellIs" dxfId="295" priority="834" operator="equal">
      <formula>"F"</formula>
    </cfRule>
    <cfRule type="cellIs" dxfId="294" priority="832" operator="equal">
      <formula>"U/P"</formula>
    </cfRule>
  </conditionalFormatting>
  <conditionalFormatting sqref="X199">
    <cfRule type="cellIs" dxfId="293" priority="805" operator="equal">
      <formula>"U/P"</formula>
    </cfRule>
    <cfRule type="cellIs" dxfId="292" priority="806" operator="equal">
      <formula>"F"</formula>
    </cfRule>
    <cfRule type="cellIs" dxfId="291" priority="807" operator="equal">
      <formula>"F"</formula>
    </cfRule>
  </conditionalFormatting>
  <conditionalFormatting sqref="X207">
    <cfRule type="cellIs" dxfId="290" priority="1684" operator="equal">
      <formula>"U/P"</formula>
    </cfRule>
    <cfRule type="cellIs" dxfId="289" priority="1685" operator="equal">
      <formula>"F"</formula>
    </cfRule>
    <cfRule type="cellIs" dxfId="288" priority="1686" operator="equal">
      <formula>"F"</formula>
    </cfRule>
  </conditionalFormatting>
  <conditionalFormatting sqref="X215">
    <cfRule type="cellIs" dxfId="287" priority="728" operator="equal">
      <formula>"F"</formula>
    </cfRule>
    <cfRule type="cellIs" dxfId="286" priority="729" operator="equal">
      <formula>"F"</formula>
    </cfRule>
    <cfRule type="cellIs" dxfId="285" priority="727" operator="equal">
      <formula>"U/P"</formula>
    </cfRule>
  </conditionalFormatting>
  <conditionalFormatting sqref="X223">
    <cfRule type="cellIs" dxfId="284" priority="711" operator="equal">
      <formula>"F"</formula>
    </cfRule>
    <cfRule type="cellIs" dxfId="283" priority="710" operator="equal">
      <formula>"F"</formula>
    </cfRule>
    <cfRule type="cellIs" dxfId="282" priority="709" operator="equal">
      <formula>"U/P"</formula>
    </cfRule>
  </conditionalFormatting>
  <conditionalFormatting sqref="X231">
    <cfRule type="cellIs" dxfId="281" priority="667" operator="equal">
      <formula>"U/P"</formula>
    </cfRule>
    <cfRule type="cellIs" dxfId="280" priority="668" operator="equal">
      <formula>"F"</formula>
    </cfRule>
    <cfRule type="cellIs" dxfId="279" priority="669" operator="equal">
      <formula>"F"</formula>
    </cfRule>
  </conditionalFormatting>
  <conditionalFormatting sqref="X239">
    <cfRule type="cellIs" dxfId="278" priority="627" operator="equal">
      <formula>"F"</formula>
    </cfRule>
    <cfRule type="cellIs" dxfId="277" priority="626" operator="equal">
      <formula>"F"</formula>
    </cfRule>
    <cfRule type="cellIs" dxfId="276" priority="625" operator="equal">
      <formula>"U/P"</formula>
    </cfRule>
  </conditionalFormatting>
  <conditionalFormatting sqref="X247">
    <cfRule type="cellIs" dxfId="275" priority="583" operator="equal">
      <formula>"U/P"</formula>
    </cfRule>
    <cfRule type="cellIs" dxfId="274" priority="585" operator="equal">
      <formula>"F"</formula>
    </cfRule>
    <cfRule type="cellIs" dxfId="273" priority="584" operator="equal">
      <formula>"F"</formula>
    </cfRule>
  </conditionalFormatting>
  <conditionalFormatting sqref="X255">
    <cfRule type="cellIs" dxfId="272" priority="543" operator="equal">
      <formula>"F"</formula>
    </cfRule>
    <cfRule type="cellIs" dxfId="271" priority="541" operator="equal">
      <formula>"U/P"</formula>
    </cfRule>
    <cfRule type="cellIs" dxfId="270" priority="542" operator="equal">
      <formula>"F"</formula>
    </cfRule>
  </conditionalFormatting>
  <conditionalFormatting sqref="X263">
    <cfRule type="cellIs" dxfId="269" priority="129" operator="equal">
      <formula>"F"</formula>
    </cfRule>
    <cfRule type="cellIs" dxfId="268" priority="128" operator="equal">
      <formula>"F"</formula>
    </cfRule>
    <cfRule type="cellIs" dxfId="267" priority="127" operator="equal">
      <formula>"U/P"</formula>
    </cfRule>
  </conditionalFormatting>
  <conditionalFormatting sqref="X271">
    <cfRule type="cellIs" dxfId="266" priority="457" operator="equal">
      <formula>"U/P"</formula>
    </cfRule>
    <cfRule type="cellIs" dxfId="265" priority="458" operator="equal">
      <formula>"F"</formula>
    </cfRule>
    <cfRule type="cellIs" dxfId="264" priority="459" operator="equal">
      <formula>"F"</formula>
    </cfRule>
  </conditionalFormatting>
  <conditionalFormatting sqref="X279">
    <cfRule type="cellIs" dxfId="263" priority="415" operator="equal">
      <formula>"U/P"</formula>
    </cfRule>
    <cfRule type="cellIs" dxfId="262" priority="416" operator="equal">
      <formula>"F"</formula>
    </cfRule>
    <cfRule type="cellIs" dxfId="261" priority="417" operator="equal">
      <formula>"F"</formula>
    </cfRule>
  </conditionalFormatting>
  <conditionalFormatting sqref="X287">
    <cfRule type="cellIs" dxfId="260" priority="373" operator="equal">
      <formula>"U/P"</formula>
    </cfRule>
    <cfRule type="cellIs" dxfId="259" priority="375" operator="equal">
      <formula>"F"</formula>
    </cfRule>
    <cfRule type="cellIs" dxfId="258" priority="374" operator="equal">
      <formula>"F"</formula>
    </cfRule>
  </conditionalFormatting>
  <conditionalFormatting sqref="X295">
    <cfRule type="cellIs" dxfId="257" priority="81" operator="equal">
      <formula>"F"</formula>
    </cfRule>
    <cfRule type="cellIs" dxfId="256" priority="80" operator="equal">
      <formula>"F"</formula>
    </cfRule>
    <cfRule type="cellIs" dxfId="255" priority="79" operator="equal">
      <formula>"U/P"</formula>
    </cfRule>
  </conditionalFormatting>
  <conditionalFormatting sqref="X303">
    <cfRule type="cellIs" dxfId="254" priority="289" operator="equal">
      <formula>"U/P"</formula>
    </cfRule>
    <cfRule type="cellIs" dxfId="253" priority="291" operator="equal">
      <formula>"F"</formula>
    </cfRule>
    <cfRule type="cellIs" dxfId="252" priority="290" operator="equal">
      <formula>"F"</formula>
    </cfRule>
  </conditionalFormatting>
  <conditionalFormatting sqref="X310">
    <cfRule type="cellIs" dxfId="251" priority="254" operator="equal">
      <formula>"F"</formula>
    </cfRule>
    <cfRule type="cellIs" dxfId="250" priority="255" operator="equal">
      <formula>"F"</formula>
    </cfRule>
    <cfRule type="cellIs" dxfId="249" priority="253" operator="equal">
      <formula>"U/P"</formula>
    </cfRule>
  </conditionalFormatting>
  <conditionalFormatting sqref="Z23">
    <cfRule type="cellIs" dxfId="248" priority="1635" operator="equal">
      <formula>"F"</formula>
    </cfRule>
    <cfRule type="cellIs" dxfId="247" priority="1633" operator="equal">
      <formula>"U/P"</formula>
    </cfRule>
    <cfRule type="cellIs" dxfId="246" priority="1634" operator="equal">
      <formula>"F"</formula>
    </cfRule>
  </conditionalFormatting>
  <conditionalFormatting sqref="Z31">
    <cfRule type="cellIs" dxfId="245" priority="1592" operator="equal">
      <formula>"F"</formula>
    </cfRule>
    <cfRule type="cellIs" dxfId="244" priority="1593" operator="equal">
      <formula>"F"</formula>
    </cfRule>
    <cfRule type="cellIs" dxfId="243" priority="1591" operator="equal">
      <formula>"U/P"</formula>
    </cfRule>
  </conditionalFormatting>
  <conditionalFormatting sqref="Z39">
    <cfRule type="cellIs" dxfId="242" priority="1551" operator="equal">
      <formula>"F"</formula>
    </cfRule>
    <cfRule type="cellIs" dxfId="241" priority="1549" operator="equal">
      <formula>"U/P"</formula>
    </cfRule>
    <cfRule type="cellIs" dxfId="240" priority="1550" operator="equal">
      <formula>"F"</formula>
    </cfRule>
  </conditionalFormatting>
  <conditionalFormatting sqref="Z47">
    <cfRule type="cellIs" dxfId="239" priority="1507" operator="equal">
      <formula>"U/P"</formula>
    </cfRule>
    <cfRule type="cellIs" dxfId="238" priority="1508" operator="equal">
      <formula>"F"</formula>
    </cfRule>
    <cfRule type="cellIs" dxfId="237" priority="1509" operator="equal">
      <formula>"F"</formula>
    </cfRule>
  </conditionalFormatting>
  <conditionalFormatting sqref="Z55">
    <cfRule type="cellIs" dxfId="236" priority="1467" operator="equal">
      <formula>"F"</formula>
    </cfRule>
    <cfRule type="cellIs" dxfId="235" priority="1466" operator="equal">
      <formula>"F"</formula>
    </cfRule>
    <cfRule type="cellIs" dxfId="234" priority="1465" operator="equal">
      <formula>"U/P"</formula>
    </cfRule>
  </conditionalFormatting>
  <conditionalFormatting sqref="Z63">
    <cfRule type="cellIs" dxfId="233" priority="1425" operator="equal">
      <formula>"F"</formula>
    </cfRule>
    <cfRule type="cellIs" dxfId="232" priority="1424" operator="equal">
      <formula>"F"</formula>
    </cfRule>
    <cfRule type="cellIs" dxfId="231" priority="1423" operator="equal">
      <formula>"U/P"</formula>
    </cfRule>
  </conditionalFormatting>
  <conditionalFormatting sqref="Z71">
    <cfRule type="cellIs" dxfId="230" priority="1381" operator="equal">
      <formula>"U/P"</formula>
    </cfRule>
    <cfRule type="cellIs" dxfId="229" priority="1382" operator="equal">
      <formula>"F"</formula>
    </cfRule>
    <cfRule type="cellIs" dxfId="228" priority="1383" operator="equal">
      <formula>"F"</formula>
    </cfRule>
  </conditionalFormatting>
  <conditionalFormatting sqref="Z79">
    <cfRule type="cellIs" dxfId="227" priority="1339" operator="equal">
      <formula>"U/P"</formula>
    </cfRule>
    <cfRule type="cellIs" dxfId="226" priority="1340" operator="equal">
      <formula>"F"</formula>
    </cfRule>
    <cfRule type="cellIs" dxfId="225" priority="1341" operator="equal">
      <formula>"F"</formula>
    </cfRule>
  </conditionalFormatting>
  <conditionalFormatting sqref="Z87">
    <cfRule type="cellIs" dxfId="224" priority="1298" operator="equal">
      <formula>"F"</formula>
    </cfRule>
    <cfRule type="cellIs" dxfId="223" priority="1297" operator="equal">
      <formula>"U/P"</formula>
    </cfRule>
    <cfRule type="cellIs" dxfId="222" priority="1299" operator="equal">
      <formula>"F"</formula>
    </cfRule>
  </conditionalFormatting>
  <conditionalFormatting sqref="Z95">
    <cfRule type="cellIs" dxfId="221" priority="1257" operator="equal">
      <formula>"F"</formula>
    </cfRule>
    <cfRule type="cellIs" dxfId="220" priority="1256" operator="equal">
      <formula>"F"</formula>
    </cfRule>
    <cfRule type="cellIs" dxfId="219" priority="1255" operator="equal">
      <formula>"U/P"</formula>
    </cfRule>
  </conditionalFormatting>
  <conditionalFormatting sqref="Z103">
    <cfRule type="cellIs" dxfId="218" priority="1218" operator="equal">
      <formula>"F"</formula>
    </cfRule>
    <cfRule type="cellIs" dxfId="217" priority="1216" operator="equal">
      <formula>"U/P"</formula>
    </cfRule>
    <cfRule type="cellIs" dxfId="216" priority="1217" operator="equal">
      <formula>"F"</formula>
    </cfRule>
  </conditionalFormatting>
  <conditionalFormatting sqref="Z111">
    <cfRule type="cellIs" dxfId="215" priority="1178" operator="equal">
      <formula>"F"</formula>
    </cfRule>
    <cfRule type="cellIs" dxfId="214" priority="1179" operator="equal">
      <formula>"F"</formula>
    </cfRule>
    <cfRule type="cellIs" dxfId="213" priority="1177" operator="equal">
      <formula>"U/P"</formula>
    </cfRule>
  </conditionalFormatting>
  <conditionalFormatting sqref="Z119">
    <cfRule type="cellIs" dxfId="212" priority="1136" operator="equal">
      <formula>"F"</formula>
    </cfRule>
    <cfRule type="cellIs" dxfId="211" priority="1137" operator="equal">
      <formula>"F"</formula>
    </cfRule>
    <cfRule type="cellIs" dxfId="210" priority="1135" operator="equal">
      <formula>"U/P"</formula>
    </cfRule>
  </conditionalFormatting>
  <conditionalFormatting sqref="Z127">
    <cfRule type="cellIs" dxfId="209" priority="1099" operator="equal">
      <formula>"U/P"</formula>
    </cfRule>
    <cfRule type="cellIs" dxfId="208" priority="1101" operator="equal">
      <formula>"F"</formula>
    </cfRule>
    <cfRule type="cellIs" dxfId="207" priority="1100" operator="equal">
      <formula>"F"</formula>
    </cfRule>
  </conditionalFormatting>
  <conditionalFormatting sqref="Z135">
    <cfRule type="cellIs" dxfId="206" priority="759" operator="equal">
      <formula>"F"</formula>
    </cfRule>
    <cfRule type="cellIs" dxfId="205" priority="758" operator="equal">
      <formula>"F"</formula>
    </cfRule>
    <cfRule type="cellIs" dxfId="204" priority="757" operator="equal">
      <formula>"U/P"</formula>
    </cfRule>
  </conditionalFormatting>
  <conditionalFormatting sqref="Z143">
    <cfRule type="cellIs" dxfId="203" priority="1751" operator="equal">
      <formula>"F"</formula>
    </cfRule>
    <cfRule type="cellIs" dxfId="202" priority="1750" operator="equal">
      <formula>"U/P"</formula>
    </cfRule>
    <cfRule type="cellIs" dxfId="201" priority="1752" operator="equal">
      <formula>"F"</formula>
    </cfRule>
  </conditionalFormatting>
  <conditionalFormatting sqref="Z151">
    <cfRule type="cellIs" dxfId="200" priority="764" operator="equal">
      <formula>"F"</formula>
    </cfRule>
    <cfRule type="cellIs" dxfId="199" priority="765" operator="equal">
      <formula>"F"</formula>
    </cfRule>
    <cfRule type="cellIs" dxfId="198" priority="763" operator="equal">
      <formula>"U/P"</formula>
    </cfRule>
  </conditionalFormatting>
  <conditionalFormatting sqref="Z159">
    <cfRule type="cellIs" dxfId="197" priority="973" operator="equal">
      <formula>"U/P"</formula>
    </cfRule>
    <cfRule type="cellIs" dxfId="196" priority="974" operator="equal">
      <formula>"F"</formula>
    </cfRule>
    <cfRule type="cellIs" dxfId="195" priority="975" operator="equal">
      <formula>"F"</formula>
    </cfRule>
  </conditionalFormatting>
  <conditionalFormatting sqref="Z167">
    <cfRule type="cellIs" dxfId="194" priority="932" operator="equal">
      <formula>"F"</formula>
    </cfRule>
    <cfRule type="cellIs" dxfId="193" priority="933" operator="equal">
      <formula>"F"</formula>
    </cfRule>
    <cfRule type="cellIs" dxfId="192" priority="931" operator="equal">
      <formula>"U/P"</formula>
    </cfRule>
  </conditionalFormatting>
  <conditionalFormatting sqref="Z175">
    <cfRule type="cellIs" dxfId="191" priority="46" operator="equal">
      <formula>"U/P"</formula>
    </cfRule>
    <cfRule type="cellIs" dxfId="190" priority="48" operator="equal">
      <formula>"F"</formula>
    </cfRule>
    <cfRule type="cellIs" dxfId="189" priority="47" operator="equal">
      <formula>"F"</formula>
    </cfRule>
  </conditionalFormatting>
  <conditionalFormatting sqref="Z183">
    <cfRule type="cellIs" dxfId="188" priority="861" operator="equal">
      <formula>"F"</formula>
    </cfRule>
    <cfRule type="cellIs" dxfId="187" priority="860" operator="equal">
      <formula>"F"</formula>
    </cfRule>
    <cfRule type="cellIs" dxfId="186" priority="859" operator="equal">
      <formula>"U/P"</formula>
    </cfRule>
  </conditionalFormatting>
  <conditionalFormatting sqref="Z191">
    <cfRule type="cellIs" dxfId="185" priority="831" operator="equal">
      <formula>"F"</formula>
    </cfRule>
    <cfRule type="cellIs" dxfId="184" priority="830" operator="equal">
      <formula>"F"</formula>
    </cfRule>
    <cfRule type="cellIs" dxfId="183" priority="829" operator="equal">
      <formula>"U/P"</formula>
    </cfRule>
  </conditionalFormatting>
  <conditionalFormatting sqref="Z199">
    <cfRule type="cellIs" dxfId="182" priority="55" operator="equal">
      <formula>"U/P"</formula>
    </cfRule>
    <cfRule type="cellIs" dxfId="181" priority="56" operator="equal">
      <formula>"F"</formula>
    </cfRule>
    <cfRule type="cellIs" dxfId="180" priority="57" operator="equal">
      <formula>"F"</formula>
    </cfRule>
  </conditionalFormatting>
  <conditionalFormatting sqref="Z207">
    <cfRule type="cellIs" dxfId="179" priority="213" operator="equal">
      <formula>"F"</formula>
    </cfRule>
    <cfRule type="cellIs" dxfId="178" priority="214" operator="equal">
      <formula>"F"</formula>
    </cfRule>
    <cfRule type="cellIs" dxfId="177" priority="212" operator="equal">
      <formula>"U/P"</formula>
    </cfRule>
  </conditionalFormatting>
  <conditionalFormatting sqref="Z215">
    <cfRule type="cellIs" dxfId="176" priority="724" operator="equal">
      <formula>"U/P"</formula>
    </cfRule>
    <cfRule type="cellIs" dxfId="175" priority="725" operator="equal">
      <formula>"F"</formula>
    </cfRule>
    <cfRule type="cellIs" dxfId="174" priority="726" operator="equal">
      <formula>"F"</formula>
    </cfRule>
  </conditionalFormatting>
  <conditionalFormatting sqref="Z223">
    <cfRule type="cellIs" dxfId="173" priority="707" operator="equal">
      <formula>"F"</formula>
    </cfRule>
    <cfRule type="cellIs" dxfId="172" priority="706" operator="equal">
      <formula>"U/P"</formula>
    </cfRule>
    <cfRule type="cellIs" dxfId="171" priority="708" operator="equal">
      <formula>"F"</formula>
    </cfRule>
  </conditionalFormatting>
  <conditionalFormatting sqref="Z231">
    <cfRule type="cellIs" dxfId="170" priority="666" operator="equal">
      <formula>"F"</formula>
    </cfRule>
    <cfRule type="cellIs" dxfId="169" priority="664" operator="equal">
      <formula>"U/P"</formula>
    </cfRule>
    <cfRule type="cellIs" dxfId="168" priority="665" operator="equal">
      <formula>"F"</formula>
    </cfRule>
  </conditionalFormatting>
  <conditionalFormatting sqref="Z239">
    <cfRule type="cellIs" dxfId="167" priority="623" operator="equal">
      <formula>"F"</formula>
    </cfRule>
    <cfRule type="cellIs" dxfId="166" priority="624" operator="equal">
      <formula>"F"</formula>
    </cfRule>
    <cfRule type="cellIs" dxfId="165" priority="622" operator="equal">
      <formula>"U/P"</formula>
    </cfRule>
  </conditionalFormatting>
  <conditionalFormatting sqref="Z247">
    <cfRule type="cellIs" dxfId="164" priority="582" operator="equal">
      <formula>"F"</formula>
    </cfRule>
    <cfRule type="cellIs" dxfId="163" priority="581" operator="equal">
      <formula>"F"</formula>
    </cfRule>
    <cfRule type="cellIs" dxfId="162" priority="580" operator="equal">
      <formula>"U/P"</formula>
    </cfRule>
  </conditionalFormatting>
  <conditionalFormatting sqref="Z255">
    <cfRule type="cellIs" dxfId="161" priority="538" operator="equal">
      <formula>"U/P"</formula>
    </cfRule>
    <cfRule type="cellIs" dxfId="160" priority="540" operator="equal">
      <formula>"F"</formula>
    </cfRule>
    <cfRule type="cellIs" dxfId="159" priority="539" operator="equal">
      <formula>"F"</formula>
    </cfRule>
  </conditionalFormatting>
  <conditionalFormatting sqref="Z263">
    <cfRule type="cellIs" dxfId="158" priority="141" operator="equal">
      <formula>"F"</formula>
    </cfRule>
    <cfRule type="cellIs" dxfId="157" priority="140" operator="equal">
      <formula>"F"</formula>
    </cfRule>
    <cfRule type="cellIs" dxfId="156" priority="139" operator="equal">
      <formula>"U/P"</formula>
    </cfRule>
  </conditionalFormatting>
  <conditionalFormatting sqref="Z271">
    <cfRule type="cellIs" dxfId="155" priority="456" operator="equal">
      <formula>"F"</formula>
    </cfRule>
    <cfRule type="cellIs" dxfId="154" priority="455" operator="equal">
      <formula>"F"</formula>
    </cfRule>
    <cfRule type="cellIs" dxfId="153" priority="454" operator="equal">
      <formula>"U/P"</formula>
    </cfRule>
  </conditionalFormatting>
  <conditionalFormatting sqref="Z279">
    <cfRule type="cellIs" dxfId="152" priority="412" operator="equal">
      <formula>"U/P"</formula>
    </cfRule>
    <cfRule type="cellIs" dxfId="151" priority="413" operator="equal">
      <formula>"F"</formula>
    </cfRule>
    <cfRule type="cellIs" dxfId="150" priority="414" operator="equal">
      <formula>"F"</formula>
    </cfRule>
  </conditionalFormatting>
  <conditionalFormatting sqref="Z287">
    <cfRule type="cellIs" dxfId="149" priority="370" operator="equal">
      <formula>"U/P"</formula>
    </cfRule>
    <cfRule type="cellIs" dxfId="148" priority="371" operator="equal">
      <formula>"F"</formula>
    </cfRule>
    <cfRule type="cellIs" dxfId="147" priority="372" operator="equal">
      <formula>"F"</formula>
    </cfRule>
  </conditionalFormatting>
  <conditionalFormatting sqref="Z295">
    <cfRule type="cellIs" dxfId="146" priority="69" operator="equal">
      <formula>"F"</formula>
    </cfRule>
    <cfRule type="cellIs" dxfId="145" priority="68" operator="equal">
      <formula>"F"</formula>
    </cfRule>
    <cfRule type="cellIs" dxfId="144" priority="67" operator="equal">
      <formula>"U/P"</formula>
    </cfRule>
  </conditionalFormatting>
  <conditionalFormatting sqref="Z303">
    <cfRule type="cellIs" dxfId="143" priority="286" operator="equal">
      <formula>"U/P"</formula>
    </cfRule>
    <cfRule type="cellIs" dxfId="142" priority="287" operator="equal">
      <formula>"F"</formula>
    </cfRule>
    <cfRule type="cellIs" dxfId="141" priority="288" operator="equal">
      <formula>"F"</formula>
    </cfRule>
  </conditionalFormatting>
  <conditionalFormatting sqref="Z310">
    <cfRule type="cellIs" dxfId="140" priority="250" operator="equal">
      <formula>"U/P"</formula>
    </cfRule>
    <cfRule type="cellIs" dxfId="139" priority="251" operator="equal">
      <formula>"F"</formula>
    </cfRule>
    <cfRule type="cellIs" dxfId="138" priority="252" operator="equal">
      <formula>"F"</formula>
    </cfRule>
  </conditionalFormatting>
  <conditionalFormatting sqref="AB23">
    <cfRule type="cellIs" dxfId="137" priority="1630" operator="equal">
      <formula>"U/P"</formula>
    </cfRule>
    <cfRule type="cellIs" dxfId="136" priority="1631" operator="equal">
      <formula>"F"</formula>
    </cfRule>
    <cfRule type="cellIs" dxfId="135" priority="1632" operator="equal">
      <formula>"F"</formula>
    </cfRule>
  </conditionalFormatting>
  <conditionalFormatting sqref="AB31">
    <cfRule type="cellIs" dxfId="134" priority="1590" operator="equal">
      <formula>"F"</formula>
    </cfRule>
    <cfRule type="cellIs" dxfId="133" priority="1589" operator="equal">
      <formula>"F"</formula>
    </cfRule>
    <cfRule type="cellIs" dxfId="132" priority="1588" operator="equal">
      <formula>"U/P"</formula>
    </cfRule>
  </conditionalFormatting>
  <conditionalFormatting sqref="AB39">
    <cfRule type="cellIs" dxfId="131" priority="1548" operator="equal">
      <formula>"F"</formula>
    </cfRule>
    <cfRule type="cellIs" dxfId="130" priority="1547" operator="equal">
      <formula>"F"</formula>
    </cfRule>
    <cfRule type="cellIs" dxfId="129" priority="1546" operator="equal">
      <formula>"U/P"</formula>
    </cfRule>
  </conditionalFormatting>
  <conditionalFormatting sqref="AB47">
    <cfRule type="cellIs" dxfId="128" priority="1504" operator="equal">
      <formula>"U/P"</formula>
    </cfRule>
    <cfRule type="cellIs" dxfId="127" priority="1505" operator="equal">
      <formula>"F"</formula>
    </cfRule>
    <cfRule type="cellIs" dxfId="126" priority="1506" operator="equal">
      <formula>"F"</formula>
    </cfRule>
  </conditionalFormatting>
  <conditionalFormatting sqref="AB55">
    <cfRule type="cellIs" dxfId="125" priority="1462" operator="equal">
      <formula>"U/P"</formula>
    </cfRule>
    <cfRule type="cellIs" dxfId="124" priority="1464" operator="equal">
      <formula>"F"</formula>
    </cfRule>
    <cfRule type="cellIs" dxfId="123" priority="1463" operator="equal">
      <formula>"F"</formula>
    </cfRule>
  </conditionalFormatting>
  <conditionalFormatting sqref="AB63">
    <cfRule type="cellIs" dxfId="122" priority="1422" operator="equal">
      <formula>"F"</formula>
    </cfRule>
    <cfRule type="cellIs" dxfId="121" priority="1420" operator="equal">
      <formula>"U/P"</formula>
    </cfRule>
    <cfRule type="cellIs" dxfId="120" priority="1421" operator="equal">
      <formula>"F"</formula>
    </cfRule>
  </conditionalFormatting>
  <conditionalFormatting sqref="AB71">
    <cfRule type="cellIs" dxfId="119" priority="1378" operator="equal">
      <formula>"U/P"</formula>
    </cfRule>
    <cfRule type="cellIs" dxfId="118" priority="1379" operator="equal">
      <formula>"F"</formula>
    </cfRule>
    <cfRule type="cellIs" dxfId="117" priority="1380" operator="equal">
      <formula>"F"</formula>
    </cfRule>
  </conditionalFormatting>
  <conditionalFormatting sqref="AB79">
    <cfRule type="cellIs" dxfId="116" priority="1338" operator="equal">
      <formula>"F"</formula>
    </cfRule>
    <cfRule type="cellIs" dxfId="115" priority="1337" operator="equal">
      <formula>"F"</formula>
    </cfRule>
    <cfRule type="cellIs" dxfId="114" priority="1336" operator="equal">
      <formula>"U/P"</formula>
    </cfRule>
  </conditionalFormatting>
  <conditionalFormatting sqref="AB87">
    <cfRule type="cellIs" dxfId="113" priority="1294" operator="equal">
      <formula>"U/P"</formula>
    </cfRule>
    <cfRule type="cellIs" dxfId="112" priority="1296" operator="equal">
      <formula>"F"</formula>
    </cfRule>
    <cfRule type="cellIs" dxfId="111" priority="1295" operator="equal">
      <formula>"F"</formula>
    </cfRule>
  </conditionalFormatting>
  <conditionalFormatting sqref="AB95">
    <cfRule type="cellIs" dxfId="110" priority="1252" operator="equal">
      <formula>"U/P"</formula>
    </cfRule>
    <cfRule type="cellIs" dxfId="109" priority="1254" operator="equal">
      <formula>"F"</formula>
    </cfRule>
    <cfRule type="cellIs" dxfId="108" priority="1253" operator="equal">
      <formula>"F"</formula>
    </cfRule>
  </conditionalFormatting>
  <conditionalFormatting sqref="AB103">
    <cfRule type="cellIs" dxfId="107" priority="1213" operator="equal">
      <formula>"U/P"</formula>
    </cfRule>
    <cfRule type="cellIs" dxfId="106" priority="1214" operator="equal">
      <formula>"F"</formula>
    </cfRule>
    <cfRule type="cellIs" dxfId="105" priority="1215" operator="equal">
      <formula>"F"</formula>
    </cfRule>
  </conditionalFormatting>
  <conditionalFormatting sqref="AB111">
    <cfRule type="cellIs" dxfId="104" priority="1174" operator="equal">
      <formula>"U/P"</formula>
    </cfRule>
    <cfRule type="cellIs" dxfId="103" priority="1175" operator="equal">
      <formula>"F"</formula>
    </cfRule>
    <cfRule type="cellIs" dxfId="102" priority="1176" operator="equal">
      <formula>"F"</formula>
    </cfRule>
  </conditionalFormatting>
  <conditionalFormatting sqref="AB119">
    <cfRule type="cellIs" dxfId="101" priority="1134" operator="equal">
      <formula>"F"</formula>
    </cfRule>
    <cfRule type="cellIs" dxfId="100" priority="1132" operator="equal">
      <formula>"U/P"</formula>
    </cfRule>
    <cfRule type="cellIs" dxfId="99" priority="1133" operator="equal">
      <formula>"F"</formula>
    </cfRule>
  </conditionalFormatting>
  <conditionalFormatting sqref="AB127">
    <cfRule type="cellIs" dxfId="98" priority="1096" operator="equal">
      <formula>"U/P"</formula>
    </cfRule>
    <cfRule type="cellIs" dxfId="97" priority="1097" operator="equal">
      <formula>"F"</formula>
    </cfRule>
    <cfRule type="cellIs" dxfId="96" priority="1098" operator="equal">
      <formula>"F"</formula>
    </cfRule>
  </conditionalFormatting>
  <conditionalFormatting sqref="AB135">
    <cfRule type="cellIs" dxfId="95" priority="1764" operator="equal">
      <formula>"F"</formula>
    </cfRule>
    <cfRule type="cellIs" dxfId="94" priority="1762" operator="equal">
      <formula>"U/P"</formula>
    </cfRule>
    <cfRule type="cellIs" dxfId="93" priority="1763" operator="equal">
      <formula>"F"</formula>
    </cfRule>
  </conditionalFormatting>
  <conditionalFormatting sqref="AB143">
    <cfRule type="cellIs" dxfId="92" priority="1748" operator="equal">
      <formula>"F"</formula>
    </cfRule>
    <cfRule type="cellIs" dxfId="91" priority="1747" operator="equal">
      <formula>"U/P"</formula>
    </cfRule>
    <cfRule type="cellIs" dxfId="90" priority="1749" operator="equal">
      <formula>"F"</formula>
    </cfRule>
  </conditionalFormatting>
  <conditionalFormatting sqref="AB151">
    <cfRule type="cellIs" dxfId="89" priority="761" operator="equal">
      <formula>"F"</formula>
    </cfRule>
    <cfRule type="cellIs" dxfId="88" priority="760" operator="equal">
      <formula>"U/P"</formula>
    </cfRule>
    <cfRule type="cellIs" dxfId="87" priority="762" operator="equal">
      <formula>"F"</formula>
    </cfRule>
  </conditionalFormatting>
  <conditionalFormatting sqref="AB159">
    <cfRule type="cellIs" dxfId="86" priority="971" operator="equal">
      <formula>"F"</formula>
    </cfRule>
    <cfRule type="cellIs" dxfId="85" priority="972" operator="equal">
      <formula>"F"</formula>
    </cfRule>
    <cfRule type="cellIs" dxfId="84" priority="970" operator="equal">
      <formula>"U/P"</formula>
    </cfRule>
  </conditionalFormatting>
  <conditionalFormatting sqref="AB167">
    <cfRule type="cellIs" dxfId="83" priority="928" operator="equal">
      <formula>"U/P"</formula>
    </cfRule>
    <cfRule type="cellIs" dxfId="82" priority="930" operator="equal">
      <formula>"F"</formula>
    </cfRule>
    <cfRule type="cellIs" dxfId="81" priority="929" operator="equal">
      <formula>"F"</formula>
    </cfRule>
  </conditionalFormatting>
  <conditionalFormatting sqref="AB175">
    <cfRule type="cellIs" dxfId="80" priority="888" operator="equal">
      <formula>"F"</formula>
    </cfRule>
    <cfRule type="cellIs" dxfId="79" priority="887" operator="equal">
      <formula>"F"</formula>
    </cfRule>
    <cfRule type="cellIs" dxfId="78" priority="886" operator="equal">
      <formula>"U/P"</formula>
    </cfRule>
  </conditionalFormatting>
  <conditionalFormatting sqref="AB183">
    <cfRule type="cellIs" dxfId="77" priority="204" operator="equal">
      <formula>"F"</formula>
    </cfRule>
    <cfRule type="cellIs" dxfId="76" priority="203" operator="equal">
      <formula>"U/P"</formula>
    </cfRule>
    <cfRule type="cellIs" dxfId="75" priority="205" operator="equal">
      <formula>"F"</formula>
    </cfRule>
  </conditionalFormatting>
  <conditionalFormatting sqref="AB191">
    <cfRule type="cellIs" dxfId="74" priority="826" operator="equal">
      <formula>"U/P"</formula>
    </cfRule>
    <cfRule type="cellIs" dxfId="73" priority="827" operator="equal">
      <formula>"F"</formula>
    </cfRule>
    <cfRule type="cellIs" dxfId="72" priority="828" operator="equal">
      <formula>"F"</formula>
    </cfRule>
  </conditionalFormatting>
  <conditionalFormatting sqref="AB199">
    <cfRule type="cellIs" dxfId="71" priority="1701" operator="equal">
      <formula>"F"</formula>
    </cfRule>
    <cfRule type="cellIs" dxfId="70" priority="1700" operator="equal">
      <formula>"F"</formula>
    </cfRule>
    <cfRule type="cellIs" dxfId="69" priority="1699" operator="equal">
      <formula>"U/P"</formula>
    </cfRule>
  </conditionalFormatting>
  <conditionalFormatting sqref="AB207">
    <cfRule type="cellIs" dxfId="68" priority="1678" operator="equal">
      <formula>"U/P"</formula>
    </cfRule>
    <cfRule type="cellIs" dxfId="67" priority="1680" operator="equal">
      <formula>"F"</formula>
    </cfRule>
    <cfRule type="cellIs" dxfId="66" priority="1679" operator="equal">
      <formula>"F"</formula>
    </cfRule>
  </conditionalFormatting>
  <conditionalFormatting sqref="AB215">
    <cfRule type="cellIs" dxfId="65" priority="721" operator="equal">
      <formula>"U/P"</formula>
    </cfRule>
    <cfRule type="cellIs" dxfId="64" priority="723" operator="equal">
      <formula>"F"</formula>
    </cfRule>
    <cfRule type="cellIs" dxfId="63" priority="722" operator="equal">
      <formula>"F"</formula>
    </cfRule>
  </conditionalFormatting>
  <conditionalFormatting sqref="AB223">
    <cfRule type="cellIs" dxfId="62" priority="703" operator="equal">
      <formula>"U/P"</formula>
    </cfRule>
    <cfRule type="cellIs" dxfId="61" priority="705" operator="equal">
      <formula>"F"</formula>
    </cfRule>
    <cfRule type="cellIs" dxfId="60" priority="704" operator="equal">
      <formula>"F"</formula>
    </cfRule>
  </conditionalFormatting>
  <conditionalFormatting sqref="AB231">
    <cfRule type="cellIs" dxfId="59" priority="663" operator="equal">
      <formula>"F"</formula>
    </cfRule>
    <cfRule type="cellIs" dxfId="58" priority="662" operator="equal">
      <formula>"F"</formula>
    </cfRule>
    <cfRule type="cellIs" dxfId="57" priority="661" operator="equal">
      <formula>"U/P"</formula>
    </cfRule>
  </conditionalFormatting>
  <conditionalFormatting sqref="AB239">
    <cfRule type="cellIs" dxfId="56" priority="621" operator="equal">
      <formula>"F"</formula>
    </cfRule>
    <cfRule type="cellIs" dxfId="55" priority="619" operator="equal">
      <formula>"U/P"</formula>
    </cfRule>
    <cfRule type="cellIs" dxfId="54" priority="620" operator="equal">
      <formula>"F"</formula>
    </cfRule>
  </conditionalFormatting>
  <conditionalFormatting sqref="AB247">
    <cfRule type="cellIs" dxfId="53" priority="579" operator="equal">
      <formula>"F"</formula>
    </cfRule>
    <cfRule type="cellIs" dxfId="52" priority="578" operator="equal">
      <formula>"F"</formula>
    </cfRule>
    <cfRule type="cellIs" dxfId="51" priority="577" operator="equal">
      <formula>"U/P"</formula>
    </cfRule>
  </conditionalFormatting>
  <conditionalFormatting sqref="AB255">
    <cfRule type="cellIs" dxfId="50" priority="536" operator="equal">
      <formula>"F"</formula>
    </cfRule>
    <cfRule type="cellIs" dxfId="49" priority="537" operator="equal">
      <formula>"F"</formula>
    </cfRule>
    <cfRule type="cellIs" dxfId="48" priority="535" operator="equal">
      <formula>"U/P"</formula>
    </cfRule>
  </conditionalFormatting>
  <conditionalFormatting sqref="AB263">
    <cfRule type="cellIs" dxfId="47" priority="136" operator="equal">
      <formula>"U/P"</formula>
    </cfRule>
    <cfRule type="cellIs" dxfId="46" priority="137" operator="equal">
      <formula>"F"</formula>
    </cfRule>
    <cfRule type="cellIs" dxfId="45" priority="138" operator="equal">
      <formula>"F"</formula>
    </cfRule>
  </conditionalFormatting>
  <conditionalFormatting sqref="AB271">
    <cfRule type="cellIs" dxfId="44" priority="451" operator="equal">
      <formula>"U/P"</formula>
    </cfRule>
    <cfRule type="cellIs" dxfId="43" priority="453" operator="equal">
      <formula>"F"</formula>
    </cfRule>
    <cfRule type="cellIs" dxfId="42" priority="452" operator="equal">
      <formula>"F"</formula>
    </cfRule>
  </conditionalFormatting>
  <conditionalFormatting sqref="AB279">
    <cfRule type="cellIs" dxfId="41" priority="411" operator="equal">
      <formula>"F"</formula>
    </cfRule>
    <cfRule type="cellIs" dxfId="40" priority="409" operator="equal">
      <formula>"U/P"</formula>
    </cfRule>
    <cfRule type="cellIs" dxfId="39" priority="410" operator="equal">
      <formula>"F"</formula>
    </cfRule>
  </conditionalFormatting>
  <conditionalFormatting sqref="AB287">
    <cfRule type="cellIs" dxfId="38" priority="368" operator="equal">
      <formula>"F"</formula>
    </cfRule>
    <cfRule type="cellIs" dxfId="37" priority="367" operator="equal">
      <formula>"U/P"</formula>
    </cfRule>
    <cfRule type="cellIs" dxfId="36" priority="369" operator="equal">
      <formula>"F"</formula>
    </cfRule>
  </conditionalFormatting>
  <conditionalFormatting sqref="AB295">
    <cfRule type="cellIs" dxfId="35" priority="325" operator="equal">
      <formula>"U/P"</formula>
    </cfRule>
    <cfRule type="cellIs" dxfId="34" priority="327" operator="equal">
      <formula>"F"</formula>
    </cfRule>
    <cfRule type="cellIs" dxfId="33" priority="326" operator="equal">
      <formula>"F"</formula>
    </cfRule>
  </conditionalFormatting>
  <conditionalFormatting sqref="AB303">
    <cfRule type="cellIs" dxfId="32" priority="283" operator="equal">
      <formula>"U/P"</formula>
    </cfRule>
    <cfRule type="cellIs" dxfId="31" priority="284" operator="equal">
      <formula>"F"</formula>
    </cfRule>
    <cfRule type="cellIs" dxfId="30" priority="285" operator="equal">
      <formula>"F"</formula>
    </cfRule>
  </conditionalFormatting>
  <conditionalFormatting sqref="AB310">
    <cfRule type="cellIs" dxfId="29" priority="249" operator="equal">
      <formula>"F"</formula>
    </cfRule>
    <cfRule type="cellIs" dxfId="28" priority="247" operator="equal">
      <formula>"U/P"</formula>
    </cfRule>
    <cfRule type="cellIs" dxfId="27" priority="248" operator="equal">
      <formula>"F"</formula>
    </cfRule>
  </conditionalFormatting>
  <conditionalFormatting sqref="AD103">
    <cfRule type="cellIs" dxfId="26" priority="1210" operator="equal">
      <formula>"U/P"</formula>
    </cfRule>
    <cfRule type="cellIs" dxfId="25" priority="1211" operator="equal">
      <formula>"F"</formula>
    </cfRule>
    <cfRule type="cellIs" dxfId="24" priority="1212" operator="equal">
      <formula>"F"</formula>
    </cfRule>
  </conditionalFormatting>
  <conditionalFormatting sqref="AD263">
    <cfRule type="cellIs" dxfId="23" priority="164" operator="equal">
      <formula>"F"</formula>
    </cfRule>
    <cfRule type="cellIs" dxfId="22" priority="165" operator="equal">
      <formula>"F"</formula>
    </cfRule>
    <cfRule type="cellIs" dxfId="21" priority="163" operator="equal">
      <formula>"U/P"</formula>
    </cfRule>
  </conditionalFormatting>
  <conditionalFormatting sqref="AD295">
    <cfRule type="cellIs" dxfId="20" priority="121" operator="equal">
      <formula>"U/P"</formula>
    </cfRule>
    <cfRule type="cellIs" dxfId="19" priority="123" operator="equal">
      <formula>"F"</formula>
    </cfRule>
    <cfRule type="cellIs" dxfId="18" priority="122" operator="equal">
      <formula>"F"</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32" t="s">
        <v>82</v>
      </c>
      <c r="C3" s="432" t="s">
        <v>1119</v>
      </c>
      <c r="D3" s="432" t="s">
        <v>1092</v>
      </c>
      <c r="E3" s="432" t="s">
        <v>1120</v>
      </c>
      <c r="F3" s="436" t="s">
        <v>1121</v>
      </c>
      <c r="G3" s="436" t="s">
        <v>1122</v>
      </c>
    </row>
    <row r="4" spans="2:7">
      <c r="B4" s="323">
        <v>1</v>
      </c>
      <c r="C4" s="324" t="s">
        <v>225</v>
      </c>
      <c r="D4" s="324" t="s">
        <v>185</v>
      </c>
      <c r="E4" s="433" t="s">
        <v>210</v>
      </c>
      <c r="F4" s="310">
        <v>1.86</v>
      </c>
      <c r="G4" s="437">
        <v>12.47</v>
      </c>
    </row>
    <row r="5" spans="2:7">
      <c r="B5" s="323">
        <f>B4+1</f>
        <v>2</v>
      </c>
      <c r="C5" s="324" t="s">
        <v>231</v>
      </c>
      <c r="D5" s="324" t="s">
        <v>182</v>
      </c>
      <c r="E5" s="433" t="s">
        <v>210</v>
      </c>
      <c r="F5" s="310">
        <v>1.57</v>
      </c>
      <c r="G5" s="310">
        <v>11.05</v>
      </c>
    </row>
    <row r="6" spans="2:7">
      <c r="B6" s="323">
        <f t="shared" ref="B6:B41" si="0">B5+1</f>
        <v>3</v>
      </c>
      <c r="C6" s="324" t="s">
        <v>209</v>
      </c>
      <c r="D6" s="324" t="s">
        <v>182</v>
      </c>
      <c r="E6" s="433" t="s">
        <v>210</v>
      </c>
      <c r="F6" s="310">
        <v>1.57</v>
      </c>
      <c r="G6" s="310">
        <v>11.05</v>
      </c>
    </row>
    <row r="7" spans="2:7">
      <c r="B7" s="323">
        <f t="shared" si="0"/>
        <v>4</v>
      </c>
      <c r="C7" s="314" t="s">
        <v>212</v>
      </c>
      <c r="D7" s="314" t="s">
        <v>182</v>
      </c>
      <c r="E7" s="434" t="s">
        <v>210</v>
      </c>
      <c r="F7" s="310">
        <v>1.57</v>
      </c>
      <c r="G7" s="310">
        <v>11.05</v>
      </c>
    </row>
    <row r="8" spans="2:7">
      <c r="B8" s="323">
        <f t="shared" si="0"/>
        <v>5</v>
      </c>
      <c r="C8" s="314" t="s">
        <v>213</v>
      </c>
      <c r="D8" s="314" t="s">
        <v>182</v>
      </c>
      <c r="E8" s="434" t="s">
        <v>210</v>
      </c>
      <c r="F8" s="310">
        <v>1.57</v>
      </c>
      <c r="G8" s="310">
        <v>11.05</v>
      </c>
    </row>
    <row r="9" spans="2:7">
      <c r="B9" s="323">
        <f t="shared" si="0"/>
        <v>6</v>
      </c>
      <c r="C9" s="314" t="s">
        <v>214</v>
      </c>
      <c r="D9" s="314" t="s">
        <v>185</v>
      </c>
      <c r="E9" s="434" t="s">
        <v>210</v>
      </c>
      <c r="F9" s="310">
        <v>1.86</v>
      </c>
      <c r="G9" s="437">
        <v>12.47</v>
      </c>
    </row>
    <row r="10" spans="2:7">
      <c r="B10" s="323">
        <f t="shared" si="0"/>
        <v>7</v>
      </c>
      <c r="C10" s="314" t="s">
        <v>236</v>
      </c>
      <c r="D10" s="314" t="s">
        <v>182</v>
      </c>
      <c r="E10" s="434" t="s">
        <v>210</v>
      </c>
      <c r="F10" s="310">
        <v>1.57</v>
      </c>
      <c r="G10" s="310">
        <v>11.05</v>
      </c>
    </row>
    <row r="11" spans="2:7">
      <c r="B11" s="323">
        <f t="shared" si="0"/>
        <v>8</v>
      </c>
      <c r="C11" s="314" t="s">
        <v>237</v>
      </c>
      <c r="D11" s="314" t="s">
        <v>182</v>
      </c>
      <c r="E11" s="434" t="s">
        <v>210</v>
      </c>
      <c r="F11" s="310">
        <v>1.57</v>
      </c>
      <c r="G11" s="310">
        <v>11.05</v>
      </c>
    </row>
    <row r="12" spans="2:7">
      <c r="B12" s="323">
        <f t="shared" si="0"/>
        <v>9</v>
      </c>
      <c r="C12" s="314" t="s">
        <v>215</v>
      </c>
      <c r="D12" s="314" t="s">
        <v>182</v>
      </c>
      <c r="E12" s="434" t="s">
        <v>210</v>
      </c>
      <c r="F12" s="310">
        <v>1.57</v>
      </c>
      <c r="G12" s="310">
        <v>11.05</v>
      </c>
    </row>
    <row r="13" spans="2:7">
      <c r="B13" s="323">
        <f t="shared" si="0"/>
        <v>10</v>
      </c>
      <c r="C13" s="314" t="s">
        <v>216</v>
      </c>
      <c r="D13" s="314" t="s">
        <v>185</v>
      </c>
      <c r="E13" s="434" t="s">
        <v>210</v>
      </c>
      <c r="F13" s="310">
        <v>1.86</v>
      </c>
      <c r="G13" s="437">
        <v>12.47</v>
      </c>
    </row>
    <row r="14" spans="2:7">
      <c r="B14" s="323">
        <f t="shared" si="0"/>
        <v>11</v>
      </c>
      <c r="C14" s="314" t="s">
        <v>239</v>
      </c>
      <c r="D14" s="314" t="s">
        <v>182</v>
      </c>
      <c r="E14" s="434" t="s">
        <v>210</v>
      </c>
      <c r="F14" s="310">
        <v>1.57</v>
      </c>
      <c r="G14" s="310">
        <v>11.05</v>
      </c>
    </row>
    <row r="15" spans="2:7">
      <c r="B15" s="323">
        <f t="shared" si="0"/>
        <v>12</v>
      </c>
      <c r="C15" s="314" t="s">
        <v>240</v>
      </c>
      <c r="D15" s="314" t="s">
        <v>185</v>
      </c>
      <c r="E15" s="434" t="s">
        <v>210</v>
      </c>
      <c r="F15" s="310">
        <v>1.86</v>
      </c>
      <c r="G15" s="437">
        <v>12.47</v>
      </c>
    </row>
    <row r="16" spans="2:7">
      <c r="B16" s="323">
        <f t="shared" si="0"/>
        <v>13</v>
      </c>
      <c r="C16" s="314" t="s">
        <v>241</v>
      </c>
      <c r="D16" s="314" t="s">
        <v>242</v>
      </c>
      <c r="E16" s="434" t="s">
        <v>210</v>
      </c>
      <c r="F16" s="310">
        <v>1.86</v>
      </c>
      <c r="G16" s="437">
        <v>12.47</v>
      </c>
    </row>
    <row r="17" spans="2:7">
      <c r="B17" s="323">
        <f t="shared" si="0"/>
        <v>14</v>
      </c>
      <c r="C17" s="324" t="s">
        <v>251</v>
      </c>
      <c r="D17" s="324" t="s">
        <v>248</v>
      </c>
      <c r="E17" s="433" t="s">
        <v>210</v>
      </c>
      <c r="F17" s="310">
        <v>1.86</v>
      </c>
      <c r="G17" s="437">
        <v>12.47</v>
      </c>
    </row>
    <row r="18" spans="2:7">
      <c r="B18" s="323">
        <f t="shared" si="0"/>
        <v>15</v>
      </c>
      <c r="C18" s="314" t="s">
        <v>244</v>
      </c>
      <c r="D18" s="314" t="s">
        <v>182</v>
      </c>
      <c r="E18" s="434" t="s">
        <v>210</v>
      </c>
      <c r="F18" s="310">
        <v>1.57</v>
      </c>
      <c r="G18" s="310">
        <v>11.05</v>
      </c>
    </row>
    <row r="19" spans="2:7">
      <c r="B19" s="323">
        <f t="shared" si="0"/>
        <v>16</v>
      </c>
      <c r="C19" s="326" t="s">
        <v>253</v>
      </c>
      <c r="D19" s="314" t="s">
        <v>248</v>
      </c>
      <c r="E19" s="434" t="s">
        <v>210</v>
      </c>
      <c r="F19" s="310">
        <v>1.86</v>
      </c>
      <c r="G19" s="437">
        <v>12.47</v>
      </c>
    </row>
    <row r="20" spans="2:7">
      <c r="B20" s="323">
        <f t="shared" si="0"/>
        <v>17</v>
      </c>
      <c r="C20" s="328" t="s">
        <v>217</v>
      </c>
      <c r="D20" s="324" t="s">
        <v>182</v>
      </c>
      <c r="E20" s="433" t="s">
        <v>292</v>
      </c>
      <c r="F20" s="310">
        <v>1.08</v>
      </c>
      <c r="G20" s="310">
        <v>8.68</v>
      </c>
    </row>
    <row r="21" spans="2:7">
      <c r="B21" s="323">
        <f t="shared" si="0"/>
        <v>18</v>
      </c>
      <c r="C21" s="328" t="s">
        <v>259</v>
      </c>
      <c r="D21" s="324" t="s">
        <v>248</v>
      </c>
      <c r="E21" s="433" t="s">
        <v>210</v>
      </c>
      <c r="F21" s="310">
        <v>1.86</v>
      </c>
      <c r="G21" s="437">
        <v>12.47</v>
      </c>
    </row>
    <row r="22" spans="2:7">
      <c r="B22" s="323">
        <f t="shared" si="0"/>
        <v>19</v>
      </c>
      <c r="C22" s="329" t="s">
        <v>247</v>
      </c>
      <c r="D22" s="324" t="s">
        <v>248</v>
      </c>
      <c r="E22" s="433" t="s">
        <v>210</v>
      </c>
      <c r="F22" s="310">
        <v>1.86</v>
      </c>
      <c r="G22" s="437">
        <v>12.47</v>
      </c>
    </row>
    <row r="23" spans="2:7">
      <c r="B23" s="323">
        <f t="shared" si="0"/>
        <v>20</v>
      </c>
      <c r="C23" s="330" t="s">
        <v>257</v>
      </c>
      <c r="D23" s="314" t="s">
        <v>248</v>
      </c>
      <c r="E23" s="434" t="s">
        <v>210</v>
      </c>
      <c r="F23" s="310">
        <v>1.86</v>
      </c>
      <c r="G23" s="437">
        <v>12.47</v>
      </c>
    </row>
    <row r="24" spans="2:7">
      <c r="B24" s="323">
        <f t="shared" si="0"/>
        <v>21</v>
      </c>
      <c r="C24" s="331" t="s">
        <v>262</v>
      </c>
      <c r="D24" s="314" t="s">
        <v>242</v>
      </c>
      <c r="E24" s="434" t="s">
        <v>210</v>
      </c>
      <c r="F24" s="310">
        <v>1.86</v>
      </c>
      <c r="G24" s="437">
        <v>12.47</v>
      </c>
    </row>
    <row r="25" spans="2:7">
      <c r="B25" s="323">
        <f t="shared" si="0"/>
        <v>22</v>
      </c>
      <c r="C25" s="332" t="s">
        <v>263</v>
      </c>
      <c r="D25" s="314" t="s">
        <v>242</v>
      </c>
      <c r="E25" s="434" t="s">
        <v>210</v>
      </c>
      <c r="F25" s="310">
        <v>1.86</v>
      </c>
      <c r="G25" s="437">
        <v>12.47</v>
      </c>
    </row>
    <row r="26" spans="2:7">
      <c r="B26" s="323">
        <f t="shared" si="0"/>
        <v>23</v>
      </c>
      <c r="C26" s="329" t="s">
        <v>293</v>
      </c>
      <c r="D26" s="324" t="s">
        <v>182</v>
      </c>
      <c r="E26" s="433" t="s">
        <v>210</v>
      </c>
      <c r="F26" s="310">
        <v>1.57</v>
      </c>
      <c r="G26" s="310">
        <v>11.05</v>
      </c>
    </row>
    <row r="27" spans="2:7">
      <c r="B27" s="323">
        <f t="shared" si="0"/>
        <v>24</v>
      </c>
      <c r="C27" s="316" t="s">
        <v>294</v>
      </c>
      <c r="D27" s="316" t="s">
        <v>182</v>
      </c>
      <c r="E27" s="434" t="s">
        <v>210</v>
      </c>
      <c r="F27" s="310">
        <v>1.57</v>
      </c>
      <c r="G27" s="310">
        <v>11.05</v>
      </c>
    </row>
    <row r="28" spans="2:7">
      <c r="B28" s="323">
        <f t="shared" si="0"/>
        <v>25</v>
      </c>
      <c r="C28" s="316" t="s">
        <v>279</v>
      </c>
      <c r="D28" s="316" t="s">
        <v>242</v>
      </c>
      <c r="E28" s="434" t="s">
        <v>210</v>
      </c>
      <c r="F28" s="310">
        <v>1.86</v>
      </c>
      <c r="G28" s="437">
        <v>12.47</v>
      </c>
    </row>
    <row r="29" spans="2:7">
      <c r="B29" s="323">
        <f t="shared" si="0"/>
        <v>26</v>
      </c>
      <c r="C29" s="316" t="s">
        <v>260</v>
      </c>
      <c r="D29" s="316" t="s">
        <v>182</v>
      </c>
      <c r="E29" s="434" t="s">
        <v>210</v>
      </c>
      <c r="F29" s="310">
        <v>1.57</v>
      </c>
      <c r="G29" s="310">
        <v>11.05</v>
      </c>
    </row>
    <row r="30" spans="2:7">
      <c r="B30" s="323">
        <f t="shared" si="0"/>
        <v>27</v>
      </c>
      <c r="C30" s="316" t="s">
        <v>276</v>
      </c>
      <c r="D30" s="316" t="s">
        <v>182</v>
      </c>
      <c r="E30" s="434" t="s">
        <v>210</v>
      </c>
      <c r="F30" s="310">
        <v>1.57</v>
      </c>
      <c r="G30" s="310">
        <v>11.05</v>
      </c>
    </row>
    <row r="31" spans="2:7">
      <c r="B31" s="323">
        <f t="shared" si="0"/>
        <v>28</v>
      </c>
      <c r="C31" s="316" t="s">
        <v>268</v>
      </c>
      <c r="D31" s="316" t="s">
        <v>185</v>
      </c>
      <c r="E31" s="434" t="s">
        <v>210</v>
      </c>
      <c r="F31" s="310">
        <v>1.86</v>
      </c>
      <c r="G31" s="437">
        <v>12.47</v>
      </c>
    </row>
    <row r="32" spans="2:7">
      <c r="B32" s="323">
        <f t="shared" si="0"/>
        <v>29</v>
      </c>
      <c r="C32" s="316" t="s">
        <v>274</v>
      </c>
      <c r="D32" s="316" t="s">
        <v>248</v>
      </c>
      <c r="E32" s="434" t="s">
        <v>210</v>
      </c>
      <c r="F32" s="310">
        <v>1.86</v>
      </c>
      <c r="G32" s="437">
        <v>12.47</v>
      </c>
    </row>
    <row r="33" spans="2:9">
      <c r="B33" s="323">
        <f t="shared" si="0"/>
        <v>30</v>
      </c>
      <c r="C33" s="316" t="s">
        <v>261</v>
      </c>
      <c r="D33" s="316" t="s">
        <v>248</v>
      </c>
      <c r="E33" s="434" t="s">
        <v>210</v>
      </c>
      <c r="F33" s="310">
        <v>1.86</v>
      </c>
      <c r="G33" s="437">
        <v>12.47</v>
      </c>
    </row>
    <row r="34" spans="2:9">
      <c r="B34" s="323">
        <f t="shared" si="0"/>
        <v>31</v>
      </c>
      <c r="C34" s="316" t="s">
        <v>275</v>
      </c>
      <c r="D34" s="316" t="s">
        <v>248</v>
      </c>
      <c r="E34" s="434" t="s">
        <v>210</v>
      </c>
      <c r="F34" s="310">
        <v>1.86</v>
      </c>
      <c r="G34" s="437">
        <v>12.47</v>
      </c>
    </row>
    <row r="35" spans="2:9">
      <c r="B35" s="323">
        <f t="shared" si="0"/>
        <v>32</v>
      </c>
      <c r="C35" s="316" t="s">
        <v>258</v>
      </c>
      <c r="D35" s="316" t="s">
        <v>182</v>
      </c>
      <c r="E35" s="434" t="s">
        <v>210</v>
      </c>
      <c r="F35" s="310">
        <v>1.57</v>
      </c>
      <c r="G35" s="310">
        <v>11.05</v>
      </c>
    </row>
    <row r="36" spans="2:9">
      <c r="B36" s="323">
        <f t="shared" si="0"/>
        <v>33</v>
      </c>
      <c r="C36" s="316" t="s">
        <v>277</v>
      </c>
      <c r="D36" s="316" t="s">
        <v>185</v>
      </c>
      <c r="E36" s="435" t="s">
        <v>210</v>
      </c>
      <c r="F36" s="310">
        <v>1.86</v>
      </c>
      <c r="G36" s="437">
        <v>12.47</v>
      </c>
    </row>
    <row r="37" spans="2:9">
      <c r="B37" s="323">
        <f t="shared" si="0"/>
        <v>34</v>
      </c>
      <c r="C37" s="316" t="s">
        <v>285</v>
      </c>
      <c r="D37" s="316" t="s">
        <v>185</v>
      </c>
      <c r="E37" s="435" t="s">
        <v>210</v>
      </c>
      <c r="F37" s="310">
        <v>1.86</v>
      </c>
      <c r="G37" s="437">
        <v>12.47</v>
      </c>
    </row>
    <row r="38" spans="2:9">
      <c r="B38" s="323">
        <f t="shared" si="0"/>
        <v>35</v>
      </c>
      <c r="C38" s="316" t="s">
        <v>289</v>
      </c>
      <c r="D38" s="316" t="s">
        <v>182</v>
      </c>
      <c r="E38" s="434" t="s">
        <v>292</v>
      </c>
      <c r="F38" s="310">
        <v>1.08</v>
      </c>
      <c r="G38" s="310">
        <v>8.68</v>
      </c>
      <c r="I38" s="432" t="s">
        <v>1123</v>
      </c>
    </row>
    <row r="39" spans="2:9">
      <c r="B39" s="323">
        <f t="shared" si="0"/>
        <v>36</v>
      </c>
      <c r="C39" s="316" t="s">
        <v>280</v>
      </c>
      <c r="D39" s="316" t="s">
        <v>248</v>
      </c>
      <c r="E39" s="435" t="s">
        <v>210</v>
      </c>
      <c r="F39" s="310">
        <v>1.86</v>
      </c>
      <c r="G39" s="437">
        <v>12.47</v>
      </c>
    </row>
    <row r="40" spans="2:9">
      <c r="B40" s="323">
        <f t="shared" si="0"/>
        <v>37</v>
      </c>
      <c r="C40" s="316" t="s">
        <v>284</v>
      </c>
      <c r="D40" s="316" t="s">
        <v>185</v>
      </c>
      <c r="E40" s="435" t="s">
        <v>210</v>
      </c>
      <c r="F40" s="310">
        <v>1.86</v>
      </c>
      <c r="G40" s="437">
        <v>12.47</v>
      </c>
    </row>
    <row r="41" spans="2:9">
      <c r="B41" s="323">
        <f t="shared" si="0"/>
        <v>38</v>
      </c>
      <c r="C41" s="316" t="s">
        <v>355</v>
      </c>
      <c r="D41" s="316" t="s">
        <v>248</v>
      </c>
      <c r="E41" s="435" t="s">
        <v>210</v>
      </c>
      <c r="F41" s="310">
        <v>1.86</v>
      </c>
      <c r="G41" s="437">
        <v>12.47</v>
      </c>
    </row>
    <row r="42" spans="2:9">
      <c r="F42">
        <f>SUM(F4:F41)</f>
        <v>65.059999999999988</v>
      </c>
      <c r="G42">
        <f>SUM(G4:G41)</f>
        <v>446.40000000000038</v>
      </c>
      <c r="H42">
        <f>SUM(F42:G42)</f>
        <v>511.46000000000038</v>
      </c>
    </row>
  </sheetData>
  <conditionalFormatting sqref="C4:C41">
    <cfRule type="duplicateValues" dxfId="17" priority="266"/>
  </conditionalFormatting>
  <conditionalFormatting sqref="C6:C26">
    <cfRule type="duplicateValues" dxfId="16" priority="21"/>
  </conditionalFormatting>
  <conditionalFormatting sqref="C6:C41">
    <cfRule type="duplicateValues" dxfId="15" priority="17"/>
    <cfRule type="duplicateValues" dxfId="14" priority="22" stopIfTrue="1"/>
  </conditionalFormatting>
  <conditionalFormatting sqref="D10">
    <cfRule type="duplicateValues" dxfId="13" priority="8"/>
    <cfRule type="duplicateValues" dxfId="12" priority="9"/>
    <cfRule type="duplicateValues" dxfId="11" priority="10" stopIfTrue="1"/>
  </conditionalFormatting>
  <conditionalFormatting sqref="D11">
    <cfRule type="duplicateValues" dxfId="10" priority="5"/>
    <cfRule type="duplicateValues" dxfId="9" priority="6"/>
    <cfRule type="duplicateValues" dxfId="8" priority="7" stopIfTrue="1"/>
  </conditionalFormatting>
  <conditionalFormatting sqref="D16">
    <cfRule type="duplicateValues" dxfId="7" priority="18"/>
    <cfRule type="duplicateValues" dxfId="6" priority="19"/>
    <cfRule type="duplicateValues" dxfId="5" priority="20" stopIfTrue="1"/>
  </conditionalFormatting>
  <conditionalFormatting sqref="D5:E5">
    <cfRule type="duplicateValues" dxfId="4" priority="260"/>
    <cfRule type="duplicateValues" dxfId="3" priority="261"/>
    <cfRule type="duplicateValues" dxfId="2"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91" t="s">
        <v>298</v>
      </c>
      <c r="B1" s="1591"/>
      <c r="C1" s="1591"/>
      <c r="D1" s="1591"/>
      <c r="E1" s="1591"/>
      <c r="F1" s="1591"/>
      <c r="G1" s="1591"/>
      <c r="H1" s="1591"/>
      <c r="I1" s="1591"/>
      <c r="J1" s="1591"/>
      <c r="K1" s="1591"/>
      <c r="L1" s="1591"/>
      <c r="M1" s="1591"/>
      <c r="N1" s="1591"/>
      <c r="O1" s="1591"/>
      <c r="P1" s="1591"/>
      <c r="Q1" s="1591"/>
      <c r="R1" s="1591"/>
      <c r="S1" s="1591"/>
      <c r="T1" s="1591"/>
      <c r="U1" s="1591"/>
      <c r="V1" s="1592"/>
    </row>
    <row r="2" spans="1:43" ht="15" thickBot="1">
      <c r="A2" s="1593" t="s">
        <v>299</v>
      </c>
      <c r="B2" s="1424"/>
      <c r="C2" s="1424"/>
      <c r="D2" s="1424"/>
      <c r="E2" s="1424"/>
      <c r="F2" s="1424"/>
      <c r="G2" s="1424"/>
      <c r="H2" s="1424"/>
      <c r="I2" s="1424"/>
      <c r="J2" s="1424"/>
      <c r="K2" s="1424"/>
      <c r="L2" s="1424"/>
      <c r="M2" s="1424"/>
      <c r="N2" s="1424"/>
      <c r="O2" s="1424"/>
      <c r="P2" s="1424"/>
      <c r="Q2" s="1424"/>
      <c r="R2" s="1424"/>
      <c r="S2" s="1424"/>
      <c r="T2" s="1424"/>
      <c r="U2" s="1424"/>
      <c r="V2" s="159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86" t="s">
        <v>300</v>
      </c>
      <c r="B4" s="1415"/>
      <c r="C4" s="127"/>
      <c r="D4" s="1587" t="s">
        <v>1086</v>
      </c>
      <c r="E4" s="1588"/>
      <c r="F4" s="1582" t="s">
        <v>302</v>
      </c>
      <c r="G4" s="1584" t="s">
        <v>303</v>
      </c>
      <c r="H4" s="1426" t="s">
        <v>304</v>
      </c>
      <c r="I4" s="1427"/>
      <c r="J4" s="1428"/>
      <c r="K4" s="128" t="s">
        <v>305</v>
      </c>
      <c r="L4" s="1426" t="s">
        <v>306</v>
      </c>
      <c r="M4" s="1427"/>
      <c r="N4" s="1428"/>
      <c r="O4" s="1426" t="s">
        <v>307</v>
      </c>
      <c r="P4" s="1427"/>
      <c r="Q4" s="1428"/>
      <c r="R4" s="1595"/>
      <c r="S4" s="1429"/>
      <c r="T4" s="1429"/>
      <c r="U4" s="166"/>
      <c r="V4" s="167"/>
    </row>
    <row r="5" spans="1:43" ht="14.5" customHeight="1">
      <c r="A5" s="1586"/>
      <c r="B5" s="1415"/>
      <c r="C5" s="127"/>
      <c r="D5" s="1589"/>
      <c r="E5" s="1590"/>
      <c r="F5" s="1583"/>
      <c r="G5" s="158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407" t="s">
        <v>1085</v>
      </c>
      <c r="E6" s="140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404" t="s">
        <v>1087</v>
      </c>
      <c r="AE9" s="404" t="s">
        <v>1088</v>
      </c>
      <c r="AJ9" s="404" t="s">
        <v>1089</v>
      </c>
      <c r="AO9" s="404"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21" t="s">
        <v>1094</v>
      </c>
      <c r="Y10" s="421" t="s">
        <v>1095</v>
      </c>
      <c r="Z10" s="421" t="s">
        <v>1096</v>
      </c>
      <c r="AA10" s="421" t="s">
        <v>1097</v>
      </c>
      <c r="AB10" s="404"/>
      <c r="AC10" s="404"/>
      <c r="AD10" s="421" t="s">
        <v>1094</v>
      </c>
      <c r="AE10" s="421" t="s">
        <v>1095</v>
      </c>
      <c r="AF10" s="421" t="s">
        <v>1096</v>
      </c>
      <c r="AG10" s="421" t="s">
        <v>1097</v>
      </c>
      <c r="AI10" s="421" t="s">
        <v>1094</v>
      </c>
      <c r="AJ10" s="421" t="s">
        <v>1095</v>
      </c>
      <c r="AK10" s="421" t="s">
        <v>1096</v>
      </c>
      <c r="AL10" s="421" t="s">
        <v>1097</v>
      </c>
      <c r="AN10" s="421" t="s">
        <v>1094</v>
      </c>
      <c r="AO10" s="421" t="s">
        <v>1095</v>
      </c>
      <c r="AP10" s="421" t="s">
        <v>1096</v>
      </c>
      <c r="AQ10" s="421"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85" t="s">
        <v>272</v>
      </c>
      <c r="F13" s="145"/>
      <c r="G13" s="385" t="s">
        <v>273</v>
      </c>
      <c r="H13" s="145"/>
      <c r="I13" s="385" t="s">
        <v>311</v>
      </c>
      <c r="J13" s="133"/>
      <c r="K13" s="144" t="s">
        <v>312</v>
      </c>
      <c r="L13" s="133"/>
      <c r="M13" s="385" t="s">
        <v>313</v>
      </c>
      <c r="N13" s="133"/>
      <c r="O13" s="144" t="s">
        <v>314</v>
      </c>
      <c r="P13" s="133"/>
      <c r="Q13" s="144" t="s">
        <v>315</v>
      </c>
      <c r="R13" s="133"/>
      <c r="S13" s="38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85" t="s">
        <v>320</v>
      </c>
      <c r="C22" s="133"/>
      <c r="D22" s="385" t="s">
        <v>321</v>
      </c>
      <c r="E22" s="133"/>
      <c r="F22" s="144" t="s">
        <v>322</v>
      </c>
      <c r="G22" s="133"/>
      <c r="H22" s="144" t="s">
        <v>323</v>
      </c>
      <c r="I22" s="133"/>
      <c r="J22" s="144" t="s">
        <v>324</v>
      </c>
      <c r="K22" s="133"/>
      <c r="L22" s="385" t="s">
        <v>325</v>
      </c>
      <c r="M22" s="133"/>
      <c r="N22" s="144" t="s">
        <v>326</v>
      </c>
      <c r="O22" s="133"/>
      <c r="P22" s="385" t="s">
        <v>327</v>
      </c>
      <c r="Q22" s="133"/>
      <c r="R22" s="38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85" t="s">
        <v>335</v>
      </c>
      <c r="G31" s="133"/>
      <c r="H31" s="144" t="s">
        <v>336</v>
      </c>
      <c r="I31" s="133"/>
      <c r="J31" s="385" t="s">
        <v>337</v>
      </c>
      <c r="K31" s="133"/>
      <c r="L31" s="385" t="s">
        <v>338</v>
      </c>
      <c r="M31" s="133"/>
      <c r="N31" s="385" t="s">
        <v>339</v>
      </c>
      <c r="O31" s="133"/>
      <c r="P31" s="144" t="s">
        <v>340</v>
      </c>
      <c r="Q31" s="133"/>
      <c r="R31" s="38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85" t="s">
        <v>346</v>
      </c>
      <c r="C40" s="133"/>
      <c r="D40" s="385" t="s">
        <v>347</v>
      </c>
      <c r="E40" s="133"/>
      <c r="F40" s="385" t="s">
        <v>348</v>
      </c>
      <c r="G40" s="133"/>
      <c r="H40" s="385" t="s">
        <v>282</v>
      </c>
      <c r="I40" s="133"/>
      <c r="J40" s="385" t="s">
        <v>283</v>
      </c>
      <c r="K40" s="133"/>
      <c r="L40" s="144" t="s">
        <v>349</v>
      </c>
      <c r="M40" s="133"/>
      <c r="N40" s="385" t="s">
        <v>350</v>
      </c>
      <c r="O40" s="133"/>
      <c r="P40" s="144" t="s">
        <v>351</v>
      </c>
      <c r="Q40" s="133"/>
      <c r="R40" s="385" t="s">
        <v>352</v>
      </c>
      <c r="S40" s="133"/>
      <c r="T40" s="38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85" t="s">
        <v>274</v>
      </c>
      <c r="C48" s="133"/>
      <c r="D48" s="385" t="s">
        <v>275</v>
      </c>
      <c r="E48" s="133"/>
      <c r="F48" s="385" t="s">
        <v>355</v>
      </c>
      <c r="G48" s="133"/>
      <c r="H48" s="385" t="s">
        <v>284</v>
      </c>
      <c r="I48" s="133"/>
      <c r="J48" s="385" t="s">
        <v>285</v>
      </c>
      <c r="K48" s="133"/>
      <c r="L48" s="144" t="s">
        <v>356</v>
      </c>
      <c r="M48" s="133"/>
      <c r="N48" s="144" t="s">
        <v>357</v>
      </c>
      <c r="O48" s="133"/>
      <c r="P48" s="144" t="s">
        <v>154</v>
      </c>
      <c r="Q48" s="133"/>
      <c r="R48" s="385" t="s">
        <v>247</v>
      </c>
      <c r="S48" s="133"/>
      <c r="T48" s="38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85" t="s">
        <v>261</v>
      </c>
      <c r="C56" s="133"/>
      <c r="D56" s="385" t="s">
        <v>286</v>
      </c>
      <c r="E56" s="133"/>
      <c r="F56" s="144" t="s">
        <v>358</v>
      </c>
      <c r="G56" s="133"/>
      <c r="H56" s="385" t="s">
        <v>359</v>
      </c>
      <c r="I56" s="133"/>
      <c r="J56" s="385" t="s">
        <v>360</v>
      </c>
      <c r="K56" s="133"/>
      <c r="L56" s="144" t="s">
        <v>361</v>
      </c>
      <c r="M56" s="133"/>
      <c r="N56" s="144" t="s">
        <v>362</v>
      </c>
      <c r="O56" s="133"/>
      <c r="P56" s="385" t="s">
        <v>363</v>
      </c>
      <c r="Q56" s="133"/>
      <c r="R56" s="385" t="s">
        <v>364</v>
      </c>
      <c r="S56" s="133"/>
      <c r="T56" s="385" t="s">
        <v>365</v>
      </c>
      <c r="V56" s="402"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403"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96" t="s">
        <v>287</v>
      </c>
      <c r="E64" s="133"/>
      <c r="F64" s="396" t="s">
        <v>368</v>
      </c>
      <c r="G64" s="149"/>
      <c r="H64" s="396" t="s">
        <v>369</v>
      </c>
      <c r="I64" s="133"/>
      <c r="J64" s="147" t="s">
        <v>370</v>
      </c>
      <c r="K64" s="149"/>
      <c r="L64" s="396" t="s">
        <v>371</v>
      </c>
      <c r="M64" s="149"/>
      <c r="N64" s="396" t="s">
        <v>372</v>
      </c>
      <c r="O64" s="149"/>
      <c r="P64" s="147" t="s">
        <v>373</v>
      </c>
      <c r="Q64" s="149"/>
      <c r="R64" s="396" t="s">
        <v>288</v>
      </c>
      <c r="S64" s="149"/>
      <c r="T64" s="39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96" t="s">
        <v>251</v>
      </c>
      <c r="C72" s="133"/>
      <c r="D72" s="147" t="s">
        <v>377</v>
      </c>
      <c r="E72" s="133"/>
      <c r="F72" s="396" t="s">
        <v>297</v>
      </c>
      <c r="G72" s="133"/>
      <c r="H72" s="147" t="s">
        <v>378</v>
      </c>
      <c r="I72" s="133"/>
      <c r="J72" s="396" t="s">
        <v>236</v>
      </c>
      <c r="K72" s="133"/>
      <c r="L72" s="396" t="s">
        <v>237</v>
      </c>
      <c r="M72" s="133"/>
      <c r="N72" s="396" t="s">
        <v>214</v>
      </c>
      <c r="O72" s="133"/>
      <c r="P72" s="396" t="s">
        <v>213</v>
      </c>
      <c r="Q72" s="133"/>
      <c r="R72" s="396" t="s">
        <v>212</v>
      </c>
      <c r="S72" s="133"/>
      <c r="T72" s="39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96" t="s">
        <v>231</v>
      </c>
      <c r="D80" s="144" t="s">
        <v>379</v>
      </c>
      <c r="F80" s="396" t="s">
        <v>263</v>
      </c>
      <c r="G80" s="149"/>
      <c r="H80" s="147" t="s">
        <v>380</v>
      </c>
      <c r="I80" s="149"/>
      <c r="J80" s="396" t="s">
        <v>215</v>
      </c>
      <c r="K80" s="149"/>
      <c r="L80" s="396" t="s">
        <v>216</v>
      </c>
      <c r="M80" s="149"/>
      <c r="N80" s="396" t="s">
        <v>239</v>
      </c>
      <c r="O80" s="149"/>
      <c r="P80" s="396" t="s">
        <v>240</v>
      </c>
      <c r="Q80" s="149"/>
      <c r="R80" s="39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96" t="s">
        <v>383</v>
      </c>
      <c r="C88" s="133"/>
      <c r="D88" s="147" t="s">
        <v>384</v>
      </c>
      <c r="F88" s="396" t="s">
        <v>253</v>
      </c>
      <c r="G88" s="133"/>
      <c r="H88" s="396" t="s">
        <v>385</v>
      </c>
      <c r="I88" s="133"/>
      <c r="J88" s="147" t="s">
        <v>386</v>
      </c>
      <c r="K88" s="133"/>
      <c r="L88" s="147" t="s">
        <v>257</v>
      </c>
      <c r="M88" s="133"/>
      <c r="N88" s="147" t="s">
        <v>387</v>
      </c>
      <c r="O88" s="133"/>
      <c r="P88" s="396" t="s">
        <v>267</v>
      </c>
      <c r="Q88" s="133"/>
      <c r="R88" s="396" t="s">
        <v>268</v>
      </c>
      <c r="S88" s="133"/>
      <c r="T88" s="39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96" t="s">
        <v>227</v>
      </c>
      <c r="C96" s="149"/>
      <c r="D96" s="396" t="s">
        <v>271</v>
      </c>
      <c r="F96" s="147" t="s">
        <v>391</v>
      </c>
      <c r="G96" s="149"/>
      <c r="H96" s="396" t="s">
        <v>392</v>
      </c>
      <c r="I96" s="149"/>
      <c r="J96" s="396" t="s">
        <v>393</v>
      </c>
      <c r="K96" s="149"/>
      <c r="L96" s="147" t="s">
        <v>394</v>
      </c>
      <c r="M96" s="149"/>
      <c r="N96" s="396" t="s">
        <v>225</v>
      </c>
      <c r="O96" s="149"/>
      <c r="P96" s="147" t="s">
        <v>395</v>
      </c>
      <c r="Q96" s="149"/>
      <c r="R96" s="147" t="s">
        <v>396</v>
      </c>
      <c r="S96" s="149"/>
      <c r="T96" s="39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96" t="s">
        <v>262</v>
      </c>
      <c r="F104" s="396" t="s">
        <v>244</v>
      </c>
      <c r="G104" s="133"/>
      <c r="H104" s="147" t="s">
        <v>399</v>
      </c>
      <c r="I104" s="133"/>
      <c r="J104" s="396" t="s">
        <v>277</v>
      </c>
      <c r="K104" s="133"/>
      <c r="L104" s="396" t="s">
        <v>280</v>
      </c>
      <c r="M104" s="133"/>
      <c r="N104" s="147" t="s">
        <v>400</v>
      </c>
      <c r="O104" s="133"/>
      <c r="P104" s="147" t="s">
        <v>401</v>
      </c>
      <c r="Q104" s="133"/>
      <c r="R104" s="39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96" t="s">
        <v>404</v>
      </c>
      <c r="C113" s="149"/>
      <c r="D113" s="147" t="s">
        <v>405</v>
      </c>
      <c r="F113" s="396" t="s">
        <v>406</v>
      </c>
      <c r="G113" s="149"/>
      <c r="H113" s="396" t="s">
        <v>290</v>
      </c>
      <c r="I113" s="149"/>
      <c r="J113" s="39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96" t="s">
        <v>414</v>
      </c>
      <c r="C120" s="133"/>
      <c r="D120" s="147" t="s">
        <v>415</v>
      </c>
      <c r="F120" s="396" t="s">
        <v>217</v>
      </c>
      <c r="G120" s="133"/>
      <c r="H120" s="147" t="s">
        <v>416</v>
      </c>
      <c r="I120" s="133"/>
      <c r="J120" s="396" t="s">
        <v>294</v>
      </c>
      <c r="K120" s="133"/>
      <c r="L120" s="396" t="s">
        <v>276</v>
      </c>
      <c r="N120" s="147" t="s">
        <v>417</v>
      </c>
      <c r="O120" s="133"/>
      <c r="P120" s="396" t="s">
        <v>418</v>
      </c>
      <c r="Q120" s="133"/>
      <c r="R120" s="147" t="s">
        <v>419</v>
      </c>
      <c r="S120" s="133"/>
      <c r="T120" s="148" t="s">
        <v>420</v>
      </c>
      <c r="U120" s="133"/>
      <c r="V120" s="39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96" t="s">
        <v>289</v>
      </c>
      <c r="C128" s="191"/>
      <c r="D128" s="396" t="s">
        <v>422</v>
      </c>
      <c r="F128" s="396" t="s">
        <v>423</v>
      </c>
      <c r="H128" s="396" t="s">
        <v>424</v>
      </c>
      <c r="J128" s="396" t="s">
        <v>425</v>
      </c>
      <c r="L128" s="396" t="s">
        <v>279</v>
      </c>
      <c r="N128" s="396" t="s">
        <v>426</v>
      </c>
      <c r="P128" s="396" t="s">
        <v>427</v>
      </c>
      <c r="Q128" s="133"/>
      <c r="R128" s="396" t="s">
        <v>428</v>
      </c>
      <c r="T128" s="396" t="s">
        <v>291</v>
      </c>
      <c r="U128" s="133"/>
      <c r="V128" s="39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96" t="s">
        <v>431</v>
      </c>
      <c r="C137" s="191"/>
      <c r="D137" s="396" t="s">
        <v>432</v>
      </c>
      <c r="F137" s="396" t="s">
        <v>433</v>
      </c>
      <c r="H137" s="396" t="s">
        <v>434</v>
      </c>
      <c r="J137" s="398" t="s">
        <v>435</v>
      </c>
      <c r="L137" s="396" t="s">
        <v>436</v>
      </c>
      <c r="N137" s="396" t="s">
        <v>437</v>
      </c>
      <c r="P137" s="396" t="s">
        <v>438</v>
      </c>
      <c r="Q137" s="133"/>
      <c r="R137" s="396" t="s">
        <v>439</v>
      </c>
      <c r="T137" s="396" t="s">
        <v>440</v>
      </c>
      <c r="U137" s="133"/>
      <c r="V137" s="39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96" t="s">
        <v>443</v>
      </c>
      <c r="C146" s="191"/>
      <c r="D146" s="396" t="s">
        <v>444</v>
      </c>
      <c r="F146" s="396" t="s">
        <v>445</v>
      </c>
      <c r="H146" s="396" t="s">
        <v>446</v>
      </c>
      <c r="J146" s="396" t="s">
        <v>447</v>
      </c>
      <c r="L146" s="396" t="s">
        <v>448</v>
      </c>
      <c r="N146" s="398" t="s">
        <v>449</v>
      </c>
      <c r="P146" s="396" t="s">
        <v>450</v>
      </c>
      <c r="Q146" s="133"/>
      <c r="R146" s="396" t="s">
        <v>451</v>
      </c>
      <c r="T146" s="398" t="s">
        <v>452</v>
      </c>
      <c r="U146" s="133"/>
      <c r="V146" s="39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96" t="s">
        <v>455</v>
      </c>
      <c r="C155" s="191"/>
      <c r="D155" s="396" t="s">
        <v>456</v>
      </c>
      <c r="F155" s="396" t="s">
        <v>457</v>
      </c>
      <c r="H155" s="396" t="s">
        <v>458</v>
      </c>
      <c r="J155" s="396" t="s">
        <v>459</v>
      </c>
      <c r="L155" s="396" t="s">
        <v>460</v>
      </c>
      <c r="N155" s="396" t="s">
        <v>461</v>
      </c>
      <c r="P155" s="396" t="s">
        <v>462</v>
      </c>
      <c r="Q155" s="133"/>
      <c r="R155" s="398" t="s">
        <v>463</v>
      </c>
      <c r="T155" s="396" t="s">
        <v>464</v>
      </c>
      <c r="U155" s="133"/>
      <c r="V155" s="39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96" t="s">
        <v>467</v>
      </c>
      <c r="C163" s="191"/>
      <c r="D163" s="398" t="s">
        <v>468</v>
      </c>
      <c r="F163" s="396" t="s">
        <v>469</v>
      </c>
      <c r="H163" s="398" t="s">
        <v>470</v>
      </c>
      <c r="J163" s="398" t="s">
        <v>471</v>
      </c>
      <c r="L163" s="396" t="s">
        <v>472</v>
      </c>
      <c r="N163" s="396" t="s">
        <v>473</v>
      </c>
      <c r="P163" s="396" t="s">
        <v>474</v>
      </c>
      <c r="Q163" s="133"/>
      <c r="R163" s="396" t="s">
        <v>475</v>
      </c>
      <c r="T163" s="396" t="s">
        <v>476</v>
      </c>
      <c r="U163" s="133"/>
      <c r="V163" s="39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96" t="s">
        <v>478</v>
      </c>
      <c r="C171" s="191"/>
      <c r="D171" s="396" t="s">
        <v>863</v>
      </c>
      <c r="F171" s="398" t="s">
        <v>734</v>
      </c>
      <c r="H171" s="398" t="s">
        <v>735</v>
      </c>
      <c r="J171" s="398" t="s">
        <v>864</v>
      </c>
      <c r="L171" s="398" t="s">
        <v>865</v>
      </c>
      <c r="N171" s="398" t="s">
        <v>866</v>
      </c>
      <c r="P171" s="398" t="s">
        <v>739</v>
      </c>
      <c r="Q171" s="133"/>
      <c r="R171" s="398" t="s">
        <v>740</v>
      </c>
      <c r="T171" s="398" t="s">
        <v>741</v>
      </c>
      <c r="U171" s="133"/>
      <c r="V171" s="39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98" t="s">
        <v>743</v>
      </c>
      <c r="C178" s="133"/>
      <c r="D178" s="398" t="s">
        <v>744</v>
      </c>
      <c r="F178" s="398" t="s">
        <v>745</v>
      </c>
      <c r="H178" s="398" t="s">
        <v>867</v>
      </c>
      <c r="J178" s="398" t="s">
        <v>747</v>
      </c>
      <c r="L178" s="398" t="s">
        <v>868</v>
      </c>
      <c r="N178" s="398" t="s">
        <v>749</v>
      </c>
      <c r="P178" s="398" t="s">
        <v>869</v>
      </c>
      <c r="Q178" s="133"/>
      <c r="R178" s="398" t="s">
        <v>751</v>
      </c>
      <c r="T178" s="398" t="s">
        <v>752</v>
      </c>
      <c r="U178" s="133"/>
      <c r="V178" s="39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98" t="s">
        <v>754</v>
      </c>
      <c r="D185" s="39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28">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411"/>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412"/>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41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96" t="s">
        <v>1098</v>
      </c>
      <c r="C3" s="1596" t="s">
        <v>1099</v>
      </c>
      <c r="D3" s="1338" t="s">
        <v>109</v>
      </c>
      <c r="E3" s="422"/>
      <c r="F3" s="1596" t="s">
        <v>1100</v>
      </c>
      <c r="G3" s="1596"/>
      <c r="H3" s="1596"/>
      <c r="I3" s="1596"/>
      <c r="J3" s="1338" t="s">
        <v>34</v>
      </c>
    </row>
    <row r="4" spans="2:10">
      <c r="B4" s="1596"/>
      <c r="C4" s="1596"/>
      <c r="D4" s="1338"/>
      <c r="E4" s="423"/>
      <c r="F4" s="354" t="s">
        <v>60</v>
      </c>
      <c r="G4" s="354" t="s">
        <v>63</v>
      </c>
      <c r="H4" s="354" t="s">
        <v>71</v>
      </c>
      <c r="I4" s="354" t="s">
        <v>1101</v>
      </c>
      <c r="J4" s="1338"/>
    </row>
    <row r="5" spans="2:10">
      <c r="B5" s="57">
        <v>1</v>
      </c>
      <c r="C5" s="57" t="s">
        <v>312</v>
      </c>
      <c r="D5" s="57" t="s">
        <v>119</v>
      </c>
      <c r="E5" s="423">
        <v>2</v>
      </c>
      <c r="F5" s="57">
        <v>3</v>
      </c>
      <c r="G5" s="57">
        <v>3</v>
      </c>
      <c r="H5" s="57">
        <v>3</v>
      </c>
      <c r="I5" s="57">
        <v>3</v>
      </c>
      <c r="J5" s="57"/>
    </row>
    <row r="6" spans="2:10">
      <c r="B6" s="57">
        <f t="shared" ref="B6:B38" si="0">B5+1</f>
        <v>2</v>
      </c>
      <c r="C6" s="57" t="s">
        <v>313</v>
      </c>
      <c r="D6" s="57" t="s">
        <v>242</v>
      </c>
      <c r="E6" s="423">
        <v>1</v>
      </c>
      <c r="F6" s="57">
        <v>1</v>
      </c>
      <c r="G6" s="57">
        <v>1</v>
      </c>
      <c r="H6" s="57">
        <v>1</v>
      </c>
      <c r="I6" s="57">
        <v>1</v>
      </c>
      <c r="J6" s="57"/>
    </row>
    <row r="7" spans="2:10">
      <c r="B7" s="424">
        <f t="shared" si="0"/>
        <v>3</v>
      </c>
      <c r="C7" s="424" t="s">
        <v>320</v>
      </c>
      <c r="D7" s="424" t="s">
        <v>242</v>
      </c>
      <c r="E7" s="425" t="s">
        <v>945</v>
      </c>
      <c r="F7" s="426" t="s">
        <v>1102</v>
      </c>
      <c r="G7" s="426" t="s">
        <v>1102</v>
      </c>
      <c r="H7" s="424">
        <v>1</v>
      </c>
      <c r="I7" s="426" t="s">
        <v>1102</v>
      </c>
      <c r="J7" s="424"/>
    </row>
    <row r="8" spans="2:10">
      <c r="B8" s="57">
        <f t="shared" si="0"/>
        <v>4</v>
      </c>
      <c r="C8" s="57" t="s">
        <v>321</v>
      </c>
      <c r="D8" s="57" t="s">
        <v>185</v>
      </c>
      <c r="E8" s="423">
        <v>1</v>
      </c>
      <c r="F8" s="57">
        <v>1</v>
      </c>
      <c r="G8" s="57">
        <v>1</v>
      </c>
      <c r="H8" s="57">
        <v>1</v>
      </c>
      <c r="I8" s="57">
        <v>1</v>
      </c>
      <c r="J8" s="57"/>
    </row>
    <row r="9" spans="2:10">
      <c r="B9" s="57">
        <f t="shared" si="0"/>
        <v>5</v>
      </c>
      <c r="C9" s="57" t="s">
        <v>322</v>
      </c>
      <c r="D9" s="57" t="s">
        <v>117</v>
      </c>
      <c r="E9" s="423">
        <v>3</v>
      </c>
      <c r="F9" s="57">
        <v>3</v>
      </c>
      <c r="G9" s="57">
        <v>3</v>
      </c>
      <c r="H9" s="57">
        <v>3</v>
      </c>
      <c r="I9" s="57">
        <v>3</v>
      </c>
      <c r="J9" s="57"/>
    </row>
    <row r="10" spans="2:10">
      <c r="B10" s="424">
        <f t="shared" si="0"/>
        <v>6</v>
      </c>
      <c r="C10" s="424" t="s">
        <v>323</v>
      </c>
      <c r="D10" s="424" t="s">
        <v>132</v>
      </c>
      <c r="E10" s="425" t="s">
        <v>945</v>
      </c>
      <c r="F10" s="424">
        <v>3</v>
      </c>
      <c r="G10" s="424">
        <v>3</v>
      </c>
      <c r="H10" s="424">
        <v>3</v>
      </c>
      <c r="I10" s="424">
        <v>3</v>
      </c>
      <c r="J10" s="424"/>
    </row>
    <row r="11" spans="2:10">
      <c r="B11" s="424">
        <f t="shared" si="0"/>
        <v>7</v>
      </c>
      <c r="C11" s="424" t="s">
        <v>1103</v>
      </c>
      <c r="D11" s="424" t="s">
        <v>132</v>
      </c>
      <c r="E11" s="425" t="s">
        <v>945</v>
      </c>
      <c r="F11" s="426" t="s">
        <v>1102</v>
      </c>
      <c r="G11" s="424">
        <v>1</v>
      </c>
      <c r="H11" s="424">
        <v>3</v>
      </c>
      <c r="I11" s="426" t="s">
        <v>1102</v>
      </c>
      <c r="J11" s="424"/>
    </row>
    <row r="12" spans="2:10">
      <c r="B12" s="424">
        <f t="shared" si="0"/>
        <v>8</v>
      </c>
      <c r="C12" s="57" t="s">
        <v>339</v>
      </c>
      <c r="D12" s="57" t="s">
        <v>248</v>
      </c>
      <c r="E12" s="423">
        <v>2</v>
      </c>
      <c r="F12" s="57">
        <v>3</v>
      </c>
      <c r="G12" s="57">
        <v>3</v>
      </c>
      <c r="H12" s="57">
        <v>3</v>
      </c>
      <c r="I12" s="57">
        <v>3</v>
      </c>
      <c r="J12" s="57"/>
    </row>
    <row r="13" spans="2:10">
      <c r="B13" s="424">
        <f t="shared" si="0"/>
        <v>9</v>
      </c>
      <c r="C13" s="424" t="s">
        <v>346</v>
      </c>
      <c r="D13" s="424" t="s">
        <v>182</v>
      </c>
      <c r="E13" s="425" t="s">
        <v>1104</v>
      </c>
      <c r="F13" s="426" t="s">
        <v>1102</v>
      </c>
      <c r="G13" s="426" t="s">
        <v>1102</v>
      </c>
      <c r="H13" s="424">
        <v>1</v>
      </c>
      <c r="I13" s="426" t="s">
        <v>1102</v>
      </c>
      <c r="J13" s="424"/>
    </row>
    <row r="14" spans="2:10">
      <c r="B14" s="424">
        <f t="shared" si="0"/>
        <v>10</v>
      </c>
      <c r="C14" s="57" t="s">
        <v>348</v>
      </c>
      <c r="D14" s="57" t="s">
        <v>248</v>
      </c>
      <c r="E14" s="423">
        <v>3</v>
      </c>
      <c r="F14" s="57">
        <v>3</v>
      </c>
      <c r="G14" s="57">
        <v>3</v>
      </c>
      <c r="H14" s="57">
        <v>3</v>
      </c>
      <c r="I14" s="57">
        <v>3</v>
      </c>
      <c r="J14" s="57"/>
    </row>
    <row r="15" spans="2:10">
      <c r="B15" s="424">
        <f t="shared" si="0"/>
        <v>11</v>
      </c>
      <c r="C15" s="424" t="s">
        <v>153</v>
      </c>
      <c r="D15" s="424" t="s">
        <v>123</v>
      </c>
      <c r="E15" s="425" t="s">
        <v>1104</v>
      </c>
      <c r="F15" s="426" t="s">
        <v>1102</v>
      </c>
      <c r="G15" s="426" t="s">
        <v>1102</v>
      </c>
      <c r="H15" s="424">
        <v>1</v>
      </c>
      <c r="I15" s="426" t="s">
        <v>1102</v>
      </c>
      <c r="J15" s="424"/>
    </row>
    <row r="16" spans="2:10">
      <c r="B16" s="424">
        <f t="shared" si="0"/>
        <v>12</v>
      </c>
      <c r="C16" s="57" t="s">
        <v>352</v>
      </c>
      <c r="D16" s="57" t="s">
        <v>248</v>
      </c>
      <c r="E16" s="423">
        <v>3</v>
      </c>
      <c r="F16" s="57">
        <v>3</v>
      </c>
      <c r="G16" s="57">
        <v>3</v>
      </c>
      <c r="H16" s="57">
        <v>3</v>
      </c>
      <c r="I16" s="57">
        <v>3</v>
      </c>
      <c r="J16" s="57"/>
    </row>
    <row r="17" spans="2:10">
      <c r="B17" s="424">
        <f t="shared" si="0"/>
        <v>13</v>
      </c>
      <c r="C17" s="57" t="s">
        <v>353</v>
      </c>
      <c r="D17" s="57" t="s">
        <v>248</v>
      </c>
      <c r="E17" s="423">
        <v>1</v>
      </c>
      <c r="F17" s="57">
        <v>1</v>
      </c>
      <c r="G17" s="57">
        <v>1</v>
      </c>
      <c r="H17" s="57">
        <v>1</v>
      </c>
      <c r="I17" s="57">
        <v>1</v>
      </c>
      <c r="J17" s="57"/>
    </row>
    <row r="18" spans="2:10">
      <c r="B18" s="424">
        <f t="shared" si="0"/>
        <v>14</v>
      </c>
      <c r="C18" s="57" t="s">
        <v>706</v>
      </c>
      <c r="D18" s="57" t="s">
        <v>125</v>
      </c>
      <c r="E18" s="423">
        <v>1</v>
      </c>
      <c r="F18" s="57">
        <v>1</v>
      </c>
      <c r="G18" s="57">
        <v>1</v>
      </c>
      <c r="H18" s="57">
        <v>1</v>
      </c>
      <c r="I18" s="57">
        <v>1</v>
      </c>
      <c r="J18" s="57"/>
    </row>
    <row r="19" spans="2:10">
      <c r="B19" s="424">
        <f t="shared" si="0"/>
        <v>15</v>
      </c>
      <c r="C19" s="57" t="s">
        <v>707</v>
      </c>
      <c r="D19" s="57" t="s">
        <v>128</v>
      </c>
      <c r="E19" s="423">
        <v>1</v>
      </c>
      <c r="F19" s="57">
        <v>1</v>
      </c>
      <c r="G19" s="57">
        <v>1</v>
      </c>
      <c r="H19" s="57">
        <v>1</v>
      </c>
      <c r="I19" s="57">
        <v>1</v>
      </c>
      <c r="J19" s="57"/>
    </row>
    <row r="20" spans="2:10">
      <c r="B20" s="424">
        <f t="shared" si="0"/>
        <v>16</v>
      </c>
      <c r="C20" s="57" t="s">
        <v>365</v>
      </c>
      <c r="D20" s="57" t="s">
        <v>182</v>
      </c>
      <c r="E20" s="423">
        <v>1</v>
      </c>
      <c r="F20" s="57">
        <v>1</v>
      </c>
      <c r="G20" s="57">
        <v>1</v>
      </c>
      <c r="H20" s="57">
        <v>1</v>
      </c>
      <c r="I20" s="57">
        <v>1</v>
      </c>
      <c r="J20" s="57"/>
    </row>
    <row r="21" spans="2:10">
      <c r="B21" s="424">
        <f t="shared" si="0"/>
        <v>17</v>
      </c>
      <c r="C21" s="57" t="s">
        <v>369</v>
      </c>
      <c r="D21" s="57" t="s">
        <v>182</v>
      </c>
      <c r="E21" s="423">
        <v>1</v>
      </c>
      <c r="F21" s="57">
        <v>1</v>
      </c>
      <c r="G21" s="57">
        <v>1</v>
      </c>
      <c r="H21" s="57">
        <v>1</v>
      </c>
      <c r="I21" s="57">
        <v>1</v>
      </c>
      <c r="J21" s="57"/>
    </row>
    <row r="22" spans="2:10">
      <c r="B22" s="424">
        <f t="shared" si="0"/>
        <v>18</v>
      </c>
      <c r="C22" s="424" t="s">
        <v>1105</v>
      </c>
      <c r="D22" s="424" t="s">
        <v>125</v>
      </c>
      <c r="E22" s="425" t="s">
        <v>1106</v>
      </c>
      <c r="F22" s="426" t="s">
        <v>1102</v>
      </c>
      <c r="G22" s="426" t="s">
        <v>1102</v>
      </c>
      <c r="H22" s="424">
        <v>1</v>
      </c>
      <c r="I22" s="424">
        <v>3</v>
      </c>
      <c r="J22" s="424"/>
    </row>
    <row r="23" spans="2:10">
      <c r="B23" s="424">
        <f t="shared" si="0"/>
        <v>19</v>
      </c>
      <c r="C23" s="424" t="s">
        <v>371</v>
      </c>
      <c r="D23" s="424" t="s">
        <v>185</v>
      </c>
      <c r="E23" s="425" t="s">
        <v>1107</v>
      </c>
      <c r="F23" s="426" t="s">
        <v>1102</v>
      </c>
      <c r="G23" s="426" t="s">
        <v>1102</v>
      </c>
      <c r="H23" s="424">
        <v>1</v>
      </c>
      <c r="I23" s="424">
        <v>3</v>
      </c>
      <c r="J23" s="424"/>
    </row>
    <row r="24" spans="2:10">
      <c r="B24" s="424">
        <f t="shared" si="0"/>
        <v>20</v>
      </c>
      <c r="C24" s="424" t="s">
        <v>288</v>
      </c>
      <c r="D24" s="424" t="s">
        <v>182</v>
      </c>
      <c r="E24" s="425" t="s">
        <v>1108</v>
      </c>
      <c r="F24" s="426" t="s">
        <v>1102</v>
      </c>
      <c r="G24" s="426" t="s">
        <v>1102</v>
      </c>
      <c r="H24" s="424">
        <v>3</v>
      </c>
      <c r="I24" s="424">
        <v>3</v>
      </c>
      <c r="J24" s="424"/>
    </row>
    <row r="25" spans="2:10">
      <c r="B25" s="424">
        <f t="shared" si="0"/>
        <v>21</v>
      </c>
      <c r="C25" s="57" t="s">
        <v>383</v>
      </c>
      <c r="D25" s="57" t="s">
        <v>185</v>
      </c>
      <c r="E25" s="423">
        <v>1</v>
      </c>
      <c r="F25" s="57">
        <v>1</v>
      </c>
      <c r="G25" s="57">
        <v>1</v>
      </c>
      <c r="H25" s="57">
        <v>1</v>
      </c>
      <c r="I25" s="57">
        <v>1</v>
      </c>
      <c r="J25" s="57"/>
    </row>
    <row r="26" spans="2:10">
      <c r="B26" s="424">
        <f t="shared" si="0"/>
        <v>22</v>
      </c>
      <c r="C26" s="57" t="s">
        <v>385</v>
      </c>
      <c r="D26" s="57" t="s">
        <v>182</v>
      </c>
      <c r="E26" s="423">
        <v>1</v>
      </c>
      <c r="F26" s="57">
        <v>1</v>
      </c>
      <c r="G26" s="57">
        <v>1</v>
      </c>
      <c r="H26" s="57">
        <v>1</v>
      </c>
      <c r="I26" s="57">
        <v>1</v>
      </c>
      <c r="J26" s="57"/>
    </row>
    <row r="27" spans="2:10">
      <c r="B27" s="424">
        <f t="shared" si="0"/>
        <v>23</v>
      </c>
      <c r="C27" s="57" t="s">
        <v>386</v>
      </c>
      <c r="D27" s="57" t="s">
        <v>188</v>
      </c>
      <c r="E27" s="423">
        <v>1</v>
      </c>
      <c r="F27" s="57">
        <v>1</v>
      </c>
      <c r="G27" s="57">
        <v>1</v>
      </c>
      <c r="H27" s="57">
        <v>1</v>
      </c>
      <c r="I27" s="57">
        <v>1</v>
      </c>
      <c r="J27" s="57"/>
    </row>
    <row r="28" spans="2:10">
      <c r="B28" s="424">
        <f t="shared" si="0"/>
        <v>24</v>
      </c>
      <c r="C28" s="424" t="s">
        <v>267</v>
      </c>
      <c r="D28" s="424" t="s">
        <v>182</v>
      </c>
      <c r="E28" s="425" t="s">
        <v>945</v>
      </c>
      <c r="F28" s="426" t="s">
        <v>1102</v>
      </c>
      <c r="G28" s="424">
        <v>3</v>
      </c>
      <c r="H28" s="424">
        <v>3</v>
      </c>
      <c r="I28" s="426" t="s">
        <v>1102</v>
      </c>
      <c r="J28" s="424"/>
    </row>
    <row r="29" spans="2:10">
      <c r="B29" s="424">
        <f t="shared" si="0"/>
        <v>25</v>
      </c>
      <c r="C29" s="57" t="s">
        <v>392</v>
      </c>
      <c r="D29" s="57" t="s">
        <v>182</v>
      </c>
      <c r="E29" s="423">
        <v>1</v>
      </c>
      <c r="F29" s="57">
        <v>1</v>
      </c>
      <c r="G29" s="57">
        <v>1</v>
      </c>
      <c r="H29" s="57">
        <v>1</v>
      </c>
      <c r="I29" s="57">
        <v>1</v>
      </c>
      <c r="J29" s="57"/>
    </row>
    <row r="30" spans="2:10">
      <c r="B30" s="424">
        <f t="shared" si="0"/>
        <v>26</v>
      </c>
      <c r="C30" s="57" t="s">
        <v>418</v>
      </c>
      <c r="D30" s="57" t="s">
        <v>185</v>
      </c>
      <c r="E30" s="423">
        <v>1</v>
      </c>
      <c r="F30" s="57">
        <v>1</v>
      </c>
      <c r="G30" s="57">
        <v>1</v>
      </c>
      <c r="H30" s="57">
        <v>1</v>
      </c>
      <c r="I30" s="57">
        <v>1</v>
      </c>
      <c r="J30" s="57"/>
    </row>
    <row r="31" spans="2:10">
      <c r="B31" s="424">
        <f t="shared" si="0"/>
        <v>27</v>
      </c>
      <c r="C31" s="57" t="s">
        <v>423</v>
      </c>
      <c r="D31" s="57" t="s">
        <v>182</v>
      </c>
      <c r="E31" s="423">
        <v>1</v>
      </c>
      <c r="F31" s="57">
        <v>1</v>
      </c>
      <c r="G31" s="57">
        <v>1</v>
      </c>
      <c r="H31" s="57">
        <v>1</v>
      </c>
      <c r="I31" s="57">
        <v>1</v>
      </c>
      <c r="J31" s="57"/>
    </row>
    <row r="32" spans="2:10">
      <c r="B32" s="424">
        <f t="shared" si="0"/>
        <v>28</v>
      </c>
      <c r="C32" s="57" t="s">
        <v>427</v>
      </c>
      <c r="D32" s="57" t="s">
        <v>182</v>
      </c>
      <c r="E32" s="423">
        <v>1</v>
      </c>
      <c r="F32" s="57">
        <v>1</v>
      </c>
      <c r="G32" s="57">
        <v>1</v>
      </c>
      <c r="H32" s="57">
        <v>1</v>
      </c>
      <c r="I32" s="57">
        <v>1</v>
      </c>
      <c r="J32" s="57"/>
    </row>
    <row r="33" spans="2:10">
      <c r="B33" s="424">
        <f t="shared" si="0"/>
        <v>29</v>
      </c>
      <c r="C33" s="57" t="s">
        <v>444</v>
      </c>
      <c r="D33" s="57" t="s">
        <v>123</v>
      </c>
      <c r="E33" s="423">
        <v>3</v>
      </c>
      <c r="F33" s="57">
        <v>3</v>
      </c>
      <c r="G33" s="57">
        <v>3</v>
      </c>
      <c r="H33" s="57">
        <v>3</v>
      </c>
      <c r="I33" s="57">
        <v>3</v>
      </c>
      <c r="J33" s="57"/>
    </row>
    <row r="34" spans="2:10">
      <c r="B34" s="424">
        <f t="shared" si="0"/>
        <v>30</v>
      </c>
      <c r="C34" s="57" t="s">
        <v>445</v>
      </c>
      <c r="D34" s="57" t="s">
        <v>132</v>
      </c>
      <c r="E34" s="423">
        <v>3</v>
      </c>
      <c r="F34" s="57">
        <v>3</v>
      </c>
      <c r="G34" s="57">
        <v>3</v>
      </c>
      <c r="H34" s="57">
        <v>3</v>
      </c>
      <c r="I34" s="57">
        <v>3</v>
      </c>
      <c r="J34" s="57"/>
    </row>
    <row r="35" spans="2:10">
      <c r="B35" s="424">
        <f t="shared" si="0"/>
        <v>31</v>
      </c>
      <c r="C35" s="57" t="s">
        <v>728</v>
      </c>
      <c r="D35" s="57" t="s">
        <v>115</v>
      </c>
      <c r="E35" s="423">
        <v>1</v>
      </c>
      <c r="F35" s="57">
        <v>1</v>
      </c>
      <c r="G35" s="57">
        <v>1</v>
      </c>
      <c r="H35" s="57">
        <v>1</v>
      </c>
      <c r="I35" s="57">
        <v>1</v>
      </c>
      <c r="J35" s="57"/>
    </row>
    <row r="36" spans="2:10">
      <c r="B36" s="424">
        <f t="shared" si="0"/>
        <v>32</v>
      </c>
      <c r="C36" s="57" t="s">
        <v>458</v>
      </c>
      <c r="D36" s="57" t="s">
        <v>132</v>
      </c>
      <c r="E36" s="423">
        <v>3</v>
      </c>
      <c r="F36" s="57">
        <v>3</v>
      </c>
      <c r="G36" s="57">
        <v>3</v>
      </c>
      <c r="H36" s="57">
        <v>3</v>
      </c>
      <c r="I36" s="57">
        <v>3</v>
      </c>
      <c r="J36" s="57"/>
    </row>
    <row r="37" spans="2:10">
      <c r="B37" s="424">
        <f t="shared" si="0"/>
        <v>33</v>
      </c>
      <c r="C37" s="57" t="s">
        <v>459</v>
      </c>
      <c r="D37" s="57" t="s">
        <v>123</v>
      </c>
      <c r="E37" s="423">
        <v>2</v>
      </c>
      <c r="F37" s="57">
        <v>3</v>
      </c>
      <c r="G37" s="57">
        <v>3</v>
      </c>
      <c r="H37" s="57">
        <v>3</v>
      </c>
      <c r="I37" s="57">
        <v>3</v>
      </c>
      <c r="J37" s="57"/>
    </row>
    <row r="38" spans="2:10">
      <c r="B38" s="424">
        <f t="shared" si="0"/>
        <v>34</v>
      </c>
      <c r="C38" s="57" t="s">
        <v>464</v>
      </c>
      <c r="D38" s="57" t="s">
        <v>115</v>
      </c>
      <c r="E38" s="423">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91" t="s">
        <v>298</v>
      </c>
      <c r="B1" s="1591"/>
      <c r="C1" s="1591"/>
      <c r="D1" s="1591"/>
      <c r="E1" s="1591"/>
      <c r="F1" s="1591"/>
      <c r="G1" s="1591"/>
      <c r="H1" s="1591"/>
      <c r="I1" s="1591"/>
      <c r="J1" s="1591"/>
      <c r="K1" s="1591"/>
      <c r="L1" s="1591"/>
      <c r="M1" s="1591"/>
      <c r="N1" s="1591"/>
      <c r="O1" s="1591"/>
      <c r="P1" s="1591"/>
      <c r="Q1" s="1591"/>
      <c r="R1" s="1591"/>
      <c r="S1" s="1591"/>
      <c r="T1" s="1591"/>
      <c r="U1" s="1591"/>
      <c r="V1" s="1592"/>
    </row>
    <row r="2" spans="1:22" ht="15" thickBot="1">
      <c r="A2" s="1593" t="s">
        <v>299</v>
      </c>
      <c r="B2" s="1424"/>
      <c r="C2" s="1424"/>
      <c r="D2" s="1424"/>
      <c r="E2" s="1424"/>
      <c r="F2" s="1424"/>
      <c r="G2" s="1424"/>
      <c r="H2" s="1424"/>
      <c r="I2" s="1424"/>
      <c r="J2" s="1424"/>
      <c r="K2" s="1424"/>
      <c r="L2" s="1424"/>
      <c r="M2" s="1424"/>
      <c r="N2" s="1424"/>
      <c r="O2" s="1424"/>
      <c r="P2" s="1424"/>
      <c r="Q2" s="1424"/>
      <c r="R2" s="1424"/>
      <c r="S2" s="1424"/>
      <c r="T2" s="1424"/>
      <c r="U2" s="1424"/>
      <c r="V2" s="159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86" t="s">
        <v>300</v>
      </c>
      <c r="B4" s="1415"/>
      <c r="C4" s="127"/>
      <c r="D4" s="1587" t="s">
        <v>1086</v>
      </c>
      <c r="E4" s="1588"/>
      <c r="F4" s="1582" t="s">
        <v>302</v>
      </c>
      <c r="G4" s="1584" t="s">
        <v>303</v>
      </c>
      <c r="H4" s="1426" t="s">
        <v>304</v>
      </c>
      <c r="I4" s="1427"/>
      <c r="J4" s="1428"/>
      <c r="K4" s="128" t="s">
        <v>305</v>
      </c>
      <c r="L4" s="1426" t="s">
        <v>306</v>
      </c>
      <c r="M4" s="1427"/>
      <c r="N4" s="1428"/>
      <c r="O4" s="1426" t="s">
        <v>307</v>
      </c>
      <c r="P4" s="1427"/>
      <c r="Q4" s="1428"/>
      <c r="R4" s="1595"/>
      <c r="S4" s="1429"/>
      <c r="T4" s="1429"/>
      <c r="U4" s="166"/>
      <c r="V4" s="167"/>
    </row>
    <row r="5" spans="1:22">
      <c r="A5" s="1586"/>
      <c r="B5" s="1415"/>
      <c r="C5" s="127"/>
      <c r="D5" s="1589"/>
      <c r="E5" s="1590"/>
      <c r="F5" s="1583"/>
      <c r="G5" s="158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598" t="s">
        <v>1085</v>
      </c>
      <c r="E6" s="140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405"/>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405"/>
      <c r="V8" s="167"/>
    </row>
    <row r="9" spans="1:22">
      <c r="A9" s="132"/>
      <c r="B9" s="133"/>
      <c r="C9" s="133"/>
      <c r="D9" s="133"/>
      <c r="E9" s="133"/>
      <c r="F9" s="133"/>
      <c r="G9" s="133"/>
      <c r="H9" s="133"/>
      <c r="I9" s="133"/>
      <c r="J9" s="133"/>
      <c r="K9" s="133"/>
      <c r="L9" s="133"/>
      <c r="M9" s="133"/>
      <c r="N9" s="133"/>
      <c r="O9" s="133"/>
      <c r="P9" s="133"/>
      <c r="Q9" s="133"/>
      <c r="R9" s="133"/>
      <c r="S9" s="133"/>
      <c r="T9" s="133"/>
      <c r="U9" s="405"/>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406">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406"/>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405"/>
      <c r="V12" s="167"/>
    </row>
    <row r="13" spans="1:22" ht="15" thickTop="1">
      <c r="A13" s="142"/>
      <c r="B13" s="143"/>
      <c r="C13" s="144" t="s">
        <v>310</v>
      </c>
      <c r="D13" s="145"/>
      <c r="E13" s="385" t="s">
        <v>272</v>
      </c>
      <c r="F13" s="145"/>
      <c r="G13" s="385" t="s">
        <v>273</v>
      </c>
      <c r="H13" s="145"/>
      <c r="I13" s="385" t="s">
        <v>311</v>
      </c>
      <c r="J13" s="133"/>
      <c r="K13" s="144" t="s">
        <v>312</v>
      </c>
      <c r="L13" s="133"/>
      <c r="M13" s="385" t="s">
        <v>313</v>
      </c>
      <c r="N13" s="133"/>
      <c r="O13" s="144" t="s">
        <v>314</v>
      </c>
      <c r="P13" s="133"/>
      <c r="Q13" s="144" t="s">
        <v>315</v>
      </c>
      <c r="R13" s="133"/>
      <c r="S13" s="385" t="s">
        <v>316</v>
      </c>
      <c r="T13" s="133"/>
      <c r="U13" s="405"/>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405"/>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407"/>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408"/>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85" t="s">
        <v>320</v>
      </c>
      <c r="C22" s="133"/>
      <c r="D22" s="385" t="s">
        <v>321</v>
      </c>
      <c r="E22" s="133"/>
      <c r="F22" s="144" t="s">
        <v>322</v>
      </c>
      <c r="G22" s="133"/>
      <c r="H22" s="144" t="s">
        <v>323</v>
      </c>
      <c r="I22" s="133"/>
      <c r="J22" s="144" t="s">
        <v>324</v>
      </c>
      <c r="K22" s="133"/>
      <c r="L22" s="385" t="s">
        <v>325</v>
      </c>
      <c r="M22" s="133"/>
      <c r="N22" s="144" t="s">
        <v>326</v>
      </c>
      <c r="O22" s="133"/>
      <c r="P22" s="385" t="s">
        <v>327</v>
      </c>
      <c r="Q22" s="133"/>
      <c r="R22" s="38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85" t="s">
        <v>335</v>
      </c>
      <c r="G31" s="133"/>
      <c r="H31" s="144" t="s">
        <v>336</v>
      </c>
      <c r="I31" s="133"/>
      <c r="J31" s="385" t="s">
        <v>337</v>
      </c>
      <c r="K31" s="133"/>
      <c r="L31" s="385" t="s">
        <v>338</v>
      </c>
      <c r="M31" s="133"/>
      <c r="N31" s="385" t="s">
        <v>339</v>
      </c>
      <c r="O31" s="133"/>
      <c r="P31" s="144" t="s">
        <v>340</v>
      </c>
      <c r="Q31" s="133"/>
      <c r="R31" s="38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85" t="s">
        <v>346</v>
      </c>
      <c r="C40" s="133"/>
      <c r="D40" s="385" t="s">
        <v>347</v>
      </c>
      <c r="E40" s="133"/>
      <c r="F40" s="385" t="s">
        <v>348</v>
      </c>
      <c r="G40" s="133"/>
      <c r="H40" s="385" t="s">
        <v>282</v>
      </c>
      <c r="I40" s="133"/>
      <c r="J40" s="385" t="s">
        <v>283</v>
      </c>
      <c r="K40" s="133"/>
      <c r="L40" s="144" t="s">
        <v>349</v>
      </c>
      <c r="M40" s="133"/>
      <c r="N40" s="385" t="s">
        <v>350</v>
      </c>
      <c r="O40" s="133"/>
      <c r="P40" s="144" t="s">
        <v>351</v>
      </c>
      <c r="Q40" s="133"/>
      <c r="R40" s="385" t="s">
        <v>352</v>
      </c>
      <c r="S40" s="133"/>
      <c r="T40" s="38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85" t="s">
        <v>274</v>
      </c>
      <c r="C48" s="133"/>
      <c r="D48" s="385" t="s">
        <v>275</v>
      </c>
      <c r="E48" s="133"/>
      <c r="F48" s="385" t="s">
        <v>355</v>
      </c>
      <c r="G48" s="133"/>
      <c r="H48" s="385" t="s">
        <v>284</v>
      </c>
      <c r="I48" s="133"/>
      <c r="J48" s="385" t="s">
        <v>285</v>
      </c>
      <c r="K48" s="133"/>
      <c r="L48" s="144" t="s">
        <v>356</v>
      </c>
      <c r="M48" s="133"/>
      <c r="N48" s="144" t="s">
        <v>357</v>
      </c>
      <c r="O48" s="133"/>
      <c r="P48" s="144" t="s">
        <v>154</v>
      </c>
      <c r="Q48" s="133"/>
      <c r="R48" s="385" t="s">
        <v>247</v>
      </c>
      <c r="S48" s="133"/>
      <c r="T48" s="38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85" t="s">
        <v>261</v>
      </c>
      <c r="C56" s="133"/>
      <c r="D56" s="385" t="s">
        <v>286</v>
      </c>
      <c r="E56" s="133"/>
      <c r="F56" s="144" t="s">
        <v>358</v>
      </c>
      <c r="G56" s="133"/>
      <c r="H56" s="385" t="s">
        <v>359</v>
      </c>
      <c r="I56" s="133"/>
      <c r="J56" s="385" t="s">
        <v>360</v>
      </c>
      <c r="K56" s="133"/>
      <c r="L56" s="144" t="s">
        <v>361</v>
      </c>
      <c r="M56" s="133"/>
      <c r="N56" s="144" t="s">
        <v>362</v>
      </c>
      <c r="O56" s="133"/>
      <c r="P56" s="385" t="s">
        <v>363</v>
      </c>
      <c r="Q56" s="133"/>
      <c r="R56" s="385" t="s">
        <v>364</v>
      </c>
      <c r="S56" s="133"/>
      <c r="T56" s="385" t="s">
        <v>365</v>
      </c>
      <c r="V56" s="402"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403"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85" t="s">
        <v>287</v>
      </c>
      <c r="E64" s="133"/>
      <c r="F64" s="385" t="s">
        <v>368</v>
      </c>
      <c r="G64" s="133"/>
      <c r="H64" s="385" t="s">
        <v>369</v>
      </c>
      <c r="I64" s="133"/>
      <c r="J64" s="144" t="s">
        <v>370</v>
      </c>
      <c r="K64" s="133"/>
      <c r="L64" s="385" t="s">
        <v>371</v>
      </c>
      <c r="M64" s="133"/>
      <c r="N64" s="385" t="s">
        <v>372</v>
      </c>
      <c r="O64" s="133"/>
      <c r="P64" s="144" t="s">
        <v>373</v>
      </c>
      <c r="Q64" s="133"/>
      <c r="R64" s="385" t="s">
        <v>288</v>
      </c>
      <c r="S64" s="133"/>
      <c r="T64" s="38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85" t="s">
        <v>251</v>
      </c>
      <c r="C72" s="133"/>
      <c r="D72" s="144" t="s">
        <v>377</v>
      </c>
      <c r="E72" s="133"/>
      <c r="F72" s="385" t="s">
        <v>297</v>
      </c>
      <c r="G72" s="133"/>
      <c r="H72" s="144" t="s">
        <v>378</v>
      </c>
      <c r="I72" s="133"/>
      <c r="J72" s="385" t="s">
        <v>236</v>
      </c>
      <c r="K72" s="133"/>
      <c r="L72" s="385" t="s">
        <v>237</v>
      </c>
      <c r="M72" s="133"/>
      <c r="N72" s="385" t="s">
        <v>214</v>
      </c>
      <c r="O72" s="133"/>
      <c r="P72" s="385" t="s">
        <v>213</v>
      </c>
      <c r="Q72" s="133"/>
      <c r="R72" s="385" t="s">
        <v>212</v>
      </c>
      <c r="S72" s="133"/>
      <c r="T72" s="38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85" t="s">
        <v>231</v>
      </c>
      <c r="D80" s="144" t="s">
        <v>379</v>
      </c>
      <c r="F80" s="385" t="s">
        <v>263</v>
      </c>
      <c r="G80" s="133"/>
      <c r="H80" s="144" t="s">
        <v>380</v>
      </c>
      <c r="I80" s="133"/>
      <c r="J80" s="385" t="s">
        <v>215</v>
      </c>
      <c r="K80" s="133"/>
      <c r="L80" s="385" t="s">
        <v>216</v>
      </c>
      <c r="M80" s="133"/>
      <c r="N80" s="385" t="s">
        <v>239</v>
      </c>
      <c r="O80" s="133"/>
      <c r="P80" s="385" t="s">
        <v>240</v>
      </c>
      <c r="Q80" s="133"/>
      <c r="R80" s="38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85" t="s">
        <v>383</v>
      </c>
      <c r="C88" s="133"/>
      <c r="D88" s="144" t="s">
        <v>384</v>
      </c>
      <c r="F88" s="385" t="s">
        <v>253</v>
      </c>
      <c r="G88" s="133"/>
      <c r="H88" s="385" t="s">
        <v>385</v>
      </c>
      <c r="I88" s="133"/>
      <c r="J88" s="144" t="s">
        <v>386</v>
      </c>
      <c r="K88" s="133"/>
      <c r="L88" s="144" t="s">
        <v>257</v>
      </c>
      <c r="M88" s="133"/>
      <c r="N88" s="144" t="s">
        <v>387</v>
      </c>
      <c r="O88" s="133"/>
      <c r="P88" s="385" t="s">
        <v>267</v>
      </c>
      <c r="Q88" s="133"/>
      <c r="R88" s="385" t="s">
        <v>268</v>
      </c>
      <c r="S88" s="133"/>
      <c r="T88" s="38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85" t="s">
        <v>227</v>
      </c>
      <c r="C96" s="133"/>
      <c r="D96" s="385" t="s">
        <v>271</v>
      </c>
      <c r="F96" s="144" t="s">
        <v>391</v>
      </c>
      <c r="G96" s="133"/>
      <c r="H96" s="385" t="s">
        <v>392</v>
      </c>
      <c r="I96" s="133"/>
      <c r="J96" s="385" t="s">
        <v>393</v>
      </c>
      <c r="K96" s="133"/>
      <c r="L96" s="144" t="s">
        <v>394</v>
      </c>
      <c r="M96" s="133"/>
      <c r="N96" s="385" t="s">
        <v>225</v>
      </c>
      <c r="O96" s="133"/>
      <c r="P96" s="144" t="s">
        <v>395</v>
      </c>
      <c r="Q96" s="133"/>
      <c r="R96" s="144" t="s">
        <v>396</v>
      </c>
      <c r="S96" s="133"/>
      <c r="T96" s="38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405"/>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406"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85" t="s">
        <v>262</v>
      </c>
      <c r="F104" s="385" t="s">
        <v>244</v>
      </c>
      <c r="G104" s="133"/>
      <c r="H104" s="144" t="s">
        <v>399</v>
      </c>
      <c r="I104" s="133"/>
      <c r="J104" s="385" t="s">
        <v>277</v>
      </c>
      <c r="K104" s="133"/>
      <c r="L104" s="385" t="s">
        <v>280</v>
      </c>
      <c r="M104" s="133"/>
      <c r="N104" s="144" t="s">
        <v>400</v>
      </c>
      <c r="O104" s="133"/>
      <c r="P104" s="144" t="s">
        <v>401</v>
      </c>
      <c r="Q104" s="133"/>
      <c r="R104" s="38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85" t="s">
        <v>404</v>
      </c>
      <c r="C113" s="133"/>
      <c r="D113" s="144" t="s">
        <v>405</v>
      </c>
      <c r="F113" s="385" t="s">
        <v>406</v>
      </c>
      <c r="G113" s="133"/>
      <c r="H113" s="385" t="s">
        <v>290</v>
      </c>
      <c r="I113" s="133"/>
      <c r="J113" s="38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409">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85" t="s">
        <v>414</v>
      </c>
      <c r="C120" s="133"/>
      <c r="D120" s="144" t="s">
        <v>415</v>
      </c>
      <c r="F120" s="385" t="s">
        <v>217</v>
      </c>
      <c r="G120" s="133"/>
      <c r="H120" s="144" t="s">
        <v>416</v>
      </c>
      <c r="I120" s="133"/>
      <c r="J120" s="385" t="s">
        <v>294</v>
      </c>
      <c r="K120" s="133"/>
      <c r="L120" s="385" t="s">
        <v>276</v>
      </c>
      <c r="N120" s="144" t="s">
        <v>417</v>
      </c>
      <c r="O120" s="133"/>
      <c r="P120" s="385" t="s">
        <v>418</v>
      </c>
      <c r="Q120" s="133"/>
      <c r="R120" s="144" t="s">
        <v>419</v>
      </c>
      <c r="S120" s="133"/>
      <c r="T120" s="145" t="s">
        <v>420</v>
      </c>
      <c r="U120" s="133"/>
      <c r="V120" s="410"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85" t="s">
        <v>289</v>
      </c>
      <c r="C128" s="191"/>
      <c r="D128" s="385" t="s">
        <v>422</v>
      </c>
      <c r="F128" s="385" t="s">
        <v>423</v>
      </c>
      <c r="H128" s="385" t="s">
        <v>424</v>
      </c>
      <c r="J128" s="385" t="s">
        <v>425</v>
      </c>
      <c r="L128" s="385" t="s">
        <v>279</v>
      </c>
      <c r="N128" s="385" t="s">
        <v>426</v>
      </c>
      <c r="P128" s="385" t="s">
        <v>427</v>
      </c>
      <c r="Q128" s="133"/>
      <c r="R128" s="385" t="s">
        <v>428</v>
      </c>
      <c r="T128" s="385" t="s">
        <v>291</v>
      </c>
      <c r="U128" s="133"/>
      <c r="V128" s="410"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11" t="s">
        <v>220</v>
      </c>
      <c r="H130" s="145"/>
      <c r="J130" s="145"/>
      <c r="L130" s="145"/>
      <c r="N130" s="145"/>
      <c r="P130" s="411"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85" t="s">
        <v>431</v>
      </c>
      <c r="C137" s="191"/>
      <c r="D137" s="385" t="s">
        <v>432</v>
      </c>
      <c r="F137" s="385" t="s">
        <v>433</v>
      </c>
      <c r="H137" s="385" t="s">
        <v>434</v>
      </c>
      <c r="J137" s="412" t="s">
        <v>435</v>
      </c>
      <c r="L137" s="385" t="s">
        <v>436</v>
      </c>
      <c r="N137" s="385" t="s">
        <v>437</v>
      </c>
      <c r="P137" s="385" t="s">
        <v>438</v>
      </c>
      <c r="Q137" s="133"/>
      <c r="R137" s="385" t="s">
        <v>439</v>
      </c>
      <c r="T137" s="385" t="s">
        <v>440</v>
      </c>
      <c r="U137" s="133"/>
      <c r="V137" s="410"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85" t="s">
        <v>443</v>
      </c>
      <c r="C146" s="191"/>
      <c r="D146" s="385" t="s">
        <v>444</v>
      </c>
      <c r="F146" s="385" t="s">
        <v>445</v>
      </c>
      <c r="H146" s="385" t="s">
        <v>446</v>
      </c>
      <c r="J146" s="385" t="s">
        <v>447</v>
      </c>
      <c r="L146" s="385" t="s">
        <v>448</v>
      </c>
      <c r="N146" s="412" t="s">
        <v>449</v>
      </c>
      <c r="P146" s="385" t="s">
        <v>450</v>
      </c>
      <c r="Q146" s="133"/>
      <c r="R146" s="385" t="s">
        <v>451</v>
      </c>
      <c r="T146" s="412" t="s">
        <v>452</v>
      </c>
      <c r="U146" s="133"/>
      <c r="V146" s="410"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11" t="s">
        <v>220</v>
      </c>
      <c r="F148" s="411" t="s">
        <v>220</v>
      </c>
      <c r="H148" s="145"/>
      <c r="J148" s="145"/>
      <c r="L148" s="145"/>
      <c r="N148" s="145"/>
      <c r="P148" s="145"/>
      <c r="Q148" s="133"/>
      <c r="R148" s="145"/>
      <c r="T148" s="145"/>
      <c r="U148" s="133"/>
      <c r="V148" s="413" t="s">
        <v>454</v>
      </c>
    </row>
    <row r="149" spans="1:22">
      <c r="A149" s="132"/>
      <c r="B149" s="145"/>
      <c r="C149" s="133"/>
      <c r="D149" s="411"/>
      <c r="F149" s="411"/>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85" t="s">
        <v>455</v>
      </c>
      <c r="C155" s="191"/>
      <c r="D155" s="385" t="s">
        <v>456</v>
      </c>
      <c r="F155" s="385" t="s">
        <v>457</v>
      </c>
      <c r="H155" s="385" t="s">
        <v>458</v>
      </c>
      <c r="J155" s="385" t="s">
        <v>459</v>
      </c>
      <c r="L155" s="385" t="s">
        <v>460</v>
      </c>
      <c r="N155" s="385" t="s">
        <v>461</v>
      </c>
      <c r="P155" s="385" t="s">
        <v>462</v>
      </c>
      <c r="Q155" s="133"/>
      <c r="R155" s="412" t="s">
        <v>463</v>
      </c>
      <c r="T155" s="385" t="s">
        <v>464</v>
      </c>
      <c r="U155" s="133"/>
      <c r="V155" s="414"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11"/>
      <c r="F157" s="411"/>
      <c r="H157" s="411" t="s">
        <v>466</v>
      </c>
      <c r="J157" s="411" t="s">
        <v>466</v>
      </c>
      <c r="L157" s="145"/>
      <c r="N157" s="145"/>
      <c r="P157" s="145"/>
      <c r="Q157" s="133"/>
      <c r="R157" s="145"/>
      <c r="T157" s="411"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85" t="s">
        <v>467</v>
      </c>
      <c r="C163" s="191"/>
      <c r="D163" s="412" t="s">
        <v>468</v>
      </c>
      <c r="F163" s="385" t="s">
        <v>469</v>
      </c>
      <c r="H163" s="412" t="s">
        <v>470</v>
      </c>
      <c r="J163" s="412" t="s">
        <v>471</v>
      </c>
      <c r="L163" s="385" t="s">
        <v>472</v>
      </c>
      <c r="N163" s="385" t="s">
        <v>473</v>
      </c>
      <c r="P163" s="385" t="s">
        <v>474</v>
      </c>
      <c r="Q163" s="133"/>
      <c r="R163" s="385" t="s">
        <v>475</v>
      </c>
      <c r="T163" s="385" t="s">
        <v>476</v>
      </c>
      <c r="U163" s="133"/>
      <c r="V163" s="414"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11" t="s">
        <v>366</v>
      </c>
      <c r="F165" s="411"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85" t="s">
        <v>478</v>
      </c>
      <c r="C171" s="191"/>
      <c r="D171" s="385" t="s">
        <v>863</v>
      </c>
      <c r="F171" s="412" t="s">
        <v>734</v>
      </c>
      <c r="H171" s="412" t="s">
        <v>735</v>
      </c>
      <c r="J171" s="412" t="s">
        <v>864</v>
      </c>
      <c r="L171" s="412" t="s">
        <v>865</v>
      </c>
      <c r="N171" s="412" t="s">
        <v>866</v>
      </c>
      <c r="P171" s="412" t="s">
        <v>739</v>
      </c>
      <c r="Q171" s="133"/>
      <c r="R171" s="412" t="s">
        <v>740</v>
      </c>
      <c r="T171" s="412" t="s">
        <v>741</v>
      </c>
      <c r="U171" s="133"/>
      <c r="V171" s="414"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12" t="s">
        <v>743</v>
      </c>
      <c r="C178" s="133"/>
      <c r="D178" s="412" t="s">
        <v>744</v>
      </c>
      <c r="F178" s="412" t="s">
        <v>745</v>
      </c>
      <c r="H178" s="412" t="s">
        <v>867</v>
      </c>
      <c r="J178" s="412" t="s">
        <v>747</v>
      </c>
      <c r="L178" s="412" t="s">
        <v>868</v>
      </c>
      <c r="N178" s="412" t="s">
        <v>749</v>
      </c>
      <c r="P178" s="412" t="s">
        <v>869</v>
      </c>
      <c r="Q178" s="133"/>
      <c r="R178" s="412" t="s">
        <v>751</v>
      </c>
      <c r="T178" s="412" t="s">
        <v>752</v>
      </c>
      <c r="U178" s="133"/>
      <c r="V178" s="412"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12" t="s">
        <v>754</v>
      </c>
      <c r="D185" s="412"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404" t="s">
        <v>182</v>
      </c>
    </row>
    <row r="206" spans="1:22" hidden="1"/>
    <row r="207" spans="1:22" hidden="1">
      <c r="B207" s="418">
        <v>50</v>
      </c>
      <c r="C207" s="418">
        <v>28</v>
      </c>
      <c r="D207" s="418">
        <v>21</v>
      </c>
      <c r="E207" s="418">
        <v>20</v>
      </c>
      <c r="F207" s="418">
        <v>119</v>
      </c>
      <c r="G207" s="349">
        <v>3</v>
      </c>
      <c r="H207" s="349">
        <v>2</v>
      </c>
      <c r="I207" s="349">
        <v>1</v>
      </c>
      <c r="J207" s="350">
        <v>7</v>
      </c>
      <c r="K207">
        <v>13</v>
      </c>
      <c r="L207" s="419">
        <v>12</v>
      </c>
      <c r="M207" s="419">
        <v>6</v>
      </c>
      <c r="N207" s="419">
        <v>4</v>
      </c>
      <c r="O207" s="419">
        <v>2</v>
      </c>
      <c r="P207">
        <v>24</v>
      </c>
      <c r="Q207" s="420">
        <v>9</v>
      </c>
      <c r="R207" s="420">
        <v>5</v>
      </c>
      <c r="S207" s="420">
        <v>1</v>
      </c>
      <c r="T207" s="420">
        <v>0</v>
      </c>
      <c r="U207" s="420">
        <v>15</v>
      </c>
    </row>
    <row r="208" spans="1:22" hidden="1"/>
    <row r="209" spans="2:9" hidden="1"/>
    <row r="210" spans="2:9">
      <c r="B210" s="404" t="s">
        <v>1091</v>
      </c>
    </row>
    <row r="211" spans="2:9">
      <c r="B211" s="416" t="s">
        <v>1092</v>
      </c>
      <c r="C211" s="416" t="s">
        <v>1093</v>
      </c>
      <c r="D211" s="416" t="s">
        <v>1092</v>
      </c>
      <c r="E211" s="416" t="s">
        <v>1093</v>
      </c>
      <c r="F211" s="416" t="s">
        <v>1092</v>
      </c>
      <c r="G211" s="417" t="s">
        <v>1093</v>
      </c>
      <c r="H211" s="416" t="s">
        <v>1092</v>
      </c>
      <c r="I211" s="416" t="s">
        <v>1093</v>
      </c>
    </row>
    <row r="212" spans="2:9">
      <c r="B212" s="415" t="s">
        <v>182</v>
      </c>
      <c r="C212" s="310">
        <v>50</v>
      </c>
      <c r="D212" s="415" t="s">
        <v>119</v>
      </c>
      <c r="E212" s="310">
        <v>3</v>
      </c>
      <c r="F212" s="415" t="s">
        <v>115</v>
      </c>
      <c r="G212" s="310">
        <v>12</v>
      </c>
      <c r="H212" s="415" t="s">
        <v>125</v>
      </c>
      <c r="I212" s="310">
        <v>9</v>
      </c>
    </row>
    <row r="213" spans="2:9">
      <c r="B213" s="415" t="s">
        <v>185</v>
      </c>
      <c r="C213" s="310">
        <v>28</v>
      </c>
      <c r="D213" s="415" t="s">
        <v>188</v>
      </c>
      <c r="E213" s="310">
        <v>2</v>
      </c>
      <c r="F213" s="415" t="s">
        <v>137</v>
      </c>
      <c r="G213" s="310">
        <v>6</v>
      </c>
      <c r="H213" s="415" t="s">
        <v>143</v>
      </c>
      <c r="I213" s="310">
        <v>5</v>
      </c>
    </row>
    <row r="214" spans="2:9">
      <c r="B214" s="415" t="s">
        <v>242</v>
      </c>
      <c r="C214" s="310">
        <v>21</v>
      </c>
      <c r="D214" s="415" t="s">
        <v>167</v>
      </c>
      <c r="E214" s="310">
        <v>1</v>
      </c>
      <c r="F214" s="415" t="s">
        <v>128</v>
      </c>
      <c r="G214" s="310">
        <v>4</v>
      </c>
      <c r="H214" s="415" t="s">
        <v>192</v>
      </c>
      <c r="I214" s="310">
        <v>1</v>
      </c>
    </row>
    <row r="215" spans="2:9">
      <c r="B215" s="415" t="s">
        <v>248</v>
      </c>
      <c r="C215" s="310">
        <v>20</v>
      </c>
      <c r="D215" s="415" t="s">
        <v>132</v>
      </c>
      <c r="E215" s="310">
        <v>7</v>
      </c>
      <c r="F215" s="415" t="s">
        <v>123</v>
      </c>
      <c r="G215" s="310">
        <v>2</v>
      </c>
      <c r="H215" s="415" t="s">
        <v>147</v>
      </c>
      <c r="I215" s="310">
        <v>0</v>
      </c>
    </row>
    <row r="216" spans="2:9">
      <c r="B216" s="310"/>
      <c r="C216" s="310">
        <f>SUM(C212:C215)</f>
        <v>119</v>
      </c>
      <c r="D216" s="310"/>
      <c r="E216" s="310">
        <f>SUM(E212:E215)</f>
        <v>13</v>
      </c>
      <c r="F216" s="310"/>
      <c r="G216" s="310">
        <f>SUM(G212:G215)</f>
        <v>24</v>
      </c>
      <c r="H216" s="415" t="s">
        <v>117</v>
      </c>
      <c r="I216" s="310"/>
    </row>
    <row r="217" spans="2:9">
      <c r="B217" s="404"/>
      <c r="H217" s="415" t="s">
        <v>113</v>
      </c>
      <c r="I217" s="310"/>
    </row>
    <row r="218" spans="2:9">
      <c r="B218" s="404"/>
      <c r="H218" s="415" t="s">
        <v>201</v>
      </c>
      <c r="I218" s="310"/>
    </row>
    <row r="219" spans="2:9">
      <c r="B219" s="404"/>
      <c r="H219" s="404"/>
      <c r="I219">
        <f>SUM(I212:I218)</f>
        <v>15</v>
      </c>
    </row>
    <row r="220" spans="2:9">
      <c r="B220" s="427"/>
      <c r="C220" s="404"/>
      <c r="D220" s="404"/>
    </row>
    <row r="221" spans="2:9">
      <c r="B221" s="404"/>
      <c r="C221" s="404"/>
    </row>
    <row r="222" spans="2:9">
      <c r="B222" s="404"/>
      <c r="C222" s="1597"/>
    </row>
    <row r="223" spans="2:9">
      <c r="B223" s="404"/>
      <c r="C223" s="1597"/>
    </row>
    <row r="224" spans="2:9">
      <c r="B224" s="404"/>
      <c r="C224" s="1597"/>
    </row>
    <row r="226" spans="2:2">
      <c r="B226" s="404"/>
    </row>
    <row r="227" spans="2:2">
      <c r="B227" s="404"/>
    </row>
    <row r="228" spans="2:2">
      <c r="B228" s="404"/>
    </row>
    <row r="229" spans="2:2">
      <c r="B229" s="404"/>
    </row>
    <row r="231" spans="2:2">
      <c r="B231" s="404"/>
    </row>
    <row r="232" spans="2:2">
      <c r="B232" s="404"/>
    </row>
    <row r="233" spans="2:2">
      <c r="B233" s="404"/>
    </row>
    <row r="234" spans="2:2">
      <c r="B234" s="404"/>
    </row>
    <row r="236" spans="2:2">
      <c r="B236" s="404"/>
    </row>
    <row r="237" spans="2:2">
      <c r="B237" s="404"/>
    </row>
    <row r="238" spans="2:2">
      <c r="B238" s="404"/>
    </row>
    <row r="239" spans="2:2">
      <c r="B239" s="404"/>
    </row>
    <row r="240" spans="2:2">
      <c r="B240" s="404"/>
    </row>
    <row r="241" spans="2:2">
      <c r="B241" s="404"/>
    </row>
    <row r="242" spans="2:2">
      <c r="B242" s="404"/>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0"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634" t="s">
        <v>78</v>
      </c>
      <c r="B1" s="1635"/>
      <c r="C1" s="1635"/>
      <c r="D1" s="1635"/>
      <c r="E1" s="1635"/>
      <c r="F1" s="1635"/>
      <c r="G1" s="1635"/>
      <c r="H1" s="1635"/>
      <c r="I1" s="1635"/>
      <c r="J1" s="1635"/>
      <c r="K1" s="1635"/>
      <c r="L1" s="1635"/>
      <c r="M1" s="1635"/>
      <c r="N1" s="1635"/>
      <c r="O1" s="1635"/>
      <c r="P1" s="1635"/>
      <c r="Q1" s="1635"/>
      <c r="R1" s="1635"/>
      <c r="S1" s="1635"/>
      <c r="T1" s="1635"/>
      <c r="U1" s="1635"/>
      <c r="V1" s="1635"/>
      <c r="W1" s="1635"/>
      <c r="X1" s="1635"/>
      <c r="Y1" s="1635"/>
      <c r="Z1" s="1635"/>
      <c r="AA1" s="1635"/>
      <c r="AB1" s="1635"/>
      <c r="AC1" s="1636"/>
    </row>
    <row r="2" spans="1:29" ht="15.5">
      <c r="A2" s="1637" t="s">
        <v>79</v>
      </c>
      <c r="B2" s="1333"/>
      <c r="C2" s="1333"/>
      <c r="D2" s="1333"/>
      <c r="E2" s="1333"/>
      <c r="F2" s="1333"/>
      <c r="G2" s="1333"/>
      <c r="H2" s="1333"/>
      <c r="I2" s="1333"/>
      <c r="J2" s="1333"/>
      <c r="K2" s="1333"/>
      <c r="L2" s="1333"/>
      <c r="M2" s="1333"/>
      <c r="N2" s="1333"/>
      <c r="O2" s="1333"/>
      <c r="P2" s="1333"/>
      <c r="Q2" s="1333"/>
      <c r="R2" s="1333"/>
      <c r="S2" s="1333"/>
      <c r="T2" s="1333"/>
      <c r="U2" s="1333"/>
      <c r="V2" s="1333"/>
      <c r="W2" s="1333"/>
      <c r="X2" s="1333"/>
      <c r="Y2" s="1333"/>
      <c r="Z2" s="1333"/>
      <c r="AA2" s="1333"/>
      <c r="AB2" s="1333"/>
      <c r="AC2" s="1638"/>
    </row>
    <row r="3" spans="1:29" ht="15.5">
      <c r="A3" s="1637" t="s">
        <v>80</v>
      </c>
      <c r="B3" s="1333"/>
      <c r="C3" s="1333"/>
      <c r="D3" s="1333"/>
      <c r="E3" s="1333"/>
      <c r="F3" s="1333"/>
      <c r="G3" s="1333"/>
      <c r="H3" s="1333"/>
      <c r="I3" s="1333"/>
      <c r="J3" s="1333"/>
      <c r="K3" s="1333"/>
      <c r="L3" s="1333"/>
      <c r="M3" s="1333"/>
      <c r="N3" s="1333"/>
      <c r="O3" s="1333"/>
      <c r="P3" s="1333"/>
      <c r="Q3" s="1333"/>
      <c r="R3" s="1333"/>
      <c r="S3" s="1333"/>
      <c r="T3" s="1333"/>
      <c r="U3" s="1333"/>
      <c r="V3" s="1333"/>
      <c r="W3" s="1333"/>
      <c r="X3" s="1333"/>
      <c r="Y3" s="1333"/>
      <c r="Z3" s="1333"/>
      <c r="AA3" s="1333"/>
      <c r="AB3" s="1333"/>
      <c r="AC3" s="1638"/>
    </row>
    <row r="4" spans="1:29" ht="18.5">
      <c r="A4" s="1639" t="s">
        <v>871</v>
      </c>
      <c r="B4" s="1334"/>
      <c r="C4" s="1334"/>
      <c r="D4" s="1334"/>
      <c r="E4" s="1334"/>
      <c r="F4" s="1334"/>
      <c r="G4" s="1334"/>
      <c r="H4" s="1334"/>
      <c r="I4" s="1334"/>
      <c r="J4" s="1334"/>
      <c r="K4" s="1334"/>
      <c r="L4" s="1334"/>
      <c r="M4" s="1334"/>
      <c r="N4" s="1334"/>
      <c r="O4" s="1334"/>
      <c r="P4" s="1334"/>
      <c r="Q4" s="1334"/>
      <c r="R4" s="1334"/>
      <c r="S4" s="1334"/>
      <c r="T4" s="1334"/>
      <c r="U4" s="1334"/>
      <c r="V4" s="1334"/>
      <c r="W4" s="1334"/>
      <c r="X4" s="1334"/>
      <c r="Y4" s="1334"/>
      <c r="Z4" s="1334"/>
      <c r="AA4" s="1334"/>
      <c r="AB4" s="1334"/>
      <c r="AC4" s="1640"/>
    </row>
    <row r="5" spans="1:29" ht="15.5">
      <c r="A5" s="1641" t="s">
        <v>872</v>
      </c>
      <c r="B5" s="1642"/>
      <c r="C5" s="1642"/>
      <c r="D5" s="1642"/>
      <c r="E5" s="1642"/>
      <c r="F5" s="1642"/>
      <c r="G5" s="1642"/>
      <c r="H5" s="1642"/>
      <c r="I5" s="1642"/>
      <c r="J5" s="1642"/>
      <c r="K5" s="1642"/>
      <c r="L5" s="1642"/>
      <c r="M5" s="1642"/>
      <c r="N5" s="1642"/>
      <c r="O5" s="1642"/>
      <c r="P5" s="1642"/>
      <c r="Q5" s="1642"/>
      <c r="R5" s="1642"/>
      <c r="S5" s="1642"/>
      <c r="T5" s="1642"/>
      <c r="U5" s="1642"/>
      <c r="V5" s="1642"/>
      <c r="W5" s="1642"/>
      <c r="X5" s="1642"/>
      <c r="Y5" s="1642"/>
      <c r="Z5" s="1642"/>
      <c r="AA5" s="1642"/>
      <c r="AB5" s="1642"/>
      <c r="AC5" s="1643"/>
    </row>
    <row r="6" spans="1:29" ht="21">
      <c r="A6" s="1617" t="s">
        <v>873</v>
      </c>
      <c r="B6" s="1618"/>
      <c r="C6" s="1618"/>
      <c r="D6" s="1618"/>
      <c r="E6" s="1618"/>
      <c r="F6" s="1618"/>
      <c r="G6" s="1618"/>
      <c r="H6" s="1619" t="s">
        <v>874</v>
      </c>
      <c r="I6" s="1619"/>
      <c r="J6" s="1619"/>
      <c r="K6" s="1619"/>
      <c r="L6" s="1620"/>
      <c r="M6" s="1619"/>
      <c r="N6" s="1619"/>
      <c r="O6" s="1619"/>
      <c r="P6" s="1619"/>
      <c r="Q6" s="1619"/>
      <c r="R6" s="1619"/>
      <c r="S6" s="1619"/>
      <c r="T6" s="1619"/>
      <c r="U6" s="1619"/>
      <c r="V6" s="1619"/>
      <c r="W6" s="1619"/>
      <c r="X6" s="1619"/>
      <c r="Y6" s="1619"/>
      <c r="Z6" s="1619"/>
      <c r="AA6" s="1619"/>
      <c r="AB6" s="91"/>
      <c r="AC6" s="92"/>
    </row>
    <row r="7" spans="1:29" ht="15" customHeight="1">
      <c r="A7" s="1607" t="s">
        <v>875</v>
      </c>
      <c r="B7" s="1609" t="s">
        <v>876</v>
      </c>
      <c r="C7" s="1611" t="s">
        <v>109</v>
      </c>
      <c r="D7" s="1613" t="s">
        <v>877</v>
      </c>
      <c r="E7" s="1609" t="s">
        <v>878</v>
      </c>
      <c r="F7" s="1615" t="s">
        <v>879</v>
      </c>
      <c r="G7" s="1611" t="s">
        <v>880</v>
      </c>
      <c r="H7" s="1621" t="s">
        <v>875</v>
      </c>
      <c r="I7" s="1626" t="s">
        <v>876</v>
      </c>
      <c r="J7" s="1621" t="s">
        <v>109</v>
      </c>
      <c r="K7" s="1628" t="s">
        <v>877</v>
      </c>
      <c r="L7" s="1630" t="s">
        <v>881</v>
      </c>
      <c r="M7" s="1626" t="s">
        <v>878</v>
      </c>
      <c r="N7" s="1632" t="s">
        <v>879</v>
      </c>
      <c r="O7" s="1621" t="s">
        <v>880</v>
      </c>
      <c r="P7" s="1621" t="s">
        <v>882</v>
      </c>
      <c r="Q7" s="1621"/>
      <c r="R7" s="1621"/>
      <c r="S7" s="1628" t="s">
        <v>883</v>
      </c>
      <c r="T7" s="1622" t="s">
        <v>884</v>
      </c>
      <c r="U7" s="1622"/>
      <c r="V7" s="1622"/>
      <c r="W7" s="1622" t="s">
        <v>885</v>
      </c>
      <c r="X7" s="1622"/>
      <c r="Y7" s="1622"/>
      <c r="Z7" s="1621" t="s">
        <v>886</v>
      </c>
      <c r="AA7" s="1623" t="s">
        <v>887</v>
      </c>
      <c r="AB7" s="1623"/>
      <c r="AC7" s="1624"/>
    </row>
    <row r="8" spans="1:29" ht="56.5" customHeight="1">
      <c r="A8" s="1608"/>
      <c r="B8" s="1610"/>
      <c r="C8" s="1612"/>
      <c r="D8" s="1614"/>
      <c r="E8" s="1610"/>
      <c r="F8" s="1616"/>
      <c r="G8" s="1612"/>
      <c r="H8" s="1625"/>
      <c r="I8" s="1627"/>
      <c r="J8" s="1625"/>
      <c r="K8" s="1629"/>
      <c r="L8" s="1631"/>
      <c r="M8" s="1627"/>
      <c r="N8" s="1633"/>
      <c r="O8" s="1625"/>
      <c r="P8" s="70" t="s">
        <v>888</v>
      </c>
      <c r="Q8" s="70" t="s">
        <v>889</v>
      </c>
      <c r="R8" s="70" t="s">
        <v>481</v>
      </c>
      <c r="S8" s="1629"/>
      <c r="T8" s="70" t="s">
        <v>888</v>
      </c>
      <c r="U8" s="70" t="s">
        <v>889</v>
      </c>
      <c r="V8" s="70" t="s">
        <v>481</v>
      </c>
      <c r="W8" s="70" t="s">
        <v>888</v>
      </c>
      <c r="X8" s="70" t="s">
        <v>889</v>
      </c>
      <c r="Y8" s="70" t="s">
        <v>481</v>
      </c>
      <c r="Z8" s="1625"/>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01">
        <v>2920</v>
      </c>
      <c r="H10" s="58"/>
      <c r="I10" s="58"/>
      <c r="J10" s="58"/>
      <c r="K10" s="75"/>
      <c r="L10" s="76"/>
      <c r="M10" s="54"/>
      <c r="N10" s="56">
        <v>345.19</v>
      </c>
      <c r="O10" s="1601">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601"/>
      <c r="H11" s="61">
        <v>2</v>
      </c>
      <c r="I11" s="60" t="s">
        <v>898</v>
      </c>
      <c r="J11" s="60" t="s">
        <v>899</v>
      </c>
      <c r="K11" s="75"/>
      <c r="L11" s="76"/>
      <c r="M11" s="54"/>
      <c r="N11" s="54"/>
      <c r="O11" s="160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01"/>
      <c r="H12" s="58"/>
      <c r="I12" s="58"/>
      <c r="J12" s="58"/>
      <c r="K12" s="75"/>
      <c r="L12" s="76"/>
      <c r="M12" s="54"/>
      <c r="N12" s="56">
        <v>332.38</v>
      </c>
      <c r="O12" s="1601"/>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601"/>
      <c r="H13" s="61">
        <v>3</v>
      </c>
      <c r="I13" s="60" t="s">
        <v>901</v>
      </c>
      <c r="J13" s="60" t="s">
        <v>899</v>
      </c>
      <c r="K13" s="75"/>
      <c r="L13" s="76"/>
      <c r="M13" s="54"/>
      <c r="N13" s="54"/>
      <c r="O13" s="160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01"/>
      <c r="H14" s="58"/>
      <c r="I14" s="58"/>
      <c r="J14" s="58"/>
      <c r="K14" s="75"/>
      <c r="L14" s="76"/>
      <c r="M14" s="54"/>
      <c r="N14" s="56">
        <v>393.62</v>
      </c>
      <c r="O14" s="1601"/>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601"/>
      <c r="H15" s="61">
        <v>4</v>
      </c>
      <c r="I15" s="60" t="s">
        <v>902</v>
      </c>
      <c r="J15" s="60" t="s">
        <v>903</v>
      </c>
      <c r="K15" s="75"/>
      <c r="L15" s="76"/>
      <c r="M15" s="54"/>
      <c r="N15" s="54"/>
      <c r="O15" s="160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01"/>
      <c r="H16" s="58"/>
      <c r="I16" s="58"/>
      <c r="J16" s="58"/>
      <c r="K16" s="75"/>
      <c r="L16" s="76"/>
      <c r="M16" s="54"/>
      <c r="N16" s="56">
        <v>387.95</v>
      </c>
      <c r="O16" s="1601"/>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601"/>
      <c r="H17" s="61">
        <v>5</v>
      </c>
      <c r="I17" s="60" t="s">
        <v>905</v>
      </c>
      <c r="J17" s="60" t="s">
        <v>899</v>
      </c>
      <c r="K17" s="75"/>
      <c r="L17" s="76"/>
      <c r="M17" s="54"/>
      <c r="N17" s="54"/>
      <c r="O17" s="160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01"/>
      <c r="H18" s="58"/>
      <c r="I18" s="58"/>
      <c r="J18" s="58"/>
      <c r="K18" s="75"/>
      <c r="L18" s="76"/>
      <c r="M18" s="54"/>
      <c r="N18" s="56">
        <v>340.35</v>
      </c>
      <c r="O18" s="1601"/>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601"/>
      <c r="H19" s="61">
        <v>6</v>
      </c>
      <c r="I19" s="60" t="s">
        <v>907</v>
      </c>
      <c r="J19" s="60" t="s">
        <v>899</v>
      </c>
      <c r="K19" s="75"/>
      <c r="L19" s="76"/>
      <c r="M19" s="54"/>
      <c r="N19" s="54"/>
      <c r="O19" s="160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01"/>
      <c r="H20" s="58"/>
      <c r="I20" s="58"/>
      <c r="J20" s="58"/>
      <c r="K20" s="75"/>
      <c r="L20" s="76"/>
      <c r="M20" s="54"/>
      <c r="N20" s="56">
        <v>393.12</v>
      </c>
      <c r="O20" s="1601"/>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601"/>
      <c r="H21" s="61">
        <v>7</v>
      </c>
      <c r="I21" s="60" t="s">
        <v>908</v>
      </c>
      <c r="J21" s="60" t="s">
        <v>899</v>
      </c>
      <c r="K21" s="75"/>
      <c r="L21" s="76"/>
      <c r="M21" s="54"/>
      <c r="N21" s="54"/>
      <c r="O21" s="160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01"/>
      <c r="H22" s="58"/>
      <c r="I22" s="58"/>
      <c r="J22" s="58"/>
      <c r="K22" s="75"/>
      <c r="L22" s="76"/>
      <c r="M22" s="54"/>
      <c r="N22" s="56">
        <v>328.54</v>
      </c>
      <c r="O22" s="1601"/>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601"/>
      <c r="H23" s="61">
        <v>8</v>
      </c>
      <c r="I23" s="60" t="s">
        <v>909</v>
      </c>
      <c r="J23" s="60" t="s">
        <v>899</v>
      </c>
      <c r="K23" s="75"/>
      <c r="L23" s="76"/>
      <c r="M23" s="54"/>
      <c r="N23" s="54"/>
      <c r="O23" s="160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01"/>
      <c r="H24" s="58"/>
      <c r="I24" s="58"/>
      <c r="J24" s="58"/>
      <c r="K24" s="75"/>
      <c r="L24" s="76"/>
      <c r="M24" s="54"/>
      <c r="N24" s="56">
        <v>398.52</v>
      </c>
      <c r="O24" s="1601"/>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01">
        <v>835</v>
      </c>
      <c r="H26" s="58"/>
      <c r="I26" s="58"/>
      <c r="J26" s="58"/>
      <c r="K26" s="75"/>
      <c r="L26" s="76"/>
      <c r="M26" s="54"/>
      <c r="N26" s="56">
        <v>425.85</v>
      </c>
      <c r="O26" s="1601">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601"/>
      <c r="H27" s="61">
        <v>10</v>
      </c>
      <c r="I27" s="60" t="s">
        <v>912</v>
      </c>
      <c r="J27" s="60" t="s">
        <v>913</v>
      </c>
      <c r="K27" s="75"/>
      <c r="L27" s="76"/>
      <c r="M27" s="54"/>
      <c r="N27" s="54"/>
      <c r="O27" s="160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01"/>
      <c r="H28" s="58"/>
      <c r="I28" s="58"/>
      <c r="J28" s="58"/>
      <c r="K28" s="75"/>
      <c r="L28" s="76"/>
      <c r="M28" s="54"/>
      <c r="N28" s="56">
        <v>409.37</v>
      </c>
      <c r="O28" s="1601"/>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01">
        <v>2306</v>
      </c>
      <c r="H30" s="58"/>
      <c r="I30" s="58"/>
      <c r="J30" s="58"/>
      <c r="K30" s="75"/>
      <c r="L30" s="76"/>
      <c r="M30" s="54"/>
      <c r="N30" s="56">
        <v>388.46</v>
      </c>
      <c r="O30" s="1601">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601"/>
      <c r="H31" s="61">
        <v>12</v>
      </c>
      <c r="I31" s="60" t="s">
        <v>917</v>
      </c>
      <c r="J31" s="60" t="s">
        <v>899</v>
      </c>
      <c r="K31" s="75"/>
      <c r="L31" s="76"/>
      <c r="M31" s="54"/>
      <c r="N31" s="54"/>
      <c r="O31" s="160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01"/>
      <c r="H32" s="58"/>
      <c r="I32" s="58"/>
      <c r="J32" s="58"/>
      <c r="K32" s="75"/>
      <c r="L32" s="76"/>
      <c r="M32" s="54"/>
      <c r="N32" s="56">
        <v>380.96</v>
      </c>
      <c r="O32" s="1601"/>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601"/>
      <c r="H33" s="61">
        <v>13</v>
      </c>
      <c r="I33" s="60" t="s">
        <v>919</v>
      </c>
      <c r="J33" s="60" t="s">
        <v>903</v>
      </c>
      <c r="K33" s="75"/>
      <c r="L33" s="81" t="s">
        <v>332</v>
      </c>
      <c r="M33" s="54"/>
      <c r="N33" s="54"/>
      <c r="O33" s="160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01"/>
      <c r="H34" s="58"/>
      <c r="I34" s="58"/>
      <c r="J34" s="58"/>
      <c r="K34" s="75"/>
      <c r="L34" s="76"/>
      <c r="M34" s="54"/>
      <c r="N34" s="56">
        <v>381.39</v>
      </c>
      <c r="O34" s="1601"/>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601"/>
      <c r="H35" s="61">
        <v>14</v>
      </c>
      <c r="I35" s="60" t="s">
        <v>920</v>
      </c>
      <c r="J35" s="60" t="s">
        <v>899</v>
      </c>
      <c r="K35" s="75"/>
      <c r="L35" s="76"/>
      <c r="M35" s="54"/>
      <c r="N35" s="54"/>
      <c r="O35" s="160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01"/>
      <c r="H36" s="58"/>
      <c r="I36" s="58"/>
      <c r="J36" s="58"/>
      <c r="K36" s="75"/>
      <c r="L36" s="76"/>
      <c r="M36" s="54"/>
      <c r="N36" s="56">
        <v>344.6</v>
      </c>
      <c r="O36" s="1601"/>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601"/>
      <c r="H37" s="61">
        <v>15</v>
      </c>
      <c r="I37" s="60" t="s">
        <v>922</v>
      </c>
      <c r="J37" s="60" t="s">
        <v>903</v>
      </c>
      <c r="K37" s="75"/>
      <c r="L37" s="76"/>
      <c r="M37" s="54"/>
      <c r="N37" s="54"/>
      <c r="O37" s="160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01"/>
      <c r="H38" s="58"/>
      <c r="I38" s="58"/>
      <c r="J38" s="58"/>
      <c r="K38" s="75"/>
      <c r="L38" s="76"/>
      <c r="M38" s="54"/>
      <c r="N38" s="56">
        <v>395.64</v>
      </c>
      <c r="O38" s="1601"/>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601"/>
      <c r="H39" s="61">
        <v>16</v>
      </c>
      <c r="I39" s="60" t="s">
        <v>923</v>
      </c>
      <c r="J39" s="60" t="s">
        <v>913</v>
      </c>
      <c r="K39" s="75"/>
      <c r="L39" s="76"/>
      <c r="M39" s="54"/>
      <c r="N39" s="54"/>
      <c r="O39" s="160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01"/>
      <c r="H40" s="58"/>
      <c r="I40" s="58"/>
      <c r="J40" s="58"/>
      <c r="K40" s="75"/>
      <c r="L40" s="76"/>
      <c r="M40" s="54"/>
      <c r="N40" s="56">
        <v>414.76</v>
      </c>
      <c r="O40" s="1601"/>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01">
        <v>757</v>
      </c>
      <c r="H42" s="58"/>
      <c r="I42" s="58"/>
      <c r="J42" s="58"/>
      <c r="K42" s="75"/>
      <c r="L42" s="76"/>
      <c r="M42" s="54"/>
      <c r="N42" s="56">
        <v>401.93</v>
      </c>
      <c r="O42" s="1601">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601"/>
      <c r="H43" s="61">
        <v>18</v>
      </c>
      <c r="I43" s="60" t="s">
        <v>927</v>
      </c>
      <c r="J43" s="60" t="s">
        <v>903</v>
      </c>
      <c r="K43" s="68">
        <v>1</v>
      </c>
      <c r="L43" s="76"/>
      <c r="M43" s="54"/>
      <c r="N43" s="54"/>
      <c r="O43" s="160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01"/>
      <c r="H44" s="58"/>
      <c r="I44" s="58"/>
      <c r="J44" s="58"/>
      <c r="K44" s="75"/>
      <c r="L44" s="76"/>
      <c r="M44" s="54"/>
      <c r="N44" s="56">
        <v>354.95</v>
      </c>
      <c r="O44" s="1601"/>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01">
        <v>1192</v>
      </c>
      <c r="H46" s="58"/>
      <c r="I46" s="58"/>
      <c r="J46" s="58"/>
      <c r="K46" s="75"/>
      <c r="L46" s="76"/>
      <c r="M46" s="54"/>
      <c r="N46" s="56">
        <v>425</v>
      </c>
      <c r="O46" s="1601">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601"/>
      <c r="H47" s="61">
        <v>20</v>
      </c>
      <c r="I47" s="60" t="s">
        <v>932</v>
      </c>
      <c r="J47" s="60" t="s">
        <v>933</v>
      </c>
      <c r="K47" s="75"/>
      <c r="L47" s="76"/>
      <c r="M47" s="54"/>
      <c r="N47" s="54"/>
      <c r="O47" s="160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01"/>
      <c r="H48" s="58"/>
      <c r="I48" s="58"/>
      <c r="J48" s="58"/>
      <c r="K48" s="75"/>
      <c r="L48" s="76"/>
      <c r="M48" s="54"/>
      <c r="N48" s="56">
        <v>414</v>
      </c>
      <c r="O48" s="1601"/>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601"/>
      <c r="H49" s="61">
        <v>21</v>
      </c>
      <c r="I49" s="60" t="s">
        <v>934</v>
      </c>
      <c r="J49" s="60" t="s">
        <v>899</v>
      </c>
      <c r="K49" s="68">
        <v>1</v>
      </c>
      <c r="L49" s="81" t="s">
        <v>332</v>
      </c>
      <c r="M49" s="54"/>
      <c r="N49" s="54"/>
      <c r="O49" s="160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01"/>
      <c r="H50" s="58"/>
      <c r="I50" s="58"/>
      <c r="J50" s="58"/>
      <c r="K50" s="75"/>
      <c r="L50" s="76"/>
      <c r="M50" s="54"/>
      <c r="N50" s="56">
        <v>353.05</v>
      </c>
      <c r="O50" s="1601"/>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01">
        <v>829</v>
      </c>
      <c r="H52" s="58"/>
      <c r="I52" s="58"/>
      <c r="J52" s="58"/>
      <c r="K52" s="75"/>
      <c r="L52" s="76"/>
      <c r="M52" s="54"/>
      <c r="N52" s="56">
        <v>441.06</v>
      </c>
      <c r="O52" s="1601">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601"/>
      <c r="H53" s="61">
        <v>23</v>
      </c>
      <c r="I53" s="60" t="s">
        <v>939</v>
      </c>
      <c r="J53" s="60" t="s">
        <v>933</v>
      </c>
      <c r="K53" s="75"/>
      <c r="L53" s="81" t="s">
        <v>332</v>
      </c>
      <c r="M53" s="54"/>
      <c r="N53" s="54"/>
      <c r="O53" s="160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01"/>
      <c r="H54" s="58"/>
      <c r="I54" s="58"/>
      <c r="J54" s="58"/>
      <c r="K54" s="75"/>
      <c r="L54" s="76"/>
      <c r="M54" s="54"/>
      <c r="N54" s="56">
        <v>387.5</v>
      </c>
      <c r="O54" s="1601"/>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01">
        <v>2400</v>
      </c>
      <c r="H56" s="58"/>
      <c r="I56" s="58"/>
      <c r="J56" s="58"/>
      <c r="K56" s="75"/>
      <c r="L56" s="76"/>
      <c r="M56" s="54"/>
      <c r="N56" s="56">
        <v>372.63</v>
      </c>
      <c r="O56" s="1601">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601"/>
      <c r="H57" s="61">
        <v>25</v>
      </c>
      <c r="I57" s="60" t="s">
        <v>944</v>
      </c>
      <c r="J57" s="60" t="s">
        <v>899</v>
      </c>
      <c r="K57" s="75"/>
      <c r="L57" s="81" t="s">
        <v>945</v>
      </c>
      <c r="M57" s="54"/>
      <c r="N57" s="54"/>
      <c r="O57" s="160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01"/>
      <c r="H58" s="58"/>
      <c r="I58" s="58"/>
      <c r="J58" s="58"/>
      <c r="K58" s="75"/>
      <c r="L58" s="76"/>
      <c r="M58" s="54"/>
      <c r="N58" s="56">
        <v>415.3</v>
      </c>
      <c r="O58" s="1601"/>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601"/>
      <c r="H59" s="61">
        <v>26</v>
      </c>
      <c r="I59" s="60" t="s">
        <v>947</v>
      </c>
      <c r="J59" s="60" t="s">
        <v>903</v>
      </c>
      <c r="K59" s="75"/>
      <c r="L59" s="76"/>
      <c r="M59" s="54"/>
      <c r="N59" s="54"/>
      <c r="O59" s="160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01"/>
      <c r="H60" s="58"/>
      <c r="I60" s="58"/>
      <c r="J60" s="58"/>
      <c r="K60" s="75"/>
      <c r="L60" s="76"/>
      <c r="M60" s="54"/>
      <c r="N60" s="56">
        <v>424.58</v>
      </c>
      <c r="O60" s="1601"/>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601"/>
      <c r="H61" s="61">
        <v>27</v>
      </c>
      <c r="I61" s="60" t="s">
        <v>948</v>
      </c>
      <c r="J61" s="60" t="s">
        <v>899</v>
      </c>
      <c r="K61" s="75"/>
      <c r="L61" s="76"/>
      <c r="M61" s="54"/>
      <c r="N61" s="54"/>
      <c r="O61" s="160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01"/>
      <c r="H62" s="58"/>
      <c r="I62" s="58"/>
      <c r="J62" s="58"/>
      <c r="K62" s="75"/>
      <c r="L62" s="76"/>
      <c r="M62" s="54"/>
      <c r="N62" s="56">
        <v>391.7</v>
      </c>
      <c r="O62" s="1601"/>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601"/>
      <c r="H63" s="61">
        <v>28</v>
      </c>
      <c r="I63" s="60" t="s">
        <v>949</v>
      </c>
      <c r="J63" s="60" t="s">
        <v>899</v>
      </c>
      <c r="K63" s="75"/>
      <c r="L63" s="76"/>
      <c r="M63" s="54"/>
      <c r="N63" s="54"/>
      <c r="O63" s="160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01"/>
      <c r="H64" s="58"/>
      <c r="I64" s="58"/>
      <c r="J64" s="58"/>
      <c r="K64" s="75"/>
      <c r="L64" s="76"/>
      <c r="M64" s="54"/>
      <c r="N64" s="56">
        <v>410.47</v>
      </c>
      <c r="O64" s="1601"/>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601"/>
      <c r="H65" s="61">
        <v>29</v>
      </c>
      <c r="I65" s="60" t="s">
        <v>951</v>
      </c>
      <c r="J65" s="60" t="s">
        <v>913</v>
      </c>
      <c r="K65" s="75"/>
      <c r="L65" s="76"/>
      <c r="M65" s="54"/>
      <c r="N65" s="54"/>
      <c r="O65" s="160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01"/>
      <c r="H66" s="58"/>
      <c r="I66" s="58"/>
      <c r="J66" s="58"/>
      <c r="K66" s="75"/>
      <c r="L66" s="76"/>
      <c r="M66" s="54"/>
      <c r="N66" s="56">
        <v>385.54</v>
      </c>
      <c r="O66" s="1601"/>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01">
        <v>1242</v>
      </c>
      <c r="H68" s="58"/>
      <c r="I68" s="58"/>
      <c r="J68" s="58"/>
      <c r="K68" s="75"/>
      <c r="L68" s="76"/>
      <c r="M68" s="54"/>
      <c r="N68" s="56">
        <v>418.31</v>
      </c>
      <c r="O68" s="1601">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601"/>
      <c r="H69" s="61">
        <v>31</v>
      </c>
      <c r="I69" s="60" t="s">
        <v>955</v>
      </c>
      <c r="J69" s="60" t="s">
        <v>899</v>
      </c>
      <c r="K69" s="68">
        <v>1</v>
      </c>
      <c r="L69" s="76"/>
      <c r="M69" s="54"/>
      <c r="N69" s="54"/>
      <c r="O69" s="160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01"/>
      <c r="H70" s="58"/>
      <c r="I70" s="58"/>
      <c r="J70" s="58"/>
      <c r="K70" s="75"/>
      <c r="L70" s="76"/>
      <c r="M70" s="54"/>
      <c r="N70" s="56">
        <v>421.47</v>
      </c>
      <c r="O70" s="1601"/>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601"/>
      <c r="H71" s="61">
        <v>32</v>
      </c>
      <c r="I71" s="60" t="s">
        <v>956</v>
      </c>
      <c r="J71" s="60" t="s">
        <v>903</v>
      </c>
      <c r="K71" s="75"/>
      <c r="L71" s="76"/>
      <c r="M71" s="54"/>
      <c r="N71" s="54"/>
      <c r="O71" s="160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01"/>
      <c r="H72" s="58"/>
      <c r="I72" s="58"/>
      <c r="J72" s="58"/>
      <c r="K72" s="75"/>
      <c r="L72" s="76"/>
      <c r="M72" s="54"/>
      <c r="N72" s="56">
        <v>401.98</v>
      </c>
      <c r="O72" s="1601"/>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01">
        <v>833</v>
      </c>
      <c r="H74" s="58"/>
      <c r="I74" s="58"/>
      <c r="J74" s="58"/>
      <c r="K74" s="75"/>
      <c r="L74" s="76"/>
      <c r="M74" s="54"/>
      <c r="N74" s="56">
        <v>429.38</v>
      </c>
      <c r="O74" s="1601">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601"/>
      <c r="H75" s="61">
        <v>34</v>
      </c>
      <c r="I75" s="60" t="s">
        <v>960</v>
      </c>
      <c r="J75" s="60" t="s">
        <v>903</v>
      </c>
      <c r="K75" s="75"/>
      <c r="L75" s="76"/>
      <c r="M75" s="54"/>
      <c r="N75" s="54"/>
      <c r="O75" s="160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01"/>
      <c r="H76" s="58"/>
      <c r="I76" s="58"/>
      <c r="J76" s="58"/>
      <c r="K76" s="75"/>
      <c r="L76" s="76"/>
      <c r="M76" s="54"/>
      <c r="N76" s="56">
        <v>403.83</v>
      </c>
      <c r="O76" s="1601"/>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01">
        <v>735</v>
      </c>
      <c r="H80" s="58"/>
      <c r="I80" s="58"/>
      <c r="J80" s="58"/>
      <c r="K80" s="75"/>
      <c r="L80" s="76"/>
      <c r="M80" s="54"/>
      <c r="N80" s="56">
        <v>380.68</v>
      </c>
      <c r="O80" s="1601">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601"/>
      <c r="H81" s="61">
        <v>37</v>
      </c>
      <c r="I81" s="60" t="s">
        <v>966</v>
      </c>
      <c r="J81" s="60" t="s">
        <v>899</v>
      </c>
      <c r="K81" s="75"/>
      <c r="L81" s="76"/>
      <c r="M81" s="54"/>
      <c r="N81" s="54"/>
      <c r="O81" s="160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01"/>
      <c r="H82" s="58"/>
      <c r="I82" s="58"/>
      <c r="J82" s="58"/>
      <c r="K82" s="75"/>
      <c r="L82" s="76"/>
      <c r="M82" s="54"/>
      <c r="N82" s="56">
        <v>354.53</v>
      </c>
      <c r="O82" s="1601"/>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01">
        <v>1203</v>
      </c>
      <c r="H84" s="58"/>
      <c r="I84" s="58"/>
      <c r="J84" s="58"/>
      <c r="K84" s="75"/>
      <c r="L84" s="76"/>
      <c r="M84" s="54"/>
      <c r="N84" s="56">
        <v>405.57</v>
      </c>
      <c r="O84" s="1601">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601"/>
      <c r="H85" s="61">
        <v>39</v>
      </c>
      <c r="I85" s="60" t="s">
        <v>969</v>
      </c>
      <c r="J85" s="60" t="s">
        <v>913</v>
      </c>
      <c r="K85" s="75"/>
      <c r="L85" s="76"/>
      <c r="M85" s="54"/>
      <c r="N85" s="54"/>
      <c r="O85" s="160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01"/>
      <c r="H86" s="58"/>
      <c r="I86" s="58"/>
      <c r="J86" s="58"/>
      <c r="K86" s="75"/>
      <c r="L86" s="76"/>
      <c r="M86" s="54"/>
      <c r="N86" s="56">
        <v>416.87</v>
      </c>
      <c r="O86" s="1601"/>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601"/>
      <c r="H87" s="61">
        <v>40</v>
      </c>
      <c r="I87" s="60" t="s">
        <v>971</v>
      </c>
      <c r="J87" s="60" t="s">
        <v>899</v>
      </c>
      <c r="K87" s="75"/>
      <c r="L87" s="76"/>
      <c r="M87" s="54"/>
      <c r="N87" s="54"/>
      <c r="O87" s="160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01"/>
      <c r="H88" s="58"/>
      <c r="I88" s="58"/>
      <c r="J88" s="58"/>
      <c r="K88" s="75"/>
      <c r="L88" s="76"/>
      <c r="M88" s="54"/>
      <c r="N88" s="56">
        <v>380.77</v>
      </c>
      <c r="O88" s="1601"/>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01">
        <v>1101</v>
      </c>
      <c r="H90" s="58"/>
      <c r="I90" s="58"/>
      <c r="J90" s="58"/>
      <c r="K90" s="75"/>
      <c r="L90" s="76"/>
      <c r="M90" s="54"/>
      <c r="N90" s="56">
        <v>411.81</v>
      </c>
      <c r="O90" s="1601">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601"/>
      <c r="H91" s="61">
        <v>42</v>
      </c>
      <c r="I91" s="60" t="s">
        <v>974</v>
      </c>
      <c r="J91" s="60" t="s">
        <v>903</v>
      </c>
      <c r="K91" s="75"/>
      <c r="L91" s="76"/>
      <c r="M91" s="54"/>
      <c r="N91" s="54"/>
      <c r="O91" s="160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01"/>
      <c r="H92" s="58"/>
      <c r="I92" s="58"/>
      <c r="J92" s="58"/>
      <c r="K92" s="75"/>
      <c r="L92" s="76"/>
      <c r="M92" s="54"/>
      <c r="N92" s="56">
        <v>392.08</v>
      </c>
      <c r="O92" s="1601"/>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601"/>
      <c r="H93" s="61">
        <v>43</v>
      </c>
      <c r="I93" s="60" t="s">
        <v>975</v>
      </c>
      <c r="J93" s="60" t="s">
        <v>933</v>
      </c>
      <c r="K93" s="75"/>
      <c r="L93" s="76"/>
      <c r="M93" s="54"/>
      <c r="N93" s="54"/>
      <c r="O93" s="160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01"/>
      <c r="H94" s="58"/>
      <c r="I94" s="58"/>
      <c r="J94" s="58"/>
      <c r="K94" s="75"/>
      <c r="L94" s="76"/>
      <c r="M94" s="54"/>
      <c r="N94" s="56">
        <v>296.87</v>
      </c>
      <c r="O94" s="1601"/>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01">
        <v>835</v>
      </c>
      <c r="H98" s="58"/>
      <c r="I98" s="58"/>
      <c r="J98" s="58"/>
      <c r="K98" s="75"/>
      <c r="L98" s="76"/>
      <c r="M98" s="54"/>
      <c r="N98" s="56">
        <v>382.17</v>
      </c>
      <c r="O98" s="1601">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601"/>
      <c r="H99" s="61">
        <v>46</v>
      </c>
      <c r="I99" s="60" t="s">
        <v>982</v>
      </c>
      <c r="J99" s="60" t="s">
        <v>933</v>
      </c>
      <c r="K99" s="75"/>
      <c r="L99" s="76"/>
      <c r="M99" s="54"/>
      <c r="N99" s="54"/>
      <c r="O99" s="160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01"/>
      <c r="H100" s="58"/>
      <c r="I100" s="58"/>
      <c r="J100" s="58"/>
      <c r="K100" s="75"/>
      <c r="L100" s="76"/>
      <c r="M100" s="54"/>
      <c r="N100" s="56">
        <v>452.74</v>
      </c>
      <c r="O100" s="1601"/>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01">
        <v>815</v>
      </c>
      <c r="H102" s="58"/>
      <c r="I102" s="58"/>
      <c r="J102" s="58"/>
      <c r="K102" s="75"/>
      <c r="L102" s="76"/>
      <c r="M102" s="54"/>
      <c r="N102" s="56">
        <v>420.21</v>
      </c>
      <c r="O102" s="1601">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601"/>
      <c r="H103" s="61">
        <v>48</v>
      </c>
      <c r="I103" s="60" t="s">
        <v>986</v>
      </c>
      <c r="J103" s="60" t="s">
        <v>933</v>
      </c>
      <c r="K103" s="75"/>
      <c r="L103" s="76"/>
      <c r="M103" s="54"/>
      <c r="N103" s="54"/>
      <c r="O103" s="160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01"/>
      <c r="H104" s="58"/>
      <c r="I104" s="58"/>
      <c r="J104" s="58"/>
      <c r="K104" s="75"/>
      <c r="L104" s="76"/>
      <c r="M104" s="54"/>
      <c r="N104" s="56">
        <v>395.01</v>
      </c>
      <c r="O104" s="1601"/>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01">
        <v>1473</v>
      </c>
      <c r="H106" s="58"/>
      <c r="I106" s="58"/>
      <c r="J106" s="58"/>
      <c r="K106" s="75"/>
      <c r="L106" s="76"/>
      <c r="M106" s="54"/>
      <c r="N106" s="56">
        <v>386.74</v>
      </c>
      <c r="O106" s="1601">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601"/>
      <c r="H107" s="61">
        <v>50</v>
      </c>
      <c r="I107" s="60" t="s">
        <v>990</v>
      </c>
      <c r="J107" s="60" t="s">
        <v>899</v>
      </c>
      <c r="K107" s="75"/>
      <c r="L107" s="76"/>
      <c r="M107" s="54"/>
      <c r="N107" s="54"/>
      <c r="O107" s="160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01"/>
      <c r="H108" s="58"/>
      <c r="I108" s="58"/>
      <c r="J108" s="58"/>
      <c r="K108" s="75"/>
      <c r="L108" s="76"/>
      <c r="M108" s="54"/>
      <c r="N108" s="56">
        <v>378.62</v>
      </c>
      <c r="O108" s="1601"/>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601"/>
      <c r="H109" s="61">
        <v>51</v>
      </c>
      <c r="I109" s="60" t="s">
        <v>991</v>
      </c>
      <c r="J109" s="60" t="s">
        <v>899</v>
      </c>
      <c r="K109" s="75"/>
      <c r="L109" s="76"/>
      <c r="M109" s="54"/>
      <c r="N109" s="54"/>
      <c r="O109" s="160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01"/>
      <c r="H110" s="58"/>
      <c r="I110" s="58"/>
      <c r="J110" s="58"/>
      <c r="K110" s="75"/>
      <c r="L110" s="76"/>
      <c r="M110" s="54"/>
      <c r="N110" s="56">
        <v>350.22</v>
      </c>
      <c r="O110" s="1601"/>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601"/>
      <c r="H111" s="61">
        <v>52</v>
      </c>
      <c r="I111" s="60" t="s">
        <v>993</v>
      </c>
      <c r="J111" s="60" t="s">
        <v>899</v>
      </c>
      <c r="K111" s="75"/>
      <c r="L111" s="76"/>
      <c r="M111" s="54"/>
      <c r="N111" s="54"/>
      <c r="O111" s="160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01"/>
      <c r="H112" s="58"/>
      <c r="I112" s="58"/>
      <c r="J112" s="58"/>
      <c r="K112" s="75"/>
      <c r="L112" s="76"/>
      <c r="M112" s="54"/>
      <c r="N112" s="56">
        <v>357.91</v>
      </c>
      <c r="O112" s="1601"/>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602" t="s">
        <v>998</v>
      </c>
      <c r="F116" s="1602"/>
      <c r="G116" s="1602"/>
      <c r="H116" s="114"/>
      <c r="I116" s="114"/>
      <c r="J116" s="1602" t="s">
        <v>999</v>
      </c>
      <c r="K116" s="1602"/>
      <c r="L116" s="1602"/>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603" t="s">
        <v>1003</v>
      </c>
      <c r="B138" s="1604"/>
      <c r="C138" s="1604"/>
      <c r="D138" s="1604"/>
      <c r="E138" s="1604"/>
      <c r="F138" s="1604"/>
      <c r="G138" s="1604"/>
      <c r="H138" s="1604"/>
      <c r="I138" s="1604"/>
      <c r="J138" s="1604"/>
      <c r="K138" s="1604"/>
      <c r="L138" s="1604"/>
      <c r="M138" s="1604"/>
      <c r="N138" s="1604"/>
      <c r="O138" s="1605" t="s">
        <v>1004</v>
      </c>
      <c r="P138" s="1605"/>
      <c r="Q138" s="1605"/>
      <c r="R138" s="1605"/>
      <c r="S138" s="1605"/>
      <c r="T138" s="1605"/>
      <c r="U138" s="1605"/>
      <c r="V138" s="1605"/>
      <c r="W138" s="1605"/>
      <c r="X138" s="1605"/>
      <c r="Y138" s="1605"/>
      <c r="Z138" s="1605"/>
      <c r="AA138" s="1605"/>
      <c r="AB138" s="1605"/>
      <c r="AC138" s="1606"/>
    </row>
    <row r="139" spans="1:29" ht="12.75" customHeight="1">
      <c r="A139" s="1600" t="s">
        <v>1005</v>
      </c>
      <c r="B139" s="1600"/>
      <c r="C139" s="1600"/>
      <c r="D139" s="1600"/>
      <c r="E139" s="1600"/>
      <c r="F139" s="1599" t="s">
        <v>1006</v>
      </c>
      <c r="G139" s="1599"/>
      <c r="H139" s="1599"/>
      <c r="I139" s="1599"/>
      <c r="J139" s="1600" t="s">
        <v>1007</v>
      </c>
      <c r="K139" s="1600"/>
      <c r="L139" s="1600"/>
      <c r="M139" s="1600"/>
      <c r="N139" s="1600"/>
      <c r="O139" s="1599" t="s">
        <v>1006</v>
      </c>
      <c r="P139" s="1599"/>
      <c r="Q139" s="1599"/>
      <c r="R139" s="1599"/>
      <c r="S139" s="1599"/>
      <c r="T139" s="1600" t="s">
        <v>1008</v>
      </c>
      <c r="U139" s="1600"/>
      <c r="V139" s="1600"/>
      <c r="W139" s="1600"/>
      <c r="X139" s="1600"/>
      <c r="Y139" s="1600"/>
      <c r="Z139" s="1600" t="s">
        <v>1009</v>
      </c>
      <c r="AA139" s="1600"/>
      <c r="AB139" s="1600"/>
      <c r="AC139" s="1600"/>
    </row>
    <row r="140" spans="1:29" ht="12.75" customHeight="1">
      <c r="A140" s="1600"/>
      <c r="B140" s="1600"/>
      <c r="C140" s="1600"/>
      <c r="D140" s="1600"/>
      <c r="E140" s="1600"/>
      <c r="F140" s="1599"/>
      <c r="G140" s="1599"/>
      <c r="H140" s="1599"/>
      <c r="I140" s="1599"/>
      <c r="J140" s="1600"/>
      <c r="K140" s="1600"/>
      <c r="L140" s="1600"/>
      <c r="M140" s="1600"/>
      <c r="N140" s="1600"/>
      <c r="O140" s="1599"/>
      <c r="P140" s="1599"/>
      <c r="Q140" s="1599"/>
      <c r="R140" s="1599"/>
      <c r="S140" s="1599"/>
      <c r="T140" s="1600"/>
      <c r="U140" s="1600"/>
      <c r="V140" s="1600"/>
      <c r="W140" s="1600"/>
      <c r="X140" s="1600"/>
      <c r="Y140" s="1600"/>
      <c r="Z140" s="1600"/>
      <c r="AA140" s="1600"/>
      <c r="AB140" s="1600"/>
      <c r="AC140" s="1600"/>
    </row>
    <row r="141" spans="1:29" ht="12.75" customHeight="1">
      <c r="A141" s="1600"/>
      <c r="B141" s="1600"/>
      <c r="C141" s="1600"/>
      <c r="D141" s="1600"/>
      <c r="E141" s="1600"/>
      <c r="F141" s="1599"/>
      <c r="G141" s="1599"/>
      <c r="H141" s="1599"/>
      <c r="I141" s="1599"/>
      <c r="J141" s="1600"/>
      <c r="K141" s="1600"/>
      <c r="L141" s="1600"/>
      <c r="M141" s="1600"/>
      <c r="N141" s="1600"/>
      <c r="O141" s="1599"/>
      <c r="P141" s="1599"/>
      <c r="Q141" s="1599"/>
      <c r="R141" s="1599"/>
      <c r="S141" s="1599"/>
      <c r="T141" s="1600"/>
      <c r="U141" s="1600"/>
      <c r="V141" s="1600"/>
      <c r="W141" s="1600"/>
      <c r="X141" s="1600"/>
      <c r="Y141" s="1600"/>
      <c r="Z141" s="1600"/>
      <c r="AA141" s="1600"/>
      <c r="AB141" s="1600"/>
      <c r="AC141" s="1600"/>
    </row>
    <row r="142" spans="1:29" ht="36.75" customHeight="1">
      <c r="A142" s="1600"/>
      <c r="B142" s="1600"/>
      <c r="C142" s="1600"/>
      <c r="D142" s="1600"/>
      <c r="E142" s="1600"/>
      <c r="F142" s="1599"/>
      <c r="G142" s="1599"/>
      <c r="H142" s="1599"/>
      <c r="I142" s="1599"/>
      <c r="J142" s="1600"/>
      <c r="K142" s="1600"/>
      <c r="L142" s="1600"/>
      <c r="M142" s="1600"/>
      <c r="N142" s="1600"/>
      <c r="O142" s="1599"/>
      <c r="P142" s="1599"/>
      <c r="Q142" s="1599"/>
      <c r="R142" s="1599"/>
      <c r="S142" s="1599"/>
      <c r="T142" s="1600"/>
      <c r="U142" s="1600"/>
      <c r="V142" s="1600"/>
      <c r="W142" s="1600"/>
      <c r="X142" s="1600"/>
      <c r="Y142" s="1600"/>
      <c r="Z142" s="1600"/>
      <c r="AA142" s="1600"/>
      <c r="AB142" s="1600"/>
      <c r="AC142" s="160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D1" workbookViewId="0">
      <selection activeCell="Q13" sqref="Q13"/>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648" t="s">
        <v>1010</v>
      </c>
      <c r="B1" s="1648"/>
      <c r="C1" s="1648"/>
      <c r="D1" s="1648"/>
      <c r="E1" s="1648"/>
      <c r="F1" s="1648"/>
      <c r="G1" s="1648"/>
      <c r="H1" s="1648"/>
      <c r="I1" s="1648"/>
      <c r="J1" s="1648"/>
      <c r="K1" s="1648"/>
      <c r="L1" s="1648"/>
      <c r="M1" s="1648"/>
      <c r="N1" s="1648"/>
      <c r="O1" s="1648"/>
      <c r="P1" s="1648"/>
      <c r="Q1" s="1648"/>
      <c r="R1" s="1648"/>
      <c r="S1" s="1648"/>
      <c r="T1" s="1648"/>
      <c r="U1" s="1648"/>
      <c r="V1" s="1648"/>
      <c r="W1" s="1648"/>
      <c r="X1" s="1648"/>
      <c r="Y1" s="1648"/>
      <c r="Z1" s="1648"/>
      <c r="AA1" s="45"/>
    </row>
    <row r="2" spans="1:27">
      <c r="A2" s="1648" t="s">
        <v>1011</v>
      </c>
      <c r="B2" s="1649"/>
      <c r="C2" s="1649"/>
      <c r="D2" s="1649"/>
      <c r="E2" s="1649"/>
      <c r="F2" s="1649"/>
      <c r="G2" s="1649"/>
      <c r="H2" s="1649"/>
      <c r="I2" s="1649"/>
      <c r="J2" s="1649"/>
      <c r="K2" s="1649"/>
      <c r="L2" s="1649"/>
      <c r="M2" s="1649"/>
      <c r="N2" s="1649"/>
      <c r="O2" s="1649"/>
      <c r="P2" s="35"/>
      <c r="Q2" s="35"/>
      <c r="R2" s="35"/>
      <c r="S2" s="35"/>
      <c r="T2" s="35"/>
      <c r="U2" s="35"/>
      <c r="V2" s="35"/>
      <c r="W2" s="35"/>
      <c r="X2" s="35"/>
      <c r="Y2" s="35"/>
      <c r="Z2" s="35"/>
      <c r="AA2" s="45"/>
    </row>
    <row r="3" spans="1:27" ht="45.75" customHeight="1">
      <c r="A3" s="1644" t="s">
        <v>1012</v>
      </c>
      <c r="B3" s="1644" t="s">
        <v>1013</v>
      </c>
      <c r="C3" s="1644" t="s">
        <v>1014</v>
      </c>
      <c r="D3" s="1644" t="s">
        <v>1015</v>
      </c>
      <c r="E3" s="1644" t="s">
        <v>1016</v>
      </c>
      <c r="F3" s="11" t="s">
        <v>1017</v>
      </c>
      <c r="G3" s="1644" t="s">
        <v>1018</v>
      </c>
      <c r="H3" s="164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645"/>
      <c r="B4" s="1645"/>
      <c r="C4" s="1645"/>
      <c r="D4" s="1652"/>
      <c r="E4" s="1645"/>
      <c r="F4" s="12"/>
      <c r="G4" s="1646"/>
      <c r="H4" s="1645"/>
      <c r="I4" s="400" t="s">
        <v>1039</v>
      </c>
      <c r="J4" s="400" t="s">
        <v>1040</v>
      </c>
      <c r="K4" s="400" t="s">
        <v>1041</v>
      </c>
      <c r="L4" s="400" t="s">
        <v>1042</v>
      </c>
      <c r="M4" s="400" t="s">
        <v>1043</v>
      </c>
      <c r="N4" s="400" t="s">
        <v>1044</v>
      </c>
      <c r="O4" s="400" t="s">
        <v>1045</v>
      </c>
      <c r="P4" s="400" t="s">
        <v>1046</v>
      </c>
      <c r="Q4" s="400" t="s">
        <v>1047</v>
      </c>
      <c r="R4" s="400" t="s">
        <v>1048</v>
      </c>
      <c r="S4" s="400" t="s">
        <v>1049</v>
      </c>
      <c r="T4" s="400" t="s">
        <v>1050</v>
      </c>
      <c r="U4" s="400" t="s">
        <v>1051</v>
      </c>
      <c r="V4" s="400" t="s">
        <v>1052</v>
      </c>
      <c r="W4" s="400" t="s">
        <v>1053</v>
      </c>
      <c r="X4" s="400" t="s">
        <v>1054</v>
      </c>
      <c r="Y4" s="400" t="s">
        <v>1055</v>
      </c>
      <c r="Z4" s="400" t="s">
        <v>1056</v>
      </c>
      <c r="AA4" s="40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650"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651"/>
      <c r="B12" s="33" t="s">
        <v>1076</v>
      </c>
    </row>
    <row r="13" spans="1:27">
      <c r="A13" s="1651"/>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644" t="s">
        <v>1012</v>
      </c>
      <c r="B15" s="1644" t="s">
        <v>1013</v>
      </c>
      <c r="C15" s="1644" t="s">
        <v>1014</v>
      </c>
      <c r="D15" s="1644" t="s">
        <v>1015</v>
      </c>
      <c r="E15" s="1644" t="s">
        <v>1016</v>
      </c>
      <c r="F15" s="11" t="s">
        <v>1017</v>
      </c>
      <c r="G15" s="1644" t="s">
        <v>1018</v>
      </c>
      <c r="H15" s="1647"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645"/>
      <c r="B16" s="1645"/>
      <c r="C16" s="1645"/>
      <c r="D16" s="1652"/>
      <c r="E16" s="1645"/>
      <c r="F16" s="12"/>
      <c r="G16" s="1646"/>
      <c r="H16" s="1645"/>
      <c r="I16" s="400" t="s">
        <v>1039</v>
      </c>
      <c r="J16" s="400" t="s">
        <v>1040</v>
      </c>
      <c r="K16" s="400" t="s">
        <v>1041</v>
      </c>
      <c r="L16" s="400" t="s">
        <v>1042</v>
      </c>
      <c r="M16" s="400" t="s">
        <v>1043</v>
      </c>
      <c r="N16" s="400" t="s">
        <v>1044</v>
      </c>
      <c r="O16" s="400" t="s">
        <v>1045</v>
      </c>
      <c r="P16" s="400" t="s">
        <v>1046</v>
      </c>
      <c r="Q16" s="400" t="s">
        <v>1047</v>
      </c>
      <c r="R16" s="400" t="s">
        <v>1048</v>
      </c>
      <c r="S16" s="400" t="s">
        <v>1049</v>
      </c>
      <c r="T16" s="400" t="s">
        <v>1050</v>
      </c>
      <c r="U16" s="400" t="s">
        <v>1051</v>
      </c>
      <c r="V16" s="400" t="s">
        <v>1052</v>
      </c>
      <c r="W16" s="400" t="s">
        <v>1053</v>
      </c>
      <c r="X16" s="400" t="s">
        <v>1054</v>
      </c>
      <c r="Y16" s="400" t="s">
        <v>1055</v>
      </c>
      <c r="Z16" s="400" t="s">
        <v>1056</v>
      </c>
      <c r="AA16" s="40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 t="shared" ref="F21:F22" si="1">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 t="shared" si="1"/>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1061"/>
    </row>
    <row r="191" spans="2:2">
      <c r="B191" s="1061"/>
    </row>
    <row r="192" spans="2:2">
      <c r="B192" s="1061"/>
    </row>
    <row r="193" spans="2:2">
      <c r="B193" s="1061"/>
    </row>
    <row r="194" spans="2:2">
      <c r="B194" s="1061"/>
    </row>
    <row r="195" spans="2:2">
      <c r="B195" s="1061"/>
    </row>
    <row r="196" spans="2:2">
      <c r="B196" s="1061"/>
    </row>
    <row r="197" spans="2:2">
      <c r="B197" s="1061"/>
    </row>
    <row r="198" spans="2:2">
      <c r="B198" s="1061"/>
    </row>
    <row r="199" spans="2:2">
      <c r="B199" s="1061"/>
    </row>
    <row r="200" spans="2:2">
      <c r="B200" s="1061"/>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648" t="s">
        <v>1010</v>
      </c>
      <c r="B1" s="1648"/>
      <c r="C1" s="1648"/>
      <c r="D1" s="1648"/>
      <c r="E1" s="1648"/>
      <c r="F1" s="1648"/>
      <c r="G1" s="1648"/>
      <c r="H1" s="1648"/>
      <c r="I1" s="1648"/>
      <c r="J1" s="1648"/>
      <c r="K1" s="1648"/>
      <c r="L1" s="1648"/>
      <c r="M1" s="1648"/>
      <c r="N1" s="1648"/>
      <c r="O1" s="1648"/>
      <c r="P1" s="1648"/>
      <c r="Q1" s="1648"/>
      <c r="R1" s="1648"/>
      <c r="S1" s="1648"/>
      <c r="T1" s="1648"/>
      <c r="U1" s="1648"/>
      <c r="V1" s="1648"/>
      <c r="W1" s="1648"/>
      <c r="X1" s="1648"/>
      <c r="Y1" s="1648"/>
      <c r="Z1" s="1648"/>
      <c r="AA1" s="45"/>
    </row>
    <row r="2" spans="1:27">
      <c r="A2" s="1648" t="s">
        <v>1011</v>
      </c>
      <c r="B2" s="1649"/>
      <c r="C2" s="1649"/>
      <c r="D2" s="1649"/>
      <c r="E2" s="1649"/>
      <c r="F2" s="1649"/>
      <c r="G2" s="1649"/>
      <c r="H2" s="1649"/>
      <c r="I2" s="1649"/>
      <c r="J2" s="1649"/>
      <c r="K2" s="1649"/>
      <c r="L2" s="1649"/>
      <c r="M2" s="1649"/>
      <c r="N2" s="1649"/>
      <c r="O2" s="1649"/>
      <c r="P2" s="35"/>
      <c r="Q2" s="35"/>
      <c r="R2" s="35"/>
      <c r="S2" s="35"/>
      <c r="T2" s="35"/>
      <c r="U2" s="35"/>
      <c r="V2" s="35"/>
      <c r="W2" s="35"/>
      <c r="X2" s="35"/>
      <c r="Y2" s="35"/>
      <c r="Z2" s="35"/>
      <c r="AA2" s="45"/>
    </row>
    <row r="3" spans="1:27" ht="45.75" customHeight="1">
      <c r="A3" s="1644" t="s">
        <v>1012</v>
      </c>
      <c r="B3" s="1644" t="s">
        <v>1013</v>
      </c>
      <c r="C3" s="1644" t="s">
        <v>1014</v>
      </c>
      <c r="D3" s="1644" t="s">
        <v>1015</v>
      </c>
      <c r="E3" s="1644" t="s">
        <v>1016</v>
      </c>
      <c r="F3" s="11" t="s">
        <v>1017</v>
      </c>
      <c r="G3" s="1644" t="s">
        <v>1018</v>
      </c>
      <c r="H3" s="164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645"/>
      <c r="B4" s="1645"/>
      <c r="C4" s="1645"/>
      <c r="D4" s="1652"/>
      <c r="E4" s="1645"/>
      <c r="F4" s="12"/>
      <c r="G4" s="1646"/>
      <c r="H4" s="1645"/>
      <c r="I4" s="400" t="s">
        <v>1039</v>
      </c>
      <c r="J4" s="400" t="s">
        <v>1040</v>
      </c>
      <c r="K4" s="400" t="s">
        <v>1041</v>
      </c>
      <c r="L4" s="400" t="s">
        <v>1042</v>
      </c>
      <c r="M4" s="400" t="s">
        <v>1043</v>
      </c>
      <c r="N4" s="400" t="s">
        <v>1044</v>
      </c>
      <c r="O4" s="400" t="s">
        <v>1045</v>
      </c>
      <c r="P4" s="400" t="s">
        <v>1046</v>
      </c>
      <c r="Q4" s="400" t="s">
        <v>1047</v>
      </c>
      <c r="R4" s="400" t="s">
        <v>1048</v>
      </c>
      <c r="S4" s="400" t="s">
        <v>1049</v>
      </c>
      <c r="T4" s="400" t="s">
        <v>1050</v>
      </c>
      <c r="U4" s="400" t="s">
        <v>1051</v>
      </c>
      <c r="V4" s="400" t="s">
        <v>1052</v>
      </c>
      <c r="W4" s="400" t="s">
        <v>1053</v>
      </c>
      <c r="X4" s="400" t="s">
        <v>1054</v>
      </c>
      <c r="Y4" s="400" t="s">
        <v>1055</v>
      </c>
      <c r="Z4" s="400" t="s">
        <v>1056</v>
      </c>
      <c r="AA4" s="40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27"/>
      <c r="B11" s="628"/>
      <c r="C11" s="628"/>
      <c r="D11" s="629"/>
      <c r="E11" s="629"/>
      <c r="F11" s="630"/>
      <c r="G11" s="631"/>
      <c r="H11" s="632"/>
      <c r="I11" s="633"/>
      <c r="J11" s="634"/>
      <c r="K11" s="634"/>
      <c r="L11" s="634"/>
      <c r="M11" s="634"/>
      <c r="N11" s="634"/>
      <c r="O11" s="635"/>
      <c r="P11" s="635"/>
      <c r="Q11" s="635"/>
      <c r="R11" s="635"/>
      <c r="S11" s="635"/>
      <c r="T11" s="635"/>
      <c r="U11" s="635"/>
      <c r="V11" s="635"/>
      <c r="W11" s="635"/>
      <c r="X11" s="635"/>
      <c r="Y11" s="635"/>
      <c r="Z11" s="635"/>
      <c r="AA11" s="635"/>
    </row>
    <row r="12" spans="1:27" ht="33" customHeight="1">
      <c r="A12" s="627"/>
      <c r="B12" s="628"/>
      <c r="C12" s="628"/>
      <c r="D12" s="629"/>
      <c r="E12" s="629"/>
      <c r="F12" s="630"/>
      <c r="G12" s="631"/>
      <c r="H12" s="632"/>
      <c r="I12" s="633"/>
      <c r="J12" s="634"/>
      <c r="K12" s="634"/>
      <c r="L12" s="634"/>
      <c r="M12" s="634"/>
      <c r="N12" s="634"/>
      <c r="O12" s="635"/>
      <c r="P12" s="635"/>
      <c r="Q12" s="635"/>
      <c r="R12" s="635"/>
      <c r="S12" s="635"/>
      <c r="T12" s="635"/>
      <c r="U12" s="635"/>
      <c r="V12" s="635"/>
      <c r="W12" s="635"/>
      <c r="X12" s="635"/>
      <c r="Y12" s="635"/>
      <c r="Z12" s="635"/>
      <c r="AA12" s="635"/>
    </row>
    <row r="13" spans="1:27" ht="33" customHeight="1">
      <c r="A13" s="627"/>
      <c r="B13" s="628"/>
      <c r="C13" s="628"/>
      <c r="D13" s="629"/>
      <c r="E13" s="629"/>
      <c r="F13" s="630"/>
      <c r="G13" s="631"/>
      <c r="H13" s="632"/>
      <c r="I13" s="633"/>
      <c r="J13" s="634"/>
      <c r="K13" s="634"/>
      <c r="L13" s="634"/>
      <c r="M13" s="634"/>
      <c r="N13" s="634"/>
      <c r="O13" s="635"/>
      <c r="P13" s="635"/>
      <c r="Q13" s="635"/>
      <c r="R13" s="635"/>
      <c r="S13" s="635"/>
      <c r="T13" s="635"/>
      <c r="U13" s="635"/>
      <c r="V13" s="635"/>
      <c r="W13" s="635"/>
      <c r="X13" s="635"/>
      <c r="Y13" s="635"/>
      <c r="Z13" s="635"/>
      <c r="AA13" s="635"/>
    </row>
    <row r="14" spans="1:27">
      <c r="A14" s="1650"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51"/>
      <c r="B15" s="33" t="s">
        <v>1076</v>
      </c>
    </row>
    <row r="16" spans="1:27">
      <c r="A16" s="1651"/>
      <c r="B16" s="33" t="s">
        <v>1077</v>
      </c>
    </row>
    <row r="17" spans="1:27">
      <c r="A17" s="34" t="s">
        <v>1078</v>
      </c>
    </row>
    <row r="18" spans="1:27" ht="45.75" customHeight="1">
      <c r="A18" s="1644" t="s">
        <v>1012</v>
      </c>
      <c r="B18" s="1644" t="s">
        <v>1013</v>
      </c>
      <c r="C18" s="1644" t="s">
        <v>1014</v>
      </c>
      <c r="D18" s="1644" t="s">
        <v>1015</v>
      </c>
      <c r="E18" s="1644" t="s">
        <v>1016</v>
      </c>
      <c r="F18" s="11" t="s">
        <v>1017</v>
      </c>
      <c r="G18" s="1644" t="s">
        <v>1018</v>
      </c>
      <c r="H18" s="1647"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645"/>
      <c r="B19" s="1645"/>
      <c r="C19" s="1645"/>
      <c r="D19" s="1652"/>
      <c r="E19" s="1645"/>
      <c r="F19" s="12"/>
      <c r="G19" s="1646"/>
      <c r="H19" s="1645"/>
      <c r="I19" s="400" t="s">
        <v>1039</v>
      </c>
      <c r="J19" s="400" t="s">
        <v>1040</v>
      </c>
      <c r="K19" s="400" t="s">
        <v>1041</v>
      </c>
      <c r="L19" s="400" t="s">
        <v>1042</v>
      </c>
      <c r="M19" s="400" t="s">
        <v>1043</v>
      </c>
      <c r="N19" s="400" t="s">
        <v>1044</v>
      </c>
      <c r="O19" s="400" t="s">
        <v>1045</v>
      </c>
      <c r="P19" s="400" t="s">
        <v>1046</v>
      </c>
      <c r="Q19" s="400" t="s">
        <v>1047</v>
      </c>
      <c r="R19" s="400" t="s">
        <v>1048</v>
      </c>
      <c r="S19" s="400" t="s">
        <v>1049</v>
      </c>
      <c r="T19" s="400" t="s">
        <v>1050</v>
      </c>
      <c r="U19" s="400" t="s">
        <v>1051</v>
      </c>
      <c r="V19" s="400" t="s">
        <v>1052</v>
      </c>
      <c r="W19" s="400" t="s">
        <v>1053</v>
      </c>
      <c r="X19" s="400" t="s">
        <v>1054</v>
      </c>
      <c r="Y19" s="400" t="s">
        <v>1055</v>
      </c>
      <c r="Z19" s="400" t="s">
        <v>1056</v>
      </c>
      <c r="AA19" s="40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 t="shared" ref="F24:F25" si="1">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 t="shared" si="1"/>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6">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Compiled</vt:lpstr>
      <vt:lpstr>Earthing</vt:lpstr>
      <vt:lpstr>Soil Investigation</vt:lpstr>
      <vt:lpstr>Sheet9</vt:lpstr>
      <vt:lpstr>Visual Chart</vt:lpstr>
      <vt:lpstr>VC </vt:lpstr>
      <vt:lpstr>Sheet6</vt:lpstr>
      <vt:lpstr>VC 51-121</vt:lpstr>
      <vt:lpstr>Sheet5</vt:lpstr>
      <vt:lpstr>Sheet3</vt:lpstr>
      <vt:lpstr>Tower Schedule</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Bharat Kaushik</cp:lastModifiedBy>
  <cp:lastPrinted>2025-09-28T06:08:05Z</cp:lastPrinted>
  <dcterms:created xsi:type="dcterms:W3CDTF">2023-02-01T07:49:00Z</dcterms:created>
  <dcterms:modified xsi:type="dcterms:W3CDTF">2025-11-04T10:40:47Z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